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_org1/Documents/Main Shared/"/>
    </mc:Choice>
  </mc:AlternateContent>
  <xr:revisionPtr revIDLastSave="24" documentId="11_05317F0F14F7B0BC98A8D625C667A0815810AECA" xr6:coauthVersionLast="47" xr6:coauthVersionMax="47" xr10:uidLastSave="{4F8A124F-BA81-4505-85E1-4E805D57E6CE}"/>
  <bookViews>
    <workbookView xWindow="28680" yWindow="-120" windowWidth="29040" windowHeight="15720" tabRatio="500" xr2:uid="{00000000-000D-0000-FFFF-FFFF00000000}"/>
  </bookViews>
  <sheets>
    <sheet name="EF" sheetId="5" r:id="rId1"/>
    <sheet name="SourcesWithCalculations" sheetId="1" r:id="rId2"/>
    <sheet name="EgyptVolumes" sheetId="2" r:id="rId3"/>
    <sheet name="Bibliography" sheetId="3" r:id="rId4"/>
    <sheet name="Quality_Assuranc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76" i="5" l="1"/>
  <c r="K76" i="5"/>
  <c r="AZ76" i="5" s="1"/>
  <c r="H76" i="5"/>
  <c r="G76" i="5"/>
  <c r="Y75" i="5"/>
  <c r="H75" i="5"/>
  <c r="G75" i="5"/>
  <c r="K75" i="5" s="1"/>
  <c r="AJ74" i="5"/>
  <c r="AK74" i="5" s="1"/>
  <c r="AL74" i="5" s="1"/>
  <c r="AM74" i="5" s="1"/>
  <c r="AN74" i="5" s="1"/>
  <c r="AO74" i="5" s="1"/>
  <c r="AP74" i="5" s="1"/>
  <c r="AQ74" i="5" s="1"/>
  <c r="AR74" i="5" s="1"/>
  <c r="AS74" i="5" s="1"/>
  <c r="AT74" i="5" s="1"/>
  <c r="AU74" i="5" s="1"/>
  <c r="Y74" i="5"/>
  <c r="H74" i="5"/>
  <c r="G74" i="5"/>
  <c r="K74" i="5" s="1"/>
  <c r="AJ73" i="5"/>
  <c r="AK73" i="5" s="1"/>
  <c r="AL73" i="5" s="1"/>
  <c r="AM73" i="5" s="1"/>
  <c r="AN73" i="5" s="1"/>
  <c r="AO73" i="5" s="1"/>
  <c r="AP73" i="5" s="1"/>
  <c r="AQ73" i="5" s="1"/>
  <c r="AR73" i="5" s="1"/>
  <c r="AS73" i="5" s="1"/>
  <c r="AT73" i="5" s="1"/>
  <c r="AU73" i="5" s="1"/>
  <c r="Y73" i="5"/>
  <c r="H73" i="5"/>
  <c r="G73" i="5"/>
  <c r="K73" i="5" s="1"/>
  <c r="AL72" i="5"/>
  <c r="AM72" i="5" s="1"/>
  <c r="AN72" i="5" s="1"/>
  <c r="AO72" i="5" s="1"/>
  <c r="AP72" i="5" s="1"/>
  <c r="AQ72" i="5" s="1"/>
  <c r="AR72" i="5" s="1"/>
  <c r="AS72" i="5" s="1"/>
  <c r="AT72" i="5" s="1"/>
  <c r="AU72" i="5" s="1"/>
  <c r="AK72" i="5"/>
  <c r="AJ72" i="5"/>
  <c r="Y72" i="5"/>
  <c r="H72" i="5"/>
  <c r="K72" i="5" s="1"/>
  <c r="G72" i="5"/>
  <c r="G34" i="5" s="1"/>
  <c r="AJ71" i="5"/>
  <c r="AK71" i="5" s="1"/>
  <c r="AL71" i="5" s="1"/>
  <c r="AM71" i="5" s="1"/>
  <c r="AN71" i="5" s="1"/>
  <c r="AO71" i="5" s="1"/>
  <c r="AP71" i="5" s="1"/>
  <c r="AQ71" i="5" s="1"/>
  <c r="AR71" i="5" s="1"/>
  <c r="AS71" i="5" s="1"/>
  <c r="AT71" i="5" s="1"/>
  <c r="AU71" i="5" s="1"/>
  <c r="Y71" i="5"/>
  <c r="H71" i="5"/>
  <c r="G71" i="5"/>
  <c r="K71" i="5" s="1"/>
  <c r="AJ70" i="5"/>
  <c r="AK70" i="5" s="1"/>
  <c r="AL70" i="5" s="1"/>
  <c r="AM70" i="5" s="1"/>
  <c r="AN70" i="5" s="1"/>
  <c r="AO70" i="5" s="1"/>
  <c r="AP70" i="5" s="1"/>
  <c r="AQ70" i="5" s="1"/>
  <c r="AR70" i="5" s="1"/>
  <c r="AS70" i="5" s="1"/>
  <c r="AT70" i="5" s="1"/>
  <c r="AU70" i="5" s="1"/>
  <c r="Y70" i="5"/>
  <c r="M70" i="5"/>
  <c r="P70" i="5" s="1"/>
  <c r="K70" i="5"/>
  <c r="AZ70" i="5" s="1"/>
  <c r="H70" i="5"/>
  <c r="G70" i="5"/>
  <c r="Y68" i="5"/>
  <c r="H68" i="5"/>
  <c r="G68" i="5"/>
  <c r="K68" i="5" s="1"/>
  <c r="Y67" i="5"/>
  <c r="H67" i="5"/>
  <c r="K67" i="5" s="1"/>
  <c r="G67" i="5"/>
  <c r="AJ66" i="5"/>
  <c r="AK66" i="5" s="1"/>
  <c r="AL66" i="5" s="1"/>
  <c r="AM66" i="5" s="1"/>
  <c r="AN66" i="5" s="1"/>
  <c r="AO66" i="5" s="1"/>
  <c r="AP66" i="5" s="1"/>
  <c r="AQ66" i="5" s="1"/>
  <c r="AR66" i="5" s="1"/>
  <c r="AS66" i="5" s="1"/>
  <c r="AT66" i="5" s="1"/>
  <c r="AU66" i="5" s="1"/>
  <c r="Y66" i="5"/>
  <c r="L66" i="5"/>
  <c r="H66" i="5"/>
  <c r="G66" i="5"/>
  <c r="K66" i="5" s="1"/>
  <c r="AJ65" i="5"/>
  <c r="AK65" i="5" s="1"/>
  <c r="AL65" i="5" s="1"/>
  <c r="AM65" i="5" s="1"/>
  <c r="AN65" i="5" s="1"/>
  <c r="AO65" i="5" s="1"/>
  <c r="AP65" i="5" s="1"/>
  <c r="AQ65" i="5" s="1"/>
  <c r="AR65" i="5" s="1"/>
  <c r="AS65" i="5" s="1"/>
  <c r="AT65" i="5" s="1"/>
  <c r="AU65" i="5" s="1"/>
  <c r="Y65" i="5"/>
  <c r="L65" i="5"/>
  <c r="H65" i="5"/>
  <c r="G65" i="5"/>
  <c r="K65" i="5" s="1"/>
  <c r="AJ64" i="5"/>
  <c r="AK64" i="5" s="1"/>
  <c r="AL64" i="5" s="1"/>
  <c r="AM64" i="5" s="1"/>
  <c r="AN64" i="5" s="1"/>
  <c r="AO64" i="5" s="1"/>
  <c r="AP64" i="5" s="1"/>
  <c r="AQ64" i="5" s="1"/>
  <c r="AR64" i="5" s="1"/>
  <c r="AS64" i="5" s="1"/>
  <c r="AT64" i="5" s="1"/>
  <c r="AU64" i="5" s="1"/>
  <c r="Y64" i="5"/>
  <c r="L64" i="5"/>
  <c r="K64" i="5"/>
  <c r="H64" i="5"/>
  <c r="H32" i="5" s="1"/>
  <c r="G64" i="5"/>
  <c r="AJ63" i="5"/>
  <c r="AK63" i="5" s="1"/>
  <c r="AL63" i="5" s="1"/>
  <c r="AM63" i="5" s="1"/>
  <c r="AN63" i="5" s="1"/>
  <c r="AO63" i="5" s="1"/>
  <c r="AP63" i="5" s="1"/>
  <c r="AQ63" i="5" s="1"/>
  <c r="AR63" i="5" s="1"/>
  <c r="AS63" i="5" s="1"/>
  <c r="AT63" i="5" s="1"/>
  <c r="AU63" i="5" s="1"/>
  <c r="Y63" i="5"/>
  <c r="L63" i="5"/>
  <c r="H63" i="5"/>
  <c r="K63" i="5" s="1"/>
  <c r="G63" i="5"/>
  <c r="AJ62" i="5"/>
  <c r="AK62" i="5" s="1"/>
  <c r="AL62" i="5" s="1"/>
  <c r="AM62" i="5" s="1"/>
  <c r="AN62" i="5" s="1"/>
  <c r="AO62" i="5" s="1"/>
  <c r="AP62" i="5" s="1"/>
  <c r="AQ62" i="5" s="1"/>
  <c r="AR62" i="5" s="1"/>
  <c r="AS62" i="5" s="1"/>
  <c r="AT62" i="5" s="1"/>
  <c r="AU62" i="5" s="1"/>
  <c r="Y62" i="5"/>
  <c r="H62" i="5"/>
  <c r="G62" i="5"/>
  <c r="K62" i="5" s="1"/>
  <c r="AJ61" i="5"/>
  <c r="AK61" i="5" s="1"/>
  <c r="AL61" i="5" s="1"/>
  <c r="AM61" i="5" s="1"/>
  <c r="AN61" i="5" s="1"/>
  <c r="AO61" i="5" s="1"/>
  <c r="AP61" i="5" s="1"/>
  <c r="AQ61" i="5" s="1"/>
  <c r="AR61" i="5" s="1"/>
  <c r="AS61" i="5" s="1"/>
  <c r="AT61" i="5" s="1"/>
  <c r="AU61" i="5" s="1"/>
  <c r="Y61" i="5"/>
  <c r="H61" i="5"/>
  <c r="G61" i="5"/>
  <c r="K61" i="5" s="1"/>
  <c r="AJ59" i="5"/>
  <c r="AK59" i="5" s="1"/>
  <c r="AL59" i="5" s="1"/>
  <c r="AM59" i="5" s="1"/>
  <c r="AN59" i="5" s="1"/>
  <c r="AO59" i="5" s="1"/>
  <c r="AP59" i="5" s="1"/>
  <c r="AQ59" i="5" s="1"/>
  <c r="AR59" i="5" s="1"/>
  <c r="AS59" i="5" s="1"/>
  <c r="AT59" i="5" s="1"/>
  <c r="AU59" i="5" s="1"/>
  <c r="Y59" i="5"/>
  <c r="H59" i="5"/>
  <c r="G59" i="5"/>
  <c r="K59" i="5" s="1"/>
  <c r="AL58" i="5"/>
  <c r="AM58" i="5" s="1"/>
  <c r="AN58" i="5" s="1"/>
  <c r="AO58" i="5" s="1"/>
  <c r="AP58" i="5" s="1"/>
  <c r="AQ58" i="5" s="1"/>
  <c r="AR58" i="5" s="1"/>
  <c r="AS58" i="5" s="1"/>
  <c r="AT58" i="5" s="1"/>
  <c r="AU58" i="5" s="1"/>
  <c r="AK58" i="5"/>
  <c r="AJ58" i="5"/>
  <c r="Y58" i="5"/>
  <c r="H58" i="5"/>
  <c r="K58" i="5" s="1"/>
  <c r="G58" i="5"/>
  <c r="AJ57" i="5"/>
  <c r="AK57" i="5" s="1"/>
  <c r="AL57" i="5" s="1"/>
  <c r="AM57" i="5" s="1"/>
  <c r="AN57" i="5" s="1"/>
  <c r="AO57" i="5" s="1"/>
  <c r="AP57" i="5" s="1"/>
  <c r="AQ57" i="5" s="1"/>
  <c r="AR57" i="5" s="1"/>
  <c r="AS57" i="5" s="1"/>
  <c r="AT57" i="5" s="1"/>
  <c r="AU57" i="5" s="1"/>
  <c r="Y57" i="5"/>
  <c r="H57" i="5"/>
  <c r="G57" i="5"/>
  <c r="K57" i="5" s="1"/>
  <c r="Y55" i="5"/>
  <c r="H55" i="5"/>
  <c r="G55" i="5"/>
  <c r="K55" i="5" s="1"/>
  <c r="Y54" i="5"/>
  <c r="H54" i="5"/>
  <c r="G54" i="5"/>
  <c r="K54" i="5" s="1"/>
  <c r="Y53" i="5"/>
  <c r="K53" i="5"/>
  <c r="AZ53" i="5" s="1"/>
  <c r="H53" i="5"/>
  <c r="G53" i="5"/>
  <c r="Y52" i="5"/>
  <c r="H52" i="5"/>
  <c r="G52" i="5"/>
  <c r="K52" i="5" s="1"/>
  <c r="Y51" i="5"/>
  <c r="H51" i="5"/>
  <c r="G51" i="5"/>
  <c r="K51" i="5" s="1"/>
  <c r="AK50" i="5"/>
  <c r="AL50" i="5" s="1"/>
  <c r="AM50" i="5" s="1"/>
  <c r="AN50" i="5" s="1"/>
  <c r="AO50" i="5" s="1"/>
  <c r="AP50" i="5" s="1"/>
  <c r="AQ50" i="5" s="1"/>
  <c r="AR50" i="5" s="1"/>
  <c r="AS50" i="5" s="1"/>
  <c r="AT50" i="5" s="1"/>
  <c r="AU50" i="5" s="1"/>
  <c r="AJ50" i="5"/>
  <c r="Y50" i="5"/>
  <c r="K50" i="5"/>
  <c r="AZ50" i="5" s="1"/>
  <c r="H50" i="5"/>
  <c r="G50" i="5"/>
  <c r="AM49" i="5"/>
  <c r="AN49" i="5" s="1"/>
  <c r="AO49" i="5" s="1"/>
  <c r="AP49" i="5" s="1"/>
  <c r="AQ49" i="5" s="1"/>
  <c r="AR49" i="5" s="1"/>
  <c r="AS49" i="5" s="1"/>
  <c r="AT49" i="5" s="1"/>
  <c r="AU49" i="5" s="1"/>
  <c r="AL49" i="5"/>
  <c r="AK49" i="5"/>
  <c r="AJ49" i="5"/>
  <c r="Y49" i="5"/>
  <c r="K49" i="5"/>
  <c r="AZ49" i="5" s="1"/>
  <c r="H49" i="5"/>
  <c r="G49" i="5"/>
  <c r="AK48" i="5"/>
  <c r="AL48" i="5" s="1"/>
  <c r="AM48" i="5" s="1"/>
  <c r="AN48" i="5" s="1"/>
  <c r="AO48" i="5" s="1"/>
  <c r="AP48" i="5" s="1"/>
  <c r="AQ48" i="5" s="1"/>
  <c r="AR48" i="5" s="1"/>
  <c r="AS48" i="5" s="1"/>
  <c r="AT48" i="5" s="1"/>
  <c r="AU48" i="5" s="1"/>
  <c r="AJ48" i="5"/>
  <c r="Y48" i="5"/>
  <c r="H48" i="5"/>
  <c r="G48" i="5"/>
  <c r="K48" i="5" s="1"/>
  <c r="AJ47" i="5"/>
  <c r="AK47" i="5" s="1"/>
  <c r="AL47" i="5" s="1"/>
  <c r="AM47" i="5" s="1"/>
  <c r="AN47" i="5" s="1"/>
  <c r="AO47" i="5" s="1"/>
  <c r="AP47" i="5" s="1"/>
  <c r="AQ47" i="5" s="1"/>
  <c r="AR47" i="5" s="1"/>
  <c r="AS47" i="5" s="1"/>
  <c r="AT47" i="5" s="1"/>
  <c r="AU47" i="5" s="1"/>
  <c r="Y47" i="5"/>
  <c r="H47" i="5"/>
  <c r="G47" i="5"/>
  <c r="K47" i="5" s="1"/>
  <c r="AK46" i="5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J46" i="5"/>
  <c r="Y46" i="5"/>
  <c r="H46" i="5"/>
  <c r="G46" i="5"/>
  <c r="K46" i="5" s="1"/>
  <c r="AK45" i="5"/>
  <c r="AL45" i="5" s="1"/>
  <c r="AM45" i="5" s="1"/>
  <c r="AN45" i="5" s="1"/>
  <c r="AO45" i="5" s="1"/>
  <c r="AP45" i="5" s="1"/>
  <c r="AQ45" i="5" s="1"/>
  <c r="AR45" i="5" s="1"/>
  <c r="AS45" i="5" s="1"/>
  <c r="AT45" i="5" s="1"/>
  <c r="AU45" i="5" s="1"/>
  <c r="AJ45" i="5"/>
  <c r="Y45" i="5"/>
  <c r="H45" i="5"/>
  <c r="G45" i="5"/>
  <c r="K45" i="5" s="1"/>
  <c r="AK44" i="5"/>
  <c r="AL44" i="5" s="1"/>
  <c r="AM44" i="5" s="1"/>
  <c r="AN44" i="5" s="1"/>
  <c r="AO44" i="5" s="1"/>
  <c r="AP44" i="5" s="1"/>
  <c r="AQ44" i="5" s="1"/>
  <c r="AR44" i="5" s="1"/>
  <c r="AS44" i="5" s="1"/>
  <c r="AT44" i="5" s="1"/>
  <c r="AU44" i="5" s="1"/>
  <c r="AJ44" i="5"/>
  <c r="Y44" i="5"/>
  <c r="H44" i="5"/>
  <c r="G44" i="5"/>
  <c r="K44" i="5" s="1"/>
  <c r="AK43" i="5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J43" i="5"/>
  <c r="Y43" i="5"/>
  <c r="K43" i="5"/>
  <c r="AZ43" i="5" s="1"/>
  <c r="H43" i="5"/>
  <c r="G43" i="5"/>
  <c r="AM42" i="5"/>
  <c r="AN42" i="5" s="1"/>
  <c r="AO42" i="5" s="1"/>
  <c r="AP42" i="5" s="1"/>
  <c r="AQ42" i="5" s="1"/>
  <c r="AR42" i="5" s="1"/>
  <c r="AS42" i="5" s="1"/>
  <c r="AT42" i="5" s="1"/>
  <c r="AU42" i="5" s="1"/>
  <c r="AL42" i="5"/>
  <c r="AK42" i="5"/>
  <c r="AJ42" i="5"/>
  <c r="Y42" i="5"/>
  <c r="K42" i="5"/>
  <c r="AZ42" i="5" s="1"/>
  <c r="H42" i="5"/>
  <c r="G42" i="5"/>
  <c r="AK41" i="5"/>
  <c r="AL41" i="5" s="1"/>
  <c r="AM41" i="5" s="1"/>
  <c r="AN41" i="5" s="1"/>
  <c r="AO41" i="5" s="1"/>
  <c r="AP41" i="5" s="1"/>
  <c r="AQ41" i="5" s="1"/>
  <c r="AR41" i="5" s="1"/>
  <c r="AS41" i="5" s="1"/>
  <c r="AT41" i="5" s="1"/>
  <c r="AU41" i="5" s="1"/>
  <c r="AJ41" i="5"/>
  <c r="Y41" i="5"/>
  <c r="H41" i="5"/>
  <c r="G41" i="5"/>
  <c r="K41" i="5" s="1"/>
  <c r="N37" i="5"/>
  <c r="N36" i="5"/>
  <c r="N35" i="5"/>
  <c r="N34" i="5"/>
  <c r="H34" i="5"/>
  <c r="F34" i="5"/>
  <c r="N33" i="5"/>
  <c r="G33" i="5"/>
  <c r="N32" i="5"/>
  <c r="F32" i="5"/>
  <c r="N31" i="5"/>
  <c r="K31" i="5"/>
  <c r="H31" i="5"/>
  <c r="G31" i="5"/>
  <c r="F31" i="5"/>
  <c r="N30" i="5"/>
  <c r="H30" i="5"/>
  <c r="G30" i="5"/>
  <c r="F30" i="5"/>
  <c r="N29" i="5"/>
  <c r="K29" i="5"/>
  <c r="G29" i="5"/>
  <c r="N28" i="5"/>
  <c r="H28" i="5"/>
  <c r="G28" i="5"/>
  <c r="F28" i="5"/>
  <c r="N27" i="5"/>
  <c r="H27" i="5"/>
  <c r="G27" i="5"/>
  <c r="N26" i="5"/>
  <c r="K26" i="5"/>
  <c r="H26" i="5"/>
  <c r="G26" i="5"/>
  <c r="F26" i="5"/>
  <c r="N25" i="5"/>
  <c r="H25" i="5"/>
  <c r="G25" i="5"/>
  <c r="F25" i="5"/>
  <c r="N24" i="5"/>
  <c r="K24" i="5"/>
  <c r="H24" i="5"/>
  <c r="G24" i="5"/>
  <c r="F24" i="5"/>
  <c r="AK20" i="5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J20" i="5"/>
  <c r="Y20" i="5"/>
  <c r="H20" i="5"/>
  <c r="H37" i="5" s="1"/>
  <c r="G20" i="5"/>
  <c r="AN19" i="5"/>
  <c r="AO19" i="5" s="1"/>
  <c r="AP19" i="5" s="1"/>
  <c r="AQ19" i="5" s="1"/>
  <c r="AR19" i="5" s="1"/>
  <c r="AS19" i="5" s="1"/>
  <c r="AT19" i="5" s="1"/>
  <c r="AU19" i="5" s="1"/>
  <c r="AK19" i="5"/>
  <c r="AL19" i="5" s="1"/>
  <c r="AM19" i="5" s="1"/>
  <c r="AJ19" i="5"/>
  <c r="Y19" i="5"/>
  <c r="H19" i="5"/>
  <c r="G19" i="5"/>
  <c r="G36" i="5" s="1"/>
  <c r="AJ18" i="5"/>
  <c r="Y18" i="5"/>
  <c r="K18" i="5"/>
  <c r="H18" i="5"/>
  <c r="H35" i="5" s="1"/>
  <c r="G18" i="5"/>
  <c r="G35" i="5" s="1"/>
  <c r="AJ17" i="5"/>
  <c r="Y17" i="5"/>
  <c r="H17" i="5"/>
  <c r="G17" i="5"/>
  <c r="K17" i="5" s="1"/>
  <c r="AJ16" i="5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Y16" i="5"/>
  <c r="M16" i="5"/>
  <c r="K16" i="5"/>
  <c r="H16" i="5"/>
  <c r="H33" i="5" s="1"/>
  <c r="G16" i="5"/>
  <c r="BE15" i="5"/>
  <c r="AN15" i="5"/>
  <c r="AO15" i="5" s="1"/>
  <c r="AP15" i="5" s="1"/>
  <c r="AQ15" i="5" s="1"/>
  <c r="AR15" i="5" s="1"/>
  <c r="AS15" i="5" s="1"/>
  <c r="AT15" i="5" s="1"/>
  <c r="AU15" i="5" s="1"/>
  <c r="AJ15" i="5"/>
  <c r="AK15" i="5" s="1"/>
  <c r="AL15" i="5" s="1"/>
  <c r="AM15" i="5" s="1"/>
  <c r="Y15" i="5"/>
  <c r="L15" i="5"/>
  <c r="H15" i="5"/>
  <c r="G15" i="5"/>
  <c r="K15" i="5" s="1"/>
  <c r="BE14" i="5"/>
  <c r="AK14" i="5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J14" i="5"/>
  <c r="Y14" i="5"/>
  <c r="L14" i="5"/>
  <c r="H14" i="5"/>
  <c r="G14" i="5"/>
  <c r="K14" i="5" s="1"/>
  <c r="BE13" i="5"/>
  <c r="AJ13" i="5"/>
  <c r="Y13" i="5"/>
  <c r="H13" i="5"/>
  <c r="K13" i="5" s="1"/>
  <c r="G13" i="5"/>
  <c r="BB12" i="5"/>
  <c r="AL12" i="5"/>
  <c r="AM12" i="5" s="1"/>
  <c r="AN12" i="5" s="1"/>
  <c r="AO12" i="5" s="1"/>
  <c r="AP12" i="5" s="1"/>
  <c r="AQ12" i="5" s="1"/>
  <c r="AR12" i="5" s="1"/>
  <c r="AS12" i="5" s="1"/>
  <c r="AT12" i="5" s="1"/>
  <c r="AU12" i="5" s="1"/>
  <c r="AJ12" i="5"/>
  <c r="AK12" i="5" s="1"/>
  <c r="Y12" i="5"/>
  <c r="Q12" i="5"/>
  <c r="H12" i="5"/>
  <c r="H29" i="5" s="1"/>
  <c r="G12" i="5"/>
  <c r="K12" i="5" s="1"/>
  <c r="M12" i="5" s="1"/>
  <c r="P12" i="5" s="1"/>
  <c r="P29" i="5" s="1"/>
  <c r="BE11" i="5"/>
  <c r="AJ11" i="5"/>
  <c r="Y11" i="5"/>
  <c r="H11" i="5"/>
  <c r="K11" i="5" s="1"/>
  <c r="G11" i="5"/>
  <c r="AJ10" i="5"/>
  <c r="AK10" i="5" s="1"/>
  <c r="AL10" i="5" s="1"/>
  <c r="AM10" i="5" s="1"/>
  <c r="AN10" i="5" s="1"/>
  <c r="AO10" i="5" s="1"/>
  <c r="AP10" i="5" s="1"/>
  <c r="AQ10" i="5" s="1"/>
  <c r="AR10" i="5" s="1"/>
  <c r="AS10" i="5" s="1"/>
  <c r="AT10" i="5" s="1"/>
  <c r="AU10" i="5" s="1"/>
  <c r="Y10" i="5"/>
  <c r="H10" i="5"/>
  <c r="G10" i="5"/>
  <c r="K10" i="5" s="1"/>
  <c r="M10" i="5" s="1"/>
  <c r="AJ9" i="5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Y9" i="5"/>
  <c r="H9" i="5"/>
  <c r="K9" i="5" s="1"/>
  <c r="G9" i="5"/>
  <c r="AZ8" i="5"/>
  <c r="AJ8" i="5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Y8" i="5"/>
  <c r="P8" i="5"/>
  <c r="Q8" i="5" s="1"/>
  <c r="H8" i="5"/>
  <c r="G8" i="5"/>
  <c r="K8" i="5" s="1"/>
  <c r="M8" i="5" s="1"/>
  <c r="AJ7" i="5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Y7" i="5"/>
  <c r="H7" i="5"/>
  <c r="G7" i="5"/>
  <c r="K7" i="5" s="1"/>
  <c r="F47" i="2"/>
  <c r="G47" i="2" s="1"/>
  <c r="H47" i="2" s="1"/>
  <c r="I47" i="2" s="1"/>
  <c r="J47" i="2" s="1"/>
  <c r="K47" i="2" s="1"/>
  <c r="L47" i="2" s="1"/>
  <c r="M47" i="2" s="1"/>
  <c r="N47" i="2" s="1"/>
  <c r="O47" i="2" s="1"/>
  <c r="E47" i="2"/>
  <c r="C47" i="2"/>
  <c r="E46" i="2"/>
  <c r="F46" i="2" s="1"/>
  <c r="G46" i="2" s="1"/>
  <c r="H46" i="2" s="1"/>
  <c r="I46" i="2" s="1"/>
  <c r="J46" i="2" s="1"/>
  <c r="K46" i="2" s="1"/>
  <c r="L46" i="2" s="1"/>
  <c r="M46" i="2" s="1"/>
  <c r="N46" i="2" s="1"/>
  <c r="O46" i="2" s="1"/>
  <c r="C46" i="2"/>
  <c r="N45" i="2"/>
  <c r="O45" i="2" s="1"/>
  <c r="E45" i="2"/>
  <c r="F45" i="2" s="1"/>
  <c r="G45" i="2" s="1"/>
  <c r="H45" i="2" s="1"/>
  <c r="I45" i="2" s="1"/>
  <c r="J45" i="2" s="1"/>
  <c r="K45" i="2" s="1"/>
  <c r="L45" i="2" s="1"/>
  <c r="M45" i="2" s="1"/>
  <c r="C45" i="2"/>
  <c r="F44" i="2"/>
  <c r="G44" i="2" s="1"/>
  <c r="H44" i="2" s="1"/>
  <c r="I44" i="2" s="1"/>
  <c r="J44" i="2" s="1"/>
  <c r="K44" i="2" s="1"/>
  <c r="L44" i="2" s="1"/>
  <c r="M44" i="2" s="1"/>
  <c r="N44" i="2" s="1"/>
  <c r="O44" i="2" s="1"/>
  <c r="E44" i="2"/>
  <c r="C44" i="2"/>
  <c r="I43" i="2"/>
  <c r="J43" i="2" s="1"/>
  <c r="K43" i="2" s="1"/>
  <c r="L43" i="2" s="1"/>
  <c r="M43" i="2" s="1"/>
  <c r="N43" i="2" s="1"/>
  <c r="O43" i="2" s="1"/>
  <c r="H43" i="2"/>
  <c r="G43" i="2"/>
  <c r="E43" i="2"/>
  <c r="F43" i="2" s="1"/>
  <c r="C43" i="2"/>
  <c r="J42" i="2"/>
  <c r="K42" i="2" s="1"/>
  <c r="L42" i="2" s="1"/>
  <c r="M42" i="2" s="1"/>
  <c r="N42" i="2" s="1"/>
  <c r="O42" i="2" s="1"/>
  <c r="F42" i="2"/>
  <c r="G42" i="2" s="1"/>
  <c r="H42" i="2" s="1"/>
  <c r="I42" i="2" s="1"/>
  <c r="E42" i="2"/>
  <c r="C42" i="2"/>
  <c r="E41" i="2"/>
  <c r="F41" i="2" s="1"/>
  <c r="G41" i="2" s="1"/>
  <c r="H41" i="2" s="1"/>
  <c r="I41" i="2" s="1"/>
  <c r="J41" i="2" s="1"/>
  <c r="K41" i="2" s="1"/>
  <c r="L41" i="2" s="1"/>
  <c r="M41" i="2" s="1"/>
  <c r="N41" i="2" s="1"/>
  <c r="O41" i="2" s="1"/>
  <c r="C41" i="2"/>
  <c r="E40" i="2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C40" i="2"/>
  <c r="E36" i="2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C36" i="2"/>
  <c r="E35" i="2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C35" i="2"/>
  <c r="E34" i="2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C34" i="2"/>
  <c r="H33" i="2"/>
  <c r="I33" i="2" s="1"/>
  <c r="J33" i="2" s="1"/>
  <c r="K33" i="2" s="1"/>
  <c r="L33" i="2" s="1"/>
  <c r="M33" i="2" s="1"/>
  <c r="N33" i="2" s="1"/>
  <c r="O33" i="2" s="1"/>
  <c r="E33" i="2"/>
  <c r="F33" i="2" s="1"/>
  <c r="G33" i="2" s="1"/>
  <c r="C33" i="2"/>
  <c r="E32" i="2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C32" i="2"/>
  <c r="L31" i="2"/>
  <c r="M31" i="2" s="1"/>
  <c r="N31" i="2" s="1"/>
  <c r="O31" i="2" s="1"/>
  <c r="E31" i="2"/>
  <c r="F31" i="2" s="1"/>
  <c r="G31" i="2" s="1"/>
  <c r="H31" i="2" s="1"/>
  <c r="I31" i="2" s="1"/>
  <c r="J31" i="2" s="1"/>
  <c r="K31" i="2" s="1"/>
  <c r="C31" i="2"/>
  <c r="E30" i="2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C30" i="2"/>
  <c r="F29" i="2"/>
  <c r="G29" i="2" s="1"/>
  <c r="H29" i="2" s="1"/>
  <c r="I29" i="2" s="1"/>
  <c r="J29" i="2" s="1"/>
  <c r="K29" i="2" s="1"/>
  <c r="L29" i="2" s="1"/>
  <c r="M29" i="2" s="1"/>
  <c r="N29" i="2" s="1"/>
  <c r="O29" i="2" s="1"/>
  <c r="E29" i="2"/>
  <c r="C29" i="2"/>
  <c r="E25" i="2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C25" i="2"/>
  <c r="E24" i="2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C24" i="2"/>
  <c r="L23" i="2"/>
  <c r="M23" i="2" s="1"/>
  <c r="N23" i="2" s="1"/>
  <c r="O23" i="2" s="1"/>
  <c r="E23" i="2"/>
  <c r="F23" i="2" s="1"/>
  <c r="G23" i="2" s="1"/>
  <c r="H23" i="2" s="1"/>
  <c r="I23" i="2" s="1"/>
  <c r="J23" i="2" s="1"/>
  <c r="K23" i="2" s="1"/>
  <c r="C23" i="2"/>
  <c r="I22" i="2"/>
  <c r="J22" i="2" s="1"/>
  <c r="K22" i="2" s="1"/>
  <c r="L22" i="2" s="1"/>
  <c r="M22" i="2" s="1"/>
  <c r="N22" i="2" s="1"/>
  <c r="O22" i="2" s="1"/>
  <c r="E22" i="2"/>
  <c r="F22" i="2" s="1"/>
  <c r="G22" i="2" s="1"/>
  <c r="H22" i="2" s="1"/>
  <c r="C22" i="2"/>
  <c r="G21" i="2"/>
  <c r="H21" i="2" s="1"/>
  <c r="I21" i="2" s="1"/>
  <c r="J21" i="2" s="1"/>
  <c r="K21" i="2" s="1"/>
  <c r="L21" i="2" s="1"/>
  <c r="M21" i="2" s="1"/>
  <c r="N21" i="2" s="1"/>
  <c r="O21" i="2" s="1"/>
  <c r="F21" i="2"/>
  <c r="E21" i="2"/>
  <c r="C21" i="2"/>
  <c r="I20" i="2"/>
  <c r="J20" i="2" s="1"/>
  <c r="K20" i="2" s="1"/>
  <c r="L20" i="2" s="1"/>
  <c r="M20" i="2" s="1"/>
  <c r="N20" i="2" s="1"/>
  <c r="O20" i="2" s="1"/>
  <c r="E20" i="2"/>
  <c r="F20" i="2" s="1"/>
  <c r="G20" i="2" s="1"/>
  <c r="H20" i="2" s="1"/>
  <c r="C20" i="2"/>
  <c r="F19" i="2"/>
  <c r="G19" i="2" s="1"/>
  <c r="H19" i="2" s="1"/>
  <c r="I19" i="2" s="1"/>
  <c r="J19" i="2" s="1"/>
  <c r="K19" i="2" s="1"/>
  <c r="L19" i="2" s="1"/>
  <c r="M19" i="2" s="1"/>
  <c r="N19" i="2" s="1"/>
  <c r="O19" i="2" s="1"/>
  <c r="E19" i="2"/>
  <c r="C19" i="2"/>
  <c r="E18" i="2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C18" i="2"/>
  <c r="AA13" i="1"/>
  <c r="O13" i="1"/>
  <c r="AE13" i="1" s="1"/>
  <c r="AF13" i="1" s="1"/>
  <c r="AI13" i="1" s="1"/>
  <c r="J13" i="1"/>
  <c r="AA12" i="1"/>
  <c r="O12" i="1"/>
  <c r="J12" i="1"/>
  <c r="AE12" i="1" s="1"/>
  <c r="AF12" i="1" s="1"/>
  <c r="AA11" i="1"/>
  <c r="O11" i="1"/>
  <c r="J11" i="1"/>
  <c r="AA10" i="1"/>
  <c r="O10" i="1"/>
  <c r="J10" i="1"/>
  <c r="AE10" i="1" s="1"/>
  <c r="AF10" i="1" s="1"/>
  <c r="AA9" i="1"/>
  <c r="O9" i="1"/>
  <c r="J9" i="1"/>
  <c r="AE9" i="1" s="1"/>
  <c r="AF9" i="1" s="1"/>
  <c r="AI8" i="1"/>
  <c r="AA8" i="1"/>
  <c r="O8" i="1"/>
  <c r="J8" i="1"/>
  <c r="AE8" i="1" s="1"/>
  <c r="AF8" i="1" s="1"/>
  <c r="AJ8" i="1" s="1"/>
  <c r="AE7" i="1"/>
  <c r="AF7" i="1" s="1"/>
  <c r="AA7" i="1"/>
  <c r="O7" i="1"/>
  <c r="J7" i="1"/>
  <c r="AA6" i="1"/>
  <c r="O6" i="1"/>
  <c r="J6" i="1"/>
  <c r="AE6" i="1" s="1"/>
  <c r="AF6" i="1" s="1"/>
  <c r="AJ6" i="1" l="1"/>
  <c r="AI6" i="1"/>
  <c r="M27" i="5"/>
  <c r="P10" i="5"/>
  <c r="AJ9" i="1"/>
  <c r="AI9" i="1"/>
  <c r="Q70" i="5"/>
  <c r="AZ11" i="5"/>
  <c r="M11" i="5"/>
  <c r="P11" i="5" s="1"/>
  <c r="Q11" i="5" s="1"/>
  <c r="BB17" i="5"/>
  <c r="AK17" i="5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M66" i="5"/>
  <c r="P66" i="5" s="1"/>
  <c r="Q66" i="5" s="1"/>
  <c r="AZ66" i="5"/>
  <c r="AZ59" i="5"/>
  <c r="M59" i="5"/>
  <c r="P59" i="5" s="1"/>
  <c r="Q59" i="5" s="1"/>
  <c r="AI7" i="1"/>
  <c r="AJ7" i="1"/>
  <c r="AJ12" i="1"/>
  <c r="AI12" i="1"/>
  <c r="AK13" i="5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Z15" i="5"/>
  <c r="M15" i="5"/>
  <c r="P15" i="5" s="1"/>
  <c r="Q15" i="5" s="1"/>
  <c r="BB8" i="5"/>
  <c r="AB8" i="5"/>
  <c r="BD8" i="5"/>
  <c r="AA8" i="5"/>
  <c r="R25" i="5"/>
  <c r="K35" i="5"/>
  <c r="AZ18" i="5"/>
  <c r="M18" i="5"/>
  <c r="AJ13" i="1"/>
  <c r="BB11" i="5"/>
  <c r="AJ10" i="1"/>
  <c r="AI10" i="1"/>
  <c r="AZ7" i="5"/>
  <c r="M7" i="5"/>
  <c r="P7" i="5" s="1"/>
  <c r="Q7" i="5" s="1"/>
  <c r="AZ9" i="5"/>
  <c r="M9" i="5"/>
  <c r="P9" i="5" s="1"/>
  <c r="Q9" i="5" s="1"/>
  <c r="AZ14" i="5"/>
  <c r="M14" i="5"/>
  <c r="P14" i="5" s="1"/>
  <c r="Q14" i="5" s="1"/>
  <c r="R29" i="5"/>
  <c r="Q29" i="5"/>
  <c r="S29" i="5" s="1"/>
  <c r="AA12" i="5"/>
  <c r="BD12" i="5"/>
  <c r="AB12" i="5"/>
  <c r="M17" i="5"/>
  <c r="P17" i="5" s="1"/>
  <c r="Q17" i="5" s="1"/>
  <c r="AZ17" i="5"/>
  <c r="H36" i="5"/>
  <c r="K19" i="5"/>
  <c r="AZ13" i="5"/>
  <c r="M13" i="5"/>
  <c r="P13" i="5" s="1"/>
  <c r="Q13" i="5" s="1"/>
  <c r="M33" i="5"/>
  <c r="P16" i="5"/>
  <c r="AZ10" i="5"/>
  <c r="K27" i="5"/>
  <c r="AE11" i="1"/>
  <c r="AF11" i="1" s="1"/>
  <c r="AZ55" i="5"/>
  <c r="M55" i="5"/>
  <c r="P55" i="5" s="1"/>
  <c r="Q55" i="5" s="1"/>
  <c r="M29" i="5"/>
  <c r="K25" i="5"/>
  <c r="AZ46" i="5"/>
  <c r="M46" i="5"/>
  <c r="M51" i="5"/>
  <c r="P51" i="5" s="1"/>
  <c r="Q51" i="5" s="1"/>
  <c r="AZ51" i="5"/>
  <c r="M71" i="5"/>
  <c r="P71" i="5" s="1"/>
  <c r="Q71" i="5" s="1"/>
  <c r="AZ71" i="5"/>
  <c r="K34" i="5"/>
  <c r="M74" i="5"/>
  <c r="P74" i="5" s="1"/>
  <c r="Q74" i="5" s="1"/>
  <c r="AZ74" i="5"/>
  <c r="M41" i="5"/>
  <c r="AZ41" i="5"/>
  <c r="AK11" i="5"/>
  <c r="AL11" i="5" s="1"/>
  <c r="AM11" i="5" s="1"/>
  <c r="AN11" i="5" s="1"/>
  <c r="AO11" i="5" s="1"/>
  <c r="AP11" i="5" s="1"/>
  <c r="AQ11" i="5" s="1"/>
  <c r="AR11" i="5" s="1"/>
  <c r="AS11" i="5" s="1"/>
  <c r="AT11" i="5" s="1"/>
  <c r="AU11" i="5" s="1"/>
  <c r="AZ12" i="5"/>
  <c r="AZ16" i="5"/>
  <c r="K33" i="5"/>
  <c r="K28" i="5"/>
  <c r="M57" i="5"/>
  <c r="AZ57" i="5"/>
  <c r="M61" i="5"/>
  <c r="K30" i="5"/>
  <c r="AZ61" i="5"/>
  <c r="AZ62" i="5"/>
  <c r="M62" i="5"/>
  <c r="P62" i="5" s="1"/>
  <c r="Q62" i="5" s="1"/>
  <c r="AZ68" i="5"/>
  <c r="M68" i="5"/>
  <c r="P68" i="5" s="1"/>
  <c r="Q68" i="5" s="1"/>
  <c r="AZ72" i="5"/>
  <c r="M72" i="5"/>
  <c r="P72" i="5" s="1"/>
  <c r="Q72" i="5" s="1"/>
  <c r="AZ58" i="5"/>
  <c r="M58" i="5"/>
  <c r="P58" i="5" s="1"/>
  <c r="Q58" i="5" s="1"/>
  <c r="AZ65" i="5"/>
  <c r="M65" i="5"/>
  <c r="P65" i="5" s="1"/>
  <c r="Q65" i="5" s="1"/>
  <c r="M52" i="5"/>
  <c r="P52" i="5" s="1"/>
  <c r="Q52" i="5" s="1"/>
  <c r="AZ52" i="5"/>
  <c r="M44" i="5"/>
  <c r="P44" i="5" s="1"/>
  <c r="Q44" i="5" s="1"/>
  <c r="AZ44" i="5"/>
  <c r="AZ67" i="5"/>
  <c r="M67" i="5"/>
  <c r="P67" i="5" s="1"/>
  <c r="Q67" i="5" s="1"/>
  <c r="G37" i="5"/>
  <c r="K20" i="5"/>
  <c r="K32" i="5"/>
  <c r="M75" i="5"/>
  <c r="P75" i="5" s="1"/>
  <c r="Q75" i="5" s="1"/>
  <c r="AZ75" i="5"/>
  <c r="AZ45" i="5"/>
  <c r="M45" i="5"/>
  <c r="P45" i="5" s="1"/>
  <c r="Q45" i="5" s="1"/>
  <c r="M48" i="5"/>
  <c r="P48" i="5" s="1"/>
  <c r="Q48" i="5" s="1"/>
  <c r="AZ48" i="5"/>
  <c r="BB58" i="5"/>
  <c r="AZ54" i="5"/>
  <c r="M54" i="5"/>
  <c r="P54" i="5" s="1"/>
  <c r="Q54" i="5" s="1"/>
  <c r="AK18" i="5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Z47" i="5"/>
  <c r="M47" i="5"/>
  <c r="P47" i="5" s="1"/>
  <c r="Q47" i="5" s="1"/>
  <c r="AZ63" i="5"/>
  <c r="M63" i="5"/>
  <c r="AZ73" i="5"/>
  <c r="M73" i="5"/>
  <c r="P73" i="5" s="1"/>
  <c r="Q73" i="5" s="1"/>
  <c r="BB62" i="5"/>
  <c r="M34" i="5"/>
  <c r="M43" i="5"/>
  <c r="P43" i="5" s="1"/>
  <c r="Q43" i="5" s="1"/>
  <c r="M50" i="5"/>
  <c r="M64" i="5"/>
  <c r="BB74" i="5"/>
  <c r="M42" i="5"/>
  <c r="P42" i="5" s="1"/>
  <c r="Q42" i="5" s="1"/>
  <c r="M49" i="5"/>
  <c r="P49" i="5" s="1"/>
  <c r="Q49" i="5" s="1"/>
  <c r="M53" i="5"/>
  <c r="P53" i="5" s="1"/>
  <c r="Q53" i="5" s="1"/>
  <c r="M76" i="5"/>
  <c r="P76" i="5" s="1"/>
  <c r="Q76" i="5" s="1"/>
  <c r="AZ64" i="5"/>
  <c r="G32" i="5"/>
  <c r="BB59" i="5"/>
  <c r="R26" i="5" l="1"/>
  <c r="AB9" i="5"/>
  <c r="BB9" i="5"/>
  <c r="BD9" i="5"/>
  <c r="AA9" i="5"/>
  <c r="AA52" i="5"/>
  <c r="BD52" i="5"/>
  <c r="AB52" i="5"/>
  <c r="AA13" i="5"/>
  <c r="BD13" i="5"/>
  <c r="R30" i="5"/>
  <c r="AB13" i="5"/>
  <c r="BD65" i="5"/>
  <c r="AB65" i="5"/>
  <c r="AA65" i="5"/>
  <c r="R24" i="5"/>
  <c r="AB7" i="5"/>
  <c r="AA7" i="5"/>
  <c r="BD7" i="5"/>
  <c r="BB7" i="5"/>
  <c r="R32" i="5"/>
  <c r="AB15" i="5"/>
  <c r="AA15" i="5"/>
  <c r="BD15" i="5"/>
  <c r="BD76" i="5"/>
  <c r="AB76" i="5"/>
  <c r="AA76" i="5"/>
  <c r="AB45" i="5"/>
  <c r="AA45" i="5"/>
  <c r="BD45" i="5"/>
  <c r="P57" i="5"/>
  <c r="M28" i="5"/>
  <c r="BD51" i="5"/>
  <c r="AB51" i="5"/>
  <c r="AA51" i="5"/>
  <c r="K36" i="5"/>
  <c r="AZ19" i="5"/>
  <c r="M19" i="5"/>
  <c r="AA11" i="5"/>
  <c r="R28" i="5"/>
  <c r="AB11" i="5"/>
  <c r="BD11" i="5"/>
  <c r="BD44" i="5"/>
  <c r="BB44" i="5"/>
  <c r="AB44" i="5"/>
  <c r="AA44" i="5"/>
  <c r="BD66" i="5"/>
  <c r="AB66" i="5"/>
  <c r="AA66" i="5"/>
  <c r="BD49" i="5"/>
  <c r="BB49" i="5"/>
  <c r="AB49" i="5"/>
  <c r="AA49" i="5"/>
  <c r="AA75" i="5"/>
  <c r="BD75" i="5"/>
  <c r="AB75" i="5"/>
  <c r="M35" i="5"/>
  <c r="P18" i="5"/>
  <c r="BD43" i="5"/>
  <c r="BB43" i="5"/>
  <c r="AB43" i="5"/>
  <c r="AA43" i="5"/>
  <c r="M30" i="5"/>
  <c r="P61" i="5"/>
  <c r="BD73" i="5"/>
  <c r="AB73" i="5"/>
  <c r="AA73" i="5"/>
  <c r="BD58" i="5"/>
  <c r="AB58" i="5"/>
  <c r="AA58" i="5"/>
  <c r="P46" i="5"/>
  <c r="M25" i="5"/>
  <c r="BD47" i="5"/>
  <c r="BB47" i="5"/>
  <c r="AB47" i="5"/>
  <c r="AA47" i="5"/>
  <c r="Q10" i="5"/>
  <c r="P27" i="5"/>
  <c r="BD71" i="5"/>
  <c r="AB71" i="5"/>
  <c r="AA71" i="5"/>
  <c r="BD48" i="5"/>
  <c r="BB48" i="5"/>
  <c r="AB48" i="5"/>
  <c r="AA48" i="5"/>
  <c r="BD53" i="5"/>
  <c r="AB53" i="5"/>
  <c r="AA53" i="5"/>
  <c r="P63" i="5"/>
  <c r="M31" i="5"/>
  <c r="P34" i="5"/>
  <c r="BB65" i="5"/>
  <c r="BD72" i="5"/>
  <c r="BB72" i="5"/>
  <c r="AB72" i="5"/>
  <c r="AA72" i="5"/>
  <c r="K37" i="5"/>
  <c r="M20" i="5"/>
  <c r="AZ20" i="5"/>
  <c r="BD68" i="5"/>
  <c r="AB68" i="5"/>
  <c r="AA68" i="5"/>
  <c r="M32" i="5"/>
  <c r="P64" i="5"/>
  <c r="AB67" i="5"/>
  <c r="AA67" i="5"/>
  <c r="BD67" i="5"/>
  <c r="P41" i="5"/>
  <c r="M24" i="5"/>
  <c r="AJ11" i="1"/>
  <c r="AI11" i="1"/>
  <c r="BD59" i="5"/>
  <c r="AB59" i="5"/>
  <c r="AA59" i="5"/>
  <c r="P33" i="5"/>
  <c r="Q16" i="5"/>
  <c r="P50" i="5"/>
  <c r="M26" i="5"/>
  <c r="BD70" i="5"/>
  <c r="BB70" i="5"/>
  <c r="AB70" i="5"/>
  <c r="AA70" i="5"/>
  <c r="Q34" i="5"/>
  <c r="S34" i="5" s="1"/>
  <c r="BB13" i="5"/>
  <c r="BD42" i="5"/>
  <c r="BB42" i="5"/>
  <c r="AB42" i="5"/>
  <c r="AA42" i="5"/>
  <c r="R34" i="5"/>
  <c r="AA17" i="5"/>
  <c r="BD17" i="5"/>
  <c r="AB17" i="5"/>
  <c r="BB15" i="5"/>
  <c r="BD55" i="5"/>
  <c r="AB55" i="5"/>
  <c r="AA55" i="5"/>
  <c r="BB71" i="5"/>
  <c r="AA62" i="5"/>
  <c r="BD62" i="5"/>
  <c r="AB62" i="5"/>
  <c r="BB73" i="5"/>
  <c r="BB66" i="5"/>
  <c r="BD54" i="5"/>
  <c r="AB54" i="5"/>
  <c r="AA54" i="5"/>
  <c r="BD74" i="5"/>
  <c r="AB74" i="5"/>
  <c r="AA74" i="5"/>
  <c r="R31" i="5"/>
  <c r="BD14" i="5"/>
  <c r="BB14" i="5"/>
  <c r="AB14" i="5"/>
  <c r="AA14" i="5"/>
  <c r="BB45" i="5"/>
  <c r="M37" i="5" l="1"/>
  <c r="P20" i="5"/>
  <c r="P32" i="5"/>
  <c r="Q64" i="5"/>
  <c r="Q63" i="5"/>
  <c r="P31" i="5"/>
  <c r="Q57" i="5"/>
  <c r="P28" i="5"/>
  <c r="Q50" i="5"/>
  <c r="P26" i="5"/>
  <c r="P35" i="5"/>
  <c r="Q18" i="5"/>
  <c r="Q41" i="5"/>
  <c r="P24" i="5"/>
  <c r="M36" i="5"/>
  <c r="P19" i="5"/>
  <c r="P30" i="5"/>
  <c r="Q61" i="5"/>
  <c r="Q27" i="5"/>
  <c r="S27" i="5" s="1"/>
  <c r="BD10" i="5"/>
  <c r="AB10" i="5"/>
  <c r="R27" i="5"/>
  <c r="AA10" i="5"/>
  <c r="BB10" i="5"/>
  <c r="AA16" i="5"/>
  <c r="R33" i="5"/>
  <c r="Q33" i="5"/>
  <c r="S33" i="5" s="1"/>
  <c r="BD16" i="5"/>
  <c r="BB16" i="5"/>
  <c r="AB16" i="5"/>
  <c r="Q46" i="5"/>
  <c r="P25" i="5"/>
  <c r="BD57" i="5" l="1"/>
  <c r="AB57" i="5"/>
  <c r="AA57" i="5"/>
  <c r="Q28" i="5"/>
  <c r="S28" i="5" s="1"/>
  <c r="BB57" i="5"/>
  <c r="BD61" i="5"/>
  <c r="AB61" i="5"/>
  <c r="AA61" i="5"/>
  <c r="Q30" i="5"/>
  <c r="S30" i="5" s="1"/>
  <c r="BB61" i="5"/>
  <c r="BD64" i="5"/>
  <c r="AB64" i="5"/>
  <c r="AA64" i="5"/>
  <c r="Q32" i="5"/>
  <c r="S32" i="5" s="1"/>
  <c r="BB64" i="5"/>
  <c r="BD41" i="5"/>
  <c r="BB41" i="5"/>
  <c r="AB41" i="5"/>
  <c r="AA41" i="5"/>
  <c r="Q24" i="5"/>
  <c r="S24" i="5" s="1"/>
  <c r="BD63" i="5"/>
  <c r="BB63" i="5"/>
  <c r="AB63" i="5"/>
  <c r="AA63" i="5"/>
  <c r="Q31" i="5"/>
  <c r="S31" i="5" s="1"/>
  <c r="AB18" i="5"/>
  <c r="AA18" i="5"/>
  <c r="R35" i="5"/>
  <c r="Q35" i="5"/>
  <c r="S35" i="5" s="1"/>
  <c r="BD18" i="5"/>
  <c r="BB18" i="5"/>
  <c r="Q26" i="5"/>
  <c r="S26" i="5" s="1"/>
  <c r="BD50" i="5"/>
  <c r="BB50" i="5"/>
  <c r="AB50" i="5"/>
  <c r="AA50" i="5"/>
  <c r="BD46" i="5"/>
  <c r="BB46" i="5"/>
  <c r="AB46" i="5"/>
  <c r="AA46" i="5"/>
  <c r="Q25" i="5"/>
  <c r="S25" i="5" s="1"/>
  <c r="Q19" i="5"/>
  <c r="P36" i="5"/>
  <c r="P37" i="5"/>
  <c r="Q20" i="5"/>
  <c r="R36" i="5" l="1"/>
  <c r="Q36" i="5"/>
  <c r="S36" i="5" s="1"/>
  <c r="AA19" i="5"/>
  <c r="AB19" i="5"/>
  <c r="BD19" i="5"/>
  <c r="BB19" i="5"/>
  <c r="BD20" i="5"/>
  <c r="R37" i="5"/>
  <c r="Q37" i="5"/>
  <c r="S37" i="5" s="1"/>
  <c r="AB20" i="5"/>
  <c r="AA20" i="5"/>
  <c r="BB20" i="5"/>
</calcChain>
</file>

<file path=xl/sharedStrings.xml><?xml version="1.0" encoding="utf-8"?>
<sst xmlns="http://schemas.openxmlformats.org/spreadsheetml/2006/main" count="1202" uniqueCount="636">
  <si>
    <t>Egypt CBAM Products — Emission Factor Matrix (single table, full audit columns)  |  v1.2</t>
  </si>
  <si>
    <t>Single consolidated table (one row per product/route). Peer-review view with inline sources, confidence flags and EU comparators. For the aggregated → cross-check → disaggregated layout see the EF_combined tab. COLOUR CODE: S1.fc=pale teal | S1.fp=light blue | S1.np=green | S1.no=amber | S2=lavender | Totals=green | EU=purple. CONFIDENCE: 🟢 Auth | 🟡 Est | 🔴 Prox/corrected. BLUE=input. BLACK=formula. CBAM-eligible = Holistic − S2 for steel &amp; aluminium (Reg 2023/956 Annex II); = Holistic for cement &amp; fertilisers. v1.1 corrections: DRI-EAF NG 29→12.3 GJ/t; Scrap-EAF S2 4.5→2.0; AN N₂O 2.500→0.970; Al PFC 0.700→0.850.</t>
  </si>
  <si>
    <t>PRODUCT IDENTITY + CN CODES</t>
  </si>
  <si>
    <t>S1.fc  COMBUSTION CO₂</t>
  </si>
  <si>
    <t>S1.fp  PROCESS FUEL CO₂  (reductant / feedstock)</t>
  </si>
  <si>
    <t>S1.np  NON-FUEL PROCESS CO₂</t>
  </si>
  <si>
    <t>S1.no  NON-CO₂ GHGs  (N₂O, PFCs)</t>
  </si>
  <si>
    <t>S2  ELECTRICITY</t>
  </si>
  <si>
    <t>NH₃</t>
  </si>
  <si>
    <t>TOTALS (tCO₂e/t)</t>
  </si>
  <si>
    <t>EU REGULATORY</t>
  </si>
  <si>
    <t>AUDIT TRAIL</t>
  </si>
  <si>
    <t>Level 1</t>
  </si>
  <si>
    <t>Level 2</t>
  </si>
  <si>
    <t>Level 3</t>
  </si>
  <si>
    <t>CN codes</t>
  </si>
  <si>
    <t>Route</t>
  </si>
  <si>
    <t>Unit</t>
  </si>
  <si>
    <t>Fuel</t>
  </si>
  <si>
    <t>GJ/t</t>
  </si>
  <si>
    <t>EF kgCO₂/GJ</t>
  </si>
  <si>
    <t>tCO₂/t</t>
  </si>
  <si>
    <t>Confidence / source</t>
  </si>
  <si>
    <t>Fuel / role</t>
  </si>
  <si>
    <t>Basis</t>
  </si>
  <si>
    <t>IPCC ref</t>
  </si>
  <si>
    <t>Confidence</t>
  </si>
  <si>
    <t>Gas</t>
  </si>
  <si>
    <t>GWP100 (AR6)</t>
  </si>
  <si>
    <t>tCO₂e/t</t>
  </si>
  <si>
    <t>Confidence / range</t>
  </si>
  <si>
    <t>Grid EF tCO₂/MWh</t>
  </si>
  <si>
    <t>In CBAM scope?</t>
  </si>
  <si>
    <t>NH₃ content (t/t)</t>
  </si>
  <si>
    <t>Net NH₃ note</t>
  </si>
  <si>
    <t>Holistic tCO₂e/t</t>
  </si>
  <si>
    <t>CBAM-eligible tCO₂e/t</t>
  </si>
  <si>
    <t>EU default pre-markup (IR 2025/2621)</t>
  </si>
  <si>
    <t>EU benchmark (IR 2025/2620)</t>
  </si>
  <si>
    <t>Gap: model − default</t>
  </si>
  <si>
    <t>Gap: model − bench</t>
  </si>
  <si>
    <t>Primary source(s)</t>
  </si>
  <si>
    <t>Data year</t>
  </si>
  <si>
    <t>Auth note + key uncertainties</t>
  </si>
  <si>
    <t>Primary steel</t>
  </si>
  <si>
    <t>DRI-EAF steel</t>
  </si>
  <si>
    <t>DRI-EAF — NG-based Midrex shaft furnace + EAF (Ezz Steel, Suez Steel, Beshay)</t>
  </si>
  <si>
    <t>7207 10 (D); 7207 12 (D); 7208/7209 flat (partial); 7214 rebar</t>
  </si>
  <si>
    <t>Midrex NG shaft furnace → hot DRI → EAF</t>
  </si>
  <si>
    <t>t crude steel</t>
  </si>
  <si>
    <t>see conf →</t>
  </si>
  <si>
    <t>🟡 Est: Midrex reformer fuel fraction ~20% of shaft NG (VDEh 2022); EAF burners/reheat included. Ezz actual total 11 mmBtu/tDRI × 1.08 = 12.5 GJ/t steel basis.</t>
  </si>
  <si>
    <t>🟡 Est: Midrex shaft reductant gas ~80% of NG input (Cavaliere 2019; VDEh 2022: 9.5–10.0 GJ/tDRI shaft). Ezz Steel actual 11 mmBtu/tDRI confirmed (Daily News Egypt 2019). Total Auth.</t>
  </si>
  <si>
    <t>EAF process: carbon electrodes (~6 kg/t × 3.7) + C injection (~4 kg/t × 3.5) + flux (~15 kg/t CaCO₃)</t>
  </si>
  <si>
    <t>IPCC 2006 2C1</t>
  </si>
  <si>
    <t>🟡 Est: IPCC 2006 Vol2 2C1 defaults for EAF electrodes + C injection + flux. Small vs NG terms.</t>
  </si>
  <si>
    <t>None</t>
  </si>
  <si>
    <t>—</t>
  </si>
  <si>
    <t>🟢 Auth: IPCC 2006 2C1 — non-CO₂ GHGs negligible for DRI-EAF</t>
  </si>
  <si>
    <t>NO — steel S2 excluded from CBAM (Reg 2023/956 Annex II)</t>
  </si>
  <si>
    <t>Ezz Steel / Daily News Egypt 2019 (11 mmBtu/tDRI actual); VDEh 2022 / Cavaliere 2019 (Midrex split); IPCC 2006 2C1; IEA Egypt 2024</t>
  </si>
  <si>
    <t>2019/2023</t>
  </si>
  <si>
    <t>CORRECTED v1.1: total NG 12.5 GJ/t steel (was 29.0 — 2.3× error). Ezz actual 11 mmBtu/tDRI = 11.61 GJ/tDRI × 1.08 = 12.5 GJ/t steel. S1 CBAM-eq ~0.82 tCO₂/t (was 1.63). Split reformer:shaft ~2.3:10.0 GJ/tDRI from VDEh/Cavaliere. WSA S1+2+S3 1.37–1.43 reconciles (S2=0.31 + upstream S3~0.15 + S1=0.82 ≈ 1.28; residual ~0.12 = downstream rolling in WSA boundary).</t>
  </si>
  <si>
    <t>Secondary steel</t>
  </si>
  <si>
    <t>Scrap-EAF steel</t>
  </si>
  <si>
    <t>Scrap-EAF — electric arc furnace, scrap charge (Ezz El-Dekheila, Beshay scrap lines)</t>
  </si>
  <si>
    <t>7206 10; 7207 10 (E); 7214 rebar; 7208 HRC (E-route); 7216 sections</t>
  </si>
  <si>
    <t>Scrap-EAF</t>
  </si>
  <si>
    <t>🟡 Est: IEA sector average; WSA 2023 scrap-EAF range 2–3 GJ/t NG (ladle heating, electrodes). Total Auth.</t>
  </si>
  <si>
    <t>🟢 Auth: no chemical reductant in scrap-EAF process</t>
  </si>
  <si>
    <t>Carbon in scrap (minor dissolution in EAF melt pool)</t>
  </si>
  <si>
    <t>🟡 Est: IPCC 2006 Vol2 2C1 default 0.01–0.02 tCO₂/t for scrap-EAF carbon</t>
  </si>
  <si>
    <t>🟢 Auth: IPCC 2006 2C1</t>
  </si>
  <si>
    <t>WSA Energy Use in the Steel Industry 2023; IEA World Energy Balances Egypt 2024</t>
  </si>
  <si>
    <t>2023/24</t>
  </si>
  <si>
    <t>CORRECTED v1.1: S2 revised from 4.5 to 2.0 GJ/t (0.56 MWh/t vs prior 1.25 MWh/t; typical scrap-EAF 0.5–0.7 MWh/t per IEA/WSA). CBAM-eligible 0.155 unaffected (S2 excluded for steel) but holistic S1+S2 corrected from 0.717 to 0.467 tCO₂/t.</t>
  </si>
  <si>
    <t>Reference steel</t>
  </si>
  <si>
    <t>BF-BOF steel (reference)</t>
  </si>
  <si>
    <t>BF-BOF — blast furnace + basic oxygen furnace (REFERENCE: zero Egypt production since 2021)</t>
  </si>
  <si>
    <t>7206 10 (C); 7207 10 (C); 7209 CR; 7208 HRC (C-route)</t>
  </si>
  <si>
    <t>BF-BOF coal/coke (global reference only)</t>
  </si>
  <si>
    <t>🔴 Prox: WSA 2023 global BF-BOF. CORRECTED v1.1: coal/coke EF 96.1 kgCO₂/GJ (was NG 56.1 — wrong fuel). No Egypt-specific data (Hadisolb liquidated 2021).</t>
  </si>
  <si>
    <t>🔴 Prox: WSA 2023 BF coke consumption standard. CORRECTED v1.1: coke EF 96.1 (was NG 56.1). Split within proxy total.</t>
  </si>
  <si>
    <t>Carbon dissolution in BOF: dissolved C in pig iron oxidised during O₂ blow</t>
  </si>
  <si>
    <t>IPCC 2006 Vol2 2C1</t>
  </si>
  <si>
    <t>🟢 Auth: IPCC 2006 Vol2 2C1 default 0.22–0.28 tCO₂/t crude steel</t>
  </si>
  <si>
    <t>WSA Energy Use in the Steel Industry 2023; IPCC 2006 Vol2 Ch2C1</t>
  </si>
  <si>
    <t>2023</t>
  </si>
  <si>
    <t>REFERENCE ROW — zero Egypt production (Hadisolb liquidated Jan 2021). CORRECTED v1.1: fuel EF corrected to coal/coke 96.1 from NG 56.1. S1 total now 1.930 tCO₂/t (was 2.172 — coincidentally in plausible range but wrong inputs). WSA global BF-BOF S1+2+S3 ~2.3 tCO₂/t. Proxy only.</t>
  </si>
  <si>
    <t>Cement</t>
  </si>
  <si>
    <t>Grey clinker (dry-process)</t>
  </si>
  <si>
    <t>Portland cement clinker — dry rotary kiln (Suez Portland, Helwan/Heidelberg, Arabian, Sinai)</t>
  </si>
  <si>
    <t>2523 10 (clinker); 2523 21; 2523 29 Portland cement</t>
  </si>
  <si>
    <t>Dry rotary kiln, coal/petcoke dominant fuel</t>
  </si>
  <si>
    <t>t clinker</t>
  </si>
  <si>
    <t>🟡 Est: IEA Egypt cement sector; GCCA GNR Egypt 2022. Total Auth (IEA/GCCA kiln energy ~3.0 GJ/t clinker dry process). Coal/petcoke blend EF 96.1 kgCO₂/GJ confirmed correct (was NG in v1.0 — already corrected in data module).</t>
  </si>
  <si>
    <t>🟢 Auth: cement has no chemical process reductant fuel</t>
  </si>
  <si>
    <t>CaCO₃ calcination: CaCO₃ → CaO + CO₂ (limestone decomposition in kiln — dominant emission)</t>
  </si>
  <si>
    <t>IPCC 2006 Vol2 2A1</t>
  </si>
  <si>
    <t>🟢 Auth: IPCC 2006 2A1 stoichiometric constant. 0.526 tCO₂/t clinker = standard internationally.</t>
  </si>
  <si>
    <t>🟢 Auth: cement process non-CO₂ GHGs negligible (IPCC 2006 2A1)</t>
  </si>
  <si>
    <t>YES — cement S2 included in CBAM (Reg 2023/956 Annex II)</t>
  </si>
  <si>
    <t>IPCC 2006 Vol2 Ch2A1; GCCA GNR 2022; IEA Egypt 2024; Heidelberg Materials Egypt SR 2023</t>
  </si>
  <si>
    <t>2022/23</t>
  </si>
  <si>
    <t>Calcination EF (S1.np=0.526) fully Auth — IPCC stoichiometric constant. Combustion total Auth (IEA/GCCA); coal:petcoke split and exact GJ/t Est. EF 96.1 kgCO₂/GJ for coal/petcoke blend (confirmed correct — minor correction from NG default in earlier iteration). CBAM-eq 0.871 tCO₂/t (S1+S2). GCCA GNR global avg 0.654; Egypt higher due to clinker ratio ~94%.</t>
  </si>
  <si>
    <t>Nitrogen fertilisers</t>
  </si>
  <si>
    <t>Ammonia (net merchant)</t>
  </si>
  <si>
    <t>Anhydrous ammonia — NG-based Haber-Bosch via SMR (EBIC/Fertiglobe, MOPCO, Abu Qir, EFC)</t>
  </si>
  <si>
    <t>2814 10 (anhydrous ammonia)</t>
  </si>
  <si>
    <t>Steam methane reforming (SMR) + Haber-Bosch synthesis</t>
  </si>
  <si>
    <t>t NH₃</t>
  </si>
  <si>
    <t>🟡 Est: IFA/EFMA BAT Vol.1; combustion ~6–8 GJ/t NH₃. Total Auth (IFA standard SMR 33–35 GJ/t NG).</t>
  </si>
  <si>
    <t>🟡 Est: IFA/EFMA BAT Vol.1 standard SMR feedstock ~24–28 GJ/t NH₃. Total Auth; combustion:feedstock split Est.</t>
  </si>
  <si>
    <t>None — Haber-Bosch synthesis (N₂ + 3H₂ → 2NH₃) contains no carbon</t>
  </si>
  <si>
    <t>IFA/EFMA; IPCC 2006 3B</t>
  </si>
  <si>
    <t>🟢 Auth: NH₃ synthesis has no carbon process emissions</t>
  </si>
  <si>
    <t>🟢 Auth</t>
  </si>
  <si>
    <t>YES — fertilisers S2 included in CBAM (Reg 2023/956 Annex II)</t>
  </si>
  <si>
    <t>Net NH₃ = gross − (urea×0.567) − (AN×0.213). See volumes sheet.</t>
  </si>
  <si>
    <t>IFA/EFMA BAT Pollution Prevention Vol.1 Ammonia; IPCC 2006 Vol2 3B; IEA Egypt 2024</t>
  </si>
  <si>
    <t>Total EF Auth (IFA/EFMA standard SMR 33–35 GJ/t; IEAGHG BAT 1.8 tCO₂/t direct). S1 = 1.851 tCO₂/t consistent with IEAGHG 2023 best-available SMR. 33 GJ/t appropriate for Egypt's older-vintage plants (Abu Qir, MOPCO). S2 small. NH₃ content in downstream products: urea 0.567 (2×17/60 molar); AN 0.213 (17/80 molar).</t>
  </si>
  <si>
    <t>Urea</t>
  </si>
  <si>
    <t>Granular/prilled urea — CO₂+2NH₃ synthesis (Abu Qir, MOPCO, EFC, KIMA)</t>
  </si>
  <si>
    <t>3102 10 (urea ≥45% N)</t>
  </si>
  <si>
    <t>Urea synthesis from captured CO₂ + NH₃ feedstock</t>
  </si>
  <si>
    <t>t urea</t>
  </si>
  <si>
    <t>🟡 Est: IFA/EFMA; ~1.5–2.5 GJ/t urea auxiliary heating. Small relative to NH₃ chain.</t>
  </si>
  <si>
    <t>🟢 Auth: no additional reductant/feedstock at urea synthesis step itself</t>
  </si>
  <si>
    <t>CO₂ uptake in synthesis: CO₂ + 2NH₃ → (NH₂)₂CO + H₂O. CO₂ absorbed from SMR flue gas at plant gate. Re-emitted at field application (outside system boundary).</t>
  </si>
  <si>
    <t>IPCC 2006 Vol2 3G</t>
  </si>
  <si>
    <t>🟢 Auth: IPCC 2006 Vol2 3G stoichiometric constant. 44/60 = 0.733 tCO₂ absorbed per tonne urea. Standard internationally.</t>
  </si>
  <si>
    <t>IPCC 2006 Vol2 Ch3G; IFA Production and Trade data; JRC BREF Large Volume Inorganic Chemicals</t>
  </si>
  <si>
    <t>S1.np fully Auth — IPCC stoichiometric constant for CO₂ absorption. Own-process CBAM-eq = S1+S2 = 0.112−0.733+0.038 = −0.583 tCO₂/t (negative — CO₂ sink at plant gate). Full integrated CBAM-eq adds embedded NH₃ chain: −0.583 + (0.567 × 1.889) = +0.488 tCO₂/t integrated.</t>
  </si>
  <si>
    <t>Ammonium nitrate</t>
  </si>
  <si>
    <t>Ammonium nitrate (AN/CAN) — Ostwald + neutralisation (KIMA, Helwan, Abu Qir)</t>
  </si>
  <si>
    <t>3102 30 (AN ≥28% N); 3102 40 (CAN)</t>
  </si>
  <si>
    <t>Ostwald process (NH₃→HNO₃) + neutralisation (HNO₃+NH₃→NH₄NO₃)</t>
  </si>
  <si>
    <t>t AN</t>
  </si>
  <si>
    <t>🟡 Est: IFA/EFMA BAT Vol.3; 1.5–2.5 GJ/t AN typical process steam and heat.</t>
  </si>
  <si>
    <t>🟢 Auth: HNO₃ and neutralisation steps have no chemical reductant</t>
  </si>
  <si>
    <t>None — AN synthesis involves only N, H, O; no carbon process</t>
  </si>
  <si>
    <t>Auth: chemistry</t>
  </si>
  <si>
    <t>🟢 Auth: NH₄NO₃ contains no carbon</t>
  </si>
  <si>
    <t>N₂O from Ostwald catalytic oxidation of NH₃ in HNO₃ production</t>
  </si>
  <si>
    <t>273 (IPCC AR6 GWP100)</t>
  </si>
  <si>
    <t>🟡 Est: IPCC 2006 2B2; AR6 GWP N₂O=273. CORRECTED v1.1 from 2.500 (exceeded IPCC ceiling). Midpoint unabated: 5 kg N₂O/t HNO₃ × 0.71 t HNO₃/t AN × 273/1000 = 0.970. Range 0.08 (SCR full abatement) to 1.74 (9 kg/t HNO₃ unabated). Egypt plant abatement status unconfirmed — verify against KIMA/Helwan data.</t>
  </si>
  <si>
    <t>IPCC 2006 Vol2 Ch2B2; IPCC AR6 WG1 Annex II Table AII.1.2 (N₂O GWP=273); IFA/EFMA BAT Vol.3 Nitric Acid</t>
  </si>
  <si>
    <t>2021 (AR6 GWPs)</t>
  </si>
  <si>
    <t>CORRECTED v1.1: S1.no revised from 2.500 to 0.970 tCO₂e/t AN. Original 2.500 implied 12.9 kg N₂O/t HNO₃ — above IPCC maximum of 9 kg/t HNO₃. Corrected to midpoint unabated (5 kg/t HNO₃). Integrated CBAM-eq now ~1.80 tCO₂/t (was 3.057), which is BELOW EU default 2.666 — sign of gap reverses. CRITICAL UNCERTAINTY: range 0.08–1.74 depending on abatement. Own-process direct = 0.112+0.970+0.044=1.126; integrated adds NH₃ chain: 1.126+(0.213×1.889)=1.528; +S2(in scope): 1.528→direct integrated ~1.80.</t>
  </si>
  <si>
    <t>Primary aluminium</t>
  </si>
  <si>
    <t>Primary aluminium — Hall-Héroult electrolysis, prebaked carbon anodes (Egyptalum, Nag Hammadi)</t>
  </si>
  <si>
    <t>7601 10 (unwrought primary); 7601 20 (alloys); 7604 (bars/rods); 7606 (sheet/plate)</t>
  </si>
  <si>
    <t>Hall-Héroult electrolysis + carbon anode prebaking</t>
  </si>
  <si>
    <t>t Al</t>
  </si>
  <si>
    <t>🟡 Est: IAI 2023 smelter profile; 1.5–2.5 GJ/t range. Weighted EF 78 kgCO₂/GJ Est (fuel oil+NG blend at Nag Hammadi).</t>
  </si>
  <si>
    <t>🟢 Auth: Hall-Héroult is electrolytic; iron reduction is electrical not fuel-driven</t>
  </si>
  <si>
    <t>Carbon anode consumption: prebaked carbon anodes oxidise during electrolysis (C + O₂ → CO₂)</t>
  </si>
  <si>
    <t>IPCC 2006 Vol2 2C3</t>
  </si>
  <si>
    <t>🟢 Auth: IPCC 2006 Vol2 2C3 default 1.5 tCO₂/t Al for prebaked anodes. Range 1.4–1.7.</t>
  </si>
  <si>
    <t>PFCs: CF4 and C₂F₆ from anode effects (voltage excursions in electrolytic cell)</t>
  </si>
  <si>
    <t>CF4=7380; C₂F₆=12400 (AR6 GWP100)</t>
  </si>
  <si>
    <t>🟡 Est: CORRECTED v1.1 from 0.700 to 0.850. IAI 2023 global prebake avg 0.8 tCO₂e/t; Egyptalum 1980s-vintage potlines estimated 0.8–0.9 midpoint = 0.85. Verify against EEAA/Egyptalum facility data.</t>
  </si>
  <si>
    <t>NO — aluminium S2 excluded from CBAM (Reg 2023/956 Annex II; only cement + fertilisers)</t>
  </si>
  <si>
    <t>IAI World Aluminium Statistics 2023; IPCC 2006 Vol2 Ch2C3; IPCC AR6 WG1 AII.1.2; IAI GHG Pathways 2050; Egyptalum AR 2023</t>
  </si>
  <si>
    <t>CORRECTED v1.1: S1.no (PFC) revised from 0.700 to 0.850 tCO₂e/t. IAI 2023 global prebake avg 0.8; Egyptalum older vintage 0.8–0.9. Anode EF (S1.np=1.500) fully Auth (IPCC stoichiometric). S2=54 GJ/t (15 MWh/t) excluded from CBAM. CBAM-eligible = S1 only = 0.156+1.500+0.850 = 2.506 tCO₂e/t (was 2.356).</t>
  </si>
  <si>
    <t>INTEGRATED CBAM-EQ (fertilisers): CBAM-eligible column shows own-process only. Full integrated adds embedded upstream NH₃: urea = 0.488 tCO₂/t; AN = 1.527 tCO₂/t. NH₃ chain = NH₃ content × NH₃ CBAM-eq (1.889 tCO₂/t, S1+S2).</t>
  </si>
  <si>
    <t>KEY REMAINING UNCERTAINTY: AN N₂O (0.970 tCO₂e/t) is IPCC midpoint unabated. Range 0.08 (SCR) to 1.74 (unabated). Confirm KIMA/Helwan abatement status before using in binding CBAM calculations.</t>
  </si>
  <si>
    <t>Egypt — Production, Total Exports &amp; EU Exports by Product (kt), 2024–2035</t>
  </si>
  <si>
    <t>Sources: Production — WSA 2024 (steel); Kpler/Global Cement 2024 (cement); IFA 2023 (fertilisers); IAI 2023 (Al). EU exports — Eurostat COMEXT 2024; UN Comtrade 2024. Yellow = editable inputs. Growth: GDP × sector elasticity.</t>
  </si>
  <si>
    <t>GDP growth p.a. assumption</t>
  </si>
  <si>
    <t>Sector elasticity inputs (yellow = editable)</t>
  </si>
  <si>
    <t>Product</t>
  </si>
  <si>
    <t>Elasticity</t>
  </si>
  <si>
    <t>kt</t>
  </si>
  <si>
    <t>Cement &amp; clinker</t>
  </si>
  <si>
    <t>Ammonia (gross production)</t>
  </si>
  <si>
    <t>Ammonium nitrate (AN/CAN)</t>
  </si>
  <si>
    <t>Production (kt)</t>
  </si>
  <si>
    <t>Elast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</si>
  <si>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</si>
  <si>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</si>
  <si>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</si>
  <si>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</si>
  <si>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</si>
  <si>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</si>
  <si>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</si>
  <si>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</si>
  <si>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</si>
  <si>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</si>
  <si>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</si>
  <si>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</si>
  <si>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Source notes</t>
  </si>
  <si>
    <t>Prod: WSA 2024 Egypt (~10.7 Mt total; DRI-EAF ~48%). EU: ~25–30% of total steel exports (Eurostat COMEXT). AD duty on HRC from Oct 2025 may redirect volumes.</t>
  </si>
  <si>
    <t>Prod: Remainder of 10.7 Mt after DRI allocation. HRC exports subject to EU AD duty Oct 2025.</t>
  </si>
  <si>
    <t>ZERO production. Hadisolb plant liquidated Jan 2021. Reference row only.</t>
  </si>
  <si>
    <t>Prod: ~50 Mt 2023/24 (World Cement Assoc). Exports: 9.7 Mt 2024 (Kpler/Global Cement). EU ~0.8 Mt clinker (Eurostat 252310).</t>
  </si>
  <si>
    <t>Capacity 6 Mt; actual ~3.5 Mt 2024 (IFA; gas supply constraints). Net NH₃ = gross minus committed to urea (×0.567) and AN (×0.213). See volumes sheet.</t>
  </si>
  <si>
    <t>Egypt 5th–6th largest urea exporter globally. Abu Qir 578 kt; MOPCO ~1.7 Mt; EFC; KIMA. EU ~$1.69bn 2025 ≈ 1.5–1.7 Mt.</t>
  </si>
  <si>
    <t>KIMA + Helwan + Abu Qir. AN capacity ~600 kt. EU: CAN exports per Comtrade 31023090/31024000.</t>
  </si>
  <si>
    <t>Egyptalum only: 310 kt capacity, ~290–300 kt actual 2024. Exports 174 kt 2023/24 (AlCircle). 96% to EU (Italy/Germany/Greece/Poland). +300 kt Trafigura JV planned.</t>
  </si>
  <si>
    <t>Total exports (kt)</t>
  </si>
  <si>
    <t>EU exports (kt)</t>
  </si>
  <si>
    <t>Net ammonia — gross production minus NH₃ committed to downstream products</t>
  </si>
  <si>
    <t>Net NH₃ = Gross NH₃ kt − (Urea kt × 0.567) − (AN kt × 0.213). Molar: urea 2×17/60; AN 17/80. Embedded NH₃ emissions = volume × NH₃ content × NH₃ direct EF (S1 only = 1.851 tCO₂/t NH₃).</t>
  </si>
  <si>
    <t>Data Sources Audit Trail — Egypt CBAM EF Spreadsheet v1.2</t>
  </si>
  <si>
    <t>#</t>
  </si>
  <si>
    <t>Source name</t>
  </si>
  <si>
    <t>Publication / database</t>
  </si>
  <si>
    <t>Variables informed</t>
  </si>
  <si>
    <t>Conf.</t>
  </si>
  <si>
    <t>URL / access</t>
  </si>
  <si>
    <t>Notes</t>
  </si>
  <si>
    <t>Ezz Steel / Daily News Egypt 2019</t>
  </si>
  <si>
    <t>Industry news report</t>
  </si>
  <si>
    <t>DRI NG consumption 11 mmBtu/tDRI (Ezz Steel actual plant data)</t>
  </si>
  <si>
    <t>2019</t>
  </si>
  <si>
    <t>🟢</t>
  </si>
  <si>
    <t>dailynewsegypt.com</t>
  </si>
  <si>
    <t>Primary plant-level source for DRI-EAF NG correction. Explicitly confirmed for Midrex process.</t>
  </si>
  <si>
    <t>VDEh / Cavaliere 2019 (Midrex data)</t>
  </si>
  <si>
    <t>Academic/industry review</t>
  </si>
  <si>
    <t>Midrex NG split: shaft gas 9.5–10.0 GJ/tDRI; reformer fuel fraction ~20%</t>
  </si>
  <si>
    <t>2019/2022</t>
  </si>
  <si>
    <t>🟡</t>
  </si>
  <si>
    <t>vdeh.de; ScienceDirect</t>
  </si>
  <si>
    <t>Source for reformer:shaft split ~20:80. Cavaliere total 10.3–10.9 GJ/tDRI consistent with Ezz 11.61.</t>
  </si>
  <si>
    <t>WSA Energy Use in the Steel Industry</t>
  </si>
  <si>
    <t>WSA Technical Report 2023</t>
  </si>
  <si>
    <t>Route EF benchmarks; scrap-EAF electricity 0.5–0.7 MWh/t</t>
  </si>
  <si>
    <t>worldsteel.org/publications/</t>
  </si>
  <si>
    <t>Authority for scrap-EAF S2 correction and DRI-EAF total EF reconciliation.</t>
  </si>
  <si>
    <t>IPCC 2006 Guidelines Vol.2 Ch.2A1 — Cement</t>
  </si>
  <si>
    <t>IPCC NGHGI 2006</t>
  </si>
  <si>
    <t>Calcination EF = 0.526 tCO₂/t clinker (stoichiometric constant)</t>
  </si>
  <si>
    <t>2006</t>
  </si>
  <si>
    <t>ipcc-nggip.iges.or.jp/public/2006gl/</t>
  </si>
  <si>
    <t>Universally applied stoichiometric constant.</t>
  </si>
  <si>
    <t>IPCC 2006 Guidelines Vol.2 Ch.2B2 — Nitric acid</t>
  </si>
  <si>
    <t>N₂O from Ostwald: range 0.3–9.0 kg N₂O/t HNO₃ (upper bound 9)</t>
  </si>
  <si>
    <t>Source of IPCC ceiling that v1.0 value (2.500 → 12.9 kg/t HNO₃) violated.</t>
  </si>
  <si>
    <t>IPCC 2006 Guidelines Vol.2 Ch.2C1 — Iron and steel</t>
  </si>
  <si>
    <t>EAF electrodes/C injection; confirms DRI process CO₂=0; BOF carbon dissolution</t>
  </si>
  <si>
    <t>IPCC 2006 Guidelines Vol.2 Ch.2C3 — Aluminium</t>
  </si>
  <si>
    <t>Anode consumption EF = 1.500 tCO₂/t Al (prebaked, stoichiometric)</t>
  </si>
  <si>
    <t>Range 1.4–1.7 prebaked.</t>
  </si>
  <si>
    <t>IPCC 2006 Guidelines Vol.2 Ch.3G — Urea</t>
  </si>
  <si>
    <t>CO₂ absorption = −0.733 tCO₂/t urea (stoichiometric: 44/60)</t>
  </si>
  <si>
    <t>IPCC AR6 WG1 Annex II Table AII.1.2</t>
  </si>
  <si>
    <t>IPCC Sixth Assessment Report 2021</t>
  </si>
  <si>
    <t>GWP100: N₂O=273; CF4=7380; C₂F₆=12400</t>
  </si>
  <si>
    <t>2021</t>
  </si>
  <si>
    <t>ipcc.ch/report/ar6/wg1/</t>
  </si>
  <si>
    <t>All S1.no tCO₂e conversions.</t>
  </si>
  <si>
    <t>IFA/EFMA BAT Vol.1 — Ammonia</t>
  </si>
  <si>
    <t>IFA/EFMA Best Available Techniques</t>
  </si>
  <si>
    <t>SMR ammonia NG range 33–35 GJ/t NH₃; combustion:feedstock split</t>
  </si>
  <si>
    <t>2000/2011</t>
  </si>
  <si>
    <t>fertilizer.org/</t>
  </si>
  <si>
    <t>Total authoritative; split estimated.</t>
  </si>
  <si>
    <t>IFA/EFMA BAT Vol.3 — Nitric acid</t>
  </si>
  <si>
    <t>N₂O abatement range with/without SCR catalyst</t>
  </si>
  <si>
    <t>2000</t>
  </si>
  <si>
    <t>Consistent with IPCC 2006 2B2.</t>
  </si>
  <si>
    <t>IAI World Aluminium Statistics / GHG Pathways 2050</t>
  </si>
  <si>
    <t>IAI Reports 2023</t>
  </si>
  <si>
    <t>PFC global avg 0.8 tCO₂e/t prebake; older potlines 0.8–1.0</t>
  </si>
  <si>
    <t>world-aluminium.org/</t>
  </si>
  <si>
    <t>Basis for PFC correction from 0.700 to 0.850. Egyptalum 1980s vintage.</t>
  </si>
  <si>
    <t>IEA World Energy Balances 2024</t>
  </si>
  <si>
    <t>IEA data service</t>
  </si>
  <si>
    <t>Egypt grid EF 0.45 tCO₂/MWh (2022 actuals); sector energy</t>
  </si>
  <si>
    <t>2022</t>
  </si>
  <si>
    <t>iea.org/data-and-statistics</t>
  </si>
  <si>
    <t>Egypt grid EF for all S2 calculations.</t>
  </si>
  <si>
    <t>GCCA GNR 2022 / CSI Getting the Numbers Right</t>
  </si>
  <si>
    <t>GCCA GNR database</t>
  </si>
  <si>
    <t>Egypt cement thermal energy ~3.0 GJ/t clinker (dry kiln)</t>
  </si>
  <si>
    <t>gccassociation.org/gnr/</t>
  </si>
  <si>
    <t>WSA Steel Statistical Yearbook 2024</t>
  </si>
  <si>
    <t>World Steel Association</t>
  </si>
  <si>
    <t>Egypt total steel 10.7 Mt 2024; route split est from company data</t>
  </si>
  <si>
    <t>worldsteel.org/</t>
  </si>
  <si>
    <t>Eurostat COMEXT</t>
  </si>
  <si>
    <t>Eurostat trade database</t>
  </si>
  <si>
    <t>EU imports from Egypt by CN code: steel, Al, fertilisers, cement</t>
  </si>
  <si>
    <t>ec.europa.eu/eurostat/comext/</t>
  </si>
  <si>
    <t>Definitive EU-side statistics.</t>
  </si>
  <si>
    <t>UN Comtrade HS 2022</t>
  </si>
  <si>
    <t>UNSD Comtrade portal</t>
  </si>
  <si>
    <t>Egypt export volumes by HS code to world and EU</t>
  </si>
  <si>
    <t>comtrade.un.org/</t>
  </si>
  <si>
    <t>Egypt-side; small discrepancy vs COMEXT normal.</t>
  </si>
  <si>
    <t>IFA Production and Trade Data</t>
  </si>
  <si>
    <t>IFA database 2023</t>
  </si>
  <si>
    <t>Egypt fertiliser production by type (urea, AN, ammonia)</t>
  </si>
  <si>
    <t>Egypt 6th largest urea producer; ~3.5 Mt N total.</t>
  </si>
  <si>
    <t>IR 2025/2621 (OJ L 2025/2621, 22.12.2025)</t>
  </si>
  <si>
    <t>EU Commission Implementing Regulation</t>
  </si>
  <si>
    <t>EU default values (SEE, pre-markup) for all CBAM products</t>
  </si>
  <si>
    <t>eur-lex.europa.eu/</t>
  </si>
  <si>
    <t>Values in EU_default column.</t>
  </si>
  <si>
    <t>IR 2025/2620 (OJ L 2025/2620, 22.12.2025)</t>
  </si>
  <si>
    <t>EU free allocation equivalents (benchmarks) all CBAM products</t>
  </si>
  <si>
    <t>Values in EU_benchmark column.</t>
  </si>
  <si>
    <t>AlCircle / Egyptalum announcements</t>
  </si>
  <si>
    <t>AlCircle industry news 2024</t>
  </si>
  <si>
    <t>Egyptalum 310 kt capacity; 174 kt exports; 96% EU markets</t>
  </si>
  <si>
    <t>alcircle.com/</t>
  </si>
  <si>
    <t>Italy/Germany/Greece/Poland = 96% of Al exports.</t>
  </si>
  <si>
    <t>Egypt CBAM — Quality Assurance Summary  |  v1.2</t>
  </si>
  <si>
    <t>Sector</t>
  </si>
  <si>
    <t>Own-process CBAM-eq</t>
  </si>
  <si>
    <t>Integrated CBAM-eq</t>
  </si>
  <si>
    <t>EU default</t>
  </si>
  <si>
    <t>Gap vs default</t>
  </si>
  <si>
    <t>Key uncertainty</t>
  </si>
  <si>
    <t>v1.1 correction</t>
  </si>
  <si>
    <t>Iron &amp; steel</t>
  </si>
  <si>
    <t>1.889 (NH₃ n/a)</t>
  </si>
  <si>
    <t>-1.090</t>
  </si>
  <si>
    <t>NG intensity (Ezz actual 11 mmBtu/tDRI)</t>
  </si>
  <si>
    <t>❌ MAJOR: NG 29→12.3 GJ/t; CBAM-eq 1.627→0.730</t>
  </si>
  <si>
    <t>N/A</t>
  </si>
  <si>
    <t>-0.565</t>
  </si>
  <si>
    <t>N₂O negligible; S2 excluded; robust</t>
  </si>
  <si>
    <t>⚠ MINOR: S2 4.5→2.0 GJ/t (CBAM-eq unaffected)</t>
  </si>
  <si>
    <t>BF-BOF steel (ref)</t>
  </si>
  <si>
    <t>N/A (ref only)</t>
  </si>
  <si>
    <t>-0.628</t>
  </si>
  <si>
    <t>Reference only (no Egypt production)</t>
  </si>
  <si>
    <t>✓ EF sheet already coal/coke 96.1 (calc was corrected separately)</t>
  </si>
  <si>
    <t>Grey clinker</t>
  </si>
  <si>
    <t>-0.709</t>
  </si>
  <si>
    <t>Calcination 0.526 Auth IPCC</t>
  </si>
  <si>
    <t>✓ Already correct (0.526 calcination)</t>
  </si>
  <si>
    <t>Ammonia (net)</t>
  </si>
  <si>
    <t>Fertilisers</t>
  </si>
  <si>
    <t>1.889 (own)</t>
  </si>
  <si>
    <t>+0.063</t>
  </si>
  <si>
    <t>NG 33 GJ/t (Egypt vintage; IEAGHG BAT 1.8)</t>
  </si>
  <si>
    <t>✓ No correction needed</t>
  </si>
  <si>
    <t>0.488 integrated</t>
  </si>
  <si>
    <t>-2.463</t>
  </si>
  <si>
    <t>CO₂ uptake −0.733 IPCC Auth</t>
  </si>
  <si>
    <t>1.527 integrated</t>
  </si>
  <si>
    <t>+0.156</t>
  </si>
  <si>
    <t>N₂O abatement at KIMA/Helwan unconfirmed</t>
  </si>
  <si>
    <t>❌ MAJOR: N₂O 2.500→0.970 (was above IPCC ceiling)</t>
  </si>
  <si>
    <t>Aluminium</t>
  </si>
  <si>
    <t>+0.446</t>
  </si>
  <si>
    <t>PFC for 1980s potlines; IAI older avg 0.85</t>
  </si>
  <si>
    <t>⚠ MINOR: PFC 0.700→0.850 (IAI older potlines)</t>
  </si>
  <si>
    <t>STRUCTURE (global spreadsheet): Section A = 14 aggregate CBAM categories (all 6 sectors + 4 residual catch-alls), the headline values. Section B = reconstruction &amp; cross-check vs A (CN-built categories rebuilt from Section C lines; cross-check Δ = 0). Section C = global detail, merging Egypt-specific CN lines + global-default goods grouped by sector. LEVEL column tags each row: AGGREGATE / CN · Egypt / Global. All use IDENTICAL columns. NH₃ integrated (full EF 1.889 incl S2) into urea/AN headline. Net ammonia = production; gross in memo. Weight column = CN line's % of parent's 2024 EU exports (blank for aggregate/global rows). 🟢 Auth 🟡 Est 🔴 Prox · BLUE input · BLACK formula · GREEN cross-ref. CBAM-equivalent = S1(incl NH₃)+S2 minus S2 for steel/Al/ferro-alloys/H2 (S2 out of scope); = full for cement/fert/alumina/electricity.</t>
  </si>
  <si>
    <t>IDENTITY</t>
  </si>
  <si>
    <t>SCOPE 1 (tCO₂e/t, NH₃ integrated)</t>
  </si>
  <si>
    <t>SCOPE 2 + TOTALS</t>
  </si>
  <si>
    <t>WT</t>
  </si>
  <si>
    <t>INPUTS</t>
  </si>
  <si>
    <t>LATEST MAY 2026 EU DEFAULTS + BENCHMARKS</t>
  </si>
  <si>
    <t>CONFIDENCE</t>
  </si>
  <si>
    <t>VOL+GR</t>
  </si>
  <si>
    <t>EU EXPORTS (kt) — PROJECTIONS</t>
  </si>
  <si>
    <t>MEMO (raw)</t>
  </si>
  <si>
    <t>STD BASIS</t>
  </si>
  <si>
    <t>Level</t>
  </si>
  <si>
    <t>CN codes / form</t>
  </si>
  <si>
    <t>S1.fc</t>
  </si>
  <si>
    <t>S1.fp</t>
  </si>
  <si>
    <t>S1.np</t>
  </si>
  <si>
    <t>S1.no</t>
  </si>
  <si>
    <t>S1 own</t>
  </si>
  <si>
    <t>Emb
NH₃</t>
  </si>
  <si>
    <t>S1 incl
NH₃</t>
  </si>
  <si>
    <t>S2</t>
  </si>
  <si>
    <t>S2 in CBAM
scope?</t>
  </si>
  <si>
    <t>S1+S2</t>
  </si>
  <si>
    <t>CBAM-
equiv</t>
  </si>
  <si>
    <t>% of
parent</t>
  </si>
  <si>
    <t>fcGJ</t>
  </si>
  <si>
    <t>fcEF</t>
  </si>
  <si>
    <t>fpGJ</t>
  </si>
  <si>
    <t>fpEF</t>
  </si>
  <si>
    <t>EU def
base</t>
  </si>
  <si>
    <t>mk
up</t>
  </si>
  <si>
    <t>EU def
2026</t>
  </si>
  <si>
    <t>EU
bench</t>
  </si>
  <si>
    <t>Gap
def</t>
  </si>
  <si>
    <t>Gap
bench</t>
  </si>
  <si>
    <t>Latest EU regulatory note (May 2026)</t>
  </si>
  <si>
    <t>S1.fc / S1.fp confidence</t>
  </si>
  <si>
    <t>S1.np / S1.no confidence</t>
  </si>
  <si>
    <t>Prod kt
(net)</t>
  </si>
  <si>
    <t>EU exp
kt</t>
  </si>
  <si>
    <t>Total exp
kt</t>
  </si>
  <si>
    <t>Gr
%/yr</t>
  </si>
  <si>
    <t>NH₃
cont</t>
  </si>
  <si>
    <t>NH₃ dir
EF</t>
  </si>
  <si>
    <t>NH₃ full
EF</t>
  </si>
  <si>
    <t>Own-only
CBAMeq</t>
  </si>
  <si>
    <t>Gross
NH₃ kt</t>
  </si>
  <si>
    <t>MtCO₂
'24 EUx</t>
  </si>
  <si>
    <t>Std basis</t>
  </si>
  <si>
    <t>EF per
std unit</t>
  </si>
  <si>
    <t>Prod
std unit</t>
  </si>
  <si>
    <t>SECTION A — AGGREGATED (14 generic CBAM categories: all 6 sectors + 4 residual catch-alls). Values. This is the headline layer the calculator consumes.</t>
  </si>
  <si>
    <t>AGGREGATE</t>
  </si>
  <si>
    <t>Primary steel (DRI-EAF)</t>
  </si>
  <si>
    <t>Midrex NG shaft furnace + EAF</t>
  </si>
  <si>
    <t>NO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</si>
  <si>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</si>
  <si>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S1.fc: Est: Midrex heat:reductant ratio 5:24 GJ/t NG. Total EF Auth / S1.fp: Est: Midrex standard ratio; IPCC 2006 Vol2 2C1; WSA 2023. To</t>
  </si>
  <si>
    <t>S1.np: Auth: IPCC 2006 2C1 — DRI process CO2 = 0 / S1.no: Auth: IPCC 2006 2C1</t>
  </si>
  <si>
    <t>per t product</t>
  </si>
  <si>
    <t>Secondary steel (Scrap-EAF)</t>
  </si>
  <si>
    <t>Scrap-EAF. Default base 0.720 ×1.10 = 0.792 (2026). Benchmark 0.072 (final, scrap route).</t>
  </si>
  <si>
    <t>S1.fc: Est: IEA Egypt sector average; WSA 2023 scrap-EAF range 2-3  / S1.fp: Auth: no reductant in scrap melting process</t>
  </si>
  <si>
    <t>S1.np: Est: IPCC 2006 Vol2 2C1 default 0.01-0.02 tCO2/t for scrap-E / S1.no: Auth: IPCC 2006 2C1</t>
  </si>
  <si>
    <t>Reference steel (BF-BOF)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</si>
  <si>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</si>
  <si>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</si>
  <si>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</si>
  <si>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/ S1.fp: Prox: WSA 2023 BF standard; IPCC 2006 Vol2 2C1. Split Est wi</t>
  </si>
  <si>
    <t>S1.np: Auth: IPCC 2006 Vol2 2C1 default 0.22-0.28 tCO2/t crude stee / S1.no: Auth: IPCC 2006 2C1</t>
  </si>
  <si>
    <t>Other steel &amp; ferro-alloys</t>
  </si>
  <si>
    <t>t CO2e/t</t>
  </si>
  <si>
    <t>7202 / 7201 / 7203 (ferro-alloys, pig iron, DRI)</t>
  </si>
  <si>
    <t>Ferro-alloy / precursor (mixed)</t>
  </si>
  <si>
    <t>Aggregate catch-all for ferro-alloys (FeSi/FeMn/FeCr) + merchant pig iron/DRI. ZERO Egypt volume. See Section D for per-good detail. S2 excluded (steel scope).</t>
  </si>
  <si>
    <t>S1.fc: Prox ferro-alloy mean / S1.fp: Prox carbothermic reductant</t>
  </si>
  <si>
    <t>S1.np: Prox electrode/flux / S1.no: Auth none</t>
  </si>
  <si>
    <t>Dry rotary kiln</t>
  </si>
  <si>
    <t>YES</t>
  </si>
  <si>
    <t>Cement clinker. Default base 1.580 ×1.10 = 1.738 (2026). Benchmark 0.666 (col B). S2 IN CBAM scope.</t>
  </si>
  <si>
    <t>S1.fc: Est: IEA Egypt cement sector; CSI/GCCA GNR Egypt 2022. Total / S1.fp: Auth: cement production has no chemical reductant fuel</t>
  </si>
  <si>
    <t>S1.np: Auth: IPCC 2006 2A1 stoichiometric constant (44/100 × fracti / S1.no: Auth</t>
  </si>
  <si>
    <t>per t clinker (80% ratio)</t>
  </si>
  <si>
    <t>Other cement products</t>
  </si>
  <si>
    <t>2523 30 / 2523 90 (aluminous, other cements)</t>
  </si>
  <si>
    <t>Kiln (aluminous / other)</t>
  </si>
  <si>
    <t>Aggregate catch-all for aluminous cement, other cements and cement variants. ZERO Egypt volume. S2 in scope (cement).</t>
  </si>
  <si>
    <t>S1.fc: Prox kiln fuel / S1.fp: Auth none</t>
  </si>
  <si>
    <t>S1.np: Prox calcination (variant) / S1.no: Auth none</t>
  </si>
  <si>
    <t>t NH3</t>
  </si>
  <si>
    <t>Egypt ammonia 2026 default = 2.07 tCO2e/t (incl 1% fertiliser markup; Argus 17 Dec 2025). Benchmark 1.522 → 1.484 after 2.5% reduction in 2026. S2 IN CBAM scope.</t>
  </si>
  <si>
    <t xml:space="preserve">S1.fc: Est: IFA/EFMA BAT Vol.1; combustion ~6-8 GJ/t NH3. Total Aut / S1.fp: Est: IFA/EFMA BAT Vol.1 standard SMR ~24-28 GJ/t NH3. Total </t>
  </si>
  <si>
    <t>S1.np: Auth: NH3 synthesis has no carbon process emissions / S1.no: Auth</t>
  </si>
  <si>
    <t>per t N (82.2% N)</t>
  </si>
  <si>
    <t>3102 10 (urea &gt;= 45% N)</t>
  </si>
  <si>
    <t>Urea synthesis from captured CO2 + NH3 feedstock</t>
  </si>
  <si>
    <t>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</si>
  <si>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 / S1.fp: Auth: no additional reductant/feedstock in urea synthesis it</t>
  </si>
  <si>
    <t>S1.np: Auth: IPCC 2006 Vol2 3G stoichiometric constant. 44/60 = 0.7 / S1.no: Auth</t>
  </si>
  <si>
    <t>per t N (46.6% N)</t>
  </si>
  <si>
    <t>3102 30 (AN &gt;= 28% N); 3102 40 (CAN)</t>
  </si>
  <si>
    <t>Ostwald process (NH3 → HNO3) + neutralisation (HNO3 + NH3 → NH4NO3)</t>
  </si>
  <si>
    <t>AN/CAN. Default base ~2.64 ×1.01 = 2.666 (2026, N2O-driven). Benchmark 0.302. S2 IN CBAM scope. Default value highly sensitive to assumed N2O abatement.</t>
  </si>
  <si>
    <t>S1.fc: Est: IFA/EFMA BAT Vol.3; 1.5-2.5 GJ/t AN typical. Total dire / S1.fp: Auth: HNO3 and neutralisation have no reductant</t>
  </si>
  <si>
    <t>S1.np: Auth: AN chemistry (NH4NO3) contains no carbon / S1.no: Est: IPCC 2006 2B2; GWP AR6 AII.1.2. CRITICAL: range 0.21 (w</t>
  </si>
  <si>
    <t>per t N (35.0% N)</t>
  </si>
  <si>
    <t>Other fertiliser products</t>
  </si>
  <si>
    <t>3105 / 2808 / 3102 50 (NPK, nitric acid, other N)</t>
  </si>
  <si>
    <t>NPK blend / nitric acid (mixed)</t>
  </si>
  <si>
    <t>Aggregate catch-all for NPK compounds, nitric acid, and other N fertilisers. ZERO Egypt volume. See Section D for per-good detail. S2 in scope (fertiliser).</t>
  </si>
  <si>
    <t>S1.fc: Prox blend heat / S1.fp: Auth none</t>
  </si>
  <si>
    <t>S1.np: Prox acidulation / S1.no: Prox embedded N2O</t>
  </si>
  <si>
    <t>7601 10 (unwrought primary); 7601 20 (alloys, semi-finished); 7604 (bars/rods); 7606 (sheet/plate)</t>
  </si>
  <si>
    <t>Primary aluminium. Default base 2.060 ×1.10 = 2.266 (2026). Benchmark 1.423. S2 NOT in CBAM scope (direct emissions only).</t>
  </si>
  <si>
    <t xml:space="preserve">S1.fc: Est: IAI 2023 smelter profile; 1.5-2.5 GJ/t range. Weighted  / S1.fp: Auth: Hall-Héroult is electrolytic; reduction is electrical </t>
  </si>
  <si>
    <t>S1.np: Auth: IPCC 2006 Vol2 2C3 default 1.5 tCO2/t Al for prebaked  / S1.no: Est: IAI 2023 Egypt country profile. Global prebaked average</t>
  </si>
  <si>
    <t>Other aluminium products</t>
  </si>
  <si>
    <t>2818 20 / 7602 / 7603 (alumina, scrap, powder)</t>
  </si>
  <si>
    <t>Refining / scrap / semis (mixed)</t>
  </si>
  <si>
    <t>Aggregate catch-all for alumina, aluminium scrap, powder and semis. ZERO Egypt volume. See Section D for alumina/scrap detail. S2 excluded (metal scope).</t>
  </si>
  <si>
    <t>S1.fc: Prox alumina/semis mean / S1.fp: Auth none</t>
  </si>
  <si>
    <t>S1.np: Prox anode/refining / S1.no: Prox residual PFC</t>
  </si>
  <si>
    <t>Hydrogen (grey, SMR)</t>
  </si>
  <si>
    <t>2804 10</t>
  </si>
  <si>
    <t>Steam methane reforming</t>
  </si>
  <si>
    <t>Grey H2 via SMR. EU transitional default 10.4 tCO2/t H2. S2 excluded (like steel/Al). Green H2 ~0.5-2.</t>
  </si>
  <si>
    <t>S1.fc: Prox SMR fuel / S1.fp: Prox NG feedstock</t>
  </si>
  <si>
    <t>S1.np: Auth none / S1.no: Auth none</t>
  </si>
  <si>
    <t>Electricity</t>
  </si>
  <si>
    <t>t CO2e/MWh</t>
  </si>
  <si>
    <t>2716 00</t>
  </si>
  <si>
    <t>Grid generation mix</t>
  </si>
  <si>
    <t>Electricity import. The EF IS the direct grid emission (tCO2/MWh). Coal grid ~0.9; gas ~0.4; default per origin mix. No S2 (it is S2).</t>
  </si>
  <si>
    <t>S1.fc: Auth (EF is direct) / S1.fp: Auth none</t>
  </si>
  <si>
    <t>S1.np: Prox grid mix (IEA 5-yr avg) / S1.no: Auth none</t>
  </si>
  <si>
    <t>SECTION B — RECONSTRUCTION &amp; CROSS-CHECK vs Section A (all 14 categories; CN-built ones rebuilt via SUMPRODUCT of Section C lines; cross-check should be 0)</t>
  </si>
  <si>
    <t>Category</t>
  </si>
  <si>
    <t>Source</t>
  </si>
  <si>
    <t>Σwt / chk</t>
  </si>
  <si>
    <t>S1own</t>
  </si>
  <si>
    <t>S1inc</t>
  </si>
  <si>
    <t>CBAMeq</t>
  </si>
  <si>
    <t>A CBAMeq</t>
  </si>
  <si>
    <t>Δ check</t>
  </si>
  <si>
    <t>CN-reconstructed</t>
  </si>
  <si>
    <t>direct input</t>
  </si>
  <si>
    <t>n/a</t>
  </si>
  <si>
    <t>SECTION C — GLOBAL DETAIL (merged disaggregation: Egypt-specific CN lines + global-default goods, grouped by sector under each parent). Origin tagged per row.</t>
  </si>
  <si>
    <t>IRON &amp; STEEL</t>
  </si>
  <si>
    <t>CN · Egypt</t>
  </si>
  <si>
    <t>Flat-rolled HRC, hot-rolled, not clad (DRI-route share)</t>
  </si>
  <si>
    <t>7208 (10/25/26/27/36/37/38/39/40/52/53/54)</t>
  </si>
  <si>
    <t>DRI-EAF → hot strip mill</t>
  </si>
  <si>
    <t>Flat-rolled &lt;600mm, not clad (DRI-route)</t>
  </si>
  <si>
    <t>7211 13/14/19</t>
  </si>
  <si>
    <t>DRI-EAF → narrow strip</t>
  </si>
  <si>
    <t>Flat-rolled other alloy steel (DRI-route)</t>
  </si>
  <si>
    <t>7225 / 7226</t>
  </si>
  <si>
    <t>DRI-EAF → alloy flat</t>
  </si>
  <si>
    <t>Semi-finished billets/blooms (DRI-route)</t>
  </si>
  <si>
    <t>7207 11/12</t>
  </si>
  <si>
    <t>DRI-EAF → continuous casting</t>
  </si>
  <si>
    <t>Bars and rods, rebar (DRI-route long)</t>
  </si>
  <si>
    <t>7214 20/99</t>
  </si>
  <si>
    <t>DRI-EAF → bar mill</t>
  </si>
  <si>
    <t>Bars and rods, rebar (scrap-route)</t>
  </si>
  <si>
    <t>Scrap-EAF → bar mill</t>
  </si>
  <si>
    <t>Wire rod in coils (scrap-route)</t>
  </si>
  <si>
    <t>7213</t>
  </si>
  <si>
    <t>Scrap-EAF → rod mill</t>
  </si>
  <si>
    <t>Angles, shapes and sections (scrap-route)</t>
  </si>
  <si>
    <t>7216</t>
  </si>
  <si>
    <t>Scrap-EAF → section mill</t>
  </si>
  <si>
    <t>Flat HRC, scrap-EAF route share</t>
  </si>
  <si>
    <t>7208 (scrap-route share)</t>
  </si>
  <si>
    <t>Scrap-EAF → hot strip</t>
  </si>
  <si>
    <t>Flat products, BF-BOF reference (NO Egypt production)</t>
  </si>
  <si>
    <t>7208/7209/7210 (BF-BOF reference)</t>
  </si>
  <si>
    <t>BF-BOF (reference)</t>
  </si>
  <si>
    <t>Global</t>
  </si>
  <si>
    <t>Pig iron (merchant, BF)</t>
  </si>
  <si>
    <t>7201 10/20/50</t>
  </si>
  <si>
    <t>Blast furnace ironmaking</t>
  </si>
  <si>
    <t>Merchant pig iron, BF route. Precursor to BOF steel. Global default ~2.0-2.2 tCO2/t.</t>
  </si>
  <si>
    <t>S1.fc: Prox global BF (worldsteel) / S1.fp: Prox coke reductant</t>
  </si>
  <si>
    <t>S1.np: Prox BF slag/flux / S1.no: Auth none</t>
  </si>
  <si>
    <t>Direct-reduced iron (merchant)</t>
  </si>
  <si>
    <t>7203 10/90</t>
  </si>
  <si>
    <t>Gas-based direct reduction</t>
  </si>
  <si>
    <t>Merchant DRI/HBI. Gas-based global default; coal-based (India) up to 2.5. Precursor to EAF.</t>
  </si>
  <si>
    <t>S1.fc: Prox Midrex global / S1.fp: Prox NG reductant</t>
  </si>
  <si>
    <t>Ferro-silicon</t>
  </si>
  <si>
    <t>7202 21/29</t>
  </si>
  <si>
    <t>Submerged arc furnace</t>
  </si>
  <si>
    <t>FeSi 75%. Very high: carbothermic reduction + huge electricity (S2 excluded but globally large).</t>
  </si>
  <si>
    <t>S1.fc: Prox SAF global / S1.fp: Prox carbothermic reductant</t>
  </si>
  <si>
    <t>S1.np: Prox electrode / S1.no: Auth none</t>
  </si>
  <si>
    <t>Ferro-manganese</t>
  </si>
  <si>
    <t>7202 11/19</t>
  </si>
  <si>
    <t>Submerged arc / BF</t>
  </si>
  <si>
    <t>High-carbon FeMn. Carbothermic reduction of Mn ore.</t>
  </si>
  <si>
    <t>S1.fc: Prox SAF global / S1.fp: Prox carbothermic</t>
  </si>
  <si>
    <t>Ferro-chromium</t>
  </si>
  <si>
    <t>7202 41/49</t>
  </si>
  <si>
    <t>HC FeCr. Large electricity (excluded). South Africa/Kazakhstan dominant.</t>
  </si>
  <si>
    <t>CEMENT</t>
  </si>
  <si>
    <t>Cement clinker</t>
  </si>
  <si>
    <t>2523 10</t>
  </si>
  <si>
    <t>Dry kiln → clinker</t>
  </si>
  <si>
    <t>Portland cement, other (grey)</t>
  </si>
  <si>
    <t>2523 29</t>
  </si>
  <si>
    <t>Dry kiln → ground cement</t>
  </si>
  <si>
    <t>White Portland cement</t>
  </si>
  <si>
    <t>2523 21</t>
  </si>
  <si>
    <t>Dry kiln → white cement</t>
  </si>
  <si>
    <t>FERTILISERS</t>
  </si>
  <si>
    <t>Anhydrous ammonia</t>
  </si>
  <si>
    <t>2814 10</t>
  </si>
  <si>
    <t>SMR + Haber-Bosch</t>
  </si>
  <si>
    <t>Ammonia in aqueous solution</t>
  </si>
  <si>
    <t>2814 20</t>
  </si>
  <si>
    <t>SMR + Haber-Bosch → aqueous</t>
  </si>
  <si>
    <t>Urea (≥45% N)</t>
  </si>
  <si>
    <t>3102 10</t>
  </si>
  <si>
    <t>CO2 + NH3 synthesis</t>
  </si>
  <si>
    <t>3102 30</t>
  </si>
  <si>
    <t>Ostwald + neutralisation</t>
  </si>
  <si>
    <t>AN + calcium carbonate mixtures (CAN)</t>
  </si>
  <si>
    <t>3102 40</t>
  </si>
  <si>
    <t>Ostwald + CAN blending</t>
  </si>
  <si>
    <t>UAN solutions (urea-ammonium nitrate)</t>
  </si>
  <si>
    <t>3102 80</t>
  </si>
  <si>
    <t>AN + urea solution</t>
  </si>
  <si>
    <t>Nitric acid</t>
  </si>
  <si>
    <t>2808 00</t>
  </si>
  <si>
    <t>Ostwald (NH3 oxidation)</t>
  </si>
  <si>
    <t>Nitric acid precursor. N2O-dominated (AR6 GWP 273). With abatement ~0.2; without ~3.5. Precursor to AN.</t>
  </si>
  <si>
    <t>S1.fc: Prox process heat / S1.fp: Auth none</t>
  </si>
  <si>
    <t>S1.np: Auth none / S1.no: Prox N2O (abatement-dependent)</t>
  </si>
  <si>
    <t>per t N (22.2% N)</t>
  </si>
  <si>
    <t>NPK compound fertiliser</t>
  </si>
  <si>
    <t>3105 (10-90)</t>
  </si>
  <si>
    <t>Blending / granulation</t>
  </si>
  <si>
    <t>Mixed NPK. EF depends on N-content + AN/urea/nitric-acid precursors. Global default midpoint.</t>
  </si>
  <si>
    <t>S1.fc: Prox granulation heat / S1.fp: Auth none</t>
  </si>
  <si>
    <t>S1.np: Prox acidulation / S1.no: Prox embedded AN N2O</t>
  </si>
  <si>
    <t>per t N (15.0% N)</t>
  </si>
  <si>
    <t>ALUMINIUM</t>
  </si>
  <si>
    <t>Unwrought aluminium, not alloyed</t>
  </si>
  <si>
    <t>7601 10</t>
  </si>
  <si>
    <t>Hall-Héroult → ingot</t>
  </si>
  <si>
    <t>Unwrought aluminium alloys</t>
  </si>
  <si>
    <t>7601 20</t>
  </si>
  <si>
    <t>Hall-Héroult → alloy ingot</t>
  </si>
  <si>
    <t>Bars, rods and profiles</t>
  </si>
  <si>
    <t>7604</t>
  </si>
  <si>
    <t>Cast → extrusion</t>
  </si>
  <si>
    <t>Plates, sheets and strip (&gt;0.2mm)</t>
  </si>
  <si>
    <t>7606</t>
  </si>
  <si>
    <t>Cast → rolling</t>
  </si>
  <si>
    <t>Tubes and pipes</t>
  </si>
  <si>
    <t>7608</t>
  </si>
  <si>
    <t>Cast → tube</t>
  </si>
  <si>
    <t>Alumina (metallurgical)</t>
  </si>
  <si>
    <t>2818 20</t>
  </si>
  <si>
    <t>Bayer process refining</t>
  </si>
  <si>
    <t>Alumina (Al2O3) precursor to primary aluminium. Bayer digestion + calcination. S2 in scope (refining).</t>
  </si>
  <si>
    <t>S1.fc: Prox Bayer calcination / S1.fp: Auth none</t>
  </si>
  <si>
    <t>S1.np: Prox lime/caustic / S1.no: Auth none</t>
  </si>
  <si>
    <t>Aluminium waste &amp; scrap</t>
  </si>
  <si>
    <t>7602 00</t>
  </si>
  <si>
    <t>Collection / sorting</t>
  </si>
  <si>
    <t>Scrap: near-zero embedded (remelt counted downstream). Included for completeness.</t>
  </si>
  <si>
    <t>S1.fc: Prox handling / S1.fp: Auth none</t>
  </si>
  <si>
    <t>HYDROGEN</t>
  </si>
  <si>
    <t>ELECTRICITY</t>
  </si>
  <si>
    <t>COMMON BASIS: Sections A, B, C share identical columns. A = aggregate headline values (calculator consumes this). B = reconstruction &amp; cross-check adjacent to A for comparability. C = global detail (Egypt CN lines + global goods by sector). Level column tags each row.</t>
  </si>
  <si>
    <t>NH₃ INTEGRATED (full EF 1.889 incl S2): urea/AN headline CBAM-equivalent includes embedded ammonia = NH₃ content × NH₃ full EF. Net ammonia (1,785 kt) = production; gross (3,500) in memo. Urea CBAM-eq 0.488; AN 3.057; ammonia 1.889.</t>
  </si>
  <si>
    <t>CROSS-CHECK: Section B Δ column = reconstructed CBAM-eq minus Section A CBAM-eq. Zero everywhere (CN-built categories rebuild exactly via SUMPRODUCT; direct-input categories reference A). WEIGHT column in Section C = each CN line's % of parent's 2024 EU exports (sums to 100% per parent).</t>
  </si>
  <si>
    <t>EU DEFAULTS: 'EU def 2026' = base×(1+markup), +10% steel/cement/Al, +1% fert. Egypt ammonia 2.07, urea 1.404. Steel benchmarks DRI 0.481/scrap 0.072/BF-BOF 1.370; ammonia bench 1.484.</t>
  </si>
  <si>
    <t>KEY UNCERTAINTY: AN N₂O (🔴) 0.21–1.91 tCO₂e/t per KIMA/Helwan abatement. With NH₃ integrated, AN CBAM-eq 3.057 exceeds EU default 2.666 (gap +0.39).</t>
  </si>
  <si>
    <t>v1.2 corrections applied to this combined view: DRI-EAF NG 29→12.3 GJ/t (S1own 1.627→0.730); Scrap-EAF S2 4.5→2.0 GJ/t; Ammonium nitrate N₂O 2.500→0.970 tCO₂e/t (was above IPCC ceiling); Primary aluminium PFC 0.700→0.850 tCO₂e/t. Cement calcination 0.526 and BF-BOF coal/coke EFs were already correct.</t>
  </si>
  <si>
    <t>Egypt CBAM — Emission Factor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</si>
</sst>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\+0.000;[Red]\-0.000;\-"/>
    <numFmt numFmtId="167" formatCode="0.0%"/>
    <numFmt numFmtId="168" formatCode="0.0\x"/>
    <numFmt numFmtId="169" formatCode="#,##0;\(#,##0\);\-"/>
    <numFmt numFmtId="170" formatCode="\+0.000;\-0.000;\-"/>
    <numFmt numFmtId="171" formatCode="0.000;[Red]\-0.000;0"/>
  </numFmts>
  <fonts count="23" x14ac:knownFonts="1">
    <font>
      <sz val="11"/>
      <color theme="1"/>
      <name val="Calibri"/>
      <family val="2"/>
      <charset val="1"/>
    </font>
    <font>
      <b/>
      <sz val="12"/>
      <color rgb="FF1F4E79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rgb="FF1F3864"/>
      <name val="Consolas"/>
      <family val="3"/>
    </font>
    <font>
      <sz val="9"/>
      <color rgb="FF0000FF"/>
      <name val="Arial"/>
      <family val="2"/>
    </font>
    <font>
      <b/>
      <sz val="8"/>
      <color rgb="FF7B5800"/>
      <name val="Arial"/>
      <family val="2"/>
    </font>
    <font>
      <b/>
      <sz val="8"/>
      <color rgb="FF375623"/>
      <name val="Arial"/>
      <family val="2"/>
    </font>
    <font>
      <b/>
      <sz val="8"/>
      <color rgb="FFC00000"/>
      <name val="Arial"/>
      <family val="2"/>
    </font>
    <font>
      <b/>
      <sz val="8"/>
      <color rgb="FF1F4E79"/>
      <name val="Arial"/>
      <family val="2"/>
    </font>
    <font>
      <sz val="9"/>
      <color rgb="FF008000"/>
      <name val="Arial"/>
      <family val="2"/>
    </font>
    <font>
      <b/>
      <sz val="13"/>
      <color rgb="FF1F4E79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1F4E79"/>
      <name val="Arial"/>
      <family val="2"/>
    </font>
    <font>
      <b/>
      <sz val="9"/>
      <color rgb="FF375623"/>
      <name val="Arial"/>
      <family val="2"/>
    </font>
    <font>
      <i/>
      <sz val="8"/>
      <color rgb="FFC0000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BF6E0"/>
      </patternFill>
    </fill>
    <fill>
      <patternFill patternType="solid">
        <fgColor rgb="FFF2F2F2"/>
        <bgColor rgb="FFE8EEF6"/>
      </patternFill>
    </fill>
    <fill>
      <patternFill patternType="solid">
        <fgColor rgb="FF1F4E79"/>
        <bgColor rgb="FF1F497D"/>
      </patternFill>
    </fill>
    <fill>
      <patternFill patternType="solid">
        <fgColor rgb="FF1F497D"/>
        <bgColor rgb="FF1F4E79"/>
      </patternFill>
    </fill>
    <fill>
      <patternFill patternType="solid">
        <fgColor rgb="FF005073"/>
        <bgColor rgb="FF1F4E79"/>
      </patternFill>
    </fill>
    <fill>
      <patternFill patternType="solid">
        <fgColor rgb="FF375623"/>
        <bgColor rgb="FF595959"/>
      </patternFill>
    </fill>
    <fill>
      <patternFill patternType="solid">
        <fgColor rgb="FF7B5800"/>
        <bgColor rgb="FF7B3F00"/>
      </patternFill>
    </fill>
    <fill>
      <patternFill patternType="solid">
        <fgColor rgb="FF4B0082"/>
        <bgColor rgb="FF800080"/>
      </patternFill>
    </fill>
    <fill>
      <patternFill patternType="solid">
        <fgColor rgb="FF595959"/>
        <bgColor rgb="FF375623"/>
      </patternFill>
    </fill>
    <fill>
      <patternFill patternType="solid">
        <fgColor rgb="FFDCE6F1"/>
        <bgColor rgb="FFD9E1F2"/>
      </patternFill>
    </fill>
    <fill>
      <patternFill patternType="solid">
        <fgColor rgb="FFDDEEFF"/>
        <bgColor rgb="FFD4F1F4"/>
      </patternFill>
    </fill>
    <fill>
      <patternFill patternType="solid">
        <fgColor rgb="FFC6E0F7"/>
        <bgColor rgb="FFBDD7EE"/>
      </patternFill>
    </fill>
    <fill>
      <patternFill patternType="solid">
        <fgColor rgb="FFE2EFDA"/>
        <bgColor rgb="FFE9F2E2"/>
      </patternFill>
    </fill>
    <fill>
      <patternFill patternType="solid">
        <fgColor rgb="FFFFF2CC"/>
        <bgColor rgb="FFFBF1DC"/>
      </patternFill>
    </fill>
    <fill>
      <patternFill patternType="solid">
        <fgColor rgb="FFEDE7F6"/>
        <bgColor rgb="FFEDEAF4"/>
      </patternFill>
    </fill>
    <fill>
      <patternFill patternType="solid">
        <fgColor rgb="FFD4F1F4"/>
        <bgColor rgb="FFDDEEFF"/>
      </patternFill>
    </fill>
    <fill>
      <patternFill patternType="solid">
        <fgColor rgb="FFD9E1F2"/>
        <bgColor rgb="FFDCE6F1"/>
      </patternFill>
    </fill>
    <fill>
      <patternFill patternType="solid">
        <fgColor rgb="FFF2DCDB"/>
        <bgColor rgb="FFF6E8E7"/>
      </patternFill>
    </fill>
    <fill>
      <patternFill patternType="solid">
        <fgColor rgb="FFBDD7EE"/>
        <bgColor rgb="FFC6E0F7"/>
      </patternFill>
    </fill>
    <fill>
      <patternFill patternType="solid">
        <fgColor rgb="FF2E75B6"/>
        <bgColor rgb="FF008080"/>
      </patternFill>
    </fill>
    <fill>
      <patternFill patternType="solid">
        <fgColor rgb="FF7B3F00"/>
        <bgColor rgb="FF7B5800"/>
      </patternFill>
    </fill>
    <fill>
      <patternFill patternType="solid">
        <fgColor rgb="FF9C6500"/>
        <bgColor rgb="FF7B5800"/>
      </patternFill>
    </fill>
    <fill>
      <patternFill patternType="solid">
        <fgColor rgb="FFFFE699"/>
        <bgColor rgb="FFFFF0B3"/>
      </patternFill>
    </fill>
    <fill>
      <patternFill patternType="solid">
        <fgColor rgb="FFFBF1DC"/>
        <bgColor rgb="FFFBF6E0"/>
      </patternFill>
    </fill>
    <fill>
      <patternFill patternType="solid">
        <fgColor rgb="FFE8EEF6"/>
        <bgColor rgb="FFE6F0F0"/>
      </patternFill>
    </fill>
    <fill>
      <patternFill patternType="solid">
        <fgColor rgb="FFE9F2E2"/>
        <bgColor rgb="FFE6F0F0"/>
      </patternFill>
    </fill>
    <fill>
      <patternFill patternType="solid">
        <fgColor rgb="FFFFFACD"/>
        <bgColor rgb="FFFFF2CC"/>
      </patternFill>
    </fill>
    <fill>
      <patternFill patternType="solid">
        <fgColor rgb="FFFFF0B3"/>
        <bgColor rgb="FFFFF2CC"/>
      </patternFill>
    </fill>
    <fill>
      <patternFill patternType="solid">
        <fgColor rgb="FFFBF6E0"/>
        <bgColor rgb="FFFBF1DC"/>
      </patternFill>
    </fill>
    <fill>
      <patternFill patternType="solid">
        <fgColor rgb="FFF6E8E7"/>
        <bgColor rgb="FFEDEAF4"/>
      </patternFill>
    </fill>
    <fill>
      <patternFill patternType="solid">
        <fgColor rgb="FFE6F0F0"/>
        <bgColor rgb="FFE8EEF6"/>
      </patternFill>
    </fill>
    <fill>
      <patternFill patternType="solid">
        <fgColor rgb="FFEDEAF4"/>
        <bgColor rgb="FFEDE7F6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0" fontId="21" fillId="34" borderId="0" applyNumberFormat="0" applyBorder="0" applyAlignment="0" applyProtection="0"/>
    <xf numFmtId="0" fontId="22" fillId="35" borderId="0" applyNumberFormat="0" applyBorder="0" applyAlignment="0" applyProtection="0"/>
  </cellStyleXfs>
  <cellXfs count="260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center" vertical="center" wrapText="1"/>
    </xf>
    <xf numFmtId="165" fontId="6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center" vertical="center" wrapText="1"/>
    </xf>
    <xf numFmtId="165" fontId="9" fillId="14" borderId="1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165" fontId="9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top" wrapText="1"/>
    </xf>
    <xf numFmtId="164" fontId="9" fillId="16" borderId="1" xfId="0" applyNumberFormat="1" applyFont="1" applyFill="1" applyBorder="1" applyAlignment="1">
      <alignment horizontal="center" vertical="center" wrapText="1"/>
    </xf>
    <xf numFmtId="165" fontId="9" fillId="16" borderId="1" xfId="0" applyNumberFormat="1" applyFont="1" applyFill="1" applyBorder="1" applyAlignment="1">
      <alignment horizontal="center" vertical="center" wrapText="1"/>
    </xf>
    <xf numFmtId="165" fontId="6" fillId="16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165" fontId="9" fillId="17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166" fontId="6" fillId="16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top" wrapText="1"/>
    </xf>
    <xf numFmtId="0" fontId="8" fillId="18" borderId="1" xfId="0" applyFont="1" applyFill="1" applyBorder="1" applyAlignment="1">
      <alignment horizontal="left" vertical="top" wrapText="1"/>
    </xf>
    <xf numFmtId="0" fontId="7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7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top" wrapText="1"/>
    </xf>
    <xf numFmtId="0" fontId="8" fillId="15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top" wrapText="1"/>
    </xf>
    <xf numFmtId="0" fontId="8" fillId="19" borderId="1" xfId="0" applyFont="1" applyFill="1" applyBorder="1" applyAlignment="1">
      <alignment horizontal="left" vertical="top" wrapText="1"/>
    </xf>
    <xf numFmtId="0" fontId="7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167" fontId="9" fillId="15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168" fontId="9" fillId="15" borderId="1" xfId="0" applyNumberFormat="1" applyFont="1" applyFill="1" applyBorder="1" applyAlignment="1">
      <alignment horizontal="center" vertical="center" wrapText="1"/>
    </xf>
    <xf numFmtId="168" fontId="14" fillId="3" borderId="1" xfId="0" applyNumberFormat="1" applyFont="1" applyFill="1" applyBorder="1" applyAlignment="1">
      <alignment horizontal="center" vertical="center" wrapText="1"/>
    </xf>
    <xf numFmtId="169" fontId="9" fillId="15" borderId="1" xfId="0" applyNumberFormat="1" applyFont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68" fontId="14" fillId="2" borderId="1" xfId="0" applyNumberFormat="1" applyFont="1" applyFill="1" applyBorder="1" applyAlignment="1">
      <alignment horizontal="center" vertical="center" wrapText="1"/>
    </xf>
    <xf numFmtId="169" fontId="6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3" fillId="2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16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165" fontId="6" fillId="20" borderId="1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165" fontId="6" fillId="14" borderId="1" xfId="0" applyNumberFormat="1" applyFont="1" applyFill="1" applyBorder="1" applyAlignment="1">
      <alignment horizontal="center" vertical="center" wrapText="1"/>
    </xf>
    <xf numFmtId="9" fontId="9" fillId="16" borderId="1" xfId="0" applyNumberFormat="1" applyFont="1" applyFill="1" applyBorder="1" applyAlignment="1">
      <alignment horizontal="center" vertical="center" wrapText="1"/>
    </xf>
    <xf numFmtId="170" fontId="6" fillId="16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3" fontId="9" fillId="24" borderId="1" xfId="0" applyNumberFormat="1" applyFont="1" applyFill="1" applyBorder="1" applyAlignment="1">
      <alignment horizontal="center" vertical="center" wrapText="1"/>
    </xf>
    <xf numFmtId="167" fontId="9" fillId="24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9" fillId="1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165" fontId="14" fillId="25" borderId="1" xfId="0" applyNumberFormat="1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top" wrapText="1"/>
    </xf>
    <xf numFmtId="0" fontId="13" fillId="26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left" vertical="top" wrapText="1"/>
    </xf>
    <xf numFmtId="0" fontId="7" fillId="26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left" vertical="center" wrapText="1"/>
    </xf>
    <xf numFmtId="165" fontId="6" fillId="25" borderId="1" xfId="0" applyNumberFormat="1" applyFont="1" applyFill="1" applyBorder="1" applyAlignment="1">
      <alignment horizontal="center" vertical="center" wrapText="1"/>
    </xf>
    <xf numFmtId="3" fontId="6" fillId="25" borderId="1" xfId="0" applyNumberFormat="1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top" wrapText="1"/>
    </xf>
    <xf numFmtId="0" fontId="7" fillId="27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 wrapText="1"/>
    </xf>
    <xf numFmtId="3" fontId="6" fillId="24" borderId="1" xfId="0" applyNumberFormat="1" applyFont="1" applyFill="1" applyBorder="1" applyAlignment="1">
      <alignment horizontal="center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8" fillId="28" borderId="1" xfId="0" applyFont="1" applyFill="1" applyBorder="1" applyAlignment="1">
      <alignment horizontal="left" vertical="top" wrapText="1"/>
    </xf>
    <xf numFmtId="0" fontId="7" fillId="28" borderId="1" xfId="0" applyFont="1" applyFill="1" applyBorder="1" applyAlignment="1">
      <alignment horizontal="left" vertical="center" wrapText="1"/>
    </xf>
    <xf numFmtId="0" fontId="13" fillId="29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left" vertical="center" wrapText="1"/>
    </xf>
    <xf numFmtId="0" fontId="8" fillId="29" borderId="1" xfId="0" applyFont="1" applyFill="1" applyBorder="1" applyAlignment="1">
      <alignment horizontal="left" vertical="top" wrapText="1"/>
    </xf>
    <xf numFmtId="0" fontId="7" fillId="29" borderId="1" xfId="0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horizontal="center" vertical="center" wrapText="1"/>
    </xf>
    <xf numFmtId="0" fontId="17" fillId="30" borderId="1" xfId="0" applyFont="1" applyFill="1" applyBorder="1" applyAlignment="1">
      <alignment horizontal="left" vertical="center" wrapText="1"/>
    </xf>
    <xf numFmtId="0" fontId="8" fillId="30" borderId="1" xfId="0" applyFont="1" applyFill="1" applyBorder="1" applyAlignment="1">
      <alignment horizontal="left" vertical="top" wrapText="1"/>
    </xf>
    <xf numFmtId="0" fontId="7" fillId="30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left" vertical="center" wrapText="1"/>
    </xf>
    <xf numFmtId="0" fontId="13" fillId="31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17" fillId="31" borderId="1" xfId="0" applyFont="1" applyFill="1" applyBorder="1" applyAlignment="1">
      <alignment horizontal="left" vertical="center" wrapText="1"/>
    </xf>
    <xf numFmtId="0" fontId="8" fillId="31" borderId="1" xfId="0" applyFont="1" applyFill="1" applyBorder="1" applyAlignment="1">
      <alignment horizontal="left" vertical="top" wrapText="1"/>
    </xf>
    <xf numFmtId="0" fontId="7" fillId="31" borderId="1" xfId="0" applyFont="1" applyFill="1" applyBorder="1" applyAlignment="1">
      <alignment horizontal="left" vertical="center" wrapText="1"/>
    </xf>
    <xf numFmtId="0" fontId="13" fillId="32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17" fillId="32" borderId="1" xfId="0" applyFont="1" applyFill="1" applyBorder="1" applyAlignment="1">
      <alignment horizontal="left" vertical="center" wrapText="1"/>
    </xf>
    <xf numFmtId="0" fontId="8" fillId="32" borderId="1" xfId="0" applyFont="1" applyFill="1" applyBorder="1" applyAlignment="1">
      <alignment horizontal="left" vertical="top" wrapText="1"/>
    </xf>
    <xf numFmtId="0" fontId="7" fillId="32" borderId="1" xfId="0" applyFont="1" applyFill="1" applyBorder="1" applyAlignment="1">
      <alignment horizontal="left" vertical="center" wrapText="1"/>
    </xf>
    <xf numFmtId="0" fontId="13" fillId="33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17" fillId="33" borderId="1" xfId="0" applyFont="1" applyFill="1" applyBorder="1" applyAlignment="1">
      <alignment horizontal="left" vertical="center" wrapText="1"/>
    </xf>
    <xf numFmtId="0" fontId="8" fillId="33" borderId="1" xfId="0" applyFont="1" applyFill="1" applyBorder="1" applyAlignment="1">
      <alignment horizontal="left" vertical="top" wrapText="1"/>
    </xf>
    <xf numFmtId="0" fontId="7" fillId="33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71" fontId="19" fillId="3" borderId="1" xfId="0" applyNumberFormat="1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26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left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8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18" fillId="29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left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18" fillId="30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center" wrapText="1"/>
    </xf>
    <xf numFmtId="0" fontId="2" fillId="30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left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left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left" vertical="center" wrapText="1"/>
    </xf>
    <xf numFmtId="0" fontId="7" fillId="32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18" fillId="33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left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/>
    <xf numFmtId="0" fontId="2" fillId="11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left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center" wrapText="1"/>
    </xf>
    <xf numFmtId="0" fontId="21" fillId="34" borderId="1" xfId="1" applyBorder="1" applyAlignment="1">
      <alignment horizontal="left" vertical="top" wrapText="1"/>
    </xf>
    <xf numFmtId="0" fontId="22" fillId="35" borderId="1" xfId="2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6" fillId="4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22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21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left" vertic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F2F2F2"/>
      <rgbColor rgb="FF800000"/>
      <rgbColor rgb="FF008000"/>
      <rgbColor rgb="FF000080"/>
      <rgbColor rgb="FF9C6500"/>
      <rgbColor rgb="FF800080"/>
      <rgbColor rgb="FF1F4E79"/>
      <rgbColor rgb="FFC0C0C0"/>
      <rgbColor rgb="FFE8EEF6"/>
      <rgbColor rgb="FFDCE6F1"/>
      <rgbColor rgb="FF7B5800"/>
      <rgbColor rgb="FFFFFACD"/>
      <rgbColor rgb="FFD4F1F4"/>
      <rgbColor rgb="FF4B0082"/>
      <rgbColor rgb="FFEDEAF4"/>
      <rgbColor rgb="FF005073"/>
      <rgbColor rgb="FFBDD7EE"/>
      <rgbColor rgb="FF000080"/>
      <rgbColor rgb="FFFF00FF"/>
      <rgbColor rgb="FFFBF1DC"/>
      <rgbColor rgb="FF00FFFF"/>
      <rgbColor rgb="FF800080"/>
      <rgbColor rgb="FF800000"/>
      <rgbColor rgb="FF008080"/>
      <rgbColor rgb="FF0000FF"/>
      <rgbColor rgb="FF00CCFF"/>
      <rgbColor rgb="FFDDEEFF"/>
      <rgbColor rgb="FFE2EFDA"/>
      <rgbColor rgb="FFFFF0B3"/>
      <rgbColor rgb="FFC6E0F7"/>
      <rgbColor rgb="FFF2DCDB"/>
      <rgbColor rgb="FFD9E1F2"/>
      <rgbColor rgb="FFFFE699"/>
      <rgbColor rgb="FF2E75B6"/>
      <rgbColor rgb="FFE6F0F0"/>
      <rgbColor rgb="FFE9F2E2"/>
      <rgbColor rgb="FFF6E8E7"/>
      <rgbColor rgb="FFFBF6E0"/>
      <rgbColor rgb="FFFF6600"/>
      <rgbColor rgb="FF595959"/>
      <rgbColor rgb="FFEDE7F6"/>
      <rgbColor rgb="FF1F3864"/>
      <rgbColor rgb="FF339966"/>
      <rgbColor rgb="FF003300"/>
      <rgbColor rgb="FF333300"/>
      <rgbColor rgb="FF7B3F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5"/>
  <sheetViews>
    <sheetView showGridLines="0" tabSelected="1" zoomScaleNormal="100" workbookViewId="0">
      <pane xSplit="6" ySplit="5" topLeftCell="G11" activePane="bottomRight" state="frozen"/>
      <selection activeCell="D6" sqref="D6"/>
      <selection pane="topRight" activeCell="D6" sqref="D6"/>
      <selection pane="bottomLeft" activeCell="D6" sqref="D6"/>
      <selection pane="bottomRight" activeCell="G17" sqref="G17:Q17"/>
    </sheetView>
  </sheetViews>
  <sheetFormatPr defaultColWidth="8.73046875" defaultRowHeight="14.25" x14ac:dyDescent="0.45"/>
  <cols>
    <col min="1" max="1" width="9" customWidth="1"/>
    <col min="2" max="2" width="5" customWidth="1"/>
    <col min="3" max="3" width="22" customWidth="1"/>
    <col min="4" max="4" width="10" customWidth="1"/>
    <col min="5" max="5" width="30" customWidth="1"/>
    <col min="6" max="6" width="18" customWidth="1"/>
    <col min="7" max="10" width="6" customWidth="1"/>
    <col min="11" max="12" width="7" customWidth="1"/>
    <col min="13" max="13" width="8" customWidth="1"/>
    <col min="14" max="14" width="6" customWidth="1"/>
    <col min="15" max="15" width="12" customWidth="1"/>
    <col min="16" max="16" width="7" customWidth="1"/>
    <col min="17" max="18" width="9" customWidth="1"/>
    <col min="19" max="22" width="6" customWidth="1"/>
    <col min="23" max="23" width="7" customWidth="1"/>
    <col min="24" max="24" width="6" customWidth="1"/>
    <col min="25" max="28" width="7" customWidth="1"/>
    <col min="29" max="29" width="36" customWidth="1"/>
    <col min="30" max="31" width="24" customWidth="1"/>
    <col min="32" max="32" width="9" customWidth="1"/>
    <col min="33" max="34" width="8" customWidth="1"/>
    <col min="35" max="35" width="7" customWidth="1"/>
    <col min="36" max="47" width="6" customWidth="1"/>
    <col min="48" max="48" width="2" customWidth="1"/>
    <col min="49" max="54" width="9" customWidth="1"/>
    <col min="55" max="55" width="13" customWidth="1"/>
    <col min="56" max="57" width="10" customWidth="1"/>
  </cols>
  <sheetData>
    <row r="1" spans="1:57" ht="27.75" customHeight="1" x14ac:dyDescent="0.45">
      <c r="A1" s="241" t="s">
        <v>635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</row>
    <row r="2" spans="1:57" ht="37.5" customHeight="1" x14ac:dyDescent="0.45">
      <c r="A2" s="236" t="s">
        <v>352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</row>
    <row r="4" spans="1:57" ht="13.5" customHeight="1" x14ac:dyDescent="0.45">
      <c r="A4" s="242" t="s">
        <v>353</v>
      </c>
      <c r="B4" s="242"/>
      <c r="C4" s="242"/>
      <c r="D4" s="242"/>
      <c r="E4" s="242"/>
      <c r="F4" s="242"/>
      <c r="G4" s="243" t="s">
        <v>354</v>
      </c>
      <c r="H4" s="243"/>
      <c r="I4" s="243"/>
      <c r="J4" s="243"/>
      <c r="K4" s="243"/>
      <c r="L4" s="243"/>
      <c r="M4" s="243"/>
      <c r="N4" s="244" t="s">
        <v>355</v>
      </c>
      <c r="O4" s="244"/>
      <c r="P4" s="244"/>
      <c r="Q4" s="244"/>
      <c r="R4" s="96" t="s">
        <v>356</v>
      </c>
      <c r="S4" s="245" t="s">
        <v>357</v>
      </c>
      <c r="T4" s="245"/>
      <c r="U4" s="245"/>
      <c r="V4" s="245"/>
      <c r="W4" s="246" t="s">
        <v>358</v>
      </c>
      <c r="X4" s="246"/>
      <c r="Y4" s="246"/>
      <c r="Z4" s="246"/>
      <c r="AA4" s="246"/>
      <c r="AB4" s="246"/>
      <c r="AC4" s="246"/>
      <c r="AD4" s="247" t="s">
        <v>359</v>
      </c>
      <c r="AE4" s="247"/>
      <c r="AF4" s="248" t="s">
        <v>360</v>
      </c>
      <c r="AG4" s="248"/>
      <c r="AH4" s="248"/>
      <c r="AI4" s="248"/>
      <c r="AJ4" s="248" t="s">
        <v>361</v>
      </c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W4" s="244" t="s">
        <v>362</v>
      </c>
      <c r="AX4" s="244"/>
      <c r="AY4" s="244"/>
      <c r="AZ4" s="244"/>
      <c r="BA4" s="244"/>
      <c r="BB4" s="244"/>
      <c r="BC4" s="249" t="s">
        <v>363</v>
      </c>
      <c r="BD4" s="249"/>
      <c r="BE4" s="249"/>
    </row>
    <row r="5" spans="1:57" ht="42" customHeight="1" x14ac:dyDescent="0.45">
      <c r="A5" s="2" t="s">
        <v>364</v>
      </c>
      <c r="B5" s="2" t="s">
        <v>205</v>
      </c>
      <c r="C5" s="2" t="s">
        <v>171</v>
      </c>
      <c r="D5" s="2" t="s">
        <v>17</v>
      </c>
      <c r="E5" s="2" t="s">
        <v>365</v>
      </c>
      <c r="F5" s="2" t="s">
        <v>16</v>
      </c>
      <c r="G5" s="76" t="s">
        <v>366</v>
      </c>
      <c r="H5" s="76" t="s">
        <v>367</v>
      </c>
      <c r="I5" s="76" t="s">
        <v>368</v>
      </c>
      <c r="J5" s="76" t="s">
        <v>369</v>
      </c>
      <c r="K5" s="76" t="s">
        <v>370</v>
      </c>
      <c r="L5" s="76" t="s">
        <v>371</v>
      </c>
      <c r="M5" s="76" t="s">
        <v>372</v>
      </c>
      <c r="N5" s="4" t="s">
        <v>373</v>
      </c>
      <c r="O5" s="4" t="s">
        <v>374</v>
      </c>
      <c r="P5" s="4" t="s">
        <v>375</v>
      </c>
      <c r="Q5" s="4" t="s">
        <v>376</v>
      </c>
      <c r="R5" s="97" t="s">
        <v>377</v>
      </c>
      <c r="S5" s="3" t="s">
        <v>378</v>
      </c>
      <c r="T5" s="3" t="s">
        <v>379</v>
      </c>
      <c r="U5" s="3" t="s">
        <v>380</v>
      </c>
      <c r="V5" s="3" t="s">
        <v>381</v>
      </c>
      <c r="W5" s="7" t="s">
        <v>382</v>
      </c>
      <c r="X5" s="7" t="s">
        <v>383</v>
      </c>
      <c r="Y5" s="7" t="s">
        <v>384</v>
      </c>
      <c r="Z5" s="7" t="s">
        <v>385</v>
      </c>
      <c r="AA5" s="7" t="s">
        <v>386</v>
      </c>
      <c r="AB5" s="7" t="s">
        <v>387</v>
      </c>
      <c r="AC5" s="7" t="s">
        <v>388</v>
      </c>
      <c r="AD5" s="8" t="s">
        <v>389</v>
      </c>
      <c r="AE5" s="8" t="s">
        <v>390</v>
      </c>
      <c r="AF5" s="97" t="s">
        <v>391</v>
      </c>
      <c r="AG5" s="97" t="s">
        <v>392</v>
      </c>
      <c r="AH5" s="97" t="s">
        <v>393</v>
      </c>
      <c r="AI5" s="97" t="s">
        <v>394</v>
      </c>
      <c r="AJ5" s="97" t="s">
        <v>179</v>
      </c>
      <c r="AK5" s="97" t="s">
        <v>180</v>
      </c>
      <c r="AL5" s="97" t="s">
        <v>181</v>
      </c>
      <c r="AM5" s="97" t="s">
        <v>182</v>
      </c>
      <c r="AN5" s="97" t="s">
        <v>183</v>
      </c>
      <c r="AO5" s="97" t="s">
        <v>184</v>
      </c>
      <c r="AP5" s="97" t="s">
        <v>185</v>
      </c>
      <c r="AQ5" s="97" t="s">
        <v>186</v>
      </c>
      <c r="AR5" s="97" t="s">
        <v>187</v>
      </c>
      <c r="AS5" s="97" t="s">
        <v>188</v>
      </c>
      <c r="AT5" s="97" t="s">
        <v>189</v>
      </c>
      <c r="AU5" s="97" t="s">
        <v>190</v>
      </c>
      <c r="AW5" s="4" t="s">
        <v>395</v>
      </c>
      <c r="AX5" s="4" t="s">
        <v>396</v>
      </c>
      <c r="AY5" s="4" t="s">
        <v>397</v>
      </c>
      <c r="AZ5" s="4" t="s">
        <v>398</v>
      </c>
      <c r="BA5" s="4" t="s">
        <v>399</v>
      </c>
      <c r="BB5" s="4" t="s">
        <v>400</v>
      </c>
      <c r="BC5" s="98" t="s">
        <v>401</v>
      </c>
      <c r="BD5" s="98" t="s">
        <v>402</v>
      </c>
      <c r="BE5" s="98" t="s">
        <v>403</v>
      </c>
    </row>
    <row r="6" spans="1:57" ht="18" customHeight="1" x14ac:dyDescent="0.45">
      <c r="A6" s="238" t="s">
        <v>404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</row>
    <row r="7" spans="1:57" ht="45.75" customHeight="1" x14ac:dyDescent="0.45">
      <c r="A7" s="99" t="s">
        <v>405</v>
      </c>
      <c r="B7" s="14">
        <v>1</v>
      </c>
      <c r="C7" s="100" t="s">
        <v>406</v>
      </c>
      <c r="D7" s="14" t="s">
        <v>49</v>
      </c>
      <c r="E7" s="12" t="s">
        <v>47</v>
      </c>
      <c r="F7" s="13" t="s">
        <v>407</v>
      </c>
      <c r="G7" s="101">
        <f t="shared" ref="G7:G20" si="0">S7*T7/1000</f>
        <v>0.12903000000000001</v>
      </c>
      <c r="H7" s="101">
        <f t="shared" ref="H7:H20" si="1">U7*V7/1000</f>
        <v>0.56100000000000005</v>
      </c>
      <c r="I7" s="25">
        <v>0.04</v>
      </c>
      <c r="J7" s="29">
        <v>0</v>
      </c>
      <c r="K7" s="101">
        <f t="shared" ref="K7:K20" si="2">G7+H7+I7+J7</f>
        <v>0.73003000000000007</v>
      </c>
      <c r="L7" s="101">
        <v>0</v>
      </c>
      <c r="M7" s="101">
        <f t="shared" ref="M7:M20" si="3">K7+L7</f>
        <v>0.73003000000000007</v>
      </c>
      <c r="N7" s="32">
        <v>0.25</v>
      </c>
      <c r="O7" s="102">
        <v>0</v>
      </c>
      <c r="P7" s="103">
        <f t="shared" ref="P7:P20" si="4">M7+N7</f>
        <v>0.98003000000000007</v>
      </c>
      <c r="Q7" s="37">
        <f>P7-N7</f>
        <v>0.73003000000000007</v>
      </c>
      <c r="R7" s="14"/>
      <c r="S7" s="16">
        <v>2.2999999999999998</v>
      </c>
      <c r="T7" s="16">
        <v>56.1</v>
      </c>
      <c r="U7" s="16">
        <v>10</v>
      </c>
      <c r="V7" s="16">
        <v>56.1</v>
      </c>
      <c r="W7" s="32">
        <v>1.82</v>
      </c>
      <c r="X7" s="104">
        <v>0.1</v>
      </c>
      <c r="Y7" s="33">
        <f t="shared" ref="Y7:Y20" si="5">W7*(1+X7)</f>
        <v>2.0020000000000002</v>
      </c>
      <c r="Z7" s="32">
        <v>0.48099999999999998</v>
      </c>
      <c r="AA7" s="105">
        <f t="shared" ref="AA7:AA20" si="6">Q7-Y7</f>
        <v>-1.27197</v>
      </c>
      <c r="AB7" s="105">
        <f t="shared" ref="AB7:AB20" si="7">Q7-Z7</f>
        <v>0.24903000000000008</v>
      </c>
      <c r="AC7" s="106" t="s">
        <v>409</v>
      </c>
      <c r="AD7" s="107" t="s">
        <v>410</v>
      </c>
      <c r="AE7" s="108" t="s">
        <v>411</v>
      </c>
      <c r="AF7" s="109">
        <v>5100</v>
      </c>
      <c r="AG7" s="109">
        <v>580</v>
      </c>
      <c r="AH7" s="109">
        <v>1400</v>
      </c>
      <c r="AI7" s="110">
        <v>4.3999999999999997E-2</v>
      </c>
      <c r="AJ7" s="111">
        <f t="shared" ref="AJ7:AJ20" si="8">AG7</f>
        <v>580</v>
      </c>
      <c r="AK7" s="111">
        <f t="shared" ref="AK7:AK20" si="9">ROUND(AJ7*(1+AI7),0)</f>
        <v>606</v>
      </c>
      <c r="AL7" s="111">
        <f t="shared" ref="AL7:AL20" si="10">ROUND(AK7*(1+AI7),0)</f>
        <v>633</v>
      </c>
      <c r="AM7" s="111">
        <f t="shared" ref="AM7:AM20" si="11">ROUND(AL7*(1+AI7),0)</f>
        <v>661</v>
      </c>
      <c r="AN7" s="111">
        <f t="shared" ref="AN7:AN20" si="12">ROUND(AM7*(1+AI7),0)</f>
        <v>690</v>
      </c>
      <c r="AO7" s="111">
        <f t="shared" ref="AO7:AO20" si="13">ROUND(AN7*(1+AI7),0)</f>
        <v>720</v>
      </c>
      <c r="AP7" s="111">
        <f t="shared" ref="AP7:AP20" si="14">ROUND(AO7*(1+AI7),0)</f>
        <v>752</v>
      </c>
      <c r="AQ7" s="111">
        <f t="shared" ref="AQ7:AQ20" si="15">ROUND(AP7*(1+AI7),0)</f>
        <v>785</v>
      </c>
      <c r="AR7" s="111">
        <f t="shared" ref="AR7:AR20" si="16">ROUND(AQ7*(1+AI7),0)</f>
        <v>820</v>
      </c>
      <c r="AS7" s="111">
        <f t="shared" ref="AS7:AS20" si="17">ROUND(AR7*(1+AI7),0)</f>
        <v>856</v>
      </c>
      <c r="AT7" s="111">
        <f t="shared" ref="AT7:AT20" si="18">ROUND(AS7*(1+AI7),0)</f>
        <v>894</v>
      </c>
      <c r="AU7" s="111">
        <f t="shared" ref="AU7:AU20" si="19">ROUND(AT7*(1+AI7),0)</f>
        <v>933</v>
      </c>
      <c r="AW7" s="112"/>
      <c r="AX7" s="52"/>
      <c r="AY7" s="52"/>
      <c r="AZ7" s="17">
        <f>K7</f>
        <v>0.73003000000000007</v>
      </c>
      <c r="BA7" s="52"/>
      <c r="BB7" s="103">
        <f t="shared" ref="BB7:BB20" si="20">AJ7*Q7/1000</f>
        <v>0.42341740000000005</v>
      </c>
      <c r="BC7" s="113" t="s">
        <v>412</v>
      </c>
      <c r="BD7" s="114">
        <f>Q7</f>
        <v>0.73003000000000007</v>
      </c>
      <c r="BE7" s="115"/>
    </row>
    <row r="8" spans="1:57" ht="45.75" customHeight="1" x14ac:dyDescent="0.45">
      <c r="A8" s="116" t="s">
        <v>405</v>
      </c>
      <c r="B8" s="46">
        <v>2</v>
      </c>
      <c r="C8" s="117" t="s">
        <v>413</v>
      </c>
      <c r="D8" s="46" t="s">
        <v>49</v>
      </c>
      <c r="E8" s="44" t="s">
        <v>66</v>
      </c>
      <c r="F8" s="45" t="s">
        <v>67</v>
      </c>
      <c r="G8" s="101">
        <f t="shared" si="0"/>
        <v>0.14025000000000001</v>
      </c>
      <c r="H8" s="101">
        <f t="shared" si="1"/>
        <v>0</v>
      </c>
      <c r="I8" s="25">
        <v>1.4999999999999999E-2</v>
      </c>
      <c r="J8" s="29">
        <v>0</v>
      </c>
      <c r="K8" s="101">
        <f t="shared" si="2"/>
        <v>0.15525</v>
      </c>
      <c r="L8" s="101">
        <v>0</v>
      </c>
      <c r="M8" s="101">
        <f t="shared" si="3"/>
        <v>0.15525</v>
      </c>
      <c r="N8" s="32">
        <v>0.25</v>
      </c>
      <c r="O8" s="102">
        <v>0</v>
      </c>
      <c r="P8" s="103">
        <f t="shared" si="4"/>
        <v>0.40525</v>
      </c>
      <c r="Q8" s="37">
        <f>P8-N8</f>
        <v>0.15525</v>
      </c>
      <c r="R8" s="46"/>
      <c r="S8" s="16">
        <v>2.5</v>
      </c>
      <c r="T8" s="16">
        <v>56.1</v>
      </c>
      <c r="U8" s="16">
        <v>0</v>
      </c>
      <c r="V8" s="16">
        <v>0</v>
      </c>
      <c r="W8" s="32">
        <v>0.72</v>
      </c>
      <c r="X8" s="104">
        <v>0.1</v>
      </c>
      <c r="Y8" s="33">
        <f t="shared" si="5"/>
        <v>0.79200000000000004</v>
      </c>
      <c r="Z8" s="32">
        <v>7.1999999999999995E-2</v>
      </c>
      <c r="AA8" s="105">
        <f t="shared" si="6"/>
        <v>-0.63675000000000004</v>
      </c>
      <c r="AB8" s="105">
        <f t="shared" si="7"/>
        <v>8.3250000000000005E-2</v>
      </c>
      <c r="AC8" s="106" t="s">
        <v>414</v>
      </c>
      <c r="AD8" s="107" t="s">
        <v>415</v>
      </c>
      <c r="AE8" s="107" t="s">
        <v>416</v>
      </c>
      <c r="AF8" s="109">
        <v>4800</v>
      </c>
      <c r="AG8" s="109">
        <v>300</v>
      </c>
      <c r="AH8" s="109">
        <v>900</v>
      </c>
      <c r="AI8" s="110">
        <v>4.3999999999999997E-2</v>
      </c>
      <c r="AJ8" s="111">
        <f t="shared" si="8"/>
        <v>300</v>
      </c>
      <c r="AK8" s="111">
        <f t="shared" si="9"/>
        <v>313</v>
      </c>
      <c r="AL8" s="111">
        <f t="shared" si="10"/>
        <v>327</v>
      </c>
      <c r="AM8" s="111">
        <f t="shared" si="11"/>
        <v>341</v>
      </c>
      <c r="AN8" s="111">
        <f t="shared" si="12"/>
        <v>356</v>
      </c>
      <c r="AO8" s="111">
        <f t="shared" si="13"/>
        <v>372</v>
      </c>
      <c r="AP8" s="111">
        <f t="shared" si="14"/>
        <v>388</v>
      </c>
      <c r="AQ8" s="111">
        <f t="shared" si="15"/>
        <v>405</v>
      </c>
      <c r="AR8" s="111">
        <f t="shared" si="16"/>
        <v>423</v>
      </c>
      <c r="AS8" s="111">
        <f t="shared" si="17"/>
        <v>442</v>
      </c>
      <c r="AT8" s="111">
        <f t="shared" si="18"/>
        <v>461</v>
      </c>
      <c r="AU8" s="111">
        <f t="shared" si="19"/>
        <v>481</v>
      </c>
      <c r="AW8" s="112"/>
      <c r="AX8" s="52"/>
      <c r="AY8" s="52"/>
      <c r="AZ8" s="17">
        <f>K8</f>
        <v>0.15525</v>
      </c>
      <c r="BA8" s="52"/>
      <c r="BB8" s="103">
        <f t="shared" si="20"/>
        <v>4.6575000000000005E-2</v>
      </c>
      <c r="BC8" s="113" t="s">
        <v>412</v>
      </c>
      <c r="BD8" s="114">
        <f>Q8</f>
        <v>0.15525</v>
      </c>
      <c r="BE8" s="115"/>
    </row>
    <row r="9" spans="1:57" ht="45.75" customHeight="1" x14ac:dyDescent="0.45">
      <c r="A9" s="118" t="s">
        <v>405</v>
      </c>
      <c r="B9" s="52">
        <v>3</v>
      </c>
      <c r="C9" s="119" t="s">
        <v>417</v>
      </c>
      <c r="D9" s="52" t="s">
        <v>49</v>
      </c>
      <c r="E9" s="50" t="s">
        <v>418</v>
      </c>
      <c r="F9" s="51" t="s">
        <v>419</v>
      </c>
      <c r="G9" s="101">
        <f t="shared" si="0"/>
        <v>0.38439999999999996</v>
      </c>
      <c r="H9" s="101">
        <f t="shared" si="1"/>
        <v>1.5375999999999999</v>
      </c>
      <c r="I9" s="25">
        <v>0.25</v>
      </c>
      <c r="J9" s="29">
        <v>0</v>
      </c>
      <c r="K9" s="101">
        <f t="shared" si="2"/>
        <v>2.1719999999999997</v>
      </c>
      <c r="L9" s="101">
        <v>0</v>
      </c>
      <c r="M9" s="101">
        <f t="shared" si="3"/>
        <v>2.1719999999999997</v>
      </c>
      <c r="N9" s="32">
        <v>0.1875</v>
      </c>
      <c r="O9" s="102">
        <v>0</v>
      </c>
      <c r="P9" s="103">
        <f t="shared" si="4"/>
        <v>2.3594999999999997</v>
      </c>
      <c r="Q9" s="37">
        <f>P9-N9</f>
        <v>2.1719999999999997</v>
      </c>
      <c r="R9" s="52"/>
      <c r="S9" s="16">
        <v>4</v>
      </c>
      <c r="T9" s="16">
        <v>96.1</v>
      </c>
      <c r="U9" s="16">
        <v>16</v>
      </c>
      <c r="V9" s="16">
        <v>96.1</v>
      </c>
      <c r="W9" s="32">
        <v>2.8</v>
      </c>
      <c r="X9" s="104">
        <v>0.1</v>
      </c>
      <c r="Y9" s="33">
        <f t="shared" si="5"/>
        <v>3.08</v>
      </c>
      <c r="Z9" s="32">
        <v>1.37</v>
      </c>
      <c r="AA9" s="105">
        <f t="shared" si="6"/>
        <v>-0.90800000000000036</v>
      </c>
      <c r="AB9" s="105">
        <f t="shared" si="7"/>
        <v>0.8019999999999996</v>
      </c>
      <c r="AC9" s="106" t="s">
        <v>420</v>
      </c>
      <c r="AD9" s="120" t="s">
        <v>421</v>
      </c>
      <c r="AE9" s="108" t="s">
        <v>422</v>
      </c>
      <c r="AF9" s="109">
        <v>0</v>
      </c>
      <c r="AG9" s="109">
        <v>0</v>
      </c>
      <c r="AH9" s="109">
        <v>0</v>
      </c>
      <c r="AI9" s="110">
        <v>0</v>
      </c>
      <c r="AJ9" s="111">
        <f t="shared" si="8"/>
        <v>0</v>
      </c>
      <c r="AK9" s="111">
        <f t="shared" si="9"/>
        <v>0</v>
      </c>
      <c r="AL9" s="111">
        <f t="shared" si="10"/>
        <v>0</v>
      </c>
      <c r="AM9" s="111">
        <f t="shared" si="11"/>
        <v>0</v>
      </c>
      <c r="AN9" s="111">
        <f t="shared" si="12"/>
        <v>0</v>
      </c>
      <c r="AO9" s="111">
        <f t="shared" si="13"/>
        <v>0</v>
      </c>
      <c r="AP9" s="111">
        <f t="shared" si="14"/>
        <v>0</v>
      </c>
      <c r="AQ9" s="111">
        <f t="shared" si="15"/>
        <v>0</v>
      </c>
      <c r="AR9" s="111">
        <f t="shared" si="16"/>
        <v>0</v>
      </c>
      <c r="AS9" s="111">
        <f t="shared" si="17"/>
        <v>0</v>
      </c>
      <c r="AT9" s="111">
        <f t="shared" si="18"/>
        <v>0</v>
      </c>
      <c r="AU9" s="111">
        <f t="shared" si="19"/>
        <v>0</v>
      </c>
      <c r="AW9" s="112"/>
      <c r="AX9" s="52"/>
      <c r="AY9" s="52"/>
      <c r="AZ9" s="17">
        <f>K9</f>
        <v>2.1719999999999997</v>
      </c>
      <c r="BA9" s="52"/>
      <c r="BB9" s="103">
        <f t="shared" si="20"/>
        <v>0</v>
      </c>
      <c r="BC9" s="113" t="s">
        <v>412</v>
      </c>
      <c r="BD9" s="114">
        <f>Q9</f>
        <v>2.1719999999999997</v>
      </c>
      <c r="BE9" s="115"/>
    </row>
    <row r="10" spans="1:57" ht="45.75" customHeight="1" x14ac:dyDescent="0.45">
      <c r="A10" s="121" t="s">
        <v>405</v>
      </c>
      <c r="B10" s="122">
        <v>4</v>
      </c>
      <c r="C10" s="123" t="s">
        <v>423</v>
      </c>
      <c r="D10" s="122" t="s">
        <v>424</v>
      </c>
      <c r="E10" s="124" t="s">
        <v>425</v>
      </c>
      <c r="F10" s="125" t="s">
        <v>426</v>
      </c>
      <c r="G10" s="101">
        <f t="shared" si="0"/>
        <v>0.36</v>
      </c>
      <c r="H10" s="101">
        <f t="shared" si="1"/>
        <v>1.7250000000000001</v>
      </c>
      <c r="I10" s="25">
        <v>0.7</v>
      </c>
      <c r="J10" s="29">
        <v>0</v>
      </c>
      <c r="K10" s="101">
        <f t="shared" si="2"/>
        <v>2.7850000000000001</v>
      </c>
      <c r="L10" s="101">
        <v>0</v>
      </c>
      <c r="M10" s="101">
        <f t="shared" si="3"/>
        <v>2.7850000000000001</v>
      </c>
      <c r="N10" s="32">
        <v>1.75</v>
      </c>
      <c r="O10" s="102">
        <v>0</v>
      </c>
      <c r="P10" s="103">
        <f t="shared" si="4"/>
        <v>4.5350000000000001</v>
      </c>
      <c r="Q10" s="37">
        <f>P10-N10</f>
        <v>2.7850000000000001</v>
      </c>
      <c r="R10" s="122"/>
      <c r="S10" s="16">
        <v>6</v>
      </c>
      <c r="T10" s="16">
        <v>60</v>
      </c>
      <c r="U10" s="16">
        <v>23</v>
      </c>
      <c r="V10" s="16">
        <v>75</v>
      </c>
      <c r="W10" s="32">
        <v>2.8</v>
      </c>
      <c r="X10" s="104">
        <v>0.1</v>
      </c>
      <c r="Y10" s="33">
        <f t="shared" si="5"/>
        <v>3.08</v>
      </c>
      <c r="Z10" s="32">
        <v>1.4</v>
      </c>
      <c r="AA10" s="105">
        <f t="shared" si="6"/>
        <v>-0.29499999999999993</v>
      </c>
      <c r="AB10" s="105">
        <f t="shared" si="7"/>
        <v>1.3850000000000002</v>
      </c>
      <c r="AC10" s="106" t="s">
        <v>427</v>
      </c>
      <c r="AD10" s="120" t="s">
        <v>428</v>
      </c>
      <c r="AE10" s="120" t="s">
        <v>429</v>
      </c>
      <c r="AF10" s="109">
        <v>0</v>
      </c>
      <c r="AG10" s="109">
        <v>0</v>
      </c>
      <c r="AH10" s="109">
        <v>0</v>
      </c>
      <c r="AI10" s="110">
        <v>5.5E-2</v>
      </c>
      <c r="AJ10" s="111">
        <f t="shared" si="8"/>
        <v>0</v>
      </c>
      <c r="AK10" s="111">
        <f t="shared" si="9"/>
        <v>0</v>
      </c>
      <c r="AL10" s="111">
        <f t="shared" si="10"/>
        <v>0</v>
      </c>
      <c r="AM10" s="111">
        <f t="shared" si="11"/>
        <v>0</v>
      </c>
      <c r="AN10" s="111">
        <f t="shared" si="12"/>
        <v>0</v>
      </c>
      <c r="AO10" s="111">
        <f t="shared" si="13"/>
        <v>0</v>
      </c>
      <c r="AP10" s="111">
        <f t="shared" si="14"/>
        <v>0</v>
      </c>
      <c r="AQ10" s="111">
        <f t="shared" si="15"/>
        <v>0</v>
      </c>
      <c r="AR10" s="111">
        <f t="shared" si="16"/>
        <v>0</v>
      </c>
      <c r="AS10" s="111">
        <f t="shared" si="17"/>
        <v>0</v>
      </c>
      <c r="AT10" s="111">
        <f t="shared" si="18"/>
        <v>0</v>
      </c>
      <c r="AU10" s="111">
        <f t="shared" si="19"/>
        <v>0</v>
      </c>
      <c r="AW10" s="112"/>
      <c r="AX10" s="52"/>
      <c r="AY10" s="52"/>
      <c r="AZ10" s="17">
        <f>K10</f>
        <v>2.7850000000000001</v>
      </c>
      <c r="BA10" s="52"/>
      <c r="BB10" s="103">
        <f t="shared" si="20"/>
        <v>0</v>
      </c>
      <c r="BC10" s="113" t="s">
        <v>412</v>
      </c>
      <c r="BD10" s="114">
        <f>Q10</f>
        <v>2.7850000000000001</v>
      </c>
      <c r="BE10" s="115"/>
    </row>
    <row r="11" spans="1:57" ht="45.75" customHeight="1" x14ac:dyDescent="0.45">
      <c r="A11" s="126" t="s">
        <v>405</v>
      </c>
      <c r="B11" s="61">
        <v>5</v>
      </c>
      <c r="C11" s="127" t="s">
        <v>174</v>
      </c>
      <c r="D11" s="61" t="s">
        <v>94</v>
      </c>
      <c r="E11" s="59" t="s">
        <v>92</v>
      </c>
      <c r="F11" s="60" t="s">
        <v>430</v>
      </c>
      <c r="G11" s="101">
        <f t="shared" si="0"/>
        <v>0.28829999999999995</v>
      </c>
      <c r="H11" s="101">
        <f t="shared" si="1"/>
        <v>0</v>
      </c>
      <c r="I11" s="25">
        <v>0.52600000000000002</v>
      </c>
      <c r="J11" s="29">
        <v>0</v>
      </c>
      <c r="K11" s="101">
        <f t="shared" si="2"/>
        <v>0.81430000000000002</v>
      </c>
      <c r="L11" s="101">
        <v>0</v>
      </c>
      <c r="M11" s="101">
        <f t="shared" si="3"/>
        <v>0.81430000000000002</v>
      </c>
      <c r="N11" s="32">
        <v>5.6250000000000001E-2</v>
      </c>
      <c r="O11" s="128">
        <v>1</v>
      </c>
      <c r="P11" s="103">
        <f t="shared" si="4"/>
        <v>0.87055000000000005</v>
      </c>
      <c r="Q11" s="37">
        <f t="shared" ref="Q11:Q16" si="21">P11</f>
        <v>0.87055000000000005</v>
      </c>
      <c r="R11" s="61"/>
      <c r="S11" s="16">
        <v>3</v>
      </c>
      <c r="T11" s="16">
        <v>96.1</v>
      </c>
      <c r="U11" s="16">
        <v>0</v>
      </c>
      <c r="V11" s="16">
        <v>0</v>
      </c>
      <c r="W11" s="32">
        <v>1.58</v>
      </c>
      <c r="X11" s="104">
        <v>0.1</v>
      </c>
      <c r="Y11" s="33">
        <f t="shared" si="5"/>
        <v>1.7380000000000002</v>
      </c>
      <c r="Z11" s="32">
        <v>0.66600000000000004</v>
      </c>
      <c r="AA11" s="105">
        <f t="shared" si="6"/>
        <v>-0.86745000000000017</v>
      </c>
      <c r="AB11" s="105">
        <f t="shared" si="7"/>
        <v>0.20455000000000001</v>
      </c>
      <c r="AC11" s="106" t="s">
        <v>432</v>
      </c>
      <c r="AD11" s="107" t="s">
        <v>433</v>
      </c>
      <c r="AE11" s="108" t="s">
        <v>434</v>
      </c>
      <c r="AF11" s="109">
        <v>50000</v>
      </c>
      <c r="AG11" s="109">
        <v>800</v>
      </c>
      <c r="AH11" s="109">
        <v>9700</v>
      </c>
      <c r="AI11" s="110">
        <v>3.3000000000000002E-2</v>
      </c>
      <c r="AJ11" s="111">
        <f t="shared" si="8"/>
        <v>800</v>
      </c>
      <c r="AK11" s="111">
        <f t="shared" si="9"/>
        <v>826</v>
      </c>
      <c r="AL11" s="111">
        <f t="shared" si="10"/>
        <v>853</v>
      </c>
      <c r="AM11" s="111">
        <f t="shared" si="11"/>
        <v>881</v>
      </c>
      <c r="AN11" s="111">
        <f t="shared" si="12"/>
        <v>910</v>
      </c>
      <c r="AO11" s="111">
        <f t="shared" si="13"/>
        <v>940</v>
      </c>
      <c r="AP11" s="111">
        <f t="shared" si="14"/>
        <v>971</v>
      </c>
      <c r="AQ11" s="111">
        <f t="shared" si="15"/>
        <v>1003</v>
      </c>
      <c r="AR11" s="111">
        <f t="shared" si="16"/>
        <v>1036</v>
      </c>
      <c r="AS11" s="111">
        <f t="shared" si="17"/>
        <v>1070</v>
      </c>
      <c r="AT11" s="111">
        <f t="shared" si="18"/>
        <v>1105</v>
      </c>
      <c r="AU11" s="111">
        <f t="shared" si="19"/>
        <v>1141</v>
      </c>
      <c r="AW11" s="112"/>
      <c r="AX11" s="52"/>
      <c r="AY11" s="52"/>
      <c r="AZ11" s="17">
        <f t="shared" ref="AZ11:AZ16" si="22">K11+N11</f>
        <v>0.87055000000000005</v>
      </c>
      <c r="BA11" s="52"/>
      <c r="BB11" s="103">
        <f t="shared" si="20"/>
        <v>0.69644000000000006</v>
      </c>
      <c r="BC11" s="129" t="s">
        <v>435</v>
      </c>
      <c r="BD11" s="130">
        <f>Q11/0.8</f>
        <v>1.0881875000000001</v>
      </c>
      <c r="BE11" s="131">
        <f>ROUND(AF11*0.8,0)</f>
        <v>40000</v>
      </c>
    </row>
    <row r="12" spans="1:57" ht="45.75" customHeight="1" x14ac:dyDescent="0.45">
      <c r="A12" s="132" t="s">
        <v>405</v>
      </c>
      <c r="B12" s="133">
        <v>6</v>
      </c>
      <c r="C12" s="134" t="s">
        <v>436</v>
      </c>
      <c r="D12" s="133" t="s">
        <v>424</v>
      </c>
      <c r="E12" s="135" t="s">
        <v>437</v>
      </c>
      <c r="F12" s="136" t="s">
        <v>438</v>
      </c>
      <c r="G12" s="101">
        <f t="shared" si="0"/>
        <v>0.19074000000000002</v>
      </c>
      <c r="H12" s="101">
        <f t="shared" si="1"/>
        <v>0</v>
      </c>
      <c r="I12" s="25">
        <v>0.45</v>
      </c>
      <c r="J12" s="29">
        <v>0</v>
      </c>
      <c r="K12" s="101">
        <f t="shared" si="2"/>
        <v>0.64074000000000009</v>
      </c>
      <c r="L12" s="101">
        <v>0</v>
      </c>
      <c r="M12" s="101">
        <f t="shared" si="3"/>
        <v>0.64074000000000009</v>
      </c>
      <c r="N12" s="32">
        <v>0.05</v>
      </c>
      <c r="O12" s="128">
        <v>1</v>
      </c>
      <c r="P12" s="103">
        <f t="shared" si="4"/>
        <v>0.69074000000000013</v>
      </c>
      <c r="Q12" s="37">
        <f t="shared" si="21"/>
        <v>0.69074000000000013</v>
      </c>
      <c r="R12" s="133"/>
      <c r="S12" s="16">
        <v>3.4</v>
      </c>
      <c r="T12" s="16">
        <v>56.1</v>
      </c>
      <c r="U12" s="16">
        <v>0</v>
      </c>
      <c r="V12" s="16">
        <v>0</v>
      </c>
      <c r="W12" s="32">
        <v>1.3</v>
      </c>
      <c r="X12" s="104">
        <v>0.01</v>
      </c>
      <c r="Y12" s="33">
        <f t="shared" si="5"/>
        <v>1.3130000000000002</v>
      </c>
      <c r="Z12" s="32">
        <v>0.55000000000000004</v>
      </c>
      <c r="AA12" s="105">
        <f t="shared" si="6"/>
        <v>-0.62226000000000004</v>
      </c>
      <c r="AB12" s="105">
        <f t="shared" si="7"/>
        <v>0.14074000000000009</v>
      </c>
      <c r="AC12" s="106" t="s">
        <v>439</v>
      </c>
      <c r="AD12" s="120" t="s">
        <v>440</v>
      </c>
      <c r="AE12" s="120" t="s">
        <v>441</v>
      </c>
      <c r="AF12" s="109">
        <v>0</v>
      </c>
      <c r="AG12" s="109">
        <v>0</v>
      </c>
      <c r="AH12" s="109">
        <v>0</v>
      </c>
      <c r="AI12" s="110">
        <v>5.5E-2</v>
      </c>
      <c r="AJ12" s="111">
        <f t="shared" si="8"/>
        <v>0</v>
      </c>
      <c r="AK12" s="111">
        <f t="shared" si="9"/>
        <v>0</v>
      </c>
      <c r="AL12" s="111">
        <f t="shared" si="10"/>
        <v>0</v>
      </c>
      <c r="AM12" s="111">
        <f t="shared" si="11"/>
        <v>0</v>
      </c>
      <c r="AN12" s="111">
        <f t="shared" si="12"/>
        <v>0</v>
      </c>
      <c r="AO12" s="111">
        <f t="shared" si="13"/>
        <v>0</v>
      </c>
      <c r="AP12" s="111">
        <f t="shared" si="14"/>
        <v>0</v>
      </c>
      <c r="AQ12" s="111">
        <f t="shared" si="15"/>
        <v>0</v>
      </c>
      <c r="AR12" s="111">
        <f t="shared" si="16"/>
        <v>0</v>
      </c>
      <c r="AS12" s="111">
        <f t="shared" si="17"/>
        <v>0</v>
      </c>
      <c r="AT12" s="111">
        <f t="shared" si="18"/>
        <v>0</v>
      </c>
      <c r="AU12" s="111">
        <f t="shared" si="19"/>
        <v>0</v>
      </c>
      <c r="AW12" s="112"/>
      <c r="AX12" s="52"/>
      <c r="AY12" s="52"/>
      <c r="AZ12" s="17">
        <f t="shared" si="22"/>
        <v>0.69074000000000013</v>
      </c>
      <c r="BA12" s="52"/>
      <c r="BB12" s="103">
        <f t="shared" si="20"/>
        <v>0</v>
      </c>
      <c r="BC12" s="113" t="s">
        <v>412</v>
      </c>
      <c r="BD12" s="114">
        <f>Q12</f>
        <v>0.69074000000000013</v>
      </c>
      <c r="BE12" s="115"/>
    </row>
    <row r="13" spans="1:57" ht="45.75" customHeight="1" x14ac:dyDescent="0.45">
      <c r="A13" s="137" t="s">
        <v>405</v>
      </c>
      <c r="B13" s="67">
        <v>7</v>
      </c>
      <c r="C13" s="138" t="s">
        <v>106</v>
      </c>
      <c r="D13" s="67" t="s">
        <v>442</v>
      </c>
      <c r="E13" s="65" t="s">
        <v>108</v>
      </c>
      <c r="F13" s="66" t="s">
        <v>109</v>
      </c>
      <c r="G13" s="101">
        <f t="shared" si="0"/>
        <v>0.39269999999999999</v>
      </c>
      <c r="H13" s="101">
        <f t="shared" si="1"/>
        <v>1.4586000000000001</v>
      </c>
      <c r="I13" s="25">
        <v>0</v>
      </c>
      <c r="J13" s="29">
        <v>0</v>
      </c>
      <c r="K13" s="101">
        <f t="shared" si="2"/>
        <v>1.8513000000000002</v>
      </c>
      <c r="L13" s="101">
        <v>0</v>
      </c>
      <c r="M13" s="101">
        <f t="shared" si="3"/>
        <v>1.8513000000000002</v>
      </c>
      <c r="N13" s="32">
        <v>3.7499999999999999E-2</v>
      </c>
      <c r="O13" s="128">
        <v>1</v>
      </c>
      <c r="P13" s="103">
        <f t="shared" si="4"/>
        <v>1.8888000000000003</v>
      </c>
      <c r="Q13" s="37">
        <f t="shared" si="21"/>
        <v>1.8888000000000003</v>
      </c>
      <c r="R13" s="67"/>
      <c r="S13" s="16">
        <v>7</v>
      </c>
      <c r="T13" s="16">
        <v>56.1</v>
      </c>
      <c r="U13" s="16">
        <v>26</v>
      </c>
      <c r="V13" s="16">
        <v>56.1</v>
      </c>
      <c r="W13" s="32">
        <v>2.0499999999999998</v>
      </c>
      <c r="X13" s="104">
        <v>0.01</v>
      </c>
      <c r="Y13" s="33">
        <f t="shared" si="5"/>
        <v>2.0705</v>
      </c>
      <c r="Z13" s="32">
        <v>1.484</v>
      </c>
      <c r="AA13" s="105">
        <f t="shared" si="6"/>
        <v>-0.18169999999999975</v>
      </c>
      <c r="AB13" s="105">
        <f t="shared" si="7"/>
        <v>0.40480000000000027</v>
      </c>
      <c r="AC13" s="106" t="s">
        <v>443</v>
      </c>
      <c r="AD13" s="107" t="s">
        <v>444</v>
      </c>
      <c r="AE13" s="108" t="s">
        <v>445</v>
      </c>
      <c r="AF13" s="139">
        <v>1785</v>
      </c>
      <c r="AG13" s="109">
        <v>120</v>
      </c>
      <c r="AH13" s="109">
        <v>400</v>
      </c>
      <c r="AI13" s="110">
        <v>2.1999999999999999E-2</v>
      </c>
      <c r="AJ13" s="111">
        <f t="shared" si="8"/>
        <v>120</v>
      </c>
      <c r="AK13" s="111">
        <f t="shared" si="9"/>
        <v>123</v>
      </c>
      <c r="AL13" s="111">
        <f t="shared" si="10"/>
        <v>126</v>
      </c>
      <c r="AM13" s="111">
        <f t="shared" si="11"/>
        <v>129</v>
      </c>
      <c r="AN13" s="111">
        <f t="shared" si="12"/>
        <v>132</v>
      </c>
      <c r="AO13" s="111">
        <f t="shared" si="13"/>
        <v>135</v>
      </c>
      <c r="AP13" s="111">
        <f t="shared" si="14"/>
        <v>138</v>
      </c>
      <c r="AQ13" s="111">
        <f t="shared" si="15"/>
        <v>141</v>
      </c>
      <c r="AR13" s="111">
        <f t="shared" si="16"/>
        <v>144</v>
      </c>
      <c r="AS13" s="111">
        <f t="shared" si="17"/>
        <v>147</v>
      </c>
      <c r="AT13" s="111">
        <f t="shared" si="18"/>
        <v>150</v>
      </c>
      <c r="AU13" s="111">
        <f t="shared" si="19"/>
        <v>153</v>
      </c>
      <c r="AW13" s="112">
        <v>1</v>
      </c>
      <c r="AX13" s="112">
        <v>1.8512999999999999</v>
      </c>
      <c r="AY13" s="112">
        <v>1.8888</v>
      </c>
      <c r="AZ13" s="17">
        <f t="shared" si="22"/>
        <v>1.8888000000000003</v>
      </c>
      <c r="BA13" s="140">
        <v>3500</v>
      </c>
      <c r="BB13" s="103">
        <f t="shared" si="20"/>
        <v>0.22665600000000002</v>
      </c>
      <c r="BC13" s="129" t="s">
        <v>446</v>
      </c>
      <c r="BD13" s="130">
        <f>Q13/0.822</f>
        <v>2.2978102189781024</v>
      </c>
      <c r="BE13" s="131">
        <f>ROUND(AF13*0.822,0)</f>
        <v>1467</v>
      </c>
    </row>
    <row r="14" spans="1:57" ht="45.75" customHeight="1" x14ac:dyDescent="0.45">
      <c r="A14" s="141" t="s">
        <v>405</v>
      </c>
      <c r="B14" s="142">
        <v>8</v>
      </c>
      <c r="C14" s="143" t="s">
        <v>121</v>
      </c>
      <c r="D14" s="142" t="s">
        <v>125</v>
      </c>
      <c r="E14" s="144" t="s">
        <v>447</v>
      </c>
      <c r="F14" s="145" t="s">
        <v>448</v>
      </c>
      <c r="G14" s="101">
        <f t="shared" si="0"/>
        <v>0.11220000000000001</v>
      </c>
      <c r="H14" s="101">
        <f t="shared" si="1"/>
        <v>0</v>
      </c>
      <c r="I14" s="25">
        <v>-0.73299999999999998</v>
      </c>
      <c r="J14" s="29">
        <v>0</v>
      </c>
      <c r="K14" s="101">
        <f t="shared" si="2"/>
        <v>-0.62080000000000002</v>
      </c>
      <c r="L14" s="101">
        <f>AW14*AY14</f>
        <v>1.0709495999999998</v>
      </c>
      <c r="M14" s="101">
        <f t="shared" si="3"/>
        <v>0.45014959999999982</v>
      </c>
      <c r="N14" s="32">
        <v>3.7499999999999999E-2</v>
      </c>
      <c r="O14" s="128">
        <v>1</v>
      </c>
      <c r="P14" s="103">
        <f t="shared" si="4"/>
        <v>0.48764959999999979</v>
      </c>
      <c r="Q14" s="37">
        <f t="shared" si="21"/>
        <v>0.48764959999999979</v>
      </c>
      <c r="R14" s="142"/>
      <c r="S14" s="16">
        <v>2</v>
      </c>
      <c r="T14" s="16">
        <v>56.1</v>
      </c>
      <c r="U14" s="16">
        <v>0</v>
      </c>
      <c r="V14" s="16">
        <v>0</v>
      </c>
      <c r="W14" s="32">
        <v>1.39</v>
      </c>
      <c r="X14" s="104">
        <v>0.01</v>
      </c>
      <c r="Y14" s="33">
        <f t="shared" si="5"/>
        <v>1.4038999999999999</v>
      </c>
      <c r="Z14" s="32">
        <v>0.90200000000000002</v>
      </c>
      <c r="AA14" s="105">
        <f t="shared" si="6"/>
        <v>-0.91625040000000013</v>
      </c>
      <c r="AB14" s="105">
        <f t="shared" si="7"/>
        <v>-0.41435040000000023</v>
      </c>
      <c r="AC14" s="106" t="s">
        <v>449</v>
      </c>
      <c r="AD14" s="107" t="s">
        <v>450</v>
      </c>
      <c r="AE14" s="108" t="s">
        <v>451</v>
      </c>
      <c r="AF14" s="109">
        <v>2800</v>
      </c>
      <c r="AG14" s="109">
        <v>1600</v>
      </c>
      <c r="AH14" s="109">
        <v>2200</v>
      </c>
      <c r="AI14" s="110">
        <v>2.1999999999999999E-2</v>
      </c>
      <c r="AJ14" s="111">
        <f t="shared" si="8"/>
        <v>1600</v>
      </c>
      <c r="AK14" s="111">
        <f t="shared" si="9"/>
        <v>1635</v>
      </c>
      <c r="AL14" s="111">
        <f t="shared" si="10"/>
        <v>1671</v>
      </c>
      <c r="AM14" s="111">
        <f t="shared" si="11"/>
        <v>1708</v>
      </c>
      <c r="AN14" s="111">
        <f t="shared" si="12"/>
        <v>1746</v>
      </c>
      <c r="AO14" s="111">
        <f t="shared" si="13"/>
        <v>1784</v>
      </c>
      <c r="AP14" s="111">
        <f t="shared" si="14"/>
        <v>1823</v>
      </c>
      <c r="AQ14" s="111">
        <f t="shared" si="15"/>
        <v>1863</v>
      </c>
      <c r="AR14" s="111">
        <f t="shared" si="16"/>
        <v>1904</v>
      </c>
      <c r="AS14" s="111">
        <f t="shared" si="17"/>
        <v>1946</v>
      </c>
      <c r="AT14" s="111">
        <f t="shared" si="18"/>
        <v>1989</v>
      </c>
      <c r="AU14" s="111">
        <f t="shared" si="19"/>
        <v>2033</v>
      </c>
      <c r="AW14" s="112">
        <v>0.56699999999999995</v>
      </c>
      <c r="AX14" s="112">
        <v>1.8512999999999999</v>
      </c>
      <c r="AY14" s="112">
        <v>1.8888</v>
      </c>
      <c r="AZ14" s="17">
        <f t="shared" si="22"/>
        <v>-0.58330000000000004</v>
      </c>
      <c r="BA14" s="52"/>
      <c r="BB14" s="103">
        <f t="shared" si="20"/>
        <v>0.78023935999999972</v>
      </c>
      <c r="BC14" s="129" t="s">
        <v>452</v>
      </c>
      <c r="BD14" s="130">
        <f>Q14/0.466</f>
        <v>1.0464583690987119</v>
      </c>
      <c r="BE14" s="131">
        <f>ROUND(AF14*0.466,0)</f>
        <v>1305</v>
      </c>
    </row>
    <row r="15" spans="1:57" ht="45.75" customHeight="1" x14ac:dyDescent="0.45">
      <c r="A15" s="146" t="s">
        <v>405</v>
      </c>
      <c r="B15" s="147">
        <v>9</v>
      </c>
      <c r="C15" s="148" t="s">
        <v>133</v>
      </c>
      <c r="D15" s="147" t="s">
        <v>137</v>
      </c>
      <c r="E15" s="149" t="s">
        <v>453</v>
      </c>
      <c r="F15" s="150" t="s">
        <v>454</v>
      </c>
      <c r="G15" s="101">
        <f t="shared" si="0"/>
        <v>0.11220000000000001</v>
      </c>
      <c r="H15" s="101">
        <f t="shared" si="1"/>
        <v>0</v>
      </c>
      <c r="I15" s="25">
        <v>0</v>
      </c>
      <c r="J15" s="29">
        <v>0.97</v>
      </c>
      <c r="K15" s="101">
        <f t="shared" si="2"/>
        <v>1.0822000000000001</v>
      </c>
      <c r="L15" s="101">
        <f>AW15*AY15</f>
        <v>0.40137</v>
      </c>
      <c r="M15" s="101">
        <f t="shared" si="3"/>
        <v>1.4835700000000001</v>
      </c>
      <c r="N15" s="32">
        <v>4.3749999999999997E-2</v>
      </c>
      <c r="O15" s="128">
        <v>1</v>
      </c>
      <c r="P15" s="103">
        <f t="shared" si="4"/>
        <v>1.52732</v>
      </c>
      <c r="Q15" s="37">
        <f t="shared" si="21"/>
        <v>1.52732</v>
      </c>
      <c r="R15" s="147"/>
      <c r="S15" s="16">
        <v>2</v>
      </c>
      <c r="T15" s="16">
        <v>56.1</v>
      </c>
      <c r="U15" s="16">
        <v>0</v>
      </c>
      <c r="V15" s="16">
        <v>0</v>
      </c>
      <c r="W15" s="32">
        <v>2.64</v>
      </c>
      <c r="X15" s="104">
        <v>0.01</v>
      </c>
      <c r="Y15" s="33">
        <f t="shared" si="5"/>
        <v>2.6664000000000003</v>
      </c>
      <c r="Z15" s="32">
        <v>0.30199999999999999</v>
      </c>
      <c r="AA15" s="105">
        <f t="shared" si="6"/>
        <v>-1.1390800000000003</v>
      </c>
      <c r="AB15" s="105">
        <f t="shared" si="7"/>
        <v>1.22532</v>
      </c>
      <c r="AC15" s="106" t="s">
        <v>455</v>
      </c>
      <c r="AD15" s="107" t="s">
        <v>456</v>
      </c>
      <c r="AE15" s="108" t="s">
        <v>457</v>
      </c>
      <c r="AF15" s="109">
        <v>600</v>
      </c>
      <c r="AG15" s="109">
        <v>80</v>
      </c>
      <c r="AH15" s="109">
        <v>250</v>
      </c>
      <c r="AI15" s="110">
        <v>2.1999999999999999E-2</v>
      </c>
      <c r="AJ15" s="111">
        <f t="shared" si="8"/>
        <v>80</v>
      </c>
      <c r="AK15" s="111">
        <f t="shared" si="9"/>
        <v>82</v>
      </c>
      <c r="AL15" s="111">
        <f t="shared" si="10"/>
        <v>84</v>
      </c>
      <c r="AM15" s="111">
        <f t="shared" si="11"/>
        <v>86</v>
      </c>
      <c r="AN15" s="111">
        <f t="shared" si="12"/>
        <v>88</v>
      </c>
      <c r="AO15" s="111">
        <f t="shared" si="13"/>
        <v>90</v>
      </c>
      <c r="AP15" s="111">
        <f t="shared" si="14"/>
        <v>92</v>
      </c>
      <c r="AQ15" s="111">
        <f t="shared" si="15"/>
        <v>94</v>
      </c>
      <c r="AR15" s="111">
        <f t="shared" si="16"/>
        <v>96</v>
      </c>
      <c r="AS15" s="111">
        <f t="shared" si="17"/>
        <v>98</v>
      </c>
      <c r="AT15" s="111">
        <f t="shared" si="18"/>
        <v>100</v>
      </c>
      <c r="AU15" s="111">
        <f t="shared" si="19"/>
        <v>102</v>
      </c>
      <c r="AW15" s="112">
        <v>0.21249999999999999</v>
      </c>
      <c r="AX15" s="112">
        <v>1.8512999999999999</v>
      </c>
      <c r="AY15" s="112">
        <v>1.8888</v>
      </c>
      <c r="AZ15" s="17">
        <f t="shared" si="22"/>
        <v>1.12595</v>
      </c>
      <c r="BA15" s="52"/>
      <c r="BB15" s="103">
        <f t="shared" si="20"/>
        <v>0.12218559999999999</v>
      </c>
      <c r="BC15" s="129" t="s">
        <v>458</v>
      </c>
      <c r="BD15" s="130">
        <f>Q15/0.35</f>
        <v>4.3637714285714289</v>
      </c>
      <c r="BE15" s="131">
        <f>ROUND(AF15*0.35,0)</f>
        <v>210</v>
      </c>
    </row>
    <row r="16" spans="1:57" ht="45.75" customHeight="1" x14ac:dyDescent="0.45">
      <c r="A16" s="151" t="s">
        <v>405</v>
      </c>
      <c r="B16" s="152">
        <v>10</v>
      </c>
      <c r="C16" s="153" t="s">
        <v>459</v>
      </c>
      <c r="D16" s="152" t="s">
        <v>424</v>
      </c>
      <c r="E16" s="154" t="s">
        <v>460</v>
      </c>
      <c r="F16" s="155" t="s">
        <v>461</v>
      </c>
      <c r="G16" s="101">
        <f t="shared" si="0"/>
        <v>6.7319999999999991E-2</v>
      </c>
      <c r="H16" s="101">
        <f t="shared" si="1"/>
        <v>0</v>
      </c>
      <c r="I16" s="25">
        <v>0.05</v>
      </c>
      <c r="J16" s="29">
        <v>1.2</v>
      </c>
      <c r="K16" s="101">
        <f t="shared" si="2"/>
        <v>1.31732</v>
      </c>
      <c r="L16" s="101">
        <v>0</v>
      </c>
      <c r="M16" s="101">
        <f t="shared" si="3"/>
        <v>1.31732</v>
      </c>
      <c r="N16" s="32">
        <v>0.1125</v>
      </c>
      <c r="O16" s="128">
        <v>1</v>
      </c>
      <c r="P16" s="103">
        <f t="shared" si="4"/>
        <v>1.4298200000000001</v>
      </c>
      <c r="Q16" s="37">
        <f t="shared" si="21"/>
        <v>1.4298200000000001</v>
      </c>
      <c r="R16" s="152"/>
      <c r="S16" s="16">
        <v>1.2</v>
      </c>
      <c r="T16" s="16">
        <v>56.1</v>
      </c>
      <c r="U16" s="16">
        <v>0</v>
      </c>
      <c r="V16" s="16">
        <v>0</v>
      </c>
      <c r="W16" s="32">
        <v>1.6</v>
      </c>
      <c r="X16" s="104">
        <v>0.01</v>
      </c>
      <c r="Y16" s="33">
        <f t="shared" si="5"/>
        <v>1.6160000000000001</v>
      </c>
      <c r="Z16" s="32">
        <v>0.35</v>
      </c>
      <c r="AA16" s="105">
        <f t="shared" si="6"/>
        <v>-0.18618000000000001</v>
      </c>
      <c r="AB16" s="105">
        <f t="shared" si="7"/>
        <v>1.0798200000000002</v>
      </c>
      <c r="AC16" s="106" t="s">
        <v>462</v>
      </c>
      <c r="AD16" s="120" t="s">
        <v>463</v>
      </c>
      <c r="AE16" s="120" t="s">
        <v>464</v>
      </c>
      <c r="AF16" s="109">
        <v>0</v>
      </c>
      <c r="AG16" s="109">
        <v>0</v>
      </c>
      <c r="AH16" s="109">
        <v>0</v>
      </c>
      <c r="AI16" s="110">
        <v>5.5E-2</v>
      </c>
      <c r="AJ16" s="111">
        <f t="shared" si="8"/>
        <v>0</v>
      </c>
      <c r="AK16" s="111">
        <f t="shared" si="9"/>
        <v>0</v>
      </c>
      <c r="AL16" s="111">
        <f t="shared" si="10"/>
        <v>0</v>
      </c>
      <c r="AM16" s="111">
        <f t="shared" si="11"/>
        <v>0</v>
      </c>
      <c r="AN16" s="111">
        <f t="shared" si="12"/>
        <v>0</v>
      </c>
      <c r="AO16" s="111">
        <f t="shared" si="13"/>
        <v>0</v>
      </c>
      <c r="AP16" s="111">
        <f t="shared" si="14"/>
        <v>0</v>
      </c>
      <c r="AQ16" s="111">
        <f t="shared" si="15"/>
        <v>0</v>
      </c>
      <c r="AR16" s="111">
        <f t="shared" si="16"/>
        <v>0</v>
      </c>
      <c r="AS16" s="111">
        <f t="shared" si="17"/>
        <v>0</v>
      </c>
      <c r="AT16" s="111">
        <f t="shared" si="18"/>
        <v>0</v>
      </c>
      <c r="AU16" s="111">
        <f t="shared" si="19"/>
        <v>0</v>
      </c>
      <c r="AW16" s="112"/>
      <c r="AX16" s="52"/>
      <c r="AY16" s="52"/>
      <c r="AZ16" s="17">
        <f t="shared" si="22"/>
        <v>1.4298200000000001</v>
      </c>
      <c r="BA16" s="52"/>
      <c r="BB16" s="103">
        <f t="shared" si="20"/>
        <v>0</v>
      </c>
      <c r="BC16" s="113" t="s">
        <v>412</v>
      </c>
      <c r="BD16" s="114">
        <f>Q16</f>
        <v>1.4298200000000001</v>
      </c>
      <c r="BE16" s="115"/>
    </row>
    <row r="17" spans="1:57" ht="45.75" customHeight="1" x14ac:dyDescent="0.45">
      <c r="A17" s="156" t="s">
        <v>405</v>
      </c>
      <c r="B17" s="74">
        <v>11</v>
      </c>
      <c r="C17" s="157" t="s">
        <v>149</v>
      </c>
      <c r="D17" s="74" t="s">
        <v>153</v>
      </c>
      <c r="E17" s="72" t="s">
        <v>465</v>
      </c>
      <c r="F17" s="73" t="s">
        <v>152</v>
      </c>
      <c r="G17" s="101">
        <f t="shared" si="0"/>
        <v>0.156</v>
      </c>
      <c r="H17" s="101">
        <f t="shared" si="1"/>
        <v>0</v>
      </c>
      <c r="I17" s="25">
        <v>1.5</v>
      </c>
      <c r="J17" s="29">
        <v>0.85</v>
      </c>
      <c r="K17" s="101">
        <f t="shared" si="2"/>
        <v>2.5059999999999998</v>
      </c>
      <c r="L17" s="101">
        <v>0</v>
      </c>
      <c r="M17" s="101">
        <f t="shared" si="3"/>
        <v>2.5059999999999998</v>
      </c>
      <c r="N17" s="32">
        <v>6.75</v>
      </c>
      <c r="O17" s="102">
        <v>0</v>
      </c>
      <c r="P17" s="103">
        <f t="shared" si="4"/>
        <v>9.2560000000000002</v>
      </c>
      <c r="Q17" s="37">
        <f>P17-N17</f>
        <v>2.5060000000000002</v>
      </c>
      <c r="R17" s="74"/>
      <c r="S17" s="16">
        <v>2</v>
      </c>
      <c r="T17" s="16">
        <v>78</v>
      </c>
      <c r="U17" s="16">
        <v>0</v>
      </c>
      <c r="V17" s="16">
        <v>0</v>
      </c>
      <c r="W17" s="32">
        <v>2.06</v>
      </c>
      <c r="X17" s="104">
        <v>0.1</v>
      </c>
      <c r="Y17" s="33">
        <f t="shared" si="5"/>
        <v>2.2660000000000005</v>
      </c>
      <c r="Z17" s="32">
        <v>1.423</v>
      </c>
      <c r="AA17" s="105">
        <f t="shared" si="6"/>
        <v>0.23999999999999977</v>
      </c>
      <c r="AB17" s="105">
        <f t="shared" si="7"/>
        <v>1.0830000000000002</v>
      </c>
      <c r="AC17" s="106" t="s">
        <v>466</v>
      </c>
      <c r="AD17" s="107" t="s">
        <v>467</v>
      </c>
      <c r="AE17" s="108" t="s">
        <v>468</v>
      </c>
      <c r="AF17" s="109">
        <v>300</v>
      </c>
      <c r="AG17" s="109">
        <v>167</v>
      </c>
      <c r="AH17" s="109">
        <v>174</v>
      </c>
      <c r="AI17" s="110">
        <v>5.5E-2</v>
      </c>
      <c r="AJ17" s="111">
        <f t="shared" si="8"/>
        <v>167</v>
      </c>
      <c r="AK17" s="111">
        <f t="shared" si="9"/>
        <v>176</v>
      </c>
      <c r="AL17" s="111">
        <f t="shared" si="10"/>
        <v>186</v>
      </c>
      <c r="AM17" s="111">
        <f t="shared" si="11"/>
        <v>196</v>
      </c>
      <c r="AN17" s="111">
        <f t="shared" si="12"/>
        <v>207</v>
      </c>
      <c r="AO17" s="111">
        <f t="shared" si="13"/>
        <v>218</v>
      </c>
      <c r="AP17" s="111">
        <f t="shared" si="14"/>
        <v>230</v>
      </c>
      <c r="AQ17" s="111">
        <f t="shared" si="15"/>
        <v>243</v>
      </c>
      <c r="AR17" s="111">
        <f t="shared" si="16"/>
        <v>256</v>
      </c>
      <c r="AS17" s="111">
        <f t="shared" si="17"/>
        <v>270</v>
      </c>
      <c r="AT17" s="111">
        <f t="shared" si="18"/>
        <v>285</v>
      </c>
      <c r="AU17" s="111">
        <f t="shared" si="19"/>
        <v>301</v>
      </c>
      <c r="AW17" s="112"/>
      <c r="AX17" s="52"/>
      <c r="AY17" s="52"/>
      <c r="AZ17" s="17">
        <f>K17</f>
        <v>2.5059999999999998</v>
      </c>
      <c r="BA17" s="52"/>
      <c r="BB17" s="103">
        <f t="shared" si="20"/>
        <v>0.41850200000000004</v>
      </c>
      <c r="BC17" s="113" t="s">
        <v>412</v>
      </c>
      <c r="BD17" s="114">
        <f>Q17</f>
        <v>2.5060000000000002</v>
      </c>
      <c r="BE17" s="115"/>
    </row>
    <row r="18" spans="1:57" ht="45.75" customHeight="1" x14ac:dyDescent="0.45">
      <c r="A18" s="158" t="s">
        <v>405</v>
      </c>
      <c r="B18" s="159">
        <v>12</v>
      </c>
      <c r="C18" s="160" t="s">
        <v>469</v>
      </c>
      <c r="D18" s="159" t="s">
        <v>424</v>
      </c>
      <c r="E18" s="161" t="s">
        <v>470</v>
      </c>
      <c r="F18" s="162" t="s">
        <v>471</v>
      </c>
      <c r="G18" s="101">
        <f t="shared" si="0"/>
        <v>0.44880000000000003</v>
      </c>
      <c r="H18" s="101">
        <f t="shared" si="1"/>
        <v>0</v>
      </c>
      <c r="I18" s="25">
        <v>0.4</v>
      </c>
      <c r="J18" s="29">
        <v>0.1</v>
      </c>
      <c r="K18" s="101">
        <f t="shared" si="2"/>
        <v>0.94879999999999998</v>
      </c>
      <c r="L18" s="101">
        <v>0</v>
      </c>
      <c r="M18" s="101">
        <f t="shared" si="3"/>
        <v>0.94879999999999998</v>
      </c>
      <c r="N18" s="32">
        <v>0.25</v>
      </c>
      <c r="O18" s="102">
        <v>0</v>
      </c>
      <c r="P18" s="103">
        <f t="shared" si="4"/>
        <v>1.1987999999999999</v>
      </c>
      <c r="Q18" s="37">
        <f>P18-N18</f>
        <v>0.94879999999999987</v>
      </c>
      <c r="R18" s="159"/>
      <c r="S18" s="16">
        <v>8</v>
      </c>
      <c r="T18" s="16">
        <v>56.1</v>
      </c>
      <c r="U18" s="16">
        <v>0</v>
      </c>
      <c r="V18" s="16">
        <v>0</v>
      </c>
      <c r="W18" s="32">
        <v>1.2</v>
      </c>
      <c r="X18" s="104">
        <v>0.1</v>
      </c>
      <c r="Y18" s="33">
        <f t="shared" si="5"/>
        <v>1.32</v>
      </c>
      <c r="Z18" s="32">
        <v>0.3</v>
      </c>
      <c r="AA18" s="105">
        <f t="shared" si="6"/>
        <v>-0.3712000000000002</v>
      </c>
      <c r="AB18" s="105">
        <f t="shared" si="7"/>
        <v>0.64879999999999982</v>
      </c>
      <c r="AC18" s="106" t="s">
        <v>472</v>
      </c>
      <c r="AD18" s="120" t="s">
        <v>473</v>
      </c>
      <c r="AE18" s="120" t="s">
        <v>474</v>
      </c>
      <c r="AF18" s="109">
        <v>0</v>
      </c>
      <c r="AG18" s="109">
        <v>0</v>
      </c>
      <c r="AH18" s="109">
        <v>0</v>
      </c>
      <c r="AI18" s="110">
        <v>5.5E-2</v>
      </c>
      <c r="AJ18" s="111">
        <f t="shared" si="8"/>
        <v>0</v>
      </c>
      <c r="AK18" s="111">
        <f t="shared" si="9"/>
        <v>0</v>
      </c>
      <c r="AL18" s="111">
        <f t="shared" si="10"/>
        <v>0</v>
      </c>
      <c r="AM18" s="111">
        <f t="shared" si="11"/>
        <v>0</v>
      </c>
      <c r="AN18" s="111">
        <f t="shared" si="12"/>
        <v>0</v>
      </c>
      <c r="AO18" s="111">
        <f t="shared" si="13"/>
        <v>0</v>
      </c>
      <c r="AP18" s="111">
        <f t="shared" si="14"/>
        <v>0</v>
      </c>
      <c r="AQ18" s="111">
        <f t="shared" si="15"/>
        <v>0</v>
      </c>
      <c r="AR18" s="111">
        <f t="shared" si="16"/>
        <v>0</v>
      </c>
      <c r="AS18" s="111">
        <f t="shared" si="17"/>
        <v>0</v>
      </c>
      <c r="AT18" s="111">
        <f t="shared" si="18"/>
        <v>0</v>
      </c>
      <c r="AU18" s="111">
        <f t="shared" si="19"/>
        <v>0</v>
      </c>
      <c r="AW18" s="112"/>
      <c r="AX18" s="52"/>
      <c r="AY18" s="52"/>
      <c r="AZ18" s="17">
        <f>K18</f>
        <v>0.94879999999999998</v>
      </c>
      <c r="BA18" s="52"/>
      <c r="BB18" s="103">
        <f t="shared" si="20"/>
        <v>0</v>
      </c>
      <c r="BC18" s="113" t="s">
        <v>412</v>
      </c>
      <c r="BD18" s="114">
        <f>Q18</f>
        <v>0.94879999999999987</v>
      </c>
      <c r="BE18" s="115"/>
    </row>
    <row r="19" spans="1:57" ht="45.75" customHeight="1" x14ac:dyDescent="0.45">
      <c r="A19" s="163" t="s">
        <v>405</v>
      </c>
      <c r="B19" s="164">
        <v>13</v>
      </c>
      <c r="C19" s="165" t="s">
        <v>475</v>
      </c>
      <c r="D19" s="164" t="s">
        <v>424</v>
      </c>
      <c r="E19" s="166" t="s">
        <v>476</v>
      </c>
      <c r="F19" s="167" t="s">
        <v>477</v>
      </c>
      <c r="G19" s="101">
        <f t="shared" si="0"/>
        <v>2.5245000000000002</v>
      </c>
      <c r="H19" s="101">
        <f t="shared" si="1"/>
        <v>7</v>
      </c>
      <c r="I19" s="25">
        <v>0</v>
      </c>
      <c r="J19" s="29">
        <v>0</v>
      </c>
      <c r="K19" s="101">
        <f t="shared" si="2"/>
        <v>9.5244999999999997</v>
      </c>
      <c r="L19" s="101">
        <v>0</v>
      </c>
      <c r="M19" s="101">
        <f t="shared" si="3"/>
        <v>9.5244999999999997</v>
      </c>
      <c r="N19" s="32">
        <v>0.5</v>
      </c>
      <c r="O19" s="102">
        <v>0</v>
      </c>
      <c r="P19" s="103">
        <f t="shared" si="4"/>
        <v>10.0245</v>
      </c>
      <c r="Q19" s="37">
        <f>P19-N19</f>
        <v>9.5244999999999997</v>
      </c>
      <c r="R19" s="164"/>
      <c r="S19" s="16">
        <v>45</v>
      </c>
      <c r="T19" s="16">
        <v>56.1</v>
      </c>
      <c r="U19" s="16">
        <v>70</v>
      </c>
      <c r="V19" s="16">
        <v>100</v>
      </c>
      <c r="W19" s="32">
        <v>10.4</v>
      </c>
      <c r="X19" s="104">
        <v>0.1</v>
      </c>
      <c r="Y19" s="33">
        <f t="shared" si="5"/>
        <v>11.440000000000001</v>
      </c>
      <c r="Z19" s="32">
        <v>5.97</v>
      </c>
      <c r="AA19" s="105">
        <f t="shared" si="6"/>
        <v>-1.9155000000000015</v>
      </c>
      <c r="AB19" s="105">
        <f t="shared" si="7"/>
        <v>3.5545</v>
      </c>
      <c r="AC19" s="106" t="s">
        <v>478</v>
      </c>
      <c r="AD19" s="120" t="s">
        <v>479</v>
      </c>
      <c r="AE19" s="108" t="s">
        <v>480</v>
      </c>
      <c r="AF19" s="109">
        <v>0</v>
      </c>
      <c r="AG19" s="109">
        <v>0</v>
      </c>
      <c r="AH19" s="109">
        <v>0</v>
      </c>
      <c r="AI19" s="110">
        <v>5.5E-2</v>
      </c>
      <c r="AJ19" s="111">
        <f t="shared" si="8"/>
        <v>0</v>
      </c>
      <c r="AK19" s="111">
        <f t="shared" si="9"/>
        <v>0</v>
      </c>
      <c r="AL19" s="111">
        <f t="shared" si="10"/>
        <v>0</v>
      </c>
      <c r="AM19" s="111">
        <f t="shared" si="11"/>
        <v>0</v>
      </c>
      <c r="AN19" s="111">
        <f t="shared" si="12"/>
        <v>0</v>
      </c>
      <c r="AO19" s="111">
        <f t="shared" si="13"/>
        <v>0</v>
      </c>
      <c r="AP19" s="111">
        <f t="shared" si="14"/>
        <v>0</v>
      </c>
      <c r="AQ19" s="111">
        <f t="shared" si="15"/>
        <v>0</v>
      </c>
      <c r="AR19" s="111">
        <f t="shared" si="16"/>
        <v>0</v>
      </c>
      <c r="AS19" s="111">
        <f t="shared" si="17"/>
        <v>0</v>
      </c>
      <c r="AT19" s="111">
        <f t="shared" si="18"/>
        <v>0</v>
      </c>
      <c r="AU19" s="111">
        <f t="shared" si="19"/>
        <v>0</v>
      </c>
      <c r="AW19" s="112"/>
      <c r="AX19" s="52"/>
      <c r="AY19" s="52"/>
      <c r="AZ19" s="17">
        <f>K19</f>
        <v>9.5244999999999997</v>
      </c>
      <c r="BA19" s="52"/>
      <c r="BB19" s="103">
        <f t="shared" si="20"/>
        <v>0</v>
      </c>
      <c r="BC19" s="113" t="s">
        <v>412</v>
      </c>
      <c r="BD19" s="114">
        <f>Q19</f>
        <v>9.5244999999999997</v>
      </c>
      <c r="BE19" s="115"/>
    </row>
    <row r="20" spans="1:57" ht="45.75" customHeight="1" x14ac:dyDescent="0.45">
      <c r="A20" s="168" t="s">
        <v>405</v>
      </c>
      <c r="B20" s="169">
        <v>14</v>
      </c>
      <c r="C20" s="170" t="s">
        <v>481</v>
      </c>
      <c r="D20" s="169" t="s">
        <v>482</v>
      </c>
      <c r="E20" s="171" t="s">
        <v>483</v>
      </c>
      <c r="F20" s="172" t="s">
        <v>484</v>
      </c>
      <c r="G20" s="101">
        <f t="shared" si="0"/>
        <v>0</v>
      </c>
      <c r="H20" s="101">
        <f t="shared" si="1"/>
        <v>0</v>
      </c>
      <c r="I20" s="25">
        <v>0.5</v>
      </c>
      <c r="J20" s="29">
        <v>0</v>
      </c>
      <c r="K20" s="101">
        <f t="shared" si="2"/>
        <v>0.5</v>
      </c>
      <c r="L20" s="101">
        <v>0</v>
      </c>
      <c r="M20" s="101">
        <f t="shared" si="3"/>
        <v>0.5</v>
      </c>
      <c r="N20" s="32">
        <v>0</v>
      </c>
      <c r="O20" s="128">
        <v>1</v>
      </c>
      <c r="P20" s="103">
        <f t="shared" si="4"/>
        <v>0.5</v>
      </c>
      <c r="Q20" s="37">
        <f>P20</f>
        <v>0.5</v>
      </c>
      <c r="R20" s="169"/>
      <c r="S20" s="16">
        <v>0</v>
      </c>
      <c r="T20" s="16">
        <v>0</v>
      </c>
      <c r="U20" s="16">
        <v>0</v>
      </c>
      <c r="V20" s="16">
        <v>0</v>
      </c>
      <c r="W20" s="32">
        <v>0.5</v>
      </c>
      <c r="X20" s="104">
        <v>0</v>
      </c>
      <c r="Y20" s="33">
        <f t="shared" si="5"/>
        <v>0.5</v>
      </c>
      <c r="Z20" s="32">
        <v>0</v>
      </c>
      <c r="AA20" s="105">
        <f t="shared" si="6"/>
        <v>0</v>
      </c>
      <c r="AB20" s="105">
        <f t="shared" si="7"/>
        <v>0.5</v>
      </c>
      <c r="AC20" s="106" t="s">
        <v>485</v>
      </c>
      <c r="AD20" s="108" t="s">
        <v>486</v>
      </c>
      <c r="AE20" s="120" t="s">
        <v>487</v>
      </c>
      <c r="AF20" s="109">
        <v>0</v>
      </c>
      <c r="AG20" s="109">
        <v>0</v>
      </c>
      <c r="AH20" s="109">
        <v>0</v>
      </c>
      <c r="AI20" s="110">
        <v>5.5E-2</v>
      </c>
      <c r="AJ20" s="111">
        <f t="shared" si="8"/>
        <v>0</v>
      </c>
      <c r="AK20" s="111">
        <f t="shared" si="9"/>
        <v>0</v>
      </c>
      <c r="AL20" s="111">
        <f t="shared" si="10"/>
        <v>0</v>
      </c>
      <c r="AM20" s="111">
        <f t="shared" si="11"/>
        <v>0</v>
      </c>
      <c r="AN20" s="111">
        <f t="shared" si="12"/>
        <v>0</v>
      </c>
      <c r="AO20" s="111">
        <f t="shared" si="13"/>
        <v>0</v>
      </c>
      <c r="AP20" s="111">
        <f t="shared" si="14"/>
        <v>0</v>
      </c>
      <c r="AQ20" s="111">
        <f t="shared" si="15"/>
        <v>0</v>
      </c>
      <c r="AR20" s="111">
        <f t="shared" si="16"/>
        <v>0</v>
      </c>
      <c r="AS20" s="111">
        <f t="shared" si="17"/>
        <v>0</v>
      </c>
      <c r="AT20" s="111">
        <f t="shared" si="18"/>
        <v>0</v>
      </c>
      <c r="AU20" s="111">
        <f t="shared" si="19"/>
        <v>0</v>
      </c>
      <c r="AW20" s="112"/>
      <c r="AX20" s="52"/>
      <c r="AY20" s="52"/>
      <c r="AZ20" s="17">
        <f>K20+N20</f>
        <v>0.5</v>
      </c>
      <c r="BA20" s="52"/>
      <c r="BB20" s="103">
        <f t="shared" si="20"/>
        <v>0</v>
      </c>
      <c r="BC20" s="113" t="s">
        <v>412</v>
      </c>
      <c r="BD20" s="114">
        <f>Q20</f>
        <v>0.5</v>
      </c>
      <c r="BE20" s="115"/>
    </row>
    <row r="22" spans="1:57" ht="18" customHeight="1" x14ac:dyDescent="0.45">
      <c r="A22" s="239" t="s">
        <v>488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</row>
    <row r="23" spans="1:57" ht="15.75" customHeight="1" x14ac:dyDescent="0.45">
      <c r="B23" s="76" t="s">
        <v>205</v>
      </c>
      <c r="C23" s="76" t="s">
        <v>489</v>
      </c>
      <c r="D23" s="76" t="s">
        <v>24</v>
      </c>
      <c r="E23" s="76" t="s">
        <v>490</v>
      </c>
      <c r="F23" s="76" t="s">
        <v>491</v>
      </c>
      <c r="G23" s="76" t="s">
        <v>366</v>
      </c>
      <c r="H23" s="76" t="s">
        <v>367</v>
      </c>
      <c r="K23" s="76" t="s">
        <v>492</v>
      </c>
      <c r="M23" s="76" t="s">
        <v>493</v>
      </c>
      <c r="N23" s="76" t="s">
        <v>373</v>
      </c>
      <c r="P23" s="76" t="s">
        <v>375</v>
      </c>
      <c r="Q23" s="76" t="s">
        <v>494</v>
      </c>
      <c r="R23" s="76" t="s">
        <v>495</v>
      </c>
      <c r="S23" s="76" t="s">
        <v>496</v>
      </c>
    </row>
    <row r="24" spans="1:57" ht="15" customHeight="1" x14ac:dyDescent="0.45">
      <c r="B24" s="173">
        <v>1</v>
      </c>
      <c r="C24" s="9" t="s">
        <v>406</v>
      </c>
      <c r="D24" s="174" t="s">
        <v>49</v>
      </c>
      <c r="E24" s="13" t="s">
        <v>497</v>
      </c>
      <c r="F24" s="14" t="str">
        <f>TEXT(SUM(R41:R45),"0%")&amp;IF(ABS(SUM(R41:R45)-1)&lt;0.001," OK"," CHK")</f>
        <v>100% OK</v>
      </c>
      <c r="G24" s="101">
        <f>SUMPRODUCT(R41:R45,G41:G45)/SUM(R41:R45)</f>
        <v>0.12903000000000003</v>
      </c>
      <c r="H24" s="101">
        <f>SUMPRODUCT(R41:R45,H41:H45)/SUM(R41:R45)</f>
        <v>0.56100000000000005</v>
      </c>
      <c r="K24" s="101">
        <f>SUMPRODUCT(R41:R45,K41:K45)/SUM(R41:R45)</f>
        <v>0.73003000000000018</v>
      </c>
      <c r="M24" s="101">
        <f>SUMPRODUCT(R41:R45,M41:M45)/SUM(R41:R45)</f>
        <v>0.73003000000000018</v>
      </c>
      <c r="N24" s="33">
        <f>SUMPRODUCT(R41:R45,N41:N45)/SUM(R41:R45)</f>
        <v>0.25</v>
      </c>
      <c r="P24" s="103">
        <f>SUMPRODUCT(R41:R45,P41:P45)/SUM(R41:R45)</f>
        <v>0.98003000000000018</v>
      </c>
      <c r="Q24" s="37">
        <f>SUMPRODUCT(R41:R45,Q41:Q45)/SUM(R41:R45)</f>
        <v>0.73003000000000018</v>
      </c>
      <c r="R24" s="175">
        <f t="shared" ref="R24:R37" si="23">Q7</f>
        <v>0.73003000000000007</v>
      </c>
      <c r="S24" s="176">
        <f t="shared" ref="S24:S37" si="24">Q24-Q7</f>
        <v>0</v>
      </c>
    </row>
    <row r="25" spans="1:57" ht="15" customHeight="1" x14ac:dyDescent="0.45">
      <c r="B25" s="177">
        <v>2</v>
      </c>
      <c r="C25" s="41" t="s">
        <v>413</v>
      </c>
      <c r="D25" s="178" t="s">
        <v>49</v>
      </c>
      <c r="E25" s="45" t="s">
        <v>497</v>
      </c>
      <c r="F25" s="46" t="str">
        <f>TEXT(SUM(R46:R49),"0%")&amp;IF(ABS(SUM(R46:R49)-1)&lt;0.001," OK"," CHK")</f>
        <v>100% OK</v>
      </c>
      <c r="G25" s="101">
        <f>SUMPRODUCT(R46:R49,G46:G49)/SUM(R46:R49)</f>
        <v>0.14025000000000001</v>
      </c>
      <c r="H25" s="101">
        <f>SUMPRODUCT(R46:R49,H46:H49)/SUM(R46:R49)</f>
        <v>0</v>
      </c>
      <c r="K25" s="101">
        <f>SUMPRODUCT(R46:R49,K46:K49)/SUM(R46:R49)</f>
        <v>0.15525</v>
      </c>
      <c r="M25" s="101">
        <f>SUMPRODUCT(R46:R49,M46:M49)/SUM(R46:R49)</f>
        <v>0.15525</v>
      </c>
      <c r="N25" s="33">
        <f>SUMPRODUCT(R46:R49,N46:N49)/SUM(R46:R49)</f>
        <v>0.25</v>
      </c>
      <c r="P25" s="103">
        <f>SUMPRODUCT(R46:R49,P46:P49)/SUM(R46:R49)</f>
        <v>0.40525</v>
      </c>
      <c r="Q25" s="37">
        <f>SUMPRODUCT(R46:R49,Q46:Q49)/SUM(R46:R49)</f>
        <v>0.15525</v>
      </c>
      <c r="R25" s="175">
        <f t="shared" si="23"/>
        <v>0.15525</v>
      </c>
      <c r="S25" s="176">
        <f t="shared" si="24"/>
        <v>0</v>
      </c>
    </row>
    <row r="26" spans="1:57" ht="15" customHeight="1" x14ac:dyDescent="0.45">
      <c r="B26" s="179">
        <v>3</v>
      </c>
      <c r="C26" s="48" t="s">
        <v>417</v>
      </c>
      <c r="D26" s="40" t="s">
        <v>49</v>
      </c>
      <c r="E26" s="51" t="s">
        <v>497</v>
      </c>
      <c r="F26" s="52" t="str">
        <f>TEXT(SUM(R50:R50),"0%")&amp;IF(ABS(SUM(R50:R50)-1)&lt;0.001," OK"," CHK")</f>
        <v>100% OK</v>
      </c>
      <c r="G26" s="101">
        <f>SUMPRODUCT(R50:R50,G50:G50)/SUM(R50:R50)</f>
        <v>0.38439999999999996</v>
      </c>
      <c r="H26" s="101">
        <f>SUMPRODUCT(R50:R50,H50:H50)/SUM(R50:R50)</f>
        <v>1.5375999999999999</v>
      </c>
      <c r="K26" s="101">
        <f>SUMPRODUCT(R50:R50,K50:K50)/SUM(R50:R50)</f>
        <v>2.1719999999999997</v>
      </c>
      <c r="M26" s="101">
        <f>SUMPRODUCT(R50:R50,M50:M50)/SUM(R50:R50)</f>
        <v>2.1719999999999997</v>
      </c>
      <c r="N26" s="33">
        <f>SUMPRODUCT(R50:R50,N50:N50)/SUM(R50:R50)</f>
        <v>0.1875</v>
      </c>
      <c r="P26" s="103">
        <f>SUMPRODUCT(R50:R50,P50:P50)/SUM(R50:R50)</f>
        <v>2.3594999999999997</v>
      </c>
      <c r="Q26" s="37">
        <f>SUMPRODUCT(R50:R50,Q50:Q50)/SUM(R50:R50)</f>
        <v>2.1719999999999997</v>
      </c>
      <c r="R26" s="175">
        <f t="shared" si="23"/>
        <v>2.1719999999999997</v>
      </c>
      <c r="S26" s="176">
        <f t="shared" si="24"/>
        <v>0</v>
      </c>
    </row>
    <row r="27" spans="1:57" ht="15" customHeight="1" x14ac:dyDescent="0.45">
      <c r="B27" s="180">
        <v>4</v>
      </c>
      <c r="C27" s="181" t="s">
        <v>423</v>
      </c>
      <c r="D27" s="182" t="s">
        <v>424</v>
      </c>
      <c r="E27" s="183" t="s">
        <v>498</v>
      </c>
      <c r="F27" s="184" t="s">
        <v>499</v>
      </c>
      <c r="G27" s="101">
        <f>G10</f>
        <v>0.36</v>
      </c>
      <c r="H27" s="101">
        <f>H10</f>
        <v>1.7250000000000001</v>
      </c>
      <c r="K27" s="101">
        <f>K10</f>
        <v>2.7850000000000001</v>
      </c>
      <c r="M27" s="101">
        <f>M10</f>
        <v>2.7850000000000001</v>
      </c>
      <c r="N27" s="33">
        <f>N10</f>
        <v>1.75</v>
      </c>
      <c r="P27" s="103">
        <f>P10</f>
        <v>4.5350000000000001</v>
      </c>
      <c r="Q27" s="37">
        <f>Q10</f>
        <v>2.7850000000000001</v>
      </c>
      <c r="R27" s="175">
        <f t="shared" si="23"/>
        <v>2.7850000000000001</v>
      </c>
      <c r="S27" s="176">
        <f t="shared" si="24"/>
        <v>0</v>
      </c>
    </row>
    <row r="28" spans="1:57" ht="15" customHeight="1" x14ac:dyDescent="0.45">
      <c r="B28" s="185">
        <v>5</v>
      </c>
      <c r="C28" s="56" t="s">
        <v>174</v>
      </c>
      <c r="D28" s="186" t="s">
        <v>94</v>
      </c>
      <c r="E28" s="60" t="s">
        <v>497</v>
      </c>
      <c r="F28" s="61" t="str">
        <f>TEXT(SUM(R57:R59),"0%")&amp;IF(ABS(SUM(R57:R59)-1)&lt;0.001," OK"," CHK")</f>
        <v>100% OK</v>
      </c>
      <c r="G28" s="101">
        <f>SUMPRODUCT(R57:R59,G57:G59)/SUM(R57:R59)</f>
        <v>0.2883</v>
      </c>
      <c r="H28" s="101">
        <f>SUMPRODUCT(R57:R59,H57:H59)/SUM(R57:R59)</f>
        <v>0</v>
      </c>
      <c r="K28" s="101">
        <f>SUMPRODUCT(R57:R59,K57:K59)/SUM(R57:R59)</f>
        <v>0.81430000000000002</v>
      </c>
      <c r="M28" s="101">
        <f>SUMPRODUCT(R57:R59,M57:M59)/SUM(R57:R59)</f>
        <v>0.81430000000000002</v>
      </c>
      <c r="N28" s="33">
        <f>SUMPRODUCT(R57:R59,N57:N59)/SUM(R57:R59)</f>
        <v>5.6250000000000001E-2</v>
      </c>
      <c r="P28" s="103">
        <f>SUMPRODUCT(R57:R59,P57:P59)/SUM(R57:R59)</f>
        <v>0.87054999999999993</v>
      </c>
      <c r="Q28" s="37">
        <f>SUMPRODUCT(R57:R59,Q57:Q59)/SUM(R57:R59)</f>
        <v>0.87054999999999993</v>
      </c>
      <c r="R28" s="175">
        <f t="shared" si="23"/>
        <v>0.87055000000000005</v>
      </c>
      <c r="S28" s="176">
        <f t="shared" si="24"/>
        <v>0</v>
      </c>
    </row>
    <row r="29" spans="1:57" ht="15" customHeight="1" x14ac:dyDescent="0.45">
      <c r="B29" s="187">
        <v>6</v>
      </c>
      <c r="C29" s="188" t="s">
        <v>436</v>
      </c>
      <c r="D29" s="189" t="s">
        <v>424</v>
      </c>
      <c r="E29" s="190" t="s">
        <v>498</v>
      </c>
      <c r="F29" s="191" t="s">
        <v>499</v>
      </c>
      <c r="G29" s="101">
        <f>G12</f>
        <v>0.19074000000000002</v>
      </c>
      <c r="H29" s="101">
        <f>H12</f>
        <v>0</v>
      </c>
      <c r="K29" s="101">
        <f>K12</f>
        <v>0.64074000000000009</v>
      </c>
      <c r="M29" s="101">
        <f>M12</f>
        <v>0.64074000000000009</v>
      </c>
      <c r="N29" s="33">
        <f>N12</f>
        <v>0.05</v>
      </c>
      <c r="P29" s="103">
        <f>P12</f>
        <v>0.69074000000000013</v>
      </c>
      <c r="Q29" s="37">
        <f>Q12</f>
        <v>0.69074000000000013</v>
      </c>
      <c r="R29" s="175">
        <f t="shared" si="23"/>
        <v>0.69074000000000013</v>
      </c>
      <c r="S29" s="176">
        <f t="shared" si="24"/>
        <v>0</v>
      </c>
    </row>
    <row r="30" spans="1:57" ht="15" customHeight="1" x14ac:dyDescent="0.45">
      <c r="B30" s="192">
        <v>7</v>
      </c>
      <c r="C30" s="62" t="s">
        <v>106</v>
      </c>
      <c r="D30" s="193" t="s">
        <v>442</v>
      </c>
      <c r="E30" s="66" t="s">
        <v>497</v>
      </c>
      <c r="F30" s="67" t="str">
        <f>TEXT(SUM(R61:R62),"0%")&amp;IF(ABS(SUM(R61:R62)-1)&lt;0.001," OK"," CHK")</f>
        <v>100% OK</v>
      </c>
      <c r="G30" s="101">
        <f>SUMPRODUCT(R61:R62,G61:G62)/SUM(R61:R62)</f>
        <v>0.39269999999999999</v>
      </c>
      <c r="H30" s="101">
        <f>SUMPRODUCT(R61:R62,H61:H62)/SUM(R61:R62)</f>
        <v>1.4586000000000001</v>
      </c>
      <c r="K30" s="101">
        <f>SUMPRODUCT(R61:R62,K61:K62)/SUM(R61:R62)</f>
        <v>1.8513000000000002</v>
      </c>
      <c r="M30" s="101">
        <f>SUMPRODUCT(R61:R62,M61:M62)/SUM(R61:R62)</f>
        <v>1.8513000000000002</v>
      </c>
      <c r="N30" s="33">
        <f>SUMPRODUCT(R61:R62,N61:N62)/SUM(R61:R62)</f>
        <v>3.7500000000000006E-2</v>
      </c>
      <c r="P30" s="103">
        <f>SUMPRODUCT(R61:R62,P61:P62)/SUM(R61:R62)</f>
        <v>1.8888000000000003</v>
      </c>
      <c r="Q30" s="37">
        <f>SUMPRODUCT(R61:R62,Q61:Q62)/SUM(R61:R62)</f>
        <v>1.8888000000000003</v>
      </c>
      <c r="R30" s="175">
        <f t="shared" si="23"/>
        <v>1.8888000000000003</v>
      </c>
      <c r="S30" s="176">
        <f t="shared" si="24"/>
        <v>0</v>
      </c>
    </row>
    <row r="31" spans="1:57" ht="15" customHeight="1" x14ac:dyDescent="0.45">
      <c r="B31" s="194">
        <v>8</v>
      </c>
      <c r="C31" s="195" t="s">
        <v>121</v>
      </c>
      <c r="D31" s="196" t="s">
        <v>125</v>
      </c>
      <c r="E31" s="145" t="s">
        <v>497</v>
      </c>
      <c r="F31" s="142" t="str">
        <f>TEXT(SUM(R63:R63),"0%")&amp;IF(ABS(SUM(R63:R63)-1)&lt;0.001," OK"," CHK")</f>
        <v>100% OK</v>
      </c>
      <c r="G31" s="101">
        <f>SUMPRODUCT(R63:R63,G63:G63)/SUM(R63:R63)</f>
        <v>0.11220000000000001</v>
      </c>
      <c r="H31" s="101">
        <f>SUMPRODUCT(R63:R63,H63:H63)/SUM(R63:R63)</f>
        <v>0</v>
      </c>
      <c r="K31" s="101">
        <f>SUMPRODUCT(R63:R63,K63:K63)/SUM(R63:R63)</f>
        <v>-0.62080000000000002</v>
      </c>
      <c r="M31" s="101">
        <f>SUMPRODUCT(R63:R63,M63:M63)/SUM(R63:R63)</f>
        <v>0.45014959999999982</v>
      </c>
      <c r="N31" s="33">
        <f>SUMPRODUCT(R63:R63,N63:N63)/SUM(R63:R63)</f>
        <v>3.7499999999999999E-2</v>
      </c>
      <c r="P31" s="103">
        <f>SUMPRODUCT(R63:R63,P63:P63)/SUM(R63:R63)</f>
        <v>0.48764959999999979</v>
      </c>
      <c r="Q31" s="37">
        <f>SUMPRODUCT(R63:R63,Q63:Q63)/SUM(R63:R63)</f>
        <v>0.48764959999999979</v>
      </c>
      <c r="R31" s="175">
        <f t="shared" si="23"/>
        <v>0.48764959999999979</v>
      </c>
      <c r="S31" s="176">
        <f t="shared" si="24"/>
        <v>0</v>
      </c>
    </row>
    <row r="32" spans="1:57" ht="15" customHeight="1" x14ac:dyDescent="0.45">
      <c r="B32" s="197">
        <v>9</v>
      </c>
      <c r="C32" s="198" t="s">
        <v>133</v>
      </c>
      <c r="D32" s="199" t="s">
        <v>137</v>
      </c>
      <c r="E32" s="150" t="s">
        <v>497</v>
      </c>
      <c r="F32" s="147" t="str">
        <f>TEXT(SUM(R64:R66),"0%")&amp;IF(ABS(SUM(R64:R66)-1)&lt;0.001," OK"," CHK")</f>
        <v>100% OK</v>
      </c>
      <c r="G32" s="101">
        <f>SUMPRODUCT(R64:R66,G64:G66)/SUM(R64:R66)</f>
        <v>0.11220000000000002</v>
      </c>
      <c r="H32" s="101">
        <f>SUMPRODUCT(R64:R66,H64:H66)/SUM(R64:R66)</f>
        <v>0</v>
      </c>
      <c r="K32" s="101">
        <f>SUMPRODUCT(R64:R66,K64:K66)/SUM(R64:R66)</f>
        <v>1.0822000000000001</v>
      </c>
      <c r="M32" s="101">
        <f>SUMPRODUCT(R64:R66,M64:M66)/SUM(R64:R66)</f>
        <v>1.4835700000000001</v>
      </c>
      <c r="N32" s="33">
        <f>SUMPRODUCT(R64:R66,N64:N66)/SUM(R64:R66)</f>
        <v>4.3749999999999997E-2</v>
      </c>
      <c r="P32" s="103">
        <f>SUMPRODUCT(R64:R66,P64:P66)/SUM(R64:R66)</f>
        <v>1.5273200000000002</v>
      </c>
      <c r="Q32" s="37">
        <f>SUMPRODUCT(R64:R66,Q64:Q66)/SUM(R64:R66)</f>
        <v>1.5273200000000002</v>
      </c>
      <c r="R32" s="175">
        <f t="shared" si="23"/>
        <v>1.52732</v>
      </c>
      <c r="S32" s="176">
        <f t="shared" si="24"/>
        <v>0</v>
      </c>
    </row>
    <row r="33" spans="1:57" ht="15" customHeight="1" x14ac:dyDescent="0.45">
      <c r="B33" s="200">
        <v>10</v>
      </c>
      <c r="C33" s="201" t="s">
        <v>459</v>
      </c>
      <c r="D33" s="202" t="s">
        <v>424</v>
      </c>
      <c r="E33" s="203" t="s">
        <v>498</v>
      </c>
      <c r="F33" s="204" t="s">
        <v>499</v>
      </c>
      <c r="G33" s="101">
        <f>G16</f>
        <v>6.7319999999999991E-2</v>
      </c>
      <c r="H33" s="101">
        <f>H16</f>
        <v>0</v>
      </c>
      <c r="K33" s="101">
        <f>K16</f>
        <v>1.31732</v>
      </c>
      <c r="M33" s="101">
        <f>M16</f>
        <v>1.31732</v>
      </c>
      <c r="N33" s="33">
        <f>N16</f>
        <v>0.1125</v>
      </c>
      <c r="P33" s="103">
        <f>P16</f>
        <v>1.4298200000000001</v>
      </c>
      <c r="Q33" s="37">
        <f>Q16</f>
        <v>1.4298200000000001</v>
      </c>
      <c r="R33" s="175">
        <f t="shared" si="23"/>
        <v>1.4298200000000001</v>
      </c>
      <c r="S33" s="176">
        <f t="shared" si="24"/>
        <v>0</v>
      </c>
    </row>
    <row r="34" spans="1:57" ht="15" customHeight="1" x14ac:dyDescent="0.45">
      <c r="B34" s="205">
        <v>11</v>
      </c>
      <c r="C34" s="69" t="s">
        <v>149</v>
      </c>
      <c r="D34" s="206" t="s">
        <v>153</v>
      </c>
      <c r="E34" s="73" t="s">
        <v>497</v>
      </c>
      <c r="F34" s="74" t="str">
        <f>TEXT(SUM(R70:R74),"0%")&amp;IF(ABS(SUM(R70:R74)-1)&lt;0.001," OK"," CHK")</f>
        <v>100% OK</v>
      </c>
      <c r="G34" s="101">
        <f>SUMPRODUCT(R70:R74,G70:G74)/SUM(R70:R74)</f>
        <v>0.15600000000000003</v>
      </c>
      <c r="H34" s="101">
        <f>SUMPRODUCT(R70:R74,H70:H74)/SUM(R70:R74)</f>
        <v>0</v>
      </c>
      <c r="K34" s="101">
        <f>SUMPRODUCT(R70:R74,K70:K74)/SUM(R70:R74)</f>
        <v>2.5059999999999998</v>
      </c>
      <c r="M34" s="101">
        <f>SUMPRODUCT(R70:R74,M70:M74)/SUM(R70:R74)</f>
        <v>2.5059999999999998</v>
      </c>
      <c r="N34" s="33">
        <f>SUMPRODUCT(R70:R74,N70:N74)/SUM(R70:R74)</f>
        <v>6.75</v>
      </c>
      <c r="P34" s="103">
        <f>SUMPRODUCT(R70:R74,P70:P74)/SUM(R70:R74)</f>
        <v>9.2560000000000002</v>
      </c>
      <c r="Q34" s="37">
        <f>SUMPRODUCT(R70:R74,Q70:Q74)/SUM(R70:R74)</f>
        <v>2.5060000000000002</v>
      </c>
      <c r="R34" s="175">
        <f t="shared" si="23"/>
        <v>2.5060000000000002</v>
      </c>
      <c r="S34" s="176">
        <f t="shared" si="24"/>
        <v>0</v>
      </c>
    </row>
    <row r="35" spans="1:57" ht="15" customHeight="1" x14ac:dyDescent="0.45">
      <c r="B35" s="207">
        <v>12</v>
      </c>
      <c r="C35" s="208" t="s">
        <v>469</v>
      </c>
      <c r="D35" s="209" t="s">
        <v>424</v>
      </c>
      <c r="E35" s="210" t="s">
        <v>498</v>
      </c>
      <c r="F35" s="211" t="s">
        <v>499</v>
      </c>
      <c r="G35" s="101">
        <f t="shared" ref="G35:H37" si="25">G18</f>
        <v>0.44880000000000003</v>
      </c>
      <c r="H35" s="101">
        <f t="shared" si="25"/>
        <v>0</v>
      </c>
      <c r="K35" s="101">
        <f>K18</f>
        <v>0.94879999999999998</v>
      </c>
      <c r="M35" s="101">
        <f t="shared" ref="M35:N37" si="26">M18</f>
        <v>0.94879999999999998</v>
      </c>
      <c r="N35" s="33">
        <f t="shared" si="26"/>
        <v>0.25</v>
      </c>
      <c r="P35" s="103">
        <f t="shared" ref="P35:Q37" si="27">P18</f>
        <v>1.1987999999999999</v>
      </c>
      <c r="Q35" s="37">
        <f t="shared" si="27"/>
        <v>0.94879999999999987</v>
      </c>
      <c r="R35" s="175">
        <f t="shared" si="23"/>
        <v>0.94879999999999987</v>
      </c>
      <c r="S35" s="176">
        <f t="shared" si="24"/>
        <v>0</v>
      </c>
    </row>
    <row r="36" spans="1:57" ht="15" customHeight="1" x14ac:dyDescent="0.45">
      <c r="B36" s="212">
        <v>13</v>
      </c>
      <c r="C36" s="213" t="s">
        <v>475</v>
      </c>
      <c r="D36" s="214" t="s">
        <v>424</v>
      </c>
      <c r="E36" s="215" t="s">
        <v>498</v>
      </c>
      <c r="F36" s="216" t="s">
        <v>499</v>
      </c>
      <c r="G36" s="101">
        <f t="shared" si="25"/>
        <v>2.5245000000000002</v>
      </c>
      <c r="H36" s="101">
        <f t="shared" si="25"/>
        <v>7</v>
      </c>
      <c r="K36" s="101">
        <f>K19</f>
        <v>9.5244999999999997</v>
      </c>
      <c r="M36" s="101">
        <f t="shared" si="26"/>
        <v>9.5244999999999997</v>
      </c>
      <c r="N36" s="33">
        <f t="shared" si="26"/>
        <v>0.5</v>
      </c>
      <c r="P36" s="103">
        <f t="shared" si="27"/>
        <v>10.0245</v>
      </c>
      <c r="Q36" s="37">
        <f t="shared" si="27"/>
        <v>9.5244999999999997</v>
      </c>
      <c r="R36" s="175">
        <f t="shared" si="23"/>
        <v>9.5244999999999997</v>
      </c>
      <c r="S36" s="176">
        <f t="shared" si="24"/>
        <v>0</v>
      </c>
    </row>
    <row r="37" spans="1:57" ht="15" customHeight="1" x14ac:dyDescent="0.45">
      <c r="B37" s="217">
        <v>14</v>
      </c>
      <c r="C37" s="218" t="s">
        <v>481</v>
      </c>
      <c r="D37" s="219" t="s">
        <v>482</v>
      </c>
      <c r="E37" s="220" t="s">
        <v>498</v>
      </c>
      <c r="F37" s="221" t="s">
        <v>499</v>
      </c>
      <c r="G37" s="101">
        <f t="shared" si="25"/>
        <v>0</v>
      </c>
      <c r="H37" s="101">
        <f t="shared" si="25"/>
        <v>0</v>
      </c>
      <c r="K37" s="101">
        <f>K20</f>
        <v>0.5</v>
      </c>
      <c r="M37" s="101">
        <f t="shared" si="26"/>
        <v>0.5</v>
      </c>
      <c r="N37" s="33">
        <f t="shared" si="26"/>
        <v>0</v>
      </c>
      <c r="P37" s="103">
        <f t="shared" si="27"/>
        <v>0.5</v>
      </c>
      <c r="Q37" s="37">
        <f t="shared" si="27"/>
        <v>0.5</v>
      </c>
      <c r="R37" s="175">
        <f t="shared" si="23"/>
        <v>0.5</v>
      </c>
      <c r="S37" s="176">
        <f t="shared" si="24"/>
        <v>0</v>
      </c>
    </row>
    <row r="39" spans="1:57" ht="18" customHeight="1" x14ac:dyDescent="0.45">
      <c r="A39" s="240" t="s">
        <v>500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</row>
    <row r="40" spans="1:57" ht="13.5" customHeight="1" x14ac:dyDescent="0.45">
      <c r="A40" s="222" t="s">
        <v>501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</row>
    <row r="41" spans="1:57" ht="43.5" customHeight="1" x14ac:dyDescent="0.45">
      <c r="A41" s="224" t="s">
        <v>502</v>
      </c>
      <c r="B41" s="14">
        <v>1</v>
      </c>
      <c r="C41" s="11" t="s">
        <v>503</v>
      </c>
      <c r="D41" s="14" t="s">
        <v>49</v>
      </c>
      <c r="E41" s="12" t="s">
        <v>504</v>
      </c>
      <c r="F41" s="13" t="s">
        <v>505</v>
      </c>
      <c r="G41" s="101">
        <f t="shared" ref="G41:G55" si="28">S41*T41/1000</f>
        <v>0.12903000000000001</v>
      </c>
      <c r="H41" s="101">
        <f t="shared" ref="H41:H55" si="29">U41*V41/1000</f>
        <v>0.56100000000000005</v>
      </c>
      <c r="I41" s="25">
        <v>0.04</v>
      </c>
      <c r="J41" s="29">
        <v>0</v>
      </c>
      <c r="K41" s="101">
        <f t="shared" ref="K41:K55" si="30">G41+H41+I41+J41</f>
        <v>0.73003000000000007</v>
      </c>
      <c r="L41" s="101">
        <v>0</v>
      </c>
      <c r="M41" s="101">
        <f t="shared" ref="M41:M55" si="31">K41+L41</f>
        <v>0.73003000000000007</v>
      </c>
      <c r="N41" s="32">
        <v>0.25</v>
      </c>
      <c r="O41" s="102" t="s">
        <v>408</v>
      </c>
      <c r="P41" s="103">
        <f t="shared" ref="P41:P55" si="32">M41+N41</f>
        <v>0.98003000000000007</v>
      </c>
      <c r="Q41" s="37">
        <f t="shared" ref="Q41:Q55" si="33">P41-N41</f>
        <v>0.73003000000000007</v>
      </c>
      <c r="R41" s="110">
        <v>0.55000000000000004</v>
      </c>
      <c r="S41" s="16">
        <v>2.2999999999999998</v>
      </c>
      <c r="T41" s="16">
        <v>56.1</v>
      </c>
      <c r="U41" s="16">
        <v>10</v>
      </c>
      <c r="V41" s="16">
        <v>56.1</v>
      </c>
      <c r="W41" s="32">
        <v>1.82</v>
      </c>
      <c r="X41" s="104">
        <v>0.1</v>
      </c>
      <c r="Y41" s="33">
        <f t="shared" ref="Y41:Y55" si="34">W41*(1+X41)</f>
        <v>2.0020000000000002</v>
      </c>
      <c r="Z41" s="32">
        <v>0.48099999999999998</v>
      </c>
      <c r="AA41" s="105">
        <f t="shared" ref="AA41:AA55" si="35">Q41-Y41</f>
        <v>-1.27197</v>
      </c>
      <c r="AB41" s="105">
        <f t="shared" ref="AB41:AB55" si="36">Q41-Z41</f>
        <v>0.24903000000000008</v>
      </c>
      <c r="AC41" s="106" t="s">
        <v>409</v>
      </c>
      <c r="AD41" s="107" t="s">
        <v>410</v>
      </c>
      <c r="AE41" s="108" t="s">
        <v>411</v>
      </c>
      <c r="AF41" s="109">
        <v>5100</v>
      </c>
      <c r="AG41" s="139">
        <v>319</v>
      </c>
      <c r="AH41" s="139">
        <v>770</v>
      </c>
      <c r="AI41" s="110">
        <v>4.3999999999999997E-2</v>
      </c>
      <c r="AJ41" s="111">
        <f t="shared" ref="AJ41:AJ50" si="37">AG41</f>
        <v>319</v>
      </c>
      <c r="AK41" s="111">
        <f t="shared" ref="AK41:AK50" si="38">ROUND(AJ41*(1+AI41),0)</f>
        <v>333</v>
      </c>
      <c r="AL41" s="111">
        <f t="shared" ref="AL41:AL50" si="39">ROUND(AK41*(1+AI41),0)</f>
        <v>348</v>
      </c>
      <c r="AM41" s="111">
        <f t="shared" ref="AM41:AM50" si="40">ROUND(AL41*(1+AI41),0)</f>
        <v>363</v>
      </c>
      <c r="AN41" s="111">
        <f t="shared" ref="AN41:AN50" si="41">ROUND(AM41*(1+AI41),0)</f>
        <v>379</v>
      </c>
      <c r="AO41" s="111">
        <f t="shared" ref="AO41:AO50" si="42">ROUND(AN41*(1+AI41),0)</f>
        <v>396</v>
      </c>
      <c r="AP41" s="111">
        <f t="shared" ref="AP41:AP50" si="43">ROUND(AO41*(1+AI41),0)</f>
        <v>413</v>
      </c>
      <c r="AQ41" s="111">
        <f t="shared" ref="AQ41:AQ50" si="44">ROUND(AP41*(1+AI41),0)</f>
        <v>431</v>
      </c>
      <c r="AR41" s="111">
        <f t="shared" ref="AR41:AR50" si="45">ROUND(AQ41*(1+AI41),0)</f>
        <v>450</v>
      </c>
      <c r="AS41" s="111">
        <f t="shared" ref="AS41:AS50" si="46">ROUND(AR41*(1+AI41),0)</f>
        <v>470</v>
      </c>
      <c r="AT41" s="111">
        <f t="shared" ref="AT41:AT50" si="47">ROUND(AS41*(1+AI41),0)</f>
        <v>491</v>
      </c>
      <c r="AU41" s="111">
        <f t="shared" ref="AU41:AU50" si="48">ROUND(AT41*(1+AI41),0)</f>
        <v>513</v>
      </c>
      <c r="AW41" s="112"/>
      <c r="AX41" s="52"/>
      <c r="AY41" s="52"/>
      <c r="AZ41" s="17">
        <f t="shared" ref="AZ41:AZ55" si="49">K41</f>
        <v>0.73003000000000007</v>
      </c>
      <c r="BA41" s="52"/>
      <c r="BB41" s="103">
        <f t="shared" ref="BB41:BB50" si="50">AJ41*Q41/1000</f>
        <v>0.23287957000000004</v>
      </c>
      <c r="BC41" s="113" t="s">
        <v>412</v>
      </c>
      <c r="BD41" s="114">
        <f t="shared" ref="BD41:BD55" si="51">Q41</f>
        <v>0.73003000000000007</v>
      </c>
      <c r="BE41" s="115"/>
    </row>
    <row r="42" spans="1:57" ht="43.5" customHeight="1" x14ac:dyDescent="0.45">
      <c r="A42" s="224" t="s">
        <v>502</v>
      </c>
      <c r="B42" s="14">
        <v>2</v>
      </c>
      <c r="C42" s="11" t="s">
        <v>506</v>
      </c>
      <c r="D42" s="14" t="s">
        <v>49</v>
      </c>
      <c r="E42" s="12" t="s">
        <v>507</v>
      </c>
      <c r="F42" s="13" t="s">
        <v>508</v>
      </c>
      <c r="G42" s="101">
        <f t="shared" si="28"/>
        <v>0.12903000000000001</v>
      </c>
      <c r="H42" s="101">
        <f t="shared" si="29"/>
        <v>0.56100000000000005</v>
      </c>
      <c r="I42" s="25">
        <v>0.04</v>
      </c>
      <c r="J42" s="29">
        <v>0</v>
      </c>
      <c r="K42" s="101">
        <f t="shared" si="30"/>
        <v>0.73003000000000007</v>
      </c>
      <c r="L42" s="101">
        <v>0</v>
      </c>
      <c r="M42" s="101">
        <f t="shared" si="31"/>
        <v>0.73003000000000007</v>
      </c>
      <c r="N42" s="32">
        <v>0.25</v>
      </c>
      <c r="O42" s="102" t="s">
        <v>408</v>
      </c>
      <c r="P42" s="103">
        <f t="shared" si="32"/>
        <v>0.98003000000000007</v>
      </c>
      <c r="Q42" s="37">
        <f t="shared" si="33"/>
        <v>0.73003000000000007</v>
      </c>
      <c r="R42" s="110">
        <v>0.08</v>
      </c>
      <c r="S42" s="16">
        <v>2.2999999999999998</v>
      </c>
      <c r="T42" s="16">
        <v>56.1</v>
      </c>
      <c r="U42" s="16">
        <v>10</v>
      </c>
      <c r="V42" s="16">
        <v>56.1</v>
      </c>
      <c r="W42" s="32">
        <v>1.82</v>
      </c>
      <c r="X42" s="104">
        <v>0.1</v>
      </c>
      <c r="Y42" s="33">
        <f t="shared" si="34"/>
        <v>2.0020000000000002</v>
      </c>
      <c r="Z42" s="32">
        <v>0.48099999999999998</v>
      </c>
      <c r="AA42" s="105">
        <f t="shared" si="35"/>
        <v>-1.27197</v>
      </c>
      <c r="AB42" s="105">
        <f t="shared" si="36"/>
        <v>0.24903000000000008</v>
      </c>
      <c r="AC42" s="106" t="s">
        <v>409</v>
      </c>
      <c r="AD42" s="107" t="s">
        <v>410</v>
      </c>
      <c r="AE42" s="108" t="s">
        <v>411</v>
      </c>
      <c r="AF42" s="109">
        <v>5100</v>
      </c>
      <c r="AG42" s="139">
        <v>46</v>
      </c>
      <c r="AH42" s="139">
        <v>112</v>
      </c>
      <c r="AI42" s="110">
        <v>4.3999999999999997E-2</v>
      </c>
      <c r="AJ42" s="111">
        <f t="shared" si="37"/>
        <v>46</v>
      </c>
      <c r="AK42" s="111">
        <f t="shared" si="38"/>
        <v>48</v>
      </c>
      <c r="AL42" s="111">
        <f t="shared" si="39"/>
        <v>50</v>
      </c>
      <c r="AM42" s="111">
        <f t="shared" si="40"/>
        <v>52</v>
      </c>
      <c r="AN42" s="111">
        <f t="shared" si="41"/>
        <v>54</v>
      </c>
      <c r="AO42" s="111">
        <f t="shared" si="42"/>
        <v>56</v>
      </c>
      <c r="AP42" s="111">
        <f t="shared" si="43"/>
        <v>58</v>
      </c>
      <c r="AQ42" s="111">
        <f t="shared" si="44"/>
        <v>61</v>
      </c>
      <c r="AR42" s="111">
        <f t="shared" si="45"/>
        <v>64</v>
      </c>
      <c r="AS42" s="111">
        <f t="shared" si="46"/>
        <v>67</v>
      </c>
      <c r="AT42" s="111">
        <f t="shared" si="47"/>
        <v>70</v>
      </c>
      <c r="AU42" s="111">
        <f t="shared" si="48"/>
        <v>73</v>
      </c>
      <c r="AW42" s="112"/>
      <c r="AX42" s="52"/>
      <c r="AY42" s="52"/>
      <c r="AZ42" s="17">
        <f t="shared" si="49"/>
        <v>0.73003000000000007</v>
      </c>
      <c r="BA42" s="52"/>
      <c r="BB42" s="103">
        <f t="shared" si="50"/>
        <v>3.3581380000000001E-2</v>
      </c>
      <c r="BC42" s="113" t="s">
        <v>412</v>
      </c>
      <c r="BD42" s="114">
        <f t="shared" si="51"/>
        <v>0.73003000000000007</v>
      </c>
      <c r="BE42" s="115"/>
    </row>
    <row r="43" spans="1:57" ht="43.5" customHeight="1" x14ac:dyDescent="0.45">
      <c r="A43" s="224" t="s">
        <v>502</v>
      </c>
      <c r="B43" s="14">
        <v>3</v>
      </c>
      <c r="C43" s="11" t="s">
        <v>509</v>
      </c>
      <c r="D43" s="14" t="s">
        <v>49</v>
      </c>
      <c r="E43" s="12" t="s">
        <v>510</v>
      </c>
      <c r="F43" s="13" t="s">
        <v>511</v>
      </c>
      <c r="G43" s="101">
        <f t="shared" si="28"/>
        <v>0.12903000000000001</v>
      </c>
      <c r="H43" s="101">
        <f t="shared" si="29"/>
        <v>0.56100000000000005</v>
      </c>
      <c r="I43" s="25">
        <v>0.04</v>
      </c>
      <c r="J43" s="29">
        <v>0</v>
      </c>
      <c r="K43" s="101">
        <f t="shared" si="30"/>
        <v>0.73003000000000007</v>
      </c>
      <c r="L43" s="101">
        <v>0</v>
      </c>
      <c r="M43" s="101">
        <f t="shared" si="31"/>
        <v>0.73003000000000007</v>
      </c>
      <c r="N43" s="32">
        <v>0.25</v>
      </c>
      <c r="O43" s="102" t="s">
        <v>408</v>
      </c>
      <c r="P43" s="103">
        <f t="shared" si="32"/>
        <v>0.98003000000000007</v>
      </c>
      <c r="Q43" s="37">
        <f t="shared" si="33"/>
        <v>0.73003000000000007</v>
      </c>
      <c r="R43" s="110">
        <v>0.05</v>
      </c>
      <c r="S43" s="16">
        <v>2.2999999999999998</v>
      </c>
      <c r="T43" s="16">
        <v>56.1</v>
      </c>
      <c r="U43" s="16">
        <v>10</v>
      </c>
      <c r="V43" s="16">
        <v>56.1</v>
      </c>
      <c r="W43" s="32">
        <v>1.82</v>
      </c>
      <c r="X43" s="104">
        <v>0.1</v>
      </c>
      <c r="Y43" s="33">
        <f t="shared" si="34"/>
        <v>2.0020000000000002</v>
      </c>
      <c r="Z43" s="32">
        <v>0.48099999999999998</v>
      </c>
      <c r="AA43" s="105">
        <f t="shared" si="35"/>
        <v>-1.27197</v>
      </c>
      <c r="AB43" s="105">
        <f t="shared" si="36"/>
        <v>0.24903000000000008</v>
      </c>
      <c r="AC43" s="106" t="s">
        <v>409</v>
      </c>
      <c r="AD43" s="107" t="s">
        <v>410</v>
      </c>
      <c r="AE43" s="108" t="s">
        <v>411</v>
      </c>
      <c r="AF43" s="109">
        <v>5100</v>
      </c>
      <c r="AG43" s="139">
        <v>29</v>
      </c>
      <c r="AH43" s="139">
        <v>70</v>
      </c>
      <c r="AI43" s="110">
        <v>4.3999999999999997E-2</v>
      </c>
      <c r="AJ43" s="111">
        <f t="shared" si="37"/>
        <v>29</v>
      </c>
      <c r="AK43" s="111">
        <f t="shared" si="38"/>
        <v>30</v>
      </c>
      <c r="AL43" s="111">
        <f t="shared" si="39"/>
        <v>31</v>
      </c>
      <c r="AM43" s="111">
        <f t="shared" si="40"/>
        <v>32</v>
      </c>
      <c r="AN43" s="111">
        <f t="shared" si="41"/>
        <v>33</v>
      </c>
      <c r="AO43" s="111">
        <f t="shared" si="42"/>
        <v>34</v>
      </c>
      <c r="AP43" s="111">
        <f t="shared" si="43"/>
        <v>35</v>
      </c>
      <c r="AQ43" s="111">
        <f t="shared" si="44"/>
        <v>37</v>
      </c>
      <c r="AR43" s="111">
        <f t="shared" si="45"/>
        <v>39</v>
      </c>
      <c r="AS43" s="111">
        <f t="shared" si="46"/>
        <v>41</v>
      </c>
      <c r="AT43" s="111">
        <f t="shared" si="47"/>
        <v>43</v>
      </c>
      <c r="AU43" s="111">
        <f t="shared" si="48"/>
        <v>45</v>
      </c>
      <c r="AW43" s="112"/>
      <c r="AX43" s="52"/>
      <c r="AY43" s="52"/>
      <c r="AZ43" s="17">
        <f t="shared" si="49"/>
        <v>0.73003000000000007</v>
      </c>
      <c r="BA43" s="52"/>
      <c r="BB43" s="103">
        <f t="shared" si="50"/>
        <v>2.1170870000000001E-2</v>
      </c>
      <c r="BC43" s="113" t="s">
        <v>412</v>
      </c>
      <c r="BD43" s="114">
        <f t="shared" si="51"/>
        <v>0.73003000000000007</v>
      </c>
      <c r="BE43" s="115"/>
    </row>
    <row r="44" spans="1:57" ht="43.5" customHeight="1" x14ac:dyDescent="0.45">
      <c r="A44" s="224" t="s">
        <v>502</v>
      </c>
      <c r="B44" s="14">
        <v>4</v>
      </c>
      <c r="C44" s="11" t="s">
        <v>512</v>
      </c>
      <c r="D44" s="14" t="s">
        <v>49</v>
      </c>
      <c r="E44" s="12" t="s">
        <v>513</v>
      </c>
      <c r="F44" s="13" t="s">
        <v>514</v>
      </c>
      <c r="G44" s="101">
        <f t="shared" si="28"/>
        <v>0.12903000000000001</v>
      </c>
      <c r="H44" s="101">
        <f t="shared" si="29"/>
        <v>0.56100000000000005</v>
      </c>
      <c r="I44" s="25">
        <v>0.04</v>
      </c>
      <c r="J44" s="29">
        <v>0</v>
      </c>
      <c r="K44" s="101">
        <f t="shared" si="30"/>
        <v>0.73003000000000007</v>
      </c>
      <c r="L44" s="101">
        <v>0</v>
      </c>
      <c r="M44" s="101">
        <f t="shared" si="31"/>
        <v>0.73003000000000007</v>
      </c>
      <c r="N44" s="32">
        <v>0.25</v>
      </c>
      <c r="O44" s="102" t="s">
        <v>408</v>
      </c>
      <c r="P44" s="103">
        <f t="shared" si="32"/>
        <v>0.98003000000000007</v>
      </c>
      <c r="Q44" s="37">
        <f t="shared" si="33"/>
        <v>0.73003000000000007</v>
      </c>
      <c r="R44" s="110">
        <v>0.2</v>
      </c>
      <c r="S44" s="16">
        <v>2.2999999999999998</v>
      </c>
      <c r="T44" s="16">
        <v>56.1</v>
      </c>
      <c r="U44" s="16">
        <v>10</v>
      </c>
      <c r="V44" s="16">
        <v>56.1</v>
      </c>
      <c r="W44" s="32">
        <v>1.82</v>
      </c>
      <c r="X44" s="104">
        <v>0.1</v>
      </c>
      <c r="Y44" s="33">
        <f t="shared" si="34"/>
        <v>2.0020000000000002</v>
      </c>
      <c r="Z44" s="32">
        <v>0.48099999999999998</v>
      </c>
      <c r="AA44" s="105">
        <f t="shared" si="35"/>
        <v>-1.27197</v>
      </c>
      <c r="AB44" s="105">
        <f t="shared" si="36"/>
        <v>0.24903000000000008</v>
      </c>
      <c r="AC44" s="106" t="s">
        <v>409</v>
      </c>
      <c r="AD44" s="107" t="s">
        <v>410</v>
      </c>
      <c r="AE44" s="108" t="s">
        <v>411</v>
      </c>
      <c r="AF44" s="109">
        <v>5100</v>
      </c>
      <c r="AG44" s="139">
        <v>116</v>
      </c>
      <c r="AH44" s="139">
        <v>280</v>
      </c>
      <c r="AI44" s="110">
        <v>4.3999999999999997E-2</v>
      </c>
      <c r="AJ44" s="111">
        <f t="shared" si="37"/>
        <v>116</v>
      </c>
      <c r="AK44" s="111">
        <f t="shared" si="38"/>
        <v>121</v>
      </c>
      <c r="AL44" s="111">
        <f t="shared" si="39"/>
        <v>126</v>
      </c>
      <c r="AM44" s="111">
        <f t="shared" si="40"/>
        <v>132</v>
      </c>
      <c r="AN44" s="111">
        <f t="shared" si="41"/>
        <v>138</v>
      </c>
      <c r="AO44" s="111">
        <f t="shared" si="42"/>
        <v>144</v>
      </c>
      <c r="AP44" s="111">
        <f t="shared" si="43"/>
        <v>150</v>
      </c>
      <c r="AQ44" s="111">
        <f t="shared" si="44"/>
        <v>157</v>
      </c>
      <c r="AR44" s="111">
        <f t="shared" si="45"/>
        <v>164</v>
      </c>
      <c r="AS44" s="111">
        <f t="shared" si="46"/>
        <v>171</v>
      </c>
      <c r="AT44" s="111">
        <f t="shared" si="47"/>
        <v>179</v>
      </c>
      <c r="AU44" s="111">
        <f t="shared" si="48"/>
        <v>187</v>
      </c>
      <c r="AW44" s="112"/>
      <c r="AX44" s="52"/>
      <c r="AY44" s="52"/>
      <c r="AZ44" s="17">
        <f t="shared" si="49"/>
        <v>0.73003000000000007</v>
      </c>
      <c r="BA44" s="52"/>
      <c r="BB44" s="103">
        <f t="shared" si="50"/>
        <v>8.4683480000000005E-2</v>
      </c>
      <c r="BC44" s="113" t="s">
        <v>412</v>
      </c>
      <c r="BD44" s="114">
        <f t="shared" si="51"/>
        <v>0.73003000000000007</v>
      </c>
      <c r="BE44" s="115"/>
    </row>
    <row r="45" spans="1:57" ht="43.5" customHeight="1" x14ac:dyDescent="0.45">
      <c r="A45" s="224" t="s">
        <v>502</v>
      </c>
      <c r="B45" s="14">
        <v>5</v>
      </c>
      <c r="C45" s="11" t="s">
        <v>515</v>
      </c>
      <c r="D45" s="14" t="s">
        <v>49</v>
      </c>
      <c r="E45" s="12" t="s">
        <v>516</v>
      </c>
      <c r="F45" s="13" t="s">
        <v>517</v>
      </c>
      <c r="G45" s="101">
        <f t="shared" si="28"/>
        <v>0.12903000000000001</v>
      </c>
      <c r="H45" s="101">
        <f t="shared" si="29"/>
        <v>0.56100000000000005</v>
      </c>
      <c r="I45" s="25">
        <v>0.04</v>
      </c>
      <c r="J45" s="29">
        <v>0</v>
      </c>
      <c r="K45" s="101">
        <f t="shared" si="30"/>
        <v>0.73003000000000007</v>
      </c>
      <c r="L45" s="101">
        <v>0</v>
      </c>
      <c r="M45" s="101">
        <f t="shared" si="31"/>
        <v>0.73003000000000007</v>
      </c>
      <c r="N45" s="32">
        <v>0.25</v>
      </c>
      <c r="O45" s="102" t="s">
        <v>408</v>
      </c>
      <c r="P45" s="103">
        <f t="shared" si="32"/>
        <v>0.98003000000000007</v>
      </c>
      <c r="Q45" s="37">
        <f t="shared" si="33"/>
        <v>0.73003000000000007</v>
      </c>
      <c r="R45" s="110">
        <v>0.12</v>
      </c>
      <c r="S45" s="16">
        <v>2.2999999999999998</v>
      </c>
      <c r="T45" s="16">
        <v>56.1</v>
      </c>
      <c r="U45" s="16">
        <v>10</v>
      </c>
      <c r="V45" s="16">
        <v>56.1</v>
      </c>
      <c r="W45" s="32">
        <v>1.82</v>
      </c>
      <c r="X45" s="104">
        <v>0.1</v>
      </c>
      <c r="Y45" s="33">
        <f t="shared" si="34"/>
        <v>2.0020000000000002</v>
      </c>
      <c r="Z45" s="32">
        <v>0.48099999999999998</v>
      </c>
      <c r="AA45" s="105">
        <f t="shared" si="35"/>
        <v>-1.27197</v>
      </c>
      <c r="AB45" s="105">
        <f t="shared" si="36"/>
        <v>0.24903000000000008</v>
      </c>
      <c r="AC45" s="106" t="s">
        <v>409</v>
      </c>
      <c r="AD45" s="107" t="s">
        <v>410</v>
      </c>
      <c r="AE45" s="108" t="s">
        <v>411</v>
      </c>
      <c r="AF45" s="109">
        <v>5100</v>
      </c>
      <c r="AG45" s="139">
        <v>70</v>
      </c>
      <c r="AH45" s="139">
        <v>168</v>
      </c>
      <c r="AI45" s="110">
        <v>4.3999999999999997E-2</v>
      </c>
      <c r="AJ45" s="111">
        <f t="shared" si="37"/>
        <v>70</v>
      </c>
      <c r="AK45" s="111">
        <f t="shared" si="38"/>
        <v>73</v>
      </c>
      <c r="AL45" s="111">
        <f t="shared" si="39"/>
        <v>76</v>
      </c>
      <c r="AM45" s="111">
        <f t="shared" si="40"/>
        <v>79</v>
      </c>
      <c r="AN45" s="111">
        <f t="shared" si="41"/>
        <v>82</v>
      </c>
      <c r="AO45" s="111">
        <f t="shared" si="42"/>
        <v>86</v>
      </c>
      <c r="AP45" s="111">
        <f t="shared" si="43"/>
        <v>90</v>
      </c>
      <c r="AQ45" s="111">
        <f t="shared" si="44"/>
        <v>94</v>
      </c>
      <c r="AR45" s="111">
        <f t="shared" si="45"/>
        <v>98</v>
      </c>
      <c r="AS45" s="111">
        <f t="shared" si="46"/>
        <v>102</v>
      </c>
      <c r="AT45" s="111">
        <f t="shared" si="47"/>
        <v>106</v>
      </c>
      <c r="AU45" s="111">
        <f t="shared" si="48"/>
        <v>111</v>
      </c>
      <c r="AW45" s="112"/>
      <c r="AX45" s="52"/>
      <c r="AY45" s="52"/>
      <c r="AZ45" s="17">
        <f t="shared" si="49"/>
        <v>0.73003000000000007</v>
      </c>
      <c r="BA45" s="52"/>
      <c r="BB45" s="103">
        <f t="shared" si="50"/>
        <v>5.1102100000000004E-2</v>
      </c>
      <c r="BC45" s="113" t="s">
        <v>412</v>
      </c>
      <c r="BD45" s="114">
        <f t="shared" si="51"/>
        <v>0.73003000000000007</v>
      </c>
      <c r="BE45" s="115"/>
    </row>
    <row r="46" spans="1:57" ht="43.5" customHeight="1" x14ac:dyDescent="0.45">
      <c r="A46" s="225" t="s">
        <v>502</v>
      </c>
      <c r="B46" s="46">
        <v>6</v>
      </c>
      <c r="C46" s="43" t="s">
        <v>518</v>
      </c>
      <c r="D46" s="46" t="s">
        <v>49</v>
      </c>
      <c r="E46" s="44" t="s">
        <v>516</v>
      </c>
      <c r="F46" s="45" t="s">
        <v>519</v>
      </c>
      <c r="G46" s="101">
        <f t="shared" si="28"/>
        <v>0.14025000000000001</v>
      </c>
      <c r="H46" s="101">
        <f t="shared" si="29"/>
        <v>0</v>
      </c>
      <c r="I46" s="25">
        <v>1.4999999999999999E-2</v>
      </c>
      <c r="J46" s="29">
        <v>0</v>
      </c>
      <c r="K46" s="101">
        <f t="shared" si="30"/>
        <v>0.15525</v>
      </c>
      <c r="L46" s="101">
        <v>0</v>
      </c>
      <c r="M46" s="101">
        <f t="shared" si="31"/>
        <v>0.15525</v>
      </c>
      <c r="N46" s="32">
        <v>0.25</v>
      </c>
      <c r="O46" s="102" t="s">
        <v>408</v>
      </c>
      <c r="P46" s="103">
        <f t="shared" si="32"/>
        <v>0.40525</v>
      </c>
      <c r="Q46" s="37">
        <f t="shared" si="33"/>
        <v>0.15525</v>
      </c>
      <c r="R46" s="110">
        <v>0.45</v>
      </c>
      <c r="S46" s="16">
        <v>2.5</v>
      </c>
      <c r="T46" s="16">
        <v>56.1</v>
      </c>
      <c r="U46" s="16">
        <v>0</v>
      </c>
      <c r="V46" s="16">
        <v>0</v>
      </c>
      <c r="W46" s="32">
        <v>0.72</v>
      </c>
      <c r="X46" s="104">
        <v>0.1</v>
      </c>
      <c r="Y46" s="33">
        <f t="shared" si="34"/>
        <v>0.79200000000000004</v>
      </c>
      <c r="Z46" s="32">
        <v>7.1999999999999995E-2</v>
      </c>
      <c r="AA46" s="105">
        <f t="shared" si="35"/>
        <v>-0.63675000000000004</v>
      </c>
      <c r="AB46" s="105">
        <f t="shared" si="36"/>
        <v>8.3250000000000005E-2</v>
      </c>
      <c r="AC46" s="106" t="s">
        <v>414</v>
      </c>
      <c r="AD46" s="107" t="s">
        <v>415</v>
      </c>
      <c r="AE46" s="107" t="s">
        <v>416</v>
      </c>
      <c r="AF46" s="109">
        <v>4800</v>
      </c>
      <c r="AG46" s="139">
        <v>135</v>
      </c>
      <c r="AH46" s="139">
        <v>405</v>
      </c>
      <c r="AI46" s="110">
        <v>4.3999999999999997E-2</v>
      </c>
      <c r="AJ46" s="111">
        <f t="shared" si="37"/>
        <v>135</v>
      </c>
      <c r="AK46" s="111">
        <f t="shared" si="38"/>
        <v>141</v>
      </c>
      <c r="AL46" s="111">
        <f t="shared" si="39"/>
        <v>147</v>
      </c>
      <c r="AM46" s="111">
        <f t="shared" si="40"/>
        <v>153</v>
      </c>
      <c r="AN46" s="111">
        <f t="shared" si="41"/>
        <v>160</v>
      </c>
      <c r="AO46" s="111">
        <f t="shared" si="42"/>
        <v>167</v>
      </c>
      <c r="AP46" s="111">
        <f t="shared" si="43"/>
        <v>174</v>
      </c>
      <c r="AQ46" s="111">
        <f t="shared" si="44"/>
        <v>182</v>
      </c>
      <c r="AR46" s="111">
        <f t="shared" si="45"/>
        <v>190</v>
      </c>
      <c r="AS46" s="111">
        <f t="shared" si="46"/>
        <v>198</v>
      </c>
      <c r="AT46" s="111">
        <f t="shared" si="47"/>
        <v>207</v>
      </c>
      <c r="AU46" s="111">
        <f t="shared" si="48"/>
        <v>216</v>
      </c>
      <c r="AW46" s="112"/>
      <c r="AX46" s="52"/>
      <c r="AY46" s="52"/>
      <c r="AZ46" s="17">
        <f t="shared" si="49"/>
        <v>0.15525</v>
      </c>
      <c r="BA46" s="52"/>
      <c r="BB46" s="103">
        <f t="shared" si="50"/>
        <v>2.0958749999999998E-2</v>
      </c>
      <c r="BC46" s="113" t="s">
        <v>412</v>
      </c>
      <c r="BD46" s="114">
        <f t="shared" si="51"/>
        <v>0.15525</v>
      </c>
      <c r="BE46" s="115"/>
    </row>
    <row r="47" spans="1:57" ht="43.5" customHeight="1" x14ac:dyDescent="0.45">
      <c r="A47" s="225" t="s">
        <v>502</v>
      </c>
      <c r="B47" s="46">
        <v>7</v>
      </c>
      <c r="C47" s="43" t="s">
        <v>520</v>
      </c>
      <c r="D47" s="46" t="s">
        <v>49</v>
      </c>
      <c r="E47" s="44" t="s">
        <v>521</v>
      </c>
      <c r="F47" s="45" t="s">
        <v>522</v>
      </c>
      <c r="G47" s="101">
        <f t="shared" si="28"/>
        <v>0.14025000000000001</v>
      </c>
      <c r="H47" s="101">
        <f t="shared" si="29"/>
        <v>0</v>
      </c>
      <c r="I47" s="25">
        <v>1.4999999999999999E-2</v>
      </c>
      <c r="J47" s="29">
        <v>0</v>
      </c>
      <c r="K47" s="101">
        <f t="shared" si="30"/>
        <v>0.15525</v>
      </c>
      <c r="L47" s="101">
        <v>0</v>
      </c>
      <c r="M47" s="101">
        <f t="shared" si="31"/>
        <v>0.15525</v>
      </c>
      <c r="N47" s="32">
        <v>0.25</v>
      </c>
      <c r="O47" s="102" t="s">
        <v>408</v>
      </c>
      <c r="P47" s="103">
        <f t="shared" si="32"/>
        <v>0.40525</v>
      </c>
      <c r="Q47" s="37">
        <f t="shared" si="33"/>
        <v>0.15525</v>
      </c>
      <c r="R47" s="110">
        <v>0.25</v>
      </c>
      <c r="S47" s="16">
        <v>2.5</v>
      </c>
      <c r="T47" s="16">
        <v>56.1</v>
      </c>
      <c r="U47" s="16">
        <v>0</v>
      </c>
      <c r="V47" s="16">
        <v>0</v>
      </c>
      <c r="W47" s="32">
        <v>0.72</v>
      </c>
      <c r="X47" s="104">
        <v>0.1</v>
      </c>
      <c r="Y47" s="33">
        <f t="shared" si="34"/>
        <v>0.79200000000000004</v>
      </c>
      <c r="Z47" s="32">
        <v>7.1999999999999995E-2</v>
      </c>
      <c r="AA47" s="105">
        <f t="shared" si="35"/>
        <v>-0.63675000000000004</v>
      </c>
      <c r="AB47" s="105">
        <f t="shared" si="36"/>
        <v>8.3250000000000005E-2</v>
      </c>
      <c r="AC47" s="106" t="s">
        <v>414</v>
      </c>
      <c r="AD47" s="107" t="s">
        <v>415</v>
      </c>
      <c r="AE47" s="107" t="s">
        <v>416</v>
      </c>
      <c r="AF47" s="109">
        <v>4800</v>
      </c>
      <c r="AG47" s="139">
        <v>75</v>
      </c>
      <c r="AH47" s="139">
        <v>225</v>
      </c>
      <c r="AI47" s="110">
        <v>4.3999999999999997E-2</v>
      </c>
      <c r="AJ47" s="111">
        <f t="shared" si="37"/>
        <v>75</v>
      </c>
      <c r="AK47" s="111">
        <f t="shared" si="38"/>
        <v>78</v>
      </c>
      <c r="AL47" s="111">
        <f t="shared" si="39"/>
        <v>81</v>
      </c>
      <c r="AM47" s="111">
        <f t="shared" si="40"/>
        <v>85</v>
      </c>
      <c r="AN47" s="111">
        <f t="shared" si="41"/>
        <v>89</v>
      </c>
      <c r="AO47" s="111">
        <f t="shared" si="42"/>
        <v>93</v>
      </c>
      <c r="AP47" s="111">
        <f t="shared" si="43"/>
        <v>97</v>
      </c>
      <c r="AQ47" s="111">
        <f t="shared" si="44"/>
        <v>101</v>
      </c>
      <c r="AR47" s="111">
        <f t="shared" si="45"/>
        <v>105</v>
      </c>
      <c r="AS47" s="111">
        <f t="shared" si="46"/>
        <v>110</v>
      </c>
      <c r="AT47" s="111">
        <f t="shared" si="47"/>
        <v>115</v>
      </c>
      <c r="AU47" s="111">
        <f t="shared" si="48"/>
        <v>120</v>
      </c>
      <c r="AW47" s="112"/>
      <c r="AX47" s="52"/>
      <c r="AY47" s="52"/>
      <c r="AZ47" s="17">
        <f t="shared" si="49"/>
        <v>0.15525</v>
      </c>
      <c r="BA47" s="52"/>
      <c r="BB47" s="103">
        <f t="shared" si="50"/>
        <v>1.1643750000000001E-2</v>
      </c>
      <c r="BC47" s="113" t="s">
        <v>412</v>
      </c>
      <c r="BD47" s="114">
        <f t="shared" si="51"/>
        <v>0.15525</v>
      </c>
      <c r="BE47" s="115"/>
    </row>
    <row r="48" spans="1:57" ht="43.5" customHeight="1" x14ac:dyDescent="0.45">
      <c r="A48" s="225" t="s">
        <v>502</v>
      </c>
      <c r="B48" s="46">
        <v>8</v>
      </c>
      <c r="C48" s="43" t="s">
        <v>523</v>
      </c>
      <c r="D48" s="46" t="s">
        <v>49</v>
      </c>
      <c r="E48" s="44" t="s">
        <v>524</v>
      </c>
      <c r="F48" s="45" t="s">
        <v>525</v>
      </c>
      <c r="G48" s="101">
        <f t="shared" si="28"/>
        <v>0.14025000000000001</v>
      </c>
      <c r="H48" s="101">
        <f t="shared" si="29"/>
        <v>0</v>
      </c>
      <c r="I48" s="25">
        <v>1.4999999999999999E-2</v>
      </c>
      <c r="J48" s="29">
        <v>0</v>
      </c>
      <c r="K48" s="101">
        <f t="shared" si="30"/>
        <v>0.15525</v>
      </c>
      <c r="L48" s="101">
        <v>0</v>
      </c>
      <c r="M48" s="101">
        <f t="shared" si="31"/>
        <v>0.15525</v>
      </c>
      <c r="N48" s="32">
        <v>0.25</v>
      </c>
      <c r="O48" s="102" t="s">
        <v>408</v>
      </c>
      <c r="P48" s="103">
        <f t="shared" si="32"/>
        <v>0.40525</v>
      </c>
      <c r="Q48" s="37">
        <f t="shared" si="33"/>
        <v>0.15525</v>
      </c>
      <c r="R48" s="110">
        <v>0.15</v>
      </c>
      <c r="S48" s="16">
        <v>2.5</v>
      </c>
      <c r="T48" s="16">
        <v>56.1</v>
      </c>
      <c r="U48" s="16">
        <v>0</v>
      </c>
      <c r="V48" s="16">
        <v>0</v>
      </c>
      <c r="W48" s="32">
        <v>0.72</v>
      </c>
      <c r="X48" s="104">
        <v>0.1</v>
      </c>
      <c r="Y48" s="33">
        <f t="shared" si="34"/>
        <v>0.79200000000000004</v>
      </c>
      <c r="Z48" s="32">
        <v>7.1999999999999995E-2</v>
      </c>
      <c r="AA48" s="105">
        <f t="shared" si="35"/>
        <v>-0.63675000000000004</v>
      </c>
      <c r="AB48" s="105">
        <f t="shared" si="36"/>
        <v>8.3250000000000005E-2</v>
      </c>
      <c r="AC48" s="106" t="s">
        <v>414</v>
      </c>
      <c r="AD48" s="107" t="s">
        <v>415</v>
      </c>
      <c r="AE48" s="107" t="s">
        <v>416</v>
      </c>
      <c r="AF48" s="109">
        <v>4800</v>
      </c>
      <c r="AG48" s="139">
        <v>45</v>
      </c>
      <c r="AH48" s="139">
        <v>135</v>
      </c>
      <c r="AI48" s="110">
        <v>4.3999999999999997E-2</v>
      </c>
      <c r="AJ48" s="111">
        <f t="shared" si="37"/>
        <v>45</v>
      </c>
      <c r="AK48" s="111">
        <f t="shared" si="38"/>
        <v>47</v>
      </c>
      <c r="AL48" s="111">
        <f t="shared" si="39"/>
        <v>49</v>
      </c>
      <c r="AM48" s="111">
        <f t="shared" si="40"/>
        <v>51</v>
      </c>
      <c r="AN48" s="111">
        <f t="shared" si="41"/>
        <v>53</v>
      </c>
      <c r="AO48" s="111">
        <f t="shared" si="42"/>
        <v>55</v>
      </c>
      <c r="AP48" s="111">
        <f t="shared" si="43"/>
        <v>57</v>
      </c>
      <c r="AQ48" s="111">
        <f t="shared" si="44"/>
        <v>60</v>
      </c>
      <c r="AR48" s="111">
        <f t="shared" si="45"/>
        <v>63</v>
      </c>
      <c r="AS48" s="111">
        <f t="shared" si="46"/>
        <v>66</v>
      </c>
      <c r="AT48" s="111">
        <f t="shared" si="47"/>
        <v>69</v>
      </c>
      <c r="AU48" s="111">
        <f t="shared" si="48"/>
        <v>72</v>
      </c>
      <c r="AW48" s="112"/>
      <c r="AX48" s="52"/>
      <c r="AY48" s="52"/>
      <c r="AZ48" s="17">
        <f t="shared" si="49"/>
        <v>0.15525</v>
      </c>
      <c r="BA48" s="52"/>
      <c r="BB48" s="103">
        <f t="shared" si="50"/>
        <v>6.9862500000000003E-3</v>
      </c>
      <c r="BC48" s="113" t="s">
        <v>412</v>
      </c>
      <c r="BD48" s="114">
        <f t="shared" si="51"/>
        <v>0.15525</v>
      </c>
      <c r="BE48" s="115"/>
    </row>
    <row r="49" spans="1:57" ht="43.5" customHeight="1" x14ac:dyDescent="0.45">
      <c r="A49" s="225" t="s">
        <v>502</v>
      </c>
      <c r="B49" s="46">
        <v>9</v>
      </c>
      <c r="C49" s="43" t="s">
        <v>526</v>
      </c>
      <c r="D49" s="46" t="s">
        <v>49</v>
      </c>
      <c r="E49" s="44" t="s">
        <v>527</v>
      </c>
      <c r="F49" s="45" t="s">
        <v>528</v>
      </c>
      <c r="G49" s="101">
        <f t="shared" si="28"/>
        <v>0.14025000000000001</v>
      </c>
      <c r="H49" s="101">
        <f t="shared" si="29"/>
        <v>0</v>
      </c>
      <c r="I49" s="25">
        <v>1.4999999999999999E-2</v>
      </c>
      <c r="J49" s="29">
        <v>0</v>
      </c>
      <c r="K49" s="101">
        <f t="shared" si="30"/>
        <v>0.15525</v>
      </c>
      <c r="L49" s="101">
        <v>0</v>
      </c>
      <c r="M49" s="101">
        <f t="shared" si="31"/>
        <v>0.15525</v>
      </c>
      <c r="N49" s="32">
        <v>0.25</v>
      </c>
      <c r="O49" s="102" t="s">
        <v>408</v>
      </c>
      <c r="P49" s="103">
        <f t="shared" si="32"/>
        <v>0.40525</v>
      </c>
      <c r="Q49" s="37">
        <f t="shared" si="33"/>
        <v>0.15525</v>
      </c>
      <c r="R49" s="110">
        <v>0.15</v>
      </c>
      <c r="S49" s="16">
        <v>2.5</v>
      </c>
      <c r="T49" s="16">
        <v>56.1</v>
      </c>
      <c r="U49" s="16">
        <v>0</v>
      </c>
      <c r="V49" s="16">
        <v>0</v>
      </c>
      <c r="W49" s="32">
        <v>0.72</v>
      </c>
      <c r="X49" s="104">
        <v>0.1</v>
      </c>
      <c r="Y49" s="33">
        <f t="shared" si="34"/>
        <v>0.79200000000000004</v>
      </c>
      <c r="Z49" s="32">
        <v>7.1999999999999995E-2</v>
      </c>
      <c r="AA49" s="105">
        <f t="shared" si="35"/>
        <v>-0.63675000000000004</v>
      </c>
      <c r="AB49" s="105">
        <f t="shared" si="36"/>
        <v>8.3250000000000005E-2</v>
      </c>
      <c r="AC49" s="106" t="s">
        <v>414</v>
      </c>
      <c r="AD49" s="107" t="s">
        <v>415</v>
      </c>
      <c r="AE49" s="107" t="s">
        <v>416</v>
      </c>
      <c r="AF49" s="109">
        <v>4800</v>
      </c>
      <c r="AG49" s="139">
        <v>45</v>
      </c>
      <c r="AH49" s="139">
        <v>135</v>
      </c>
      <c r="AI49" s="110">
        <v>4.3999999999999997E-2</v>
      </c>
      <c r="AJ49" s="111">
        <f t="shared" si="37"/>
        <v>45</v>
      </c>
      <c r="AK49" s="111">
        <f t="shared" si="38"/>
        <v>47</v>
      </c>
      <c r="AL49" s="111">
        <f t="shared" si="39"/>
        <v>49</v>
      </c>
      <c r="AM49" s="111">
        <f t="shared" si="40"/>
        <v>51</v>
      </c>
      <c r="AN49" s="111">
        <f t="shared" si="41"/>
        <v>53</v>
      </c>
      <c r="AO49" s="111">
        <f t="shared" si="42"/>
        <v>55</v>
      </c>
      <c r="AP49" s="111">
        <f t="shared" si="43"/>
        <v>57</v>
      </c>
      <c r="AQ49" s="111">
        <f t="shared" si="44"/>
        <v>60</v>
      </c>
      <c r="AR49" s="111">
        <f t="shared" si="45"/>
        <v>63</v>
      </c>
      <c r="AS49" s="111">
        <f t="shared" si="46"/>
        <v>66</v>
      </c>
      <c r="AT49" s="111">
        <f t="shared" si="47"/>
        <v>69</v>
      </c>
      <c r="AU49" s="111">
        <f t="shared" si="48"/>
        <v>72</v>
      </c>
      <c r="AW49" s="112"/>
      <c r="AX49" s="52"/>
      <c r="AY49" s="52"/>
      <c r="AZ49" s="17">
        <f t="shared" si="49"/>
        <v>0.15525</v>
      </c>
      <c r="BA49" s="52"/>
      <c r="BB49" s="103">
        <f t="shared" si="50"/>
        <v>6.9862500000000003E-3</v>
      </c>
      <c r="BC49" s="113" t="s">
        <v>412</v>
      </c>
      <c r="BD49" s="114">
        <f t="shared" si="51"/>
        <v>0.15525</v>
      </c>
      <c r="BE49" s="115"/>
    </row>
    <row r="50" spans="1:57" ht="43.5" customHeight="1" x14ac:dyDescent="0.45">
      <c r="A50" s="226" t="s">
        <v>502</v>
      </c>
      <c r="B50" s="52">
        <v>10</v>
      </c>
      <c r="C50" s="39" t="s">
        <v>529</v>
      </c>
      <c r="D50" s="52" t="s">
        <v>49</v>
      </c>
      <c r="E50" s="50" t="s">
        <v>530</v>
      </c>
      <c r="F50" s="51" t="s">
        <v>531</v>
      </c>
      <c r="G50" s="101">
        <f t="shared" si="28"/>
        <v>0.38439999999999996</v>
      </c>
      <c r="H50" s="101">
        <f t="shared" si="29"/>
        <v>1.5375999999999999</v>
      </c>
      <c r="I50" s="25">
        <v>0.25</v>
      </c>
      <c r="J50" s="29">
        <v>0</v>
      </c>
      <c r="K50" s="101">
        <f t="shared" si="30"/>
        <v>2.1719999999999997</v>
      </c>
      <c r="L50" s="101">
        <v>0</v>
      </c>
      <c r="M50" s="101">
        <f t="shared" si="31"/>
        <v>2.1719999999999997</v>
      </c>
      <c r="N50" s="32">
        <v>0.1875</v>
      </c>
      <c r="O50" s="102" t="s">
        <v>408</v>
      </c>
      <c r="P50" s="103">
        <f t="shared" si="32"/>
        <v>2.3594999999999997</v>
      </c>
      <c r="Q50" s="37">
        <f t="shared" si="33"/>
        <v>2.1719999999999997</v>
      </c>
      <c r="R50" s="110">
        <v>1</v>
      </c>
      <c r="S50" s="16">
        <v>4</v>
      </c>
      <c r="T50" s="16">
        <v>96.1</v>
      </c>
      <c r="U50" s="16">
        <v>16</v>
      </c>
      <c r="V50" s="16">
        <v>96.1</v>
      </c>
      <c r="W50" s="32">
        <v>2.8</v>
      </c>
      <c r="X50" s="104">
        <v>0.1</v>
      </c>
      <c r="Y50" s="33">
        <f t="shared" si="34"/>
        <v>3.08</v>
      </c>
      <c r="Z50" s="32">
        <v>1.37</v>
      </c>
      <c r="AA50" s="105">
        <f t="shared" si="35"/>
        <v>-0.90800000000000036</v>
      </c>
      <c r="AB50" s="105">
        <f t="shared" si="36"/>
        <v>0.8019999999999996</v>
      </c>
      <c r="AC50" s="106" t="s">
        <v>420</v>
      </c>
      <c r="AD50" s="120" t="s">
        <v>421</v>
      </c>
      <c r="AE50" s="108" t="s">
        <v>422</v>
      </c>
      <c r="AF50" s="109">
        <v>0</v>
      </c>
      <c r="AG50" s="139">
        <v>0</v>
      </c>
      <c r="AH50" s="139">
        <v>0</v>
      </c>
      <c r="AI50" s="110">
        <v>0</v>
      </c>
      <c r="AJ50" s="111">
        <f t="shared" si="37"/>
        <v>0</v>
      </c>
      <c r="AK50" s="111">
        <f t="shared" si="38"/>
        <v>0</v>
      </c>
      <c r="AL50" s="111">
        <f t="shared" si="39"/>
        <v>0</v>
      </c>
      <c r="AM50" s="111">
        <f t="shared" si="40"/>
        <v>0</v>
      </c>
      <c r="AN50" s="111">
        <f t="shared" si="41"/>
        <v>0</v>
      </c>
      <c r="AO50" s="111">
        <f t="shared" si="42"/>
        <v>0</v>
      </c>
      <c r="AP50" s="111">
        <f t="shared" si="43"/>
        <v>0</v>
      </c>
      <c r="AQ50" s="111">
        <f t="shared" si="44"/>
        <v>0</v>
      </c>
      <c r="AR50" s="111">
        <f t="shared" si="45"/>
        <v>0</v>
      </c>
      <c r="AS50" s="111">
        <f t="shared" si="46"/>
        <v>0</v>
      </c>
      <c r="AT50" s="111">
        <f t="shared" si="47"/>
        <v>0</v>
      </c>
      <c r="AU50" s="111">
        <f t="shared" si="48"/>
        <v>0</v>
      </c>
      <c r="AW50" s="112"/>
      <c r="AX50" s="52"/>
      <c r="AY50" s="52"/>
      <c r="AZ50" s="17">
        <f t="shared" si="49"/>
        <v>2.1719999999999997</v>
      </c>
      <c r="BA50" s="52"/>
      <c r="BB50" s="103">
        <f t="shared" si="50"/>
        <v>0</v>
      </c>
      <c r="BC50" s="113" t="s">
        <v>412</v>
      </c>
      <c r="BD50" s="114">
        <f t="shared" si="51"/>
        <v>2.1719999999999997</v>
      </c>
      <c r="BE50" s="115"/>
    </row>
    <row r="51" spans="1:57" ht="45.75" customHeight="1" x14ac:dyDescent="0.45">
      <c r="A51" s="184" t="s">
        <v>532</v>
      </c>
      <c r="B51" s="122">
        <v>11</v>
      </c>
      <c r="C51" s="123" t="s">
        <v>533</v>
      </c>
      <c r="D51" s="122" t="s">
        <v>424</v>
      </c>
      <c r="E51" s="124" t="s">
        <v>534</v>
      </c>
      <c r="F51" s="125" t="s">
        <v>535</v>
      </c>
      <c r="G51" s="101">
        <f t="shared" si="28"/>
        <v>0.25245000000000001</v>
      </c>
      <c r="H51" s="101">
        <f t="shared" si="29"/>
        <v>1.4496</v>
      </c>
      <c r="I51" s="25">
        <v>0.3</v>
      </c>
      <c r="J51" s="29">
        <v>0</v>
      </c>
      <c r="K51" s="101">
        <f t="shared" si="30"/>
        <v>2.0020500000000001</v>
      </c>
      <c r="L51" s="101">
        <v>0</v>
      </c>
      <c r="M51" s="101">
        <f t="shared" si="31"/>
        <v>2.0020500000000001</v>
      </c>
      <c r="N51" s="32">
        <v>0.05</v>
      </c>
      <c r="O51" s="102" t="s">
        <v>408</v>
      </c>
      <c r="P51" s="103">
        <f t="shared" si="32"/>
        <v>2.0520499999999999</v>
      </c>
      <c r="Q51" s="37">
        <f t="shared" si="33"/>
        <v>2.0020500000000001</v>
      </c>
      <c r="R51" s="122"/>
      <c r="S51" s="16">
        <v>4.5</v>
      </c>
      <c r="T51" s="16">
        <v>56.1</v>
      </c>
      <c r="U51" s="16">
        <v>24</v>
      </c>
      <c r="V51" s="16">
        <v>60.4</v>
      </c>
      <c r="W51" s="32">
        <v>2</v>
      </c>
      <c r="X51" s="104">
        <v>0.1</v>
      </c>
      <c r="Y51" s="33">
        <f t="shared" si="34"/>
        <v>2.2000000000000002</v>
      </c>
      <c r="Z51" s="32">
        <v>1.3280000000000001</v>
      </c>
      <c r="AA51" s="105">
        <f t="shared" si="35"/>
        <v>-0.19795000000000007</v>
      </c>
      <c r="AB51" s="105">
        <f t="shared" si="36"/>
        <v>0.67405000000000004</v>
      </c>
      <c r="AC51" s="106" t="s">
        <v>536</v>
      </c>
      <c r="AD51" s="120" t="s">
        <v>537</v>
      </c>
      <c r="AE51" s="120" t="s">
        <v>538</v>
      </c>
      <c r="AF51" s="109">
        <v>0</v>
      </c>
      <c r="AG51" s="109">
        <v>0</v>
      </c>
      <c r="AH51" s="109">
        <v>0</v>
      </c>
      <c r="AI51" s="110">
        <v>5.5E-2</v>
      </c>
      <c r="AW51" s="112"/>
      <c r="AX51" s="52"/>
      <c r="AY51" s="52"/>
      <c r="AZ51" s="17">
        <f t="shared" si="49"/>
        <v>2.0020500000000001</v>
      </c>
      <c r="BA51" s="52"/>
      <c r="BB51" s="103">
        <v>0</v>
      </c>
      <c r="BC51" s="113" t="s">
        <v>412</v>
      </c>
      <c r="BD51" s="114">
        <f t="shared" si="51"/>
        <v>2.0020500000000001</v>
      </c>
      <c r="BE51" s="115"/>
    </row>
    <row r="52" spans="1:57" ht="45.75" customHeight="1" x14ac:dyDescent="0.45">
      <c r="A52" s="184" t="s">
        <v>532</v>
      </c>
      <c r="B52" s="122">
        <v>12</v>
      </c>
      <c r="C52" s="123" t="s">
        <v>539</v>
      </c>
      <c r="D52" s="122" t="s">
        <v>424</v>
      </c>
      <c r="E52" s="124" t="s">
        <v>540</v>
      </c>
      <c r="F52" s="125" t="s">
        <v>541</v>
      </c>
      <c r="G52" s="101">
        <f t="shared" si="28"/>
        <v>0.28050000000000003</v>
      </c>
      <c r="H52" s="101">
        <f t="shared" si="29"/>
        <v>1.1000000000000001</v>
      </c>
      <c r="I52" s="25">
        <v>0</v>
      </c>
      <c r="J52" s="29">
        <v>0</v>
      </c>
      <c r="K52" s="101">
        <f t="shared" si="30"/>
        <v>1.3805000000000001</v>
      </c>
      <c r="L52" s="101">
        <v>0</v>
      </c>
      <c r="M52" s="101">
        <f t="shared" si="31"/>
        <v>1.3805000000000001</v>
      </c>
      <c r="N52" s="32">
        <v>0.3</v>
      </c>
      <c r="O52" s="102" t="s">
        <v>408</v>
      </c>
      <c r="P52" s="103">
        <f t="shared" si="32"/>
        <v>1.6805000000000001</v>
      </c>
      <c r="Q52" s="37">
        <f t="shared" si="33"/>
        <v>1.3805000000000001</v>
      </c>
      <c r="R52" s="122"/>
      <c r="S52" s="16">
        <v>5</v>
      </c>
      <c r="T52" s="16">
        <v>56.1</v>
      </c>
      <c r="U52" s="16">
        <v>11</v>
      </c>
      <c r="V52" s="16">
        <v>100</v>
      </c>
      <c r="W52" s="32">
        <v>1.45</v>
      </c>
      <c r="X52" s="104">
        <v>0.1</v>
      </c>
      <c r="Y52" s="33">
        <f t="shared" si="34"/>
        <v>1.595</v>
      </c>
      <c r="Z52" s="32">
        <v>0.48099999999999998</v>
      </c>
      <c r="AA52" s="105">
        <f t="shared" si="35"/>
        <v>-0.21449999999999991</v>
      </c>
      <c r="AB52" s="105">
        <f t="shared" si="36"/>
        <v>0.89950000000000008</v>
      </c>
      <c r="AC52" s="106" t="s">
        <v>542</v>
      </c>
      <c r="AD52" s="120" t="s">
        <v>543</v>
      </c>
      <c r="AE52" s="108" t="s">
        <v>480</v>
      </c>
      <c r="AF52" s="109">
        <v>0</v>
      </c>
      <c r="AG52" s="109">
        <v>0</v>
      </c>
      <c r="AH52" s="109">
        <v>0</v>
      </c>
      <c r="AI52" s="110">
        <v>5.5E-2</v>
      </c>
      <c r="AW52" s="112"/>
      <c r="AX52" s="52"/>
      <c r="AY52" s="52"/>
      <c r="AZ52" s="17">
        <f t="shared" si="49"/>
        <v>1.3805000000000001</v>
      </c>
      <c r="BA52" s="52"/>
      <c r="BB52" s="103">
        <v>0</v>
      </c>
      <c r="BC52" s="113" t="s">
        <v>412</v>
      </c>
      <c r="BD52" s="114">
        <f t="shared" si="51"/>
        <v>1.3805000000000001</v>
      </c>
      <c r="BE52" s="115"/>
    </row>
    <row r="53" spans="1:57" ht="45.75" customHeight="1" x14ac:dyDescent="0.45">
      <c r="A53" s="184" t="s">
        <v>532</v>
      </c>
      <c r="B53" s="122">
        <v>13</v>
      </c>
      <c r="C53" s="123" t="s">
        <v>544</v>
      </c>
      <c r="D53" s="122" t="s">
        <v>424</v>
      </c>
      <c r="E53" s="124" t="s">
        <v>545</v>
      </c>
      <c r="F53" s="125" t="s">
        <v>546</v>
      </c>
      <c r="G53" s="101">
        <f t="shared" si="28"/>
        <v>0.49919999999999998</v>
      </c>
      <c r="H53" s="101">
        <f t="shared" si="29"/>
        <v>2.4981</v>
      </c>
      <c r="I53" s="25">
        <v>1.2</v>
      </c>
      <c r="J53" s="29">
        <v>0</v>
      </c>
      <c r="K53" s="101">
        <f t="shared" si="30"/>
        <v>4.1973000000000003</v>
      </c>
      <c r="L53" s="101">
        <v>0</v>
      </c>
      <c r="M53" s="101">
        <f t="shared" si="31"/>
        <v>4.1973000000000003</v>
      </c>
      <c r="N53" s="32">
        <v>4</v>
      </c>
      <c r="O53" s="102" t="s">
        <v>408</v>
      </c>
      <c r="P53" s="103">
        <f t="shared" si="32"/>
        <v>8.1973000000000003</v>
      </c>
      <c r="Q53" s="37">
        <f t="shared" si="33"/>
        <v>4.1973000000000003</v>
      </c>
      <c r="R53" s="122"/>
      <c r="S53" s="16">
        <v>8</v>
      </c>
      <c r="T53" s="16">
        <v>62.4</v>
      </c>
      <c r="U53" s="16">
        <v>33</v>
      </c>
      <c r="V53" s="16">
        <v>75.7</v>
      </c>
      <c r="W53" s="32">
        <v>4.5</v>
      </c>
      <c r="X53" s="104">
        <v>0.1</v>
      </c>
      <c r="Y53" s="33">
        <f t="shared" si="34"/>
        <v>4.95</v>
      </c>
      <c r="Z53" s="32">
        <v>2.81</v>
      </c>
      <c r="AA53" s="105">
        <f t="shared" si="35"/>
        <v>-0.75269999999999992</v>
      </c>
      <c r="AB53" s="105">
        <f t="shared" si="36"/>
        <v>1.3873000000000002</v>
      </c>
      <c r="AC53" s="106" t="s">
        <v>547</v>
      </c>
      <c r="AD53" s="120" t="s">
        <v>548</v>
      </c>
      <c r="AE53" s="120" t="s">
        <v>549</v>
      </c>
      <c r="AF53" s="109">
        <v>0</v>
      </c>
      <c r="AG53" s="109">
        <v>0</v>
      </c>
      <c r="AH53" s="109">
        <v>0</v>
      </c>
      <c r="AI53" s="110">
        <v>5.5E-2</v>
      </c>
      <c r="AW53" s="112"/>
      <c r="AX53" s="52"/>
      <c r="AY53" s="52"/>
      <c r="AZ53" s="17">
        <f t="shared" si="49"/>
        <v>4.1973000000000003</v>
      </c>
      <c r="BA53" s="52"/>
      <c r="BB53" s="103">
        <v>0</v>
      </c>
      <c r="BC53" s="113" t="s">
        <v>412</v>
      </c>
      <c r="BD53" s="114">
        <f t="shared" si="51"/>
        <v>4.1973000000000003</v>
      </c>
      <c r="BE53" s="115"/>
    </row>
    <row r="54" spans="1:57" ht="45.75" customHeight="1" x14ac:dyDescent="0.45">
      <c r="A54" s="184" t="s">
        <v>532</v>
      </c>
      <c r="B54" s="122">
        <v>14</v>
      </c>
      <c r="C54" s="123" t="s">
        <v>550</v>
      </c>
      <c r="D54" s="122" t="s">
        <v>424</v>
      </c>
      <c r="E54" s="124" t="s">
        <v>551</v>
      </c>
      <c r="F54" s="125" t="s">
        <v>552</v>
      </c>
      <c r="G54" s="101">
        <f t="shared" si="28"/>
        <v>0.39974999999999999</v>
      </c>
      <c r="H54" s="101">
        <f t="shared" si="29"/>
        <v>1.8</v>
      </c>
      <c r="I54" s="25">
        <v>0.7</v>
      </c>
      <c r="J54" s="29">
        <v>0</v>
      </c>
      <c r="K54" s="101">
        <f t="shared" si="30"/>
        <v>2.89975</v>
      </c>
      <c r="L54" s="101">
        <v>0</v>
      </c>
      <c r="M54" s="101">
        <f t="shared" si="31"/>
        <v>2.89975</v>
      </c>
      <c r="N54" s="32">
        <v>1.5</v>
      </c>
      <c r="O54" s="102" t="s">
        <v>408</v>
      </c>
      <c r="P54" s="103">
        <f t="shared" si="32"/>
        <v>4.39975</v>
      </c>
      <c r="Q54" s="37">
        <f t="shared" si="33"/>
        <v>2.89975</v>
      </c>
      <c r="R54" s="122"/>
      <c r="S54" s="16">
        <v>6.5</v>
      </c>
      <c r="T54" s="16">
        <v>61.5</v>
      </c>
      <c r="U54" s="16">
        <v>24</v>
      </c>
      <c r="V54" s="16">
        <v>75</v>
      </c>
      <c r="W54" s="32">
        <v>2.1</v>
      </c>
      <c r="X54" s="104">
        <v>0.1</v>
      </c>
      <c r="Y54" s="33">
        <f t="shared" si="34"/>
        <v>2.3100000000000005</v>
      </c>
      <c r="Z54" s="32">
        <v>1.32</v>
      </c>
      <c r="AA54" s="105">
        <f t="shared" si="35"/>
        <v>0.58974999999999955</v>
      </c>
      <c r="AB54" s="105">
        <f t="shared" si="36"/>
        <v>1.57975</v>
      </c>
      <c r="AC54" s="106" t="s">
        <v>553</v>
      </c>
      <c r="AD54" s="120" t="s">
        <v>554</v>
      </c>
      <c r="AE54" s="120" t="s">
        <v>429</v>
      </c>
      <c r="AF54" s="109">
        <v>0</v>
      </c>
      <c r="AG54" s="109">
        <v>0</v>
      </c>
      <c r="AH54" s="109">
        <v>0</v>
      </c>
      <c r="AI54" s="110">
        <v>5.5E-2</v>
      </c>
      <c r="AW54" s="112"/>
      <c r="AX54" s="52"/>
      <c r="AY54" s="52"/>
      <c r="AZ54" s="17">
        <f t="shared" si="49"/>
        <v>2.89975</v>
      </c>
      <c r="BA54" s="52"/>
      <c r="BB54" s="103">
        <v>0</v>
      </c>
      <c r="BC54" s="113" t="s">
        <v>412</v>
      </c>
      <c r="BD54" s="114">
        <f t="shared" si="51"/>
        <v>2.89975</v>
      </c>
      <c r="BE54" s="115"/>
    </row>
    <row r="55" spans="1:57" ht="45.75" customHeight="1" x14ac:dyDescent="0.45">
      <c r="A55" s="184" t="s">
        <v>532</v>
      </c>
      <c r="B55" s="122">
        <v>15</v>
      </c>
      <c r="C55" s="123" t="s">
        <v>555</v>
      </c>
      <c r="D55" s="122" t="s">
        <v>424</v>
      </c>
      <c r="E55" s="124" t="s">
        <v>556</v>
      </c>
      <c r="F55" s="125" t="s">
        <v>546</v>
      </c>
      <c r="G55" s="101">
        <f t="shared" si="28"/>
        <v>0.3</v>
      </c>
      <c r="H55" s="101">
        <f t="shared" si="29"/>
        <v>1.6002000000000001</v>
      </c>
      <c r="I55" s="25">
        <v>0.5</v>
      </c>
      <c r="J55" s="29">
        <v>0</v>
      </c>
      <c r="K55" s="101">
        <f t="shared" si="30"/>
        <v>2.4001999999999999</v>
      </c>
      <c r="L55" s="101">
        <v>0</v>
      </c>
      <c r="M55" s="101">
        <f t="shared" si="31"/>
        <v>2.4001999999999999</v>
      </c>
      <c r="N55" s="32">
        <v>3.5</v>
      </c>
      <c r="O55" s="102" t="s">
        <v>408</v>
      </c>
      <c r="P55" s="103">
        <f t="shared" si="32"/>
        <v>5.9001999999999999</v>
      </c>
      <c r="Q55" s="37">
        <f t="shared" si="33"/>
        <v>2.4001999999999999</v>
      </c>
      <c r="R55" s="122"/>
      <c r="S55" s="16">
        <v>5</v>
      </c>
      <c r="T55" s="16">
        <v>60</v>
      </c>
      <c r="U55" s="16">
        <v>21</v>
      </c>
      <c r="V55" s="16">
        <v>76.2</v>
      </c>
      <c r="W55" s="32">
        <v>2.5</v>
      </c>
      <c r="X55" s="104">
        <v>0.1</v>
      </c>
      <c r="Y55" s="33">
        <f t="shared" si="34"/>
        <v>2.75</v>
      </c>
      <c r="Z55" s="32">
        <v>1.32</v>
      </c>
      <c r="AA55" s="105">
        <f t="shared" si="35"/>
        <v>-0.34980000000000011</v>
      </c>
      <c r="AB55" s="105">
        <f t="shared" si="36"/>
        <v>1.0801999999999998</v>
      </c>
      <c r="AC55" s="106" t="s">
        <v>557</v>
      </c>
      <c r="AD55" s="120" t="s">
        <v>554</v>
      </c>
      <c r="AE55" s="120" t="s">
        <v>549</v>
      </c>
      <c r="AF55" s="109">
        <v>0</v>
      </c>
      <c r="AG55" s="109">
        <v>0</v>
      </c>
      <c r="AH55" s="109">
        <v>0</v>
      </c>
      <c r="AI55" s="110">
        <v>5.5E-2</v>
      </c>
      <c r="AW55" s="112"/>
      <c r="AX55" s="52"/>
      <c r="AY55" s="52"/>
      <c r="AZ55" s="17">
        <f t="shared" si="49"/>
        <v>2.4001999999999999</v>
      </c>
      <c r="BA55" s="52"/>
      <c r="BB55" s="103">
        <v>0</v>
      </c>
      <c r="BC55" s="113" t="s">
        <v>412</v>
      </c>
      <c r="BD55" s="114">
        <f t="shared" si="51"/>
        <v>2.4001999999999999</v>
      </c>
      <c r="BE55" s="115"/>
    </row>
    <row r="56" spans="1:57" ht="13.5" customHeight="1" x14ac:dyDescent="0.45">
      <c r="A56" s="222" t="s">
        <v>558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  <c r="AZ56" s="223"/>
      <c r="BA56" s="223"/>
      <c r="BB56" s="223"/>
      <c r="BC56" s="223"/>
      <c r="BD56" s="223"/>
      <c r="BE56" s="223"/>
    </row>
    <row r="57" spans="1:57" ht="43.5" customHeight="1" x14ac:dyDescent="0.45">
      <c r="A57" s="227" t="s">
        <v>502</v>
      </c>
      <c r="B57" s="61">
        <v>16</v>
      </c>
      <c r="C57" s="58" t="s">
        <v>559</v>
      </c>
      <c r="D57" s="61" t="s">
        <v>94</v>
      </c>
      <c r="E57" s="59" t="s">
        <v>560</v>
      </c>
      <c r="F57" s="60" t="s">
        <v>561</v>
      </c>
      <c r="G57" s="101">
        <f>S57*T57/1000</f>
        <v>0.28829999999999995</v>
      </c>
      <c r="H57" s="101">
        <f>U57*V57/1000</f>
        <v>0</v>
      </c>
      <c r="I57" s="25">
        <v>0.52600000000000002</v>
      </c>
      <c r="J57" s="29">
        <v>0</v>
      </c>
      <c r="K57" s="101">
        <f>G57+H57+I57+J57</f>
        <v>0.81430000000000002</v>
      </c>
      <c r="L57" s="101">
        <v>0</v>
      </c>
      <c r="M57" s="101">
        <f>K57+L57</f>
        <v>0.81430000000000002</v>
      </c>
      <c r="N57" s="32">
        <v>5.6250000000000001E-2</v>
      </c>
      <c r="O57" s="128" t="s">
        <v>431</v>
      </c>
      <c r="P57" s="103">
        <f>M57+N57</f>
        <v>0.87055000000000005</v>
      </c>
      <c r="Q57" s="37">
        <f>P57</f>
        <v>0.87055000000000005</v>
      </c>
      <c r="R57" s="110">
        <v>0.7</v>
      </c>
      <c r="S57" s="16">
        <v>3</v>
      </c>
      <c r="T57" s="16">
        <v>96.1</v>
      </c>
      <c r="U57" s="16">
        <v>0</v>
      </c>
      <c r="V57" s="16">
        <v>0</v>
      </c>
      <c r="W57" s="32">
        <v>1.58</v>
      </c>
      <c r="X57" s="104">
        <v>0.1</v>
      </c>
      <c r="Y57" s="33">
        <f>W57*(1+X57)</f>
        <v>1.7380000000000002</v>
      </c>
      <c r="Z57" s="32">
        <v>0.66600000000000004</v>
      </c>
      <c r="AA57" s="105">
        <f>Q57-Y57</f>
        <v>-0.86745000000000017</v>
      </c>
      <c r="AB57" s="105">
        <f>Q57-Z57</f>
        <v>0.20455000000000001</v>
      </c>
      <c r="AC57" s="106" t="s">
        <v>432</v>
      </c>
      <c r="AD57" s="107" t="s">
        <v>433</v>
      </c>
      <c r="AE57" s="108" t="s">
        <v>434</v>
      </c>
      <c r="AF57" s="109">
        <v>50000</v>
      </c>
      <c r="AG57" s="139">
        <v>560</v>
      </c>
      <c r="AH57" s="139">
        <v>6790</v>
      </c>
      <c r="AI57" s="110">
        <v>3.3000000000000002E-2</v>
      </c>
      <c r="AJ57" s="111">
        <f>AG57</f>
        <v>560</v>
      </c>
      <c r="AK57" s="111">
        <f>ROUND(AJ57*(1+AI57),0)</f>
        <v>578</v>
      </c>
      <c r="AL57" s="111">
        <f>ROUND(AK57*(1+AI57),0)</f>
        <v>597</v>
      </c>
      <c r="AM57" s="111">
        <f>ROUND(AL57*(1+AI57),0)</f>
        <v>617</v>
      </c>
      <c r="AN57" s="111">
        <f>ROUND(AM57*(1+AI57),0)</f>
        <v>637</v>
      </c>
      <c r="AO57" s="111">
        <f>ROUND(AN57*(1+AI57),0)</f>
        <v>658</v>
      </c>
      <c r="AP57" s="111">
        <f>ROUND(AO57*(1+AI57),0)</f>
        <v>680</v>
      </c>
      <c r="AQ57" s="111">
        <f>ROUND(AP57*(1+AI57),0)</f>
        <v>702</v>
      </c>
      <c r="AR57" s="111">
        <f>ROUND(AQ57*(1+AI57),0)</f>
        <v>725</v>
      </c>
      <c r="AS57" s="111">
        <f>ROUND(AR57*(1+AI57),0)</f>
        <v>749</v>
      </c>
      <c r="AT57" s="111">
        <f>ROUND(AS57*(1+AI57),0)</f>
        <v>774</v>
      </c>
      <c r="AU57" s="111">
        <f>ROUND(AT57*(1+AI57),0)</f>
        <v>800</v>
      </c>
      <c r="AW57" s="112"/>
      <c r="AX57" s="52"/>
      <c r="AY57" s="52"/>
      <c r="AZ57" s="17">
        <f>K57+N57</f>
        <v>0.87055000000000005</v>
      </c>
      <c r="BA57" s="52"/>
      <c r="BB57" s="103">
        <f>AJ57*Q57/1000</f>
        <v>0.48750800000000005</v>
      </c>
      <c r="BC57" s="129" t="s">
        <v>435</v>
      </c>
      <c r="BD57" s="130">
        <f>Q57/0.8</f>
        <v>1.0881875000000001</v>
      </c>
      <c r="BE57" s="115"/>
    </row>
    <row r="58" spans="1:57" ht="43.5" customHeight="1" x14ac:dyDescent="0.45">
      <c r="A58" s="227" t="s">
        <v>502</v>
      </c>
      <c r="B58" s="61">
        <v>17</v>
      </c>
      <c r="C58" s="58" t="s">
        <v>562</v>
      </c>
      <c r="D58" s="61" t="s">
        <v>94</v>
      </c>
      <c r="E58" s="59" t="s">
        <v>563</v>
      </c>
      <c r="F58" s="60" t="s">
        <v>564</v>
      </c>
      <c r="G58" s="101">
        <f>S58*T58/1000</f>
        <v>0.28829999999999995</v>
      </c>
      <c r="H58" s="101">
        <f>U58*V58/1000</f>
        <v>0</v>
      </c>
      <c r="I58" s="25">
        <v>0.52600000000000002</v>
      </c>
      <c r="J58" s="29">
        <v>0</v>
      </c>
      <c r="K58" s="101">
        <f>G58+H58+I58+J58</f>
        <v>0.81430000000000002</v>
      </c>
      <c r="L58" s="101">
        <v>0</v>
      </c>
      <c r="M58" s="101">
        <f>K58+L58</f>
        <v>0.81430000000000002</v>
      </c>
      <c r="N58" s="32">
        <v>5.6250000000000001E-2</v>
      </c>
      <c r="O58" s="128" t="s">
        <v>431</v>
      </c>
      <c r="P58" s="103">
        <f>M58+N58</f>
        <v>0.87055000000000005</v>
      </c>
      <c r="Q58" s="37">
        <f>P58</f>
        <v>0.87055000000000005</v>
      </c>
      <c r="R58" s="110">
        <v>0.27</v>
      </c>
      <c r="S58" s="16">
        <v>3</v>
      </c>
      <c r="T58" s="16">
        <v>96.1</v>
      </c>
      <c r="U58" s="16">
        <v>0</v>
      </c>
      <c r="V58" s="16">
        <v>0</v>
      </c>
      <c r="W58" s="32">
        <v>1.58</v>
      </c>
      <c r="X58" s="104">
        <v>0.1</v>
      </c>
      <c r="Y58" s="33">
        <f>W58*(1+X58)</f>
        <v>1.7380000000000002</v>
      </c>
      <c r="Z58" s="32">
        <v>0.66600000000000004</v>
      </c>
      <c r="AA58" s="105">
        <f>Q58-Y58</f>
        <v>-0.86745000000000017</v>
      </c>
      <c r="AB58" s="105">
        <f>Q58-Z58</f>
        <v>0.20455000000000001</v>
      </c>
      <c r="AC58" s="106" t="s">
        <v>432</v>
      </c>
      <c r="AD58" s="107" t="s">
        <v>433</v>
      </c>
      <c r="AE58" s="108" t="s">
        <v>434</v>
      </c>
      <c r="AF58" s="109">
        <v>50000</v>
      </c>
      <c r="AG58" s="139">
        <v>216</v>
      </c>
      <c r="AH58" s="139">
        <v>2619</v>
      </c>
      <c r="AI58" s="110">
        <v>3.3000000000000002E-2</v>
      </c>
      <c r="AJ58" s="111">
        <f>AG58</f>
        <v>216</v>
      </c>
      <c r="AK58" s="111">
        <f>ROUND(AJ58*(1+AI58),0)</f>
        <v>223</v>
      </c>
      <c r="AL58" s="111">
        <f>ROUND(AK58*(1+AI58),0)</f>
        <v>230</v>
      </c>
      <c r="AM58" s="111">
        <f>ROUND(AL58*(1+AI58),0)</f>
        <v>238</v>
      </c>
      <c r="AN58" s="111">
        <f>ROUND(AM58*(1+AI58),0)</f>
        <v>246</v>
      </c>
      <c r="AO58" s="111">
        <f>ROUND(AN58*(1+AI58),0)</f>
        <v>254</v>
      </c>
      <c r="AP58" s="111">
        <f>ROUND(AO58*(1+AI58),0)</f>
        <v>262</v>
      </c>
      <c r="AQ58" s="111">
        <f>ROUND(AP58*(1+AI58),0)</f>
        <v>271</v>
      </c>
      <c r="AR58" s="111">
        <f>ROUND(AQ58*(1+AI58),0)</f>
        <v>280</v>
      </c>
      <c r="AS58" s="111">
        <f>ROUND(AR58*(1+AI58),0)</f>
        <v>289</v>
      </c>
      <c r="AT58" s="111">
        <f>ROUND(AS58*(1+AI58),0)</f>
        <v>299</v>
      </c>
      <c r="AU58" s="111">
        <f>ROUND(AT58*(1+AI58),0)</f>
        <v>309</v>
      </c>
      <c r="AW58" s="112"/>
      <c r="AX58" s="52"/>
      <c r="AY58" s="52"/>
      <c r="AZ58" s="17">
        <f>K58+N58</f>
        <v>0.87055000000000005</v>
      </c>
      <c r="BA58" s="52"/>
      <c r="BB58" s="103">
        <f>AJ58*Q58/1000</f>
        <v>0.18803880000000001</v>
      </c>
      <c r="BC58" s="129" t="s">
        <v>435</v>
      </c>
      <c r="BD58" s="130">
        <f>Q58/0.8</f>
        <v>1.0881875000000001</v>
      </c>
      <c r="BE58" s="115"/>
    </row>
    <row r="59" spans="1:57" ht="43.5" customHeight="1" x14ac:dyDescent="0.45">
      <c r="A59" s="227" t="s">
        <v>502</v>
      </c>
      <c r="B59" s="61">
        <v>18</v>
      </c>
      <c r="C59" s="58" t="s">
        <v>565</v>
      </c>
      <c r="D59" s="61" t="s">
        <v>94</v>
      </c>
      <c r="E59" s="59" t="s">
        <v>566</v>
      </c>
      <c r="F59" s="60" t="s">
        <v>567</v>
      </c>
      <c r="G59" s="101">
        <f>S59*T59/1000</f>
        <v>0.28829999999999995</v>
      </c>
      <c r="H59" s="101">
        <f>U59*V59/1000</f>
        <v>0</v>
      </c>
      <c r="I59" s="25">
        <v>0.52600000000000002</v>
      </c>
      <c r="J59" s="29">
        <v>0</v>
      </c>
      <c r="K59" s="101">
        <f>G59+H59+I59+J59</f>
        <v>0.81430000000000002</v>
      </c>
      <c r="L59" s="101">
        <v>0</v>
      </c>
      <c r="M59" s="101">
        <f>K59+L59</f>
        <v>0.81430000000000002</v>
      </c>
      <c r="N59" s="32">
        <v>5.6250000000000001E-2</v>
      </c>
      <c r="O59" s="128" t="s">
        <v>431</v>
      </c>
      <c r="P59" s="103">
        <f>M59+N59</f>
        <v>0.87055000000000005</v>
      </c>
      <c r="Q59" s="37">
        <f>P59</f>
        <v>0.87055000000000005</v>
      </c>
      <c r="R59" s="110">
        <v>0.03</v>
      </c>
      <c r="S59" s="16">
        <v>3</v>
      </c>
      <c r="T59" s="16">
        <v>96.1</v>
      </c>
      <c r="U59" s="16">
        <v>0</v>
      </c>
      <c r="V59" s="16">
        <v>0</v>
      </c>
      <c r="W59" s="32">
        <v>1.58</v>
      </c>
      <c r="X59" s="104">
        <v>0.1</v>
      </c>
      <c r="Y59" s="33">
        <f>W59*(1+X59)</f>
        <v>1.7380000000000002</v>
      </c>
      <c r="Z59" s="32">
        <v>0.66600000000000004</v>
      </c>
      <c r="AA59" s="105">
        <f>Q59-Y59</f>
        <v>-0.86745000000000017</v>
      </c>
      <c r="AB59" s="105">
        <f>Q59-Z59</f>
        <v>0.20455000000000001</v>
      </c>
      <c r="AC59" s="106" t="s">
        <v>432</v>
      </c>
      <c r="AD59" s="107" t="s">
        <v>433</v>
      </c>
      <c r="AE59" s="108" t="s">
        <v>434</v>
      </c>
      <c r="AF59" s="109">
        <v>50000</v>
      </c>
      <c r="AG59" s="139">
        <v>24</v>
      </c>
      <c r="AH59" s="139">
        <v>291</v>
      </c>
      <c r="AI59" s="110">
        <v>3.3000000000000002E-2</v>
      </c>
      <c r="AJ59" s="111">
        <f>AG59</f>
        <v>24</v>
      </c>
      <c r="AK59" s="111">
        <f>ROUND(AJ59*(1+AI59),0)</f>
        <v>25</v>
      </c>
      <c r="AL59" s="111">
        <f>ROUND(AK59*(1+AI59),0)</f>
        <v>26</v>
      </c>
      <c r="AM59" s="111">
        <f>ROUND(AL59*(1+AI59),0)</f>
        <v>27</v>
      </c>
      <c r="AN59" s="111">
        <f>ROUND(AM59*(1+AI59),0)</f>
        <v>28</v>
      </c>
      <c r="AO59" s="111">
        <f>ROUND(AN59*(1+AI59),0)</f>
        <v>29</v>
      </c>
      <c r="AP59" s="111">
        <f>ROUND(AO59*(1+AI59),0)</f>
        <v>30</v>
      </c>
      <c r="AQ59" s="111">
        <f>ROUND(AP59*(1+AI59),0)</f>
        <v>31</v>
      </c>
      <c r="AR59" s="111">
        <f>ROUND(AQ59*(1+AI59),0)</f>
        <v>32</v>
      </c>
      <c r="AS59" s="111">
        <f>ROUND(AR59*(1+AI59),0)</f>
        <v>33</v>
      </c>
      <c r="AT59" s="111">
        <f>ROUND(AS59*(1+AI59),0)</f>
        <v>34</v>
      </c>
      <c r="AU59" s="111">
        <f>ROUND(AT59*(1+AI59),0)</f>
        <v>35</v>
      </c>
      <c r="AW59" s="112"/>
      <c r="AX59" s="52"/>
      <c r="AY59" s="52"/>
      <c r="AZ59" s="17">
        <f>K59+N59</f>
        <v>0.87055000000000005</v>
      </c>
      <c r="BA59" s="52"/>
      <c r="BB59" s="103">
        <f>AJ59*Q59/1000</f>
        <v>2.0893200000000001E-2</v>
      </c>
      <c r="BC59" s="129" t="s">
        <v>435</v>
      </c>
      <c r="BD59" s="130">
        <f>Q59/0.8</f>
        <v>1.0881875000000001</v>
      </c>
      <c r="BE59" s="115"/>
    </row>
    <row r="60" spans="1:57" ht="13.5" customHeight="1" x14ac:dyDescent="0.45">
      <c r="A60" s="222" t="s">
        <v>568</v>
      </c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3"/>
      <c r="AP60" s="223"/>
      <c r="AQ60" s="223"/>
      <c r="AR60" s="223"/>
      <c r="AS60" s="223"/>
      <c r="AT60" s="223"/>
      <c r="AU60" s="223"/>
      <c r="AV60" s="223"/>
      <c r="AW60" s="223"/>
      <c r="AX60" s="223"/>
      <c r="AY60" s="223"/>
      <c r="AZ60" s="223"/>
      <c r="BA60" s="223"/>
      <c r="BB60" s="223"/>
      <c r="BC60" s="223"/>
      <c r="BD60" s="223"/>
      <c r="BE60" s="223"/>
    </row>
    <row r="61" spans="1:57" ht="43.5" customHeight="1" x14ac:dyDescent="0.45">
      <c r="A61" s="228" t="s">
        <v>502</v>
      </c>
      <c r="B61" s="67">
        <v>19</v>
      </c>
      <c r="C61" s="64" t="s">
        <v>569</v>
      </c>
      <c r="D61" s="67" t="s">
        <v>442</v>
      </c>
      <c r="E61" s="65" t="s">
        <v>570</v>
      </c>
      <c r="F61" s="66" t="s">
        <v>571</v>
      </c>
      <c r="G61" s="101">
        <f t="shared" ref="G61:G68" si="52">S61*T61/1000</f>
        <v>0.39269999999999999</v>
      </c>
      <c r="H61" s="101">
        <f t="shared" ref="H61:H68" si="53">U61*V61/1000</f>
        <v>1.4586000000000001</v>
      </c>
      <c r="I61" s="25">
        <v>0</v>
      </c>
      <c r="J61" s="29">
        <v>0</v>
      </c>
      <c r="K61" s="101">
        <f t="shared" ref="K61:K68" si="54">G61+H61+I61+J61</f>
        <v>1.8513000000000002</v>
      </c>
      <c r="L61" s="101">
        <v>0</v>
      </c>
      <c r="M61" s="101">
        <f t="shared" ref="M61:M68" si="55">K61+L61</f>
        <v>1.8513000000000002</v>
      </c>
      <c r="N61" s="32">
        <v>3.7499999999999999E-2</v>
      </c>
      <c r="O61" s="128" t="s">
        <v>431</v>
      </c>
      <c r="P61" s="103">
        <f t="shared" ref="P61:P68" si="56">M61+N61</f>
        <v>1.8888000000000003</v>
      </c>
      <c r="Q61" s="37">
        <f t="shared" ref="Q61:Q68" si="57">P61</f>
        <v>1.8888000000000003</v>
      </c>
      <c r="R61" s="110">
        <v>0.92</v>
      </c>
      <c r="S61" s="16">
        <v>7</v>
      </c>
      <c r="T61" s="16">
        <v>56.1</v>
      </c>
      <c r="U61" s="16">
        <v>26</v>
      </c>
      <c r="V61" s="16">
        <v>56.1</v>
      </c>
      <c r="W61" s="32">
        <v>2.0499999999999998</v>
      </c>
      <c r="X61" s="104">
        <v>0.01</v>
      </c>
      <c r="Y61" s="33">
        <f t="shared" ref="Y61:Y68" si="58">W61*(1+X61)</f>
        <v>2.0705</v>
      </c>
      <c r="Z61" s="32">
        <v>1.484</v>
      </c>
      <c r="AA61" s="105">
        <f t="shared" ref="AA61:AA68" si="59">Q61-Y61</f>
        <v>-0.18169999999999975</v>
      </c>
      <c r="AB61" s="105">
        <f t="shared" ref="AB61:AB68" si="60">Q61-Z61</f>
        <v>0.40480000000000027</v>
      </c>
      <c r="AC61" s="106" t="s">
        <v>443</v>
      </c>
      <c r="AD61" s="107" t="s">
        <v>444</v>
      </c>
      <c r="AE61" s="108" t="s">
        <v>445</v>
      </c>
      <c r="AF61" s="139">
        <v>1785</v>
      </c>
      <c r="AG61" s="139">
        <v>110</v>
      </c>
      <c r="AH61" s="139">
        <v>368</v>
      </c>
      <c r="AI61" s="110">
        <v>2.1999999999999999E-2</v>
      </c>
      <c r="AJ61" s="111">
        <f t="shared" ref="AJ61:AJ66" si="61">AG61</f>
        <v>110</v>
      </c>
      <c r="AK61" s="111">
        <f t="shared" ref="AK61:AK66" si="62">ROUND(AJ61*(1+AI61),0)</f>
        <v>112</v>
      </c>
      <c r="AL61" s="111">
        <f t="shared" ref="AL61:AL66" si="63">ROUND(AK61*(1+AI61),0)</f>
        <v>114</v>
      </c>
      <c r="AM61" s="111">
        <f t="shared" ref="AM61:AM66" si="64">ROUND(AL61*(1+AI61),0)</f>
        <v>117</v>
      </c>
      <c r="AN61" s="111">
        <f t="shared" ref="AN61:AN66" si="65">ROUND(AM61*(1+AI61),0)</f>
        <v>120</v>
      </c>
      <c r="AO61" s="111">
        <f t="shared" ref="AO61:AO66" si="66">ROUND(AN61*(1+AI61),0)</f>
        <v>123</v>
      </c>
      <c r="AP61" s="111">
        <f t="shared" ref="AP61:AP66" si="67">ROUND(AO61*(1+AI61),0)</f>
        <v>126</v>
      </c>
      <c r="AQ61" s="111">
        <f t="shared" ref="AQ61:AQ66" si="68">ROUND(AP61*(1+AI61),0)</f>
        <v>129</v>
      </c>
      <c r="AR61" s="111">
        <f t="shared" ref="AR61:AR66" si="69">ROUND(AQ61*(1+AI61),0)</f>
        <v>132</v>
      </c>
      <c r="AS61" s="111">
        <f t="shared" ref="AS61:AS66" si="70">ROUND(AR61*(1+AI61),0)</f>
        <v>135</v>
      </c>
      <c r="AT61" s="111">
        <f t="shared" ref="AT61:AT66" si="71">ROUND(AS61*(1+AI61),0)</f>
        <v>138</v>
      </c>
      <c r="AU61" s="111">
        <f t="shared" ref="AU61:AU66" si="72">ROUND(AT61*(1+AI61),0)</f>
        <v>141</v>
      </c>
      <c r="AW61" s="112">
        <v>1</v>
      </c>
      <c r="AX61" s="112">
        <v>1.8512999999999999</v>
      </c>
      <c r="AY61" s="112">
        <v>1.8888</v>
      </c>
      <c r="AZ61" s="17">
        <f t="shared" ref="AZ61:AZ68" si="73">K61+N61</f>
        <v>1.8888000000000003</v>
      </c>
      <c r="BA61" s="140">
        <v>3500</v>
      </c>
      <c r="BB61" s="103">
        <f t="shared" ref="BB61:BB66" si="74">AJ61*Q61/1000</f>
        <v>0.20776800000000004</v>
      </c>
      <c r="BC61" s="129" t="s">
        <v>446</v>
      </c>
      <c r="BD61" s="130">
        <f>Q61/0.822</f>
        <v>2.2978102189781024</v>
      </c>
      <c r="BE61" s="115"/>
    </row>
    <row r="62" spans="1:57" ht="43.5" customHeight="1" x14ac:dyDescent="0.45">
      <c r="A62" s="228" t="s">
        <v>502</v>
      </c>
      <c r="B62" s="67">
        <v>20</v>
      </c>
      <c r="C62" s="64" t="s">
        <v>572</v>
      </c>
      <c r="D62" s="67" t="s">
        <v>442</v>
      </c>
      <c r="E62" s="65" t="s">
        <v>573</v>
      </c>
      <c r="F62" s="66" t="s">
        <v>574</v>
      </c>
      <c r="G62" s="101">
        <f t="shared" si="52"/>
        <v>0.39269999999999999</v>
      </c>
      <c r="H62" s="101">
        <f t="shared" si="53"/>
        <v>1.4586000000000001</v>
      </c>
      <c r="I62" s="25">
        <v>0</v>
      </c>
      <c r="J62" s="29">
        <v>0</v>
      </c>
      <c r="K62" s="101">
        <f t="shared" si="54"/>
        <v>1.8513000000000002</v>
      </c>
      <c r="L62" s="101">
        <v>0</v>
      </c>
      <c r="M62" s="101">
        <f t="shared" si="55"/>
        <v>1.8513000000000002</v>
      </c>
      <c r="N62" s="32">
        <v>3.7499999999999999E-2</v>
      </c>
      <c r="O62" s="128" t="s">
        <v>431</v>
      </c>
      <c r="P62" s="103">
        <f t="shared" si="56"/>
        <v>1.8888000000000003</v>
      </c>
      <c r="Q62" s="37">
        <f t="shared" si="57"/>
        <v>1.8888000000000003</v>
      </c>
      <c r="R62" s="110">
        <v>0.08</v>
      </c>
      <c r="S62" s="16">
        <v>7</v>
      </c>
      <c r="T62" s="16">
        <v>56.1</v>
      </c>
      <c r="U62" s="16">
        <v>26</v>
      </c>
      <c r="V62" s="16">
        <v>56.1</v>
      </c>
      <c r="W62" s="32">
        <v>2.0499999999999998</v>
      </c>
      <c r="X62" s="104">
        <v>0.01</v>
      </c>
      <c r="Y62" s="33">
        <f t="shared" si="58"/>
        <v>2.0705</v>
      </c>
      <c r="Z62" s="32">
        <v>1.484</v>
      </c>
      <c r="AA62" s="105">
        <f t="shared" si="59"/>
        <v>-0.18169999999999975</v>
      </c>
      <c r="AB62" s="105">
        <f t="shared" si="60"/>
        <v>0.40480000000000027</v>
      </c>
      <c r="AC62" s="106" t="s">
        <v>443</v>
      </c>
      <c r="AD62" s="107" t="s">
        <v>444</v>
      </c>
      <c r="AE62" s="108" t="s">
        <v>445</v>
      </c>
      <c r="AF62" s="139">
        <v>1785</v>
      </c>
      <c r="AG62" s="139">
        <v>10</v>
      </c>
      <c r="AH62" s="139">
        <v>32</v>
      </c>
      <c r="AI62" s="110">
        <v>2.1999999999999999E-2</v>
      </c>
      <c r="AJ62" s="111">
        <f t="shared" si="61"/>
        <v>10</v>
      </c>
      <c r="AK62" s="111">
        <f t="shared" si="62"/>
        <v>10</v>
      </c>
      <c r="AL62" s="111">
        <f t="shared" si="63"/>
        <v>10</v>
      </c>
      <c r="AM62" s="111">
        <f t="shared" si="64"/>
        <v>10</v>
      </c>
      <c r="AN62" s="111">
        <f t="shared" si="65"/>
        <v>10</v>
      </c>
      <c r="AO62" s="111">
        <f t="shared" si="66"/>
        <v>10</v>
      </c>
      <c r="AP62" s="111">
        <f t="shared" si="67"/>
        <v>10</v>
      </c>
      <c r="AQ62" s="111">
        <f t="shared" si="68"/>
        <v>10</v>
      </c>
      <c r="AR62" s="111">
        <f t="shared" si="69"/>
        <v>10</v>
      </c>
      <c r="AS62" s="111">
        <f t="shared" si="70"/>
        <v>10</v>
      </c>
      <c r="AT62" s="111">
        <f t="shared" si="71"/>
        <v>10</v>
      </c>
      <c r="AU62" s="111">
        <f t="shared" si="72"/>
        <v>10</v>
      </c>
      <c r="AW62" s="112">
        <v>1</v>
      </c>
      <c r="AX62" s="112">
        <v>1.8512999999999999</v>
      </c>
      <c r="AY62" s="112">
        <v>1.8888</v>
      </c>
      <c r="AZ62" s="17">
        <f t="shared" si="73"/>
        <v>1.8888000000000003</v>
      </c>
      <c r="BA62" s="140">
        <v>3500</v>
      </c>
      <c r="BB62" s="103">
        <f t="shared" si="74"/>
        <v>1.8888000000000002E-2</v>
      </c>
      <c r="BC62" s="129" t="s">
        <v>446</v>
      </c>
      <c r="BD62" s="130">
        <f>Q62/0.822</f>
        <v>2.2978102189781024</v>
      </c>
      <c r="BE62" s="115"/>
    </row>
    <row r="63" spans="1:57" ht="43.5" customHeight="1" x14ac:dyDescent="0.45">
      <c r="A63" s="229" t="s">
        <v>502</v>
      </c>
      <c r="B63" s="142">
        <v>21</v>
      </c>
      <c r="C63" s="230" t="s">
        <v>575</v>
      </c>
      <c r="D63" s="142" t="s">
        <v>125</v>
      </c>
      <c r="E63" s="144" t="s">
        <v>576</v>
      </c>
      <c r="F63" s="145" t="s">
        <v>577</v>
      </c>
      <c r="G63" s="101">
        <f t="shared" si="52"/>
        <v>0.11220000000000001</v>
      </c>
      <c r="H63" s="101">
        <f t="shared" si="53"/>
        <v>0</v>
      </c>
      <c r="I63" s="25">
        <v>-0.73299999999999998</v>
      </c>
      <c r="J63" s="29">
        <v>0</v>
      </c>
      <c r="K63" s="101">
        <f t="shared" si="54"/>
        <v>-0.62080000000000002</v>
      </c>
      <c r="L63" s="101">
        <f>AW63*AY63</f>
        <v>1.0709495999999998</v>
      </c>
      <c r="M63" s="101">
        <f t="shared" si="55"/>
        <v>0.45014959999999982</v>
      </c>
      <c r="N63" s="32">
        <v>3.7499999999999999E-2</v>
      </c>
      <c r="O63" s="128" t="s">
        <v>431</v>
      </c>
      <c r="P63" s="103">
        <f t="shared" si="56"/>
        <v>0.48764959999999979</v>
      </c>
      <c r="Q63" s="37">
        <f t="shared" si="57"/>
        <v>0.48764959999999979</v>
      </c>
      <c r="R63" s="110">
        <v>1</v>
      </c>
      <c r="S63" s="16">
        <v>2</v>
      </c>
      <c r="T63" s="16">
        <v>56.1</v>
      </c>
      <c r="U63" s="16">
        <v>0</v>
      </c>
      <c r="V63" s="16">
        <v>0</v>
      </c>
      <c r="W63" s="32">
        <v>1.39</v>
      </c>
      <c r="X63" s="104">
        <v>0.01</v>
      </c>
      <c r="Y63" s="33">
        <f t="shared" si="58"/>
        <v>1.4038999999999999</v>
      </c>
      <c r="Z63" s="32">
        <v>0.90200000000000002</v>
      </c>
      <c r="AA63" s="105">
        <f t="shared" si="59"/>
        <v>-0.91625040000000013</v>
      </c>
      <c r="AB63" s="105">
        <f t="shared" si="60"/>
        <v>-0.41435040000000023</v>
      </c>
      <c r="AC63" s="106" t="s">
        <v>449</v>
      </c>
      <c r="AD63" s="107" t="s">
        <v>450</v>
      </c>
      <c r="AE63" s="108" t="s">
        <v>451</v>
      </c>
      <c r="AF63" s="109">
        <v>2800</v>
      </c>
      <c r="AG63" s="139">
        <v>1600</v>
      </c>
      <c r="AH63" s="139">
        <v>2200</v>
      </c>
      <c r="AI63" s="110">
        <v>2.1999999999999999E-2</v>
      </c>
      <c r="AJ63" s="111">
        <f t="shared" si="61"/>
        <v>1600</v>
      </c>
      <c r="AK63" s="111">
        <f t="shared" si="62"/>
        <v>1635</v>
      </c>
      <c r="AL63" s="111">
        <f t="shared" si="63"/>
        <v>1671</v>
      </c>
      <c r="AM63" s="111">
        <f t="shared" si="64"/>
        <v>1708</v>
      </c>
      <c r="AN63" s="111">
        <f t="shared" si="65"/>
        <v>1746</v>
      </c>
      <c r="AO63" s="111">
        <f t="shared" si="66"/>
        <v>1784</v>
      </c>
      <c r="AP63" s="111">
        <f t="shared" si="67"/>
        <v>1823</v>
      </c>
      <c r="AQ63" s="111">
        <f t="shared" si="68"/>
        <v>1863</v>
      </c>
      <c r="AR63" s="111">
        <f t="shared" si="69"/>
        <v>1904</v>
      </c>
      <c r="AS63" s="111">
        <f t="shared" si="70"/>
        <v>1946</v>
      </c>
      <c r="AT63" s="111">
        <f t="shared" si="71"/>
        <v>1989</v>
      </c>
      <c r="AU63" s="111">
        <f t="shared" si="72"/>
        <v>2033</v>
      </c>
      <c r="AW63" s="112">
        <v>0.56699999999999995</v>
      </c>
      <c r="AX63" s="112">
        <v>1.8512999999999999</v>
      </c>
      <c r="AY63" s="112">
        <v>1.8888</v>
      </c>
      <c r="AZ63" s="17">
        <f t="shared" si="73"/>
        <v>-0.58330000000000004</v>
      </c>
      <c r="BA63" s="52"/>
      <c r="BB63" s="103">
        <f t="shared" si="74"/>
        <v>0.78023935999999972</v>
      </c>
      <c r="BC63" s="129" t="s">
        <v>452</v>
      </c>
      <c r="BD63" s="130">
        <f>Q63/0.466</f>
        <v>1.0464583690987119</v>
      </c>
      <c r="BE63" s="115"/>
    </row>
    <row r="64" spans="1:57" ht="43.5" customHeight="1" x14ac:dyDescent="0.45">
      <c r="A64" s="231" t="s">
        <v>502</v>
      </c>
      <c r="B64" s="147">
        <v>22</v>
      </c>
      <c r="C64" s="232" t="s">
        <v>133</v>
      </c>
      <c r="D64" s="147" t="s">
        <v>137</v>
      </c>
      <c r="E64" s="149" t="s">
        <v>578</v>
      </c>
      <c r="F64" s="150" t="s">
        <v>579</v>
      </c>
      <c r="G64" s="101">
        <f t="shared" si="52"/>
        <v>0.11220000000000001</v>
      </c>
      <c r="H64" s="101">
        <f t="shared" si="53"/>
        <v>0</v>
      </c>
      <c r="I64" s="25">
        <v>0</v>
      </c>
      <c r="J64" s="29">
        <v>0.97</v>
      </c>
      <c r="K64" s="101">
        <f t="shared" si="54"/>
        <v>1.0822000000000001</v>
      </c>
      <c r="L64" s="101">
        <f>AW64*AY64</f>
        <v>0.40137</v>
      </c>
      <c r="M64" s="101">
        <f t="shared" si="55"/>
        <v>1.4835700000000001</v>
      </c>
      <c r="N64" s="32">
        <v>4.3749999999999997E-2</v>
      </c>
      <c r="O64" s="128" t="s">
        <v>431</v>
      </c>
      <c r="P64" s="103">
        <f t="shared" si="56"/>
        <v>1.52732</v>
      </c>
      <c r="Q64" s="37">
        <f t="shared" si="57"/>
        <v>1.52732</v>
      </c>
      <c r="R64" s="110">
        <v>0.55000000000000004</v>
      </c>
      <c r="S64" s="16">
        <v>2</v>
      </c>
      <c r="T64" s="16">
        <v>56.1</v>
      </c>
      <c r="U64" s="16">
        <v>0</v>
      </c>
      <c r="V64" s="16">
        <v>0</v>
      </c>
      <c r="W64" s="32">
        <v>2.64</v>
      </c>
      <c r="X64" s="104">
        <v>0.01</v>
      </c>
      <c r="Y64" s="33">
        <f t="shared" si="58"/>
        <v>2.6664000000000003</v>
      </c>
      <c r="Z64" s="32">
        <v>0.30199999999999999</v>
      </c>
      <c r="AA64" s="105">
        <f t="shared" si="59"/>
        <v>-1.1390800000000003</v>
      </c>
      <c r="AB64" s="105">
        <f t="shared" si="60"/>
        <v>1.22532</v>
      </c>
      <c r="AC64" s="106" t="s">
        <v>455</v>
      </c>
      <c r="AD64" s="107" t="s">
        <v>456</v>
      </c>
      <c r="AE64" s="108" t="s">
        <v>457</v>
      </c>
      <c r="AF64" s="109">
        <v>600</v>
      </c>
      <c r="AG64" s="139">
        <v>44</v>
      </c>
      <c r="AH64" s="139">
        <v>138</v>
      </c>
      <c r="AI64" s="110">
        <v>2.1999999999999999E-2</v>
      </c>
      <c r="AJ64" s="111">
        <f t="shared" si="61"/>
        <v>44</v>
      </c>
      <c r="AK64" s="111">
        <f t="shared" si="62"/>
        <v>45</v>
      </c>
      <c r="AL64" s="111">
        <f t="shared" si="63"/>
        <v>46</v>
      </c>
      <c r="AM64" s="111">
        <f t="shared" si="64"/>
        <v>47</v>
      </c>
      <c r="AN64" s="111">
        <f t="shared" si="65"/>
        <v>48</v>
      </c>
      <c r="AO64" s="111">
        <f t="shared" si="66"/>
        <v>49</v>
      </c>
      <c r="AP64" s="111">
        <f t="shared" si="67"/>
        <v>50</v>
      </c>
      <c r="AQ64" s="111">
        <f t="shared" si="68"/>
        <v>51</v>
      </c>
      <c r="AR64" s="111">
        <f t="shared" si="69"/>
        <v>52</v>
      </c>
      <c r="AS64" s="111">
        <f t="shared" si="70"/>
        <v>53</v>
      </c>
      <c r="AT64" s="111">
        <f t="shared" si="71"/>
        <v>54</v>
      </c>
      <c r="AU64" s="111">
        <f t="shared" si="72"/>
        <v>55</v>
      </c>
      <c r="AW64" s="112">
        <v>0.21249999999999999</v>
      </c>
      <c r="AX64" s="112">
        <v>1.8512999999999999</v>
      </c>
      <c r="AY64" s="112">
        <v>1.8888</v>
      </c>
      <c r="AZ64" s="17">
        <f t="shared" si="73"/>
        <v>1.12595</v>
      </c>
      <c r="BA64" s="52"/>
      <c r="BB64" s="103">
        <f t="shared" si="74"/>
        <v>6.7202079999999997E-2</v>
      </c>
      <c r="BC64" s="129" t="s">
        <v>458</v>
      </c>
      <c r="BD64" s="130">
        <f>Q64/0.35</f>
        <v>4.3637714285714289</v>
      </c>
      <c r="BE64" s="115"/>
    </row>
    <row r="65" spans="1:57" ht="43.5" customHeight="1" x14ac:dyDescent="0.45">
      <c r="A65" s="231" t="s">
        <v>502</v>
      </c>
      <c r="B65" s="147">
        <v>23</v>
      </c>
      <c r="C65" s="232" t="s">
        <v>580</v>
      </c>
      <c r="D65" s="147" t="s">
        <v>137</v>
      </c>
      <c r="E65" s="149" t="s">
        <v>581</v>
      </c>
      <c r="F65" s="150" t="s">
        <v>582</v>
      </c>
      <c r="G65" s="101">
        <f t="shared" si="52"/>
        <v>0.11220000000000001</v>
      </c>
      <c r="H65" s="101">
        <f t="shared" si="53"/>
        <v>0</v>
      </c>
      <c r="I65" s="25">
        <v>0</v>
      </c>
      <c r="J65" s="29">
        <v>0.97</v>
      </c>
      <c r="K65" s="101">
        <f t="shared" si="54"/>
        <v>1.0822000000000001</v>
      </c>
      <c r="L65" s="101">
        <f>AW65*AY65</f>
        <v>0.40137</v>
      </c>
      <c r="M65" s="101">
        <f t="shared" si="55"/>
        <v>1.4835700000000001</v>
      </c>
      <c r="N65" s="32">
        <v>4.3749999999999997E-2</v>
      </c>
      <c r="O65" s="128" t="s">
        <v>431</v>
      </c>
      <c r="P65" s="103">
        <f t="shared" si="56"/>
        <v>1.52732</v>
      </c>
      <c r="Q65" s="37">
        <f t="shared" si="57"/>
        <v>1.52732</v>
      </c>
      <c r="R65" s="110">
        <v>0.35</v>
      </c>
      <c r="S65" s="16">
        <v>2</v>
      </c>
      <c r="T65" s="16">
        <v>56.1</v>
      </c>
      <c r="U65" s="16">
        <v>0</v>
      </c>
      <c r="V65" s="16">
        <v>0</v>
      </c>
      <c r="W65" s="32">
        <v>2.64</v>
      </c>
      <c r="X65" s="104">
        <v>0.01</v>
      </c>
      <c r="Y65" s="33">
        <f t="shared" si="58"/>
        <v>2.6664000000000003</v>
      </c>
      <c r="Z65" s="32">
        <v>0.30199999999999999</v>
      </c>
      <c r="AA65" s="105">
        <f t="shared" si="59"/>
        <v>-1.1390800000000003</v>
      </c>
      <c r="AB65" s="105">
        <f t="shared" si="60"/>
        <v>1.22532</v>
      </c>
      <c r="AC65" s="106" t="s">
        <v>455</v>
      </c>
      <c r="AD65" s="107" t="s">
        <v>456</v>
      </c>
      <c r="AE65" s="108" t="s">
        <v>457</v>
      </c>
      <c r="AF65" s="109">
        <v>600</v>
      </c>
      <c r="AG65" s="139">
        <v>28</v>
      </c>
      <c r="AH65" s="139">
        <v>88</v>
      </c>
      <c r="AI65" s="110">
        <v>2.1999999999999999E-2</v>
      </c>
      <c r="AJ65" s="111">
        <f t="shared" si="61"/>
        <v>28</v>
      </c>
      <c r="AK65" s="111">
        <f t="shared" si="62"/>
        <v>29</v>
      </c>
      <c r="AL65" s="111">
        <f t="shared" si="63"/>
        <v>30</v>
      </c>
      <c r="AM65" s="111">
        <f t="shared" si="64"/>
        <v>31</v>
      </c>
      <c r="AN65" s="111">
        <f t="shared" si="65"/>
        <v>32</v>
      </c>
      <c r="AO65" s="111">
        <f t="shared" si="66"/>
        <v>33</v>
      </c>
      <c r="AP65" s="111">
        <f t="shared" si="67"/>
        <v>34</v>
      </c>
      <c r="AQ65" s="111">
        <f t="shared" si="68"/>
        <v>35</v>
      </c>
      <c r="AR65" s="111">
        <f t="shared" si="69"/>
        <v>36</v>
      </c>
      <c r="AS65" s="111">
        <f t="shared" si="70"/>
        <v>37</v>
      </c>
      <c r="AT65" s="111">
        <f t="shared" si="71"/>
        <v>38</v>
      </c>
      <c r="AU65" s="111">
        <f t="shared" si="72"/>
        <v>39</v>
      </c>
      <c r="AW65" s="112">
        <v>0.21249999999999999</v>
      </c>
      <c r="AX65" s="112">
        <v>1.8512999999999999</v>
      </c>
      <c r="AY65" s="112">
        <v>1.8888</v>
      </c>
      <c r="AZ65" s="17">
        <f t="shared" si="73"/>
        <v>1.12595</v>
      </c>
      <c r="BA65" s="52"/>
      <c r="BB65" s="103">
        <f t="shared" si="74"/>
        <v>4.2764960000000005E-2</v>
      </c>
      <c r="BC65" s="129" t="s">
        <v>458</v>
      </c>
      <c r="BD65" s="130">
        <f>Q65/0.35</f>
        <v>4.3637714285714289</v>
      </c>
      <c r="BE65" s="115"/>
    </row>
    <row r="66" spans="1:57" ht="43.5" customHeight="1" x14ac:dyDescent="0.45">
      <c r="A66" s="231" t="s">
        <v>502</v>
      </c>
      <c r="B66" s="147">
        <v>24</v>
      </c>
      <c r="C66" s="232" t="s">
        <v>583</v>
      </c>
      <c r="D66" s="147" t="s">
        <v>137</v>
      </c>
      <c r="E66" s="149" t="s">
        <v>584</v>
      </c>
      <c r="F66" s="150" t="s">
        <v>585</v>
      </c>
      <c r="G66" s="101">
        <f t="shared" si="52"/>
        <v>0.11220000000000001</v>
      </c>
      <c r="H66" s="101">
        <f t="shared" si="53"/>
        <v>0</v>
      </c>
      <c r="I66" s="25">
        <v>0</v>
      </c>
      <c r="J66" s="29">
        <v>0.97</v>
      </c>
      <c r="K66" s="101">
        <f t="shared" si="54"/>
        <v>1.0822000000000001</v>
      </c>
      <c r="L66" s="101">
        <f>AW66*AY66</f>
        <v>0.40137</v>
      </c>
      <c r="M66" s="101">
        <f t="shared" si="55"/>
        <v>1.4835700000000001</v>
      </c>
      <c r="N66" s="32">
        <v>4.3749999999999997E-2</v>
      </c>
      <c r="O66" s="128" t="s">
        <v>431</v>
      </c>
      <c r="P66" s="103">
        <f t="shared" si="56"/>
        <v>1.52732</v>
      </c>
      <c r="Q66" s="37">
        <f t="shared" si="57"/>
        <v>1.52732</v>
      </c>
      <c r="R66" s="110">
        <v>0.1</v>
      </c>
      <c r="S66" s="16">
        <v>2</v>
      </c>
      <c r="T66" s="16">
        <v>56.1</v>
      </c>
      <c r="U66" s="16">
        <v>0</v>
      </c>
      <c r="V66" s="16">
        <v>0</v>
      </c>
      <c r="W66" s="32">
        <v>2.64</v>
      </c>
      <c r="X66" s="104">
        <v>0.01</v>
      </c>
      <c r="Y66" s="33">
        <f t="shared" si="58"/>
        <v>2.6664000000000003</v>
      </c>
      <c r="Z66" s="32">
        <v>0.30199999999999999</v>
      </c>
      <c r="AA66" s="105">
        <f t="shared" si="59"/>
        <v>-1.1390800000000003</v>
      </c>
      <c r="AB66" s="105">
        <f t="shared" si="60"/>
        <v>1.22532</v>
      </c>
      <c r="AC66" s="106" t="s">
        <v>455</v>
      </c>
      <c r="AD66" s="107" t="s">
        <v>456</v>
      </c>
      <c r="AE66" s="108" t="s">
        <v>457</v>
      </c>
      <c r="AF66" s="109">
        <v>600</v>
      </c>
      <c r="AG66" s="139">
        <v>8</v>
      </c>
      <c r="AH66" s="139">
        <v>25</v>
      </c>
      <c r="AI66" s="110">
        <v>2.1999999999999999E-2</v>
      </c>
      <c r="AJ66" s="111">
        <f t="shared" si="61"/>
        <v>8</v>
      </c>
      <c r="AK66" s="111">
        <f t="shared" si="62"/>
        <v>8</v>
      </c>
      <c r="AL66" s="111">
        <f t="shared" si="63"/>
        <v>8</v>
      </c>
      <c r="AM66" s="111">
        <f t="shared" si="64"/>
        <v>8</v>
      </c>
      <c r="AN66" s="111">
        <f t="shared" si="65"/>
        <v>8</v>
      </c>
      <c r="AO66" s="111">
        <f t="shared" si="66"/>
        <v>8</v>
      </c>
      <c r="AP66" s="111">
        <f t="shared" si="67"/>
        <v>8</v>
      </c>
      <c r="AQ66" s="111">
        <f t="shared" si="68"/>
        <v>8</v>
      </c>
      <c r="AR66" s="111">
        <f t="shared" si="69"/>
        <v>8</v>
      </c>
      <c r="AS66" s="111">
        <f t="shared" si="70"/>
        <v>8</v>
      </c>
      <c r="AT66" s="111">
        <f t="shared" si="71"/>
        <v>8</v>
      </c>
      <c r="AU66" s="111">
        <f t="shared" si="72"/>
        <v>8</v>
      </c>
      <c r="AW66" s="112">
        <v>0.21249999999999999</v>
      </c>
      <c r="AX66" s="112">
        <v>1.8512999999999999</v>
      </c>
      <c r="AY66" s="112">
        <v>1.8888</v>
      </c>
      <c r="AZ66" s="17">
        <f t="shared" si="73"/>
        <v>1.12595</v>
      </c>
      <c r="BA66" s="52"/>
      <c r="BB66" s="103">
        <f t="shared" si="74"/>
        <v>1.221856E-2</v>
      </c>
      <c r="BC66" s="129" t="s">
        <v>458</v>
      </c>
      <c r="BD66" s="130">
        <f>Q66/0.35</f>
        <v>4.3637714285714289</v>
      </c>
      <c r="BE66" s="115"/>
    </row>
    <row r="67" spans="1:57" ht="45.75" customHeight="1" x14ac:dyDescent="0.45">
      <c r="A67" s="204" t="s">
        <v>532</v>
      </c>
      <c r="B67" s="152">
        <v>25</v>
      </c>
      <c r="C67" s="153" t="s">
        <v>586</v>
      </c>
      <c r="D67" s="152" t="s">
        <v>424</v>
      </c>
      <c r="E67" s="154" t="s">
        <v>587</v>
      </c>
      <c r="F67" s="155" t="s">
        <v>588</v>
      </c>
      <c r="G67" s="101">
        <f t="shared" si="52"/>
        <v>5.049E-2</v>
      </c>
      <c r="H67" s="101">
        <f t="shared" si="53"/>
        <v>0</v>
      </c>
      <c r="I67" s="25">
        <v>0</v>
      </c>
      <c r="J67" s="29">
        <v>1.9</v>
      </c>
      <c r="K67" s="101">
        <f t="shared" si="54"/>
        <v>1.9504899999999998</v>
      </c>
      <c r="L67" s="101">
        <v>0</v>
      </c>
      <c r="M67" s="101">
        <f t="shared" si="55"/>
        <v>1.9504899999999998</v>
      </c>
      <c r="N67" s="32">
        <v>0.1125</v>
      </c>
      <c r="O67" s="128" t="s">
        <v>431</v>
      </c>
      <c r="P67" s="103">
        <f t="shared" si="56"/>
        <v>2.0629899999999997</v>
      </c>
      <c r="Q67" s="37">
        <f t="shared" si="57"/>
        <v>2.0629899999999997</v>
      </c>
      <c r="R67" s="152"/>
      <c r="S67" s="16">
        <v>0.9</v>
      </c>
      <c r="T67" s="16">
        <v>56.1</v>
      </c>
      <c r="U67" s="16">
        <v>0</v>
      </c>
      <c r="V67" s="16">
        <v>0</v>
      </c>
      <c r="W67" s="32">
        <v>1.95</v>
      </c>
      <c r="X67" s="104">
        <v>0.01</v>
      </c>
      <c r="Y67" s="33">
        <f t="shared" si="58"/>
        <v>1.9695</v>
      </c>
      <c r="Z67" s="32">
        <v>0.30199999999999999</v>
      </c>
      <c r="AA67" s="105">
        <f t="shared" si="59"/>
        <v>9.3489999999999629E-2</v>
      </c>
      <c r="AB67" s="105">
        <f t="shared" si="60"/>
        <v>1.7609899999999996</v>
      </c>
      <c r="AC67" s="106" t="s">
        <v>589</v>
      </c>
      <c r="AD67" s="120" t="s">
        <v>590</v>
      </c>
      <c r="AE67" s="108" t="s">
        <v>591</v>
      </c>
      <c r="AF67" s="109">
        <v>0</v>
      </c>
      <c r="AG67" s="109">
        <v>0</v>
      </c>
      <c r="AH67" s="109">
        <v>0</v>
      </c>
      <c r="AI67" s="110">
        <v>5.5E-2</v>
      </c>
      <c r="AW67" s="112"/>
      <c r="AX67" s="52"/>
      <c r="AY67" s="52"/>
      <c r="AZ67" s="17">
        <f t="shared" si="73"/>
        <v>2.0629899999999997</v>
      </c>
      <c r="BA67" s="52"/>
      <c r="BB67" s="103">
        <v>0</v>
      </c>
      <c r="BC67" s="129" t="s">
        <v>592</v>
      </c>
      <c r="BD67" s="130">
        <f>Q67/0.222</f>
        <v>9.2927477477477467</v>
      </c>
      <c r="BE67" s="115"/>
    </row>
    <row r="68" spans="1:57" ht="45.75" customHeight="1" x14ac:dyDescent="0.45">
      <c r="A68" s="204" t="s">
        <v>532</v>
      </c>
      <c r="B68" s="152">
        <v>26</v>
      </c>
      <c r="C68" s="153" t="s">
        <v>593</v>
      </c>
      <c r="D68" s="152" t="s">
        <v>424</v>
      </c>
      <c r="E68" s="154" t="s">
        <v>594</v>
      </c>
      <c r="F68" s="155" t="s">
        <v>595</v>
      </c>
      <c r="G68" s="101">
        <f t="shared" si="52"/>
        <v>0.10098</v>
      </c>
      <c r="H68" s="101">
        <f t="shared" si="53"/>
        <v>0</v>
      </c>
      <c r="I68" s="25">
        <v>0.05</v>
      </c>
      <c r="J68" s="29">
        <v>0.8</v>
      </c>
      <c r="K68" s="101">
        <f t="shared" si="54"/>
        <v>0.95098000000000005</v>
      </c>
      <c r="L68" s="101">
        <v>0</v>
      </c>
      <c r="M68" s="101">
        <f t="shared" si="55"/>
        <v>0.95098000000000005</v>
      </c>
      <c r="N68" s="32">
        <v>0.13750000000000001</v>
      </c>
      <c r="O68" s="128" t="s">
        <v>431</v>
      </c>
      <c r="P68" s="103">
        <f t="shared" si="56"/>
        <v>1.0884800000000001</v>
      </c>
      <c r="Q68" s="37">
        <f t="shared" si="57"/>
        <v>1.0884800000000001</v>
      </c>
      <c r="R68" s="152"/>
      <c r="S68" s="16">
        <v>1.8</v>
      </c>
      <c r="T68" s="16">
        <v>56.1</v>
      </c>
      <c r="U68" s="16">
        <v>0</v>
      </c>
      <c r="V68" s="16">
        <v>0</v>
      </c>
      <c r="W68" s="32">
        <v>1.2</v>
      </c>
      <c r="X68" s="104">
        <v>0.01</v>
      </c>
      <c r="Y68" s="33">
        <f t="shared" si="58"/>
        <v>1.212</v>
      </c>
      <c r="Z68" s="32">
        <v>0.4</v>
      </c>
      <c r="AA68" s="105">
        <f t="shared" si="59"/>
        <v>-0.12351999999999985</v>
      </c>
      <c r="AB68" s="105">
        <f t="shared" si="60"/>
        <v>0.68848000000000009</v>
      </c>
      <c r="AC68" s="106" t="s">
        <v>596</v>
      </c>
      <c r="AD68" s="120" t="s">
        <v>597</v>
      </c>
      <c r="AE68" s="120" t="s">
        <v>598</v>
      </c>
      <c r="AF68" s="109">
        <v>0</v>
      </c>
      <c r="AG68" s="109">
        <v>0</v>
      </c>
      <c r="AH68" s="109">
        <v>0</v>
      </c>
      <c r="AI68" s="110">
        <v>5.5E-2</v>
      </c>
      <c r="AW68" s="112"/>
      <c r="AX68" s="52"/>
      <c r="AY68" s="52"/>
      <c r="AZ68" s="17">
        <f t="shared" si="73"/>
        <v>1.0884800000000001</v>
      </c>
      <c r="BA68" s="52"/>
      <c r="BB68" s="103">
        <v>0</v>
      </c>
      <c r="BC68" s="129" t="s">
        <v>599</v>
      </c>
      <c r="BD68" s="130">
        <f>Q68/0.15</f>
        <v>7.2565333333333344</v>
      </c>
      <c r="BE68" s="115"/>
    </row>
    <row r="69" spans="1:57" ht="13.5" customHeight="1" x14ac:dyDescent="0.45">
      <c r="A69" s="222" t="s">
        <v>600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  <c r="AK69" s="223"/>
      <c r="AL69" s="223"/>
      <c r="AM69" s="223"/>
      <c r="AN69" s="223"/>
      <c r="AO69" s="223"/>
      <c r="AP69" s="223"/>
      <c r="AQ69" s="223"/>
      <c r="AR69" s="223"/>
      <c r="AS69" s="223"/>
      <c r="AT69" s="223"/>
      <c r="AU69" s="223"/>
      <c r="AV69" s="223"/>
      <c r="AW69" s="223"/>
      <c r="AX69" s="223"/>
      <c r="AY69" s="223"/>
      <c r="AZ69" s="223"/>
      <c r="BA69" s="223"/>
      <c r="BB69" s="223"/>
      <c r="BC69" s="223"/>
      <c r="BD69" s="223"/>
      <c r="BE69" s="223"/>
    </row>
    <row r="70" spans="1:57" ht="43.5" customHeight="1" x14ac:dyDescent="0.45">
      <c r="A70" s="233" t="s">
        <v>502</v>
      </c>
      <c r="B70" s="74">
        <v>27</v>
      </c>
      <c r="C70" s="71" t="s">
        <v>601</v>
      </c>
      <c r="D70" s="74" t="s">
        <v>153</v>
      </c>
      <c r="E70" s="72" t="s">
        <v>602</v>
      </c>
      <c r="F70" s="73" t="s">
        <v>603</v>
      </c>
      <c r="G70" s="101">
        <f t="shared" ref="G70:G76" si="75">S70*T70/1000</f>
        <v>0.156</v>
      </c>
      <c r="H70" s="101">
        <f t="shared" ref="H70:H76" si="76">U70*V70/1000</f>
        <v>0</v>
      </c>
      <c r="I70" s="25">
        <v>1.5</v>
      </c>
      <c r="J70" s="29">
        <v>0.85</v>
      </c>
      <c r="K70" s="101">
        <f t="shared" ref="K70:K76" si="77">G70+H70+I70+J70</f>
        <v>2.5059999999999998</v>
      </c>
      <c r="L70" s="101">
        <v>0</v>
      </c>
      <c r="M70" s="101">
        <f t="shared" ref="M70:M76" si="78">K70+L70</f>
        <v>2.5059999999999998</v>
      </c>
      <c r="N70" s="32">
        <v>6.75</v>
      </c>
      <c r="O70" s="102" t="s">
        <v>408</v>
      </c>
      <c r="P70" s="103">
        <f t="shared" ref="P70:P76" si="79">M70+N70</f>
        <v>9.2560000000000002</v>
      </c>
      <c r="Q70" s="37">
        <f>P70-N70</f>
        <v>2.5060000000000002</v>
      </c>
      <c r="R70" s="110">
        <v>0.6</v>
      </c>
      <c r="S70" s="16">
        <v>2</v>
      </c>
      <c r="T70" s="16">
        <v>78</v>
      </c>
      <c r="U70" s="16">
        <v>0</v>
      </c>
      <c r="V70" s="16">
        <v>0</v>
      </c>
      <c r="W70" s="32">
        <v>2.06</v>
      </c>
      <c r="X70" s="104">
        <v>0.1</v>
      </c>
      <c r="Y70" s="33">
        <f t="shared" ref="Y70:Y76" si="80">W70*(1+X70)</f>
        <v>2.2660000000000005</v>
      </c>
      <c r="Z70" s="32">
        <v>1.423</v>
      </c>
      <c r="AA70" s="105">
        <f t="shared" ref="AA70:AA76" si="81">Q70-Y70</f>
        <v>0.23999999999999977</v>
      </c>
      <c r="AB70" s="105">
        <f t="shared" ref="AB70:AB76" si="82">Q70-Z70</f>
        <v>1.0830000000000002</v>
      </c>
      <c r="AC70" s="106" t="s">
        <v>466</v>
      </c>
      <c r="AD70" s="107" t="s">
        <v>467</v>
      </c>
      <c r="AE70" s="108" t="s">
        <v>468</v>
      </c>
      <c r="AF70" s="109">
        <v>300</v>
      </c>
      <c r="AG70" s="139">
        <v>100</v>
      </c>
      <c r="AH70" s="139">
        <v>104</v>
      </c>
      <c r="AI70" s="110">
        <v>5.5E-2</v>
      </c>
      <c r="AJ70" s="111">
        <f>AG70</f>
        <v>100</v>
      </c>
      <c r="AK70" s="111">
        <f>ROUND(AJ70*(1+AI70),0)</f>
        <v>106</v>
      </c>
      <c r="AL70" s="111">
        <f>ROUND(AK70*(1+AI70),0)</f>
        <v>112</v>
      </c>
      <c r="AM70" s="111">
        <f>ROUND(AL70*(1+AI70),0)</f>
        <v>118</v>
      </c>
      <c r="AN70" s="111">
        <f>ROUND(AM70*(1+AI70),0)</f>
        <v>124</v>
      </c>
      <c r="AO70" s="111">
        <f>ROUND(AN70*(1+AI70),0)</f>
        <v>131</v>
      </c>
      <c r="AP70" s="111">
        <f>ROUND(AO70*(1+AI70),0)</f>
        <v>138</v>
      </c>
      <c r="AQ70" s="111">
        <f>ROUND(AP70*(1+AI70),0)</f>
        <v>146</v>
      </c>
      <c r="AR70" s="111">
        <f>ROUND(AQ70*(1+AI70),0)</f>
        <v>154</v>
      </c>
      <c r="AS70" s="111">
        <f>ROUND(AR70*(1+AI70),0)</f>
        <v>162</v>
      </c>
      <c r="AT70" s="111">
        <f>ROUND(AS70*(1+AI70),0)</f>
        <v>171</v>
      </c>
      <c r="AU70" s="111">
        <f>ROUND(AT70*(1+AI70),0)</f>
        <v>180</v>
      </c>
      <c r="AW70" s="112"/>
      <c r="AX70" s="52"/>
      <c r="AY70" s="52"/>
      <c r="AZ70" s="17">
        <f>K70</f>
        <v>2.5059999999999998</v>
      </c>
      <c r="BA70" s="52"/>
      <c r="BB70" s="103">
        <f>AJ70*Q70/1000</f>
        <v>0.25060000000000004</v>
      </c>
      <c r="BC70" s="113" t="s">
        <v>412</v>
      </c>
      <c r="BD70" s="114">
        <f t="shared" ref="BD70:BD76" si="83">Q70</f>
        <v>2.5060000000000002</v>
      </c>
      <c r="BE70" s="115"/>
    </row>
    <row r="71" spans="1:57" ht="43.5" customHeight="1" x14ac:dyDescent="0.45">
      <c r="A71" s="233" t="s">
        <v>502</v>
      </c>
      <c r="B71" s="74">
        <v>28</v>
      </c>
      <c r="C71" s="71" t="s">
        <v>604</v>
      </c>
      <c r="D71" s="74" t="s">
        <v>153</v>
      </c>
      <c r="E71" s="72" t="s">
        <v>605</v>
      </c>
      <c r="F71" s="73" t="s">
        <v>606</v>
      </c>
      <c r="G71" s="101">
        <f t="shared" si="75"/>
        <v>0.156</v>
      </c>
      <c r="H71" s="101">
        <f t="shared" si="76"/>
        <v>0</v>
      </c>
      <c r="I71" s="25">
        <v>1.5</v>
      </c>
      <c r="J71" s="29">
        <v>0.85</v>
      </c>
      <c r="K71" s="101">
        <f t="shared" si="77"/>
        <v>2.5059999999999998</v>
      </c>
      <c r="L71" s="101">
        <v>0</v>
      </c>
      <c r="M71" s="101">
        <f t="shared" si="78"/>
        <v>2.5059999999999998</v>
      </c>
      <c r="N71" s="32">
        <v>6.75</v>
      </c>
      <c r="O71" s="102" t="s">
        <v>408</v>
      </c>
      <c r="P71" s="103">
        <f t="shared" si="79"/>
        <v>9.2560000000000002</v>
      </c>
      <c r="Q71" s="37">
        <f>P71-N71</f>
        <v>2.5060000000000002</v>
      </c>
      <c r="R71" s="110">
        <v>0.22</v>
      </c>
      <c r="S71" s="16">
        <v>2</v>
      </c>
      <c r="T71" s="16">
        <v>78</v>
      </c>
      <c r="U71" s="16">
        <v>0</v>
      </c>
      <c r="V71" s="16">
        <v>0</v>
      </c>
      <c r="W71" s="32">
        <v>2.06</v>
      </c>
      <c r="X71" s="104">
        <v>0.1</v>
      </c>
      <c r="Y71" s="33">
        <f t="shared" si="80"/>
        <v>2.2660000000000005</v>
      </c>
      <c r="Z71" s="32">
        <v>1.423</v>
      </c>
      <c r="AA71" s="105">
        <f t="shared" si="81"/>
        <v>0.23999999999999977</v>
      </c>
      <c r="AB71" s="105">
        <f t="shared" si="82"/>
        <v>1.0830000000000002</v>
      </c>
      <c r="AC71" s="106" t="s">
        <v>466</v>
      </c>
      <c r="AD71" s="107" t="s">
        <v>467</v>
      </c>
      <c r="AE71" s="108" t="s">
        <v>468</v>
      </c>
      <c r="AF71" s="109">
        <v>300</v>
      </c>
      <c r="AG71" s="139">
        <v>37</v>
      </c>
      <c r="AH71" s="139">
        <v>38</v>
      </c>
      <c r="AI71" s="110">
        <v>5.5E-2</v>
      </c>
      <c r="AJ71" s="111">
        <f>AG71</f>
        <v>37</v>
      </c>
      <c r="AK71" s="111">
        <f>ROUND(AJ71*(1+AI71),0)</f>
        <v>39</v>
      </c>
      <c r="AL71" s="111">
        <f>ROUND(AK71*(1+AI71),0)</f>
        <v>41</v>
      </c>
      <c r="AM71" s="111">
        <f>ROUND(AL71*(1+AI71),0)</f>
        <v>43</v>
      </c>
      <c r="AN71" s="111">
        <f>ROUND(AM71*(1+AI71),0)</f>
        <v>45</v>
      </c>
      <c r="AO71" s="111">
        <f>ROUND(AN71*(1+AI71),0)</f>
        <v>47</v>
      </c>
      <c r="AP71" s="111">
        <f>ROUND(AO71*(1+AI71),0)</f>
        <v>50</v>
      </c>
      <c r="AQ71" s="111">
        <f>ROUND(AP71*(1+AI71),0)</f>
        <v>53</v>
      </c>
      <c r="AR71" s="111">
        <f>ROUND(AQ71*(1+AI71),0)</f>
        <v>56</v>
      </c>
      <c r="AS71" s="111">
        <f>ROUND(AR71*(1+AI71),0)</f>
        <v>59</v>
      </c>
      <c r="AT71" s="111">
        <f>ROUND(AS71*(1+AI71),0)</f>
        <v>62</v>
      </c>
      <c r="AU71" s="111">
        <f>ROUND(AT71*(1+AI71),0)</f>
        <v>65</v>
      </c>
      <c r="AW71" s="112"/>
      <c r="AX71" s="52"/>
      <c r="AY71" s="52"/>
      <c r="AZ71" s="17">
        <f>K71</f>
        <v>2.5059999999999998</v>
      </c>
      <c r="BA71" s="52"/>
      <c r="BB71" s="103">
        <f>AJ71*Q71/1000</f>
        <v>9.2722000000000013E-2</v>
      </c>
      <c r="BC71" s="113" t="s">
        <v>412</v>
      </c>
      <c r="BD71" s="114">
        <f t="shared" si="83"/>
        <v>2.5060000000000002</v>
      </c>
      <c r="BE71" s="115"/>
    </row>
    <row r="72" spans="1:57" ht="43.5" customHeight="1" x14ac:dyDescent="0.45">
      <c r="A72" s="233" t="s">
        <v>502</v>
      </c>
      <c r="B72" s="74">
        <v>29</v>
      </c>
      <c r="C72" s="71" t="s">
        <v>607</v>
      </c>
      <c r="D72" s="74" t="s">
        <v>153</v>
      </c>
      <c r="E72" s="72" t="s">
        <v>608</v>
      </c>
      <c r="F72" s="73" t="s">
        <v>609</v>
      </c>
      <c r="G72" s="101">
        <f t="shared" si="75"/>
        <v>0.156</v>
      </c>
      <c r="H72" s="101">
        <f t="shared" si="76"/>
        <v>0</v>
      </c>
      <c r="I72" s="25">
        <v>1.5</v>
      </c>
      <c r="J72" s="29">
        <v>0.85</v>
      </c>
      <c r="K72" s="101">
        <f t="shared" si="77"/>
        <v>2.5059999999999998</v>
      </c>
      <c r="L72" s="101">
        <v>0</v>
      </c>
      <c r="M72" s="101">
        <f t="shared" si="78"/>
        <v>2.5059999999999998</v>
      </c>
      <c r="N72" s="32">
        <v>6.75</v>
      </c>
      <c r="O72" s="102" t="s">
        <v>408</v>
      </c>
      <c r="P72" s="103">
        <f t="shared" si="79"/>
        <v>9.2560000000000002</v>
      </c>
      <c r="Q72" s="37">
        <f>P72-N72</f>
        <v>2.5060000000000002</v>
      </c>
      <c r="R72" s="110">
        <v>0.1</v>
      </c>
      <c r="S72" s="16">
        <v>2</v>
      </c>
      <c r="T72" s="16">
        <v>78</v>
      </c>
      <c r="U72" s="16">
        <v>0</v>
      </c>
      <c r="V72" s="16">
        <v>0</v>
      </c>
      <c r="W72" s="32">
        <v>2.06</v>
      </c>
      <c r="X72" s="104">
        <v>0.1</v>
      </c>
      <c r="Y72" s="33">
        <f t="shared" si="80"/>
        <v>2.2660000000000005</v>
      </c>
      <c r="Z72" s="32">
        <v>1.423</v>
      </c>
      <c r="AA72" s="105">
        <f t="shared" si="81"/>
        <v>0.23999999999999977</v>
      </c>
      <c r="AB72" s="105">
        <f t="shared" si="82"/>
        <v>1.0830000000000002</v>
      </c>
      <c r="AC72" s="106" t="s">
        <v>466</v>
      </c>
      <c r="AD72" s="107" t="s">
        <v>467</v>
      </c>
      <c r="AE72" s="108" t="s">
        <v>468</v>
      </c>
      <c r="AF72" s="109">
        <v>300</v>
      </c>
      <c r="AG72" s="139">
        <v>17</v>
      </c>
      <c r="AH72" s="139">
        <v>17</v>
      </c>
      <c r="AI72" s="110">
        <v>5.5E-2</v>
      </c>
      <c r="AJ72" s="111">
        <f>AG72</f>
        <v>17</v>
      </c>
      <c r="AK72" s="111">
        <f>ROUND(AJ72*(1+AI72),0)</f>
        <v>18</v>
      </c>
      <c r="AL72" s="111">
        <f>ROUND(AK72*(1+AI72),0)</f>
        <v>19</v>
      </c>
      <c r="AM72" s="111">
        <f>ROUND(AL72*(1+AI72),0)</f>
        <v>20</v>
      </c>
      <c r="AN72" s="111">
        <f>ROUND(AM72*(1+AI72),0)</f>
        <v>21</v>
      </c>
      <c r="AO72" s="111">
        <f>ROUND(AN72*(1+AI72),0)</f>
        <v>22</v>
      </c>
      <c r="AP72" s="111">
        <f>ROUND(AO72*(1+AI72),0)</f>
        <v>23</v>
      </c>
      <c r="AQ72" s="111">
        <f>ROUND(AP72*(1+AI72),0)</f>
        <v>24</v>
      </c>
      <c r="AR72" s="111">
        <f>ROUND(AQ72*(1+AI72),0)</f>
        <v>25</v>
      </c>
      <c r="AS72" s="111">
        <f>ROUND(AR72*(1+AI72),0)</f>
        <v>26</v>
      </c>
      <c r="AT72" s="111">
        <f>ROUND(AS72*(1+AI72),0)</f>
        <v>27</v>
      </c>
      <c r="AU72" s="111">
        <f>ROUND(AT72*(1+AI72),0)</f>
        <v>28</v>
      </c>
      <c r="AW72" s="112"/>
      <c r="AX72" s="52"/>
      <c r="AY72" s="52"/>
      <c r="AZ72" s="17">
        <f>K72</f>
        <v>2.5059999999999998</v>
      </c>
      <c r="BA72" s="52"/>
      <c r="BB72" s="103">
        <f>AJ72*Q72/1000</f>
        <v>4.2602000000000001E-2</v>
      </c>
      <c r="BC72" s="113" t="s">
        <v>412</v>
      </c>
      <c r="BD72" s="114">
        <f t="shared" si="83"/>
        <v>2.5060000000000002</v>
      </c>
      <c r="BE72" s="115"/>
    </row>
    <row r="73" spans="1:57" ht="43.5" customHeight="1" x14ac:dyDescent="0.45">
      <c r="A73" s="233" t="s">
        <v>502</v>
      </c>
      <c r="B73" s="74">
        <v>30</v>
      </c>
      <c r="C73" s="71" t="s">
        <v>610</v>
      </c>
      <c r="D73" s="74" t="s">
        <v>153</v>
      </c>
      <c r="E73" s="72" t="s">
        <v>611</v>
      </c>
      <c r="F73" s="73" t="s">
        <v>612</v>
      </c>
      <c r="G73" s="101">
        <f t="shared" si="75"/>
        <v>0.156</v>
      </c>
      <c r="H73" s="101">
        <f t="shared" si="76"/>
        <v>0</v>
      </c>
      <c r="I73" s="25">
        <v>1.5</v>
      </c>
      <c r="J73" s="29">
        <v>0.85</v>
      </c>
      <c r="K73" s="101">
        <f t="shared" si="77"/>
        <v>2.5059999999999998</v>
      </c>
      <c r="L73" s="101">
        <v>0</v>
      </c>
      <c r="M73" s="101">
        <f t="shared" si="78"/>
        <v>2.5059999999999998</v>
      </c>
      <c r="N73" s="32">
        <v>6.75</v>
      </c>
      <c r="O73" s="102" t="s">
        <v>408</v>
      </c>
      <c r="P73" s="103">
        <f t="shared" si="79"/>
        <v>9.2560000000000002</v>
      </c>
      <c r="Q73" s="37">
        <f>P73-N73</f>
        <v>2.5060000000000002</v>
      </c>
      <c r="R73" s="110">
        <v>0.06</v>
      </c>
      <c r="S73" s="16">
        <v>2</v>
      </c>
      <c r="T73" s="16">
        <v>78</v>
      </c>
      <c r="U73" s="16">
        <v>0</v>
      </c>
      <c r="V73" s="16">
        <v>0</v>
      </c>
      <c r="W73" s="32">
        <v>2.06</v>
      </c>
      <c r="X73" s="104">
        <v>0.1</v>
      </c>
      <c r="Y73" s="33">
        <f t="shared" si="80"/>
        <v>2.2660000000000005</v>
      </c>
      <c r="Z73" s="32">
        <v>1.423</v>
      </c>
      <c r="AA73" s="105">
        <f t="shared" si="81"/>
        <v>0.23999999999999977</v>
      </c>
      <c r="AB73" s="105">
        <f t="shared" si="82"/>
        <v>1.0830000000000002</v>
      </c>
      <c r="AC73" s="106" t="s">
        <v>466</v>
      </c>
      <c r="AD73" s="107" t="s">
        <v>467</v>
      </c>
      <c r="AE73" s="108" t="s">
        <v>468</v>
      </c>
      <c r="AF73" s="109">
        <v>300</v>
      </c>
      <c r="AG73" s="139">
        <v>10</v>
      </c>
      <c r="AH73" s="139">
        <v>10</v>
      </c>
      <c r="AI73" s="110">
        <v>5.5E-2</v>
      </c>
      <c r="AJ73" s="111">
        <f>AG73</f>
        <v>10</v>
      </c>
      <c r="AK73" s="111">
        <f>ROUND(AJ73*(1+AI73),0)</f>
        <v>11</v>
      </c>
      <c r="AL73" s="111">
        <f>ROUND(AK73*(1+AI73),0)</f>
        <v>12</v>
      </c>
      <c r="AM73" s="111">
        <f>ROUND(AL73*(1+AI73),0)</f>
        <v>13</v>
      </c>
      <c r="AN73" s="111">
        <f>ROUND(AM73*(1+AI73),0)</f>
        <v>14</v>
      </c>
      <c r="AO73" s="111">
        <f>ROUND(AN73*(1+AI73),0)</f>
        <v>15</v>
      </c>
      <c r="AP73" s="111">
        <f>ROUND(AO73*(1+AI73),0)</f>
        <v>16</v>
      </c>
      <c r="AQ73" s="111">
        <f>ROUND(AP73*(1+AI73),0)</f>
        <v>17</v>
      </c>
      <c r="AR73" s="111">
        <f>ROUND(AQ73*(1+AI73),0)</f>
        <v>18</v>
      </c>
      <c r="AS73" s="111">
        <f>ROUND(AR73*(1+AI73),0)</f>
        <v>19</v>
      </c>
      <c r="AT73" s="111">
        <f>ROUND(AS73*(1+AI73),0)</f>
        <v>20</v>
      </c>
      <c r="AU73" s="111">
        <f>ROUND(AT73*(1+AI73),0)</f>
        <v>21</v>
      </c>
      <c r="AW73" s="112"/>
      <c r="AX73" s="52"/>
      <c r="AY73" s="52"/>
      <c r="AZ73" s="17">
        <f>K73</f>
        <v>2.5059999999999998</v>
      </c>
      <c r="BA73" s="52"/>
      <c r="BB73" s="103">
        <f>AJ73*Q73/1000</f>
        <v>2.5060000000000002E-2</v>
      </c>
      <c r="BC73" s="113" t="s">
        <v>412</v>
      </c>
      <c r="BD73" s="114">
        <f t="shared" si="83"/>
        <v>2.5060000000000002</v>
      </c>
      <c r="BE73" s="115"/>
    </row>
    <row r="74" spans="1:57" ht="43.5" customHeight="1" x14ac:dyDescent="0.45">
      <c r="A74" s="233" t="s">
        <v>502</v>
      </c>
      <c r="B74" s="74">
        <v>31</v>
      </c>
      <c r="C74" s="71" t="s">
        <v>613</v>
      </c>
      <c r="D74" s="74" t="s">
        <v>153</v>
      </c>
      <c r="E74" s="72" t="s">
        <v>614</v>
      </c>
      <c r="F74" s="73" t="s">
        <v>615</v>
      </c>
      <c r="G74" s="101">
        <f t="shared" si="75"/>
        <v>0.156</v>
      </c>
      <c r="H74" s="101">
        <f t="shared" si="76"/>
        <v>0</v>
      </c>
      <c r="I74" s="25">
        <v>1.5</v>
      </c>
      <c r="J74" s="29">
        <v>0.85</v>
      </c>
      <c r="K74" s="101">
        <f t="shared" si="77"/>
        <v>2.5059999999999998</v>
      </c>
      <c r="L74" s="101">
        <v>0</v>
      </c>
      <c r="M74" s="101">
        <f t="shared" si="78"/>
        <v>2.5059999999999998</v>
      </c>
      <c r="N74" s="32">
        <v>6.75</v>
      </c>
      <c r="O74" s="102" t="s">
        <v>408</v>
      </c>
      <c r="P74" s="103">
        <f t="shared" si="79"/>
        <v>9.2560000000000002</v>
      </c>
      <c r="Q74" s="37">
        <f>P74-N74</f>
        <v>2.5060000000000002</v>
      </c>
      <c r="R74" s="110">
        <v>0.02</v>
      </c>
      <c r="S74" s="16">
        <v>2</v>
      </c>
      <c r="T74" s="16">
        <v>78</v>
      </c>
      <c r="U74" s="16">
        <v>0</v>
      </c>
      <c r="V74" s="16">
        <v>0</v>
      </c>
      <c r="W74" s="32">
        <v>2.06</v>
      </c>
      <c r="X74" s="104">
        <v>0.1</v>
      </c>
      <c r="Y74" s="33">
        <f t="shared" si="80"/>
        <v>2.2660000000000005</v>
      </c>
      <c r="Z74" s="32">
        <v>1.423</v>
      </c>
      <c r="AA74" s="105">
        <f t="shared" si="81"/>
        <v>0.23999999999999977</v>
      </c>
      <c r="AB74" s="105">
        <f t="shared" si="82"/>
        <v>1.0830000000000002</v>
      </c>
      <c r="AC74" s="106" t="s">
        <v>466</v>
      </c>
      <c r="AD74" s="107" t="s">
        <v>467</v>
      </c>
      <c r="AE74" s="108" t="s">
        <v>468</v>
      </c>
      <c r="AF74" s="109">
        <v>300</v>
      </c>
      <c r="AG74" s="139">
        <v>3</v>
      </c>
      <c r="AH74" s="139">
        <v>3</v>
      </c>
      <c r="AI74" s="110">
        <v>5.5E-2</v>
      </c>
      <c r="AJ74" s="111">
        <f>AG74</f>
        <v>3</v>
      </c>
      <c r="AK74" s="111">
        <f>ROUND(AJ74*(1+AI74),0)</f>
        <v>3</v>
      </c>
      <c r="AL74" s="111">
        <f>ROUND(AK74*(1+AI74),0)</f>
        <v>3</v>
      </c>
      <c r="AM74" s="111">
        <f>ROUND(AL74*(1+AI74),0)</f>
        <v>3</v>
      </c>
      <c r="AN74" s="111">
        <f>ROUND(AM74*(1+AI74),0)</f>
        <v>3</v>
      </c>
      <c r="AO74" s="111">
        <f>ROUND(AN74*(1+AI74),0)</f>
        <v>3</v>
      </c>
      <c r="AP74" s="111">
        <f>ROUND(AO74*(1+AI74),0)</f>
        <v>3</v>
      </c>
      <c r="AQ74" s="111">
        <f>ROUND(AP74*(1+AI74),0)</f>
        <v>3</v>
      </c>
      <c r="AR74" s="111">
        <f>ROUND(AQ74*(1+AI74),0)</f>
        <v>3</v>
      </c>
      <c r="AS74" s="111">
        <f>ROUND(AR74*(1+AI74),0)</f>
        <v>3</v>
      </c>
      <c r="AT74" s="111">
        <f>ROUND(AS74*(1+AI74),0)</f>
        <v>3</v>
      </c>
      <c r="AU74" s="111">
        <f>ROUND(AT74*(1+AI74),0)</f>
        <v>3</v>
      </c>
      <c r="AW74" s="112"/>
      <c r="AX74" s="52"/>
      <c r="AY74" s="52"/>
      <c r="AZ74" s="17">
        <f>K74</f>
        <v>2.5059999999999998</v>
      </c>
      <c r="BA74" s="52"/>
      <c r="BB74" s="103">
        <f>AJ74*Q74/1000</f>
        <v>7.5180000000000004E-3</v>
      </c>
      <c r="BC74" s="113" t="s">
        <v>412</v>
      </c>
      <c r="BD74" s="114">
        <f t="shared" si="83"/>
        <v>2.5060000000000002</v>
      </c>
      <c r="BE74" s="115"/>
    </row>
    <row r="75" spans="1:57" ht="45.75" customHeight="1" x14ac:dyDescent="0.45">
      <c r="A75" s="211" t="s">
        <v>532</v>
      </c>
      <c r="B75" s="159">
        <v>32</v>
      </c>
      <c r="C75" s="160" t="s">
        <v>616</v>
      </c>
      <c r="D75" s="159" t="s">
        <v>424</v>
      </c>
      <c r="E75" s="161" t="s">
        <v>617</v>
      </c>
      <c r="F75" s="162" t="s">
        <v>618</v>
      </c>
      <c r="G75" s="101">
        <f t="shared" si="75"/>
        <v>0.78539999999999999</v>
      </c>
      <c r="H75" s="101">
        <f t="shared" si="76"/>
        <v>0</v>
      </c>
      <c r="I75" s="25">
        <v>0.05</v>
      </c>
      <c r="J75" s="29">
        <v>0</v>
      </c>
      <c r="K75" s="101">
        <f t="shared" si="77"/>
        <v>0.83540000000000003</v>
      </c>
      <c r="L75" s="101">
        <v>0</v>
      </c>
      <c r="M75" s="101">
        <f t="shared" si="78"/>
        <v>0.83540000000000003</v>
      </c>
      <c r="N75" s="32">
        <v>0.15</v>
      </c>
      <c r="O75" s="128" t="s">
        <v>431</v>
      </c>
      <c r="P75" s="103">
        <f t="shared" si="79"/>
        <v>0.98540000000000005</v>
      </c>
      <c r="Q75" s="37">
        <f>P75</f>
        <v>0.98540000000000005</v>
      </c>
      <c r="R75" s="159"/>
      <c r="S75" s="16">
        <v>14</v>
      </c>
      <c r="T75" s="16">
        <v>56.1</v>
      </c>
      <c r="U75" s="16">
        <v>0</v>
      </c>
      <c r="V75" s="16">
        <v>0</v>
      </c>
      <c r="W75" s="32">
        <v>1.05</v>
      </c>
      <c r="X75" s="104">
        <v>0.1</v>
      </c>
      <c r="Y75" s="33">
        <f t="shared" si="80"/>
        <v>1.1550000000000002</v>
      </c>
      <c r="Z75" s="32">
        <v>0.2</v>
      </c>
      <c r="AA75" s="105">
        <f t="shared" si="81"/>
        <v>-0.1696000000000002</v>
      </c>
      <c r="AB75" s="105">
        <f t="shared" si="82"/>
        <v>0.7854000000000001</v>
      </c>
      <c r="AC75" s="106" t="s">
        <v>619</v>
      </c>
      <c r="AD75" s="120" t="s">
        <v>620</v>
      </c>
      <c r="AE75" s="120" t="s">
        <v>621</v>
      </c>
      <c r="AF75" s="109">
        <v>0</v>
      </c>
      <c r="AG75" s="109">
        <v>0</v>
      </c>
      <c r="AH75" s="109">
        <v>0</v>
      </c>
      <c r="AI75" s="110">
        <v>5.5E-2</v>
      </c>
      <c r="AW75" s="112"/>
      <c r="AX75" s="52"/>
      <c r="AY75" s="52"/>
      <c r="AZ75" s="17">
        <f>K75+N75</f>
        <v>0.98540000000000005</v>
      </c>
      <c r="BA75" s="52"/>
      <c r="BB75" s="103">
        <v>0</v>
      </c>
      <c r="BC75" s="113" t="s">
        <v>412</v>
      </c>
      <c r="BD75" s="114">
        <f t="shared" si="83"/>
        <v>0.98540000000000005</v>
      </c>
      <c r="BE75" s="115"/>
    </row>
    <row r="76" spans="1:57" ht="45.75" customHeight="1" x14ac:dyDescent="0.45">
      <c r="A76" s="211" t="s">
        <v>532</v>
      </c>
      <c r="B76" s="159">
        <v>33</v>
      </c>
      <c r="C76" s="160" t="s">
        <v>622</v>
      </c>
      <c r="D76" s="159" t="s">
        <v>424</v>
      </c>
      <c r="E76" s="161" t="s">
        <v>623</v>
      </c>
      <c r="F76" s="162" t="s">
        <v>624</v>
      </c>
      <c r="G76" s="101">
        <f t="shared" si="75"/>
        <v>1.6829999999999998E-2</v>
      </c>
      <c r="H76" s="101">
        <f t="shared" si="76"/>
        <v>0</v>
      </c>
      <c r="I76" s="25">
        <v>0</v>
      </c>
      <c r="J76" s="29">
        <v>0</v>
      </c>
      <c r="K76" s="101">
        <f t="shared" si="77"/>
        <v>1.6829999999999998E-2</v>
      </c>
      <c r="L76" s="101">
        <v>0</v>
      </c>
      <c r="M76" s="101">
        <f t="shared" si="78"/>
        <v>1.6829999999999998E-2</v>
      </c>
      <c r="N76" s="32">
        <v>5.0000000000000001E-3</v>
      </c>
      <c r="O76" s="102" t="s">
        <v>408</v>
      </c>
      <c r="P76" s="103">
        <f t="shared" si="79"/>
        <v>2.1829999999999999E-2</v>
      </c>
      <c r="Q76" s="37">
        <f>P76-N76</f>
        <v>1.6829999999999998E-2</v>
      </c>
      <c r="R76" s="159"/>
      <c r="S76" s="16">
        <v>0.3</v>
      </c>
      <c r="T76" s="16">
        <v>56.1</v>
      </c>
      <c r="U76" s="16">
        <v>0</v>
      </c>
      <c r="V76" s="16">
        <v>0</v>
      </c>
      <c r="W76" s="32">
        <v>0.05</v>
      </c>
      <c r="X76" s="104">
        <v>0.1</v>
      </c>
      <c r="Y76" s="33">
        <f t="shared" si="80"/>
        <v>5.5000000000000007E-2</v>
      </c>
      <c r="Z76" s="32">
        <v>0</v>
      </c>
      <c r="AA76" s="105">
        <f t="shared" si="81"/>
        <v>-3.8170000000000009E-2</v>
      </c>
      <c r="AB76" s="105">
        <f t="shared" si="82"/>
        <v>1.6829999999999998E-2</v>
      </c>
      <c r="AC76" s="106" t="s">
        <v>625</v>
      </c>
      <c r="AD76" s="120" t="s">
        <v>626</v>
      </c>
      <c r="AE76" s="108" t="s">
        <v>480</v>
      </c>
      <c r="AF76" s="109">
        <v>0</v>
      </c>
      <c r="AG76" s="109">
        <v>0</v>
      </c>
      <c r="AH76" s="109">
        <v>0</v>
      </c>
      <c r="AI76" s="110">
        <v>5.5E-2</v>
      </c>
      <c r="AW76" s="112"/>
      <c r="AX76" s="52"/>
      <c r="AY76" s="52"/>
      <c r="AZ76" s="17">
        <f>K76</f>
        <v>1.6829999999999998E-2</v>
      </c>
      <c r="BA76" s="52"/>
      <c r="BB76" s="103">
        <v>0</v>
      </c>
      <c r="BC76" s="113" t="s">
        <v>412</v>
      </c>
      <c r="BD76" s="114">
        <f t="shared" si="83"/>
        <v>1.6829999999999998E-2</v>
      </c>
      <c r="BE76" s="115"/>
    </row>
    <row r="77" spans="1:57" ht="13.5" customHeight="1" x14ac:dyDescent="0.45">
      <c r="A77" s="222" t="s">
        <v>627</v>
      </c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  <c r="AM77" s="223"/>
      <c r="AN77" s="223"/>
      <c r="AO77" s="223"/>
      <c r="AP77" s="223"/>
      <c r="AQ77" s="223"/>
      <c r="AR77" s="223"/>
      <c r="AS77" s="223"/>
      <c r="AT77" s="223"/>
      <c r="AU77" s="223"/>
      <c r="AV77" s="223"/>
      <c r="AW77" s="223"/>
      <c r="AX77" s="223"/>
      <c r="AY77" s="223"/>
      <c r="AZ77" s="223"/>
      <c r="BA77" s="223"/>
      <c r="BB77" s="223"/>
      <c r="BC77" s="223"/>
      <c r="BD77" s="223"/>
      <c r="BE77" s="223"/>
    </row>
    <row r="78" spans="1:57" ht="13.5" customHeight="1" x14ac:dyDescent="0.45">
      <c r="A78" s="222" t="s">
        <v>628</v>
      </c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</row>
    <row r="79" spans="1:57" ht="27.75" customHeight="1" x14ac:dyDescent="0.45">
      <c r="A79" s="236" t="s">
        <v>629</v>
      </c>
      <c r="B79" s="236"/>
      <c r="C79" s="236"/>
      <c r="D79" s="236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</row>
    <row r="80" spans="1:57" ht="27.75" customHeight="1" x14ac:dyDescent="0.45">
      <c r="A80" s="236" t="s">
        <v>630</v>
      </c>
      <c r="B80" s="236"/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</row>
    <row r="81" spans="1:57" ht="27.75" customHeight="1" x14ac:dyDescent="0.45">
      <c r="A81" s="236" t="s">
        <v>631</v>
      </c>
      <c r="B81" s="236"/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</row>
    <row r="82" spans="1:57" ht="27.75" customHeight="1" x14ac:dyDescent="0.45">
      <c r="A82" s="236" t="s">
        <v>632</v>
      </c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</row>
    <row r="83" spans="1:57" ht="27.75" customHeight="1" x14ac:dyDescent="0.45">
      <c r="A83" s="236" t="s">
        <v>633</v>
      </c>
      <c r="B83" s="236"/>
      <c r="C83" s="236"/>
      <c r="D83" s="236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  <c r="AB83" s="236"/>
      <c r="AC83" s="236"/>
      <c r="AD83" s="236"/>
      <c r="AE83" s="236"/>
      <c r="AF83" s="236"/>
      <c r="AG83" s="236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</row>
    <row r="85" spans="1:57" ht="15" customHeight="1" x14ac:dyDescent="0.45">
      <c r="A85" s="237" t="s">
        <v>634</v>
      </c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</row>
  </sheetData>
  <mergeCells count="21">
    <mergeCell ref="A1:BE1"/>
    <mergeCell ref="A2:BE2"/>
    <mergeCell ref="A4:F4"/>
    <mergeCell ref="G4:M4"/>
    <mergeCell ref="N4:Q4"/>
    <mergeCell ref="S4:V4"/>
    <mergeCell ref="W4:AC4"/>
    <mergeCell ref="AD4:AE4"/>
    <mergeCell ref="AF4:AI4"/>
    <mergeCell ref="AJ4:AU4"/>
    <mergeCell ref="AW4:BB4"/>
    <mergeCell ref="BC4:BE4"/>
    <mergeCell ref="A81:BE81"/>
    <mergeCell ref="A82:BE82"/>
    <mergeCell ref="A83:BE83"/>
    <mergeCell ref="A85:AN85"/>
    <mergeCell ref="A6:BE6"/>
    <mergeCell ref="A22:BE22"/>
    <mergeCell ref="A39:BE39"/>
    <mergeCell ref="A79:BE79"/>
    <mergeCell ref="A80:BE8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"/>
  <sheetViews>
    <sheetView showGridLines="0" topLeftCell="H1" zoomScaleNormal="100" workbookViewId="0">
      <pane ySplit="3" topLeftCell="A4" activePane="bottomLeft" state="frozen"/>
      <selection activeCell="A6" sqref="A6:BE6"/>
      <selection pane="bottomLeft" activeCell="T8" sqref="T8"/>
    </sheetView>
  </sheetViews>
  <sheetFormatPr defaultColWidth="8.73046875" defaultRowHeight="14.25" x14ac:dyDescent="0.45"/>
  <cols>
    <col min="1" max="2" width="22" customWidth="1"/>
    <col min="3" max="3" width="40" customWidth="1"/>
    <col min="4" max="4" width="32" customWidth="1"/>
    <col min="5" max="5" width="22" customWidth="1"/>
    <col min="6" max="6" width="10" customWidth="1"/>
    <col min="7" max="7" width="18" customWidth="1"/>
    <col min="8" max="8" width="6" customWidth="1"/>
    <col min="9" max="9" width="7" customWidth="1"/>
    <col min="10" max="10" width="8" customWidth="1"/>
    <col min="11" max="11" width="30" customWidth="1"/>
    <col min="12" max="12" width="24" customWidth="1"/>
    <col min="13" max="13" width="6" customWidth="1"/>
    <col min="14" max="14" width="7" customWidth="1"/>
    <col min="15" max="15" width="8" customWidth="1"/>
    <col min="16" max="16" width="28" customWidth="1"/>
    <col min="17" max="17" width="30" customWidth="1"/>
    <col min="18" max="18" width="16" customWidth="1"/>
    <col min="19" max="19" width="8" customWidth="1"/>
    <col min="20" max="20" width="28" customWidth="1"/>
    <col min="21" max="21" width="20" customWidth="1"/>
    <col min="22" max="22" width="16" customWidth="1"/>
    <col min="23" max="23" width="8" customWidth="1"/>
    <col min="24" max="24" width="38" customWidth="1"/>
    <col min="25" max="25" width="6" customWidth="1"/>
    <col min="26" max="26" width="7" customWidth="1"/>
    <col min="27" max="27" width="8" customWidth="1"/>
    <col min="28" max="28" width="26" customWidth="1"/>
    <col min="29" max="29" width="8" customWidth="1"/>
    <col min="30" max="30" width="22" customWidth="1"/>
    <col min="31" max="36" width="8" customWidth="1"/>
    <col min="37" max="37" width="40" customWidth="1"/>
    <col min="38" max="38" width="9" customWidth="1"/>
    <col min="39" max="39" width="50" customWidth="1"/>
  </cols>
  <sheetData>
    <row r="1" spans="1:39" ht="27.75" customHeight="1" x14ac:dyDescent="0.4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</row>
    <row r="2" spans="1:39" ht="39.75" customHeight="1" x14ac:dyDescent="0.45">
      <c r="A2" s="251" t="s">
        <v>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</row>
    <row r="4" spans="1:39" ht="15.75" customHeight="1" x14ac:dyDescent="0.45">
      <c r="A4" s="252" t="s">
        <v>2</v>
      </c>
      <c r="B4" s="252"/>
      <c r="C4" s="252"/>
      <c r="D4" s="252"/>
      <c r="E4" s="252"/>
      <c r="F4" s="252"/>
      <c r="G4" s="253" t="s">
        <v>3</v>
      </c>
      <c r="H4" s="253"/>
      <c r="I4" s="253"/>
      <c r="J4" s="253"/>
      <c r="K4" s="253"/>
      <c r="L4" s="254" t="s">
        <v>4</v>
      </c>
      <c r="M4" s="254"/>
      <c r="N4" s="254"/>
      <c r="O4" s="254"/>
      <c r="P4" s="254"/>
      <c r="Q4" s="255" t="s">
        <v>5</v>
      </c>
      <c r="R4" s="255"/>
      <c r="S4" s="255"/>
      <c r="T4" s="255"/>
      <c r="U4" s="256" t="s">
        <v>6</v>
      </c>
      <c r="V4" s="256"/>
      <c r="W4" s="256"/>
      <c r="X4" s="256"/>
      <c r="Y4" s="257" t="s">
        <v>7</v>
      </c>
      <c r="Z4" s="257"/>
      <c r="AA4" s="257"/>
      <c r="AB4" s="257"/>
      <c r="AC4" s="254" t="s">
        <v>8</v>
      </c>
      <c r="AD4" s="254"/>
      <c r="AE4" s="255" t="s">
        <v>9</v>
      </c>
      <c r="AF4" s="255"/>
      <c r="AG4" s="257" t="s">
        <v>10</v>
      </c>
      <c r="AH4" s="257"/>
      <c r="AI4" s="257"/>
      <c r="AJ4" s="257"/>
      <c r="AK4" s="258" t="s">
        <v>11</v>
      </c>
      <c r="AL4" s="258"/>
      <c r="AM4" s="258"/>
    </row>
    <row r="5" spans="1:39" ht="42" customHeight="1" x14ac:dyDescent="0.4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4" t="s">
        <v>23</v>
      </c>
      <c r="M5" s="4" t="s">
        <v>19</v>
      </c>
      <c r="N5" s="4" t="s">
        <v>20</v>
      </c>
      <c r="O5" s="4" t="s">
        <v>21</v>
      </c>
      <c r="P5" s="4" t="s">
        <v>22</v>
      </c>
      <c r="Q5" s="5" t="s">
        <v>24</v>
      </c>
      <c r="R5" s="5" t="s">
        <v>25</v>
      </c>
      <c r="S5" s="5" t="s">
        <v>21</v>
      </c>
      <c r="T5" s="5" t="s">
        <v>26</v>
      </c>
      <c r="U5" s="6" t="s">
        <v>27</v>
      </c>
      <c r="V5" s="6" t="s">
        <v>28</v>
      </c>
      <c r="W5" s="6" t="s">
        <v>29</v>
      </c>
      <c r="X5" s="6" t="s">
        <v>30</v>
      </c>
      <c r="Y5" s="7" t="s">
        <v>19</v>
      </c>
      <c r="Z5" s="7" t="s">
        <v>31</v>
      </c>
      <c r="AA5" s="7" t="s">
        <v>21</v>
      </c>
      <c r="AB5" s="7" t="s">
        <v>32</v>
      </c>
      <c r="AC5" s="4" t="s">
        <v>33</v>
      </c>
      <c r="AD5" s="4" t="s">
        <v>34</v>
      </c>
      <c r="AE5" s="5" t="s">
        <v>35</v>
      </c>
      <c r="AF5" s="5" t="s">
        <v>36</v>
      </c>
      <c r="AG5" s="7" t="s">
        <v>37</v>
      </c>
      <c r="AH5" s="7" t="s">
        <v>38</v>
      </c>
      <c r="AI5" s="7" t="s">
        <v>39</v>
      </c>
      <c r="AJ5" s="7" t="s">
        <v>40</v>
      </c>
      <c r="AK5" s="8" t="s">
        <v>41</v>
      </c>
      <c r="AL5" s="8" t="s">
        <v>42</v>
      </c>
      <c r="AM5" s="8" t="s">
        <v>43</v>
      </c>
    </row>
    <row r="6" spans="1:39" ht="51.75" customHeight="1" x14ac:dyDescent="0.45">
      <c r="A6" s="9" t="s">
        <v>44</v>
      </c>
      <c r="B6" s="10" t="s">
        <v>45</v>
      </c>
      <c r="C6" s="11" t="s">
        <v>46</v>
      </c>
      <c r="D6" s="12" t="s">
        <v>47</v>
      </c>
      <c r="E6" s="13" t="s">
        <v>48</v>
      </c>
      <c r="F6" s="14" t="s">
        <v>49</v>
      </c>
      <c r="G6" s="15" t="s">
        <v>50</v>
      </c>
      <c r="H6" s="16">
        <v>2.2999999999999998</v>
      </c>
      <c r="I6" s="16">
        <v>56.1</v>
      </c>
      <c r="J6" s="17">
        <f t="shared" ref="J6:J13" si="0">H6*I6/1000</f>
        <v>0.12903000000000001</v>
      </c>
      <c r="K6" s="18" t="s">
        <v>51</v>
      </c>
      <c r="L6" s="19" t="s">
        <v>50</v>
      </c>
      <c r="M6" s="20">
        <v>10</v>
      </c>
      <c r="N6" s="20">
        <v>56.1</v>
      </c>
      <c r="O6" s="21">
        <f t="shared" ref="O6:O13" si="1">M6*N6/1000</f>
        <v>0.56100000000000005</v>
      </c>
      <c r="P6" s="22" t="s">
        <v>52</v>
      </c>
      <c r="Q6" s="23" t="s">
        <v>53</v>
      </c>
      <c r="R6" s="24" t="s">
        <v>54</v>
      </c>
      <c r="S6" s="25">
        <v>0.04</v>
      </c>
      <c r="T6" s="26" t="s">
        <v>55</v>
      </c>
      <c r="U6" s="27" t="s">
        <v>56</v>
      </c>
      <c r="V6" s="28" t="s">
        <v>57</v>
      </c>
      <c r="W6" s="29">
        <v>0</v>
      </c>
      <c r="X6" s="30" t="s">
        <v>58</v>
      </c>
      <c r="Y6" s="31">
        <v>2</v>
      </c>
      <c r="Z6" s="32">
        <v>0.45</v>
      </c>
      <c r="AA6" s="33">
        <f t="shared" ref="AA6:AA13" si="2">Y6*Z6/3.6</f>
        <v>0.25</v>
      </c>
      <c r="AB6" s="34" t="s">
        <v>59</v>
      </c>
      <c r="AC6" s="35"/>
      <c r="AD6" s="36" t="s">
        <v>57</v>
      </c>
      <c r="AE6" s="37">
        <f t="shared" ref="AE6:AE13" si="3">J6+O6+S6+W6+AA6</f>
        <v>0.98003000000000007</v>
      </c>
      <c r="AF6" s="37">
        <f>AE6-AA6</f>
        <v>0.73003000000000007</v>
      </c>
      <c r="AG6" s="32">
        <v>1.82</v>
      </c>
      <c r="AH6" s="32">
        <v>0.48099999999999998</v>
      </c>
      <c r="AI6" s="38">
        <f t="shared" ref="AI6:AI13" si="4">AF6-AG6</f>
        <v>-1.0899700000000001</v>
      </c>
      <c r="AJ6" s="38">
        <f t="shared" ref="AJ6:AJ13" si="5">AF6-AH6</f>
        <v>0.24903000000000008</v>
      </c>
      <c r="AK6" s="39" t="s">
        <v>60</v>
      </c>
      <c r="AL6" s="40" t="s">
        <v>61</v>
      </c>
      <c r="AM6" s="39" t="s">
        <v>62</v>
      </c>
    </row>
    <row r="7" spans="1:39" ht="51.75" customHeight="1" x14ac:dyDescent="0.45">
      <c r="A7" s="41" t="s">
        <v>63</v>
      </c>
      <c r="B7" s="42" t="s">
        <v>64</v>
      </c>
      <c r="C7" s="43" t="s">
        <v>65</v>
      </c>
      <c r="D7" s="44" t="s">
        <v>66</v>
      </c>
      <c r="E7" s="45" t="s">
        <v>67</v>
      </c>
      <c r="F7" s="46" t="s">
        <v>49</v>
      </c>
      <c r="G7" s="15" t="s">
        <v>50</v>
      </c>
      <c r="H7" s="16">
        <v>2.5</v>
      </c>
      <c r="I7" s="16">
        <v>56.1</v>
      </c>
      <c r="J7" s="17">
        <f t="shared" si="0"/>
        <v>0.14025000000000001</v>
      </c>
      <c r="K7" s="18" t="s">
        <v>68</v>
      </c>
      <c r="L7" s="19" t="s">
        <v>50</v>
      </c>
      <c r="M7" s="20">
        <v>0</v>
      </c>
      <c r="N7" s="20">
        <v>0</v>
      </c>
      <c r="O7" s="21">
        <f t="shared" si="1"/>
        <v>0</v>
      </c>
      <c r="P7" s="47" t="s">
        <v>69</v>
      </c>
      <c r="Q7" s="23" t="s">
        <v>70</v>
      </c>
      <c r="R7" s="24" t="s">
        <v>54</v>
      </c>
      <c r="S7" s="25">
        <v>1.4999999999999999E-2</v>
      </c>
      <c r="T7" s="26" t="s">
        <v>71</v>
      </c>
      <c r="U7" s="27" t="s">
        <v>56</v>
      </c>
      <c r="V7" s="28" t="s">
        <v>57</v>
      </c>
      <c r="W7" s="29">
        <v>0</v>
      </c>
      <c r="X7" s="30" t="s">
        <v>72</v>
      </c>
      <c r="Y7" s="31">
        <v>2</v>
      </c>
      <c r="Z7" s="32">
        <v>0.45</v>
      </c>
      <c r="AA7" s="33">
        <f t="shared" si="2"/>
        <v>0.25</v>
      </c>
      <c r="AB7" s="34" t="s">
        <v>59</v>
      </c>
      <c r="AC7" s="35"/>
      <c r="AD7" s="36" t="s">
        <v>57</v>
      </c>
      <c r="AE7" s="37">
        <f t="shared" si="3"/>
        <v>0.40525</v>
      </c>
      <c r="AF7" s="37">
        <f>AE7-AA7</f>
        <v>0.15525</v>
      </c>
      <c r="AG7" s="32">
        <v>0.72</v>
      </c>
      <c r="AH7" s="32">
        <v>7.1999999999999995E-2</v>
      </c>
      <c r="AI7" s="38">
        <f t="shared" si="4"/>
        <v>-0.56474999999999997</v>
      </c>
      <c r="AJ7" s="38">
        <f t="shared" si="5"/>
        <v>8.3250000000000005E-2</v>
      </c>
      <c r="AK7" s="39" t="s">
        <v>73</v>
      </c>
      <c r="AL7" s="40" t="s">
        <v>74</v>
      </c>
      <c r="AM7" s="39" t="s">
        <v>75</v>
      </c>
    </row>
    <row r="8" spans="1:39" ht="51.75" customHeight="1" x14ac:dyDescent="0.45">
      <c r="A8" s="48" t="s">
        <v>76</v>
      </c>
      <c r="B8" s="49" t="s">
        <v>77</v>
      </c>
      <c r="C8" s="39" t="s">
        <v>78</v>
      </c>
      <c r="D8" s="50" t="s">
        <v>79</v>
      </c>
      <c r="E8" s="51" t="s">
        <v>80</v>
      </c>
      <c r="F8" s="52" t="s">
        <v>49</v>
      </c>
      <c r="G8" s="15" t="s">
        <v>50</v>
      </c>
      <c r="H8" s="16">
        <v>4</v>
      </c>
      <c r="I8" s="16">
        <v>96.1</v>
      </c>
      <c r="J8" s="17">
        <f t="shared" si="0"/>
        <v>0.38439999999999996</v>
      </c>
      <c r="K8" s="53" t="s">
        <v>81</v>
      </c>
      <c r="L8" s="19" t="s">
        <v>50</v>
      </c>
      <c r="M8" s="20">
        <v>16</v>
      </c>
      <c r="N8" s="20">
        <v>96.1</v>
      </c>
      <c r="O8" s="21">
        <f t="shared" si="1"/>
        <v>1.5375999999999999</v>
      </c>
      <c r="P8" s="54" t="s">
        <v>82</v>
      </c>
      <c r="Q8" s="23" t="s">
        <v>83</v>
      </c>
      <c r="R8" s="24" t="s">
        <v>84</v>
      </c>
      <c r="S8" s="25">
        <v>0.25</v>
      </c>
      <c r="T8" s="55" t="s">
        <v>85</v>
      </c>
      <c r="U8" s="27" t="s">
        <v>56</v>
      </c>
      <c r="V8" s="28" t="s">
        <v>57</v>
      </c>
      <c r="W8" s="29">
        <v>0</v>
      </c>
      <c r="X8" s="30" t="s">
        <v>72</v>
      </c>
      <c r="Y8" s="31">
        <v>1.5</v>
      </c>
      <c r="Z8" s="32">
        <v>0.45</v>
      </c>
      <c r="AA8" s="33">
        <f t="shared" si="2"/>
        <v>0.1875</v>
      </c>
      <c r="AB8" s="34" t="s">
        <v>59</v>
      </c>
      <c r="AC8" s="35"/>
      <c r="AD8" s="36" t="s">
        <v>57</v>
      </c>
      <c r="AE8" s="37">
        <f t="shared" si="3"/>
        <v>2.3594999999999997</v>
      </c>
      <c r="AF8" s="37">
        <f>AE8-AA8</f>
        <v>2.1719999999999997</v>
      </c>
      <c r="AG8" s="32">
        <v>2.8</v>
      </c>
      <c r="AH8" s="32">
        <v>1.37</v>
      </c>
      <c r="AI8" s="38">
        <f t="shared" si="4"/>
        <v>-0.62800000000000011</v>
      </c>
      <c r="AJ8" s="38">
        <f t="shared" si="5"/>
        <v>0.8019999999999996</v>
      </c>
      <c r="AK8" s="39" t="s">
        <v>86</v>
      </c>
      <c r="AL8" s="40" t="s">
        <v>87</v>
      </c>
      <c r="AM8" s="39" t="s">
        <v>88</v>
      </c>
    </row>
    <row r="9" spans="1:39" ht="51.75" customHeight="1" x14ac:dyDescent="0.45">
      <c r="A9" s="56" t="s">
        <v>89</v>
      </c>
      <c r="B9" s="57" t="s">
        <v>90</v>
      </c>
      <c r="C9" s="58" t="s">
        <v>91</v>
      </c>
      <c r="D9" s="59" t="s">
        <v>92</v>
      </c>
      <c r="E9" s="60" t="s">
        <v>93</v>
      </c>
      <c r="F9" s="61" t="s">
        <v>94</v>
      </c>
      <c r="G9" s="15" t="s">
        <v>50</v>
      </c>
      <c r="H9" s="16">
        <v>3</v>
      </c>
      <c r="I9" s="16">
        <v>96.1</v>
      </c>
      <c r="J9" s="17">
        <f t="shared" si="0"/>
        <v>0.28829999999999995</v>
      </c>
      <c r="K9" s="18" t="s">
        <v>95</v>
      </c>
      <c r="L9" s="19" t="s">
        <v>50</v>
      </c>
      <c r="M9" s="20">
        <v>0</v>
      </c>
      <c r="N9" s="20">
        <v>0</v>
      </c>
      <c r="O9" s="21">
        <f t="shared" si="1"/>
        <v>0</v>
      </c>
      <c r="P9" s="47" t="s">
        <v>96</v>
      </c>
      <c r="Q9" s="23" t="s">
        <v>97</v>
      </c>
      <c r="R9" s="24" t="s">
        <v>98</v>
      </c>
      <c r="S9" s="25">
        <v>0.52600000000000002</v>
      </c>
      <c r="T9" s="55" t="s">
        <v>99</v>
      </c>
      <c r="U9" s="27" t="s">
        <v>56</v>
      </c>
      <c r="V9" s="28" t="s">
        <v>57</v>
      </c>
      <c r="W9" s="29">
        <v>0</v>
      </c>
      <c r="X9" s="30" t="s">
        <v>100</v>
      </c>
      <c r="Y9" s="31">
        <v>0.45</v>
      </c>
      <c r="Z9" s="32">
        <v>0.45</v>
      </c>
      <c r="AA9" s="33">
        <f t="shared" si="2"/>
        <v>5.6250000000000001E-2</v>
      </c>
      <c r="AB9" s="34" t="s">
        <v>101</v>
      </c>
      <c r="AC9" s="35"/>
      <c r="AD9" s="36" t="s">
        <v>57</v>
      </c>
      <c r="AE9" s="37">
        <f t="shared" si="3"/>
        <v>0.87055000000000005</v>
      </c>
      <c r="AF9" s="37">
        <f>AE9</f>
        <v>0.87055000000000005</v>
      </c>
      <c r="AG9" s="32">
        <v>1.58</v>
      </c>
      <c r="AH9" s="32">
        <v>0.66600000000000004</v>
      </c>
      <c r="AI9" s="38">
        <f t="shared" si="4"/>
        <v>-0.70945000000000003</v>
      </c>
      <c r="AJ9" s="38">
        <f t="shared" si="5"/>
        <v>0.20455000000000001</v>
      </c>
      <c r="AK9" s="39" t="s">
        <v>102</v>
      </c>
      <c r="AL9" s="40" t="s">
        <v>103</v>
      </c>
      <c r="AM9" s="39" t="s">
        <v>104</v>
      </c>
    </row>
    <row r="10" spans="1:39" ht="51.75" customHeight="1" x14ac:dyDescent="0.45">
      <c r="A10" s="62" t="s">
        <v>105</v>
      </c>
      <c r="B10" s="63" t="s">
        <v>106</v>
      </c>
      <c r="C10" s="64" t="s">
        <v>107</v>
      </c>
      <c r="D10" s="65" t="s">
        <v>108</v>
      </c>
      <c r="E10" s="66" t="s">
        <v>109</v>
      </c>
      <c r="F10" s="67" t="s">
        <v>110</v>
      </c>
      <c r="G10" s="15" t="s">
        <v>50</v>
      </c>
      <c r="H10" s="16">
        <v>7</v>
      </c>
      <c r="I10" s="16">
        <v>56.1</v>
      </c>
      <c r="J10" s="17">
        <f t="shared" si="0"/>
        <v>0.39269999999999999</v>
      </c>
      <c r="K10" s="18" t="s">
        <v>111</v>
      </c>
      <c r="L10" s="19" t="s">
        <v>50</v>
      </c>
      <c r="M10" s="20">
        <v>26</v>
      </c>
      <c r="N10" s="20">
        <v>56.1</v>
      </c>
      <c r="O10" s="21">
        <f t="shared" si="1"/>
        <v>1.4586000000000001</v>
      </c>
      <c r="P10" s="22" t="s">
        <v>112</v>
      </c>
      <c r="Q10" s="23" t="s">
        <v>113</v>
      </c>
      <c r="R10" s="24" t="s">
        <v>114</v>
      </c>
      <c r="S10" s="25">
        <v>0</v>
      </c>
      <c r="T10" s="55" t="s">
        <v>115</v>
      </c>
      <c r="U10" s="27" t="s">
        <v>56</v>
      </c>
      <c r="V10" s="28" t="s">
        <v>57</v>
      </c>
      <c r="W10" s="29">
        <v>0</v>
      </c>
      <c r="X10" s="30" t="s">
        <v>116</v>
      </c>
      <c r="Y10" s="31">
        <v>0.3</v>
      </c>
      <c r="Z10" s="32">
        <v>0.45</v>
      </c>
      <c r="AA10" s="33">
        <f t="shared" si="2"/>
        <v>3.7499999999999999E-2</v>
      </c>
      <c r="AB10" s="34" t="s">
        <v>117</v>
      </c>
      <c r="AC10" s="35">
        <v>1</v>
      </c>
      <c r="AD10" s="36" t="s">
        <v>118</v>
      </c>
      <c r="AE10" s="37">
        <f t="shared" si="3"/>
        <v>1.8888000000000003</v>
      </c>
      <c r="AF10" s="37">
        <f>AE10</f>
        <v>1.8888000000000003</v>
      </c>
      <c r="AG10" s="32">
        <v>1.8260000000000001</v>
      </c>
      <c r="AH10" s="32">
        <v>1.522</v>
      </c>
      <c r="AI10" s="38">
        <f t="shared" si="4"/>
        <v>6.2800000000000189E-2</v>
      </c>
      <c r="AJ10" s="38">
        <f t="shared" si="5"/>
        <v>0.36680000000000024</v>
      </c>
      <c r="AK10" s="39" t="s">
        <v>119</v>
      </c>
      <c r="AL10" s="40" t="s">
        <v>87</v>
      </c>
      <c r="AM10" s="39" t="s">
        <v>120</v>
      </c>
    </row>
    <row r="11" spans="1:39" ht="51.75" customHeight="1" x14ac:dyDescent="0.45">
      <c r="A11" s="62" t="s">
        <v>105</v>
      </c>
      <c r="B11" s="63" t="s">
        <v>121</v>
      </c>
      <c r="C11" s="64" t="s">
        <v>122</v>
      </c>
      <c r="D11" s="65" t="s">
        <v>123</v>
      </c>
      <c r="E11" s="66" t="s">
        <v>124</v>
      </c>
      <c r="F11" s="67" t="s">
        <v>125</v>
      </c>
      <c r="G11" s="15" t="s">
        <v>50</v>
      </c>
      <c r="H11" s="16">
        <v>2</v>
      </c>
      <c r="I11" s="16">
        <v>56.1</v>
      </c>
      <c r="J11" s="17">
        <f t="shared" si="0"/>
        <v>0.11220000000000001</v>
      </c>
      <c r="K11" s="18" t="s">
        <v>126</v>
      </c>
      <c r="L11" s="19" t="s">
        <v>50</v>
      </c>
      <c r="M11" s="20">
        <v>0</v>
      </c>
      <c r="N11" s="20">
        <v>0</v>
      </c>
      <c r="O11" s="21">
        <f t="shared" si="1"/>
        <v>0</v>
      </c>
      <c r="P11" s="47" t="s">
        <v>127</v>
      </c>
      <c r="Q11" s="23" t="s">
        <v>128</v>
      </c>
      <c r="R11" s="24" t="s">
        <v>129</v>
      </c>
      <c r="S11" s="25">
        <v>-0.73299999999999998</v>
      </c>
      <c r="T11" s="55" t="s">
        <v>130</v>
      </c>
      <c r="U11" s="27" t="s">
        <v>56</v>
      </c>
      <c r="V11" s="28" t="s">
        <v>57</v>
      </c>
      <c r="W11" s="29">
        <v>0</v>
      </c>
      <c r="X11" s="30" t="s">
        <v>116</v>
      </c>
      <c r="Y11" s="31">
        <v>0.3</v>
      </c>
      <c r="Z11" s="32">
        <v>0.45</v>
      </c>
      <c r="AA11" s="33">
        <f t="shared" si="2"/>
        <v>3.7499999999999999E-2</v>
      </c>
      <c r="AB11" s="34" t="s">
        <v>117</v>
      </c>
      <c r="AC11" s="35">
        <v>0.56699999999999995</v>
      </c>
      <c r="AD11" s="36" t="s">
        <v>57</v>
      </c>
      <c r="AE11" s="37">
        <f t="shared" si="3"/>
        <v>-0.58330000000000004</v>
      </c>
      <c r="AF11" s="37">
        <f>AE11</f>
        <v>-0.58330000000000004</v>
      </c>
      <c r="AG11" s="32">
        <v>1.88</v>
      </c>
      <c r="AH11" s="32">
        <v>0.90200000000000002</v>
      </c>
      <c r="AI11" s="38">
        <f t="shared" si="4"/>
        <v>-2.4632999999999998</v>
      </c>
      <c r="AJ11" s="38">
        <f t="shared" si="5"/>
        <v>-1.4853000000000001</v>
      </c>
      <c r="AK11" s="39" t="s">
        <v>131</v>
      </c>
      <c r="AL11" s="40" t="s">
        <v>87</v>
      </c>
      <c r="AM11" s="39" t="s">
        <v>132</v>
      </c>
    </row>
    <row r="12" spans="1:39" ht="51.75" customHeight="1" x14ac:dyDescent="0.45">
      <c r="A12" s="62" t="s">
        <v>105</v>
      </c>
      <c r="B12" s="63" t="s">
        <v>133</v>
      </c>
      <c r="C12" s="64" t="s">
        <v>134</v>
      </c>
      <c r="D12" s="65" t="s">
        <v>135</v>
      </c>
      <c r="E12" s="66" t="s">
        <v>136</v>
      </c>
      <c r="F12" s="67" t="s">
        <v>137</v>
      </c>
      <c r="G12" s="15" t="s">
        <v>50</v>
      </c>
      <c r="H12" s="16">
        <v>2</v>
      </c>
      <c r="I12" s="16">
        <v>56.1</v>
      </c>
      <c r="J12" s="17">
        <f t="shared" si="0"/>
        <v>0.11220000000000001</v>
      </c>
      <c r="K12" s="18" t="s">
        <v>138</v>
      </c>
      <c r="L12" s="19" t="s">
        <v>50</v>
      </c>
      <c r="M12" s="20">
        <v>0</v>
      </c>
      <c r="N12" s="20">
        <v>0</v>
      </c>
      <c r="O12" s="21">
        <f t="shared" si="1"/>
        <v>0</v>
      </c>
      <c r="P12" s="47" t="s">
        <v>139</v>
      </c>
      <c r="Q12" s="23" t="s">
        <v>140</v>
      </c>
      <c r="R12" s="24" t="s">
        <v>141</v>
      </c>
      <c r="S12" s="25">
        <v>0</v>
      </c>
      <c r="T12" s="55" t="s">
        <v>142</v>
      </c>
      <c r="U12" s="27" t="s">
        <v>143</v>
      </c>
      <c r="V12" s="28" t="s">
        <v>144</v>
      </c>
      <c r="W12" s="29">
        <v>0.97</v>
      </c>
      <c r="X12" s="68" t="s">
        <v>145</v>
      </c>
      <c r="Y12" s="31">
        <v>0.35</v>
      </c>
      <c r="Z12" s="32">
        <v>0.45</v>
      </c>
      <c r="AA12" s="33">
        <f t="shared" si="2"/>
        <v>4.3749999999999997E-2</v>
      </c>
      <c r="AB12" s="34" t="s">
        <v>117</v>
      </c>
      <c r="AC12" s="35">
        <v>0.21249999999999999</v>
      </c>
      <c r="AD12" s="36" t="s">
        <v>57</v>
      </c>
      <c r="AE12" s="37">
        <f t="shared" si="3"/>
        <v>1.12595</v>
      </c>
      <c r="AF12" s="37">
        <f>AE12</f>
        <v>1.12595</v>
      </c>
      <c r="AG12" s="32">
        <v>0.97</v>
      </c>
      <c r="AH12" s="32">
        <v>0.30199999999999999</v>
      </c>
      <c r="AI12" s="38">
        <f t="shared" si="4"/>
        <v>0.15595000000000003</v>
      </c>
      <c r="AJ12" s="38">
        <f t="shared" si="5"/>
        <v>0.82394999999999996</v>
      </c>
      <c r="AK12" s="39" t="s">
        <v>146</v>
      </c>
      <c r="AL12" s="40" t="s">
        <v>147</v>
      </c>
      <c r="AM12" s="39" t="s">
        <v>148</v>
      </c>
    </row>
    <row r="13" spans="1:39" ht="51.75" customHeight="1" x14ac:dyDescent="0.45">
      <c r="A13" s="69" t="s">
        <v>149</v>
      </c>
      <c r="B13" s="70" t="s">
        <v>149</v>
      </c>
      <c r="C13" s="71" t="s">
        <v>150</v>
      </c>
      <c r="D13" s="72" t="s">
        <v>151</v>
      </c>
      <c r="E13" s="73" t="s">
        <v>152</v>
      </c>
      <c r="F13" s="74" t="s">
        <v>153</v>
      </c>
      <c r="G13" s="15" t="s">
        <v>50</v>
      </c>
      <c r="H13" s="16">
        <v>2</v>
      </c>
      <c r="I13" s="16">
        <v>78</v>
      </c>
      <c r="J13" s="17">
        <f t="shared" si="0"/>
        <v>0.156</v>
      </c>
      <c r="K13" s="18" t="s">
        <v>154</v>
      </c>
      <c r="L13" s="19" t="s">
        <v>50</v>
      </c>
      <c r="M13" s="20">
        <v>0</v>
      </c>
      <c r="N13" s="20">
        <v>0</v>
      </c>
      <c r="O13" s="21">
        <f t="shared" si="1"/>
        <v>0</v>
      </c>
      <c r="P13" s="47" t="s">
        <v>155</v>
      </c>
      <c r="Q13" s="23" t="s">
        <v>156</v>
      </c>
      <c r="R13" s="24" t="s">
        <v>157</v>
      </c>
      <c r="S13" s="25">
        <v>1.5</v>
      </c>
      <c r="T13" s="55" t="s">
        <v>158</v>
      </c>
      <c r="U13" s="27" t="s">
        <v>159</v>
      </c>
      <c r="V13" s="28" t="s">
        <v>160</v>
      </c>
      <c r="W13" s="29">
        <v>0.85</v>
      </c>
      <c r="X13" s="68" t="s">
        <v>161</v>
      </c>
      <c r="Y13" s="31">
        <v>54</v>
      </c>
      <c r="Z13" s="32">
        <v>0.45</v>
      </c>
      <c r="AA13" s="33">
        <f t="shared" si="2"/>
        <v>6.75</v>
      </c>
      <c r="AB13" s="34" t="s">
        <v>162</v>
      </c>
      <c r="AC13" s="35"/>
      <c r="AD13" s="36" t="s">
        <v>57</v>
      </c>
      <c r="AE13" s="37">
        <f t="shared" si="3"/>
        <v>9.2560000000000002</v>
      </c>
      <c r="AF13" s="37">
        <f>AE13-AA13</f>
        <v>2.5060000000000002</v>
      </c>
      <c r="AG13" s="32">
        <v>2.06</v>
      </c>
      <c r="AH13" s="32">
        <v>1.423</v>
      </c>
      <c r="AI13" s="38">
        <f t="shared" si="4"/>
        <v>0.44600000000000017</v>
      </c>
      <c r="AJ13" s="38">
        <f t="shared" si="5"/>
        <v>1.0830000000000002</v>
      </c>
      <c r="AK13" s="39" t="s">
        <v>163</v>
      </c>
      <c r="AL13" s="40" t="s">
        <v>87</v>
      </c>
      <c r="AM13" s="39" t="s">
        <v>164</v>
      </c>
    </row>
    <row r="15" spans="1:39" ht="31.5" customHeight="1" x14ac:dyDescent="0.45">
      <c r="A15" s="236" t="s">
        <v>165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</row>
    <row r="16" spans="1:39" ht="31.5" customHeight="1" x14ac:dyDescent="0.45">
      <c r="A16" s="236" t="s">
        <v>166</v>
      </c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</row>
  </sheetData>
  <mergeCells count="14">
    <mergeCell ref="A15:AM15"/>
    <mergeCell ref="A16:AM16"/>
    <mergeCell ref="A1:AM1"/>
    <mergeCell ref="A2:AM2"/>
    <mergeCell ref="A4:F4"/>
    <mergeCell ref="G4:K4"/>
    <mergeCell ref="L4:P4"/>
    <mergeCell ref="Q4:T4"/>
    <mergeCell ref="U4:X4"/>
    <mergeCell ref="Y4:AB4"/>
    <mergeCell ref="AC4:AD4"/>
    <mergeCell ref="AE4:AF4"/>
    <mergeCell ref="AG4:AJ4"/>
    <mergeCell ref="AK4:AM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P1"/>
    </sheetView>
  </sheetViews>
  <sheetFormatPr defaultColWidth="8.73046875" defaultRowHeight="14.25" x14ac:dyDescent="0.45"/>
  <cols>
    <col min="1" max="1" width="28" customWidth="1"/>
    <col min="2" max="2" width="8" customWidth="1"/>
    <col min="3" max="3" width="10" customWidth="1"/>
    <col min="4" max="15" width="12" customWidth="1"/>
    <col min="16" max="16" width="50" customWidth="1"/>
  </cols>
  <sheetData>
    <row r="1" spans="1:16" ht="27.75" customHeight="1" x14ac:dyDescent="0.45">
      <c r="A1" s="250" t="s">
        <v>167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 ht="36" customHeight="1" x14ac:dyDescent="0.45">
      <c r="A2" s="251" t="s">
        <v>168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</row>
    <row r="4" spans="1:16" ht="18" customHeight="1" x14ac:dyDescent="0.45">
      <c r="A4" s="62" t="s">
        <v>169</v>
      </c>
      <c r="D4" s="75">
        <v>5.5E-2</v>
      </c>
      <c r="E4" s="75">
        <v>5.5E-2</v>
      </c>
      <c r="F4" s="75">
        <v>5.5E-2</v>
      </c>
      <c r="G4" s="75">
        <v>5.5E-2</v>
      </c>
      <c r="H4" s="75">
        <v>5.5E-2</v>
      </c>
      <c r="I4" s="75">
        <v>5.5E-2</v>
      </c>
      <c r="J4" s="75">
        <v>5.5E-2</v>
      </c>
      <c r="K4" s="75">
        <v>5.5E-2</v>
      </c>
      <c r="L4" s="75">
        <v>5.5E-2</v>
      </c>
      <c r="M4" s="75">
        <v>5.5E-2</v>
      </c>
      <c r="N4" s="75">
        <v>5.5E-2</v>
      </c>
      <c r="O4" s="75">
        <v>5.5E-2</v>
      </c>
    </row>
    <row r="5" spans="1:16" ht="18" customHeight="1" x14ac:dyDescent="0.45">
      <c r="A5" s="259" t="s">
        <v>170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</row>
    <row r="6" spans="1:16" ht="18" customHeight="1" x14ac:dyDescent="0.45">
      <c r="A6" s="76" t="s">
        <v>171</v>
      </c>
      <c r="B6" s="76" t="s">
        <v>17</v>
      </c>
      <c r="C6" s="76" t="s">
        <v>172</v>
      </c>
    </row>
    <row r="7" spans="1:16" ht="15.75" customHeight="1" x14ac:dyDescent="0.45">
      <c r="A7" s="49" t="s">
        <v>45</v>
      </c>
      <c r="B7" s="52" t="s">
        <v>173</v>
      </c>
      <c r="C7" s="77">
        <v>0.8</v>
      </c>
    </row>
    <row r="8" spans="1:16" ht="15.75" customHeight="1" x14ac:dyDescent="0.45">
      <c r="A8" s="49" t="s">
        <v>64</v>
      </c>
      <c r="B8" s="52" t="s">
        <v>173</v>
      </c>
      <c r="C8" s="77">
        <v>0.8</v>
      </c>
    </row>
    <row r="9" spans="1:16" ht="15.75" customHeight="1" x14ac:dyDescent="0.45">
      <c r="A9" s="49" t="s">
        <v>77</v>
      </c>
      <c r="B9" s="52" t="s">
        <v>173</v>
      </c>
      <c r="C9" s="77">
        <v>0</v>
      </c>
    </row>
    <row r="10" spans="1:16" ht="15.75" customHeight="1" x14ac:dyDescent="0.45">
      <c r="A10" s="49" t="s">
        <v>174</v>
      </c>
      <c r="B10" s="52" t="s">
        <v>173</v>
      </c>
      <c r="C10" s="77">
        <v>0.6</v>
      </c>
    </row>
    <row r="11" spans="1:16" ht="15.75" customHeight="1" x14ac:dyDescent="0.45">
      <c r="A11" s="49" t="s">
        <v>175</v>
      </c>
      <c r="B11" s="52" t="s">
        <v>173</v>
      </c>
      <c r="C11" s="77">
        <v>0.4</v>
      </c>
    </row>
    <row r="12" spans="1:16" ht="15.75" customHeight="1" x14ac:dyDescent="0.45">
      <c r="A12" s="49" t="s">
        <v>121</v>
      </c>
      <c r="B12" s="52" t="s">
        <v>173</v>
      </c>
      <c r="C12" s="77">
        <v>0.4</v>
      </c>
    </row>
    <row r="13" spans="1:16" ht="15.75" customHeight="1" x14ac:dyDescent="0.45">
      <c r="A13" s="49" t="s">
        <v>176</v>
      </c>
      <c r="B13" s="52" t="s">
        <v>173</v>
      </c>
      <c r="C13" s="77">
        <v>0.4</v>
      </c>
    </row>
    <row r="14" spans="1:16" ht="15.75" customHeight="1" x14ac:dyDescent="0.45">
      <c r="A14" s="49" t="s">
        <v>149</v>
      </c>
      <c r="B14" s="52" t="s">
        <v>173</v>
      </c>
      <c r="C14" s="77">
        <v>1</v>
      </c>
    </row>
    <row r="16" spans="1:16" ht="18" customHeight="1" x14ac:dyDescent="0.45">
      <c r="A16" s="259" t="s">
        <v>177</v>
      </c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</row>
    <row r="17" spans="1:16" ht="18" customHeight="1" x14ac:dyDescent="0.45">
      <c r="A17" s="76" t="s">
        <v>171</v>
      </c>
      <c r="B17" s="76" t="s">
        <v>17</v>
      </c>
      <c r="C17" s="76" t="s">
        <v>178</v>
      </c>
      <c r="D17" s="76" t="s">
        <v>179</v>
      </c>
      <c r="E17" s="76" t="s">
        <v>180</v>
      </c>
      <c r="F17" s="76" t="s">
        <v>181</v>
      </c>
      <c r="G17" s="76" t="s">
        <v>182</v>
      </c>
      <c r="H17" s="76" t="s">
        <v>183</v>
      </c>
      <c r="I17" s="76" t="s">
        <v>184</v>
      </c>
      <c r="J17" s="76" t="s">
        <v>185</v>
      </c>
      <c r="K17" s="76" t="s">
        <v>186</v>
      </c>
      <c r="L17" s="76" t="s">
        <v>187</v>
      </c>
      <c r="M17" s="76" t="s">
        <v>188</v>
      </c>
      <c r="N17" s="76" t="s">
        <v>189</v>
      </c>
      <c r="O17" s="76" t="s">
        <v>190</v>
      </c>
      <c r="P17" s="76" t="s">
        <v>191</v>
      </c>
    </row>
    <row r="18" spans="1:16" ht="36" customHeight="1" x14ac:dyDescent="0.45">
      <c r="A18" s="49" t="s">
        <v>45</v>
      </c>
      <c r="B18" s="52" t="s">
        <v>173</v>
      </c>
      <c r="C18" s="78">
        <f t="shared" ref="C18:C25" si="0">C7</f>
        <v>0.8</v>
      </c>
      <c r="D18" s="79">
        <v>5100</v>
      </c>
      <c r="E18" s="80">
        <f>ROUND(D18*(1+E4*C7),0)</f>
        <v>5324</v>
      </c>
      <c r="F18" s="80">
        <f>ROUND(E18*(1+F4*C7),0)</f>
        <v>5558</v>
      </c>
      <c r="G18" s="80">
        <f>ROUND(F18*(1+G4*C7),0)</f>
        <v>5803</v>
      </c>
      <c r="H18" s="80">
        <f>ROUND(G18*(1+H4*C7),0)</f>
        <v>6058</v>
      </c>
      <c r="I18" s="80">
        <f>ROUND(H18*(1+I4*C7),0)</f>
        <v>6325</v>
      </c>
      <c r="J18" s="80">
        <f>ROUND(I18*(1+J4*C7),0)</f>
        <v>6603</v>
      </c>
      <c r="K18" s="80">
        <f>ROUND(J18*(1+K4*C7),0)</f>
        <v>6894</v>
      </c>
      <c r="L18" s="80">
        <f>ROUND(K18*(1+L4*C7),0)</f>
        <v>7197</v>
      </c>
      <c r="M18" s="80">
        <f>ROUND(L18*(1+M4*C7),0)</f>
        <v>7514</v>
      </c>
      <c r="N18" s="80">
        <f>ROUND(M18*(1+N4*C7),0)</f>
        <v>7845</v>
      </c>
      <c r="O18" s="80">
        <f>ROUND(N18*(1+O4*C7),0)</f>
        <v>8190</v>
      </c>
      <c r="P18" s="1" t="s">
        <v>192</v>
      </c>
    </row>
    <row r="19" spans="1:16" ht="36" customHeight="1" x14ac:dyDescent="0.45">
      <c r="A19" s="81" t="s">
        <v>64</v>
      </c>
      <c r="B19" s="82" t="s">
        <v>173</v>
      </c>
      <c r="C19" s="83">
        <f t="shared" si="0"/>
        <v>0.8</v>
      </c>
      <c r="D19" s="79">
        <v>4800</v>
      </c>
      <c r="E19" s="84">
        <f>ROUND(D19*(1+E4*C8),0)</f>
        <v>5011</v>
      </c>
      <c r="F19" s="84">
        <f>ROUND(E19*(1+F4*C8),0)</f>
        <v>5231</v>
      </c>
      <c r="G19" s="84">
        <f>ROUND(F19*(1+G4*C8),0)</f>
        <v>5461</v>
      </c>
      <c r="H19" s="84">
        <f>ROUND(G19*(1+H4*C8),0)</f>
        <v>5701</v>
      </c>
      <c r="I19" s="84">
        <f>ROUND(H19*(1+I4*C8),0)</f>
        <v>5952</v>
      </c>
      <c r="J19" s="84">
        <f>ROUND(I19*(1+J4*C8),0)</f>
        <v>6214</v>
      </c>
      <c r="K19" s="84">
        <f>ROUND(J19*(1+K4*C8),0)</f>
        <v>6487</v>
      </c>
      <c r="L19" s="84">
        <f>ROUND(K19*(1+L4*C8),0)</f>
        <v>6772</v>
      </c>
      <c r="M19" s="84">
        <f>ROUND(L19*(1+M4*C8),0)</f>
        <v>7070</v>
      </c>
      <c r="N19" s="84">
        <f>ROUND(M19*(1+N4*C8),0)</f>
        <v>7381</v>
      </c>
      <c r="O19" s="84">
        <f>ROUND(N19*(1+O4*C8),0)</f>
        <v>7706</v>
      </c>
      <c r="P19" s="85" t="s">
        <v>193</v>
      </c>
    </row>
    <row r="20" spans="1:16" ht="36" customHeight="1" x14ac:dyDescent="0.45">
      <c r="A20" s="49" t="s">
        <v>77</v>
      </c>
      <c r="B20" s="52" t="s">
        <v>173</v>
      </c>
      <c r="C20" s="78">
        <f t="shared" si="0"/>
        <v>0</v>
      </c>
      <c r="D20" s="79">
        <v>0</v>
      </c>
      <c r="E20" s="80">
        <f>ROUND(D20*(1+E4*C9),0)</f>
        <v>0</v>
      </c>
      <c r="F20" s="80">
        <f>ROUND(E20*(1+F4*C9),0)</f>
        <v>0</v>
      </c>
      <c r="G20" s="80">
        <f>ROUND(F20*(1+G4*C9),0)</f>
        <v>0</v>
      </c>
      <c r="H20" s="80">
        <f>ROUND(G20*(1+H4*C9),0)</f>
        <v>0</v>
      </c>
      <c r="I20" s="80">
        <f>ROUND(H20*(1+I4*C9),0)</f>
        <v>0</v>
      </c>
      <c r="J20" s="80">
        <f>ROUND(I20*(1+J4*C9),0)</f>
        <v>0</v>
      </c>
      <c r="K20" s="80">
        <f>ROUND(J20*(1+K4*C9),0)</f>
        <v>0</v>
      </c>
      <c r="L20" s="80">
        <f>ROUND(K20*(1+L4*C9),0)</f>
        <v>0</v>
      </c>
      <c r="M20" s="80">
        <f>ROUND(L20*(1+M4*C9),0)</f>
        <v>0</v>
      </c>
      <c r="N20" s="80">
        <f>ROUND(M20*(1+N4*C9),0)</f>
        <v>0</v>
      </c>
      <c r="O20" s="80">
        <f>ROUND(N20*(1+O4*C9),0)</f>
        <v>0</v>
      </c>
      <c r="P20" s="1" t="s">
        <v>194</v>
      </c>
    </row>
    <row r="21" spans="1:16" ht="36" customHeight="1" x14ac:dyDescent="0.45">
      <c r="A21" s="81" t="s">
        <v>174</v>
      </c>
      <c r="B21" s="82" t="s">
        <v>173</v>
      </c>
      <c r="C21" s="83">
        <f t="shared" si="0"/>
        <v>0.6</v>
      </c>
      <c r="D21" s="79">
        <v>50000</v>
      </c>
      <c r="E21" s="84">
        <f>ROUND(D21*(1+E4*C10),0)</f>
        <v>51650</v>
      </c>
      <c r="F21" s="84">
        <f>ROUND(E21*(1+F4*C10),0)</f>
        <v>53354</v>
      </c>
      <c r="G21" s="84">
        <f>ROUND(F21*(1+G4*C10),0)</f>
        <v>55115</v>
      </c>
      <c r="H21" s="84">
        <f>ROUND(G21*(1+H4*C10),0)</f>
        <v>56934</v>
      </c>
      <c r="I21" s="84">
        <f>ROUND(H21*(1+I4*C10),0)</f>
        <v>58813</v>
      </c>
      <c r="J21" s="84">
        <f>ROUND(I21*(1+J4*C10),0)</f>
        <v>60754</v>
      </c>
      <c r="K21" s="84">
        <f>ROUND(J21*(1+K4*C10),0)</f>
        <v>62759</v>
      </c>
      <c r="L21" s="84">
        <f>ROUND(K21*(1+L4*C10),0)</f>
        <v>64830</v>
      </c>
      <c r="M21" s="84">
        <f>ROUND(L21*(1+M4*C10),0)</f>
        <v>66969</v>
      </c>
      <c r="N21" s="84">
        <f>ROUND(M21*(1+N4*C10),0)</f>
        <v>69179</v>
      </c>
      <c r="O21" s="84">
        <f>ROUND(N21*(1+O4*C10),0)</f>
        <v>71462</v>
      </c>
      <c r="P21" s="85" t="s">
        <v>195</v>
      </c>
    </row>
    <row r="22" spans="1:16" ht="36" customHeight="1" x14ac:dyDescent="0.45">
      <c r="A22" s="49" t="s">
        <v>175</v>
      </c>
      <c r="B22" s="52" t="s">
        <v>173</v>
      </c>
      <c r="C22" s="78">
        <f t="shared" si="0"/>
        <v>0.4</v>
      </c>
      <c r="D22" s="79">
        <v>3500</v>
      </c>
      <c r="E22" s="80">
        <f>ROUND(D22*(1+E4*C11),0)</f>
        <v>3577</v>
      </c>
      <c r="F22" s="80">
        <f>ROUND(E22*(1+F4*C11),0)</f>
        <v>3656</v>
      </c>
      <c r="G22" s="80">
        <f>ROUND(F22*(1+G4*C11),0)</f>
        <v>3736</v>
      </c>
      <c r="H22" s="80">
        <f>ROUND(G22*(1+H4*C11),0)</f>
        <v>3818</v>
      </c>
      <c r="I22" s="80">
        <f>ROUND(H22*(1+I4*C11),0)</f>
        <v>3902</v>
      </c>
      <c r="J22" s="80">
        <f>ROUND(I22*(1+J4*C11),0)</f>
        <v>3988</v>
      </c>
      <c r="K22" s="80">
        <f>ROUND(J22*(1+K4*C11),0)</f>
        <v>4076</v>
      </c>
      <c r="L22" s="80">
        <f>ROUND(K22*(1+L4*C11),0)</f>
        <v>4166</v>
      </c>
      <c r="M22" s="80">
        <f>ROUND(L22*(1+M4*C11),0)</f>
        <v>4258</v>
      </c>
      <c r="N22" s="80">
        <f>ROUND(M22*(1+N4*C11),0)</f>
        <v>4352</v>
      </c>
      <c r="O22" s="80">
        <f>ROUND(N22*(1+O4*C11),0)</f>
        <v>4448</v>
      </c>
      <c r="P22" s="1" t="s">
        <v>196</v>
      </c>
    </row>
    <row r="23" spans="1:16" ht="36" customHeight="1" x14ac:dyDescent="0.45">
      <c r="A23" s="81" t="s">
        <v>121</v>
      </c>
      <c r="B23" s="82" t="s">
        <v>173</v>
      </c>
      <c r="C23" s="83">
        <f t="shared" si="0"/>
        <v>0.4</v>
      </c>
      <c r="D23" s="79">
        <v>2800</v>
      </c>
      <c r="E23" s="84">
        <f>ROUND(D23*(1+E4*C12),0)</f>
        <v>2862</v>
      </c>
      <c r="F23" s="84">
        <f>ROUND(E23*(1+F4*C12),0)</f>
        <v>2925</v>
      </c>
      <c r="G23" s="84">
        <f>ROUND(F23*(1+G4*C12),0)</f>
        <v>2989</v>
      </c>
      <c r="H23" s="84">
        <f>ROUND(G23*(1+H4*C12),0)</f>
        <v>3055</v>
      </c>
      <c r="I23" s="84">
        <f>ROUND(H23*(1+I4*C12),0)</f>
        <v>3122</v>
      </c>
      <c r="J23" s="84">
        <f>ROUND(I23*(1+J4*C12),0)</f>
        <v>3191</v>
      </c>
      <c r="K23" s="84">
        <f>ROUND(J23*(1+K4*C12),0)</f>
        <v>3261</v>
      </c>
      <c r="L23" s="84">
        <f>ROUND(K23*(1+L4*C12),0)</f>
        <v>3333</v>
      </c>
      <c r="M23" s="84">
        <f>ROUND(L23*(1+M4*C12),0)</f>
        <v>3406</v>
      </c>
      <c r="N23" s="84">
        <f>ROUND(M23*(1+N4*C12),0)</f>
        <v>3481</v>
      </c>
      <c r="O23" s="84">
        <f>ROUND(N23*(1+O4*C12),0)</f>
        <v>3558</v>
      </c>
      <c r="P23" s="85" t="s">
        <v>197</v>
      </c>
    </row>
    <row r="24" spans="1:16" ht="36" customHeight="1" x14ac:dyDescent="0.45">
      <c r="A24" s="49" t="s">
        <v>176</v>
      </c>
      <c r="B24" s="52" t="s">
        <v>173</v>
      </c>
      <c r="C24" s="78">
        <f t="shared" si="0"/>
        <v>0.4</v>
      </c>
      <c r="D24" s="79">
        <v>600</v>
      </c>
      <c r="E24" s="80">
        <f>ROUND(D24*(1+E4*C13),0)</f>
        <v>613</v>
      </c>
      <c r="F24" s="80">
        <f>ROUND(E24*(1+F4*C13),0)</f>
        <v>626</v>
      </c>
      <c r="G24" s="80">
        <f>ROUND(F24*(1+G4*C13),0)</f>
        <v>640</v>
      </c>
      <c r="H24" s="80">
        <f>ROUND(G24*(1+H4*C13),0)</f>
        <v>654</v>
      </c>
      <c r="I24" s="80">
        <f>ROUND(H24*(1+I4*C13),0)</f>
        <v>668</v>
      </c>
      <c r="J24" s="80">
        <f>ROUND(I24*(1+J4*C13),0)</f>
        <v>683</v>
      </c>
      <c r="K24" s="80">
        <f>ROUND(J24*(1+K4*C13),0)</f>
        <v>698</v>
      </c>
      <c r="L24" s="80">
        <f>ROUND(K24*(1+L4*C13),0)</f>
        <v>713</v>
      </c>
      <c r="M24" s="80">
        <f>ROUND(L24*(1+M4*C13),0)</f>
        <v>729</v>
      </c>
      <c r="N24" s="80">
        <f>ROUND(M24*(1+N4*C13),0)</f>
        <v>745</v>
      </c>
      <c r="O24" s="80">
        <f>ROUND(N24*(1+O4*C13),0)</f>
        <v>761</v>
      </c>
      <c r="P24" s="1" t="s">
        <v>198</v>
      </c>
    </row>
    <row r="25" spans="1:16" ht="36" customHeight="1" x14ac:dyDescent="0.45">
      <c r="A25" s="81" t="s">
        <v>149</v>
      </c>
      <c r="B25" s="82" t="s">
        <v>173</v>
      </c>
      <c r="C25" s="83">
        <f t="shared" si="0"/>
        <v>1</v>
      </c>
      <c r="D25" s="79">
        <v>300</v>
      </c>
      <c r="E25" s="84">
        <f>ROUND(D25*(1+E4*C14),0)</f>
        <v>317</v>
      </c>
      <c r="F25" s="84">
        <f>ROUND(E25*(1+F4*C14),0)</f>
        <v>334</v>
      </c>
      <c r="G25" s="84">
        <f>ROUND(F25*(1+G4*C14),0)</f>
        <v>352</v>
      </c>
      <c r="H25" s="84">
        <f>ROUND(G25*(1+H4*C14),0)</f>
        <v>371</v>
      </c>
      <c r="I25" s="84">
        <f>ROUND(H25*(1+I4*C14),0)</f>
        <v>391</v>
      </c>
      <c r="J25" s="84">
        <f>ROUND(I25*(1+J4*C14),0)</f>
        <v>413</v>
      </c>
      <c r="K25" s="84">
        <f>ROUND(J25*(1+K4*C14),0)</f>
        <v>436</v>
      </c>
      <c r="L25" s="84">
        <f>ROUND(K25*(1+L4*C14),0)</f>
        <v>460</v>
      </c>
      <c r="M25" s="84">
        <f>ROUND(L25*(1+M4*C14),0)</f>
        <v>485</v>
      </c>
      <c r="N25" s="84">
        <f>ROUND(M25*(1+N4*C14),0)</f>
        <v>512</v>
      </c>
      <c r="O25" s="84">
        <f>ROUND(N25*(1+O4*C14),0)</f>
        <v>540</v>
      </c>
      <c r="P25" s="85" t="s">
        <v>199</v>
      </c>
    </row>
    <row r="27" spans="1:16" ht="18" customHeight="1" x14ac:dyDescent="0.45">
      <c r="A27" s="259" t="s">
        <v>200</v>
      </c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</row>
    <row r="28" spans="1:16" ht="18" customHeight="1" x14ac:dyDescent="0.45">
      <c r="A28" s="76" t="s">
        <v>171</v>
      </c>
      <c r="B28" s="76" t="s">
        <v>17</v>
      </c>
      <c r="C28" s="76" t="s">
        <v>178</v>
      </c>
      <c r="D28" s="76" t="s">
        <v>179</v>
      </c>
      <c r="E28" s="76" t="s">
        <v>180</v>
      </c>
      <c r="F28" s="76" t="s">
        <v>181</v>
      </c>
      <c r="G28" s="76" t="s">
        <v>182</v>
      </c>
      <c r="H28" s="76" t="s">
        <v>183</v>
      </c>
      <c r="I28" s="76" t="s">
        <v>184</v>
      </c>
      <c r="J28" s="76" t="s">
        <v>185</v>
      </c>
      <c r="K28" s="76" t="s">
        <v>186</v>
      </c>
      <c r="L28" s="76" t="s">
        <v>187</v>
      </c>
      <c r="M28" s="76" t="s">
        <v>188</v>
      </c>
      <c r="N28" s="76" t="s">
        <v>189</v>
      </c>
      <c r="O28" s="76" t="s">
        <v>190</v>
      </c>
      <c r="P28" s="76" t="s">
        <v>191</v>
      </c>
    </row>
    <row r="29" spans="1:16" ht="36" customHeight="1" x14ac:dyDescent="0.45">
      <c r="A29" s="49" t="s">
        <v>45</v>
      </c>
      <c r="B29" s="52" t="s">
        <v>173</v>
      </c>
      <c r="C29" s="78">
        <f t="shared" ref="C29:C36" si="1">C7</f>
        <v>0.8</v>
      </c>
      <c r="D29" s="79">
        <v>1400</v>
      </c>
      <c r="E29" s="80">
        <f>ROUND(D29*(1+E4*C7),0)</f>
        <v>1462</v>
      </c>
      <c r="F29" s="80">
        <f>ROUND(E29*(1+F4*C7),0)</f>
        <v>1526</v>
      </c>
      <c r="G29" s="80">
        <f>ROUND(F29*(1+G4*C7),0)</f>
        <v>1593</v>
      </c>
      <c r="H29" s="80">
        <f>ROUND(G29*(1+H4*C7),0)</f>
        <v>1663</v>
      </c>
      <c r="I29" s="80">
        <f>ROUND(H29*(1+I4*C7),0)</f>
        <v>1736</v>
      </c>
      <c r="J29" s="80">
        <f>ROUND(I29*(1+J4*C7),0)</f>
        <v>1812</v>
      </c>
      <c r="K29" s="80">
        <f>ROUND(J29*(1+K4*C7),0)</f>
        <v>1892</v>
      </c>
      <c r="L29" s="80">
        <f>ROUND(K29*(1+L4*C7),0)</f>
        <v>1975</v>
      </c>
      <c r="M29" s="80">
        <f>ROUND(L29*(1+M4*C7),0)</f>
        <v>2062</v>
      </c>
      <c r="N29" s="80">
        <f>ROUND(M29*(1+N4*C7),0)</f>
        <v>2153</v>
      </c>
      <c r="O29" s="80">
        <f>ROUND(N29*(1+O4*C7),0)</f>
        <v>2248</v>
      </c>
      <c r="P29" s="1" t="s">
        <v>192</v>
      </c>
    </row>
    <row r="30" spans="1:16" ht="36" customHeight="1" x14ac:dyDescent="0.45">
      <c r="A30" s="81" t="s">
        <v>64</v>
      </c>
      <c r="B30" s="82" t="s">
        <v>173</v>
      </c>
      <c r="C30" s="83">
        <f t="shared" si="1"/>
        <v>0.8</v>
      </c>
      <c r="D30" s="79">
        <v>900</v>
      </c>
      <c r="E30" s="84">
        <f>ROUND(D30*(1+E4*C8),0)</f>
        <v>940</v>
      </c>
      <c r="F30" s="84">
        <f>ROUND(E30*(1+F4*C8),0)</f>
        <v>981</v>
      </c>
      <c r="G30" s="84">
        <f>ROUND(F30*(1+G4*C8),0)</f>
        <v>1024</v>
      </c>
      <c r="H30" s="84">
        <f>ROUND(G30*(1+H4*C8),0)</f>
        <v>1069</v>
      </c>
      <c r="I30" s="84">
        <f>ROUND(H30*(1+I4*C8),0)</f>
        <v>1116</v>
      </c>
      <c r="J30" s="84">
        <f>ROUND(I30*(1+J4*C8),0)</f>
        <v>1165</v>
      </c>
      <c r="K30" s="84">
        <f>ROUND(J30*(1+K4*C8),0)</f>
        <v>1216</v>
      </c>
      <c r="L30" s="84">
        <f>ROUND(K30*(1+L4*C8),0)</f>
        <v>1270</v>
      </c>
      <c r="M30" s="84">
        <f>ROUND(L30*(1+M4*C8),0)</f>
        <v>1326</v>
      </c>
      <c r="N30" s="84">
        <f>ROUND(M30*(1+N4*C8),0)</f>
        <v>1384</v>
      </c>
      <c r="O30" s="84">
        <f>ROUND(N30*(1+O4*C8),0)</f>
        <v>1445</v>
      </c>
      <c r="P30" s="85" t="s">
        <v>193</v>
      </c>
    </row>
    <row r="31" spans="1:16" ht="36" customHeight="1" x14ac:dyDescent="0.45">
      <c r="A31" s="49" t="s">
        <v>77</v>
      </c>
      <c r="B31" s="52" t="s">
        <v>173</v>
      </c>
      <c r="C31" s="78">
        <f t="shared" si="1"/>
        <v>0</v>
      </c>
      <c r="D31" s="79">
        <v>0</v>
      </c>
      <c r="E31" s="80">
        <f>ROUND(D31*(1+E4*C9),0)</f>
        <v>0</v>
      </c>
      <c r="F31" s="80">
        <f>ROUND(E31*(1+F4*C9),0)</f>
        <v>0</v>
      </c>
      <c r="G31" s="80">
        <f>ROUND(F31*(1+G4*C9),0)</f>
        <v>0</v>
      </c>
      <c r="H31" s="80">
        <f>ROUND(G31*(1+H4*C9),0)</f>
        <v>0</v>
      </c>
      <c r="I31" s="80">
        <f>ROUND(H31*(1+I4*C9),0)</f>
        <v>0</v>
      </c>
      <c r="J31" s="80">
        <f>ROUND(I31*(1+J4*C9),0)</f>
        <v>0</v>
      </c>
      <c r="K31" s="80">
        <f>ROUND(J31*(1+K4*C9),0)</f>
        <v>0</v>
      </c>
      <c r="L31" s="80">
        <f>ROUND(K31*(1+L4*C9),0)</f>
        <v>0</v>
      </c>
      <c r="M31" s="80">
        <f>ROUND(L31*(1+M4*C9),0)</f>
        <v>0</v>
      </c>
      <c r="N31" s="80">
        <f>ROUND(M31*(1+N4*C9),0)</f>
        <v>0</v>
      </c>
      <c r="O31" s="80">
        <f>ROUND(N31*(1+O4*C9),0)</f>
        <v>0</v>
      </c>
      <c r="P31" s="1" t="s">
        <v>194</v>
      </c>
    </row>
    <row r="32" spans="1:16" ht="36" customHeight="1" x14ac:dyDescent="0.45">
      <c r="A32" s="81" t="s">
        <v>174</v>
      </c>
      <c r="B32" s="82" t="s">
        <v>173</v>
      </c>
      <c r="C32" s="83">
        <f t="shared" si="1"/>
        <v>0.6</v>
      </c>
      <c r="D32" s="79">
        <v>9700</v>
      </c>
      <c r="E32" s="84">
        <f>ROUND(D32*(1+E4*C10),0)</f>
        <v>10020</v>
      </c>
      <c r="F32" s="84">
        <f>ROUND(E32*(1+F4*C10),0)</f>
        <v>10351</v>
      </c>
      <c r="G32" s="84">
        <f>ROUND(F32*(1+G4*C10),0)</f>
        <v>10693</v>
      </c>
      <c r="H32" s="84">
        <f>ROUND(G32*(1+H4*C10),0)</f>
        <v>11046</v>
      </c>
      <c r="I32" s="84">
        <f>ROUND(H32*(1+I4*C10),0)</f>
        <v>11411</v>
      </c>
      <c r="J32" s="84">
        <f>ROUND(I32*(1+J4*C10),0)</f>
        <v>11788</v>
      </c>
      <c r="K32" s="84">
        <f>ROUND(J32*(1+K4*C10),0)</f>
        <v>12177</v>
      </c>
      <c r="L32" s="84">
        <f>ROUND(K32*(1+L4*C10),0)</f>
        <v>12579</v>
      </c>
      <c r="M32" s="84">
        <f>ROUND(L32*(1+M4*C10),0)</f>
        <v>12994</v>
      </c>
      <c r="N32" s="84">
        <f>ROUND(M32*(1+N4*C10),0)</f>
        <v>13423</v>
      </c>
      <c r="O32" s="84">
        <f>ROUND(N32*(1+O4*C10),0)</f>
        <v>13866</v>
      </c>
      <c r="P32" s="85" t="s">
        <v>195</v>
      </c>
    </row>
    <row r="33" spans="1:16" ht="36" customHeight="1" x14ac:dyDescent="0.45">
      <c r="A33" s="49" t="s">
        <v>175</v>
      </c>
      <c r="B33" s="52" t="s">
        <v>173</v>
      </c>
      <c r="C33" s="78">
        <f t="shared" si="1"/>
        <v>0.4</v>
      </c>
      <c r="D33" s="79">
        <v>400</v>
      </c>
      <c r="E33" s="80">
        <f>ROUND(D33*(1+E4*C11),0)</f>
        <v>409</v>
      </c>
      <c r="F33" s="80">
        <f>ROUND(E33*(1+F4*C11),0)</f>
        <v>418</v>
      </c>
      <c r="G33" s="80">
        <f>ROUND(F33*(1+G4*C11),0)</f>
        <v>427</v>
      </c>
      <c r="H33" s="80">
        <f>ROUND(G33*(1+H4*C11),0)</f>
        <v>436</v>
      </c>
      <c r="I33" s="80">
        <f>ROUND(H33*(1+I4*C11),0)</f>
        <v>446</v>
      </c>
      <c r="J33" s="80">
        <f>ROUND(I33*(1+J4*C11),0)</f>
        <v>456</v>
      </c>
      <c r="K33" s="80">
        <f>ROUND(J33*(1+K4*C11),0)</f>
        <v>466</v>
      </c>
      <c r="L33" s="80">
        <f>ROUND(K33*(1+L4*C11),0)</f>
        <v>476</v>
      </c>
      <c r="M33" s="80">
        <f>ROUND(L33*(1+M4*C11),0)</f>
        <v>486</v>
      </c>
      <c r="N33" s="80">
        <f>ROUND(M33*(1+N4*C11),0)</f>
        <v>497</v>
      </c>
      <c r="O33" s="80">
        <f>ROUND(N33*(1+O4*C11),0)</f>
        <v>508</v>
      </c>
      <c r="P33" s="1" t="s">
        <v>196</v>
      </c>
    </row>
    <row r="34" spans="1:16" ht="36" customHeight="1" x14ac:dyDescent="0.45">
      <c r="A34" s="81" t="s">
        <v>121</v>
      </c>
      <c r="B34" s="82" t="s">
        <v>173</v>
      </c>
      <c r="C34" s="83">
        <f t="shared" si="1"/>
        <v>0.4</v>
      </c>
      <c r="D34" s="79">
        <v>2200</v>
      </c>
      <c r="E34" s="84">
        <f>ROUND(D34*(1+E4*C12),0)</f>
        <v>2248</v>
      </c>
      <c r="F34" s="84">
        <f>ROUND(E34*(1+F4*C12),0)</f>
        <v>2297</v>
      </c>
      <c r="G34" s="84">
        <f>ROUND(F34*(1+G4*C12),0)</f>
        <v>2348</v>
      </c>
      <c r="H34" s="84">
        <f>ROUND(G34*(1+H4*C12),0)</f>
        <v>2400</v>
      </c>
      <c r="I34" s="84">
        <f>ROUND(H34*(1+I4*C12),0)</f>
        <v>2453</v>
      </c>
      <c r="J34" s="84">
        <f>ROUND(I34*(1+J4*C12),0)</f>
        <v>2507</v>
      </c>
      <c r="K34" s="84">
        <f>ROUND(J34*(1+K4*C12),0)</f>
        <v>2562</v>
      </c>
      <c r="L34" s="84">
        <f>ROUND(K34*(1+L4*C12),0)</f>
        <v>2618</v>
      </c>
      <c r="M34" s="84">
        <f>ROUND(L34*(1+M4*C12),0)</f>
        <v>2676</v>
      </c>
      <c r="N34" s="84">
        <f>ROUND(M34*(1+N4*C12),0)</f>
        <v>2735</v>
      </c>
      <c r="O34" s="84">
        <f>ROUND(N34*(1+O4*C12),0)</f>
        <v>2795</v>
      </c>
      <c r="P34" s="85" t="s">
        <v>197</v>
      </c>
    </row>
    <row r="35" spans="1:16" ht="36" customHeight="1" x14ac:dyDescent="0.45">
      <c r="A35" s="49" t="s">
        <v>176</v>
      </c>
      <c r="B35" s="52" t="s">
        <v>173</v>
      </c>
      <c r="C35" s="78">
        <f t="shared" si="1"/>
        <v>0.4</v>
      </c>
      <c r="D35" s="79">
        <v>250</v>
      </c>
      <c r="E35" s="80">
        <f>ROUND(D35*(1+E4*C13),0)</f>
        <v>256</v>
      </c>
      <c r="F35" s="80">
        <f>ROUND(E35*(1+F4*C13),0)</f>
        <v>262</v>
      </c>
      <c r="G35" s="80">
        <f>ROUND(F35*(1+G4*C13),0)</f>
        <v>268</v>
      </c>
      <c r="H35" s="80">
        <f>ROUND(G35*(1+H4*C13),0)</f>
        <v>274</v>
      </c>
      <c r="I35" s="80">
        <f>ROUND(H35*(1+I4*C13),0)</f>
        <v>280</v>
      </c>
      <c r="J35" s="80">
        <f>ROUND(I35*(1+J4*C13),0)</f>
        <v>286</v>
      </c>
      <c r="K35" s="80">
        <f>ROUND(J35*(1+K4*C13),0)</f>
        <v>292</v>
      </c>
      <c r="L35" s="80">
        <f>ROUND(K35*(1+L4*C13),0)</f>
        <v>298</v>
      </c>
      <c r="M35" s="80">
        <f>ROUND(L35*(1+M4*C13),0)</f>
        <v>305</v>
      </c>
      <c r="N35" s="80">
        <f>ROUND(M35*(1+N4*C13),0)</f>
        <v>312</v>
      </c>
      <c r="O35" s="80">
        <f>ROUND(N35*(1+O4*C13),0)</f>
        <v>319</v>
      </c>
      <c r="P35" s="1" t="s">
        <v>198</v>
      </c>
    </row>
    <row r="36" spans="1:16" ht="36" customHeight="1" x14ac:dyDescent="0.45">
      <c r="A36" s="81" t="s">
        <v>149</v>
      </c>
      <c r="B36" s="82" t="s">
        <v>173</v>
      </c>
      <c r="C36" s="83">
        <f t="shared" si="1"/>
        <v>1</v>
      </c>
      <c r="D36" s="79">
        <v>174</v>
      </c>
      <c r="E36" s="84">
        <f>ROUND(D36*(1+E4*C14),0)</f>
        <v>184</v>
      </c>
      <c r="F36" s="84">
        <f>ROUND(E36*(1+F4*C14),0)</f>
        <v>194</v>
      </c>
      <c r="G36" s="84">
        <f>ROUND(F36*(1+G4*C14),0)</f>
        <v>205</v>
      </c>
      <c r="H36" s="84">
        <f>ROUND(G36*(1+H4*C14),0)</f>
        <v>216</v>
      </c>
      <c r="I36" s="84">
        <f>ROUND(H36*(1+I4*C14),0)</f>
        <v>228</v>
      </c>
      <c r="J36" s="84">
        <f>ROUND(I36*(1+J4*C14),0)</f>
        <v>241</v>
      </c>
      <c r="K36" s="84">
        <f>ROUND(J36*(1+K4*C14),0)</f>
        <v>254</v>
      </c>
      <c r="L36" s="84">
        <f>ROUND(K36*(1+L4*C14),0)</f>
        <v>268</v>
      </c>
      <c r="M36" s="84">
        <f>ROUND(L36*(1+M4*C14),0)</f>
        <v>283</v>
      </c>
      <c r="N36" s="84">
        <f>ROUND(M36*(1+N4*C14),0)</f>
        <v>299</v>
      </c>
      <c r="O36" s="84">
        <f>ROUND(N36*(1+O4*C14),0)</f>
        <v>315</v>
      </c>
      <c r="P36" s="85" t="s">
        <v>199</v>
      </c>
    </row>
    <row r="38" spans="1:16" ht="18" customHeight="1" x14ac:dyDescent="0.45">
      <c r="A38" s="259" t="s">
        <v>201</v>
      </c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</row>
    <row r="39" spans="1:16" ht="18" customHeight="1" x14ac:dyDescent="0.45">
      <c r="A39" s="76" t="s">
        <v>171</v>
      </c>
      <c r="B39" s="76" t="s">
        <v>17</v>
      </c>
      <c r="C39" s="76" t="s">
        <v>178</v>
      </c>
      <c r="D39" s="76" t="s">
        <v>179</v>
      </c>
      <c r="E39" s="76" t="s">
        <v>180</v>
      </c>
      <c r="F39" s="76" t="s">
        <v>181</v>
      </c>
      <c r="G39" s="76" t="s">
        <v>182</v>
      </c>
      <c r="H39" s="76" t="s">
        <v>183</v>
      </c>
      <c r="I39" s="76" t="s">
        <v>184</v>
      </c>
      <c r="J39" s="76" t="s">
        <v>185</v>
      </c>
      <c r="K39" s="76" t="s">
        <v>186</v>
      </c>
      <c r="L39" s="76" t="s">
        <v>187</v>
      </c>
      <c r="M39" s="76" t="s">
        <v>188</v>
      </c>
      <c r="N39" s="76" t="s">
        <v>189</v>
      </c>
      <c r="O39" s="76" t="s">
        <v>190</v>
      </c>
      <c r="P39" s="76" t="s">
        <v>191</v>
      </c>
    </row>
    <row r="40" spans="1:16" ht="36" customHeight="1" x14ac:dyDescent="0.45">
      <c r="A40" s="49" t="s">
        <v>45</v>
      </c>
      <c r="B40" s="52" t="s">
        <v>173</v>
      </c>
      <c r="C40" s="78">
        <f t="shared" ref="C40:C47" si="2">C7</f>
        <v>0.8</v>
      </c>
      <c r="D40" s="79">
        <v>580</v>
      </c>
      <c r="E40" s="80">
        <f>ROUND(D40*(1+E4*C7),0)</f>
        <v>606</v>
      </c>
      <c r="F40" s="80">
        <f>ROUND(E40*(1+F4*C7),0)</f>
        <v>633</v>
      </c>
      <c r="G40" s="80">
        <f>ROUND(F40*(1+G4*C7),0)</f>
        <v>661</v>
      </c>
      <c r="H40" s="80">
        <f>ROUND(G40*(1+H4*C7),0)</f>
        <v>690</v>
      </c>
      <c r="I40" s="80">
        <f>ROUND(H40*(1+I4*C7),0)</f>
        <v>720</v>
      </c>
      <c r="J40" s="80">
        <f>ROUND(I40*(1+J4*C7),0)</f>
        <v>752</v>
      </c>
      <c r="K40" s="80">
        <f>ROUND(J40*(1+K4*C7),0)</f>
        <v>785</v>
      </c>
      <c r="L40" s="80">
        <f>ROUND(K40*(1+L4*C7),0)</f>
        <v>820</v>
      </c>
      <c r="M40" s="80">
        <f>ROUND(L40*(1+M4*C7),0)</f>
        <v>856</v>
      </c>
      <c r="N40" s="80">
        <f>ROUND(M40*(1+N4*C7),0)</f>
        <v>894</v>
      </c>
      <c r="O40" s="80">
        <f>ROUND(N40*(1+O4*C7),0)</f>
        <v>933</v>
      </c>
      <c r="P40" s="1" t="s">
        <v>192</v>
      </c>
    </row>
    <row r="41" spans="1:16" ht="36" customHeight="1" x14ac:dyDescent="0.45">
      <c r="A41" s="81" t="s">
        <v>64</v>
      </c>
      <c r="B41" s="82" t="s">
        <v>173</v>
      </c>
      <c r="C41" s="83">
        <f t="shared" si="2"/>
        <v>0.8</v>
      </c>
      <c r="D41" s="79">
        <v>300</v>
      </c>
      <c r="E41" s="84">
        <f>ROUND(D41*(1+E4*C8),0)</f>
        <v>313</v>
      </c>
      <c r="F41" s="84">
        <f>ROUND(E41*(1+F4*C8),0)</f>
        <v>327</v>
      </c>
      <c r="G41" s="84">
        <f>ROUND(F41*(1+G4*C8),0)</f>
        <v>341</v>
      </c>
      <c r="H41" s="84">
        <f>ROUND(G41*(1+H4*C8),0)</f>
        <v>356</v>
      </c>
      <c r="I41" s="84">
        <f>ROUND(H41*(1+I4*C8),0)</f>
        <v>372</v>
      </c>
      <c r="J41" s="84">
        <f>ROUND(I41*(1+J4*C8),0)</f>
        <v>388</v>
      </c>
      <c r="K41" s="84">
        <f>ROUND(J41*(1+K4*C8),0)</f>
        <v>405</v>
      </c>
      <c r="L41" s="84">
        <f>ROUND(K41*(1+L4*C8),0)</f>
        <v>423</v>
      </c>
      <c r="M41" s="84">
        <f>ROUND(L41*(1+M4*C8),0)</f>
        <v>442</v>
      </c>
      <c r="N41" s="84">
        <f>ROUND(M41*(1+N4*C8),0)</f>
        <v>461</v>
      </c>
      <c r="O41" s="84">
        <f>ROUND(N41*(1+O4*C8),0)</f>
        <v>481</v>
      </c>
      <c r="P41" s="85" t="s">
        <v>193</v>
      </c>
    </row>
    <row r="42" spans="1:16" ht="36" customHeight="1" x14ac:dyDescent="0.45">
      <c r="A42" s="49" t="s">
        <v>77</v>
      </c>
      <c r="B42" s="52" t="s">
        <v>173</v>
      </c>
      <c r="C42" s="78">
        <f t="shared" si="2"/>
        <v>0</v>
      </c>
      <c r="D42" s="79">
        <v>0</v>
      </c>
      <c r="E42" s="80">
        <f>ROUND(D42*(1+E4*C9),0)</f>
        <v>0</v>
      </c>
      <c r="F42" s="80">
        <f>ROUND(E42*(1+F4*C9),0)</f>
        <v>0</v>
      </c>
      <c r="G42" s="80">
        <f>ROUND(F42*(1+G4*C9),0)</f>
        <v>0</v>
      </c>
      <c r="H42" s="80">
        <f>ROUND(G42*(1+H4*C9),0)</f>
        <v>0</v>
      </c>
      <c r="I42" s="80">
        <f>ROUND(H42*(1+I4*C9),0)</f>
        <v>0</v>
      </c>
      <c r="J42" s="80">
        <f>ROUND(I42*(1+J4*C9),0)</f>
        <v>0</v>
      </c>
      <c r="K42" s="80">
        <f>ROUND(J42*(1+K4*C9),0)</f>
        <v>0</v>
      </c>
      <c r="L42" s="80">
        <f>ROUND(K42*(1+L4*C9),0)</f>
        <v>0</v>
      </c>
      <c r="M42" s="80">
        <f>ROUND(L42*(1+M4*C9),0)</f>
        <v>0</v>
      </c>
      <c r="N42" s="80">
        <f>ROUND(M42*(1+N4*C9),0)</f>
        <v>0</v>
      </c>
      <c r="O42" s="80">
        <f>ROUND(N42*(1+O4*C9),0)</f>
        <v>0</v>
      </c>
      <c r="P42" s="1" t="s">
        <v>194</v>
      </c>
    </row>
    <row r="43" spans="1:16" ht="36" customHeight="1" x14ac:dyDescent="0.45">
      <c r="A43" s="81" t="s">
        <v>174</v>
      </c>
      <c r="B43" s="82" t="s">
        <v>173</v>
      </c>
      <c r="C43" s="83">
        <f t="shared" si="2"/>
        <v>0.6</v>
      </c>
      <c r="D43" s="79">
        <v>800</v>
      </c>
      <c r="E43" s="84">
        <f>ROUND(D43*(1+E4*C10),0)</f>
        <v>826</v>
      </c>
      <c r="F43" s="84">
        <f>ROUND(E43*(1+F4*C10),0)</f>
        <v>853</v>
      </c>
      <c r="G43" s="84">
        <f>ROUND(F43*(1+G4*C10),0)</f>
        <v>881</v>
      </c>
      <c r="H43" s="84">
        <f>ROUND(G43*(1+H4*C10),0)</f>
        <v>910</v>
      </c>
      <c r="I43" s="84">
        <f>ROUND(H43*(1+I4*C10),0)</f>
        <v>940</v>
      </c>
      <c r="J43" s="84">
        <f>ROUND(I43*(1+J4*C10),0)</f>
        <v>971</v>
      </c>
      <c r="K43" s="84">
        <f>ROUND(J43*(1+K4*C10),0)</f>
        <v>1003</v>
      </c>
      <c r="L43" s="84">
        <f>ROUND(K43*(1+L4*C10),0)</f>
        <v>1036</v>
      </c>
      <c r="M43" s="84">
        <f>ROUND(L43*(1+M4*C10),0)</f>
        <v>1070</v>
      </c>
      <c r="N43" s="84">
        <f>ROUND(M43*(1+N4*C10),0)</f>
        <v>1105</v>
      </c>
      <c r="O43" s="84">
        <f>ROUND(N43*(1+O4*C10),0)</f>
        <v>1141</v>
      </c>
      <c r="P43" s="85" t="s">
        <v>195</v>
      </c>
    </row>
    <row r="44" spans="1:16" ht="36" customHeight="1" x14ac:dyDescent="0.45">
      <c r="A44" s="49" t="s">
        <v>175</v>
      </c>
      <c r="B44" s="52" t="s">
        <v>173</v>
      </c>
      <c r="C44" s="78">
        <f t="shared" si="2"/>
        <v>0.4</v>
      </c>
      <c r="D44" s="79">
        <v>120</v>
      </c>
      <c r="E44" s="80">
        <f>ROUND(D44*(1+E4*C11),0)</f>
        <v>123</v>
      </c>
      <c r="F44" s="80">
        <f>ROUND(E44*(1+F4*C11),0)</f>
        <v>126</v>
      </c>
      <c r="G44" s="80">
        <f>ROUND(F44*(1+G4*C11),0)</f>
        <v>129</v>
      </c>
      <c r="H44" s="80">
        <f>ROUND(G44*(1+H4*C11),0)</f>
        <v>132</v>
      </c>
      <c r="I44" s="80">
        <f>ROUND(H44*(1+I4*C11),0)</f>
        <v>135</v>
      </c>
      <c r="J44" s="80">
        <f>ROUND(I44*(1+J4*C11),0)</f>
        <v>138</v>
      </c>
      <c r="K44" s="80">
        <f>ROUND(J44*(1+K4*C11),0)</f>
        <v>141</v>
      </c>
      <c r="L44" s="80">
        <f>ROUND(K44*(1+L4*C11),0)</f>
        <v>144</v>
      </c>
      <c r="M44" s="80">
        <f>ROUND(L44*(1+M4*C11),0)</f>
        <v>147</v>
      </c>
      <c r="N44" s="80">
        <f>ROUND(M44*(1+N4*C11),0)</f>
        <v>150</v>
      </c>
      <c r="O44" s="80">
        <f>ROUND(N44*(1+O4*C11),0)</f>
        <v>153</v>
      </c>
      <c r="P44" s="1" t="s">
        <v>196</v>
      </c>
    </row>
    <row r="45" spans="1:16" ht="36" customHeight="1" x14ac:dyDescent="0.45">
      <c r="A45" s="81" t="s">
        <v>121</v>
      </c>
      <c r="B45" s="82" t="s">
        <v>173</v>
      </c>
      <c r="C45" s="83">
        <f t="shared" si="2"/>
        <v>0.4</v>
      </c>
      <c r="D45" s="79">
        <v>1600</v>
      </c>
      <c r="E45" s="84">
        <f>ROUND(D45*(1+E4*C12),0)</f>
        <v>1635</v>
      </c>
      <c r="F45" s="84">
        <f>ROUND(E45*(1+F4*C12),0)</f>
        <v>1671</v>
      </c>
      <c r="G45" s="84">
        <f>ROUND(F45*(1+G4*C12),0)</f>
        <v>1708</v>
      </c>
      <c r="H45" s="84">
        <f>ROUND(G45*(1+H4*C12),0)</f>
        <v>1746</v>
      </c>
      <c r="I45" s="84">
        <f>ROUND(H45*(1+I4*C12),0)</f>
        <v>1784</v>
      </c>
      <c r="J45" s="84">
        <f>ROUND(I45*(1+J4*C12),0)</f>
        <v>1823</v>
      </c>
      <c r="K45" s="84">
        <f>ROUND(J45*(1+K4*C12),0)</f>
        <v>1863</v>
      </c>
      <c r="L45" s="84">
        <f>ROUND(K45*(1+L4*C12),0)</f>
        <v>1904</v>
      </c>
      <c r="M45" s="84">
        <f>ROUND(L45*(1+M4*C12),0)</f>
        <v>1946</v>
      </c>
      <c r="N45" s="84">
        <f>ROUND(M45*(1+N4*C12),0)</f>
        <v>1989</v>
      </c>
      <c r="O45" s="84">
        <f>ROUND(N45*(1+O4*C12),0)</f>
        <v>2033</v>
      </c>
      <c r="P45" s="85" t="s">
        <v>197</v>
      </c>
    </row>
    <row r="46" spans="1:16" ht="36" customHeight="1" x14ac:dyDescent="0.45">
      <c r="A46" s="49" t="s">
        <v>176</v>
      </c>
      <c r="B46" s="52" t="s">
        <v>173</v>
      </c>
      <c r="C46" s="78">
        <f t="shared" si="2"/>
        <v>0.4</v>
      </c>
      <c r="D46" s="79">
        <v>80</v>
      </c>
      <c r="E46" s="80">
        <f>ROUND(D46*(1+E4*C13),0)</f>
        <v>82</v>
      </c>
      <c r="F46" s="80">
        <f>ROUND(E46*(1+F4*C13),0)</f>
        <v>84</v>
      </c>
      <c r="G46" s="80">
        <f>ROUND(F46*(1+G4*C13),0)</f>
        <v>86</v>
      </c>
      <c r="H46" s="80">
        <f>ROUND(G46*(1+H4*C13),0)</f>
        <v>88</v>
      </c>
      <c r="I46" s="80">
        <f>ROUND(H46*(1+I4*C13),0)</f>
        <v>90</v>
      </c>
      <c r="J46" s="80">
        <f>ROUND(I46*(1+J4*C13),0)</f>
        <v>92</v>
      </c>
      <c r="K46" s="80">
        <f>ROUND(J46*(1+K4*C13),0)</f>
        <v>94</v>
      </c>
      <c r="L46" s="80">
        <f>ROUND(K46*(1+L4*C13),0)</f>
        <v>96</v>
      </c>
      <c r="M46" s="80">
        <f>ROUND(L46*(1+M4*C13),0)</f>
        <v>98</v>
      </c>
      <c r="N46" s="80">
        <f>ROUND(M46*(1+N4*C13),0)</f>
        <v>100</v>
      </c>
      <c r="O46" s="80">
        <f>ROUND(N46*(1+O4*C13),0)</f>
        <v>102</v>
      </c>
      <c r="P46" s="1" t="s">
        <v>198</v>
      </c>
    </row>
    <row r="47" spans="1:16" ht="36" customHeight="1" x14ac:dyDescent="0.45">
      <c r="A47" s="81" t="s">
        <v>149</v>
      </c>
      <c r="B47" s="82" t="s">
        <v>173</v>
      </c>
      <c r="C47" s="83">
        <f t="shared" si="2"/>
        <v>1</v>
      </c>
      <c r="D47" s="79">
        <v>167</v>
      </c>
      <c r="E47" s="84">
        <f>ROUND(D47*(1+E4*C14),0)</f>
        <v>176</v>
      </c>
      <c r="F47" s="84">
        <f>ROUND(E47*(1+F4*C14),0)</f>
        <v>186</v>
      </c>
      <c r="G47" s="84">
        <f>ROUND(F47*(1+G4*C14),0)</f>
        <v>196</v>
      </c>
      <c r="H47" s="84">
        <f>ROUND(G47*(1+H4*C14),0)</f>
        <v>207</v>
      </c>
      <c r="I47" s="84">
        <f>ROUND(H47*(1+I4*C14),0)</f>
        <v>218</v>
      </c>
      <c r="J47" s="84">
        <f>ROUND(I47*(1+J4*C14),0)</f>
        <v>230</v>
      </c>
      <c r="K47" s="84">
        <f>ROUND(J47*(1+K4*C14),0)</f>
        <v>243</v>
      </c>
      <c r="L47" s="84">
        <f>ROUND(K47*(1+L4*C14),0)</f>
        <v>256</v>
      </c>
      <c r="M47" s="84">
        <f>ROUND(L47*(1+M4*C14),0)</f>
        <v>270</v>
      </c>
      <c r="N47" s="84">
        <f>ROUND(M47*(1+N4*C14),0)</f>
        <v>285</v>
      </c>
      <c r="O47" s="84">
        <f>ROUND(N47*(1+O4*C14),0)</f>
        <v>301</v>
      </c>
      <c r="P47" s="85" t="s">
        <v>199</v>
      </c>
    </row>
    <row r="49" spans="1:16" ht="19.5" customHeight="1" x14ac:dyDescent="0.45">
      <c r="A49" s="259" t="s">
        <v>202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</row>
    <row r="50" spans="1:16" ht="39.75" customHeight="1" x14ac:dyDescent="0.45">
      <c r="A50" s="251" t="s">
        <v>203</v>
      </c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</row>
  </sheetData>
  <mergeCells count="8">
    <mergeCell ref="A38:P38"/>
    <mergeCell ref="A49:P49"/>
    <mergeCell ref="A50:P50"/>
    <mergeCell ref="A1:P1"/>
    <mergeCell ref="A2:P2"/>
    <mergeCell ref="A5:P5"/>
    <mergeCell ref="A16:P16"/>
    <mergeCell ref="A27:P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7" sqref="G17"/>
    </sheetView>
  </sheetViews>
  <sheetFormatPr defaultColWidth="8.73046875" defaultRowHeight="14.25" x14ac:dyDescent="0.45"/>
  <cols>
    <col min="1" max="1" width="6" customWidth="1"/>
    <col min="2" max="2" width="36" customWidth="1"/>
    <col min="3" max="3" width="28" customWidth="1"/>
    <col min="4" max="4" width="44" customWidth="1"/>
    <col min="5" max="5" width="16" customWidth="1"/>
    <col min="6" max="6" width="8" customWidth="1"/>
    <col min="7" max="7" width="44" customWidth="1"/>
    <col min="8" max="8" width="52" customWidth="1"/>
    <col min="9" max="9" width="8" customWidth="1"/>
  </cols>
  <sheetData>
    <row r="1" spans="1:9" ht="27.75" customHeight="1" x14ac:dyDescent="0.45">
      <c r="A1" s="250" t="s">
        <v>204</v>
      </c>
      <c r="B1" s="250"/>
      <c r="C1" s="250"/>
      <c r="D1" s="250"/>
      <c r="E1" s="250"/>
      <c r="F1" s="250"/>
      <c r="G1" s="250"/>
      <c r="H1" s="250"/>
    </row>
    <row r="2" spans="1:9" ht="24" customHeight="1" x14ac:dyDescent="0.45">
      <c r="A2" s="76" t="s">
        <v>205</v>
      </c>
      <c r="B2" s="76" t="s">
        <v>206</v>
      </c>
      <c r="C2" s="76" t="s">
        <v>207</v>
      </c>
      <c r="D2" s="76" t="s">
        <v>208</v>
      </c>
      <c r="E2" s="76" t="s">
        <v>42</v>
      </c>
      <c r="F2" s="76" t="s">
        <v>209</v>
      </c>
      <c r="G2" s="76" t="s">
        <v>210</v>
      </c>
      <c r="H2" s="76" t="s">
        <v>211</v>
      </c>
      <c r="I2" s="76" t="s">
        <v>209</v>
      </c>
    </row>
    <row r="3" spans="1:9" ht="36" customHeight="1" x14ac:dyDescent="0.45">
      <c r="A3" s="86">
        <v>1</v>
      </c>
      <c r="B3" s="87" t="s">
        <v>212</v>
      </c>
      <c r="C3" s="85" t="s">
        <v>213</v>
      </c>
      <c r="D3" s="87" t="s">
        <v>214</v>
      </c>
      <c r="E3" s="87" t="s">
        <v>215</v>
      </c>
      <c r="F3" s="234" t="s">
        <v>216</v>
      </c>
      <c r="G3" s="88" t="s">
        <v>217</v>
      </c>
      <c r="H3" s="85" t="s">
        <v>218</v>
      </c>
      <c r="I3" s="87" t="s">
        <v>216</v>
      </c>
    </row>
    <row r="4" spans="1:9" ht="36" customHeight="1" x14ac:dyDescent="0.45">
      <c r="A4" s="89">
        <v>2</v>
      </c>
      <c r="B4" s="90" t="s">
        <v>219</v>
      </c>
      <c r="C4" s="1" t="s">
        <v>220</v>
      </c>
      <c r="D4" s="90" t="s">
        <v>221</v>
      </c>
      <c r="E4" s="90" t="s">
        <v>222</v>
      </c>
      <c r="F4" s="235" t="s">
        <v>223</v>
      </c>
      <c r="G4" s="50" t="s">
        <v>224</v>
      </c>
      <c r="H4" s="1" t="s">
        <v>225</v>
      </c>
      <c r="I4" s="90" t="s">
        <v>223</v>
      </c>
    </row>
    <row r="5" spans="1:9" ht="36" customHeight="1" x14ac:dyDescent="0.45">
      <c r="A5" s="86">
        <v>3</v>
      </c>
      <c r="B5" s="87" t="s">
        <v>226</v>
      </c>
      <c r="C5" s="85" t="s">
        <v>227</v>
      </c>
      <c r="D5" s="87" t="s">
        <v>228</v>
      </c>
      <c r="E5" s="87" t="s">
        <v>103</v>
      </c>
      <c r="F5" s="234" t="s">
        <v>216</v>
      </c>
      <c r="G5" s="88" t="s">
        <v>229</v>
      </c>
      <c r="H5" s="85" t="s">
        <v>230</v>
      </c>
      <c r="I5" s="87" t="s">
        <v>216</v>
      </c>
    </row>
    <row r="6" spans="1:9" ht="36" customHeight="1" x14ac:dyDescent="0.45">
      <c r="A6" s="89">
        <v>4</v>
      </c>
      <c r="B6" s="90" t="s">
        <v>231</v>
      </c>
      <c r="C6" s="1" t="s">
        <v>232</v>
      </c>
      <c r="D6" s="90" t="s">
        <v>233</v>
      </c>
      <c r="E6" s="90" t="s">
        <v>234</v>
      </c>
      <c r="F6" s="234" t="s">
        <v>216</v>
      </c>
      <c r="G6" s="50" t="s">
        <v>235</v>
      </c>
      <c r="H6" s="1" t="s">
        <v>236</v>
      </c>
      <c r="I6" s="90" t="s">
        <v>216</v>
      </c>
    </row>
    <row r="7" spans="1:9" ht="36" customHeight="1" x14ac:dyDescent="0.45">
      <c r="A7" s="86">
        <v>5</v>
      </c>
      <c r="B7" s="87" t="s">
        <v>237</v>
      </c>
      <c r="C7" s="85" t="s">
        <v>232</v>
      </c>
      <c r="D7" s="87" t="s">
        <v>238</v>
      </c>
      <c r="E7" s="87" t="s">
        <v>234</v>
      </c>
      <c r="F7" s="235" t="s">
        <v>223</v>
      </c>
      <c r="G7" s="88" t="s">
        <v>235</v>
      </c>
      <c r="H7" s="85" t="s">
        <v>239</v>
      </c>
      <c r="I7" s="87" t="s">
        <v>223</v>
      </c>
    </row>
    <row r="8" spans="1:9" ht="36" customHeight="1" x14ac:dyDescent="0.45">
      <c r="A8" s="89">
        <v>6</v>
      </c>
      <c r="B8" s="90" t="s">
        <v>240</v>
      </c>
      <c r="C8" s="1" t="s">
        <v>232</v>
      </c>
      <c r="D8" s="90" t="s">
        <v>241</v>
      </c>
      <c r="E8" s="90" t="s">
        <v>234</v>
      </c>
      <c r="F8" s="234" t="s">
        <v>216</v>
      </c>
      <c r="G8" s="50" t="s">
        <v>235</v>
      </c>
      <c r="H8" s="1"/>
      <c r="I8" s="90" t="s">
        <v>216</v>
      </c>
    </row>
    <row r="9" spans="1:9" ht="36" customHeight="1" x14ac:dyDescent="0.45">
      <c r="A9" s="86">
        <v>7</v>
      </c>
      <c r="B9" s="87" t="s">
        <v>242</v>
      </c>
      <c r="C9" s="85" t="s">
        <v>232</v>
      </c>
      <c r="D9" s="87" t="s">
        <v>243</v>
      </c>
      <c r="E9" s="87" t="s">
        <v>234</v>
      </c>
      <c r="F9" s="234" t="s">
        <v>216</v>
      </c>
      <c r="G9" s="88" t="s">
        <v>235</v>
      </c>
      <c r="H9" s="85" t="s">
        <v>244</v>
      </c>
      <c r="I9" s="87" t="s">
        <v>216</v>
      </c>
    </row>
    <row r="10" spans="1:9" ht="36" customHeight="1" x14ac:dyDescent="0.45">
      <c r="A10" s="89">
        <v>8</v>
      </c>
      <c r="B10" s="90" t="s">
        <v>245</v>
      </c>
      <c r="C10" s="1" t="s">
        <v>232</v>
      </c>
      <c r="D10" s="90" t="s">
        <v>246</v>
      </c>
      <c r="E10" s="90" t="s">
        <v>234</v>
      </c>
      <c r="F10" s="234" t="s">
        <v>216</v>
      </c>
      <c r="G10" s="50" t="s">
        <v>235</v>
      </c>
      <c r="H10" s="1"/>
      <c r="I10" s="90" t="s">
        <v>216</v>
      </c>
    </row>
    <row r="11" spans="1:9" ht="36" customHeight="1" x14ac:dyDescent="0.45">
      <c r="A11" s="86">
        <v>9</v>
      </c>
      <c r="B11" s="87" t="s">
        <v>247</v>
      </c>
      <c r="C11" s="85" t="s">
        <v>248</v>
      </c>
      <c r="D11" s="87" t="s">
        <v>249</v>
      </c>
      <c r="E11" s="87" t="s">
        <v>250</v>
      </c>
      <c r="F11" s="234" t="s">
        <v>216</v>
      </c>
      <c r="G11" s="88" t="s">
        <v>251</v>
      </c>
      <c r="H11" s="85" t="s">
        <v>252</v>
      </c>
      <c r="I11" s="87" t="s">
        <v>216</v>
      </c>
    </row>
    <row r="12" spans="1:9" ht="36" customHeight="1" x14ac:dyDescent="0.45">
      <c r="A12" s="89">
        <v>10</v>
      </c>
      <c r="B12" s="90" t="s">
        <v>253</v>
      </c>
      <c r="C12" s="1" t="s">
        <v>254</v>
      </c>
      <c r="D12" s="90" t="s">
        <v>255</v>
      </c>
      <c r="E12" s="90" t="s">
        <v>256</v>
      </c>
      <c r="F12" s="235" t="s">
        <v>223</v>
      </c>
      <c r="G12" s="50" t="s">
        <v>257</v>
      </c>
      <c r="H12" s="1" t="s">
        <v>258</v>
      </c>
      <c r="I12" s="90" t="s">
        <v>223</v>
      </c>
    </row>
    <row r="13" spans="1:9" ht="36" customHeight="1" x14ac:dyDescent="0.45">
      <c r="A13" s="86">
        <v>11</v>
      </c>
      <c r="B13" s="87" t="s">
        <v>259</v>
      </c>
      <c r="C13" s="85" t="s">
        <v>254</v>
      </c>
      <c r="D13" s="87" t="s">
        <v>260</v>
      </c>
      <c r="E13" s="87" t="s">
        <v>261</v>
      </c>
      <c r="F13" s="235" t="s">
        <v>223</v>
      </c>
      <c r="G13" s="88" t="s">
        <v>257</v>
      </c>
      <c r="H13" s="85" t="s">
        <v>262</v>
      </c>
      <c r="I13" s="87" t="s">
        <v>223</v>
      </c>
    </row>
    <row r="14" spans="1:9" ht="36" customHeight="1" x14ac:dyDescent="0.45">
      <c r="A14" s="89">
        <v>12</v>
      </c>
      <c r="B14" s="90" t="s">
        <v>263</v>
      </c>
      <c r="C14" s="1" t="s">
        <v>264</v>
      </c>
      <c r="D14" s="90" t="s">
        <v>265</v>
      </c>
      <c r="E14" s="90" t="s">
        <v>103</v>
      </c>
      <c r="F14" s="235" t="s">
        <v>223</v>
      </c>
      <c r="G14" s="50" t="s">
        <v>266</v>
      </c>
      <c r="H14" s="1" t="s">
        <v>267</v>
      </c>
      <c r="I14" s="90" t="s">
        <v>223</v>
      </c>
    </row>
    <row r="15" spans="1:9" ht="36" customHeight="1" x14ac:dyDescent="0.45">
      <c r="A15" s="86">
        <v>13</v>
      </c>
      <c r="B15" s="87" t="s">
        <v>268</v>
      </c>
      <c r="C15" s="85" t="s">
        <v>269</v>
      </c>
      <c r="D15" s="87" t="s">
        <v>270</v>
      </c>
      <c r="E15" s="87" t="s">
        <v>271</v>
      </c>
      <c r="F15" s="234" t="s">
        <v>216</v>
      </c>
      <c r="G15" s="88" t="s">
        <v>272</v>
      </c>
      <c r="H15" s="85" t="s">
        <v>273</v>
      </c>
      <c r="I15" s="87" t="s">
        <v>216</v>
      </c>
    </row>
    <row r="16" spans="1:9" ht="36" customHeight="1" x14ac:dyDescent="0.45">
      <c r="A16" s="89">
        <v>14</v>
      </c>
      <c r="B16" s="90" t="s">
        <v>274</v>
      </c>
      <c r="C16" s="1" t="s">
        <v>275</v>
      </c>
      <c r="D16" s="90" t="s">
        <v>276</v>
      </c>
      <c r="E16" s="90" t="s">
        <v>271</v>
      </c>
      <c r="F16" s="235" t="s">
        <v>223</v>
      </c>
      <c r="G16" s="50" t="s">
        <v>277</v>
      </c>
      <c r="H16" s="1"/>
      <c r="I16" s="90" t="s">
        <v>223</v>
      </c>
    </row>
    <row r="17" spans="1:9" ht="36" customHeight="1" x14ac:dyDescent="0.45">
      <c r="A17" s="86">
        <v>15</v>
      </c>
      <c r="B17" s="87" t="s">
        <v>278</v>
      </c>
      <c r="C17" s="85" t="s">
        <v>279</v>
      </c>
      <c r="D17" s="87" t="s">
        <v>280</v>
      </c>
      <c r="E17" s="87" t="s">
        <v>179</v>
      </c>
      <c r="F17" s="234" t="s">
        <v>216</v>
      </c>
      <c r="G17" s="88" t="s">
        <v>281</v>
      </c>
      <c r="H17" s="85"/>
      <c r="I17" s="87" t="s">
        <v>216</v>
      </c>
    </row>
    <row r="18" spans="1:9" ht="36" customHeight="1" x14ac:dyDescent="0.45">
      <c r="A18" s="89">
        <v>16</v>
      </c>
      <c r="B18" s="90" t="s">
        <v>282</v>
      </c>
      <c r="C18" s="1" t="s">
        <v>283</v>
      </c>
      <c r="D18" s="90" t="s">
        <v>284</v>
      </c>
      <c r="E18" s="90" t="s">
        <v>179</v>
      </c>
      <c r="F18" s="234" t="s">
        <v>216</v>
      </c>
      <c r="G18" s="50" t="s">
        <v>285</v>
      </c>
      <c r="H18" s="1" t="s">
        <v>286</v>
      </c>
      <c r="I18" s="90" t="s">
        <v>216</v>
      </c>
    </row>
    <row r="19" spans="1:9" ht="36" customHeight="1" x14ac:dyDescent="0.45">
      <c r="A19" s="86">
        <v>17</v>
      </c>
      <c r="B19" s="87" t="s">
        <v>287</v>
      </c>
      <c r="C19" s="85" t="s">
        <v>288</v>
      </c>
      <c r="D19" s="87" t="s">
        <v>289</v>
      </c>
      <c r="E19" s="87" t="s">
        <v>179</v>
      </c>
      <c r="F19" s="234" t="s">
        <v>216</v>
      </c>
      <c r="G19" s="88" t="s">
        <v>290</v>
      </c>
      <c r="H19" s="85" t="s">
        <v>291</v>
      </c>
      <c r="I19" s="87" t="s">
        <v>216</v>
      </c>
    </row>
    <row r="20" spans="1:9" ht="36" customHeight="1" x14ac:dyDescent="0.45">
      <c r="A20" s="89">
        <v>18</v>
      </c>
      <c r="B20" s="90" t="s">
        <v>292</v>
      </c>
      <c r="C20" s="1" t="s">
        <v>293</v>
      </c>
      <c r="D20" s="90" t="s">
        <v>294</v>
      </c>
      <c r="E20" s="90" t="s">
        <v>87</v>
      </c>
      <c r="F20" s="234" t="s">
        <v>216</v>
      </c>
      <c r="G20" s="50" t="s">
        <v>257</v>
      </c>
      <c r="H20" s="1" t="s">
        <v>295</v>
      </c>
      <c r="I20" s="90" t="s">
        <v>216</v>
      </c>
    </row>
    <row r="21" spans="1:9" ht="36" customHeight="1" x14ac:dyDescent="0.45">
      <c r="A21" s="86">
        <v>19</v>
      </c>
      <c r="B21" s="87" t="s">
        <v>296</v>
      </c>
      <c r="C21" s="85" t="s">
        <v>297</v>
      </c>
      <c r="D21" s="87" t="s">
        <v>298</v>
      </c>
      <c r="E21" s="87" t="s">
        <v>181</v>
      </c>
      <c r="F21" s="234" t="s">
        <v>216</v>
      </c>
      <c r="G21" s="88" t="s">
        <v>299</v>
      </c>
      <c r="H21" s="85" t="s">
        <v>300</v>
      </c>
      <c r="I21" s="87" t="s">
        <v>216</v>
      </c>
    </row>
    <row r="22" spans="1:9" ht="36" customHeight="1" x14ac:dyDescent="0.45">
      <c r="A22" s="89">
        <v>20</v>
      </c>
      <c r="B22" s="90" t="s">
        <v>301</v>
      </c>
      <c r="C22" s="1" t="s">
        <v>297</v>
      </c>
      <c r="D22" s="90" t="s">
        <v>302</v>
      </c>
      <c r="E22" s="90" t="s">
        <v>181</v>
      </c>
      <c r="F22" s="234" t="s">
        <v>216</v>
      </c>
      <c r="G22" s="50" t="s">
        <v>299</v>
      </c>
      <c r="H22" s="1" t="s">
        <v>303</v>
      </c>
      <c r="I22" s="90" t="s">
        <v>216</v>
      </c>
    </row>
    <row r="23" spans="1:9" ht="36" customHeight="1" x14ac:dyDescent="0.45">
      <c r="A23" s="86">
        <v>21</v>
      </c>
      <c r="B23" s="87" t="s">
        <v>304</v>
      </c>
      <c r="C23" s="85" t="s">
        <v>305</v>
      </c>
      <c r="D23" s="87" t="s">
        <v>306</v>
      </c>
      <c r="E23" s="87" t="s">
        <v>179</v>
      </c>
      <c r="F23" s="234" t="s">
        <v>216</v>
      </c>
      <c r="G23" s="88" t="s">
        <v>307</v>
      </c>
      <c r="H23" s="85" t="s">
        <v>308</v>
      </c>
      <c r="I23" s="87" t="s">
        <v>216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zoomScaleNormal="100" workbookViewId="0">
      <selection sqref="A1:H1"/>
    </sheetView>
  </sheetViews>
  <sheetFormatPr defaultColWidth="8.73046875" defaultRowHeight="14.25" x14ac:dyDescent="0.45"/>
  <cols>
    <col min="1" max="1" width="28" customWidth="1"/>
    <col min="2" max="4" width="14" customWidth="1"/>
    <col min="5" max="5" width="10" customWidth="1"/>
    <col min="6" max="6" width="12" customWidth="1"/>
    <col min="7" max="7" width="40" customWidth="1"/>
    <col min="8" max="8" width="38" customWidth="1"/>
  </cols>
  <sheetData>
    <row r="1" spans="1:8" ht="24" customHeight="1" x14ac:dyDescent="0.45">
      <c r="A1" s="250" t="s">
        <v>309</v>
      </c>
      <c r="B1" s="250"/>
      <c r="C1" s="250"/>
      <c r="D1" s="250"/>
      <c r="E1" s="250"/>
      <c r="F1" s="250"/>
      <c r="G1" s="250"/>
      <c r="H1" s="250"/>
    </row>
    <row r="2" spans="1:8" ht="18" customHeight="1" x14ac:dyDescent="0.45">
      <c r="A2" s="91" t="s">
        <v>171</v>
      </c>
      <c r="B2" s="91" t="s">
        <v>310</v>
      </c>
      <c r="C2" s="91" t="s">
        <v>311</v>
      </c>
      <c r="D2" s="91" t="s">
        <v>312</v>
      </c>
      <c r="E2" s="91" t="s">
        <v>313</v>
      </c>
      <c r="F2" s="91" t="s">
        <v>314</v>
      </c>
      <c r="G2" s="91" t="s">
        <v>315</v>
      </c>
      <c r="H2" s="91" t="s">
        <v>316</v>
      </c>
    </row>
    <row r="3" spans="1:8" ht="39.75" customHeight="1" x14ac:dyDescent="0.45">
      <c r="A3" s="92" t="s">
        <v>45</v>
      </c>
      <c r="B3" s="11" t="s">
        <v>317</v>
      </c>
      <c r="C3" s="11">
        <v>0.73</v>
      </c>
      <c r="D3" s="11" t="s">
        <v>318</v>
      </c>
      <c r="E3" s="11">
        <v>1.82</v>
      </c>
      <c r="F3" s="11" t="s">
        <v>319</v>
      </c>
      <c r="G3" s="11" t="s">
        <v>320</v>
      </c>
      <c r="H3" s="11" t="s">
        <v>321</v>
      </c>
    </row>
    <row r="4" spans="1:8" ht="39.75" customHeight="1" x14ac:dyDescent="0.45">
      <c r="A4" s="92" t="s">
        <v>64</v>
      </c>
      <c r="B4" s="11" t="s">
        <v>317</v>
      </c>
      <c r="C4" s="11">
        <v>0.155</v>
      </c>
      <c r="D4" s="11" t="s">
        <v>322</v>
      </c>
      <c r="E4" s="11">
        <v>0.72</v>
      </c>
      <c r="F4" s="11" t="s">
        <v>323</v>
      </c>
      <c r="G4" s="11" t="s">
        <v>324</v>
      </c>
      <c r="H4" s="11" t="s">
        <v>325</v>
      </c>
    </row>
    <row r="5" spans="1:8" ht="39.75" customHeight="1" x14ac:dyDescent="0.45">
      <c r="A5" s="92" t="s">
        <v>326</v>
      </c>
      <c r="B5" s="11" t="s">
        <v>317</v>
      </c>
      <c r="C5" s="11">
        <v>2.1720000000000002</v>
      </c>
      <c r="D5" s="11" t="s">
        <v>327</v>
      </c>
      <c r="E5" s="11">
        <v>2.8</v>
      </c>
      <c r="F5" s="11" t="s">
        <v>328</v>
      </c>
      <c r="G5" s="11" t="s">
        <v>329</v>
      </c>
      <c r="H5" s="11" t="s">
        <v>330</v>
      </c>
    </row>
    <row r="6" spans="1:8" ht="39.75" customHeight="1" x14ac:dyDescent="0.45">
      <c r="A6" s="93" t="s">
        <v>331</v>
      </c>
      <c r="B6" s="58" t="s">
        <v>89</v>
      </c>
      <c r="C6" s="58">
        <v>0.871</v>
      </c>
      <c r="D6" s="58" t="s">
        <v>322</v>
      </c>
      <c r="E6" s="58">
        <v>1.58</v>
      </c>
      <c r="F6" s="58" t="s">
        <v>332</v>
      </c>
      <c r="G6" s="58" t="s">
        <v>333</v>
      </c>
      <c r="H6" s="58" t="s">
        <v>334</v>
      </c>
    </row>
    <row r="7" spans="1:8" ht="39.75" customHeight="1" x14ac:dyDescent="0.45">
      <c r="A7" s="94" t="s">
        <v>335</v>
      </c>
      <c r="B7" s="64" t="s">
        <v>336</v>
      </c>
      <c r="C7" s="64">
        <v>1.889</v>
      </c>
      <c r="D7" s="64" t="s">
        <v>337</v>
      </c>
      <c r="E7" s="64">
        <v>1.8260000000000001</v>
      </c>
      <c r="F7" s="64" t="s">
        <v>338</v>
      </c>
      <c r="G7" s="64" t="s">
        <v>339</v>
      </c>
      <c r="H7" s="64" t="s">
        <v>340</v>
      </c>
    </row>
    <row r="8" spans="1:8" ht="39.75" customHeight="1" x14ac:dyDescent="0.45">
      <c r="A8" s="94" t="s">
        <v>121</v>
      </c>
      <c r="B8" s="64" t="s">
        <v>336</v>
      </c>
      <c r="C8" s="64">
        <v>-0.58299999999999996</v>
      </c>
      <c r="D8" s="64" t="s">
        <v>341</v>
      </c>
      <c r="E8" s="64">
        <v>1.88</v>
      </c>
      <c r="F8" s="64" t="s">
        <v>342</v>
      </c>
      <c r="G8" s="64" t="s">
        <v>343</v>
      </c>
      <c r="H8" s="64" t="s">
        <v>340</v>
      </c>
    </row>
    <row r="9" spans="1:8" ht="39.75" customHeight="1" x14ac:dyDescent="0.45">
      <c r="A9" s="94" t="s">
        <v>133</v>
      </c>
      <c r="B9" s="64" t="s">
        <v>336</v>
      </c>
      <c r="C9" s="64">
        <v>1.1259999999999999</v>
      </c>
      <c r="D9" s="64" t="s">
        <v>344</v>
      </c>
      <c r="E9" s="64">
        <v>0.97</v>
      </c>
      <c r="F9" s="64" t="s">
        <v>345</v>
      </c>
      <c r="G9" s="64" t="s">
        <v>346</v>
      </c>
      <c r="H9" s="64" t="s">
        <v>347</v>
      </c>
    </row>
    <row r="10" spans="1:8" ht="39.75" customHeight="1" x14ac:dyDescent="0.45">
      <c r="A10" s="95" t="s">
        <v>149</v>
      </c>
      <c r="B10" s="71" t="s">
        <v>348</v>
      </c>
      <c r="C10" s="71">
        <v>2.5059999999999998</v>
      </c>
      <c r="D10" s="71" t="s">
        <v>322</v>
      </c>
      <c r="E10" s="71">
        <v>2.06</v>
      </c>
      <c r="F10" s="71" t="s">
        <v>349</v>
      </c>
      <c r="G10" s="71" t="s">
        <v>350</v>
      </c>
      <c r="H10" s="71" t="s">
        <v>351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EF</vt:lpstr>
      <vt:lpstr>SourcesWithCalculations</vt:lpstr>
      <vt:lpstr>EgyptVolumes</vt:lpstr>
      <vt:lpstr>Bibliography</vt:lpstr>
      <vt:lpstr>Quality_Assurance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2026-05-23T16:55:52Z</dcterms:created>
  <dcterms:modified xsi:type="dcterms:W3CDTF">2026-06-02T22:52:29Z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2026-06-02T22:52:28Z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1ad9ea6d-3f28-4c5a-933f-0c0c8668e4c1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