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sstretton_worldbank_org1/Documents/Main Shared/Shared Projects/C CPAT/CPAT UI/Total Effective Carbon Price and CES/"/>
    </mc:Choice>
  </mc:AlternateContent>
  <xr:revisionPtr revIDLastSave="2" documentId="13_ncr:1_{2E2B853A-85C1-41F3-88BD-D70A9A6AE18D}" xr6:coauthVersionLast="47" xr6:coauthVersionMax="47" xr10:uidLastSave="{142AB6FE-E303-4AD7-B392-1D30C9FB34A1}"/>
  <bookViews>
    <workbookView xWindow="-98" yWindow="-98" windowWidth="19396" windowHeight="11475" tabRatio="500" firstSheet="1" activeTab="2" xr2:uid="{00000000-000D-0000-FFFF-FFFF00000000}"/>
  </bookViews>
  <sheets>
    <sheet name="Dashboard" sheetId="1" r:id="rId1"/>
    <sheet name="Tech Parameters" sheetId="2" r:id="rId2"/>
    <sheet name="TECP Calcs" sheetId="3" r:id="rId3"/>
    <sheet name="Baseline" sheetId="4" r:id="rId4"/>
    <sheet name="Polic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0" i="1" l="1"/>
  <c r="D60" i="1"/>
  <c r="E60" i="1"/>
  <c r="F60" i="1"/>
  <c r="G60" i="1"/>
  <c r="H60" i="1"/>
  <c r="I60" i="1"/>
  <c r="J60" i="1"/>
  <c r="K60" i="1"/>
  <c r="L60" i="1"/>
  <c r="M60" i="1"/>
  <c r="N60" i="1"/>
  <c r="C61" i="1"/>
  <c r="G65" i="1"/>
  <c r="H65" i="1"/>
  <c r="I65" i="1"/>
  <c r="J65" i="1"/>
  <c r="C105" i="5"/>
  <c r="C104" i="5"/>
  <c r="C101" i="5"/>
  <c r="C109" i="5" s="1"/>
  <c r="C97" i="5"/>
  <c r="C96" i="5"/>
  <c r="C92" i="5"/>
  <c r="C91" i="5"/>
  <c r="C100" i="5" s="1"/>
  <c r="C90" i="5"/>
  <c r="C99" i="5" s="1"/>
  <c r="C89" i="5"/>
  <c r="C98" i="5" s="1"/>
  <c r="C88" i="5"/>
  <c r="C87" i="5"/>
  <c r="N72" i="5"/>
  <c r="N81" i="5" s="1"/>
  <c r="M72" i="5"/>
  <c r="M81" i="5" s="1"/>
  <c r="L72" i="5"/>
  <c r="K72" i="5"/>
  <c r="J72" i="5"/>
  <c r="I72" i="5"/>
  <c r="H72" i="5"/>
  <c r="G72" i="5"/>
  <c r="G81" i="5" s="1"/>
  <c r="F72" i="5"/>
  <c r="F81" i="5" s="1"/>
  <c r="E72" i="5"/>
  <c r="E81" i="5" s="1"/>
  <c r="D72" i="5"/>
  <c r="D81" i="5" s="1"/>
  <c r="C72" i="5"/>
  <c r="C81" i="5" s="1"/>
  <c r="N70" i="5"/>
  <c r="N79" i="5" s="1"/>
  <c r="M70" i="5"/>
  <c r="M79" i="5" s="1"/>
  <c r="L70" i="5"/>
  <c r="L79" i="5" s="1"/>
  <c r="K70" i="5"/>
  <c r="K79" i="5" s="1"/>
  <c r="J70" i="5"/>
  <c r="J79" i="5" s="1"/>
  <c r="I70" i="5"/>
  <c r="I79" i="5" s="1"/>
  <c r="H70" i="5"/>
  <c r="G70" i="5"/>
  <c r="F70" i="5"/>
  <c r="E70" i="5"/>
  <c r="D70" i="5"/>
  <c r="C70" i="5"/>
  <c r="C79" i="5" s="1"/>
  <c r="C51" i="5"/>
  <c r="C49" i="5"/>
  <c r="C45" i="5"/>
  <c r="C53" i="5" s="1"/>
  <c r="C43" i="5"/>
  <c r="C42" i="5"/>
  <c r="C37" i="5"/>
  <c r="C46" i="5" s="1"/>
  <c r="C36" i="5"/>
  <c r="C35" i="5"/>
  <c r="C44" i="5" s="1"/>
  <c r="C34" i="5"/>
  <c r="C33" i="5"/>
  <c r="C32" i="5"/>
  <c r="C41" i="5" s="1"/>
  <c r="C56" i="5" s="1"/>
  <c r="H28" i="5"/>
  <c r="G28" i="5"/>
  <c r="E28" i="5"/>
  <c r="N18" i="5"/>
  <c r="N27" i="5" s="1"/>
  <c r="M18" i="5"/>
  <c r="M27" i="5" s="1"/>
  <c r="L18" i="5"/>
  <c r="K18" i="5"/>
  <c r="J18" i="5"/>
  <c r="I18" i="5"/>
  <c r="H18" i="5"/>
  <c r="H27" i="5" s="1"/>
  <c r="G18" i="5"/>
  <c r="F18" i="5"/>
  <c r="F27" i="5" s="1"/>
  <c r="E18" i="5"/>
  <c r="D18" i="5"/>
  <c r="D27" i="5" s="1"/>
  <c r="C18" i="5"/>
  <c r="C27" i="5" s="1"/>
  <c r="N13" i="5"/>
  <c r="M13" i="5"/>
  <c r="M22" i="5" s="1"/>
  <c r="L13" i="5"/>
  <c r="L22" i="5" s="1"/>
  <c r="K13" i="5"/>
  <c r="J13" i="5"/>
  <c r="J22" i="5" s="1"/>
  <c r="I13" i="5"/>
  <c r="I22" i="5" s="1"/>
  <c r="H13" i="5"/>
  <c r="H22" i="5" s="1"/>
  <c r="G13" i="5"/>
  <c r="G22" i="5" s="1"/>
  <c r="F13" i="5"/>
  <c r="F22" i="5" s="1"/>
  <c r="E13" i="5"/>
  <c r="E22" i="5" s="1"/>
  <c r="D13" i="5"/>
  <c r="D22" i="5" s="1"/>
  <c r="C13" i="5"/>
  <c r="C22" i="5" s="1"/>
  <c r="C108" i="4"/>
  <c r="C107" i="4"/>
  <c r="C105" i="4"/>
  <c r="C101" i="4"/>
  <c r="C92" i="4"/>
  <c r="C91" i="4"/>
  <c r="C100" i="4" s="1"/>
  <c r="C90" i="4"/>
  <c r="C99" i="4" s="1"/>
  <c r="C89" i="4"/>
  <c r="C98" i="4" s="1"/>
  <c r="D89" i="4" s="1"/>
  <c r="C88" i="4"/>
  <c r="C97" i="4" s="1"/>
  <c r="C87" i="4"/>
  <c r="C96" i="4" s="1"/>
  <c r="H83" i="4"/>
  <c r="G83" i="4"/>
  <c r="D83" i="4"/>
  <c r="N82" i="4"/>
  <c r="H82" i="4"/>
  <c r="N81" i="4"/>
  <c r="M81" i="4"/>
  <c r="L81" i="4"/>
  <c r="K81" i="4"/>
  <c r="C81" i="4"/>
  <c r="N80" i="4"/>
  <c r="K80" i="4"/>
  <c r="N79" i="4"/>
  <c r="M79" i="4"/>
  <c r="L79" i="4"/>
  <c r="H79" i="4"/>
  <c r="G79" i="4"/>
  <c r="K73" i="4"/>
  <c r="J73" i="4"/>
  <c r="I73" i="4"/>
  <c r="H73" i="4"/>
  <c r="G73" i="4"/>
  <c r="F73" i="4"/>
  <c r="D73" i="4"/>
  <c r="N72" i="4"/>
  <c r="M72" i="4"/>
  <c r="L72" i="4"/>
  <c r="K72" i="4"/>
  <c r="J72" i="4"/>
  <c r="J81" i="4" s="1"/>
  <c r="I72" i="4"/>
  <c r="H72" i="4"/>
  <c r="G72" i="4"/>
  <c r="F72" i="4"/>
  <c r="E72" i="4"/>
  <c r="D72" i="4"/>
  <c r="D81" i="4" s="1"/>
  <c r="C72" i="4"/>
  <c r="N71" i="4"/>
  <c r="L71" i="4"/>
  <c r="K71" i="4"/>
  <c r="F71" i="4"/>
  <c r="E71" i="4"/>
  <c r="D71" i="4"/>
  <c r="C71" i="4"/>
  <c r="C80" i="4" s="1"/>
  <c r="N70" i="4"/>
  <c r="M70" i="4"/>
  <c r="L70" i="4"/>
  <c r="K70" i="4"/>
  <c r="J70" i="4"/>
  <c r="I70" i="4"/>
  <c r="H70" i="4"/>
  <c r="G70" i="4"/>
  <c r="F70" i="4"/>
  <c r="F79" i="4" s="1"/>
  <c r="E70" i="4"/>
  <c r="E79" i="4" s="1"/>
  <c r="D70" i="4"/>
  <c r="D79" i="4" s="1"/>
  <c r="C70" i="4"/>
  <c r="C79" i="4" s="1"/>
  <c r="N69" i="4"/>
  <c r="M69" i="4"/>
  <c r="L69" i="4"/>
  <c r="J69" i="4"/>
  <c r="I69" i="4"/>
  <c r="H69" i="4"/>
  <c r="H78" i="4" s="1"/>
  <c r="G69" i="4"/>
  <c r="G78" i="4" s="1"/>
  <c r="F68" i="4"/>
  <c r="F77" i="4" s="1"/>
  <c r="E68" i="4"/>
  <c r="E77" i="4" s="1"/>
  <c r="N65" i="4"/>
  <c r="N73" i="4" s="1"/>
  <c r="M65" i="4"/>
  <c r="L65" i="4"/>
  <c r="L73" i="4" s="1"/>
  <c r="K65" i="4"/>
  <c r="J65" i="4"/>
  <c r="I65" i="4"/>
  <c r="H65" i="4"/>
  <c r="G65" i="4"/>
  <c r="F65" i="4"/>
  <c r="E65" i="4"/>
  <c r="D65" i="4"/>
  <c r="C65" i="4"/>
  <c r="N64" i="4"/>
  <c r="M64" i="4"/>
  <c r="L64" i="4"/>
  <c r="K64" i="4"/>
  <c r="J64" i="4"/>
  <c r="I64" i="4"/>
  <c r="H64" i="4"/>
  <c r="G64" i="4"/>
  <c r="F64" i="4"/>
  <c r="E64" i="4"/>
  <c r="D64" i="4"/>
  <c r="C64" i="4"/>
  <c r="N63" i="4"/>
  <c r="M63" i="4"/>
  <c r="L63" i="4"/>
  <c r="K63" i="4"/>
  <c r="J63" i="4"/>
  <c r="I63" i="4"/>
  <c r="H63" i="4"/>
  <c r="G63" i="4"/>
  <c r="G71" i="4" s="1"/>
  <c r="F63" i="4"/>
  <c r="E63" i="4"/>
  <c r="D63" i="4"/>
  <c r="C63" i="4"/>
  <c r="N62" i="4"/>
  <c r="M62" i="4"/>
  <c r="L62" i="4"/>
  <c r="K62" i="4"/>
  <c r="J62" i="4"/>
  <c r="I62" i="4"/>
  <c r="H62" i="4"/>
  <c r="G62" i="4"/>
  <c r="F62" i="4"/>
  <c r="E62" i="4"/>
  <c r="D62" i="4"/>
  <c r="C62" i="4"/>
  <c r="N61" i="4"/>
  <c r="M61" i="4"/>
  <c r="L61" i="4"/>
  <c r="K61" i="4"/>
  <c r="J61" i="4"/>
  <c r="I61" i="4"/>
  <c r="H61" i="4"/>
  <c r="G61" i="4"/>
  <c r="F61" i="4"/>
  <c r="F69" i="4" s="1"/>
  <c r="E61" i="4"/>
  <c r="D61" i="4"/>
  <c r="C61" i="4"/>
  <c r="N60" i="4"/>
  <c r="M60" i="4"/>
  <c r="L60" i="4"/>
  <c r="K60" i="4"/>
  <c r="J60" i="4"/>
  <c r="I60" i="4"/>
  <c r="H60" i="4"/>
  <c r="G60" i="4"/>
  <c r="G68" i="4" s="1"/>
  <c r="F60" i="4"/>
  <c r="E60" i="4"/>
  <c r="D60" i="4"/>
  <c r="D68" i="4" s="1"/>
  <c r="D77" i="4" s="1"/>
  <c r="C60" i="4"/>
  <c r="C54" i="4"/>
  <c r="C51" i="4"/>
  <c r="C50" i="4"/>
  <c r="C46" i="4"/>
  <c r="C45" i="4"/>
  <c r="C43" i="4"/>
  <c r="C37" i="4"/>
  <c r="C36" i="4"/>
  <c r="C35" i="4"/>
  <c r="C44" i="4" s="1"/>
  <c r="C34" i="4"/>
  <c r="C33" i="4"/>
  <c r="C42" i="4" s="1"/>
  <c r="C32" i="4"/>
  <c r="C41" i="4" s="1"/>
  <c r="C28" i="4"/>
  <c r="N27" i="4"/>
  <c r="L27" i="4"/>
  <c r="K27" i="4"/>
  <c r="G27" i="4"/>
  <c r="F27" i="4"/>
  <c r="E27" i="4"/>
  <c r="L26" i="4"/>
  <c r="J26" i="4"/>
  <c r="H25" i="4"/>
  <c r="G25" i="4"/>
  <c r="M24" i="4"/>
  <c r="H24" i="4"/>
  <c r="G24" i="4"/>
  <c r="F23" i="4"/>
  <c r="E23" i="4"/>
  <c r="D23" i="4"/>
  <c r="C23" i="4"/>
  <c r="G22" i="4"/>
  <c r="F22" i="4"/>
  <c r="N18" i="4"/>
  <c r="M18" i="4"/>
  <c r="M27" i="4" s="1"/>
  <c r="L18" i="4"/>
  <c r="K18" i="4"/>
  <c r="J18" i="4"/>
  <c r="J27" i="4" s="1"/>
  <c r="I18" i="4"/>
  <c r="I27" i="4" s="1"/>
  <c r="H18" i="4"/>
  <c r="H27" i="4" s="1"/>
  <c r="G18" i="4"/>
  <c r="F18" i="4"/>
  <c r="E18" i="4"/>
  <c r="D18" i="4"/>
  <c r="C18" i="4"/>
  <c r="C27" i="4" s="1"/>
  <c r="L17" i="4"/>
  <c r="K17" i="4"/>
  <c r="G17" i="4"/>
  <c r="G26" i="4" s="1"/>
  <c r="F17" i="4"/>
  <c r="E17" i="4"/>
  <c r="E26" i="4" s="1"/>
  <c r="J16" i="4"/>
  <c r="I16" i="4"/>
  <c r="E16" i="4"/>
  <c r="E25" i="4" s="1"/>
  <c r="C16" i="4"/>
  <c r="C25" i="4" s="1"/>
  <c r="N15" i="4"/>
  <c r="M15" i="4"/>
  <c r="H15" i="4"/>
  <c r="G15" i="4"/>
  <c r="C15" i="4"/>
  <c r="C24" i="4" s="1"/>
  <c r="N14" i="4"/>
  <c r="M14" i="4"/>
  <c r="L14" i="4"/>
  <c r="L23" i="4" s="1"/>
  <c r="G14" i="4"/>
  <c r="G23" i="4" s="1"/>
  <c r="F14" i="4"/>
  <c r="E14" i="4"/>
  <c r="N13" i="4"/>
  <c r="N22" i="4" s="1"/>
  <c r="M13" i="4"/>
  <c r="M22" i="4" s="1"/>
  <c r="L13" i="4"/>
  <c r="L22" i="4" s="1"/>
  <c r="K13" i="4"/>
  <c r="J13" i="4"/>
  <c r="I13" i="4"/>
  <c r="H13" i="4"/>
  <c r="G13" i="4"/>
  <c r="F13" i="4"/>
  <c r="E13" i="4"/>
  <c r="D13" i="4"/>
  <c r="D22" i="4" s="1"/>
  <c r="C13" i="4"/>
  <c r="C22" i="4" s="1"/>
  <c r="N10" i="4"/>
  <c r="M10" i="4"/>
  <c r="L10" i="4"/>
  <c r="K10" i="4"/>
  <c r="J10" i="4"/>
  <c r="I10" i="4"/>
  <c r="H10" i="4"/>
  <c r="G10" i="4"/>
  <c r="F10" i="4"/>
  <c r="E10" i="4"/>
  <c r="D10" i="4"/>
  <c r="C10" i="4"/>
  <c r="N9" i="4"/>
  <c r="M9" i="4"/>
  <c r="L9" i="4"/>
  <c r="K9" i="4"/>
  <c r="J9" i="4"/>
  <c r="J17" i="4" s="1"/>
  <c r="I9" i="4"/>
  <c r="H9" i="4"/>
  <c r="H17" i="4" s="1"/>
  <c r="H26" i="4" s="1"/>
  <c r="G9" i="4"/>
  <c r="F9" i="4"/>
  <c r="E9" i="4"/>
  <c r="D9" i="4"/>
  <c r="C9" i="4"/>
  <c r="N8" i="4"/>
  <c r="M8" i="4"/>
  <c r="L8" i="4"/>
  <c r="K8" i="4"/>
  <c r="K16" i="4" s="1"/>
  <c r="J8" i="4"/>
  <c r="I8" i="4"/>
  <c r="H8" i="4"/>
  <c r="H16" i="4" s="1"/>
  <c r="G8" i="4"/>
  <c r="G16" i="4" s="1"/>
  <c r="F8" i="4"/>
  <c r="F16" i="4" s="1"/>
  <c r="F25" i="4" s="1"/>
  <c r="E8" i="4"/>
  <c r="D8" i="4"/>
  <c r="C8" i="4"/>
  <c r="N7" i="4"/>
  <c r="M7" i="4"/>
  <c r="L7" i="4"/>
  <c r="K7" i="4"/>
  <c r="J7" i="4"/>
  <c r="I7" i="4"/>
  <c r="H7" i="4"/>
  <c r="G7" i="4"/>
  <c r="F7" i="4"/>
  <c r="F15" i="4" s="1"/>
  <c r="F24" i="4" s="1"/>
  <c r="E7" i="4"/>
  <c r="D7" i="4"/>
  <c r="D15" i="4" s="1"/>
  <c r="D24" i="4" s="1"/>
  <c r="C7" i="4"/>
  <c r="N6" i="4"/>
  <c r="M6" i="4"/>
  <c r="L6" i="4"/>
  <c r="K6" i="4"/>
  <c r="J6" i="4"/>
  <c r="J14" i="4" s="1"/>
  <c r="I6" i="4"/>
  <c r="H6" i="4"/>
  <c r="G6" i="4"/>
  <c r="F6" i="4"/>
  <c r="E6" i="4"/>
  <c r="D6" i="4"/>
  <c r="D14" i="4" s="1"/>
  <c r="C6" i="4"/>
  <c r="C14" i="4" s="1"/>
  <c r="N5" i="4"/>
  <c r="M5" i="4"/>
  <c r="L5" i="4"/>
  <c r="K5" i="4"/>
  <c r="J5" i="4"/>
  <c r="I5" i="4"/>
  <c r="H5" i="4"/>
  <c r="G5" i="4"/>
  <c r="F5" i="4"/>
  <c r="E5" i="4"/>
  <c r="D5" i="4"/>
  <c r="C5" i="4"/>
  <c r="B38" i="3"/>
  <c r="I21" i="3"/>
  <c r="D21" i="3"/>
  <c r="C21" i="3"/>
  <c r="H21" i="3" s="1"/>
  <c r="B21" i="3"/>
  <c r="A21" i="3"/>
  <c r="P20" i="3"/>
  <c r="I20" i="3"/>
  <c r="D20" i="3"/>
  <c r="C20" i="3"/>
  <c r="H20" i="3" s="1"/>
  <c r="B20" i="3"/>
  <c r="A20" i="3"/>
  <c r="P19" i="3"/>
  <c r="I19" i="3"/>
  <c r="F19" i="3"/>
  <c r="B19" i="3"/>
  <c r="A19" i="3"/>
  <c r="P18" i="3"/>
  <c r="I18" i="3"/>
  <c r="H18" i="3"/>
  <c r="C18" i="3"/>
  <c r="B18" i="3"/>
  <c r="A18" i="3"/>
  <c r="I17" i="3"/>
  <c r="H17" i="3"/>
  <c r="F17" i="3"/>
  <c r="B17" i="3"/>
  <c r="A17" i="3"/>
  <c r="I16" i="3"/>
  <c r="B16" i="3"/>
  <c r="A16" i="3"/>
  <c r="P11" i="3"/>
  <c r="I11" i="3"/>
  <c r="D11" i="3"/>
  <c r="C11" i="3"/>
  <c r="H11" i="3" s="1"/>
  <c r="B11" i="3"/>
  <c r="A11" i="3"/>
  <c r="P10" i="3"/>
  <c r="I10" i="3"/>
  <c r="F10" i="3"/>
  <c r="B10" i="3"/>
  <c r="A10" i="3"/>
  <c r="I9" i="3"/>
  <c r="C9" i="3"/>
  <c r="H9" i="3" s="1"/>
  <c r="B9" i="3"/>
  <c r="A9" i="3"/>
  <c r="I8" i="3"/>
  <c r="H8" i="3"/>
  <c r="B8" i="3"/>
  <c r="A8" i="3"/>
  <c r="I7" i="3"/>
  <c r="D7" i="3"/>
  <c r="B7" i="3"/>
  <c r="A7" i="3"/>
  <c r="P6" i="3"/>
  <c r="I6" i="3"/>
  <c r="F6" i="3"/>
  <c r="J6" i="3" s="1"/>
  <c r="D6" i="3"/>
  <c r="B6" i="3"/>
  <c r="A6" i="3"/>
  <c r="B32" i="2"/>
  <c r="D30" i="2"/>
  <c r="J29" i="2"/>
  <c r="H83" i="5" s="1"/>
  <c r="I29" i="2"/>
  <c r="H29" i="2"/>
  <c r="G29" i="2"/>
  <c r="F29" i="2"/>
  <c r="F21" i="3" s="1"/>
  <c r="J28" i="2"/>
  <c r="G83" i="5" s="1"/>
  <c r="I28" i="2"/>
  <c r="H28" i="2"/>
  <c r="G28" i="2"/>
  <c r="F28" i="2"/>
  <c r="F20" i="3" s="1"/>
  <c r="J20" i="3" s="1"/>
  <c r="N20" i="3" s="1"/>
  <c r="J27" i="2"/>
  <c r="F83" i="5" s="1"/>
  <c r="I27" i="2"/>
  <c r="C19" i="3" s="1"/>
  <c r="H19" i="3" s="1"/>
  <c r="H27" i="2"/>
  <c r="G27" i="2"/>
  <c r="F27" i="2"/>
  <c r="J26" i="2"/>
  <c r="E83" i="5" s="1"/>
  <c r="I26" i="2"/>
  <c r="H26" i="2"/>
  <c r="G26" i="2"/>
  <c r="D18" i="3" s="1"/>
  <c r="F26" i="2"/>
  <c r="F18" i="3" s="1"/>
  <c r="J18" i="3" s="1"/>
  <c r="J25" i="2"/>
  <c r="D83" i="5" s="1"/>
  <c r="I25" i="2"/>
  <c r="C17" i="3" s="1"/>
  <c r="H25" i="2"/>
  <c r="G25" i="2"/>
  <c r="D17" i="3" s="1"/>
  <c r="F25" i="2"/>
  <c r="J24" i="2"/>
  <c r="I24" i="2"/>
  <c r="C16" i="3" s="1"/>
  <c r="H24" i="2"/>
  <c r="G24" i="2"/>
  <c r="D16" i="3" s="1"/>
  <c r="F24" i="2"/>
  <c r="F16" i="3" s="1"/>
  <c r="B19" i="2"/>
  <c r="D17" i="2"/>
  <c r="J16" i="2"/>
  <c r="H28" i="4" s="1"/>
  <c r="I16" i="2"/>
  <c r="H16" i="2"/>
  <c r="G16" i="2"/>
  <c r="F16" i="2"/>
  <c r="F11" i="3" s="1"/>
  <c r="J11" i="3" s="1"/>
  <c r="N11" i="3" s="1"/>
  <c r="J15" i="2"/>
  <c r="G28" i="4" s="1"/>
  <c r="I15" i="2"/>
  <c r="C10" i="3" s="1"/>
  <c r="H10" i="3" s="1"/>
  <c r="H15" i="2"/>
  <c r="G15" i="2"/>
  <c r="D10" i="3" s="1"/>
  <c r="F15" i="2"/>
  <c r="J14" i="2"/>
  <c r="F28" i="5" s="1"/>
  <c r="I14" i="2"/>
  <c r="H14" i="2"/>
  <c r="G14" i="2"/>
  <c r="D9" i="3" s="1"/>
  <c r="F14" i="2"/>
  <c r="F9" i="3" s="1"/>
  <c r="J13" i="2"/>
  <c r="E28" i="4" s="1"/>
  <c r="I13" i="2"/>
  <c r="C8" i="3" s="1"/>
  <c r="H13" i="2"/>
  <c r="G13" i="2"/>
  <c r="D8" i="3" s="1"/>
  <c r="F13" i="2"/>
  <c r="F8" i="3" s="1"/>
  <c r="J12" i="2"/>
  <c r="D28" i="5" s="1"/>
  <c r="I12" i="2"/>
  <c r="C7" i="3" s="1"/>
  <c r="H12" i="2"/>
  <c r="G12" i="2"/>
  <c r="F12" i="2"/>
  <c r="F7" i="3" s="1"/>
  <c r="J11" i="2"/>
  <c r="C28" i="5" s="1"/>
  <c r="I11" i="2"/>
  <c r="H11" i="2"/>
  <c r="G11" i="2"/>
  <c r="F11" i="2"/>
  <c r="G6" i="3" s="1"/>
  <c r="G9" i="3" s="1"/>
  <c r="M37" i="1"/>
  <c r="L37" i="1"/>
  <c r="K37" i="1"/>
  <c r="J37" i="1"/>
  <c r="I37" i="1"/>
  <c r="H37" i="1"/>
  <c r="G37" i="1"/>
  <c r="F37" i="1"/>
  <c r="E37" i="1"/>
  <c r="D37" i="1"/>
  <c r="C37" i="1"/>
  <c r="B37" i="1"/>
  <c r="M36" i="1"/>
  <c r="L36" i="1"/>
  <c r="K36" i="1"/>
  <c r="J36" i="1"/>
  <c r="I36" i="1"/>
  <c r="H36" i="1"/>
  <c r="G36" i="1"/>
  <c r="F36" i="1"/>
  <c r="E36" i="1"/>
  <c r="D36" i="1"/>
  <c r="C36" i="1"/>
  <c r="B36" i="1"/>
  <c r="M35" i="1"/>
  <c r="L35" i="1"/>
  <c r="K35" i="1"/>
  <c r="J35" i="1"/>
  <c r="I35" i="1"/>
  <c r="H35" i="1"/>
  <c r="G35" i="1"/>
  <c r="F35" i="1"/>
  <c r="E35" i="1"/>
  <c r="D35" i="1"/>
  <c r="C35" i="1"/>
  <c r="B35" i="1"/>
  <c r="M34" i="1"/>
  <c r="L34" i="1"/>
  <c r="K34" i="1"/>
  <c r="J34" i="1"/>
  <c r="I34" i="1"/>
  <c r="H34" i="1"/>
  <c r="G34" i="1"/>
  <c r="F34" i="1"/>
  <c r="E34" i="1"/>
  <c r="D34" i="1"/>
  <c r="C34" i="1"/>
  <c r="B34" i="1"/>
  <c r="M33" i="1"/>
  <c r="L33" i="1"/>
  <c r="K33" i="1"/>
  <c r="J33" i="1"/>
  <c r="I33" i="1"/>
  <c r="H33" i="1"/>
  <c r="G33" i="1"/>
  <c r="F33" i="1"/>
  <c r="E33" i="1"/>
  <c r="D33" i="1"/>
  <c r="C33" i="1"/>
  <c r="B33" i="1"/>
  <c r="M32" i="1"/>
  <c r="L32" i="1"/>
  <c r="K32" i="1"/>
  <c r="J32" i="1"/>
  <c r="I32" i="1"/>
  <c r="H32" i="1"/>
  <c r="G32" i="1"/>
  <c r="F32" i="1"/>
  <c r="E32" i="1"/>
  <c r="D32" i="1"/>
  <c r="C32" i="1"/>
  <c r="B32" i="1"/>
  <c r="M30" i="1"/>
  <c r="L30" i="1"/>
  <c r="K30" i="1"/>
  <c r="J30" i="1"/>
  <c r="I30" i="1"/>
  <c r="H30" i="1"/>
  <c r="G30" i="1"/>
  <c r="F30" i="1"/>
  <c r="E30" i="1"/>
  <c r="D30" i="1"/>
  <c r="C30" i="1"/>
  <c r="B30" i="1"/>
  <c r="M29" i="1"/>
  <c r="L29" i="1"/>
  <c r="K29" i="1"/>
  <c r="J29" i="1"/>
  <c r="I29" i="1"/>
  <c r="H29" i="1"/>
  <c r="G29" i="1"/>
  <c r="F29" i="1"/>
  <c r="E29" i="1"/>
  <c r="D29" i="1"/>
  <c r="C29" i="1"/>
  <c r="B29" i="1"/>
  <c r="M28" i="1"/>
  <c r="L28" i="1"/>
  <c r="K28" i="1"/>
  <c r="J28" i="1"/>
  <c r="I28" i="1"/>
  <c r="H28" i="1"/>
  <c r="G28" i="1"/>
  <c r="F28" i="1"/>
  <c r="E28" i="1"/>
  <c r="D28" i="1"/>
  <c r="C28" i="1"/>
  <c r="B28" i="1"/>
  <c r="M27" i="1"/>
  <c r="L27" i="1"/>
  <c r="K27" i="1"/>
  <c r="J27" i="1"/>
  <c r="I27" i="1"/>
  <c r="H27" i="1"/>
  <c r="G27" i="1"/>
  <c r="F27" i="1"/>
  <c r="E27" i="1"/>
  <c r="D27" i="1"/>
  <c r="C27" i="1"/>
  <c r="B27" i="1"/>
  <c r="M26" i="1"/>
  <c r="L26" i="1"/>
  <c r="K26" i="1"/>
  <c r="J26" i="1"/>
  <c r="I26" i="1"/>
  <c r="H26" i="1"/>
  <c r="G26" i="1"/>
  <c r="F26" i="1"/>
  <c r="E26" i="1"/>
  <c r="D26" i="1"/>
  <c r="C26" i="1"/>
  <c r="B26" i="1"/>
  <c r="M25" i="1"/>
  <c r="L25" i="1"/>
  <c r="K25" i="1"/>
  <c r="J25" i="1"/>
  <c r="I25" i="1"/>
  <c r="H25" i="1"/>
  <c r="G25" i="1"/>
  <c r="F25" i="1"/>
  <c r="E25" i="1"/>
  <c r="D25" i="1"/>
  <c r="C25" i="1"/>
  <c r="B25" i="1"/>
  <c r="M23" i="1"/>
  <c r="L23" i="1"/>
  <c r="K23" i="1"/>
  <c r="J23" i="1"/>
  <c r="I23" i="1"/>
  <c r="H23" i="1"/>
  <c r="G23" i="1"/>
  <c r="F23" i="1"/>
  <c r="E23" i="1"/>
  <c r="D23" i="1"/>
  <c r="C23" i="1"/>
  <c r="B23" i="1"/>
  <c r="M22" i="1"/>
  <c r="L22" i="1"/>
  <c r="K22" i="1"/>
  <c r="J22" i="1"/>
  <c r="I22" i="1"/>
  <c r="H22" i="1"/>
  <c r="G22" i="1"/>
  <c r="F22" i="1"/>
  <c r="E22" i="1"/>
  <c r="D22" i="1"/>
  <c r="C22" i="1"/>
  <c r="D7" i="5" s="1"/>
  <c r="D15" i="5" s="1"/>
  <c r="B22" i="1"/>
  <c r="M21" i="1"/>
  <c r="N65" i="1" s="1"/>
  <c r="L21" i="1"/>
  <c r="M65" i="1" s="1"/>
  <c r="K21" i="1"/>
  <c r="L65" i="1" s="1"/>
  <c r="J21" i="1"/>
  <c r="K65" i="1" s="1"/>
  <c r="I21" i="1"/>
  <c r="H21" i="1"/>
  <c r="G21" i="1"/>
  <c r="F21" i="1"/>
  <c r="E21" i="1"/>
  <c r="F65" i="1" s="1"/>
  <c r="D21" i="1"/>
  <c r="E65" i="1" s="1"/>
  <c r="C21" i="1"/>
  <c r="D65" i="1" s="1"/>
  <c r="B21" i="1"/>
  <c r="C65" i="1" s="1"/>
  <c r="C62" i="1" l="1"/>
  <c r="C63" i="1" s="1"/>
  <c r="E8" i="5"/>
  <c r="E16" i="5" s="1"/>
  <c r="E25" i="5" s="1"/>
  <c r="E9" i="5"/>
  <c r="E17" i="5" s="1"/>
  <c r="E26" i="5" s="1"/>
  <c r="E62" i="5"/>
  <c r="D91" i="5"/>
  <c r="D100" i="5" s="1"/>
  <c r="M5" i="5"/>
  <c r="G9" i="5"/>
  <c r="G17" i="5" s="1"/>
  <c r="G26" i="5" s="1"/>
  <c r="N24" i="4"/>
  <c r="D24" i="5"/>
  <c r="C52" i="4"/>
  <c r="G77" i="4"/>
  <c r="K25" i="4"/>
  <c r="I60" i="5"/>
  <c r="I68" i="5" s="1"/>
  <c r="I68" i="4"/>
  <c r="J23" i="4"/>
  <c r="H16" i="3"/>
  <c r="G7" i="3"/>
  <c r="G11" i="3"/>
  <c r="G10" i="3"/>
  <c r="P17" i="3"/>
  <c r="P21" i="3"/>
  <c r="L63" i="5"/>
  <c r="L71" i="5" s="1"/>
  <c r="P16" i="3"/>
  <c r="L65" i="5"/>
  <c r="L73" i="5" s="1"/>
  <c r="J62" i="5"/>
  <c r="I62" i="5"/>
  <c r="G61" i="5"/>
  <c r="G69" i="5" s="1"/>
  <c r="H61" i="5"/>
  <c r="H69" i="5" s="1"/>
  <c r="D19" i="3"/>
  <c r="B31" i="2"/>
  <c r="G8" i="3"/>
  <c r="H7" i="3"/>
  <c r="C55" i="5"/>
  <c r="K82" i="4"/>
  <c r="F8" i="5"/>
  <c r="F16" i="5" s="1"/>
  <c r="G6" i="5"/>
  <c r="G14" i="5" s="1"/>
  <c r="I82" i="4"/>
  <c r="I25" i="4"/>
  <c r="K81" i="5"/>
  <c r="I6" i="5"/>
  <c r="I14" i="5" s="1"/>
  <c r="D10" i="5"/>
  <c r="F61" i="5"/>
  <c r="F69" i="5" s="1"/>
  <c r="F6" i="5"/>
  <c r="F14" i="5" s="1"/>
  <c r="F10" i="5"/>
  <c r="D61" i="5"/>
  <c r="D69" i="5" s="1"/>
  <c r="D69" i="4"/>
  <c r="H63" i="5"/>
  <c r="H71" i="5" s="1"/>
  <c r="H71" i="4"/>
  <c r="I22" i="4"/>
  <c r="E61" i="5"/>
  <c r="E69" i="5" s="1"/>
  <c r="E69" i="4"/>
  <c r="N6" i="5"/>
  <c r="N14" i="5" s="1"/>
  <c r="D8" i="5"/>
  <c r="D16" i="5" s="1"/>
  <c r="D16" i="4"/>
  <c r="F78" i="4"/>
  <c r="J63" i="5"/>
  <c r="J71" i="5" s="1"/>
  <c r="L64" i="5"/>
  <c r="E81" i="4"/>
  <c r="C64" i="5"/>
  <c r="C56" i="4"/>
  <c r="C116" i="4" s="1"/>
  <c r="C49" i="4"/>
  <c r="C53" i="4"/>
  <c r="J79" i="4"/>
  <c r="C106" i="4"/>
  <c r="D98" i="4"/>
  <c r="E5" i="5"/>
  <c r="I7" i="5"/>
  <c r="I15" i="5" s="1"/>
  <c r="I15" i="4"/>
  <c r="C110" i="5"/>
  <c r="H6" i="5"/>
  <c r="H14" i="5" s="1"/>
  <c r="J7" i="5"/>
  <c r="J15" i="5" s="1"/>
  <c r="J15" i="4"/>
  <c r="L8" i="5"/>
  <c r="L16" i="5" s="1"/>
  <c r="L16" i="4"/>
  <c r="H14" i="4"/>
  <c r="M8" i="5"/>
  <c r="M16" i="5" s="1"/>
  <c r="M16" i="4"/>
  <c r="L7" i="5"/>
  <c r="L15" i="5" s="1"/>
  <c r="I81" i="4"/>
  <c r="K65" i="5"/>
  <c r="K73" i="5" s="1"/>
  <c r="M78" i="4"/>
  <c r="G8" i="5"/>
  <c r="G16" i="5" s="1"/>
  <c r="N7" i="5"/>
  <c r="N15" i="5" s="1"/>
  <c r="D9" i="5"/>
  <c r="D17" i="5" s="1"/>
  <c r="D17" i="4"/>
  <c r="M23" i="4"/>
  <c r="F26" i="4"/>
  <c r="L82" i="4"/>
  <c r="J8" i="5"/>
  <c r="J16" i="5" s="1"/>
  <c r="I27" i="5"/>
  <c r="K5" i="5"/>
  <c r="G10" i="5"/>
  <c r="C68" i="4"/>
  <c r="C77" i="4" s="1"/>
  <c r="C60" i="5"/>
  <c r="C68" i="5" s="1"/>
  <c r="C77" i="5" s="1"/>
  <c r="H9" i="5"/>
  <c r="H17" i="5" s="1"/>
  <c r="H62" i="5"/>
  <c r="H8" i="5"/>
  <c r="H16" i="5" s="1"/>
  <c r="L5" i="5"/>
  <c r="J22" i="4"/>
  <c r="P9" i="3"/>
  <c r="P8" i="3"/>
  <c r="P7" i="3"/>
  <c r="C7" i="5"/>
  <c r="C15" i="5" s="1"/>
  <c r="C24" i="5" s="1"/>
  <c r="K22" i="4"/>
  <c r="E60" i="5"/>
  <c r="E68" i="5" s="1"/>
  <c r="K63" i="5"/>
  <c r="K71" i="5" s="1"/>
  <c r="D91" i="4"/>
  <c r="D100" i="4" s="1"/>
  <c r="L27" i="5"/>
  <c r="D89" i="5"/>
  <c r="D98" i="5" s="1"/>
  <c r="D79" i="5"/>
  <c r="E65" i="5"/>
  <c r="E73" i="5" s="1"/>
  <c r="I79" i="4"/>
  <c r="N10" i="5"/>
  <c r="N64" i="5"/>
  <c r="N5" i="5"/>
  <c r="C83" i="5"/>
  <c r="G16" i="3"/>
  <c r="M9" i="5"/>
  <c r="M17" i="5" s="1"/>
  <c r="K79" i="4"/>
  <c r="C83" i="4"/>
  <c r="J81" i="5"/>
  <c r="N9" i="5"/>
  <c r="N17" i="5" s="1"/>
  <c r="G81" i="4"/>
  <c r="K7" i="5"/>
  <c r="K15" i="5" s="1"/>
  <c r="K15" i="4"/>
  <c r="I14" i="4"/>
  <c r="D60" i="5"/>
  <c r="D68" i="5" s="1"/>
  <c r="D6" i="5"/>
  <c r="D14" i="5" s="1"/>
  <c r="J6" i="5"/>
  <c r="J14" i="5" s="1"/>
  <c r="L6" i="5"/>
  <c r="L14" i="5" s="1"/>
  <c r="J64" i="5"/>
  <c r="C8" i="5"/>
  <c r="C16" i="5" s="1"/>
  <c r="C25" i="5" s="1"/>
  <c r="N23" i="4"/>
  <c r="I63" i="5"/>
  <c r="I71" i="5" s="1"/>
  <c r="I71" i="4"/>
  <c r="M73" i="4"/>
  <c r="M65" i="5"/>
  <c r="M73" i="5" s="1"/>
  <c r="J27" i="5"/>
  <c r="H10" i="5"/>
  <c r="B18" i="2"/>
  <c r="N6" i="3"/>
  <c r="D82" i="4"/>
  <c r="I78" i="4"/>
  <c r="M62" i="5"/>
  <c r="G82" i="4"/>
  <c r="K8" i="5"/>
  <c r="K16" i="5" s="1"/>
  <c r="F5" i="5"/>
  <c r="J82" i="4"/>
  <c r="G5" i="5"/>
  <c r="C10" i="5"/>
  <c r="J78" i="4"/>
  <c r="H81" i="4"/>
  <c r="F83" i="4"/>
  <c r="H5" i="5"/>
  <c r="G29" i="4"/>
  <c r="G80" i="4"/>
  <c r="J5" i="5"/>
  <c r="H22" i="4"/>
  <c r="D28" i="4"/>
  <c r="F62" i="5"/>
  <c r="N78" i="4"/>
  <c r="K64" i="5"/>
  <c r="C111" i="4"/>
  <c r="C104" i="4"/>
  <c r="F9" i="5"/>
  <c r="F17" i="5" s="1"/>
  <c r="I64" i="5"/>
  <c r="J10" i="5"/>
  <c r="L15" i="4"/>
  <c r="K62" i="5"/>
  <c r="C65" i="5"/>
  <c r="C73" i="5" s="1"/>
  <c r="C82" i="5" s="1"/>
  <c r="C73" i="4"/>
  <c r="C82" i="4" s="1"/>
  <c r="E73" i="4"/>
  <c r="G27" i="5"/>
  <c r="D37" i="4"/>
  <c r="D46" i="4" s="1"/>
  <c r="E37" i="4" s="1"/>
  <c r="D27" i="4"/>
  <c r="K61" i="5"/>
  <c r="K69" i="5" s="1"/>
  <c r="K69" i="4"/>
  <c r="D32" i="4"/>
  <c r="D41" i="4" s="1"/>
  <c r="J25" i="4"/>
  <c r="N8" i="5"/>
  <c r="N16" i="5" s="1"/>
  <c r="N16" i="4"/>
  <c r="L78" i="4"/>
  <c r="D80" i="4"/>
  <c r="C111" i="5"/>
  <c r="C116" i="5" s="1"/>
  <c r="M6" i="5"/>
  <c r="M14" i="5" s="1"/>
  <c r="G62" i="5"/>
  <c r="I10" i="5"/>
  <c r="M17" i="4"/>
  <c r="K10" i="5"/>
  <c r="N17" i="4"/>
  <c r="K26" i="4"/>
  <c r="G60" i="5"/>
  <c r="G68" i="5" s="1"/>
  <c r="I61" i="5"/>
  <c r="I69" i="5" s="1"/>
  <c r="M63" i="5"/>
  <c r="M71" i="5" s="1"/>
  <c r="M71" i="4"/>
  <c r="E22" i="4"/>
  <c r="H60" i="5"/>
  <c r="H68" i="5" s="1"/>
  <c r="J61" i="5"/>
  <c r="J69" i="5" s="1"/>
  <c r="L62" i="5"/>
  <c r="N63" i="5"/>
  <c r="N71" i="5" s="1"/>
  <c r="D65" i="5"/>
  <c r="D73" i="5" s="1"/>
  <c r="H68" i="4"/>
  <c r="F82" i="4"/>
  <c r="C54" i="5"/>
  <c r="C6" i="3"/>
  <c r="I5" i="5"/>
  <c r="K6" i="5"/>
  <c r="K14" i="5" s="1"/>
  <c r="M7" i="5"/>
  <c r="M15" i="5" s="1"/>
  <c r="C9" i="5"/>
  <c r="C17" i="5" s="1"/>
  <c r="C26" i="5" s="1"/>
  <c r="E10" i="5"/>
  <c r="K14" i="4"/>
  <c r="F60" i="5"/>
  <c r="F68" i="5" s="1"/>
  <c r="F81" i="4"/>
  <c r="E83" i="4"/>
  <c r="K27" i="5"/>
  <c r="D37" i="5"/>
  <c r="D46" i="5" s="1"/>
  <c r="E79" i="5"/>
  <c r="N62" i="5"/>
  <c r="F28" i="4"/>
  <c r="F29" i="4" s="1"/>
  <c r="K60" i="5"/>
  <c r="K68" i="5" s="1"/>
  <c r="M61" i="5"/>
  <c r="M69" i="5" s="1"/>
  <c r="C63" i="5"/>
  <c r="C71" i="5" s="1"/>
  <c r="C80" i="5" s="1"/>
  <c r="E64" i="5"/>
  <c r="G65" i="5"/>
  <c r="G73" i="5" s="1"/>
  <c r="K68" i="4"/>
  <c r="F80" i="4"/>
  <c r="C6" i="5"/>
  <c r="C14" i="5" s="1"/>
  <c r="C23" i="5" s="1"/>
  <c r="D32" i="5"/>
  <c r="D41" i="5" s="1"/>
  <c r="C52" i="5"/>
  <c r="J60" i="5"/>
  <c r="J68" i="5" s="1"/>
  <c r="D64" i="5"/>
  <c r="J68" i="4"/>
  <c r="E80" i="4"/>
  <c r="C109" i="4"/>
  <c r="C50" i="5"/>
  <c r="F79" i="5"/>
  <c r="E15" i="4"/>
  <c r="E7" i="5"/>
  <c r="E15" i="5" s="1"/>
  <c r="I17" i="4"/>
  <c r="I9" i="5"/>
  <c r="I17" i="5" s="1"/>
  <c r="L60" i="5"/>
  <c r="L68" i="5" s="1"/>
  <c r="N61" i="5"/>
  <c r="N69" i="5" s="1"/>
  <c r="D63" i="5"/>
  <c r="D71" i="5" s="1"/>
  <c r="F64" i="5"/>
  <c r="H65" i="5"/>
  <c r="H73" i="5" s="1"/>
  <c r="L68" i="4"/>
  <c r="L61" i="5"/>
  <c r="L69" i="5" s="1"/>
  <c r="N18" i="3"/>
  <c r="M60" i="5"/>
  <c r="M68" i="5" s="1"/>
  <c r="C62" i="5"/>
  <c r="E63" i="5"/>
  <c r="E71" i="5" s="1"/>
  <c r="G64" i="5"/>
  <c r="I65" i="5"/>
  <c r="I73" i="5" s="1"/>
  <c r="M68" i="4"/>
  <c r="N22" i="5"/>
  <c r="M64" i="5"/>
  <c r="F65" i="5"/>
  <c r="F73" i="5" s="1"/>
  <c r="C5" i="5"/>
  <c r="E6" i="5"/>
  <c r="E14" i="5" s="1"/>
  <c r="G7" i="5"/>
  <c r="G15" i="5" s="1"/>
  <c r="I8" i="5"/>
  <c r="I16" i="5" s="1"/>
  <c r="K9" i="5"/>
  <c r="K17" i="5" s="1"/>
  <c r="M10" i="5"/>
  <c r="C17" i="4"/>
  <c r="C26" i="4" s="1"/>
  <c r="N60" i="5"/>
  <c r="N68" i="5" s="1"/>
  <c r="D62" i="5"/>
  <c r="F63" i="5"/>
  <c r="F71" i="5" s="1"/>
  <c r="H64" i="5"/>
  <c r="J65" i="5"/>
  <c r="J73" i="5" s="1"/>
  <c r="N68" i="4"/>
  <c r="L80" i="4"/>
  <c r="L10" i="5"/>
  <c r="E27" i="5"/>
  <c r="K22" i="5"/>
  <c r="H81" i="5"/>
  <c r="D5" i="5"/>
  <c r="H7" i="5"/>
  <c r="H15" i="5" s="1"/>
  <c r="L9" i="5"/>
  <c r="L17" i="5" s="1"/>
  <c r="C61" i="5"/>
  <c r="C69" i="5" s="1"/>
  <c r="C78" i="5" s="1"/>
  <c r="G63" i="5"/>
  <c r="G71" i="5" s="1"/>
  <c r="C69" i="4"/>
  <c r="C78" i="4" s="1"/>
  <c r="I81" i="5"/>
  <c r="L81" i="5"/>
  <c r="C107" i="5"/>
  <c r="G79" i="5"/>
  <c r="C108" i="5"/>
  <c r="F7" i="5"/>
  <c r="F15" i="5" s="1"/>
  <c r="J9" i="5"/>
  <c r="J17" i="5" s="1"/>
  <c r="N65" i="5"/>
  <c r="N73" i="5" s="1"/>
  <c r="H79" i="5"/>
  <c r="C106" i="5"/>
  <c r="J71" i="4"/>
  <c r="Q19" i="3" l="1"/>
  <c r="Q21" i="3"/>
  <c r="Q20" i="3"/>
  <c r="C29" i="5"/>
  <c r="Q18" i="3"/>
  <c r="D108" i="4"/>
  <c r="E91" i="4"/>
  <c r="E100" i="4" s="1"/>
  <c r="D49" i="4"/>
  <c r="E41" i="4"/>
  <c r="E32" i="4"/>
  <c r="F78" i="5"/>
  <c r="D108" i="5"/>
  <c r="C115" i="5"/>
  <c r="I24" i="5"/>
  <c r="Q16" i="3"/>
  <c r="H24" i="5"/>
  <c r="F80" i="5"/>
  <c r="D80" i="5"/>
  <c r="M80" i="4"/>
  <c r="M84" i="4" s="1"/>
  <c r="C29" i="4"/>
  <c r="L23" i="5"/>
  <c r="E78" i="4"/>
  <c r="L80" i="5"/>
  <c r="H25" i="5"/>
  <c r="J82" i="5"/>
  <c r="G82" i="5"/>
  <c r="H26" i="5"/>
  <c r="M80" i="5"/>
  <c r="G84" i="4"/>
  <c r="F84" i="4"/>
  <c r="E84" i="4"/>
  <c r="L84" i="4"/>
  <c r="C84" i="4"/>
  <c r="E78" i="5"/>
  <c r="I23" i="5"/>
  <c r="Q17" i="3"/>
  <c r="H23" i="5"/>
  <c r="N77" i="4"/>
  <c r="N84" i="4" s="1"/>
  <c r="H82" i="5"/>
  <c r="K78" i="5"/>
  <c r="J80" i="4"/>
  <c r="N78" i="5"/>
  <c r="C110" i="4"/>
  <c r="M77" i="4"/>
  <c r="F77" i="5"/>
  <c r="H77" i="4"/>
  <c r="L24" i="5"/>
  <c r="D106" i="4"/>
  <c r="E89" i="4"/>
  <c r="E98" i="4" s="1"/>
  <c r="I82" i="5"/>
  <c r="I26" i="5"/>
  <c r="J77" i="5"/>
  <c r="D82" i="5"/>
  <c r="G77" i="5"/>
  <c r="E82" i="4"/>
  <c r="J23" i="5"/>
  <c r="D26" i="5"/>
  <c r="M25" i="4"/>
  <c r="M29" i="4" s="1"/>
  <c r="J80" i="5"/>
  <c r="G80" i="5"/>
  <c r="Q9" i="3"/>
  <c r="Q8" i="3"/>
  <c r="H6" i="3"/>
  <c r="Q6" i="3"/>
  <c r="Q7" i="3"/>
  <c r="Q10" i="3"/>
  <c r="Q11" i="3"/>
  <c r="F82" i="5"/>
  <c r="D54" i="5"/>
  <c r="L26" i="5"/>
  <c r="F26" i="5"/>
  <c r="D106" i="5"/>
  <c r="J77" i="4"/>
  <c r="J84" i="4" s="1"/>
  <c r="L77" i="5"/>
  <c r="I78" i="5"/>
  <c r="E8" i="3"/>
  <c r="E7" i="3"/>
  <c r="E10" i="3"/>
  <c r="E11" i="3"/>
  <c r="E9" i="3"/>
  <c r="E6" i="3"/>
  <c r="D26" i="4"/>
  <c r="I26" i="4"/>
  <c r="K23" i="4"/>
  <c r="K29" i="4" s="1"/>
  <c r="N80" i="5"/>
  <c r="D23" i="5"/>
  <c r="M26" i="5"/>
  <c r="N24" i="5"/>
  <c r="M25" i="5"/>
  <c r="H80" i="4"/>
  <c r="H84" i="4" s="1"/>
  <c r="H23" i="4"/>
  <c r="H29" i="4" s="1"/>
  <c r="H80" i="5"/>
  <c r="D25" i="5"/>
  <c r="L77" i="4"/>
  <c r="M23" i="5"/>
  <c r="K82" i="5"/>
  <c r="D49" i="5"/>
  <c r="E32" i="5"/>
  <c r="E41" i="5" s="1"/>
  <c r="K78" i="4"/>
  <c r="N23" i="5"/>
  <c r="N26" i="5"/>
  <c r="I24" i="4"/>
  <c r="M78" i="5"/>
  <c r="E46" i="4"/>
  <c r="D54" i="4"/>
  <c r="N77" i="5"/>
  <c r="K77" i="5"/>
  <c r="E24" i="5"/>
  <c r="N25" i="4"/>
  <c r="G21" i="3"/>
  <c r="G20" i="3"/>
  <c r="K20" i="3" s="1"/>
  <c r="O20" i="3" s="1"/>
  <c r="G18" i="3"/>
  <c r="K18" i="3" s="1"/>
  <c r="O18" i="3" s="1"/>
  <c r="K16" i="3"/>
  <c r="O16" i="3" s="1"/>
  <c r="G17" i="3"/>
  <c r="K17" i="3" s="1"/>
  <c r="O17" i="3" s="1"/>
  <c r="G19" i="3"/>
  <c r="K19" i="3" s="1"/>
  <c r="O19" i="3" s="1"/>
  <c r="K26" i="5"/>
  <c r="N26" i="4"/>
  <c r="N25" i="5"/>
  <c r="K25" i="5"/>
  <c r="M82" i="5"/>
  <c r="C84" i="5"/>
  <c r="G25" i="5"/>
  <c r="L25" i="4"/>
  <c r="D78" i="4"/>
  <c r="D84" i="4" s="1"/>
  <c r="E19" i="3"/>
  <c r="E17" i="3"/>
  <c r="E16" i="3"/>
  <c r="E18" i="3"/>
  <c r="E20" i="3"/>
  <c r="E21" i="3"/>
  <c r="I25" i="5"/>
  <c r="M77" i="5"/>
  <c r="H77" i="5"/>
  <c r="N29" i="4"/>
  <c r="M82" i="4"/>
  <c r="I23" i="4"/>
  <c r="K80" i="5"/>
  <c r="L25" i="5"/>
  <c r="D78" i="5"/>
  <c r="L19" i="3"/>
  <c r="K7" i="3"/>
  <c r="O7" i="3" s="1"/>
  <c r="E91" i="5"/>
  <c r="E100" i="5" s="1"/>
  <c r="N82" i="5"/>
  <c r="G24" i="5"/>
  <c r="E89" i="5"/>
  <c r="E98" i="5" s="1"/>
  <c r="M24" i="5"/>
  <c r="L24" i="4"/>
  <c r="I80" i="4"/>
  <c r="K24" i="4"/>
  <c r="E77" i="5"/>
  <c r="J24" i="4"/>
  <c r="J29" i="4" s="1"/>
  <c r="G23" i="5"/>
  <c r="H78" i="5"/>
  <c r="I77" i="4"/>
  <c r="I84" i="4" s="1"/>
  <c r="F24" i="5"/>
  <c r="K77" i="4"/>
  <c r="K84" i="4" s="1"/>
  <c r="L82" i="5"/>
  <c r="E82" i="5"/>
  <c r="E80" i="5"/>
  <c r="D77" i="5"/>
  <c r="E37" i="5"/>
  <c r="E46" i="5" s="1"/>
  <c r="E24" i="4"/>
  <c r="E29" i="4" s="1"/>
  <c r="J78" i="5"/>
  <c r="J26" i="5"/>
  <c r="E23" i="5"/>
  <c r="L78" i="5"/>
  <c r="K23" i="5"/>
  <c r="M26" i="4"/>
  <c r="I80" i="5"/>
  <c r="K24" i="5"/>
  <c r="J25" i="5"/>
  <c r="J24" i="5"/>
  <c r="C55" i="4"/>
  <c r="C115" i="4" s="1"/>
  <c r="D25" i="4"/>
  <c r="D29" i="4" s="1"/>
  <c r="D35" i="4"/>
  <c r="D44" i="4" s="1"/>
  <c r="F23" i="5"/>
  <c r="F25" i="5"/>
  <c r="G78" i="5"/>
  <c r="I77" i="5"/>
  <c r="N84" i="5" l="1"/>
  <c r="M29" i="5"/>
  <c r="E84" i="5"/>
  <c r="J29" i="5"/>
  <c r="J84" i="5"/>
  <c r="K84" i="5"/>
  <c r="H84" i="5"/>
  <c r="L84" i="5"/>
  <c r="D84" i="5"/>
  <c r="D88" i="5" s="1"/>
  <c r="D97" i="5" s="1"/>
  <c r="N29" i="5"/>
  <c r="M84" i="5"/>
  <c r="H29" i="5"/>
  <c r="I29" i="5"/>
  <c r="G29" i="5"/>
  <c r="D29" i="5"/>
  <c r="D33" i="5" s="1"/>
  <c r="D42" i="5" s="1"/>
  <c r="D50" i="5" s="1"/>
  <c r="F84" i="5"/>
  <c r="I84" i="5"/>
  <c r="E29" i="5"/>
  <c r="G84" i="5"/>
  <c r="E49" i="5"/>
  <c r="F32" i="5"/>
  <c r="F41" i="5"/>
  <c r="D92" i="5"/>
  <c r="D101" i="5" s="1"/>
  <c r="D92" i="4"/>
  <c r="D101" i="4" s="1"/>
  <c r="D90" i="4"/>
  <c r="D99" i="4" s="1"/>
  <c r="D87" i="4"/>
  <c r="D96" i="4" s="1"/>
  <c r="D88" i="4"/>
  <c r="D97" i="4" s="1"/>
  <c r="E106" i="5"/>
  <c r="F89" i="5"/>
  <c r="F98" i="5" s="1"/>
  <c r="E108" i="5"/>
  <c r="F91" i="5"/>
  <c r="F100" i="5" s="1"/>
  <c r="E106" i="4"/>
  <c r="F89" i="4"/>
  <c r="F98" i="4" s="1"/>
  <c r="E108" i="4"/>
  <c r="F91" i="4"/>
  <c r="F100" i="4" s="1"/>
  <c r="E54" i="5"/>
  <c r="F37" i="5"/>
  <c r="F46" i="5" s="1"/>
  <c r="F29" i="5"/>
  <c r="D52" i="4"/>
  <c r="E35" i="4"/>
  <c r="E44" i="4" s="1"/>
  <c r="E49" i="4"/>
  <c r="F32" i="4"/>
  <c r="F41" i="4" s="1"/>
  <c r="D33" i="4"/>
  <c r="D42" i="4" s="1"/>
  <c r="D34" i="4"/>
  <c r="D43" i="4" s="1"/>
  <c r="K21" i="3"/>
  <c r="O21" i="3" s="1"/>
  <c r="M11" i="3"/>
  <c r="L11" i="3"/>
  <c r="F37" i="4"/>
  <c r="F46" i="4" s="1"/>
  <c r="E54" i="4"/>
  <c r="M7" i="3"/>
  <c r="L7" i="3"/>
  <c r="J7" i="3"/>
  <c r="N7" i="3" s="1"/>
  <c r="M10" i="3"/>
  <c r="J10" i="3"/>
  <c r="N10" i="3" s="1"/>
  <c r="L10" i="3"/>
  <c r="K11" i="3"/>
  <c r="O11" i="3" s="1"/>
  <c r="M21" i="3"/>
  <c r="J21" i="3"/>
  <c r="N21" i="3" s="1"/>
  <c r="L21" i="3"/>
  <c r="I29" i="4"/>
  <c r="D36" i="4"/>
  <c r="D45" i="4" s="1"/>
  <c r="M8" i="3"/>
  <c r="L8" i="3"/>
  <c r="J8" i="3"/>
  <c r="N8" i="3" s="1"/>
  <c r="K29" i="5"/>
  <c r="M20" i="3"/>
  <c r="L20" i="3"/>
  <c r="M18" i="3"/>
  <c r="L18" i="3"/>
  <c r="L29" i="5"/>
  <c r="L29" i="4"/>
  <c r="M17" i="3"/>
  <c r="L17" i="3"/>
  <c r="J17" i="3"/>
  <c r="N17" i="3" s="1"/>
  <c r="K10" i="3"/>
  <c r="O10" i="3" s="1"/>
  <c r="M16" i="3"/>
  <c r="L16" i="3"/>
  <c r="J16" i="3"/>
  <c r="N16" i="3" s="1"/>
  <c r="M6" i="3"/>
  <c r="K6" i="3"/>
  <c r="O6" i="3" s="1"/>
  <c r="L6" i="3"/>
  <c r="M19" i="3"/>
  <c r="J19" i="3"/>
  <c r="N19" i="3" s="1"/>
  <c r="K8" i="3"/>
  <c r="O8" i="3" s="1"/>
  <c r="M9" i="3"/>
  <c r="K9" i="3"/>
  <c r="O9" i="3" s="1"/>
  <c r="J9" i="3"/>
  <c r="N9" i="3" s="1"/>
  <c r="L9" i="3"/>
  <c r="D90" i="5" l="1"/>
  <c r="D99" i="5" s="1"/>
  <c r="D107" i="5" s="1"/>
  <c r="D87" i="5"/>
  <c r="D96" i="5" s="1"/>
  <c r="D104" i="5" s="1"/>
  <c r="E33" i="5"/>
  <c r="E42" i="5" s="1"/>
  <c r="D34" i="5"/>
  <c r="D43" i="5" s="1"/>
  <c r="D36" i="5"/>
  <c r="D45" i="5" s="1"/>
  <c r="D53" i="5" s="1"/>
  <c r="D35" i="5"/>
  <c r="D44" i="5" s="1"/>
  <c r="E52" i="4"/>
  <c r="F44" i="4"/>
  <c r="F35" i="4"/>
  <c r="G37" i="4"/>
  <c r="G46" i="4" s="1"/>
  <c r="F54" i="4"/>
  <c r="F108" i="4"/>
  <c r="G91" i="4"/>
  <c r="G100" i="4" s="1"/>
  <c r="F106" i="4"/>
  <c r="G89" i="4"/>
  <c r="G98" i="4" s="1"/>
  <c r="F108" i="5"/>
  <c r="G91" i="5"/>
  <c r="G100" i="5" s="1"/>
  <c r="F49" i="4"/>
  <c r="G32" i="4"/>
  <c r="G41" i="4" s="1"/>
  <c r="F106" i="5"/>
  <c r="G89" i="5"/>
  <c r="G98" i="5" s="1"/>
  <c r="B36" i="3"/>
  <c r="B49" i="1" s="1"/>
  <c r="D51" i="5"/>
  <c r="E34" i="5"/>
  <c r="E43" i="5" s="1"/>
  <c r="D56" i="5"/>
  <c r="D53" i="4"/>
  <c r="E36" i="4"/>
  <c r="E45" i="4" s="1"/>
  <c r="D107" i="4"/>
  <c r="E90" i="4"/>
  <c r="E99" i="4" s="1"/>
  <c r="B25" i="3"/>
  <c r="B35" i="3" s="1"/>
  <c r="B48" i="1" s="1"/>
  <c r="D52" i="5"/>
  <c r="E35" i="5"/>
  <c r="E44" i="5" s="1"/>
  <c r="F49" i="5"/>
  <c r="G32" i="5"/>
  <c r="G41" i="5" s="1"/>
  <c r="E36" i="5"/>
  <c r="E45" i="5" s="1"/>
  <c r="D105" i="4"/>
  <c r="E88" i="4"/>
  <c r="E97" i="4" s="1"/>
  <c r="D50" i="4"/>
  <c r="E33" i="4"/>
  <c r="E42" i="4" s="1"/>
  <c r="D56" i="4"/>
  <c r="D109" i="4"/>
  <c r="E92" i="4"/>
  <c r="E101" i="4" s="1"/>
  <c r="D105" i="5"/>
  <c r="E88" i="5"/>
  <c r="E97" i="5" s="1"/>
  <c r="D111" i="5"/>
  <c r="D109" i="5"/>
  <c r="E92" i="5"/>
  <c r="E101" i="5" s="1"/>
  <c r="B26" i="3"/>
  <c r="B28" i="3" s="1"/>
  <c r="F54" i="5"/>
  <c r="G37" i="5"/>
  <c r="G46" i="5" s="1"/>
  <c r="B32" i="3"/>
  <c r="B45" i="1" s="1"/>
  <c r="D51" i="4"/>
  <c r="E34" i="4"/>
  <c r="E43" i="4" s="1"/>
  <c r="D111" i="4"/>
  <c r="D104" i="4"/>
  <c r="E96" i="4"/>
  <c r="E87" i="4"/>
  <c r="F33" i="5" l="1"/>
  <c r="F42" i="5" s="1"/>
  <c r="F50" i="5" s="1"/>
  <c r="E50" i="5"/>
  <c r="E90" i="5"/>
  <c r="E99" i="5" s="1"/>
  <c r="E87" i="5"/>
  <c r="E96" i="5" s="1"/>
  <c r="B39" i="3"/>
  <c r="B53" i="1" s="1"/>
  <c r="B41" i="1"/>
  <c r="D110" i="5"/>
  <c r="D55" i="5"/>
  <c r="E107" i="4"/>
  <c r="F90" i="4"/>
  <c r="F99" i="4" s="1"/>
  <c r="G106" i="4"/>
  <c r="H89" i="4"/>
  <c r="H98" i="4"/>
  <c r="E53" i="5"/>
  <c r="F36" i="5"/>
  <c r="F45" i="5" s="1"/>
  <c r="G49" i="5"/>
  <c r="H32" i="5"/>
  <c r="H41" i="5" s="1"/>
  <c r="E52" i="5"/>
  <c r="F35" i="5"/>
  <c r="F44" i="5" s="1"/>
  <c r="G106" i="5"/>
  <c r="H89" i="5"/>
  <c r="H98" i="5" s="1"/>
  <c r="E51" i="4"/>
  <c r="F34" i="4"/>
  <c r="F43" i="4" s="1"/>
  <c r="E109" i="4"/>
  <c r="F92" i="4"/>
  <c r="F101" i="4" s="1"/>
  <c r="G49" i="4"/>
  <c r="H32" i="4"/>
  <c r="H41" i="4" s="1"/>
  <c r="G54" i="5"/>
  <c r="H37" i="5"/>
  <c r="H46" i="5" s="1"/>
  <c r="E50" i="4"/>
  <c r="F33" i="4"/>
  <c r="F42" i="4" s="1"/>
  <c r="E56" i="4"/>
  <c r="E116" i="4" s="1"/>
  <c r="G108" i="5"/>
  <c r="H91" i="5"/>
  <c r="H100" i="5" s="1"/>
  <c r="E53" i="4"/>
  <c r="F36" i="4"/>
  <c r="F45" i="4" s="1"/>
  <c r="E105" i="4"/>
  <c r="F88" i="4"/>
  <c r="F97" i="4" s="1"/>
  <c r="G108" i="4"/>
  <c r="H91" i="4"/>
  <c r="H100" i="4" s="1"/>
  <c r="E104" i="5"/>
  <c r="E111" i="5"/>
  <c r="F87" i="5"/>
  <c r="F96" i="5" s="1"/>
  <c r="E107" i="5"/>
  <c r="F90" i="5"/>
  <c r="F99" i="5" s="1"/>
  <c r="H37" i="4"/>
  <c r="G54" i="4"/>
  <c r="H46" i="4"/>
  <c r="E105" i="5"/>
  <c r="F88" i="5"/>
  <c r="F97" i="5" s="1"/>
  <c r="E51" i="5"/>
  <c r="F34" i="5"/>
  <c r="F43" i="5" s="1"/>
  <c r="B31" i="3"/>
  <c r="B44" i="1" s="1"/>
  <c r="E56" i="5"/>
  <c r="D116" i="4"/>
  <c r="D116" i="5"/>
  <c r="E104" i="4"/>
  <c r="E111" i="4"/>
  <c r="F87" i="4"/>
  <c r="F96" i="4" s="1"/>
  <c r="E109" i="5"/>
  <c r="F92" i="5"/>
  <c r="F101" i="5" s="1"/>
  <c r="F52" i="4"/>
  <c r="G35" i="4"/>
  <c r="G44" i="4" s="1"/>
  <c r="D110" i="4"/>
  <c r="D55" i="4"/>
  <c r="G33" i="5" l="1"/>
  <c r="G42" i="5" s="1"/>
  <c r="G50" i="5" s="1"/>
  <c r="E116" i="5"/>
  <c r="D115" i="5"/>
  <c r="D61" i="1" s="1"/>
  <c r="D62" i="1" s="1"/>
  <c r="D63" i="1" s="1"/>
  <c r="F104" i="5"/>
  <c r="F111" i="5"/>
  <c r="G87" i="5"/>
  <c r="G96" i="5" s="1"/>
  <c r="H49" i="4"/>
  <c r="I32" i="4"/>
  <c r="I41" i="4" s="1"/>
  <c r="F105" i="4"/>
  <c r="G88" i="4"/>
  <c r="G97" i="4" s="1"/>
  <c r="F109" i="5"/>
  <c r="G92" i="5"/>
  <c r="G101" i="5" s="1"/>
  <c r="F111" i="4"/>
  <c r="F104" i="4"/>
  <c r="G87" i="4"/>
  <c r="G96" i="4" s="1"/>
  <c r="F107" i="5"/>
  <c r="G90" i="5"/>
  <c r="G99" i="5" s="1"/>
  <c r="F50" i="4"/>
  <c r="F55" i="4" s="1"/>
  <c r="G33" i="4"/>
  <c r="G42" i="4" s="1"/>
  <c r="F56" i="4"/>
  <c r="F116" i="4" s="1"/>
  <c r="H54" i="5"/>
  <c r="I37" i="5"/>
  <c r="I46" i="5" s="1"/>
  <c r="H108" i="4"/>
  <c r="I91" i="4"/>
  <c r="I100" i="4" s="1"/>
  <c r="F109" i="4"/>
  <c r="G92" i="4"/>
  <c r="G101" i="4" s="1"/>
  <c r="F53" i="5"/>
  <c r="G36" i="5"/>
  <c r="G45" i="5" s="1"/>
  <c r="F51" i="5"/>
  <c r="G34" i="5"/>
  <c r="G43" i="5" s="1"/>
  <c r="F56" i="5"/>
  <c r="F51" i="4"/>
  <c r="G34" i="4"/>
  <c r="G43" i="4"/>
  <c r="F105" i="5"/>
  <c r="G88" i="5"/>
  <c r="G97" i="5" s="1"/>
  <c r="F53" i="4"/>
  <c r="G36" i="4"/>
  <c r="G45" i="4" s="1"/>
  <c r="G52" i="4"/>
  <c r="H35" i="4"/>
  <c r="H44" i="4" s="1"/>
  <c r="H106" i="5"/>
  <c r="I89" i="5"/>
  <c r="I98" i="5" s="1"/>
  <c r="H108" i="5"/>
  <c r="I91" i="5"/>
  <c r="I100" i="5" s="1"/>
  <c r="F107" i="4"/>
  <c r="G90" i="4"/>
  <c r="G99" i="4" s="1"/>
  <c r="H54" i="4"/>
  <c r="I37" i="4"/>
  <c r="I46" i="4" s="1"/>
  <c r="E110" i="4"/>
  <c r="F52" i="5"/>
  <c r="G35" i="5"/>
  <c r="G44" i="5" s="1"/>
  <c r="H49" i="5"/>
  <c r="I32" i="5"/>
  <c r="I41" i="5" s="1"/>
  <c r="E55" i="4"/>
  <c r="H106" i="4"/>
  <c r="I98" i="4"/>
  <c r="I89" i="4"/>
  <c r="E110" i="5"/>
  <c r="E55" i="5"/>
  <c r="E115" i="5" s="1"/>
  <c r="E61" i="1" s="1"/>
  <c r="E62" i="1" s="1"/>
  <c r="E63" i="1" s="1"/>
  <c r="D115" i="4"/>
  <c r="H33" i="5" l="1"/>
  <c r="H42" i="5" s="1"/>
  <c r="F55" i="5"/>
  <c r="H96" i="4"/>
  <c r="G104" i="4"/>
  <c r="G111" i="4"/>
  <c r="H87" i="4"/>
  <c r="H52" i="4"/>
  <c r="I35" i="4"/>
  <c r="I44" i="4" s="1"/>
  <c r="G109" i="4"/>
  <c r="H92" i="4"/>
  <c r="H101" i="4" s="1"/>
  <c r="G105" i="5"/>
  <c r="H88" i="5"/>
  <c r="H97" i="5" s="1"/>
  <c r="I49" i="4"/>
  <c r="J41" i="4"/>
  <c r="J32" i="4"/>
  <c r="G107" i="4"/>
  <c r="H90" i="4"/>
  <c r="H99" i="4" s="1"/>
  <c r="J89" i="5"/>
  <c r="J98" i="5" s="1"/>
  <c r="I106" i="5"/>
  <c r="G53" i="5"/>
  <c r="H36" i="5"/>
  <c r="H45" i="5" s="1"/>
  <c r="I49" i="5"/>
  <c r="J32" i="5"/>
  <c r="J41" i="5" s="1"/>
  <c r="G109" i="5"/>
  <c r="H92" i="5"/>
  <c r="H101" i="5" s="1"/>
  <c r="G53" i="4"/>
  <c r="H36" i="4"/>
  <c r="H45" i="4" s="1"/>
  <c r="G52" i="5"/>
  <c r="H35" i="5"/>
  <c r="H44" i="5" s="1"/>
  <c r="I108" i="4"/>
  <c r="J91" i="4"/>
  <c r="J100" i="4" s="1"/>
  <c r="G105" i="4"/>
  <c r="H88" i="4"/>
  <c r="H97" i="4" s="1"/>
  <c r="I54" i="5"/>
  <c r="J37" i="5"/>
  <c r="J46" i="5" s="1"/>
  <c r="I54" i="4"/>
  <c r="J37" i="4"/>
  <c r="J46" i="4" s="1"/>
  <c r="G111" i="5"/>
  <c r="G104" i="5"/>
  <c r="H87" i="5"/>
  <c r="H96" i="5" s="1"/>
  <c r="H42" i="4"/>
  <c r="G50" i="4"/>
  <c r="H33" i="4"/>
  <c r="G56" i="4"/>
  <c r="G116" i="4" s="1"/>
  <c r="I108" i="5"/>
  <c r="J91" i="5"/>
  <c r="J100" i="5" s="1"/>
  <c r="G107" i="5"/>
  <c r="H90" i="5"/>
  <c r="H99" i="5" s="1"/>
  <c r="H50" i="5"/>
  <c r="I33" i="5"/>
  <c r="I42" i="5" s="1"/>
  <c r="J98" i="4"/>
  <c r="I106" i="4"/>
  <c r="J89" i="4"/>
  <c r="F110" i="4"/>
  <c r="F110" i="5"/>
  <c r="G51" i="5"/>
  <c r="H34" i="5"/>
  <c r="H43" i="5" s="1"/>
  <c r="G51" i="4"/>
  <c r="H34" i="4"/>
  <c r="H43" i="4" s="1"/>
  <c r="F115" i="4"/>
  <c r="E115" i="4"/>
  <c r="F116" i="5"/>
  <c r="G56" i="5"/>
  <c r="G110" i="5" l="1"/>
  <c r="F115" i="5"/>
  <c r="F61" i="1" s="1"/>
  <c r="F62" i="1" s="1"/>
  <c r="F63" i="1" s="1"/>
  <c r="G55" i="5"/>
  <c r="G115" i="5" s="1"/>
  <c r="G61" i="1" s="1"/>
  <c r="G62" i="1" s="1"/>
  <c r="G63" i="1" s="1"/>
  <c r="H52" i="5"/>
  <c r="I35" i="5"/>
  <c r="I44" i="5" s="1"/>
  <c r="H107" i="4"/>
  <c r="I90" i="4"/>
  <c r="I99" i="4" s="1"/>
  <c r="H109" i="5"/>
  <c r="I92" i="5"/>
  <c r="I101" i="5" s="1"/>
  <c r="J54" i="4"/>
  <c r="K37" i="4"/>
  <c r="K46" i="4" s="1"/>
  <c r="J108" i="5"/>
  <c r="K91" i="5"/>
  <c r="K100" i="5" s="1"/>
  <c r="H53" i="4"/>
  <c r="I36" i="4"/>
  <c r="I45" i="4" s="1"/>
  <c r="H105" i="5"/>
  <c r="I88" i="5"/>
  <c r="I97" i="5" s="1"/>
  <c r="I50" i="5"/>
  <c r="J33" i="5"/>
  <c r="J42" i="5" s="1"/>
  <c r="J49" i="5"/>
  <c r="K32" i="5"/>
  <c r="K41" i="5" s="1"/>
  <c r="H109" i="4"/>
  <c r="I92" i="4"/>
  <c r="I101" i="4" s="1"/>
  <c r="H107" i="5"/>
  <c r="I90" i="5"/>
  <c r="I99" i="5" s="1"/>
  <c r="J54" i="5"/>
  <c r="K37" i="5"/>
  <c r="K46" i="5" s="1"/>
  <c r="H53" i="5"/>
  <c r="I36" i="5"/>
  <c r="I45" i="5" s="1"/>
  <c r="I52" i="4"/>
  <c r="J35" i="4"/>
  <c r="J44" i="4" s="1"/>
  <c r="H51" i="4"/>
  <c r="I34" i="4"/>
  <c r="I43" i="4" s="1"/>
  <c r="H105" i="4"/>
  <c r="I88" i="4"/>
  <c r="I97" i="4" s="1"/>
  <c r="H51" i="5"/>
  <c r="I34" i="5"/>
  <c r="I43" i="5" s="1"/>
  <c r="H56" i="5"/>
  <c r="K100" i="4"/>
  <c r="J108" i="4"/>
  <c r="K91" i="4"/>
  <c r="H111" i="5"/>
  <c r="H104" i="5"/>
  <c r="I87" i="5"/>
  <c r="I96" i="5" s="1"/>
  <c r="J49" i="4"/>
  <c r="K32" i="4"/>
  <c r="K41" i="4" s="1"/>
  <c r="J106" i="5"/>
  <c r="K89" i="5"/>
  <c r="K98" i="5" s="1"/>
  <c r="J106" i="4"/>
  <c r="K89" i="4"/>
  <c r="K98" i="4" s="1"/>
  <c r="G116" i="5"/>
  <c r="H50" i="4"/>
  <c r="H55" i="4" s="1"/>
  <c r="I33" i="4"/>
  <c r="I42" i="4" s="1"/>
  <c r="H56" i="4"/>
  <c r="H116" i="4" s="1"/>
  <c r="H104" i="4"/>
  <c r="H110" i="4" s="1"/>
  <c r="I96" i="4"/>
  <c r="H111" i="4"/>
  <c r="I87" i="4"/>
  <c r="G55" i="4"/>
  <c r="G110" i="4"/>
  <c r="H116" i="5" l="1"/>
  <c r="H55" i="5"/>
  <c r="I51" i="4"/>
  <c r="J34" i="4"/>
  <c r="J43" i="4" s="1"/>
  <c r="J50" i="5"/>
  <c r="K33" i="5"/>
  <c r="K42" i="5" s="1"/>
  <c r="I52" i="5"/>
  <c r="J35" i="5"/>
  <c r="J44" i="5" s="1"/>
  <c r="J52" i="4"/>
  <c r="K35" i="4"/>
  <c r="K44" i="4" s="1"/>
  <c r="I105" i="5"/>
  <c r="J88" i="5"/>
  <c r="J97" i="5" s="1"/>
  <c r="I111" i="5"/>
  <c r="I104" i="5"/>
  <c r="J87" i="5"/>
  <c r="J96" i="5" s="1"/>
  <c r="I53" i="5"/>
  <c r="J36" i="5"/>
  <c r="J45" i="5" s="1"/>
  <c r="I53" i="4"/>
  <c r="J36" i="4"/>
  <c r="J45" i="4" s="1"/>
  <c r="I50" i="4"/>
  <c r="I55" i="4" s="1"/>
  <c r="J42" i="4"/>
  <c r="J33" i="4"/>
  <c r="I56" i="4"/>
  <c r="K54" i="5"/>
  <c r="L37" i="5"/>
  <c r="L46" i="5" s="1"/>
  <c r="K108" i="5"/>
  <c r="L91" i="5"/>
  <c r="L100" i="5" s="1"/>
  <c r="I107" i="5"/>
  <c r="J90" i="5"/>
  <c r="J99" i="5" s="1"/>
  <c r="K54" i="4"/>
  <c r="L37" i="4"/>
  <c r="L46" i="4" s="1"/>
  <c r="K106" i="4"/>
  <c r="L89" i="4"/>
  <c r="L98" i="4" s="1"/>
  <c r="I51" i="5"/>
  <c r="J34" i="5"/>
  <c r="J43" i="5" s="1"/>
  <c r="I56" i="5"/>
  <c r="I109" i="4"/>
  <c r="J101" i="4"/>
  <c r="J92" i="4"/>
  <c r="I109" i="5"/>
  <c r="J92" i="5"/>
  <c r="J101" i="5" s="1"/>
  <c r="K106" i="5"/>
  <c r="L89" i="5"/>
  <c r="L98" i="5" s="1"/>
  <c r="I105" i="4"/>
  <c r="J88" i="4"/>
  <c r="J97" i="4" s="1"/>
  <c r="K49" i="5"/>
  <c r="L32" i="5"/>
  <c r="L41" i="5" s="1"/>
  <c r="I107" i="4"/>
  <c r="J90" i="4"/>
  <c r="J99" i="4" s="1"/>
  <c r="K49" i="4"/>
  <c r="L32" i="4"/>
  <c r="L41" i="4" s="1"/>
  <c r="I111" i="4"/>
  <c r="I104" i="4"/>
  <c r="J87" i="4"/>
  <c r="J96" i="4" s="1"/>
  <c r="H110" i="5"/>
  <c r="K108" i="4"/>
  <c r="L91" i="4"/>
  <c r="L100" i="4"/>
  <c r="H115" i="4"/>
  <c r="G115" i="4"/>
  <c r="I116" i="5" l="1"/>
  <c r="H115" i="5"/>
  <c r="H61" i="1" s="1"/>
  <c r="H62" i="1" s="1"/>
  <c r="H63" i="1" s="1"/>
  <c r="L106" i="5"/>
  <c r="M89" i="5"/>
  <c r="M98" i="5" s="1"/>
  <c r="J111" i="5"/>
  <c r="J104" i="5"/>
  <c r="K87" i="5"/>
  <c r="K96" i="5" s="1"/>
  <c r="J111" i="4"/>
  <c r="J104" i="4"/>
  <c r="K87" i="4"/>
  <c r="K96" i="4" s="1"/>
  <c r="L108" i="5"/>
  <c r="M91" i="5"/>
  <c r="M100" i="5" s="1"/>
  <c r="L54" i="5"/>
  <c r="M37" i="5"/>
  <c r="M46" i="5" s="1"/>
  <c r="J107" i="4"/>
  <c r="K90" i="4"/>
  <c r="K99" i="4" s="1"/>
  <c r="L106" i="4"/>
  <c r="M89" i="4"/>
  <c r="M98" i="4" s="1"/>
  <c r="J53" i="5"/>
  <c r="K36" i="5"/>
  <c r="K45" i="5" s="1"/>
  <c r="J107" i="5"/>
  <c r="K90" i="5"/>
  <c r="K99" i="5" s="1"/>
  <c r="J109" i="5"/>
  <c r="K92" i="5"/>
  <c r="K101" i="5" s="1"/>
  <c r="J105" i="5"/>
  <c r="K88" i="5"/>
  <c r="K97" i="5" s="1"/>
  <c r="M32" i="4"/>
  <c r="M41" i="4"/>
  <c r="L49" i="4"/>
  <c r="K52" i="4"/>
  <c r="L35" i="4"/>
  <c r="L44" i="4" s="1"/>
  <c r="J51" i="5"/>
  <c r="K34" i="5"/>
  <c r="K43" i="5" s="1"/>
  <c r="J56" i="5"/>
  <c r="J116" i="5" s="1"/>
  <c r="J53" i="4"/>
  <c r="K36" i="4"/>
  <c r="K45" i="4" s="1"/>
  <c r="K50" i="5"/>
  <c r="L33" i="5"/>
  <c r="L42" i="5" s="1"/>
  <c r="J105" i="4"/>
  <c r="K88" i="4"/>
  <c r="K97" i="4" s="1"/>
  <c r="L54" i="4"/>
  <c r="M37" i="4"/>
  <c r="M46" i="4" s="1"/>
  <c r="J51" i="4"/>
  <c r="K34" i="4"/>
  <c r="K43" i="4" s="1"/>
  <c r="L108" i="4"/>
  <c r="M91" i="4"/>
  <c r="M100" i="4" s="1"/>
  <c r="I115" i="4"/>
  <c r="J50" i="4"/>
  <c r="J55" i="4" s="1"/>
  <c r="K33" i="4"/>
  <c r="K42" i="4" s="1"/>
  <c r="J56" i="4"/>
  <c r="I116" i="4"/>
  <c r="J109" i="4"/>
  <c r="K92" i="4"/>
  <c r="K101" i="4" s="1"/>
  <c r="J52" i="5"/>
  <c r="K35" i="5"/>
  <c r="K44" i="5" s="1"/>
  <c r="L49" i="5"/>
  <c r="M32" i="5"/>
  <c r="M41" i="5" s="1"/>
  <c r="I110" i="4"/>
  <c r="I55" i="5"/>
  <c r="I110" i="5"/>
  <c r="M54" i="4" l="1"/>
  <c r="N37" i="4"/>
  <c r="N46" i="4" s="1"/>
  <c r="N54" i="4" s="1"/>
  <c r="L50" i="5"/>
  <c r="M33" i="5"/>
  <c r="M42" i="5" s="1"/>
  <c r="K52" i="5"/>
  <c r="L35" i="5"/>
  <c r="L44" i="5" s="1"/>
  <c r="K107" i="4"/>
  <c r="L90" i="4"/>
  <c r="L99" i="4" s="1"/>
  <c r="K109" i="4"/>
  <c r="L92" i="4"/>
  <c r="L101" i="4" s="1"/>
  <c r="M54" i="5"/>
  <c r="N37" i="5"/>
  <c r="N46" i="5" s="1"/>
  <c r="N54" i="5" s="1"/>
  <c r="K105" i="4"/>
  <c r="L88" i="4"/>
  <c r="L97" i="4" s="1"/>
  <c r="K105" i="5"/>
  <c r="L88" i="5"/>
  <c r="L97" i="5" s="1"/>
  <c r="N91" i="5"/>
  <c r="M108" i="5"/>
  <c r="N100" i="5"/>
  <c r="N108" i="5" s="1"/>
  <c r="K109" i="5"/>
  <c r="L92" i="5"/>
  <c r="L101" i="5" s="1"/>
  <c r="K50" i="4"/>
  <c r="L33" i="4"/>
  <c r="L42" i="4" s="1"/>
  <c r="K56" i="4"/>
  <c r="K111" i="4"/>
  <c r="K104" i="4"/>
  <c r="L87" i="4"/>
  <c r="L96" i="4" s="1"/>
  <c r="K53" i="4"/>
  <c r="L36" i="4"/>
  <c r="L45" i="4" s="1"/>
  <c r="K111" i="5"/>
  <c r="K104" i="5"/>
  <c r="L87" i="5"/>
  <c r="L96" i="5" s="1"/>
  <c r="K51" i="5"/>
  <c r="L34" i="5"/>
  <c r="L43" i="5" s="1"/>
  <c r="K56" i="5"/>
  <c r="K116" i="5" s="1"/>
  <c r="K53" i="5"/>
  <c r="L36" i="5"/>
  <c r="L45" i="5" s="1"/>
  <c r="M108" i="4"/>
  <c r="N91" i="4"/>
  <c r="N100" i="4" s="1"/>
  <c r="N108" i="4" s="1"/>
  <c r="L52" i="4"/>
  <c r="M35" i="4"/>
  <c r="M44" i="4" s="1"/>
  <c r="M106" i="4"/>
  <c r="N89" i="4"/>
  <c r="N98" i="4" s="1"/>
  <c r="N106" i="4" s="1"/>
  <c r="M106" i="5"/>
  <c r="N89" i="5"/>
  <c r="N98" i="5" s="1"/>
  <c r="N106" i="5" s="1"/>
  <c r="K51" i="4"/>
  <c r="L34" i="4"/>
  <c r="L43" i="4" s="1"/>
  <c r="K107" i="5"/>
  <c r="L90" i="5"/>
  <c r="L99" i="5" s="1"/>
  <c r="J110" i="5"/>
  <c r="M49" i="5"/>
  <c r="N32" i="5"/>
  <c r="N41" i="5" s="1"/>
  <c r="N32" i="4"/>
  <c r="N41" i="4" s="1"/>
  <c r="M49" i="4"/>
  <c r="J110" i="4"/>
  <c r="J115" i="4" s="1"/>
  <c r="J116" i="4"/>
  <c r="I115" i="5"/>
  <c r="I61" i="1" s="1"/>
  <c r="I62" i="1" s="1"/>
  <c r="I63" i="1" s="1"/>
  <c r="J55" i="5"/>
  <c r="J115" i="5" l="1"/>
  <c r="J61" i="1" s="1"/>
  <c r="J62" i="1" s="1"/>
  <c r="J63" i="1" s="1"/>
  <c r="L109" i="5"/>
  <c r="M92" i="5"/>
  <c r="M101" i="5" s="1"/>
  <c r="L51" i="4"/>
  <c r="M34" i="4"/>
  <c r="M43" i="4" s="1"/>
  <c r="L111" i="5"/>
  <c r="L104" i="5"/>
  <c r="M87" i="5"/>
  <c r="M96" i="5" s="1"/>
  <c r="M50" i="5"/>
  <c r="N33" i="5"/>
  <c r="N42" i="5" s="1"/>
  <c r="L53" i="4"/>
  <c r="M36" i="4"/>
  <c r="M45" i="4" s="1"/>
  <c r="N49" i="4"/>
  <c r="N49" i="5"/>
  <c r="L53" i="5"/>
  <c r="M36" i="5"/>
  <c r="M45" i="5" s="1"/>
  <c r="L50" i="4"/>
  <c r="L55" i="4" s="1"/>
  <c r="L115" i="4" s="1"/>
  <c r="M33" i="4"/>
  <c r="M42" i="4" s="1"/>
  <c r="L56" i="4"/>
  <c r="L116" i="4" s="1"/>
  <c r="L109" i="4"/>
  <c r="M92" i="4"/>
  <c r="M101" i="4" s="1"/>
  <c r="L107" i="4"/>
  <c r="M90" i="4"/>
  <c r="M99" i="4" s="1"/>
  <c r="L51" i="5"/>
  <c r="M34" i="5"/>
  <c r="M43" i="5" s="1"/>
  <c r="L56" i="5"/>
  <c r="L116" i="5" s="1"/>
  <c r="L105" i="5"/>
  <c r="M88" i="5"/>
  <c r="M97" i="5" s="1"/>
  <c r="L105" i="4"/>
  <c r="M88" i="4"/>
  <c r="M97" i="4" s="1"/>
  <c r="M52" i="4"/>
  <c r="N35" i="4"/>
  <c r="N44" i="4" s="1"/>
  <c r="N52" i="4" s="1"/>
  <c r="L111" i="4"/>
  <c r="L104" i="4"/>
  <c r="L110" i="4" s="1"/>
  <c r="M87" i="4"/>
  <c r="M96" i="4" s="1"/>
  <c r="L107" i="5"/>
  <c r="M90" i="5"/>
  <c r="M99" i="5" s="1"/>
  <c r="L52" i="5"/>
  <c r="M35" i="5"/>
  <c r="M44" i="5" s="1"/>
  <c r="K55" i="4"/>
  <c r="K110" i="4"/>
  <c r="K116" i="4"/>
  <c r="K55" i="5"/>
  <c r="K110" i="5"/>
  <c r="L55" i="5" l="1"/>
  <c r="M52" i="5"/>
  <c r="N35" i="5"/>
  <c r="N44" i="5" s="1"/>
  <c r="N52" i="5" s="1"/>
  <c r="M105" i="5"/>
  <c r="N88" i="5"/>
  <c r="N97" i="5" s="1"/>
  <c r="N105" i="5" s="1"/>
  <c r="M107" i="5"/>
  <c r="N90" i="5"/>
  <c r="N99" i="5" s="1"/>
  <c r="N107" i="5" s="1"/>
  <c r="M111" i="4"/>
  <c r="M104" i="4"/>
  <c r="M110" i="4" s="1"/>
  <c r="N87" i="4"/>
  <c r="N96" i="4" s="1"/>
  <c r="M109" i="4"/>
  <c r="N101" i="4"/>
  <c r="N109" i="4" s="1"/>
  <c r="N92" i="4"/>
  <c r="M51" i="4"/>
  <c r="N34" i="4"/>
  <c r="N43" i="4" s="1"/>
  <c r="N51" i="4" s="1"/>
  <c r="M53" i="5"/>
  <c r="N36" i="5"/>
  <c r="N45" i="5" s="1"/>
  <c r="N53" i="5" s="1"/>
  <c r="M53" i="4"/>
  <c r="N36" i="4"/>
  <c r="N45" i="4" s="1"/>
  <c r="N53" i="4" s="1"/>
  <c r="M51" i="5"/>
  <c r="M55" i="5" s="1"/>
  <c r="N34" i="5"/>
  <c r="N43" i="5" s="1"/>
  <c r="N51" i="5" s="1"/>
  <c r="M56" i="5"/>
  <c r="N50" i="5"/>
  <c r="M107" i="4"/>
  <c r="N90" i="4"/>
  <c r="N99" i="4" s="1"/>
  <c r="N107" i="4" s="1"/>
  <c r="M111" i="5"/>
  <c r="M104" i="5"/>
  <c r="N87" i="5"/>
  <c r="N96" i="5" s="1"/>
  <c r="M50" i="4"/>
  <c r="M55" i="4" s="1"/>
  <c r="M115" i="4" s="1"/>
  <c r="N33" i="4"/>
  <c r="N42" i="4" s="1"/>
  <c r="M56" i="4"/>
  <c r="M105" i="4"/>
  <c r="N88" i="4"/>
  <c r="N97" i="4" s="1"/>
  <c r="N105" i="4" s="1"/>
  <c r="M109" i="5"/>
  <c r="N92" i="5"/>
  <c r="N101" i="5" s="1"/>
  <c r="N109" i="5" s="1"/>
  <c r="L110" i="5"/>
  <c r="K115" i="4"/>
  <c r="K115" i="5"/>
  <c r="K61" i="1" s="1"/>
  <c r="K62" i="1" s="1"/>
  <c r="K63" i="1" s="1"/>
  <c r="L115" i="5" l="1"/>
  <c r="L61" i="1" s="1"/>
  <c r="L62" i="1" s="1"/>
  <c r="L63" i="1" s="1"/>
  <c r="M110" i="5"/>
  <c r="M115" i="5" s="1"/>
  <c r="M61" i="1" s="1"/>
  <c r="M62" i="1" s="1"/>
  <c r="M63" i="1" s="1"/>
  <c r="N55" i="5"/>
  <c r="N104" i="4"/>
  <c r="N110" i="4" s="1"/>
  <c r="N111" i="4"/>
  <c r="N50" i="4"/>
  <c r="N55" i="4" s="1"/>
  <c r="N115" i="4" s="1"/>
  <c r="N56" i="4"/>
  <c r="N116" i="4" s="1"/>
  <c r="N111" i="5"/>
  <c r="N104" i="5"/>
  <c r="N110" i="5" s="1"/>
  <c r="N56" i="5"/>
  <c r="N116" i="5" s="1"/>
  <c r="M116" i="5"/>
  <c r="M116" i="4"/>
  <c r="N115" i="5" l="1"/>
  <c r="N61" i="1" s="1"/>
  <c r="N62" i="1" s="1"/>
  <c r="N63" i="1" s="1"/>
</calcChain>
</file>

<file path=xl/sharedStrings.xml><?xml version="1.0" encoding="utf-8"?>
<sst xmlns="http://schemas.openxmlformats.org/spreadsheetml/2006/main" count="517" uniqueCount="134">
  <si>
    <t>CES Energy Demand Model with TECP</t>
  </si>
  <si>
    <t>Unified policy interface: same inputs drive both dynamic simulation and TECP</t>
  </si>
  <si>
    <t>POLICY INSTRUMENTS</t>
  </si>
  <si>
    <t>Level</t>
  </si>
  <si>
    <t>Unit</t>
  </si>
  <si>
    <t>Intro
year</t>
  </si>
  <si>
    <t>Target
year</t>
  </si>
  <si>
    <t>Economy-wide carbon tax</t>
  </si>
  <si>
    <t>$/tCO2</t>
  </si>
  <si>
    <t>Road Transport feebate</t>
  </si>
  <si>
    <t>Electricity Gen. feebate</t>
  </si>
  <si>
    <t>FUEL EXCISES ($/GJ) — by sector</t>
  </si>
  <si>
    <t>Fuel</t>
  </si>
  <si>
    <t>RT excise
($/GJ)</t>
  </si>
  <si>
    <t>EG excise
($/GJ)</t>
  </si>
  <si>
    <t>Coal</t>
  </si>
  <si>
    <t>Natural gas</t>
  </si>
  <si>
    <t>Gasoline</t>
  </si>
  <si>
    <t>Diesel</t>
  </si>
  <si>
    <t>Electricity</t>
  </si>
  <si>
    <t>RE generation</t>
  </si>
  <si>
    <t>COMPUTED POLICY TRAJECTORIES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</si>
  <si>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</si>
  <si>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</si>
  <si>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</si>
  <si>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</si>
  <si>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</si>
  <si>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</si>
  <si>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</si>
  <si>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</si>
  <si>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</si>
  <si>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</si>
  <si>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</si>
  <si>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</si>
  <si>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Carbon tax ($/tCO2)</t>
  </si>
  <si>
    <t>RT feebate ($/tCO2)</t>
  </si>
  <si>
    <t>EG feebate ($/tCO2)</t>
  </si>
  <si>
    <t>RT excises ($/GJ) by fuel:</t>
  </si>
  <si>
    <t xml:space="preserve">  Coal</t>
  </si>
  <si>
    <t xml:space="preserve">  Natural gas</t>
  </si>
  <si>
    <t xml:space="preserve">  Gasoline</t>
  </si>
  <si>
    <t xml:space="preserve">  Diesel</t>
  </si>
  <si>
    <t xml:space="preserve">  Electricity</t>
  </si>
  <si>
    <t xml:space="preserve">  RE generation</t>
  </si>
  <si>
    <t>EG excises ($/GJ) by fuel:</t>
  </si>
  <si>
    <t>TOTAL EFFECTIVE CARBON PRICE</t>
  </si>
  <si>
    <t>TECP at target year</t>
  </si>
  <si>
    <t>Decomposition:</t>
  </si>
  <si>
    <t>Intensive margin</t>
  </si>
  <si>
    <t>Extensive margin</t>
  </si>
  <si>
    <t>Sector breakdown:</t>
  </si>
  <si>
    <t>Road Transport</t>
  </si>
  <si>
    <t>Electricity Generation</t>
  </si>
  <si>
    <t>TECP / Carbon tax ratio</t>
  </si>
  <si>
    <t>Technical Parameters</t>
  </si>
  <si>
    <t>CES Elasticities</t>
  </si>
  <si>
    <t>Electricity Gen.</t>
  </si>
  <si>
    <t>Substitution elasticity (sigma)</t>
  </si>
  <si>
    <t>Demand elasticity (eta)</t>
  </si>
  <si>
    <t>Adjustment speed (lambda)</t>
  </si>
  <si>
    <t>Road Transport — Fuel Parameters</t>
  </si>
  <si>
    <t>Base price
($/GJ)</t>
  </si>
  <si>
    <t>Emission factor
(tCO2/GJ)</t>
  </si>
  <si>
    <t>Base quantity
(PJ)</t>
  </si>
  <si>
    <t>Efficiency
(phi)</t>
  </si>
  <si>
    <t>Effective price
($/GJ svc)</t>
  </si>
  <si>
    <t>Effective EF
(tCO2/GJ svc)</t>
  </si>
  <si>
    <t>Energy share
(w)</t>
  </si>
  <si>
    <t>Service share
(w_hat)</t>
  </si>
  <si>
    <t>Cost share
(s)</t>
  </si>
  <si>
    <t>TOTALS</t>
  </si>
  <si>
    <t>Mean eff. EF (svc-wtd)</t>
  </si>
  <si>
    <t>Total emissions (MtCO2)</t>
  </si>
  <si>
    <t>Electricity Generation — Fuel Parameters</t>
  </si>
  <si>
    <t>Total Effective Carbon Price (TECP)</t>
  </si>
  <si>
    <t>Static long-run equilibrium. Elasticities derived from CES, applied in isoelastic form.</t>
  </si>
  <si>
    <t>ROAD TRANSPORT</t>
  </si>
  <si>
    <t>E_fs
(MtCO2)</t>
  </si>
  <si>
    <t>w_hat
(svc share)</t>
  </si>
  <si>
    <t>e/phi
(tCO2/GJ svc)</t>
  </si>
  <si>
    <t>mean e/phi</t>
  </si>
  <si>
    <t>p/phi
($/GJ svc)</t>
  </si>
  <si>
    <t>C_s
($/GJ svc)</t>
  </si>
  <si>
    <t>eps_int
(isoelastic)</t>
  </si>
  <si>
    <t>eps_ext
(isoelastic)</t>
  </si>
  <si>
    <t>eps_int_tilde
(semi-elast)</t>
  </si>
  <si>
    <t>eps_ext_tilde
(semi-elast)</t>
  </si>
  <si>
    <t>tau_int
($/tCO2)</t>
  </si>
  <si>
    <t>tau_ext
($/tCO2)</t>
  </si>
  <si>
    <t>Omega_int</t>
  </si>
  <si>
    <t>Omega_ext</t>
  </si>
  <si>
    <t>Dp_eff
($/GJ svc)</t>
  </si>
  <si>
    <t>mean_Dp_eff
($/GJ svc)</t>
  </si>
  <si>
    <t>ELECTRICITY GENERATION</t>
  </si>
  <si>
    <t>TECP CALCULATION</t>
  </si>
  <si>
    <t>Lambda (normalisation)</t>
  </si>
  <si>
    <t>Numerator (policy reduction)</t>
  </si>
  <si>
    <t>Carbon tax (reference)</t>
  </si>
  <si>
    <t>Note: Isoelastic elasticities (cols H-I) derived from CES. Semi-elasticities (cols J-K) = isoelastic / price.</t>
  </si>
  <si>
    <t>Feebate input in $/tCO2: converted to $/GJ per fuel via feebate*(ef - e_bar), making it revenue-neutral.</t>
  </si>
  <si>
    <t>Partial Adjustment Model — Baseline</t>
  </si>
  <si>
    <t>ROAD TRANSPORT — Fuel Prices ($/GJ)</t>
  </si>
  <si>
    <t>$/GJ</t>
  </si>
  <si>
    <t>ROAD TRANSPORT — Effective Prices ($/GJ svc)</t>
  </si>
  <si>
    <t>$/GJ svc</t>
  </si>
  <si>
    <t>ROAD TRANSPORT — CES Cost Index</t>
  </si>
  <si>
    <t>C(t)</t>
  </si>
  <si>
    <t>ROAD TRANSPORT — Equilibrium Quantities (PJ)</t>
  </si>
  <si>
    <t>PJ</t>
  </si>
  <si>
    <t>ROAD TRANSPORT — Actual Quantities (PJ)</t>
  </si>
  <si>
    <t>ROAD TRANSPORT — Emissions (MtCO2)</t>
  </si>
  <si>
    <t>MtCO2</t>
  </si>
  <si>
    <t>TOTAL ROAD TRANSPORT EMISSIONS</t>
  </si>
  <si>
    <t>TOTAL ROAD TRANSPORT ENERGY</t>
  </si>
  <si>
    <t>ELECTRICITY GEN. — Fuel Prices ($/GJ)</t>
  </si>
  <si>
    <t>ELECTRICITY GEN. — Effective Prices ($/GJ svc)</t>
  </si>
  <si>
    <t>ELECTRICITY GEN. — CES Cost Index</t>
  </si>
  <si>
    <t>ELECTRICITY GEN. — Equilibrium Quantities (PJ)</t>
  </si>
  <si>
    <t>ELECTRICITY GEN. — Actual Quantities (PJ)</t>
  </si>
  <si>
    <t>ELECTRICITY GEN. — Emissions (MtCO2)</t>
  </si>
  <si>
    <t>TOTAL ELECTRICITY GEN. EMISSIONS</t>
  </si>
  <si>
    <t>TOTAL ELECTRICITY GEN. ENERGY</t>
  </si>
  <si>
    <t>ECONOMY-WIDE TOTALS</t>
  </si>
  <si>
    <t>Total emissions</t>
  </si>
  <si>
    <t>Total energy</t>
  </si>
  <si>
    <t>Partial Adjustment Model — Policy</t>
  </si>
  <si>
    <t>Partial Adjustment — Emissions Comparison</t>
  </si>
  <si>
    <t>Baseline emissions</t>
  </si>
  <si>
    <t>Policy emissions</t>
  </si>
  <si>
    <t>Emissions reduction</t>
  </si>
  <si>
    <t>% reduction</t>
  </si>
  <si>
    <t>%</t>
  </si>
  <si>
    <t>Reference carbon tax</t>
  </si>
  <si>
    <t>(Zero)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</si>
</sst>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\$#,##0.00"/>
    <numFmt numFmtId="166" formatCode="0.00\x"/>
    <numFmt numFmtId="167" formatCode="0.0000"/>
    <numFmt numFmtId="168" formatCode="0.000000"/>
    <numFmt numFmtId="169" formatCode="#,##0.000"/>
    <numFmt numFmtId="170" formatCode="0.0%"/>
  </numFmts>
  <fonts count="11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i/>
      <sz val="9"/>
      <color rgb="FF808080"/>
      <name val="Arial"/>
      <charset val="1"/>
    </font>
    <font>
      <b/>
      <sz val="11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4"/>
      <color rgb="FF7030A0"/>
      <name val="Arial"/>
      <charset val="1"/>
    </font>
    <font>
      <b/>
      <sz val="12"/>
      <color rgb="FF7030A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D9E2F3"/>
        <bgColor rgb="FFD6DCE4"/>
      </patternFill>
    </fill>
    <fill>
      <patternFill patternType="solid">
        <fgColor rgb="FFE8D5F5"/>
        <bgColor rgb="FFD6DCE4"/>
      </patternFill>
    </fill>
    <fill>
      <patternFill patternType="solid">
        <fgColor rgb="FFD6DCE4"/>
        <bgColor rgb="FFD9E2F3"/>
      </patternFill>
    </fill>
    <fill>
      <patternFill patternType="solid">
        <fgColor rgb="FFFFFF00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2" borderId="1" xfId="0" applyFont="1" applyFill="1" applyBorder="1" applyAlignment="1">
      <alignment horizontal="center" wrapText="1"/>
    </xf>
    <xf numFmtId="3" fontId="6" fillId="3" borderId="1" xfId="0" applyNumberFormat="1" applyFont="1" applyFill="1" applyBorder="1"/>
    <xf numFmtId="0" fontId="7" fillId="0" borderId="1" xfId="0" applyFont="1" applyBorder="1"/>
    <xf numFmtId="1" fontId="6" fillId="3" borderId="1" xfId="0" applyNumberFormat="1" applyFont="1" applyFill="1" applyBorder="1"/>
    <xf numFmtId="4" fontId="8" fillId="3" borderId="1" xfId="0" applyNumberFormat="1" applyFont="1" applyFill="1" applyBorder="1"/>
    <xf numFmtId="1" fontId="8" fillId="3" borderId="1" xfId="0" applyNumberFormat="1" applyFont="1" applyFill="1" applyBorder="1"/>
    <xf numFmtId="164" fontId="7" fillId="4" borderId="1" xfId="0" applyNumberFormat="1" applyFont="1" applyFill="1" applyBorder="1"/>
    <xf numFmtId="4" fontId="2" fillId="0" borderId="0" xfId="0" applyNumberFormat="1" applyFont="1"/>
    <xf numFmtId="0" fontId="3" fillId="5" borderId="1" xfId="0" applyFont="1" applyFill="1" applyBorder="1"/>
    <xf numFmtId="0" fontId="7" fillId="5" borderId="1" xfId="0" applyFont="1" applyFill="1" applyBorder="1"/>
    <xf numFmtId="0" fontId="9" fillId="0" borderId="1" xfId="0" applyFont="1" applyBorder="1"/>
    <xf numFmtId="165" fontId="9" fillId="6" borderId="1" xfId="0" applyNumberFormat="1" applyFont="1" applyFill="1" applyBorder="1"/>
    <xf numFmtId="0" fontId="10" fillId="0" borderId="0" xfId="0" applyFont="1"/>
    <xf numFmtId="165" fontId="4" fillId="4" borderId="1" xfId="0" applyNumberFormat="1" applyFont="1" applyFill="1" applyBorder="1"/>
    <xf numFmtId="166" fontId="4" fillId="7" borderId="1" xfId="0" applyNumberFormat="1" applyFont="1" applyFill="1" applyBorder="1"/>
    <xf numFmtId="2" fontId="6" fillId="3" borderId="1" xfId="0" applyNumberFormat="1" applyFont="1" applyFill="1" applyBorder="1"/>
    <xf numFmtId="167" fontId="8" fillId="3" borderId="1" xfId="0" applyNumberFormat="1" applyFont="1" applyFill="1" applyBorder="1"/>
    <xf numFmtId="164" fontId="8" fillId="3" borderId="1" xfId="0" applyNumberFormat="1" applyFont="1" applyFill="1" applyBorder="1"/>
    <xf numFmtId="2" fontId="8" fillId="3" borderId="1" xfId="0" applyNumberFormat="1" applyFont="1" applyFill="1" applyBorder="1"/>
    <xf numFmtId="4" fontId="7" fillId="4" borderId="1" xfId="0" applyNumberFormat="1" applyFont="1" applyFill="1" applyBorder="1"/>
    <xf numFmtId="167" fontId="7" fillId="4" borderId="1" xfId="0" applyNumberFormat="1" applyFont="1" applyFill="1" applyBorder="1"/>
    <xf numFmtId="164" fontId="4" fillId="0" borderId="1" xfId="0" applyNumberFormat="1" applyFont="1" applyBorder="1"/>
    <xf numFmtId="4" fontId="4" fillId="7" borderId="1" xfId="0" applyNumberFormat="1" applyFont="1" applyFill="1" applyBorder="1"/>
    <xf numFmtId="4" fontId="7" fillId="0" borderId="1" xfId="0" applyNumberFormat="1" applyFont="1" applyBorder="1"/>
    <xf numFmtId="167" fontId="7" fillId="0" borderId="1" xfId="0" applyNumberFormat="1" applyFont="1" applyBorder="1"/>
    <xf numFmtId="168" fontId="7" fillId="4" borderId="1" xfId="0" applyNumberFormat="1" applyFont="1" applyFill="1" applyBorder="1"/>
    <xf numFmtId="169" fontId="7" fillId="0" borderId="1" xfId="0" applyNumberFormat="1" applyFont="1" applyBorder="1"/>
    <xf numFmtId="168" fontId="4" fillId="4" borderId="1" xfId="0" applyNumberFormat="1" applyFont="1" applyFill="1" applyBorder="1"/>
    <xf numFmtId="165" fontId="8" fillId="0" borderId="1" xfId="0" applyNumberFormat="1" applyFont="1" applyBorder="1"/>
    <xf numFmtId="168" fontId="2" fillId="0" borderId="0" xfId="0" applyNumberFormat="1" applyFont="1"/>
    <xf numFmtId="4" fontId="4" fillId="4" borderId="1" xfId="0" applyNumberFormat="1" applyFont="1" applyFill="1" applyBorder="1"/>
    <xf numFmtId="164" fontId="7" fillId="0" borderId="1" xfId="0" applyNumberFormat="1" applyFont="1" applyBorder="1"/>
    <xf numFmtId="164" fontId="4" fillId="7" borderId="1" xfId="0" applyNumberFormat="1" applyFont="1" applyFill="1" applyBorder="1"/>
    <xf numFmtId="170" fontId="4" fillId="7" borderId="1" xfId="0" applyNumberFormat="1" applyFont="1" applyFill="1" applyBorder="1"/>
    <xf numFmtId="164" fontId="8" fillId="0" borderId="1" xfId="0" applyNumberFormat="1" applyFont="1" applyBorder="1"/>
    <xf numFmtId="167" fontId="7" fillId="8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D5F5"/>
      <rgbColor rgb="FF808080"/>
      <rgbColor rgb="FF9999FF"/>
      <rgbColor rgb="FF7030A0"/>
      <rgbColor rgb="FFFFF2CC"/>
      <rgbColor rgb="FFD9E2F3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N65"/>
  <sheetViews>
    <sheetView zoomScaleNormal="100" workbookViewId="0">
      <selection activeCell="C41" sqref="C41"/>
    </sheetView>
  </sheetViews>
  <sheetFormatPr defaultColWidth="8.6640625" defaultRowHeight="14.25" x14ac:dyDescent="0.45"/>
  <cols>
    <col min="1" max="1" width="30" customWidth="1"/>
    <col min="2" max="2" width="12" customWidth="1"/>
    <col min="3" max="17" width="10" customWidth="1"/>
  </cols>
  <sheetData>
    <row r="1" spans="1:5" ht="17.649999999999999" x14ac:dyDescent="0.5">
      <c r="A1" s="1" t="s">
        <v>0</v>
      </c>
    </row>
    <row r="2" spans="1:5" x14ac:dyDescent="0.45">
      <c r="A2" s="2" t="s">
        <v>1</v>
      </c>
    </row>
    <row r="4" spans="1:5" x14ac:dyDescent="0.45">
      <c r="A4" s="3" t="s">
        <v>2</v>
      </c>
      <c r="D4" t="s">
        <v>133</v>
      </c>
    </row>
    <row r="5" spans="1:5" ht="26.65" x14ac:dyDescent="0.45">
      <c r="A5" s="4"/>
      <c r="B5" s="5" t="s">
        <v>3</v>
      </c>
      <c r="C5" s="5" t="s">
        <v>4</v>
      </c>
      <c r="D5" s="5" t="s">
        <v>5</v>
      </c>
      <c r="E5" s="5" t="s">
        <v>6</v>
      </c>
    </row>
    <row r="6" spans="1:5" x14ac:dyDescent="0.45">
      <c r="A6" s="4" t="s">
        <v>7</v>
      </c>
      <c r="B6" s="6">
        <v>50</v>
      </c>
      <c r="C6" s="7" t="s">
        <v>8</v>
      </c>
      <c r="D6" s="8">
        <v>2025</v>
      </c>
      <c r="E6" s="8">
        <v>2028</v>
      </c>
    </row>
    <row r="7" spans="1:5" x14ac:dyDescent="0.45">
      <c r="A7" s="4" t="s">
        <v>9</v>
      </c>
      <c r="B7" s="6">
        <v>20</v>
      </c>
      <c r="C7" s="7" t="s">
        <v>8</v>
      </c>
      <c r="D7" s="8">
        <v>2026</v>
      </c>
      <c r="E7" s="8">
        <v>2030</v>
      </c>
    </row>
    <row r="8" spans="1:5" x14ac:dyDescent="0.45">
      <c r="A8" s="4" t="s">
        <v>10</v>
      </c>
      <c r="B8" s="6">
        <v>15</v>
      </c>
      <c r="C8" s="7" t="s">
        <v>8</v>
      </c>
      <c r="D8" s="8">
        <v>2026</v>
      </c>
      <c r="E8" s="8">
        <v>2030</v>
      </c>
    </row>
    <row r="10" spans="1:5" x14ac:dyDescent="0.45">
      <c r="A10" s="3" t="s">
        <v>11</v>
      </c>
      <c r="D10" t="s">
        <v>133</v>
      </c>
    </row>
    <row r="11" spans="1:5" ht="26.65" x14ac:dyDescent="0.45">
      <c r="A11" s="4" t="s">
        <v>12</v>
      </c>
      <c r="B11" s="5" t="s">
        <v>13</v>
      </c>
      <c r="C11" s="5" t="s">
        <v>14</v>
      </c>
      <c r="D11" s="5" t="s">
        <v>5</v>
      </c>
      <c r="E11" s="5" t="s">
        <v>6</v>
      </c>
    </row>
    <row r="12" spans="1:5" x14ac:dyDescent="0.45">
      <c r="A12" s="7" t="s">
        <v>15</v>
      </c>
      <c r="B12" s="9">
        <v>0</v>
      </c>
      <c r="C12" s="9">
        <v>0</v>
      </c>
      <c r="D12" s="10">
        <v>2025</v>
      </c>
      <c r="E12" s="10">
        <v>2028</v>
      </c>
    </row>
    <row r="13" spans="1:5" x14ac:dyDescent="0.45">
      <c r="A13" s="7" t="s">
        <v>16</v>
      </c>
      <c r="B13" s="9">
        <v>0</v>
      </c>
      <c r="C13" s="9">
        <v>0</v>
      </c>
      <c r="D13" s="10">
        <v>2025</v>
      </c>
      <c r="E13" s="10">
        <v>2028</v>
      </c>
    </row>
    <row r="14" spans="1:5" x14ac:dyDescent="0.45">
      <c r="A14" s="7" t="s">
        <v>17</v>
      </c>
      <c r="B14" s="9">
        <v>5</v>
      </c>
      <c r="C14" s="9">
        <v>0</v>
      </c>
      <c r="D14" s="10">
        <v>2025</v>
      </c>
      <c r="E14" s="10">
        <v>2028</v>
      </c>
    </row>
    <row r="15" spans="1:5" x14ac:dyDescent="0.45">
      <c r="A15" s="7" t="s">
        <v>18</v>
      </c>
      <c r="B15" s="9">
        <v>4</v>
      </c>
      <c r="C15" s="9">
        <v>0</v>
      </c>
      <c r="D15" s="10">
        <v>2025</v>
      </c>
      <c r="E15" s="10">
        <v>2028</v>
      </c>
    </row>
    <row r="16" spans="1:5" x14ac:dyDescent="0.45">
      <c r="A16" s="7" t="s">
        <v>19</v>
      </c>
      <c r="B16" s="9">
        <v>0</v>
      </c>
      <c r="C16" s="9">
        <v>0</v>
      </c>
      <c r="D16" s="10">
        <v>2025</v>
      </c>
      <c r="E16" s="10">
        <v>2028</v>
      </c>
    </row>
    <row r="17" spans="1:13" x14ac:dyDescent="0.45">
      <c r="A17" s="7" t="s">
        <v>20</v>
      </c>
      <c r="B17" s="9">
        <v>0</v>
      </c>
      <c r="C17" s="9">
        <v>0</v>
      </c>
      <c r="D17" s="10">
        <v>2025</v>
      </c>
      <c r="E17" s="10">
        <v>2028</v>
      </c>
    </row>
    <row r="19" spans="1:13" x14ac:dyDescent="0.45">
      <c r="A19" s="3" t="s">
        <v>21</v>
      </c>
    </row>
    <row r="20" spans="1:13" x14ac:dyDescent="0.45">
      <c r="A20" s="4"/>
      <c r="B20" s="4" t="s">
        <v>22</v>
      </c>
      <c r="C20" s="4" t="s">
        <v>23</v>
      </c>
      <c r="D20" s="4" t="s">
        <v>24</v>
      </c>
      <c r="E20" s="4" t="s">
        <v>25</v>
      </c>
      <c r="F20" s="4" t="s">
        <v>26</v>
      </c>
      <c r="G20" s="4" t="s">
        <v>27</v>
      </c>
      <c r="H20" s="4" t="s">
        <v>28</v>
      </c>
      <c r="I20" s="4" t="s">
        <v>29</v>
      </c>
      <c r="J20" s="4" t="s">
        <v>30</v>
      </c>
      <c r="K20" s="4" t="s">
        <v>31</v>
      </c>
      <c r="L20" s="4" t="s">
        <v>32</v>
      </c>
      <c r="M20" s="4" t="s">
        <v>33</v>
      </c>
    </row>
    <row r="21" spans="1:13" x14ac:dyDescent="0.45">
      <c r="A21" s="4" t="s">
        <v>34</v>
      </c>
      <c r="B21" s="11">
        <f>IF(2024&lt;=$D$6,0,IF(2024&gt;=$E$6,$B$6,$B$6*(2024-$D$6)/($E$6-$D$6)))</f>
        <v>0</v>
      </c>
      <c r="C21" s="11">
        <f>IF(2025&lt;=$D$6,0,IF(2025&gt;=$E$6,$B$6,$B$6*(2025-$D$6)/($E$6-$D$6)))</f>
        <v>0</v>
      </c>
      <c r="D21" s="11">
        <f>IF(2026&lt;=$D$6,0,IF(2026&gt;=$E$6,$B$6,$B$6*(2026-$D$6)/($E$6-$D$6)))</f>
        <v>16.666666666666668</v>
      </c>
      <c r="E21" s="11">
        <f>IF(2027&lt;=$D$6,0,IF(2027&gt;=$E$6,$B$6,$B$6*(2027-$D$6)/($E$6-$D$6)))</f>
        <v>33.333333333333336</v>
      </c>
      <c r="F21" s="11">
        <f>IF(2028&lt;=$D$6,0,IF(2028&gt;=$E$6,$B$6,$B$6*(2028-$D$6)/($E$6-$D$6)))</f>
        <v>50</v>
      </c>
      <c r="G21" s="11">
        <f>IF(2029&lt;=$D$6,0,IF(2029&gt;=$E$6,$B$6,$B$6*(2029-$D$6)/($E$6-$D$6)))</f>
        <v>50</v>
      </c>
      <c r="H21" s="11">
        <f>IF(2030&lt;=$D$6,0,IF(2030&gt;=$E$6,$B$6,$B$6*(2030-$D$6)/($E$6-$D$6)))</f>
        <v>50</v>
      </c>
      <c r="I21" s="11">
        <f>IF(2031&lt;=$D$6,0,IF(2031&gt;=$E$6,$B$6,$B$6*(2031-$D$6)/($E$6-$D$6)))</f>
        <v>50</v>
      </c>
      <c r="J21" s="11">
        <f>IF(2032&lt;=$D$6,0,IF(2032&gt;=$E$6,$B$6,$B$6*(2032-$D$6)/($E$6-$D$6)))</f>
        <v>50</v>
      </c>
      <c r="K21" s="11">
        <f>IF(2033&lt;=$D$6,0,IF(2033&gt;=$E$6,$B$6,$B$6*(2033-$D$6)/($E$6-$D$6)))</f>
        <v>50</v>
      </c>
      <c r="L21" s="11">
        <f>IF(2034&lt;=$D$6,0,IF(2034&gt;=$E$6,$B$6,$B$6*(2034-$D$6)/($E$6-$D$6)))</f>
        <v>50</v>
      </c>
      <c r="M21" s="11">
        <f>IF(2035&lt;=$D$6,0,IF(2035&gt;=$E$6,$B$6,$B$6*(2035-$D$6)/($E$6-$D$6)))</f>
        <v>50</v>
      </c>
    </row>
    <row r="22" spans="1:13" x14ac:dyDescent="0.45">
      <c r="A22" s="4" t="s">
        <v>35</v>
      </c>
      <c r="B22" s="11">
        <f>IF(2024&lt;=$D$7,0,IF(2024&gt;=$E$7,$B$7,$B$7*(2024-$D$7)/($E$7-$D$7)))</f>
        <v>0</v>
      </c>
      <c r="C22" s="11">
        <f>IF(2025&lt;=$D$7,0,IF(2025&gt;=$E$7,$B$7,$B$7*(2025-$D$7)/($E$7-$D$7)))</f>
        <v>0</v>
      </c>
      <c r="D22" s="11">
        <f>IF(2026&lt;=$D$7,0,IF(2026&gt;=$E$7,$B$7,$B$7*(2026-$D$7)/($E$7-$D$7)))</f>
        <v>0</v>
      </c>
      <c r="E22" s="11">
        <f>IF(2027&lt;=$D$7,0,IF(2027&gt;=$E$7,$B$7,$B$7*(2027-$D$7)/($E$7-$D$7)))</f>
        <v>5</v>
      </c>
      <c r="F22" s="11">
        <f>IF(2028&lt;=$D$7,0,IF(2028&gt;=$E$7,$B$7,$B$7*(2028-$D$7)/($E$7-$D$7)))</f>
        <v>10</v>
      </c>
      <c r="G22" s="11">
        <f>IF(2029&lt;=$D$7,0,IF(2029&gt;=$E$7,$B$7,$B$7*(2029-$D$7)/($E$7-$D$7)))</f>
        <v>15</v>
      </c>
      <c r="H22" s="11">
        <f>IF(2030&lt;=$D$7,0,IF(2030&gt;=$E$7,$B$7,$B$7*(2030-$D$7)/($E$7-$D$7)))</f>
        <v>20</v>
      </c>
      <c r="I22" s="11">
        <f>IF(2031&lt;=$D$7,0,IF(2031&gt;=$E$7,$B$7,$B$7*(2031-$D$7)/($E$7-$D$7)))</f>
        <v>20</v>
      </c>
      <c r="J22" s="11">
        <f>IF(2032&lt;=$D$7,0,IF(2032&gt;=$E$7,$B$7,$B$7*(2032-$D$7)/($E$7-$D$7)))</f>
        <v>20</v>
      </c>
      <c r="K22" s="11">
        <f>IF(2033&lt;=$D$7,0,IF(2033&gt;=$E$7,$B$7,$B$7*(2033-$D$7)/($E$7-$D$7)))</f>
        <v>20</v>
      </c>
      <c r="L22" s="11">
        <f>IF(2034&lt;=$D$7,0,IF(2034&gt;=$E$7,$B$7,$B$7*(2034-$D$7)/($E$7-$D$7)))</f>
        <v>20</v>
      </c>
      <c r="M22" s="11">
        <f>IF(2035&lt;=$D$7,0,IF(2035&gt;=$E$7,$B$7,$B$7*(2035-$D$7)/($E$7-$D$7)))</f>
        <v>20</v>
      </c>
    </row>
    <row r="23" spans="1:13" x14ac:dyDescent="0.45">
      <c r="A23" s="4" t="s">
        <v>36</v>
      </c>
      <c r="B23" s="11">
        <f>IF(2024&lt;=$D$8,0,IF(2024&gt;=$E$8,$B$8,$B$8*(2024-$D$8)/($E$8-$D$8)))</f>
        <v>0</v>
      </c>
      <c r="C23" s="11">
        <f>IF(2025&lt;=$D$8,0,IF(2025&gt;=$E$8,$B$8,$B$8*(2025-$D$8)/($E$8-$D$8)))</f>
        <v>0</v>
      </c>
      <c r="D23" s="11">
        <f>IF(2026&lt;=$D$8,0,IF(2026&gt;=$E$8,$B$8,$B$8*(2026-$D$8)/($E$8-$D$8)))</f>
        <v>0</v>
      </c>
      <c r="E23" s="11">
        <f>IF(2027&lt;=$D$8,0,IF(2027&gt;=$E$8,$B$8,$B$8*(2027-$D$8)/($E$8-$D$8)))</f>
        <v>3.75</v>
      </c>
      <c r="F23" s="11">
        <f>IF(2028&lt;=$D$8,0,IF(2028&gt;=$E$8,$B$8,$B$8*(2028-$D$8)/($E$8-$D$8)))</f>
        <v>7.5</v>
      </c>
      <c r="G23" s="11">
        <f>IF(2029&lt;=$D$8,0,IF(2029&gt;=$E$8,$B$8,$B$8*(2029-$D$8)/($E$8-$D$8)))</f>
        <v>11.25</v>
      </c>
      <c r="H23" s="11">
        <f>IF(2030&lt;=$D$8,0,IF(2030&gt;=$E$8,$B$8,$B$8*(2030-$D$8)/($E$8-$D$8)))</f>
        <v>15</v>
      </c>
      <c r="I23" s="11">
        <f>IF(2031&lt;=$D$8,0,IF(2031&gt;=$E$8,$B$8,$B$8*(2031-$D$8)/($E$8-$D$8)))</f>
        <v>15</v>
      </c>
      <c r="J23" s="11">
        <f>IF(2032&lt;=$D$8,0,IF(2032&gt;=$E$8,$B$8,$B$8*(2032-$D$8)/($E$8-$D$8)))</f>
        <v>15</v>
      </c>
      <c r="K23" s="11">
        <f>IF(2033&lt;=$D$8,0,IF(2033&gt;=$E$8,$B$8,$B$8*(2033-$D$8)/($E$8-$D$8)))</f>
        <v>15</v>
      </c>
      <c r="L23" s="11">
        <f>IF(2034&lt;=$D$8,0,IF(2034&gt;=$E$8,$B$8,$B$8*(2034-$D$8)/($E$8-$D$8)))</f>
        <v>15</v>
      </c>
      <c r="M23" s="11">
        <f>IF(2035&lt;=$D$8,0,IF(2035&gt;=$E$8,$B$8,$B$8*(2035-$D$8)/($E$8-$D$8)))</f>
        <v>15</v>
      </c>
    </row>
    <row r="24" spans="1:13" x14ac:dyDescent="0.45">
      <c r="A24" s="2" t="s">
        <v>37</v>
      </c>
    </row>
    <row r="25" spans="1:13" x14ac:dyDescent="0.45">
      <c r="A25" s="2" t="s">
        <v>38</v>
      </c>
      <c r="B25" s="12">
        <f>IF(2024&lt;=$D$12,0,IF(2024&gt;=$E$12,$B$12,$B$12*(2024-$D$12)/($E$12-$D$12)))</f>
        <v>0</v>
      </c>
      <c r="C25" s="12">
        <f>IF(2025&lt;=$D$12,0,IF(2025&gt;=$E$12,$B$12,$B$12*(2025-$D$12)/($E$12-$D$12)))</f>
        <v>0</v>
      </c>
      <c r="D25" s="12">
        <f>IF(2026&lt;=$D$12,0,IF(2026&gt;=$E$12,$B$12,$B$12*(2026-$D$12)/($E$12-$D$12)))</f>
        <v>0</v>
      </c>
      <c r="E25" s="12">
        <f>IF(2027&lt;=$D$12,0,IF(2027&gt;=$E$12,$B$12,$B$12*(2027-$D$12)/($E$12-$D$12)))</f>
        <v>0</v>
      </c>
      <c r="F25" s="12">
        <f>IF(2028&lt;=$D$12,0,IF(2028&gt;=$E$12,$B$12,$B$12*(2028-$D$12)/($E$12-$D$12)))</f>
        <v>0</v>
      </c>
      <c r="G25" s="12">
        <f>IF(2029&lt;=$D$12,0,IF(2029&gt;=$E$12,$B$12,$B$12*(2029-$D$12)/($E$12-$D$12)))</f>
        <v>0</v>
      </c>
      <c r="H25" s="12">
        <f>IF(2030&lt;=$D$12,0,IF(2030&gt;=$E$12,$B$12,$B$12*(2030-$D$12)/($E$12-$D$12)))</f>
        <v>0</v>
      </c>
      <c r="I25" s="12">
        <f>IF(2031&lt;=$D$12,0,IF(2031&gt;=$E$12,$B$12,$B$12*(2031-$D$12)/($E$12-$D$12)))</f>
        <v>0</v>
      </c>
      <c r="J25" s="12">
        <f>IF(2032&lt;=$D$12,0,IF(2032&gt;=$E$12,$B$12,$B$12*(2032-$D$12)/($E$12-$D$12)))</f>
        <v>0</v>
      </c>
      <c r="K25" s="12">
        <f>IF(2033&lt;=$D$12,0,IF(2033&gt;=$E$12,$B$12,$B$12*(2033-$D$12)/($E$12-$D$12)))</f>
        <v>0</v>
      </c>
      <c r="L25" s="12">
        <f>IF(2034&lt;=$D$12,0,IF(2034&gt;=$E$12,$B$12,$B$12*(2034-$D$12)/($E$12-$D$12)))</f>
        <v>0</v>
      </c>
      <c r="M25" s="12">
        <f>IF(2035&lt;=$D$12,0,IF(2035&gt;=$E$12,$B$12,$B$12*(2035-$D$12)/($E$12-$D$12)))</f>
        <v>0</v>
      </c>
    </row>
    <row r="26" spans="1:13" x14ac:dyDescent="0.45">
      <c r="A26" s="2" t="s">
        <v>39</v>
      </c>
      <c r="B26" s="12">
        <f>IF(2024&lt;=$D$13,0,IF(2024&gt;=$E$13,$B$13,$B$13*(2024-$D$13)/($E$13-$D$13)))</f>
        <v>0</v>
      </c>
      <c r="C26" s="12">
        <f>IF(2025&lt;=$D$13,0,IF(2025&gt;=$E$13,$B$13,$B$13*(2025-$D$13)/($E$13-$D$13)))</f>
        <v>0</v>
      </c>
      <c r="D26" s="12">
        <f>IF(2026&lt;=$D$13,0,IF(2026&gt;=$E$13,$B$13,$B$13*(2026-$D$13)/($E$13-$D$13)))</f>
        <v>0</v>
      </c>
      <c r="E26" s="12">
        <f>IF(2027&lt;=$D$13,0,IF(2027&gt;=$E$13,$B$13,$B$13*(2027-$D$13)/($E$13-$D$13)))</f>
        <v>0</v>
      </c>
      <c r="F26" s="12">
        <f>IF(2028&lt;=$D$13,0,IF(2028&gt;=$E$13,$B$13,$B$13*(2028-$D$13)/($E$13-$D$13)))</f>
        <v>0</v>
      </c>
      <c r="G26" s="12">
        <f>IF(2029&lt;=$D$13,0,IF(2029&gt;=$E$13,$B$13,$B$13*(2029-$D$13)/($E$13-$D$13)))</f>
        <v>0</v>
      </c>
      <c r="H26" s="12">
        <f>IF(2030&lt;=$D$13,0,IF(2030&gt;=$E$13,$B$13,$B$13*(2030-$D$13)/($E$13-$D$13)))</f>
        <v>0</v>
      </c>
      <c r="I26" s="12">
        <f>IF(2031&lt;=$D$13,0,IF(2031&gt;=$E$13,$B$13,$B$13*(2031-$D$13)/($E$13-$D$13)))</f>
        <v>0</v>
      </c>
      <c r="J26" s="12">
        <f>IF(2032&lt;=$D$13,0,IF(2032&gt;=$E$13,$B$13,$B$13*(2032-$D$13)/($E$13-$D$13)))</f>
        <v>0</v>
      </c>
      <c r="K26" s="12">
        <f>IF(2033&lt;=$D$13,0,IF(2033&gt;=$E$13,$B$13,$B$13*(2033-$D$13)/($E$13-$D$13)))</f>
        <v>0</v>
      </c>
      <c r="L26" s="12">
        <f>IF(2034&lt;=$D$13,0,IF(2034&gt;=$E$13,$B$13,$B$13*(2034-$D$13)/($E$13-$D$13)))</f>
        <v>0</v>
      </c>
      <c r="M26" s="12">
        <f>IF(2035&lt;=$D$13,0,IF(2035&gt;=$E$13,$B$13,$B$13*(2035-$D$13)/($E$13-$D$13)))</f>
        <v>0</v>
      </c>
    </row>
    <row r="27" spans="1:13" x14ac:dyDescent="0.45">
      <c r="A27" s="2" t="s">
        <v>40</v>
      </c>
      <c r="B27" s="12">
        <f>IF(2024&lt;=$D$14,0,IF(2024&gt;=$E$14,$B$14,$B$14*(2024-$D$14)/($E$14-$D$14)))</f>
        <v>0</v>
      </c>
      <c r="C27" s="12">
        <f>IF(2025&lt;=$D$14,0,IF(2025&gt;=$E$14,$B$14,$B$14*(2025-$D$14)/($E$14-$D$14)))</f>
        <v>0</v>
      </c>
      <c r="D27" s="12">
        <f>IF(2026&lt;=$D$14,0,IF(2026&gt;=$E$14,$B$14,$B$14*(2026-$D$14)/($E$14-$D$14)))</f>
        <v>1.6666666666666667</v>
      </c>
      <c r="E27" s="12">
        <f>IF(2027&lt;=$D$14,0,IF(2027&gt;=$E$14,$B$14,$B$14*(2027-$D$14)/($E$14-$D$14)))</f>
        <v>3.3333333333333335</v>
      </c>
      <c r="F27" s="12">
        <f>IF(2028&lt;=$D$14,0,IF(2028&gt;=$E$14,$B$14,$B$14*(2028-$D$14)/($E$14-$D$14)))</f>
        <v>5</v>
      </c>
      <c r="G27" s="12">
        <f>IF(2029&lt;=$D$14,0,IF(2029&gt;=$E$14,$B$14,$B$14*(2029-$D$14)/($E$14-$D$14)))</f>
        <v>5</v>
      </c>
      <c r="H27" s="12">
        <f>IF(2030&lt;=$D$14,0,IF(2030&gt;=$E$14,$B$14,$B$14*(2030-$D$14)/($E$14-$D$14)))</f>
        <v>5</v>
      </c>
      <c r="I27" s="12">
        <f>IF(2031&lt;=$D$14,0,IF(2031&gt;=$E$14,$B$14,$B$14*(2031-$D$14)/($E$14-$D$14)))</f>
        <v>5</v>
      </c>
      <c r="J27" s="12">
        <f>IF(2032&lt;=$D$14,0,IF(2032&gt;=$E$14,$B$14,$B$14*(2032-$D$14)/($E$14-$D$14)))</f>
        <v>5</v>
      </c>
      <c r="K27" s="12">
        <f>IF(2033&lt;=$D$14,0,IF(2033&gt;=$E$14,$B$14,$B$14*(2033-$D$14)/($E$14-$D$14)))</f>
        <v>5</v>
      </c>
      <c r="L27" s="12">
        <f>IF(2034&lt;=$D$14,0,IF(2034&gt;=$E$14,$B$14,$B$14*(2034-$D$14)/($E$14-$D$14)))</f>
        <v>5</v>
      </c>
      <c r="M27" s="12">
        <f>IF(2035&lt;=$D$14,0,IF(2035&gt;=$E$14,$B$14,$B$14*(2035-$D$14)/($E$14-$D$14)))</f>
        <v>5</v>
      </c>
    </row>
    <row r="28" spans="1:13" x14ac:dyDescent="0.45">
      <c r="A28" s="2" t="s">
        <v>41</v>
      </c>
      <c r="B28" s="12">
        <f>IF(2024&lt;=$D$15,0,IF(2024&gt;=$E$15,$B$15,$B$15*(2024-$D$15)/($E$15-$D$15)))</f>
        <v>0</v>
      </c>
      <c r="C28" s="12">
        <f>IF(2025&lt;=$D$15,0,IF(2025&gt;=$E$15,$B$15,$B$15*(2025-$D$15)/($E$15-$D$15)))</f>
        <v>0</v>
      </c>
      <c r="D28" s="12">
        <f>IF(2026&lt;=$D$15,0,IF(2026&gt;=$E$15,$B$15,$B$15*(2026-$D$15)/($E$15-$D$15)))</f>
        <v>1.3333333333333333</v>
      </c>
      <c r="E28" s="12">
        <f>IF(2027&lt;=$D$15,0,IF(2027&gt;=$E$15,$B$15,$B$15*(2027-$D$15)/($E$15-$D$15)))</f>
        <v>2.6666666666666665</v>
      </c>
      <c r="F28" s="12">
        <f>IF(2028&lt;=$D$15,0,IF(2028&gt;=$E$15,$B$15,$B$15*(2028-$D$15)/($E$15-$D$15)))</f>
        <v>4</v>
      </c>
      <c r="G28" s="12">
        <f>IF(2029&lt;=$D$15,0,IF(2029&gt;=$E$15,$B$15,$B$15*(2029-$D$15)/($E$15-$D$15)))</f>
        <v>4</v>
      </c>
      <c r="H28" s="12">
        <f>IF(2030&lt;=$D$15,0,IF(2030&gt;=$E$15,$B$15,$B$15*(2030-$D$15)/($E$15-$D$15)))</f>
        <v>4</v>
      </c>
      <c r="I28" s="12">
        <f>IF(2031&lt;=$D$15,0,IF(2031&gt;=$E$15,$B$15,$B$15*(2031-$D$15)/($E$15-$D$15)))</f>
        <v>4</v>
      </c>
      <c r="J28" s="12">
        <f>IF(2032&lt;=$D$15,0,IF(2032&gt;=$E$15,$B$15,$B$15*(2032-$D$15)/($E$15-$D$15)))</f>
        <v>4</v>
      </c>
      <c r="K28" s="12">
        <f>IF(2033&lt;=$D$15,0,IF(2033&gt;=$E$15,$B$15,$B$15*(2033-$D$15)/($E$15-$D$15)))</f>
        <v>4</v>
      </c>
      <c r="L28" s="12">
        <f>IF(2034&lt;=$D$15,0,IF(2034&gt;=$E$15,$B$15,$B$15*(2034-$D$15)/($E$15-$D$15)))</f>
        <v>4</v>
      </c>
      <c r="M28" s="12">
        <f>IF(2035&lt;=$D$15,0,IF(2035&gt;=$E$15,$B$15,$B$15*(2035-$D$15)/($E$15-$D$15)))</f>
        <v>4</v>
      </c>
    </row>
    <row r="29" spans="1:13" x14ac:dyDescent="0.45">
      <c r="A29" s="2" t="s">
        <v>42</v>
      </c>
      <c r="B29" s="12">
        <f>IF(2024&lt;=$D$16,0,IF(2024&gt;=$E$16,$B$16,$B$16*(2024-$D$16)/($E$16-$D$16)))</f>
        <v>0</v>
      </c>
      <c r="C29" s="12">
        <f>IF(2025&lt;=$D$16,0,IF(2025&gt;=$E$16,$B$16,$B$16*(2025-$D$16)/($E$16-$D$16)))</f>
        <v>0</v>
      </c>
      <c r="D29" s="12">
        <f>IF(2026&lt;=$D$16,0,IF(2026&gt;=$E$16,$B$16,$B$16*(2026-$D$16)/($E$16-$D$16)))</f>
        <v>0</v>
      </c>
      <c r="E29" s="12">
        <f>IF(2027&lt;=$D$16,0,IF(2027&gt;=$E$16,$B$16,$B$16*(2027-$D$16)/($E$16-$D$16)))</f>
        <v>0</v>
      </c>
      <c r="F29" s="12">
        <f>IF(2028&lt;=$D$16,0,IF(2028&gt;=$E$16,$B$16,$B$16*(2028-$D$16)/($E$16-$D$16)))</f>
        <v>0</v>
      </c>
      <c r="G29" s="12">
        <f>IF(2029&lt;=$D$16,0,IF(2029&gt;=$E$16,$B$16,$B$16*(2029-$D$16)/($E$16-$D$16)))</f>
        <v>0</v>
      </c>
      <c r="H29" s="12">
        <f>IF(2030&lt;=$D$16,0,IF(2030&gt;=$E$16,$B$16,$B$16*(2030-$D$16)/($E$16-$D$16)))</f>
        <v>0</v>
      </c>
      <c r="I29" s="12">
        <f>IF(2031&lt;=$D$16,0,IF(2031&gt;=$E$16,$B$16,$B$16*(2031-$D$16)/($E$16-$D$16)))</f>
        <v>0</v>
      </c>
      <c r="J29" s="12">
        <f>IF(2032&lt;=$D$16,0,IF(2032&gt;=$E$16,$B$16,$B$16*(2032-$D$16)/($E$16-$D$16)))</f>
        <v>0</v>
      </c>
      <c r="K29" s="12">
        <f>IF(2033&lt;=$D$16,0,IF(2033&gt;=$E$16,$B$16,$B$16*(2033-$D$16)/($E$16-$D$16)))</f>
        <v>0</v>
      </c>
      <c r="L29" s="12">
        <f>IF(2034&lt;=$D$16,0,IF(2034&gt;=$E$16,$B$16,$B$16*(2034-$D$16)/($E$16-$D$16)))</f>
        <v>0</v>
      </c>
      <c r="M29" s="12">
        <f>IF(2035&lt;=$D$16,0,IF(2035&gt;=$E$16,$B$16,$B$16*(2035-$D$16)/($E$16-$D$16)))</f>
        <v>0</v>
      </c>
    </row>
    <row r="30" spans="1:13" x14ac:dyDescent="0.45">
      <c r="A30" s="2" t="s">
        <v>43</v>
      </c>
      <c r="B30" s="12">
        <f>IF(2024&lt;=$D$17,0,IF(2024&gt;=$E$17,$B$17,$B$17*(2024-$D$17)/($E$17-$D$17)))</f>
        <v>0</v>
      </c>
      <c r="C30" s="12">
        <f>IF(2025&lt;=$D$17,0,IF(2025&gt;=$E$17,$B$17,$B$17*(2025-$D$17)/($E$17-$D$17)))</f>
        <v>0</v>
      </c>
      <c r="D30" s="12">
        <f>IF(2026&lt;=$D$17,0,IF(2026&gt;=$E$17,$B$17,$B$17*(2026-$D$17)/($E$17-$D$17)))</f>
        <v>0</v>
      </c>
      <c r="E30" s="12">
        <f>IF(2027&lt;=$D$17,0,IF(2027&gt;=$E$17,$B$17,$B$17*(2027-$D$17)/($E$17-$D$17)))</f>
        <v>0</v>
      </c>
      <c r="F30" s="12">
        <f>IF(2028&lt;=$D$17,0,IF(2028&gt;=$E$17,$B$17,$B$17*(2028-$D$17)/($E$17-$D$17)))</f>
        <v>0</v>
      </c>
      <c r="G30" s="12">
        <f>IF(2029&lt;=$D$17,0,IF(2029&gt;=$E$17,$B$17,$B$17*(2029-$D$17)/($E$17-$D$17)))</f>
        <v>0</v>
      </c>
      <c r="H30" s="12">
        <f>IF(2030&lt;=$D$17,0,IF(2030&gt;=$E$17,$B$17,$B$17*(2030-$D$17)/($E$17-$D$17)))</f>
        <v>0</v>
      </c>
      <c r="I30" s="12">
        <f>IF(2031&lt;=$D$17,0,IF(2031&gt;=$E$17,$B$17,$B$17*(2031-$D$17)/($E$17-$D$17)))</f>
        <v>0</v>
      </c>
      <c r="J30" s="12">
        <f>IF(2032&lt;=$D$17,0,IF(2032&gt;=$E$17,$B$17,$B$17*(2032-$D$17)/($E$17-$D$17)))</f>
        <v>0</v>
      </c>
      <c r="K30" s="12">
        <f>IF(2033&lt;=$D$17,0,IF(2033&gt;=$E$17,$B$17,$B$17*(2033-$D$17)/($E$17-$D$17)))</f>
        <v>0</v>
      </c>
      <c r="L30" s="12">
        <f>IF(2034&lt;=$D$17,0,IF(2034&gt;=$E$17,$B$17,$B$17*(2034-$D$17)/($E$17-$D$17)))</f>
        <v>0</v>
      </c>
      <c r="M30" s="12">
        <f>IF(2035&lt;=$D$17,0,IF(2035&gt;=$E$17,$B$17,$B$17*(2035-$D$17)/($E$17-$D$17)))</f>
        <v>0</v>
      </c>
    </row>
    <row r="31" spans="1:13" x14ac:dyDescent="0.45">
      <c r="A31" s="2" t="s">
        <v>44</v>
      </c>
    </row>
    <row r="32" spans="1:13" x14ac:dyDescent="0.45">
      <c r="A32" s="2" t="s">
        <v>38</v>
      </c>
      <c r="B32" s="12">
        <f>IF(2024&lt;=$D$12,0,IF(2024&gt;=$E$12,$C$12,$C$12*(2024-$D$12)/($E$12-$D$12)))</f>
        <v>0</v>
      </c>
      <c r="C32" s="12">
        <f>IF(2025&lt;=$D$12,0,IF(2025&gt;=$E$12,$C$12,$C$12*(2025-$D$12)/($E$12-$D$12)))</f>
        <v>0</v>
      </c>
      <c r="D32" s="12">
        <f>IF(2026&lt;=$D$12,0,IF(2026&gt;=$E$12,$C$12,$C$12*(2026-$D$12)/($E$12-$D$12)))</f>
        <v>0</v>
      </c>
      <c r="E32" s="12">
        <f>IF(2027&lt;=$D$12,0,IF(2027&gt;=$E$12,$C$12,$C$12*(2027-$D$12)/($E$12-$D$12)))</f>
        <v>0</v>
      </c>
      <c r="F32" s="12">
        <f>IF(2028&lt;=$D$12,0,IF(2028&gt;=$E$12,$C$12,$C$12*(2028-$D$12)/($E$12-$D$12)))</f>
        <v>0</v>
      </c>
      <c r="G32" s="12">
        <f>IF(2029&lt;=$D$12,0,IF(2029&gt;=$E$12,$C$12,$C$12*(2029-$D$12)/($E$12-$D$12)))</f>
        <v>0</v>
      </c>
      <c r="H32" s="12">
        <f>IF(2030&lt;=$D$12,0,IF(2030&gt;=$E$12,$C$12,$C$12*(2030-$D$12)/($E$12-$D$12)))</f>
        <v>0</v>
      </c>
      <c r="I32" s="12">
        <f>IF(2031&lt;=$D$12,0,IF(2031&gt;=$E$12,$C$12,$C$12*(2031-$D$12)/($E$12-$D$12)))</f>
        <v>0</v>
      </c>
      <c r="J32" s="12">
        <f>IF(2032&lt;=$D$12,0,IF(2032&gt;=$E$12,$C$12,$C$12*(2032-$D$12)/($E$12-$D$12)))</f>
        <v>0</v>
      </c>
      <c r="K32" s="12">
        <f>IF(2033&lt;=$D$12,0,IF(2033&gt;=$E$12,$C$12,$C$12*(2033-$D$12)/($E$12-$D$12)))</f>
        <v>0</v>
      </c>
      <c r="L32" s="12">
        <f>IF(2034&lt;=$D$12,0,IF(2034&gt;=$E$12,$C$12,$C$12*(2034-$D$12)/($E$12-$D$12)))</f>
        <v>0</v>
      </c>
      <c r="M32" s="12">
        <f>IF(2035&lt;=$D$12,0,IF(2035&gt;=$E$12,$C$12,$C$12*(2035-$D$12)/($E$12-$D$12)))</f>
        <v>0</v>
      </c>
    </row>
    <row r="33" spans="1:13" x14ac:dyDescent="0.45">
      <c r="A33" s="2" t="s">
        <v>39</v>
      </c>
      <c r="B33" s="12">
        <f>IF(2024&lt;=$D$13,0,IF(2024&gt;=$E$13,$C$13,$C$13*(2024-$D$13)/($E$13-$D$13)))</f>
        <v>0</v>
      </c>
      <c r="C33" s="12">
        <f>IF(2025&lt;=$D$13,0,IF(2025&gt;=$E$13,$C$13,$C$13*(2025-$D$13)/($E$13-$D$13)))</f>
        <v>0</v>
      </c>
      <c r="D33" s="12">
        <f>IF(2026&lt;=$D$13,0,IF(2026&gt;=$E$13,$C$13,$C$13*(2026-$D$13)/($E$13-$D$13)))</f>
        <v>0</v>
      </c>
      <c r="E33" s="12">
        <f>IF(2027&lt;=$D$13,0,IF(2027&gt;=$E$13,$C$13,$C$13*(2027-$D$13)/($E$13-$D$13)))</f>
        <v>0</v>
      </c>
      <c r="F33" s="12">
        <f>IF(2028&lt;=$D$13,0,IF(2028&gt;=$E$13,$C$13,$C$13*(2028-$D$13)/($E$13-$D$13)))</f>
        <v>0</v>
      </c>
      <c r="G33" s="12">
        <f>IF(2029&lt;=$D$13,0,IF(2029&gt;=$E$13,$C$13,$C$13*(2029-$D$13)/($E$13-$D$13)))</f>
        <v>0</v>
      </c>
      <c r="H33" s="12">
        <f>IF(2030&lt;=$D$13,0,IF(2030&gt;=$E$13,$C$13,$C$13*(2030-$D$13)/($E$13-$D$13)))</f>
        <v>0</v>
      </c>
      <c r="I33" s="12">
        <f>IF(2031&lt;=$D$13,0,IF(2031&gt;=$E$13,$C$13,$C$13*(2031-$D$13)/($E$13-$D$13)))</f>
        <v>0</v>
      </c>
      <c r="J33" s="12">
        <f>IF(2032&lt;=$D$13,0,IF(2032&gt;=$E$13,$C$13,$C$13*(2032-$D$13)/($E$13-$D$13)))</f>
        <v>0</v>
      </c>
      <c r="K33" s="12">
        <f>IF(2033&lt;=$D$13,0,IF(2033&gt;=$E$13,$C$13,$C$13*(2033-$D$13)/($E$13-$D$13)))</f>
        <v>0</v>
      </c>
      <c r="L33" s="12">
        <f>IF(2034&lt;=$D$13,0,IF(2034&gt;=$E$13,$C$13,$C$13*(2034-$D$13)/($E$13-$D$13)))</f>
        <v>0</v>
      </c>
      <c r="M33" s="12">
        <f>IF(2035&lt;=$D$13,0,IF(2035&gt;=$E$13,$C$13,$C$13*(2035-$D$13)/($E$13-$D$13)))</f>
        <v>0</v>
      </c>
    </row>
    <row r="34" spans="1:13" x14ac:dyDescent="0.45">
      <c r="A34" s="2" t="s">
        <v>40</v>
      </c>
      <c r="B34" s="12">
        <f>IF(2024&lt;=$D$14,0,IF(2024&gt;=$E$14,$C$14,$C$14*(2024-$D$14)/($E$14-$D$14)))</f>
        <v>0</v>
      </c>
      <c r="C34" s="12">
        <f>IF(2025&lt;=$D$14,0,IF(2025&gt;=$E$14,$C$14,$C$14*(2025-$D$14)/($E$14-$D$14)))</f>
        <v>0</v>
      </c>
      <c r="D34" s="12">
        <f>IF(2026&lt;=$D$14,0,IF(2026&gt;=$E$14,$C$14,$C$14*(2026-$D$14)/($E$14-$D$14)))</f>
        <v>0</v>
      </c>
      <c r="E34" s="12">
        <f>IF(2027&lt;=$D$14,0,IF(2027&gt;=$E$14,$C$14,$C$14*(2027-$D$14)/($E$14-$D$14)))</f>
        <v>0</v>
      </c>
      <c r="F34" s="12">
        <f>IF(2028&lt;=$D$14,0,IF(2028&gt;=$E$14,$C$14,$C$14*(2028-$D$14)/($E$14-$D$14)))</f>
        <v>0</v>
      </c>
      <c r="G34" s="12">
        <f>IF(2029&lt;=$D$14,0,IF(2029&gt;=$E$14,$C$14,$C$14*(2029-$D$14)/($E$14-$D$14)))</f>
        <v>0</v>
      </c>
      <c r="H34" s="12">
        <f>IF(2030&lt;=$D$14,0,IF(2030&gt;=$E$14,$C$14,$C$14*(2030-$D$14)/($E$14-$D$14)))</f>
        <v>0</v>
      </c>
      <c r="I34" s="12">
        <f>IF(2031&lt;=$D$14,0,IF(2031&gt;=$E$14,$C$14,$C$14*(2031-$D$14)/($E$14-$D$14)))</f>
        <v>0</v>
      </c>
      <c r="J34" s="12">
        <f>IF(2032&lt;=$D$14,0,IF(2032&gt;=$E$14,$C$14,$C$14*(2032-$D$14)/($E$14-$D$14)))</f>
        <v>0</v>
      </c>
      <c r="K34" s="12">
        <f>IF(2033&lt;=$D$14,0,IF(2033&gt;=$E$14,$C$14,$C$14*(2033-$D$14)/($E$14-$D$14)))</f>
        <v>0</v>
      </c>
      <c r="L34" s="12">
        <f>IF(2034&lt;=$D$14,0,IF(2034&gt;=$E$14,$C$14,$C$14*(2034-$D$14)/($E$14-$D$14)))</f>
        <v>0</v>
      </c>
      <c r="M34" s="12">
        <f>IF(2035&lt;=$D$14,0,IF(2035&gt;=$E$14,$C$14,$C$14*(2035-$D$14)/($E$14-$D$14)))</f>
        <v>0</v>
      </c>
    </row>
    <row r="35" spans="1:13" x14ac:dyDescent="0.45">
      <c r="A35" s="2" t="s">
        <v>41</v>
      </c>
      <c r="B35" s="12">
        <f>IF(2024&lt;=$D$15,0,IF(2024&gt;=$E$15,$C$15,$C$15*(2024-$D$15)/($E$15-$D$15)))</f>
        <v>0</v>
      </c>
      <c r="C35" s="12">
        <f>IF(2025&lt;=$D$15,0,IF(2025&gt;=$E$15,$C$15,$C$15*(2025-$D$15)/($E$15-$D$15)))</f>
        <v>0</v>
      </c>
      <c r="D35" s="12">
        <f>IF(2026&lt;=$D$15,0,IF(2026&gt;=$E$15,$C$15,$C$15*(2026-$D$15)/($E$15-$D$15)))</f>
        <v>0</v>
      </c>
      <c r="E35" s="12">
        <f>IF(2027&lt;=$D$15,0,IF(2027&gt;=$E$15,$C$15,$C$15*(2027-$D$15)/($E$15-$D$15)))</f>
        <v>0</v>
      </c>
      <c r="F35" s="12">
        <f>IF(2028&lt;=$D$15,0,IF(2028&gt;=$E$15,$C$15,$C$15*(2028-$D$15)/($E$15-$D$15)))</f>
        <v>0</v>
      </c>
      <c r="G35" s="12">
        <f>IF(2029&lt;=$D$15,0,IF(2029&gt;=$E$15,$C$15,$C$15*(2029-$D$15)/($E$15-$D$15)))</f>
        <v>0</v>
      </c>
      <c r="H35" s="12">
        <f>IF(2030&lt;=$D$15,0,IF(2030&gt;=$E$15,$C$15,$C$15*(2030-$D$15)/($E$15-$D$15)))</f>
        <v>0</v>
      </c>
      <c r="I35" s="12">
        <f>IF(2031&lt;=$D$15,0,IF(2031&gt;=$E$15,$C$15,$C$15*(2031-$D$15)/($E$15-$D$15)))</f>
        <v>0</v>
      </c>
      <c r="J35" s="12">
        <f>IF(2032&lt;=$D$15,0,IF(2032&gt;=$E$15,$C$15,$C$15*(2032-$D$15)/($E$15-$D$15)))</f>
        <v>0</v>
      </c>
      <c r="K35" s="12">
        <f>IF(2033&lt;=$D$15,0,IF(2033&gt;=$E$15,$C$15,$C$15*(2033-$D$15)/($E$15-$D$15)))</f>
        <v>0</v>
      </c>
      <c r="L35" s="12">
        <f>IF(2034&lt;=$D$15,0,IF(2034&gt;=$E$15,$C$15,$C$15*(2034-$D$15)/($E$15-$D$15)))</f>
        <v>0</v>
      </c>
      <c r="M35" s="12">
        <f>IF(2035&lt;=$D$15,0,IF(2035&gt;=$E$15,$C$15,$C$15*(2035-$D$15)/($E$15-$D$15)))</f>
        <v>0</v>
      </c>
    </row>
    <row r="36" spans="1:13" x14ac:dyDescent="0.45">
      <c r="A36" s="2" t="s">
        <v>42</v>
      </c>
      <c r="B36" s="12">
        <f>IF(2024&lt;=$D$16,0,IF(2024&gt;=$E$16,$C$16,$C$16*(2024-$D$16)/($E$16-$D$16)))</f>
        <v>0</v>
      </c>
      <c r="C36" s="12">
        <f>IF(2025&lt;=$D$16,0,IF(2025&gt;=$E$16,$C$16,$C$16*(2025-$D$16)/($E$16-$D$16)))</f>
        <v>0</v>
      </c>
      <c r="D36" s="12">
        <f>IF(2026&lt;=$D$16,0,IF(2026&gt;=$E$16,$C$16,$C$16*(2026-$D$16)/($E$16-$D$16)))</f>
        <v>0</v>
      </c>
      <c r="E36" s="12">
        <f>IF(2027&lt;=$D$16,0,IF(2027&gt;=$E$16,$C$16,$C$16*(2027-$D$16)/($E$16-$D$16)))</f>
        <v>0</v>
      </c>
      <c r="F36" s="12">
        <f>IF(2028&lt;=$D$16,0,IF(2028&gt;=$E$16,$C$16,$C$16*(2028-$D$16)/($E$16-$D$16)))</f>
        <v>0</v>
      </c>
      <c r="G36" s="12">
        <f>IF(2029&lt;=$D$16,0,IF(2029&gt;=$E$16,$C$16,$C$16*(2029-$D$16)/($E$16-$D$16)))</f>
        <v>0</v>
      </c>
      <c r="H36" s="12">
        <f>IF(2030&lt;=$D$16,0,IF(2030&gt;=$E$16,$C$16,$C$16*(2030-$D$16)/($E$16-$D$16)))</f>
        <v>0</v>
      </c>
      <c r="I36" s="12">
        <f>IF(2031&lt;=$D$16,0,IF(2031&gt;=$E$16,$C$16,$C$16*(2031-$D$16)/($E$16-$D$16)))</f>
        <v>0</v>
      </c>
      <c r="J36" s="12">
        <f>IF(2032&lt;=$D$16,0,IF(2032&gt;=$E$16,$C$16,$C$16*(2032-$D$16)/($E$16-$D$16)))</f>
        <v>0</v>
      </c>
      <c r="K36" s="12">
        <f>IF(2033&lt;=$D$16,0,IF(2033&gt;=$E$16,$C$16,$C$16*(2033-$D$16)/($E$16-$D$16)))</f>
        <v>0</v>
      </c>
      <c r="L36" s="12">
        <f>IF(2034&lt;=$D$16,0,IF(2034&gt;=$E$16,$C$16,$C$16*(2034-$D$16)/($E$16-$D$16)))</f>
        <v>0</v>
      </c>
      <c r="M36" s="12">
        <f>IF(2035&lt;=$D$16,0,IF(2035&gt;=$E$16,$C$16,$C$16*(2035-$D$16)/($E$16-$D$16)))</f>
        <v>0</v>
      </c>
    </row>
    <row r="37" spans="1:13" x14ac:dyDescent="0.45">
      <c r="A37" s="2" t="s">
        <v>43</v>
      </c>
      <c r="B37" s="12">
        <f>IF(2024&lt;=$D$17,0,IF(2024&gt;=$E$17,$C$17,$C$17*(2024-$D$17)/($E$17-$D$17)))</f>
        <v>0</v>
      </c>
      <c r="C37" s="12">
        <f>IF(2025&lt;=$D$17,0,IF(2025&gt;=$E$17,$C$17,$C$17*(2025-$D$17)/($E$17-$D$17)))</f>
        <v>0</v>
      </c>
      <c r="D37" s="12">
        <f>IF(2026&lt;=$D$17,0,IF(2026&gt;=$E$17,$C$17,$C$17*(2026-$D$17)/($E$17-$D$17)))</f>
        <v>0</v>
      </c>
      <c r="E37" s="12">
        <f>IF(2027&lt;=$D$17,0,IF(2027&gt;=$E$17,$C$17,$C$17*(2027-$D$17)/($E$17-$D$17)))</f>
        <v>0</v>
      </c>
      <c r="F37" s="12">
        <f>IF(2028&lt;=$D$17,0,IF(2028&gt;=$E$17,$C$17,$C$17*(2028-$D$17)/($E$17-$D$17)))</f>
        <v>0</v>
      </c>
      <c r="G37" s="12">
        <f>IF(2029&lt;=$D$17,0,IF(2029&gt;=$E$17,$C$17,$C$17*(2029-$D$17)/($E$17-$D$17)))</f>
        <v>0</v>
      </c>
      <c r="H37" s="12">
        <f>IF(2030&lt;=$D$17,0,IF(2030&gt;=$E$17,$C$17,$C$17*(2030-$D$17)/($E$17-$D$17)))</f>
        <v>0</v>
      </c>
      <c r="I37" s="12">
        <f>IF(2031&lt;=$D$17,0,IF(2031&gt;=$E$17,$C$17,$C$17*(2031-$D$17)/($E$17-$D$17)))</f>
        <v>0</v>
      </c>
      <c r="J37" s="12">
        <f>IF(2032&lt;=$D$17,0,IF(2032&gt;=$E$17,$C$17,$C$17*(2032-$D$17)/($E$17-$D$17)))</f>
        <v>0</v>
      </c>
      <c r="K37" s="12">
        <f>IF(2033&lt;=$D$17,0,IF(2033&gt;=$E$17,$C$17,$C$17*(2033-$D$17)/($E$17-$D$17)))</f>
        <v>0</v>
      </c>
      <c r="L37" s="12">
        <f>IF(2034&lt;=$D$17,0,IF(2034&gt;=$E$17,$C$17,$C$17*(2034-$D$17)/($E$17-$D$17)))</f>
        <v>0</v>
      </c>
      <c r="M37" s="12">
        <f>IF(2035&lt;=$D$17,0,IF(2035&gt;=$E$17,$C$17,$C$17*(2035-$D$17)/($E$17-$D$17)))</f>
        <v>0</v>
      </c>
    </row>
    <row r="40" spans="1:13" x14ac:dyDescent="0.45">
      <c r="A40" s="13" t="s">
        <v>45</v>
      </c>
      <c r="B40" s="14"/>
      <c r="C40" s="14"/>
      <c r="D40" s="14"/>
      <c r="E40" s="14"/>
    </row>
    <row r="41" spans="1:13" ht="17.649999999999999" x14ac:dyDescent="0.5">
      <c r="A41" s="15" t="s">
        <v>46</v>
      </c>
      <c r="B41" s="16">
        <f>'TECP Calcs'!B28</f>
        <v>61.859332283642473</v>
      </c>
      <c r="C41" s="17" t="s">
        <v>8</v>
      </c>
    </row>
    <row r="43" spans="1:13" x14ac:dyDescent="0.45">
      <c r="A43" s="3" t="s">
        <v>47</v>
      </c>
    </row>
    <row r="44" spans="1:13" x14ac:dyDescent="0.45">
      <c r="A44" s="4" t="s">
        <v>48</v>
      </c>
      <c r="B44" s="18">
        <f>'TECP Calcs'!B31</f>
        <v>41.973925001074292</v>
      </c>
    </row>
    <row r="45" spans="1:13" x14ac:dyDescent="0.45">
      <c r="A45" s="4" t="s">
        <v>49</v>
      </c>
      <c r="B45" s="18">
        <f>'TECP Calcs'!B32</f>
        <v>19.885407282568178</v>
      </c>
    </row>
    <row r="47" spans="1:13" x14ac:dyDescent="0.45">
      <c r="A47" s="3" t="s">
        <v>50</v>
      </c>
    </row>
    <row r="48" spans="1:13" x14ac:dyDescent="0.45">
      <c r="A48" s="4" t="s">
        <v>51</v>
      </c>
      <c r="B48" s="18">
        <f>'TECP Calcs'!B35</f>
        <v>10.967041335993548</v>
      </c>
    </row>
    <row r="49" spans="1:14" x14ac:dyDescent="0.45">
      <c r="A49" s="4" t="s">
        <v>52</v>
      </c>
      <c r="B49" s="18">
        <f>'TECP Calcs'!B36</f>
        <v>50.892290947648924</v>
      </c>
    </row>
    <row r="51" spans="1:14" x14ac:dyDescent="0.45">
      <c r="A51" t="s">
        <v>132</v>
      </c>
    </row>
    <row r="53" spans="1:14" x14ac:dyDescent="0.45">
      <c r="A53" s="4" t="s">
        <v>53</v>
      </c>
      <c r="B53" s="19">
        <f>'TECP Calcs'!B39</f>
        <v>1.2371866456728495</v>
      </c>
    </row>
    <row r="57" spans="1:14" ht="17.649999999999999" x14ac:dyDescent="0.5">
      <c r="A57" s="1" t="s">
        <v>126</v>
      </c>
    </row>
    <row r="59" spans="1:14" x14ac:dyDescent="0.45">
      <c r="B59" s="4" t="s">
        <v>4</v>
      </c>
      <c r="C59" s="4" t="s">
        <v>22</v>
      </c>
      <c r="D59" s="4" t="s">
        <v>23</v>
      </c>
      <c r="E59" s="4" t="s">
        <v>24</v>
      </c>
      <c r="F59" s="4" t="s">
        <v>25</v>
      </c>
      <c r="G59" s="4" t="s">
        <v>26</v>
      </c>
      <c r="H59" s="4" t="s">
        <v>27</v>
      </c>
      <c r="I59" s="4" t="s">
        <v>28</v>
      </c>
      <c r="J59" s="4" t="s">
        <v>29</v>
      </c>
      <c r="K59" s="4" t="s">
        <v>30</v>
      </c>
      <c r="L59" s="4" t="s">
        <v>31</v>
      </c>
      <c r="M59" s="4" t="s">
        <v>32</v>
      </c>
      <c r="N59" s="4" t="s">
        <v>33</v>
      </c>
    </row>
    <row r="60" spans="1:14" x14ac:dyDescent="0.45">
      <c r="A60" s="4" t="s">
        <v>127</v>
      </c>
      <c r="B60" s="7" t="s">
        <v>111</v>
      </c>
      <c r="C60" s="28">
        <f>Baseline!C115</f>
        <v>243.71</v>
      </c>
      <c r="D60" s="28">
        <f>Baseline!D115</f>
        <v>243.71</v>
      </c>
      <c r="E60" s="28">
        <f>Baseline!E115</f>
        <v>243.71</v>
      </c>
      <c r="F60" s="28">
        <f>Baseline!F115</f>
        <v>243.71</v>
      </c>
      <c r="G60" s="28">
        <f>Baseline!G115</f>
        <v>243.71</v>
      </c>
      <c r="H60" s="28">
        <f>Baseline!H115</f>
        <v>243.71</v>
      </c>
      <c r="I60" s="28">
        <f>Baseline!I115</f>
        <v>243.71</v>
      </c>
      <c r="J60" s="28">
        <f>Baseline!J115</f>
        <v>243.71</v>
      </c>
      <c r="K60" s="28">
        <f>Baseline!K115</f>
        <v>243.71</v>
      </c>
      <c r="L60" s="28">
        <f>Baseline!L115</f>
        <v>243.71</v>
      </c>
      <c r="M60" s="28">
        <f>Baseline!M115</f>
        <v>243.71</v>
      </c>
      <c r="N60" s="28">
        <f>Baseline!N115</f>
        <v>243.71</v>
      </c>
    </row>
    <row r="61" spans="1:14" x14ac:dyDescent="0.45">
      <c r="A61" s="4" t="s">
        <v>128</v>
      </c>
      <c r="B61" s="7" t="s">
        <v>111</v>
      </c>
      <c r="C61" s="28">
        <f>Policy!C115</f>
        <v>243.71</v>
      </c>
      <c r="D61" s="28">
        <f>Policy!D115</f>
        <v>243.71</v>
      </c>
      <c r="E61" s="28">
        <f>Policy!E115</f>
        <v>241.59681420396609</v>
      </c>
      <c r="F61" s="28">
        <f>Policy!F115</f>
        <v>239.87332191046013</v>
      </c>
      <c r="G61" s="28">
        <f>Policy!G115</f>
        <v>238.4762527702953</v>
      </c>
      <c r="H61" s="28">
        <f>Policy!H115</f>
        <v>238.31611966476913</v>
      </c>
      <c r="I61" s="28">
        <f>Policy!I115</f>
        <v>238.14340051497777</v>
      </c>
      <c r="J61" s="28">
        <f>Policy!J115</f>
        <v>238.14340051497777</v>
      </c>
      <c r="K61" s="28">
        <f>Policy!K115</f>
        <v>238.14340051497777</v>
      </c>
      <c r="L61" s="28">
        <f>Policy!L115</f>
        <v>238.14340051497777</v>
      </c>
      <c r="M61" s="28">
        <f>Policy!M115</f>
        <v>238.14340051497777</v>
      </c>
      <c r="N61" s="28">
        <f>Policy!N115</f>
        <v>238.14340051497777</v>
      </c>
    </row>
    <row r="62" spans="1:14" x14ac:dyDescent="0.45">
      <c r="A62" s="4" t="s">
        <v>129</v>
      </c>
      <c r="B62" s="7" t="s">
        <v>111</v>
      </c>
      <c r="C62" s="35">
        <f t="shared" ref="C62:N62" si="0">C60-C61</f>
        <v>0</v>
      </c>
      <c r="D62" s="35">
        <f t="shared" si="0"/>
        <v>0</v>
      </c>
      <c r="E62" s="35">
        <f t="shared" si="0"/>
        <v>2.1131857960339175</v>
      </c>
      <c r="F62" s="35">
        <f t="shared" si="0"/>
        <v>3.8366780895398733</v>
      </c>
      <c r="G62" s="35">
        <f t="shared" si="0"/>
        <v>5.2337472297047043</v>
      </c>
      <c r="H62" s="35">
        <f t="shared" si="0"/>
        <v>5.3938803352308753</v>
      </c>
      <c r="I62" s="35">
        <f t="shared" si="0"/>
        <v>5.5665994850222376</v>
      </c>
      <c r="J62" s="35">
        <f t="shared" si="0"/>
        <v>5.5665994850222376</v>
      </c>
      <c r="K62" s="35">
        <f t="shared" si="0"/>
        <v>5.5665994850222376</v>
      </c>
      <c r="L62" s="35">
        <f t="shared" si="0"/>
        <v>5.5665994850222376</v>
      </c>
      <c r="M62" s="35">
        <f t="shared" si="0"/>
        <v>5.5665994850222376</v>
      </c>
      <c r="N62" s="35">
        <f t="shared" si="0"/>
        <v>5.5665994850222376</v>
      </c>
    </row>
    <row r="63" spans="1:14" x14ac:dyDescent="0.45">
      <c r="A63" s="4" t="s">
        <v>130</v>
      </c>
      <c r="B63" s="7" t="s">
        <v>131</v>
      </c>
      <c r="C63" s="38">
        <f t="shared" ref="C63:N63" si="1">IF(C60=0,0,C62/C60)</f>
        <v>0</v>
      </c>
      <c r="D63" s="38">
        <f t="shared" si="1"/>
        <v>0</v>
      </c>
      <c r="E63" s="38">
        <f t="shared" si="1"/>
        <v>8.6709031062899237E-3</v>
      </c>
      <c r="F63" s="38">
        <f t="shared" si="1"/>
        <v>1.5742801237289702E-2</v>
      </c>
      <c r="G63" s="38">
        <f t="shared" si="1"/>
        <v>2.1475307659532657E-2</v>
      </c>
      <c r="H63" s="38">
        <f t="shared" si="1"/>
        <v>2.2132371815809262E-2</v>
      </c>
      <c r="I63" s="38">
        <f t="shared" si="1"/>
        <v>2.2841079500316924E-2</v>
      </c>
      <c r="J63" s="38">
        <f t="shared" si="1"/>
        <v>2.2841079500316924E-2</v>
      </c>
      <c r="K63" s="38">
        <f t="shared" si="1"/>
        <v>2.2841079500316924E-2</v>
      </c>
      <c r="L63" s="38">
        <f t="shared" si="1"/>
        <v>2.2841079500316924E-2</v>
      </c>
      <c r="M63" s="38">
        <f t="shared" si="1"/>
        <v>2.2841079500316924E-2</v>
      </c>
      <c r="N63" s="38">
        <f t="shared" si="1"/>
        <v>2.2841079500316924E-2</v>
      </c>
    </row>
    <row r="65" spans="1:14" x14ac:dyDescent="0.45">
      <c r="A65" s="4" t="s">
        <v>34</v>
      </c>
      <c r="C65" s="39">
        <f>Dashboard!B21</f>
        <v>0</v>
      </c>
      <c r="D65" s="39">
        <f>Dashboard!C21</f>
        <v>0</v>
      </c>
      <c r="E65" s="39">
        <f>Dashboard!D21</f>
        <v>16.666666666666668</v>
      </c>
      <c r="F65" s="39">
        <f>Dashboard!E21</f>
        <v>33.333333333333336</v>
      </c>
      <c r="G65" s="39">
        <f>Dashboard!F21</f>
        <v>50</v>
      </c>
      <c r="H65" s="39">
        <f>Dashboard!G21</f>
        <v>50</v>
      </c>
      <c r="I65" s="39">
        <f>Dashboard!H21</f>
        <v>50</v>
      </c>
      <c r="J65" s="39">
        <f>Dashboard!I21</f>
        <v>50</v>
      </c>
      <c r="K65" s="39">
        <f>Dashboard!J21</f>
        <v>50</v>
      </c>
      <c r="L65" s="39">
        <f>Dashboard!K21</f>
        <v>50</v>
      </c>
      <c r="M65" s="39">
        <f>Dashboard!L21</f>
        <v>50</v>
      </c>
      <c r="N65" s="39">
        <f>Dashboard!M21</f>
        <v>50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J32"/>
  <sheetViews>
    <sheetView zoomScaleNormal="100" workbookViewId="0">
      <selection activeCell="I24" sqref="I24:I29"/>
    </sheetView>
  </sheetViews>
  <sheetFormatPr defaultColWidth="8.6640625" defaultRowHeight="14.25" x14ac:dyDescent="0.45"/>
  <cols>
    <col min="1" max="1" width="30" customWidth="1"/>
    <col min="2" max="2" width="12" customWidth="1"/>
    <col min="3" max="3" width="14" customWidth="1"/>
    <col min="4" max="4" width="12" customWidth="1"/>
    <col min="5" max="5" width="10" customWidth="1"/>
    <col min="6" max="7" width="14" customWidth="1"/>
    <col min="8" max="10" width="12" customWidth="1"/>
  </cols>
  <sheetData>
    <row r="1" spans="1:10" ht="17.649999999999999" x14ac:dyDescent="0.5">
      <c r="A1" s="1" t="s">
        <v>54</v>
      </c>
    </row>
    <row r="3" spans="1:10" x14ac:dyDescent="0.45">
      <c r="A3" s="3" t="s">
        <v>55</v>
      </c>
    </row>
    <row r="4" spans="1:10" ht="26.65" x14ac:dyDescent="0.45">
      <c r="B4" s="5" t="s">
        <v>51</v>
      </c>
      <c r="C4" s="5" t="s">
        <v>56</v>
      </c>
    </row>
    <row r="5" spans="1:10" x14ac:dyDescent="0.45">
      <c r="A5" s="4" t="s">
        <v>57</v>
      </c>
      <c r="B5" s="20">
        <v>1.5</v>
      </c>
      <c r="C5" s="20">
        <v>0.8</v>
      </c>
    </row>
    <row r="6" spans="1:10" x14ac:dyDescent="0.45">
      <c r="A6" s="4" t="s">
        <v>58</v>
      </c>
      <c r="B6" s="20">
        <v>-0.3</v>
      </c>
      <c r="C6" s="20">
        <v>-0.15</v>
      </c>
    </row>
    <row r="7" spans="1:10" x14ac:dyDescent="0.45">
      <c r="A7" s="4" t="s">
        <v>59</v>
      </c>
      <c r="B7" s="20">
        <v>0.15</v>
      </c>
      <c r="C7" s="20">
        <v>0.08</v>
      </c>
    </row>
    <row r="9" spans="1:10" x14ac:dyDescent="0.45">
      <c r="A9" s="3" t="s">
        <v>60</v>
      </c>
    </row>
    <row r="10" spans="1:10" ht="39.75" x14ac:dyDescent="0.45">
      <c r="A10" s="5" t="s">
        <v>12</v>
      </c>
      <c r="B10" s="5" t="s">
        <v>61</v>
      </c>
      <c r="C10" s="5" t="s">
        <v>62</v>
      </c>
      <c r="D10" s="5" t="s">
        <v>63</v>
      </c>
      <c r="E10" s="5" t="s">
        <v>64</v>
      </c>
      <c r="F10" s="5" t="s">
        <v>65</v>
      </c>
      <c r="G10" s="5" t="s">
        <v>66</v>
      </c>
      <c r="H10" s="5" t="s">
        <v>67</v>
      </c>
      <c r="I10" s="5" t="s">
        <v>68</v>
      </c>
      <c r="J10" s="5" t="s">
        <v>69</v>
      </c>
    </row>
    <row r="11" spans="1:10" x14ac:dyDescent="0.45">
      <c r="A11" s="7" t="s">
        <v>15</v>
      </c>
      <c r="B11" s="9">
        <v>0</v>
      </c>
      <c r="C11" s="21">
        <v>9.5000000000000001E-2</v>
      </c>
      <c r="D11" s="22">
        <v>0</v>
      </c>
      <c r="E11" s="23">
        <v>0</v>
      </c>
      <c r="F11" s="24">
        <f t="shared" ref="F11:F16" si="0">IF(E11=0,0,B11/E11)</f>
        <v>0</v>
      </c>
      <c r="G11" s="25">
        <f t="shared" ref="G11:G16" si="1">IF(E11=0,0,C11/E11)</f>
        <v>0</v>
      </c>
      <c r="H11" s="25">
        <f t="shared" ref="H11:H16" si="2">IF(SUM($D$11:$D$16)=0,0,D11/SUM($D$11:$D$16))</f>
        <v>0</v>
      </c>
      <c r="I11" s="25">
        <f t="shared" ref="I11:I16" si="3">IF(SUMPRODUCT($D$11:$D$16,$E$11:$E$16)=0,0,D11*E11/SUMPRODUCT($D$11:$D$16,$E$11:$E$16))</f>
        <v>0</v>
      </c>
      <c r="J11" s="25">
        <f t="shared" ref="J11:J16" si="4">IF(SUMPRODUCT($B$11:$B$16,$D$11:$D$16)=0,0,B11*D11/SUMPRODUCT($B$11:$B$16,$D$11:$D$16))</f>
        <v>0</v>
      </c>
    </row>
    <row r="12" spans="1:10" x14ac:dyDescent="0.45">
      <c r="A12" s="7" t="s">
        <v>16</v>
      </c>
      <c r="B12" s="9">
        <v>8</v>
      </c>
      <c r="C12" s="21">
        <v>5.6000000000000001E-2</v>
      </c>
      <c r="D12" s="22">
        <v>15</v>
      </c>
      <c r="E12" s="23">
        <v>0.25</v>
      </c>
      <c r="F12" s="24">
        <f t="shared" si="0"/>
        <v>32</v>
      </c>
      <c r="G12" s="25">
        <f t="shared" si="1"/>
        <v>0.224</v>
      </c>
      <c r="H12" s="25">
        <f t="shared" si="2"/>
        <v>1.2244897959183673E-2</v>
      </c>
      <c r="I12" s="25">
        <f t="shared" si="3"/>
        <v>1.0211027910142955E-2</v>
      </c>
      <c r="J12" s="25">
        <f t="shared" si="4"/>
        <v>5.5452865064695009E-3</v>
      </c>
    </row>
    <row r="13" spans="1:10" x14ac:dyDescent="0.45">
      <c r="A13" s="7" t="s">
        <v>17</v>
      </c>
      <c r="B13" s="9">
        <v>18</v>
      </c>
      <c r="C13" s="21">
        <v>6.9000000000000006E-2</v>
      </c>
      <c r="D13" s="22">
        <v>650</v>
      </c>
      <c r="E13" s="23">
        <v>0.25</v>
      </c>
      <c r="F13" s="24">
        <f t="shared" si="0"/>
        <v>72</v>
      </c>
      <c r="G13" s="25">
        <f t="shared" si="1"/>
        <v>0.27600000000000002</v>
      </c>
      <c r="H13" s="25">
        <f t="shared" si="2"/>
        <v>0.53061224489795922</v>
      </c>
      <c r="I13" s="25">
        <f t="shared" si="3"/>
        <v>0.44247787610619471</v>
      </c>
      <c r="J13" s="25">
        <f t="shared" si="4"/>
        <v>0.5406654343807763</v>
      </c>
    </row>
    <row r="14" spans="1:10" x14ac:dyDescent="0.45">
      <c r="A14" s="7" t="s">
        <v>18</v>
      </c>
      <c r="B14" s="9">
        <v>17</v>
      </c>
      <c r="C14" s="21">
        <v>7.3999999999999996E-2</v>
      </c>
      <c r="D14" s="22">
        <v>500</v>
      </c>
      <c r="E14" s="23">
        <v>0.3</v>
      </c>
      <c r="F14" s="24">
        <f t="shared" si="0"/>
        <v>56.666666666666671</v>
      </c>
      <c r="G14" s="25">
        <f t="shared" si="1"/>
        <v>0.24666666666666667</v>
      </c>
      <c r="H14" s="25">
        <f t="shared" si="2"/>
        <v>0.40816326530612246</v>
      </c>
      <c r="I14" s="25">
        <f t="shared" si="3"/>
        <v>0.40844111640571817</v>
      </c>
      <c r="J14" s="25">
        <f t="shared" si="4"/>
        <v>0.39279112754158962</v>
      </c>
    </row>
    <row r="15" spans="1:10" x14ac:dyDescent="0.45">
      <c r="A15" s="7" t="s">
        <v>19</v>
      </c>
      <c r="B15" s="9">
        <v>22</v>
      </c>
      <c r="C15" s="21">
        <v>0</v>
      </c>
      <c r="D15" s="22">
        <v>60</v>
      </c>
      <c r="E15" s="23">
        <v>0.85</v>
      </c>
      <c r="F15" s="24">
        <f t="shared" si="0"/>
        <v>25.882352941176471</v>
      </c>
      <c r="G15" s="25">
        <f t="shared" si="1"/>
        <v>0</v>
      </c>
      <c r="H15" s="25">
        <f t="shared" si="2"/>
        <v>4.8979591836734691E-2</v>
      </c>
      <c r="I15" s="25">
        <f t="shared" si="3"/>
        <v>0.13886997957794417</v>
      </c>
      <c r="J15" s="25">
        <f t="shared" si="4"/>
        <v>6.0998151571164512E-2</v>
      </c>
    </row>
    <row r="16" spans="1:10" x14ac:dyDescent="0.45">
      <c r="A16" s="7" t="s">
        <v>20</v>
      </c>
      <c r="B16" s="9">
        <v>0</v>
      </c>
      <c r="C16" s="21">
        <v>0</v>
      </c>
      <c r="D16" s="22">
        <v>0</v>
      </c>
      <c r="E16" s="23">
        <v>0</v>
      </c>
      <c r="F16" s="24">
        <f t="shared" si="0"/>
        <v>0</v>
      </c>
      <c r="G16" s="25">
        <f t="shared" si="1"/>
        <v>0</v>
      </c>
      <c r="H16" s="25">
        <f t="shared" si="2"/>
        <v>0</v>
      </c>
      <c r="I16" s="25">
        <f t="shared" si="3"/>
        <v>0</v>
      </c>
      <c r="J16" s="25">
        <f t="shared" si="4"/>
        <v>0</v>
      </c>
    </row>
    <row r="17" spans="1:10" x14ac:dyDescent="0.45">
      <c r="A17" s="4" t="s">
        <v>70</v>
      </c>
      <c r="D17" s="26">
        <f>SUM(D11:D16)</f>
        <v>1225</v>
      </c>
    </row>
    <row r="18" spans="1:10" x14ac:dyDescent="0.45">
      <c r="A18" s="4" t="s">
        <v>71</v>
      </c>
      <c r="B18" s="25">
        <f>SUMPRODUCT(I11:I16,G11:G16)</f>
        <v>0.22515997277059224</v>
      </c>
    </row>
    <row r="19" spans="1:10" x14ac:dyDescent="0.45">
      <c r="A19" s="4" t="s">
        <v>72</v>
      </c>
      <c r="B19" s="27">
        <f>SUMPRODUCT(D11:D16,C11:C16)</f>
        <v>82.69</v>
      </c>
    </row>
    <row r="22" spans="1:10" x14ac:dyDescent="0.45">
      <c r="A22" s="3" t="s">
        <v>73</v>
      </c>
    </row>
    <row r="23" spans="1:10" ht="39.75" x14ac:dyDescent="0.45">
      <c r="A23" s="5" t="s">
        <v>12</v>
      </c>
      <c r="B23" s="5" t="s">
        <v>61</v>
      </c>
      <c r="C23" s="5" t="s">
        <v>62</v>
      </c>
      <c r="D23" s="5" t="s">
        <v>63</v>
      </c>
      <c r="E23" s="5" t="s">
        <v>64</v>
      </c>
      <c r="F23" s="5" t="s">
        <v>65</v>
      </c>
      <c r="G23" s="5" t="s">
        <v>66</v>
      </c>
      <c r="H23" s="5" t="s">
        <v>67</v>
      </c>
      <c r="I23" s="5" t="s">
        <v>68</v>
      </c>
      <c r="J23" s="5" t="s">
        <v>69</v>
      </c>
    </row>
    <row r="24" spans="1:10" x14ac:dyDescent="0.45">
      <c r="A24" s="7" t="s">
        <v>15</v>
      </c>
      <c r="B24" s="9">
        <v>3</v>
      </c>
      <c r="C24" s="21">
        <v>9.5000000000000001E-2</v>
      </c>
      <c r="D24" s="22">
        <v>1200</v>
      </c>
      <c r="E24" s="23">
        <v>0.38</v>
      </c>
      <c r="F24" s="24">
        <f t="shared" ref="F24:F29" si="5">IF(E24=0,0,B24/E24)</f>
        <v>7.8947368421052628</v>
      </c>
      <c r="G24" s="25">
        <f t="shared" ref="G24:G29" si="6">IF(E24=0,0,C24/E24)</f>
        <v>0.25</v>
      </c>
      <c r="H24" s="25">
        <f t="shared" ref="H24:H29" si="7">IF(SUM($D$24:$D$29)=0,0,D24/SUM($D$24:$D$29))</f>
        <v>0.49382716049382713</v>
      </c>
      <c r="I24" s="25">
        <f t="shared" ref="I24:I29" si="8">IF(SUMPRODUCT($D$24:$D$29,$E$24:$E$29)=0,0,D24*E24/SUMPRODUCT($D$24:$D$29,$E$24:$E$29))</f>
        <v>0.36004737465455983</v>
      </c>
      <c r="J24" s="25">
        <f t="shared" ref="J24:J29" si="9">IF(SUMPRODUCT($B$24:$B$29,$D$24:$D$29)=0,0,B24*D24/SUMPRODUCT($B$24:$B$29,$D$24:$D$29))</f>
        <v>0.37422037422037424</v>
      </c>
    </row>
    <row r="25" spans="1:10" x14ac:dyDescent="0.45">
      <c r="A25" s="7" t="s">
        <v>16</v>
      </c>
      <c r="B25" s="9">
        <v>6</v>
      </c>
      <c r="C25" s="21">
        <v>5.6000000000000001E-2</v>
      </c>
      <c r="D25" s="22">
        <v>800</v>
      </c>
      <c r="E25" s="23">
        <v>0.5</v>
      </c>
      <c r="F25" s="24">
        <f t="shared" si="5"/>
        <v>12</v>
      </c>
      <c r="G25" s="25">
        <f t="shared" si="6"/>
        <v>0.112</v>
      </c>
      <c r="H25" s="25">
        <f t="shared" si="7"/>
        <v>0.32921810699588477</v>
      </c>
      <c r="I25" s="25">
        <f t="shared" si="8"/>
        <v>0.31583103039873667</v>
      </c>
      <c r="J25" s="25">
        <f t="shared" si="9"/>
        <v>0.49896049896049899</v>
      </c>
    </row>
    <row r="26" spans="1:10" x14ac:dyDescent="0.45">
      <c r="A26" s="7" t="s">
        <v>17</v>
      </c>
      <c r="B26" s="9">
        <v>0</v>
      </c>
      <c r="C26" s="21">
        <v>6.9000000000000006E-2</v>
      </c>
      <c r="D26" s="22">
        <v>0</v>
      </c>
      <c r="E26" s="23">
        <v>0</v>
      </c>
      <c r="F26" s="24">
        <f t="shared" si="5"/>
        <v>0</v>
      </c>
      <c r="G26" s="25">
        <f t="shared" si="6"/>
        <v>0</v>
      </c>
      <c r="H26" s="25">
        <f t="shared" si="7"/>
        <v>0</v>
      </c>
      <c r="I26" s="25">
        <f t="shared" si="8"/>
        <v>0</v>
      </c>
      <c r="J26" s="25">
        <f t="shared" si="9"/>
        <v>0</v>
      </c>
    </row>
    <row r="27" spans="1:10" x14ac:dyDescent="0.45">
      <c r="A27" s="7" t="s">
        <v>18</v>
      </c>
      <c r="B27" s="9">
        <v>14</v>
      </c>
      <c r="C27" s="21">
        <v>7.3999999999999996E-2</v>
      </c>
      <c r="D27" s="22">
        <v>30</v>
      </c>
      <c r="E27" s="23">
        <v>0.35</v>
      </c>
      <c r="F27" s="24">
        <f t="shared" si="5"/>
        <v>40</v>
      </c>
      <c r="G27" s="25">
        <f t="shared" si="6"/>
        <v>0.21142857142857144</v>
      </c>
      <c r="H27" s="25">
        <f t="shared" si="7"/>
        <v>1.2345679012345678E-2</v>
      </c>
      <c r="I27" s="25">
        <f t="shared" si="8"/>
        <v>8.2905645479668371E-3</v>
      </c>
      <c r="J27" s="25">
        <f t="shared" si="9"/>
        <v>4.3659043659043661E-2</v>
      </c>
    </row>
    <row r="28" spans="1:10" x14ac:dyDescent="0.45">
      <c r="A28" s="7" t="s">
        <v>19</v>
      </c>
      <c r="B28" s="9">
        <v>0</v>
      </c>
      <c r="C28" s="21">
        <v>0</v>
      </c>
      <c r="D28" s="22">
        <v>0</v>
      </c>
      <c r="E28" s="23">
        <v>0</v>
      </c>
      <c r="F28" s="24">
        <f t="shared" si="5"/>
        <v>0</v>
      </c>
      <c r="G28" s="25">
        <f t="shared" si="6"/>
        <v>0</v>
      </c>
      <c r="H28" s="25">
        <f t="shared" si="7"/>
        <v>0</v>
      </c>
      <c r="I28" s="25">
        <f t="shared" si="8"/>
        <v>0</v>
      </c>
      <c r="J28" s="25">
        <f t="shared" si="9"/>
        <v>0</v>
      </c>
    </row>
    <row r="29" spans="1:10" x14ac:dyDescent="0.45">
      <c r="A29" s="7" t="s">
        <v>20</v>
      </c>
      <c r="B29" s="9">
        <v>2</v>
      </c>
      <c r="C29" s="21">
        <v>0</v>
      </c>
      <c r="D29" s="22">
        <v>400</v>
      </c>
      <c r="E29" s="23">
        <v>1</v>
      </c>
      <c r="F29" s="24">
        <f t="shared" si="5"/>
        <v>2</v>
      </c>
      <c r="G29" s="25">
        <f t="shared" si="6"/>
        <v>0</v>
      </c>
      <c r="H29" s="25">
        <f t="shared" si="7"/>
        <v>0.16460905349794239</v>
      </c>
      <c r="I29" s="25">
        <f t="shared" si="8"/>
        <v>0.31583103039873667</v>
      </c>
      <c r="J29" s="25">
        <f t="shared" si="9"/>
        <v>8.3160083160083165E-2</v>
      </c>
    </row>
    <row r="30" spans="1:10" x14ac:dyDescent="0.45">
      <c r="A30" s="4" t="s">
        <v>70</v>
      </c>
      <c r="D30" s="26">
        <f>SUM(D24:D29)</f>
        <v>2430</v>
      </c>
    </row>
    <row r="31" spans="1:10" x14ac:dyDescent="0.45">
      <c r="A31" s="4" t="s">
        <v>71</v>
      </c>
      <c r="B31" s="25">
        <f>SUMPRODUCT(I24:I29,G24:G29)</f>
        <v>0.12713778128701145</v>
      </c>
    </row>
    <row r="32" spans="1:10" x14ac:dyDescent="0.45">
      <c r="A32" s="4" t="s">
        <v>72</v>
      </c>
      <c r="B32" s="27">
        <f>SUMPRODUCT(D24:D29,C24:C29)</f>
        <v>161.02000000000001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Q42"/>
  <sheetViews>
    <sheetView tabSelected="1" topLeftCell="A15" zoomScaleNormal="100" workbookViewId="0">
      <selection activeCell="H1" sqref="A1:H1048576"/>
    </sheetView>
  </sheetViews>
  <sheetFormatPr defaultColWidth="8.6640625" defaultRowHeight="14.25" x14ac:dyDescent="0.45"/>
  <cols>
    <col min="1" max="1" width="30" customWidth="1"/>
    <col min="2" max="2" width="12" customWidth="1"/>
    <col min="3" max="3" width="10" customWidth="1"/>
    <col min="4" max="4" width="12" customWidth="1"/>
    <col min="5" max="5" width="10" customWidth="1"/>
    <col min="6" max="11" width="12" customWidth="1"/>
    <col min="12" max="13" width="10" customWidth="1"/>
    <col min="14" max="17" width="12" customWidth="1"/>
  </cols>
  <sheetData>
    <row r="1" spans="1:17" ht="17.649999999999999" x14ac:dyDescent="0.5">
      <c r="A1" s="1" t="s">
        <v>74</v>
      </c>
    </row>
    <row r="2" spans="1:17" x14ac:dyDescent="0.45">
      <c r="A2" s="2" t="s">
        <v>75</v>
      </c>
    </row>
    <row r="4" spans="1:17" x14ac:dyDescent="0.45">
      <c r="A4" s="13" t="s">
        <v>76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 ht="39.75" x14ac:dyDescent="0.45">
      <c r="A5" s="5" t="s">
        <v>12</v>
      </c>
      <c r="B5" s="5" t="s">
        <v>77</v>
      </c>
      <c r="C5" s="5" t="s">
        <v>78</v>
      </c>
      <c r="D5" s="5" t="s">
        <v>79</v>
      </c>
      <c r="E5" s="5" t="s">
        <v>80</v>
      </c>
      <c r="F5" s="5" t="s">
        <v>81</v>
      </c>
      <c r="G5" s="5" t="s">
        <v>82</v>
      </c>
      <c r="H5" s="5" t="s">
        <v>83</v>
      </c>
      <c r="I5" s="5" t="s">
        <v>84</v>
      </c>
      <c r="J5" s="5" t="s">
        <v>85</v>
      </c>
      <c r="K5" s="5" t="s">
        <v>86</v>
      </c>
      <c r="L5" s="5" t="s">
        <v>87</v>
      </c>
      <c r="M5" s="5" t="s">
        <v>88</v>
      </c>
      <c r="N5" s="5" t="s">
        <v>89</v>
      </c>
      <c r="O5" s="5" t="s">
        <v>90</v>
      </c>
      <c r="P5" s="5" t="s">
        <v>91</v>
      </c>
      <c r="Q5" s="5" t="s">
        <v>92</v>
      </c>
    </row>
    <row r="6" spans="1:17" x14ac:dyDescent="0.45">
      <c r="A6" s="7" t="str">
        <f>'Tech Parameters'!A11</f>
        <v>Coal</v>
      </c>
      <c r="B6" s="28">
        <f>'Tech Parameters'!D11*'Tech Parameters'!C11</f>
        <v>0</v>
      </c>
      <c r="C6" s="29">
        <f>'Tech Parameters'!I11</f>
        <v>0</v>
      </c>
      <c r="D6" s="29">
        <f>'Tech Parameters'!G11</f>
        <v>0</v>
      </c>
      <c r="E6" s="29">
        <f>'Tech Parameters'!B18</f>
        <v>0.22515997277059224</v>
      </c>
      <c r="F6" s="28">
        <f>'Tech Parameters'!F11</f>
        <v>0</v>
      </c>
      <c r="G6" s="24">
        <f>('Tech Parameters'!J11*IF('Tech Parameters'!F11=0,0,'Tech Parameters'!F11^(1-'Tech Parameters'!$B$5))+'Tech Parameters'!J12*IF('Tech Parameters'!F12=0,0,'Tech Parameters'!F12^(1-'Tech Parameters'!$B$5))+'Tech Parameters'!J13*IF('Tech Parameters'!F13=0,0,'Tech Parameters'!F13^(1-'Tech Parameters'!$B$5))+'Tech Parameters'!J14*IF('Tech Parameters'!F14=0,0,'Tech Parameters'!F14^(1-'Tech Parameters'!$B$5))+'Tech Parameters'!J15*IF('Tech Parameters'!F15=0,0,'Tech Parameters'!F15^(1-'Tech Parameters'!$B$5))+'Tech Parameters'!J16*IF('Tech Parameters'!F16=0,0,'Tech Parameters'!F16^(1-'Tech Parameters'!$B$5)))^(1/(1-'Tech Parameters'!$B$5))</f>
        <v>60.216235656119501</v>
      </c>
      <c r="H6" s="25">
        <f>IF(C6=0,0,-'Tech Parameters'!$B$5*(1-C6))</f>
        <v>0</v>
      </c>
      <c r="I6" s="25">
        <f>'Tech Parameters'!$B$6</f>
        <v>-0.3</v>
      </c>
      <c r="J6" s="30">
        <f>IF(F6=0,0,'Tech Parameters'!$B$5*(1-C6)*(D6-E6)/F6)</f>
        <v>0</v>
      </c>
      <c r="K6" s="30">
        <f>IF(G6=0,0,ABS('Tech Parameters'!$B$6)*E6/G6)</f>
        <v>1.1217571323609147E-3</v>
      </c>
      <c r="L6" s="24">
        <f t="shared" ref="L6:L11" si="0">IF(ABS(D6-E6)&lt;0.00001,0,(P6-Q6)/(D6-E6))</f>
        <v>113.49014391099287</v>
      </c>
      <c r="M6" s="24">
        <f t="shared" ref="M6:M11" si="1">IF(E6=0,0,Q6/E6)</f>
        <v>113.49014391099287</v>
      </c>
      <c r="N6" s="30">
        <f t="shared" ref="N6:N11" si="2">B6*J6</f>
        <v>0</v>
      </c>
      <c r="O6" s="30">
        <f t="shared" ref="O6:O11" si="3">B6*K6</f>
        <v>0</v>
      </c>
      <c r="P6" s="31">
        <f>IF('Tech Parameters'!E11=0,0,(Dashboard!$B$6*'Tech Parameters'!C11+Dashboard!$B$7*('Tech Parameters'!C11-('Tech Parameters'!H11*'Tech Parameters'!C11+'Tech Parameters'!H12*'Tech Parameters'!C12+'Tech Parameters'!H13*'Tech Parameters'!C13+'Tech Parameters'!H14*'Tech Parameters'!C14+'Tech Parameters'!H15*'Tech Parameters'!C15+'Tech Parameters'!H16*'Tech Parameters'!C16))+Dashboard!$B$12)/'Tech Parameters'!E11)</f>
        <v>0</v>
      </c>
      <c r="Q6" s="31">
        <f t="shared" ref="Q6:Q11" si="4">SUMPRODUCT($C$6:$C$11,$P$6:$P$11)</f>
        <v>25.55343771272975</v>
      </c>
    </row>
    <row r="7" spans="1:17" x14ac:dyDescent="0.45">
      <c r="A7" s="7" t="str">
        <f>'Tech Parameters'!A12</f>
        <v>Natural gas</v>
      </c>
      <c r="B7" s="28">
        <f>'Tech Parameters'!D12*'Tech Parameters'!C12</f>
        <v>0.84</v>
      </c>
      <c r="C7" s="29">
        <f>'Tech Parameters'!I12</f>
        <v>1.0211027910142955E-2</v>
      </c>
      <c r="D7" s="29">
        <f>'Tech Parameters'!G12</f>
        <v>0.224</v>
      </c>
      <c r="E7" s="29">
        <f>'Tech Parameters'!B18</f>
        <v>0.22515997277059224</v>
      </c>
      <c r="F7" s="28">
        <f>'Tech Parameters'!F12</f>
        <v>32</v>
      </c>
      <c r="G7" s="28">
        <f>$G$6</f>
        <v>60.216235656119501</v>
      </c>
      <c r="H7" s="40">
        <f>IF(C7=0,0,-'Tech Parameters'!$B$5*(1-C7))</f>
        <v>-1.4846834581347856</v>
      </c>
      <c r="I7" s="25">
        <f>'Tech Parameters'!$B$6</f>
        <v>-0.3</v>
      </c>
      <c r="J7" s="30">
        <f>IF(F7=0,0,'Tech Parameters'!$B$5*(1-C7)*(D7-E7)/F7)</f>
        <v>-5.3818512012033512E-5</v>
      </c>
      <c r="K7" s="30">
        <f>IF(G7=0,0,ABS('Tech Parameters'!$B$6)*E7/G7)</f>
        <v>1.1217571323609147E-3</v>
      </c>
      <c r="L7" s="24">
        <f t="shared" si="0"/>
        <v>13167.206476956999</v>
      </c>
      <c r="M7" s="24">
        <f t="shared" si="1"/>
        <v>113.49014391099287</v>
      </c>
      <c r="N7" s="30">
        <f t="shared" si="2"/>
        <v>-4.5207550090108152E-5</v>
      </c>
      <c r="O7" s="30">
        <f t="shared" si="3"/>
        <v>9.4227599118316832E-4</v>
      </c>
      <c r="P7" s="31">
        <f>IF('Tech Parameters'!E12=0,0,(Dashboard!$B$6*'Tech Parameters'!C12+Dashboard!$B$7*('Tech Parameters'!C12-('Tech Parameters'!H11*'Tech Parameters'!C11+'Tech Parameters'!H12*'Tech Parameters'!C12+'Tech Parameters'!H13*'Tech Parameters'!C13+'Tech Parameters'!H14*'Tech Parameters'!C14+'Tech Parameters'!H15*'Tech Parameters'!C15+'Tech Parameters'!H16*'Tech Parameters'!C16))+Dashboard!$B$13)/'Tech Parameters'!E12)</f>
        <v>10.279836734693879</v>
      </c>
      <c r="Q7" s="31">
        <f t="shared" si="4"/>
        <v>25.55343771272975</v>
      </c>
    </row>
    <row r="8" spans="1:17" x14ac:dyDescent="0.45">
      <c r="A8" s="7" t="str">
        <f>'Tech Parameters'!A13</f>
        <v>Gasoline</v>
      </c>
      <c r="B8" s="28">
        <f>'Tech Parameters'!D13*'Tech Parameters'!C13</f>
        <v>44.85</v>
      </c>
      <c r="C8" s="29">
        <f>'Tech Parameters'!I13</f>
        <v>0.44247787610619471</v>
      </c>
      <c r="D8" s="29">
        <f>'Tech Parameters'!G13</f>
        <v>0.27600000000000002</v>
      </c>
      <c r="E8" s="29">
        <f>'Tech Parameters'!B18</f>
        <v>0.22515997277059224</v>
      </c>
      <c r="F8" s="28">
        <f>'Tech Parameters'!F13</f>
        <v>72</v>
      </c>
      <c r="G8" s="28">
        <f>$G$6</f>
        <v>60.216235656119501</v>
      </c>
      <c r="H8" s="40">
        <f>IF(C8=0,0,-'Tech Parameters'!$B$5*(1-C8))</f>
        <v>-0.83628318584070793</v>
      </c>
      <c r="I8" s="25">
        <f>'Tech Parameters'!$B$6</f>
        <v>-0.3</v>
      </c>
      <c r="J8" s="30">
        <f>IF(F8=0,0,'Tech Parameters'!$B$5*(1-C8)*(D8-E8)/F8)</f>
        <v>5.9050916582829827E-4</v>
      </c>
      <c r="K8" s="30">
        <f>IF(G8=0,0,ABS('Tech Parameters'!$B$6)*E8/G8)</f>
        <v>1.1217571323609147E-3</v>
      </c>
      <c r="L8" s="24">
        <f t="shared" si="0"/>
        <v>164.56322857995426</v>
      </c>
      <c r="M8" s="24">
        <f t="shared" si="1"/>
        <v>113.49014391099287</v>
      </c>
      <c r="N8" s="30">
        <f t="shared" si="2"/>
        <v>2.6484336087399179E-2</v>
      </c>
      <c r="O8" s="30">
        <f t="shared" si="3"/>
        <v>5.0310807386387026E-2</v>
      </c>
      <c r="P8" s="31">
        <f>IF('Tech Parameters'!E13=0,0,(Dashboard!$B$6*'Tech Parameters'!C13+Dashboard!$B$7*('Tech Parameters'!C13-('Tech Parameters'!H11*'Tech Parameters'!C11+'Tech Parameters'!H12*'Tech Parameters'!C12+'Tech Parameters'!H13*'Tech Parameters'!C13+'Tech Parameters'!H14*'Tech Parameters'!C14+'Tech Parameters'!H15*'Tech Parameters'!C15+'Tech Parameters'!H16*'Tech Parameters'!C16))+Dashboard!$B$14)/'Tech Parameters'!E13)</f>
        <v>33.919836734693881</v>
      </c>
      <c r="Q8" s="31">
        <f t="shared" si="4"/>
        <v>25.55343771272975</v>
      </c>
    </row>
    <row r="9" spans="1:17" x14ac:dyDescent="0.45">
      <c r="A9" s="7" t="str">
        <f>'Tech Parameters'!A14</f>
        <v>Diesel</v>
      </c>
      <c r="B9" s="28">
        <f>'Tech Parameters'!D14*'Tech Parameters'!C14</f>
        <v>37</v>
      </c>
      <c r="C9" s="29">
        <f>'Tech Parameters'!I14</f>
        <v>0.40844111640571817</v>
      </c>
      <c r="D9" s="29">
        <f>'Tech Parameters'!G14</f>
        <v>0.24666666666666667</v>
      </c>
      <c r="E9" s="29">
        <f>'Tech Parameters'!B18</f>
        <v>0.22515997277059224</v>
      </c>
      <c r="F9" s="28">
        <f>'Tech Parameters'!F14</f>
        <v>56.666666666666671</v>
      </c>
      <c r="G9" s="28">
        <f>$G$6</f>
        <v>60.216235656119501</v>
      </c>
      <c r="H9" s="40">
        <f>IF(C9=0,0,-'Tech Parameters'!$B$5*(1-C9))</f>
        <v>-0.88733832539142266</v>
      </c>
      <c r="I9" s="25">
        <f>'Tech Parameters'!$B$6</f>
        <v>-0.3</v>
      </c>
      <c r="J9" s="30">
        <f>IF(F9=0,0,'Tech Parameters'!$B$5*(1-C9)*(D9-E9)/F9)</f>
        <v>3.3677141905497554E-4</v>
      </c>
      <c r="K9" s="30">
        <f>IF(G9=0,0,ABS('Tech Parameters'!$B$6)*E9/G9)</f>
        <v>1.1217571323609147E-3</v>
      </c>
      <c r="L9" s="24">
        <f t="shared" si="0"/>
        <v>25.407263221811146</v>
      </c>
      <c r="M9" s="24">
        <f t="shared" si="1"/>
        <v>113.49014391099287</v>
      </c>
      <c r="N9" s="30">
        <f t="shared" si="2"/>
        <v>1.2460542505034094E-2</v>
      </c>
      <c r="O9" s="30">
        <f t="shared" si="3"/>
        <v>4.1505013897353844E-2</v>
      </c>
      <c r="P9" s="31">
        <f>IF('Tech Parameters'!E14=0,0,(Dashboard!$B$6*'Tech Parameters'!C14+Dashboard!$B$7*('Tech Parameters'!C14-('Tech Parameters'!H11*'Tech Parameters'!C11+'Tech Parameters'!H12*'Tech Parameters'!C12+'Tech Parameters'!H13*'Tech Parameters'!C13+'Tech Parameters'!H14*'Tech Parameters'!C14+'Tech Parameters'!H15*'Tech Parameters'!C15+'Tech Parameters'!H16*'Tech Parameters'!C16))+Dashboard!$B$15)/'Tech Parameters'!E14)</f>
        <v>26.099863945578232</v>
      </c>
      <c r="Q9" s="31">
        <f t="shared" si="4"/>
        <v>25.55343771272975</v>
      </c>
    </row>
    <row r="10" spans="1:17" x14ac:dyDescent="0.45">
      <c r="A10" s="7" t="str">
        <f>'Tech Parameters'!A15</f>
        <v>Electricity</v>
      </c>
      <c r="B10" s="28">
        <f>'Tech Parameters'!D15*'Tech Parameters'!C15</f>
        <v>0</v>
      </c>
      <c r="C10" s="29">
        <f>'Tech Parameters'!I15</f>
        <v>0.13886997957794417</v>
      </c>
      <c r="D10" s="29">
        <f>'Tech Parameters'!G15</f>
        <v>0</v>
      </c>
      <c r="E10" s="29">
        <f>'Tech Parameters'!B18</f>
        <v>0.22515997277059224</v>
      </c>
      <c r="F10" s="28">
        <f>'Tech Parameters'!F15</f>
        <v>25.882352941176471</v>
      </c>
      <c r="G10" s="28">
        <f>$G$6</f>
        <v>60.216235656119501</v>
      </c>
      <c r="H10" s="40">
        <f>IF(C10=0,0,-'Tech Parameters'!$B$5*(1-C10))</f>
        <v>-1.2916950306330837</v>
      </c>
      <c r="I10" s="25">
        <f>'Tech Parameters'!$B$6</f>
        <v>-0.3</v>
      </c>
      <c r="J10" s="30">
        <f>IF(F10=0,0,'Tech Parameters'!$B$5*(1-C10)*(D10-E10)/F10)</f>
        <v>-1.1236923419839376E-2</v>
      </c>
      <c r="K10" s="30">
        <f>IF(G10=0,0,ABS('Tech Parameters'!$B$6)*E10/G10)</f>
        <v>1.1217571323609147E-3</v>
      </c>
      <c r="L10" s="24">
        <f t="shared" si="0"/>
        <v>120.54416551963632</v>
      </c>
      <c r="M10" s="24">
        <f t="shared" si="1"/>
        <v>113.49014391099287</v>
      </c>
      <c r="N10" s="30">
        <f t="shared" si="2"/>
        <v>0</v>
      </c>
      <c r="O10" s="30">
        <f t="shared" si="3"/>
        <v>0</v>
      </c>
      <c r="P10" s="31">
        <f>IF('Tech Parameters'!E15=0,0,(Dashboard!$B$6*'Tech Parameters'!C15+Dashboard!$B$7*('Tech Parameters'!C15-('Tech Parameters'!H11*'Tech Parameters'!C11+'Tech Parameters'!H12*'Tech Parameters'!C12+'Tech Parameters'!H13*'Tech Parameters'!C13+'Tech Parameters'!H14*'Tech Parameters'!C14+'Tech Parameters'!H15*'Tech Parameters'!C15+'Tech Parameters'!H16*'Tech Parameters'!C16))+Dashboard!$B$16)/'Tech Parameters'!E15)</f>
        <v>-1.5882833133253302</v>
      </c>
      <c r="Q10" s="31">
        <f t="shared" si="4"/>
        <v>25.55343771272975</v>
      </c>
    </row>
    <row r="11" spans="1:17" x14ac:dyDescent="0.45">
      <c r="A11" s="7" t="str">
        <f>'Tech Parameters'!A16</f>
        <v>RE generation</v>
      </c>
      <c r="B11" s="28">
        <f>'Tech Parameters'!D16*'Tech Parameters'!C16</f>
        <v>0</v>
      </c>
      <c r="C11" s="29">
        <f>'Tech Parameters'!I16</f>
        <v>0</v>
      </c>
      <c r="D11" s="29">
        <f>'Tech Parameters'!G16</f>
        <v>0</v>
      </c>
      <c r="E11" s="29">
        <f>'Tech Parameters'!B18</f>
        <v>0.22515997277059224</v>
      </c>
      <c r="F11" s="28">
        <f>'Tech Parameters'!F16</f>
        <v>0</v>
      </c>
      <c r="G11" s="28">
        <f>$G$6</f>
        <v>60.216235656119501</v>
      </c>
      <c r="H11" s="25">
        <f>IF(C11=0,0,-'Tech Parameters'!$B$5*(1-C11))</f>
        <v>0</v>
      </c>
      <c r="I11" s="25">
        <f>'Tech Parameters'!$B$6</f>
        <v>-0.3</v>
      </c>
      <c r="J11" s="30">
        <f>IF(F11=0,0,'Tech Parameters'!$B$5*(1-C11)*(D11-E11)/F11)</f>
        <v>0</v>
      </c>
      <c r="K11" s="30">
        <f>IF(G11=0,0,ABS('Tech Parameters'!$B$6)*E11/G11)</f>
        <v>1.1217571323609147E-3</v>
      </c>
      <c r="L11" s="24">
        <f t="shared" si="0"/>
        <v>113.49014391099287</v>
      </c>
      <c r="M11" s="24">
        <f t="shared" si="1"/>
        <v>113.49014391099287</v>
      </c>
      <c r="N11" s="30">
        <f t="shared" si="2"/>
        <v>0</v>
      </c>
      <c r="O11" s="30">
        <f t="shared" si="3"/>
        <v>0</v>
      </c>
      <c r="P11" s="31">
        <f>IF('Tech Parameters'!E16=0,0,(Dashboard!$B$6*'Tech Parameters'!C16+Dashboard!$B$7*('Tech Parameters'!C16-('Tech Parameters'!H11*'Tech Parameters'!C11+'Tech Parameters'!H12*'Tech Parameters'!C12+'Tech Parameters'!H13*'Tech Parameters'!C13+'Tech Parameters'!H14*'Tech Parameters'!C14+'Tech Parameters'!H15*'Tech Parameters'!C15+'Tech Parameters'!H16*'Tech Parameters'!C16))+Dashboard!$B$17)/'Tech Parameters'!E16)</f>
        <v>0</v>
      </c>
      <c r="Q11" s="31">
        <f t="shared" si="4"/>
        <v>25.55343771272975</v>
      </c>
    </row>
    <row r="14" spans="1:17" x14ac:dyDescent="0.45">
      <c r="A14" s="13" t="s">
        <v>93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1:17" ht="39.75" x14ac:dyDescent="0.45">
      <c r="A15" s="5" t="s">
        <v>12</v>
      </c>
      <c r="B15" s="5" t="s">
        <v>77</v>
      </c>
      <c r="C15" s="5" t="s">
        <v>78</v>
      </c>
      <c r="D15" s="5" t="s">
        <v>79</v>
      </c>
      <c r="E15" s="5" t="s">
        <v>80</v>
      </c>
      <c r="F15" s="5" t="s">
        <v>81</v>
      </c>
      <c r="G15" s="5" t="s">
        <v>82</v>
      </c>
      <c r="H15" s="5" t="s">
        <v>83</v>
      </c>
      <c r="I15" s="5" t="s">
        <v>84</v>
      </c>
      <c r="J15" s="5" t="s">
        <v>85</v>
      </c>
      <c r="K15" s="5" t="s">
        <v>86</v>
      </c>
      <c r="L15" s="5" t="s">
        <v>87</v>
      </c>
      <c r="M15" s="5" t="s">
        <v>88</v>
      </c>
      <c r="N15" s="5" t="s">
        <v>89</v>
      </c>
      <c r="O15" s="5" t="s">
        <v>90</v>
      </c>
      <c r="P15" s="5" t="s">
        <v>91</v>
      </c>
      <c r="Q15" s="5" t="s">
        <v>92</v>
      </c>
    </row>
    <row r="16" spans="1:17" x14ac:dyDescent="0.45">
      <c r="A16" s="7" t="str">
        <f>'Tech Parameters'!A24</f>
        <v>Coal</v>
      </c>
      <c r="B16" s="28">
        <f>'Tech Parameters'!D24*'Tech Parameters'!C24</f>
        <v>114</v>
      </c>
      <c r="C16" s="29">
        <f>'Tech Parameters'!I24</f>
        <v>0.36004737465455983</v>
      </c>
      <c r="D16" s="29">
        <f>'Tech Parameters'!G24</f>
        <v>0.25</v>
      </c>
      <c r="E16" s="29">
        <f>'Tech Parameters'!B31</f>
        <v>0.12713778128701145</v>
      </c>
      <c r="F16" s="28">
        <f>'Tech Parameters'!F24</f>
        <v>7.8947368421052628</v>
      </c>
      <c r="G16" s="24">
        <f>('Tech Parameters'!J24*IF('Tech Parameters'!F24=0,0,'Tech Parameters'!F24^(1-'Tech Parameters'!$C$5))+'Tech Parameters'!J25*IF('Tech Parameters'!F25=0,0,'Tech Parameters'!F25^(1-'Tech Parameters'!$C$5))+'Tech Parameters'!J26*IF('Tech Parameters'!F26=0,0,'Tech Parameters'!F26^(1-'Tech Parameters'!$C$5))+'Tech Parameters'!J27*IF('Tech Parameters'!F27=0,0,'Tech Parameters'!F27^(1-'Tech Parameters'!$C$5))+'Tech Parameters'!J28*IF('Tech Parameters'!F28=0,0,'Tech Parameters'!F28^(1-'Tech Parameters'!$C$5))+'Tech Parameters'!J29*IF('Tech Parameters'!F29=0,0,'Tech Parameters'!F29^(1-'Tech Parameters'!$C$5)))^(1/(1-'Tech Parameters'!$C$5))</f>
        <v>9.6214418592254543</v>
      </c>
      <c r="H16" s="40">
        <f>IF(C16=0,0,-'Tech Parameters'!$C$5*(1-C16))</f>
        <v>-0.51196210027635214</v>
      </c>
      <c r="I16" s="25">
        <f>'Tech Parameters'!$C$6</f>
        <v>-0.15</v>
      </c>
      <c r="J16" s="30">
        <f>IF(F16=0,0,'Tech Parameters'!$C$5*(1-C16)*(D16-E16)/F16)</f>
        <v>7.9674346080091264E-3</v>
      </c>
      <c r="K16" s="30">
        <f>IF(G16=0,0,ABS('Tech Parameters'!$C$6)*E16/G16)</f>
        <v>1.982100757046714E-3</v>
      </c>
      <c r="L16" s="24">
        <f t="shared" ref="L16:L21" si="5">IF(ABS(D16-E16)&lt;0.00001,0,(P16-Q16)/(D16-E16))</f>
        <v>59.232622466973169</v>
      </c>
      <c r="M16" s="24">
        <f t="shared" ref="M16:M21" si="6">IF(E16=0,0,Q16/E16)</f>
        <v>50.000000000000007</v>
      </c>
      <c r="N16" s="30">
        <f t="shared" ref="N16:N21" si="7">B16*J16</f>
        <v>0.90828754531304046</v>
      </c>
      <c r="O16" s="30">
        <f t="shared" ref="O16:O21" si="8">B16*K16</f>
        <v>0.22595948630332541</v>
      </c>
      <c r="P16" s="31">
        <f>IF('Tech Parameters'!E24=0,0,(Dashboard!$B$6*'Tech Parameters'!C24+Dashboard!$B$8*('Tech Parameters'!C24-('Tech Parameters'!H24*'Tech Parameters'!C24+'Tech Parameters'!H25*'Tech Parameters'!C25+'Tech Parameters'!H26*'Tech Parameters'!C26+'Tech Parameters'!H27*'Tech Parameters'!C27+'Tech Parameters'!H28*'Tech Parameters'!C28+'Tech Parameters'!H29*'Tech Parameters'!C29))+Dashboard!$C$12)/'Tech Parameters'!E24)</f>
        <v>13.63434048083171</v>
      </c>
      <c r="Q16" s="31">
        <f t="shared" ref="Q16:Q21" si="9">SUMPRODUCT($C$16:$C$21,$P$16:$P$21)</f>
        <v>6.3568890643505735</v>
      </c>
    </row>
    <row r="17" spans="1:17" x14ac:dyDescent="0.45">
      <c r="A17" s="7" t="str">
        <f>'Tech Parameters'!A25</f>
        <v>Natural gas</v>
      </c>
      <c r="B17" s="28">
        <f>'Tech Parameters'!D25*'Tech Parameters'!C25</f>
        <v>44.800000000000004</v>
      </c>
      <c r="C17" s="29">
        <f>'Tech Parameters'!I25</f>
        <v>0.31583103039873667</v>
      </c>
      <c r="D17" s="29">
        <f>'Tech Parameters'!G25</f>
        <v>0.112</v>
      </c>
      <c r="E17" s="29">
        <f>'Tech Parameters'!B31</f>
        <v>0.12713778128701145</v>
      </c>
      <c r="F17" s="28">
        <f>'Tech Parameters'!F25</f>
        <v>12</v>
      </c>
      <c r="G17" s="28">
        <f>$G$16</f>
        <v>9.6214418592254543</v>
      </c>
      <c r="H17" s="40">
        <f>IF(C17=0,0,-'Tech Parameters'!$C$5*(1-C17))</f>
        <v>-0.54733517568101075</v>
      </c>
      <c r="I17" s="25">
        <f>'Tech Parameters'!$C$6</f>
        <v>-0.15</v>
      </c>
      <c r="J17" s="30">
        <f>IF(F17=0,0,'Tech Parameters'!$C$5*(1-C17)*(D17-E17)/F17)</f>
        <v>-6.9045334834559385E-4</v>
      </c>
      <c r="K17" s="30">
        <f>IF(G17=0,0,ABS('Tech Parameters'!$C$6)*E17/G17)</f>
        <v>1.982100757046714E-3</v>
      </c>
      <c r="L17" s="24">
        <f t="shared" si="5"/>
        <v>70.339918296486957</v>
      </c>
      <c r="M17" s="24">
        <f t="shared" si="6"/>
        <v>50.000000000000007</v>
      </c>
      <c r="N17" s="30">
        <f t="shared" si="7"/>
        <v>-3.0932310005882608E-2</v>
      </c>
      <c r="O17" s="30">
        <f t="shared" si="8"/>
        <v>8.8798113915692797E-2</v>
      </c>
      <c r="P17" s="31">
        <f>IF('Tech Parameters'!E25=0,0,(Dashboard!$B$6*'Tech Parameters'!C25+Dashboard!$B$8*('Tech Parameters'!C25-('Tech Parameters'!H24*'Tech Parameters'!C24+'Tech Parameters'!H25*'Tech Parameters'!C25+'Tech Parameters'!H26*'Tech Parameters'!C26+'Tech Parameters'!H27*'Tech Parameters'!C27+'Tech Parameters'!H28*'Tech Parameters'!C28+'Tech Parameters'!H29*'Tech Parameters'!C29))+Dashboard!$C$13)/'Tech Parameters'!E25)</f>
        <v>5.2920987654320992</v>
      </c>
      <c r="Q17" s="31">
        <f t="shared" si="9"/>
        <v>6.3568890643505735</v>
      </c>
    </row>
    <row r="18" spans="1:17" x14ac:dyDescent="0.45">
      <c r="A18" s="7" t="str">
        <f>'Tech Parameters'!A26</f>
        <v>Gasoline</v>
      </c>
      <c r="B18" s="28">
        <f>'Tech Parameters'!D26*'Tech Parameters'!C26</f>
        <v>0</v>
      </c>
      <c r="C18" s="29">
        <f>'Tech Parameters'!I26</f>
        <v>0</v>
      </c>
      <c r="D18" s="29">
        <f>'Tech Parameters'!G26</f>
        <v>0</v>
      </c>
      <c r="E18" s="29">
        <f>'Tech Parameters'!B31</f>
        <v>0.12713778128701145</v>
      </c>
      <c r="F18" s="28">
        <f>'Tech Parameters'!F26</f>
        <v>0</v>
      </c>
      <c r="G18" s="28">
        <f>$G$16</f>
        <v>9.6214418592254543</v>
      </c>
      <c r="H18" s="25">
        <f>IF(C18=0,0,-'Tech Parameters'!$C$5*(1-C18))</f>
        <v>0</v>
      </c>
      <c r="I18" s="25">
        <f>'Tech Parameters'!$C$6</f>
        <v>-0.15</v>
      </c>
      <c r="J18" s="30">
        <f>IF(F18=0,0,'Tech Parameters'!$C$5*(1-C18)*(D18-E18)/F18)</f>
        <v>0</v>
      </c>
      <c r="K18" s="30">
        <f>IF(G18=0,0,ABS('Tech Parameters'!$C$6)*E18/G18)</f>
        <v>1.982100757046714E-3</v>
      </c>
      <c r="L18" s="24">
        <f t="shared" si="5"/>
        <v>50.000000000000007</v>
      </c>
      <c r="M18" s="24">
        <f t="shared" si="6"/>
        <v>50.000000000000007</v>
      </c>
      <c r="N18" s="30">
        <f t="shared" si="7"/>
        <v>0</v>
      </c>
      <c r="O18" s="30">
        <f t="shared" si="8"/>
        <v>0</v>
      </c>
      <c r="P18" s="31">
        <f>IF('Tech Parameters'!E26=0,0,(Dashboard!$B$6*'Tech Parameters'!C26+Dashboard!$B$8*('Tech Parameters'!C26-('Tech Parameters'!H24*'Tech Parameters'!C24+'Tech Parameters'!H25*'Tech Parameters'!C25+'Tech Parameters'!H26*'Tech Parameters'!C26+'Tech Parameters'!H27*'Tech Parameters'!C27+'Tech Parameters'!H28*'Tech Parameters'!C28+'Tech Parameters'!H29*'Tech Parameters'!C29))+Dashboard!$C$14)/'Tech Parameters'!E26)</f>
        <v>0</v>
      </c>
      <c r="Q18" s="31">
        <f t="shared" si="9"/>
        <v>6.3568890643505735</v>
      </c>
    </row>
    <row r="19" spans="1:17" x14ac:dyDescent="0.45">
      <c r="A19" s="7" t="str">
        <f>'Tech Parameters'!A27</f>
        <v>Diesel</v>
      </c>
      <c r="B19" s="28">
        <f>'Tech Parameters'!D27*'Tech Parameters'!C27</f>
        <v>2.2199999999999998</v>
      </c>
      <c r="C19" s="29">
        <f>'Tech Parameters'!I27</f>
        <v>8.2905645479668371E-3</v>
      </c>
      <c r="D19" s="29">
        <f>'Tech Parameters'!G27</f>
        <v>0.21142857142857144</v>
      </c>
      <c r="E19" s="29">
        <f>'Tech Parameters'!B31</f>
        <v>0.12713778128701145</v>
      </c>
      <c r="F19" s="28">
        <f>'Tech Parameters'!F27</f>
        <v>40</v>
      </c>
      <c r="G19" s="28">
        <f>$G$16</f>
        <v>9.6214418592254543</v>
      </c>
      <c r="H19" s="40">
        <f>IF(C19=0,0,-'Tech Parameters'!$C$5*(1-C19))</f>
        <v>-0.7933675483616266</v>
      </c>
      <c r="I19" s="25">
        <f>'Tech Parameters'!$C$6</f>
        <v>-0.15</v>
      </c>
      <c r="J19" s="30">
        <f>IF(F19=0,0,'Tech Parameters'!$C$5*(1-C19)*(D19-E19)/F19)</f>
        <v>1.6718394381018454E-3</v>
      </c>
      <c r="K19" s="30">
        <f>IF(G19=0,0,ABS('Tech Parameters'!$C$6)*E19/G19)</f>
        <v>1.982100757046714E-3</v>
      </c>
      <c r="L19" s="24">
        <f t="shared" si="5"/>
        <v>53.933640488434747</v>
      </c>
      <c r="M19" s="24">
        <f t="shared" si="6"/>
        <v>50.000000000000007</v>
      </c>
      <c r="N19" s="30">
        <f t="shared" si="7"/>
        <v>3.7114835525860965E-3</v>
      </c>
      <c r="O19" s="30">
        <f t="shared" si="8"/>
        <v>4.4002636806437043E-3</v>
      </c>
      <c r="P19" s="31">
        <f>IF('Tech Parameters'!E27=0,0,(Dashboard!$B$6*'Tech Parameters'!C27+Dashboard!$B$8*('Tech Parameters'!C27-('Tech Parameters'!H24*'Tech Parameters'!C24+'Tech Parameters'!H25*'Tech Parameters'!C25+'Tech Parameters'!H26*'Tech Parameters'!C26+'Tech Parameters'!H27*'Tech Parameters'!C27+'Tech Parameters'!H28*'Tech Parameters'!C28+'Tech Parameters'!H29*'Tech Parameters'!C29))+Dashboard!$C$15)/'Tech Parameters'!E27)</f>
        <v>10.90299823633157</v>
      </c>
      <c r="Q19" s="31">
        <f t="shared" si="9"/>
        <v>6.3568890643505735</v>
      </c>
    </row>
    <row r="20" spans="1:17" x14ac:dyDescent="0.45">
      <c r="A20" s="7" t="str">
        <f>'Tech Parameters'!A28</f>
        <v>Electricity</v>
      </c>
      <c r="B20" s="28">
        <f>'Tech Parameters'!D28*'Tech Parameters'!C28</f>
        <v>0</v>
      </c>
      <c r="C20" s="29">
        <f>'Tech Parameters'!I28</f>
        <v>0</v>
      </c>
      <c r="D20" s="29">
        <f>'Tech Parameters'!G28</f>
        <v>0</v>
      </c>
      <c r="E20" s="29">
        <f>'Tech Parameters'!B31</f>
        <v>0.12713778128701145</v>
      </c>
      <c r="F20" s="28">
        <f>'Tech Parameters'!F28</f>
        <v>0</v>
      </c>
      <c r="G20" s="28">
        <f>$G$16</f>
        <v>9.6214418592254543</v>
      </c>
      <c r="H20" s="25">
        <f>IF(C20=0,0,-'Tech Parameters'!$C$5*(1-C20))</f>
        <v>0</v>
      </c>
      <c r="I20" s="25">
        <f>'Tech Parameters'!$C$6</f>
        <v>-0.15</v>
      </c>
      <c r="J20" s="30">
        <f>IF(F20=0,0,'Tech Parameters'!$C$5*(1-C20)*(D20-E20)/F20)</f>
        <v>0</v>
      </c>
      <c r="K20" s="30">
        <f>IF(G20=0,0,ABS('Tech Parameters'!$C$6)*E20/G20)</f>
        <v>1.982100757046714E-3</v>
      </c>
      <c r="L20" s="24">
        <f t="shared" si="5"/>
        <v>50.000000000000007</v>
      </c>
      <c r="M20" s="24">
        <f t="shared" si="6"/>
        <v>50.000000000000007</v>
      </c>
      <c r="N20" s="30">
        <f t="shared" si="7"/>
        <v>0</v>
      </c>
      <c r="O20" s="30">
        <f t="shared" si="8"/>
        <v>0</v>
      </c>
      <c r="P20" s="31">
        <f>IF('Tech Parameters'!E28=0,0,(Dashboard!$B$6*'Tech Parameters'!C28+Dashboard!$B$8*('Tech Parameters'!C28-('Tech Parameters'!H24*'Tech Parameters'!C24+'Tech Parameters'!H25*'Tech Parameters'!C25+'Tech Parameters'!H26*'Tech Parameters'!C26+'Tech Parameters'!H27*'Tech Parameters'!C27+'Tech Parameters'!H28*'Tech Parameters'!C28+'Tech Parameters'!H29*'Tech Parameters'!C29))+Dashboard!$C$16)/'Tech Parameters'!E28)</f>
        <v>0</v>
      </c>
      <c r="Q20" s="31">
        <f t="shared" si="9"/>
        <v>6.3568890643505735</v>
      </c>
    </row>
    <row r="21" spans="1:17" x14ac:dyDescent="0.45">
      <c r="A21" s="7" t="str">
        <f>'Tech Parameters'!A29</f>
        <v>RE generation</v>
      </c>
      <c r="B21" s="28">
        <f>'Tech Parameters'!D29*'Tech Parameters'!C29</f>
        <v>0</v>
      </c>
      <c r="C21" s="29">
        <f>'Tech Parameters'!I29</f>
        <v>0.31583103039873667</v>
      </c>
      <c r="D21" s="29">
        <f>'Tech Parameters'!G29</f>
        <v>0</v>
      </c>
      <c r="E21" s="29">
        <f>'Tech Parameters'!B31</f>
        <v>0.12713778128701145</v>
      </c>
      <c r="F21" s="28">
        <f>'Tech Parameters'!F29</f>
        <v>2</v>
      </c>
      <c r="G21" s="28">
        <f>$G$16</f>
        <v>9.6214418592254543</v>
      </c>
      <c r="H21" s="40">
        <f>IF(C21=0,0,-'Tech Parameters'!$C$5*(1-C21))</f>
        <v>-0.54733517568101075</v>
      </c>
      <c r="I21" s="25">
        <f>'Tech Parameters'!$C$6</f>
        <v>-0.15</v>
      </c>
      <c r="J21" s="30">
        <f>IF(F21=0,0,'Tech Parameters'!$C$5*(1-C21)*(D21-E21)/F21)</f>
        <v>-3.4793489928210165E-2</v>
      </c>
      <c r="K21" s="30">
        <f>IF(G21=0,0,ABS('Tech Parameters'!$C$6)*E21/G21)</f>
        <v>1.982100757046714E-3</v>
      </c>
      <c r="L21" s="24">
        <f t="shared" si="5"/>
        <v>57.817901234567906</v>
      </c>
      <c r="M21" s="24">
        <f t="shared" si="6"/>
        <v>50.000000000000007</v>
      </c>
      <c r="N21" s="30">
        <f t="shared" si="7"/>
        <v>0</v>
      </c>
      <c r="O21" s="30">
        <f t="shared" si="8"/>
        <v>0</v>
      </c>
      <c r="P21" s="31">
        <f>IF('Tech Parameters'!E29=0,0,(Dashboard!$B$6*'Tech Parameters'!C29+Dashboard!$B$8*('Tech Parameters'!C29-('Tech Parameters'!H24*'Tech Parameters'!C24+'Tech Parameters'!H25*'Tech Parameters'!C25+'Tech Parameters'!H26*'Tech Parameters'!C26+'Tech Parameters'!H27*'Tech Parameters'!C27+'Tech Parameters'!H28*'Tech Parameters'!C28+'Tech Parameters'!H29*'Tech Parameters'!C29))+Dashboard!$C$17)/'Tech Parameters'!E29)</f>
        <v>-0.99395061728395051</v>
      </c>
      <c r="Q21" s="31">
        <f t="shared" si="9"/>
        <v>6.3568890643505735</v>
      </c>
    </row>
    <row r="24" spans="1:17" x14ac:dyDescent="0.45">
      <c r="A24" s="13" t="s">
        <v>94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7" x14ac:dyDescent="0.45">
      <c r="A25" s="4" t="s">
        <v>95</v>
      </c>
      <c r="B25" s="32">
        <f>SUM(N6:N11)+SUM(O6:O11)+SUM(N16:N21)+SUM(O16:O21)</f>
        <v>1.3318823510766731</v>
      </c>
    </row>
    <row r="26" spans="1:17" x14ac:dyDescent="0.45">
      <c r="A26" s="4" t="s">
        <v>96</v>
      </c>
      <c r="B26" s="32">
        <f>SUMPRODUCT(N6:N11,L6:L11)+SUMPRODUCT(O6:O11,M6:M11)+SUMPRODUCT(N16:N21,L16:L21)+SUMPRODUCT(O16:O21,M16:M21)</f>
        <v>82.389352917970882</v>
      </c>
    </row>
    <row r="28" spans="1:17" ht="17.649999999999999" x14ac:dyDescent="0.5">
      <c r="A28" s="15" t="s">
        <v>45</v>
      </c>
      <c r="B28" s="16">
        <f>$B$26/$B$25</f>
        <v>61.859332283642473</v>
      </c>
      <c r="C28" s="17" t="s">
        <v>8</v>
      </c>
    </row>
    <row r="30" spans="1:17" x14ac:dyDescent="0.45">
      <c r="A30" s="3" t="s">
        <v>47</v>
      </c>
    </row>
    <row r="31" spans="1:17" x14ac:dyDescent="0.45">
      <c r="A31" s="4" t="s">
        <v>48</v>
      </c>
      <c r="B31" s="18">
        <f>(SUMPRODUCT(N6:N11,L6:L11)+SUMPRODUCT(N16:N21,L16:L21))/$B$25</f>
        <v>41.973925001074292</v>
      </c>
    </row>
    <row r="32" spans="1:17" x14ac:dyDescent="0.45">
      <c r="A32" s="4" t="s">
        <v>49</v>
      </c>
      <c r="B32" s="18">
        <f>(SUMPRODUCT(O6:O11,M6:M11)+SUMPRODUCT(O16:O21,M16:M21))/$B$25</f>
        <v>19.885407282568178</v>
      </c>
    </row>
    <row r="34" spans="1:2" x14ac:dyDescent="0.45">
      <c r="A34" s="3" t="s">
        <v>50</v>
      </c>
    </row>
    <row r="35" spans="1:2" x14ac:dyDescent="0.45">
      <c r="A35" s="4" t="s">
        <v>51</v>
      </c>
      <c r="B35" s="18">
        <f>(SUMPRODUCT(N6:N11,L6:L11)+SUMPRODUCT(O6:O11,M6:M11))/$B$25</f>
        <v>10.967041335993548</v>
      </c>
    </row>
    <row r="36" spans="1:2" x14ac:dyDescent="0.45">
      <c r="A36" s="4" t="s">
        <v>52</v>
      </c>
      <c r="B36" s="18">
        <f>(SUMPRODUCT(N16:N21,L16:L21)+SUMPRODUCT(O16:O21,M16:M21))/$B$25</f>
        <v>50.892290947648924</v>
      </c>
    </row>
    <row r="38" spans="1:2" x14ac:dyDescent="0.45">
      <c r="A38" s="7" t="s">
        <v>97</v>
      </c>
      <c r="B38" s="33">
        <f>Dashboard!$B$6</f>
        <v>50</v>
      </c>
    </row>
    <row r="39" spans="1:2" x14ac:dyDescent="0.45">
      <c r="A39" s="4" t="s">
        <v>53</v>
      </c>
      <c r="B39" s="19">
        <f>IF(Dashboard!$B$6=0,0,$B$28/Dashboard!$B$6)</f>
        <v>1.2371866456728495</v>
      </c>
    </row>
    <row r="41" spans="1:2" x14ac:dyDescent="0.45">
      <c r="A41" s="2" t="s">
        <v>98</v>
      </c>
    </row>
    <row r="42" spans="1:2" x14ac:dyDescent="0.45">
      <c r="A42" s="2" t="s">
        <v>99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N116"/>
  <sheetViews>
    <sheetView zoomScaleNormal="100" workbookViewId="0">
      <selection activeCell="F16" sqref="F16"/>
    </sheetView>
  </sheetViews>
  <sheetFormatPr defaultColWidth="8.6640625" defaultRowHeight="14.25" x14ac:dyDescent="0.45"/>
  <cols>
    <col min="1" max="1" width="36" customWidth="1"/>
    <col min="2" max="2" width="10" customWidth="1"/>
    <col min="3" max="14" width="12" customWidth="1"/>
  </cols>
  <sheetData>
    <row r="1" spans="1:14" ht="17.649999999999999" x14ac:dyDescent="0.5">
      <c r="A1" s="1" t="s">
        <v>100</v>
      </c>
    </row>
    <row r="3" spans="1:14" x14ac:dyDescent="0.45">
      <c r="B3" s="4" t="s">
        <v>4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32</v>
      </c>
      <c r="N3" s="4" t="s">
        <v>33</v>
      </c>
    </row>
    <row r="4" spans="1:14" x14ac:dyDescent="0.45">
      <c r="A4" s="13" t="s">
        <v>101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x14ac:dyDescent="0.45">
      <c r="A5" s="7" t="s">
        <v>15</v>
      </c>
      <c r="B5" s="7" t="s">
        <v>102</v>
      </c>
      <c r="C5" s="28">
        <f>'Tech Parameters'!B11</f>
        <v>0</v>
      </c>
      <c r="D5" s="28">
        <f>'Tech Parameters'!B11</f>
        <v>0</v>
      </c>
      <c r="E5" s="28">
        <f>'Tech Parameters'!B11</f>
        <v>0</v>
      </c>
      <c r="F5" s="28">
        <f>'Tech Parameters'!B11</f>
        <v>0</v>
      </c>
      <c r="G5" s="28">
        <f>'Tech Parameters'!B11</f>
        <v>0</v>
      </c>
      <c r="H5" s="28">
        <f>'Tech Parameters'!B11</f>
        <v>0</v>
      </c>
      <c r="I5" s="28">
        <f>'Tech Parameters'!B11</f>
        <v>0</v>
      </c>
      <c r="J5" s="28">
        <f>'Tech Parameters'!B11</f>
        <v>0</v>
      </c>
      <c r="K5" s="28">
        <f>'Tech Parameters'!B11</f>
        <v>0</v>
      </c>
      <c r="L5" s="28">
        <f>'Tech Parameters'!B11</f>
        <v>0</v>
      </c>
      <c r="M5" s="28">
        <f>'Tech Parameters'!B11</f>
        <v>0</v>
      </c>
      <c r="N5" s="28">
        <f>'Tech Parameters'!B11</f>
        <v>0</v>
      </c>
    </row>
    <row r="6" spans="1:14" x14ac:dyDescent="0.45">
      <c r="A6" s="7" t="s">
        <v>16</v>
      </c>
      <c r="B6" s="7" t="s">
        <v>102</v>
      </c>
      <c r="C6" s="28">
        <f>'Tech Parameters'!B12</f>
        <v>8</v>
      </c>
      <c r="D6" s="28">
        <f>'Tech Parameters'!B12</f>
        <v>8</v>
      </c>
      <c r="E6" s="28">
        <f>'Tech Parameters'!B12</f>
        <v>8</v>
      </c>
      <c r="F6" s="28">
        <f>'Tech Parameters'!B12</f>
        <v>8</v>
      </c>
      <c r="G6" s="28">
        <f>'Tech Parameters'!B12</f>
        <v>8</v>
      </c>
      <c r="H6" s="28">
        <f>'Tech Parameters'!B12</f>
        <v>8</v>
      </c>
      <c r="I6" s="28">
        <f>'Tech Parameters'!B12</f>
        <v>8</v>
      </c>
      <c r="J6" s="28">
        <f>'Tech Parameters'!B12</f>
        <v>8</v>
      </c>
      <c r="K6" s="28">
        <f>'Tech Parameters'!B12</f>
        <v>8</v>
      </c>
      <c r="L6" s="28">
        <f>'Tech Parameters'!B12</f>
        <v>8</v>
      </c>
      <c r="M6" s="28">
        <f>'Tech Parameters'!B12</f>
        <v>8</v>
      </c>
      <c r="N6" s="28">
        <f>'Tech Parameters'!B12</f>
        <v>8</v>
      </c>
    </row>
    <row r="7" spans="1:14" x14ac:dyDescent="0.45">
      <c r="A7" s="7" t="s">
        <v>17</v>
      </c>
      <c r="B7" s="7" t="s">
        <v>102</v>
      </c>
      <c r="C7" s="28">
        <f>'Tech Parameters'!B13</f>
        <v>18</v>
      </c>
      <c r="D7" s="28">
        <f>'Tech Parameters'!B13</f>
        <v>18</v>
      </c>
      <c r="E7" s="28">
        <f>'Tech Parameters'!B13</f>
        <v>18</v>
      </c>
      <c r="F7" s="28">
        <f>'Tech Parameters'!B13</f>
        <v>18</v>
      </c>
      <c r="G7" s="28">
        <f>'Tech Parameters'!B13</f>
        <v>18</v>
      </c>
      <c r="H7" s="28">
        <f>'Tech Parameters'!B13</f>
        <v>18</v>
      </c>
      <c r="I7" s="28">
        <f>'Tech Parameters'!B13</f>
        <v>18</v>
      </c>
      <c r="J7" s="28">
        <f>'Tech Parameters'!B13</f>
        <v>18</v>
      </c>
      <c r="K7" s="28">
        <f>'Tech Parameters'!B13</f>
        <v>18</v>
      </c>
      <c r="L7" s="28">
        <f>'Tech Parameters'!B13</f>
        <v>18</v>
      </c>
      <c r="M7" s="28">
        <f>'Tech Parameters'!B13</f>
        <v>18</v>
      </c>
      <c r="N7" s="28">
        <f>'Tech Parameters'!B13</f>
        <v>18</v>
      </c>
    </row>
    <row r="8" spans="1:14" x14ac:dyDescent="0.45">
      <c r="A8" s="7" t="s">
        <v>18</v>
      </c>
      <c r="B8" s="7" t="s">
        <v>102</v>
      </c>
      <c r="C8" s="28">
        <f>'Tech Parameters'!B14</f>
        <v>17</v>
      </c>
      <c r="D8" s="28">
        <f>'Tech Parameters'!B14</f>
        <v>17</v>
      </c>
      <c r="E8" s="28">
        <f>'Tech Parameters'!B14</f>
        <v>17</v>
      </c>
      <c r="F8" s="28">
        <f>'Tech Parameters'!B14</f>
        <v>17</v>
      </c>
      <c r="G8" s="28">
        <f>'Tech Parameters'!B14</f>
        <v>17</v>
      </c>
      <c r="H8" s="28">
        <f>'Tech Parameters'!B14</f>
        <v>17</v>
      </c>
      <c r="I8" s="28">
        <f>'Tech Parameters'!B14</f>
        <v>17</v>
      </c>
      <c r="J8" s="28">
        <f>'Tech Parameters'!B14</f>
        <v>17</v>
      </c>
      <c r="K8" s="28">
        <f>'Tech Parameters'!B14</f>
        <v>17</v>
      </c>
      <c r="L8" s="28">
        <f>'Tech Parameters'!B14</f>
        <v>17</v>
      </c>
      <c r="M8" s="28">
        <f>'Tech Parameters'!B14</f>
        <v>17</v>
      </c>
      <c r="N8" s="28">
        <f>'Tech Parameters'!B14</f>
        <v>17</v>
      </c>
    </row>
    <row r="9" spans="1:14" x14ac:dyDescent="0.45">
      <c r="A9" s="7" t="s">
        <v>19</v>
      </c>
      <c r="B9" s="7" t="s">
        <v>102</v>
      </c>
      <c r="C9" s="28">
        <f>'Tech Parameters'!B15</f>
        <v>22</v>
      </c>
      <c r="D9" s="28">
        <f>'Tech Parameters'!B15</f>
        <v>22</v>
      </c>
      <c r="E9" s="28">
        <f>'Tech Parameters'!B15</f>
        <v>22</v>
      </c>
      <c r="F9" s="28">
        <f>'Tech Parameters'!B15</f>
        <v>22</v>
      </c>
      <c r="G9" s="28">
        <f>'Tech Parameters'!B15</f>
        <v>22</v>
      </c>
      <c r="H9" s="28">
        <f>'Tech Parameters'!B15</f>
        <v>22</v>
      </c>
      <c r="I9" s="28">
        <f>'Tech Parameters'!B15</f>
        <v>22</v>
      </c>
      <c r="J9" s="28">
        <f>'Tech Parameters'!B15</f>
        <v>22</v>
      </c>
      <c r="K9" s="28">
        <f>'Tech Parameters'!B15</f>
        <v>22</v>
      </c>
      <c r="L9" s="28">
        <f>'Tech Parameters'!B15</f>
        <v>22</v>
      </c>
      <c r="M9" s="28">
        <f>'Tech Parameters'!B15</f>
        <v>22</v>
      </c>
      <c r="N9" s="28">
        <f>'Tech Parameters'!B15</f>
        <v>22</v>
      </c>
    </row>
    <row r="10" spans="1:14" x14ac:dyDescent="0.45">
      <c r="A10" s="7" t="s">
        <v>20</v>
      </c>
      <c r="B10" s="7" t="s">
        <v>102</v>
      </c>
      <c r="C10" s="28">
        <f>'Tech Parameters'!B16</f>
        <v>0</v>
      </c>
      <c r="D10" s="28">
        <f>'Tech Parameters'!B16</f>
        <v>0</v>
      </c>
      <c r="E10" s="28">
        <f>'Tech Parameters'!B16</f>
        <v>0</v>
      </c>
      <c r="F10" s="28">
        <f>'Tech Parameters'!B16</f>
        <v>0</v>
      </c>
      <c r="G10" s="28">
        <f>'Tech Parameters'!B16</f>
        <v>0</v>
      </c>
      <c r="H10" s="28">
        <f>'Tech Parameters'!B16</f>
        <v>0</v>
      </c>
      <c r="I10" s="28">
        <f>'Tech Parameters'!B16</f>
        <v>0</v>
      </c>
      <c r="J10" s="28">
        <f>'Tech Parameters'!B16</f>
        <v>0</v>
      </c>
      <c r="K10" s="28">
        <f>'Tech Parameters'!B16</f>
        <v>0</v>
      </c>
      <c r="L10" s="28">
        <f>'Tech Parameters'!B16</f>
        <v>0</v>
      </c>
      <c r="M10" s="28">
        <f>'Tech Parameters'!B16</f>
        <v>0</v>
      </c>
      <c r="N10" s="28">
        <f>'Tech Parameters'!B16</f>
        <v>0</v>
      </c>
    </row>
    <row r="12" spans="1:14" x14ac:dyDescent="0.45">
      <c r="A12" s="13" t="s">
        <v>103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 x14ac:dyDescent="0.45">
      <c r="A13" s="7" t="s">
        <v>15</v>
      </c>
      <c r="B13" s="7" t="s">
        <v>104</v>
      </c>
      <c r="C13" s="28">
        <f>IF('Tech Parameters'!E11=0,0,C5/'Tech Parameters'!E11)</f>
        <v>0</v>
      </c>
      <c r="D13" s="28">
        <f>IF('Tech Parameters'!E11=0,0,D5/'Tech Parameters'!E11)</f>
        <v>0</v>
      </c>
      <c r="E13" s="28">
        <f>IF('Tech Parameters'!E11=0,0,E5/'Tech Parameters'!E11)</f>
        <v>0</v>
      </c>
      <c r="F13" s="28">
        <f>IF('Tech Parameters'!E11=0,0,F5/'Tech Parameters'!E11)</f>
        <v>0</v>
      </c>
      <c r="G13" s="28">
        <f>IF('Tech Parameters'!E11=0,0,G5/'Tech Parameters'!E11)</f>
        <v>0</v>
      </c>
      <c r="H13" s="28">
        <f>IF('Tech Parameters'!E11=0,0,H5/'Tech Parameters'!E11)</f>
        <v>0</v>
      </c>
      <c r="I13" s="28">
        <f>IF('Tech Parameters'!E11=0,0,I5/'Tech Parameters'!E11)</f>
        <v>0</v>
      </c>
      <c r="J13" s="28">
        <f>IF('Tech Parameters'!E11=0,0,J5/'Tech Parameters'!E11)</f>
        <v>0</v>
      </c>
      <c r="K13" s="28">
        <f>IF('Tech Parameters'!E11=0,0,K5/'Tech Parameters'!E11)</f>
        <v>0</v>
      </c>
      <c r="L13" s="28">
        <f>IF('Tech Parameters'!E11=0,0,L5/'Tech Parameters'!E11)</f>
        <v>0</v>
      </c>
      <c r="M13" s="28">
        <f>IF('Tech Parameters'!E11=0,0,M5/'Tech Parameters'!E11)</f>
        <v>0</v>
      </c>
      <c r="N13" s="28">
        <f>IF('Tech Parameters'!E11=0,0,N5/'Tech Parameters'!E11)</f>
        <v>0</v>
      </c>
    </row>
    <row r="14" spans="1:14" x14ac:dyDescent="0.45">
      <c r="A14" s="7" t="s">
        <v>16</v>
      </c>
      <c r="B14" s="7" t="s">
        <v>104</v>
      </c>
      <c r="C14" s="28">
        <f>IF('Tech Parameters'!E12=0,0,C6/'Tech Parameters'!E12)</f>
        <v>32</v>
      </c>
      <c r="D14" s="28">
        <f>IF('Tech Parameters'!E12=0,0,D6/'Tech Parameters'!E12)</f>
        <v>32</v>
      </c>
      <c r="E14" s="28">
        <f>IF('Tech Parameters'!E12=0,0,E6/'Tech Parameters'!E12)</f>
        <v>32</v>
      </c>
      <c r="F14" s="28">
        <f>IF('Tech Parameters'!E12=0,0,F6/'Tech Parameters'!E12)</f>
        <v>32</v>
      </c>
      <c r="G14" s="28">
        <f>IF('Tech Parameters'!E12=0,0,G6/'Tech Parameters'!E12)</f>
        <v>32</v>
      </c>
      <c r="H14" s="28">
        <f>IF('Tech Parameters'!E12=0,0,H6/'Tech Parameters'!E12)</f>
        <v>32</v>
      </c>
      <c r="I14" s="28">
        <f>IF('Tech Parameters'!E12=0,0,I6/'Tech Parameters'!E12)</f>
        <v>32</v>
      </c>
      <c r="J14" s="28">
        <f>IF('Tech Parameters'!E12=0,0,J6/'Tech Parameters'!E12)</f>
        <v>32</v>
      </c>
      <c r="K14" s="28">
        <f>IF('Tech Parameters'!E12=0,0,K6/'Tech Parameters'!E12)</f>
        <v>32</v>
      </c>
      <c r="L14" s="28">
        <f>IF('Tech Parameters'!E12=0,0,L6/'Tech Parameters'!E12)</f>
        <v>32</v>
      </c>
      <c r="M14" s="28">
        <f>IF('Tech Parameters'!E12=0,0,M6/'Tech Parameters'!E12)</f>
        <v>32</v>
      </c>
      <c r="N14" s="28">
        <f>IF('Tech Parameters'!E12=0,0,N6/'Tech Parameters'!E12)</f>
        <v>32</v>
      </c>
    </row>
    <row r="15" spans="1:14" x14ac:dyDescent="0.45">
      <c r="A15" s="7" t="s">
        <v>17</v>
      </c>
      <c r="B15" s="7" t="s">
        <v>104</v>
      </c>
      <c r="C15" s="28">
        <f>IF('Tech Parameters'!E13=0,0,C7/'Tech Parameters'!E13)</f>
        <v>72</v>
      </c>
      <c r="D15" s="28">
        <f>IF('Tech Parameters'!E13=0,0,D7/'Tech Parameters'!E13)</f>
        <v>72</v>
      </c>
      <c r="E15" s="28">
        <f>IF('Tech Parameters'!E13=0,0,E7/'Tech Parameters'!E13)</f>
        <v>72</v>
      </c>
      <c r="F15" s="28">
        <f>IF('Tech Parameters'!E13=0,0,F7/'Tech Parameters'!E13)</f>
        <v>72</v>
      </c>
      <c r="G15" s="28">
        <f>IF('Tech Parameters'!E13=0,0,G7/'Tech Parameters'!E13)</f>
        <v>72</v>
      </c>
      <c r="H15" s="28">
        <f>IF('Tech Parameters'!E13=0,0,H7/'Tech Parameters'!E13)</f>
        <v>72</v>
      </c>
      <c r="I15" s="28">
        <f>IF('Tech Parameters'!E13=0,0,I7/'Tech Parameters'!E13)</f>
        <v>72</v>
      </c>
      <c r="J15" s="28">
        <f>IF('Tech Parameters'!E13=0,0,J7/'Tech Parameters'!E13)</f>
        <v>72</v>
      </c>
      <c r="K15" s="28">
        <f>IF('Tech Parameters'!E13=0,0,K7/'Tech Parameters'!E13)</f>
        <v>72</v>
      </c>
      <c r="L15" s="28">
        <f>IF('Tech Parameters'!E13=0,0,L7/'Tech Parameters'!E13)</f>
        <v>72</v>
      </c>
      <c r="M15" s="28">
        <f>IF('Tech Parameters'!E13=0,0,M7/'Tech Parameters'!E13)</f>
        <v>72</v>
      </c>
      <c r="N15" s="28">
        <f>IF('Tech Parameters'!E13=0,0,N7/'Tech Parameters'!E13)</f>
        <v>72</v>
      </c>
    </row>
    <row r="16" spans="1:14" x14ac:dyDescent="0.45">
      <c r="A16" s="7" t="s">
        <v>18</v>
      </c>
      <c r="B16" s="7" t="s">
        <v>104</v>
      </c>
      <c r="C16" s="28">
        <f>IF('Tech Parameters'!E14=0,0,C8/'Tech Parameters'!E14)</f>
        <v>56.666666666666671</v>
      </c>
      <c r="D16" s="28">
        <f>IF('Tech Parameters'!E14=0,0,D8/'Tech Parameters'!E14)</f>
        <v>56.666666666666671</v>
      </c>
      <c r="E16" s="28">
        <f>IF('Tech Parameters'!E14=0,0,E8/'Tech Parameters'!E14)</f>
        <v>56.666666666666671</v>
      </c>
      <c r="F16" s="28">
        <f>IF('Tech Parameters'!E14=0,0,F8/'Tech Parameters'!E14)</f>
        <v>56.666666666666671</v>
      </c>
      <c r="G16" s="28">
        <f>IF('Tech Parameters'!E14=0,0,G8/'Tech Parameters'!E14)</f>
        <v>56.666666666666671</v>
      </c>
      <c r="H16" s="28">
        <f>IF('Tech Parameters'!E14=0,0,H8/'Tech Parameters'!E14)</f>
        <v>56.666666666666671</v>
      </c>
      <c r="I16" s="28">
        <f>IF('Tech Parameters'!E14=0,0,I8/'Tech Parameters'!E14)</f>
        <v>56.666666666666671</v>
      </c>
      <c r="J16" s="28">
        <f>IF('Tech Parameters'!E14=0,0,J8/'Tech Parameters'!E14)</f>
        <v>56.666666666666671</v>
      </c>
      <c r="K16" s="28">
        <f>IF('Tech Parameters'!E14=0,0,K8/'Tech Parameters'!E14)</f>
        <v>56.666666666666671</v>
      </c>
      <c r="L16" s="28">
        <f>IF('Tech Parameters'!E14=0,0,L8/'Tech Parameters'!E14)</f>
        <v>56.666666666666671</v>
      </c>
      <c r="M16" s="28">
        <f>IF('Tech Parameters'!E14=0,0,M8/'Tech Parameters'!E14)</f>
        <v>56.666666666666671</v>
      </c>
      <c r="N16" s="28">
        <f>IF('Tech Parameters'!E14=0,0,N8/'Tech Parameters'!E14)</f>
        <v>56.666666666666671</v>
      </c>
    </row>
    <row r="17" spans="1:14" x14ac:dyDescent="0.45">
      <c r="A17" s="7" t="s">
        <v>19</v>
      </c>
      <c r="B17" s="7" t="s">
        <v>104</v>
      </c>
      <c r="C17" s="28">
        <f>IF('Tech Parameters'!E15=0,0,C9/'Tech Parameters'!E15)</f>
        <v>25.882352941176471</v>
      </c>
      <c r="D17" s="28">
        <f>IF('Tech Parameters'!E15=0,0,D9/'Tech Parameters'!E15)</f>
        <v>25.882352941176471</v>
      </c>
      <c r="E17" s="28">
        <f>IF('Tech Parameters'!E15=0,0,E9/'Tech Parameters'!E15)</f>
        <v>25.882352941176471</v>
      </c>
      <c r="F17" s="28">
        <f>IF('Tech Parameters'!E15=0,0,F9/'Tech Parameters'!E15)</f>
        <v>25.882352941176471</v>
      </c>
      <c r="G17" s="28">
        <f>IF('Tech Parameters'!E15=0,0,G9/'Tech Parameters'!E15)</f>
        <v>25.882352941176471</v>
      </c>
      <c r="H17" s="28">
        <f>IF('Tech Parameters'!E15=0,0,H9/'Tech Parameters'!E15)</f>
        <v>25.882352941176471</v>
      </c>
      <c r="I17" s="28">
        <f>IF('Tech Parameters'!E15=0,0,I9/'Tech Parameters'!E15)</f>
        <v>25.882352941176471</v>
      </c>
      <c r="J17" s="28">
        <f>IF('Tech Parameters'!E15=0,0,J9/'Tech Parameters'!E15)</f>
        <v>25.882352941176471</v>
      </c>
      <c r="K17" s="28">
        <f>IF('Tech Parameters'!E15=0,0,K9/'Tech Parameters'!E15)</f>
        <v>25.882352941176471</v>
      </c>
      <c r="L17" s="28">
        <f>IF('Tech Parameters'!E15=0,0,L9/'Tech Parameters'!E15)</f>
        <v>25.882352941176471</v>
      </c>
      <c r="M17" s="28">
        <f>IF('Tech Parameters'!E15=0,0,M9/'Tech Parameters'!E15)</f>
        <v>25.882352941176471</v>
      </c>
      <c r="N17" s="28">
        <f>IF('Tech Parameters'!E15=0,0,N9/'Tech Parameters'!E15)</f>
        <v>25.882352941176471</v>
      </c>
    </row>
    <row r="18" spans="1:14" x14ac:dyDescent="0.45">
      <c r="A18" s="7" t="s">
        <v>20</v>
      </c>
      <c r="B18" s="7" t="s">
        <v>104</v>
      </c>
      <c r="C18" s="28">
        <f>IF('Tech Parameters'!E16=0,0,C10/'Tech Parameters'!E16)</f>
        <v>0</v>
      </c>
      <c r="D18" s="28">
        <f>IF('Tech Parameters'!E16=0,0,D10/'Tech Parameters'!E16)</f>
        <v>0</v>
      </c>
      <c r="E18" s="28">
        <f>IF('Tech Parameters'!E16=0,0,E10/'Tech Parameters'!E16)</f>
        <v>0</v>
      </c>
      <c r="F18" s="28">
        <f>IF('Tech Parameters'!E16=0,0,F10/'Tech Parameters'!E16)</f>
        <v>0</v>
      </c>
      <c r="G18" s="28">
        <f>IF('Tech Parameters'!E16=0,0,G10/'Tech Parameters'!E16)</f>
        <v>0</v>
      </c>
      <c r="H18" s="28">
        <f>IF('Tech Parameters'!E16=0,0,H10/'Tech Parameters'!E16)</f>
        <v>0</v>
      </c>
      <c r="I18" s="28">
        <f>IF('Tech Parameters'!E16=0,0,I10/'Tech Parameters'!E16)</f>
        <v>0</v>
      </c>
      <c r="J18" s="28">
        <f>IF('Tech Parameters'!E16=0,0,J10/'Tech Parameters'!E16)</f>
        <v>0</v>
      </c>
      <c r="K18" s="28">
        <f>IF('Tech Parameters'!E16=0,0,K10/'Tech Parameters'!E16)</f>
        <v>0</v>
      </c>
      <c r="L18" s="28">
        <f>IF('Tech Parameters'!E16=0,0,L10/'Tech Parameters'!E16)</f>
        <v>0</v>
      </c>
      <c r="M18" s="28">
        <f>IF('Tech Parameters'!E16=0,0,M10/'Tech Parameters'!E16)</f>
        <v>0</v>
      </c>
      <c r="N18" s="28">
        <f>IF('Tech Parameters'!E16=0,0,N10/'Tech Parameters'!E16)</f>
        <v>0</v>
      </c>
    </row>
    <row r="20" spans="1:14" x14ac:dyDescent="0.45">
      <c r="A20" s="13" t="s">
        <v>105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2" spans="1:14" x14ac:dyDescent="0.45">
      <c r="C22" s="34">
        <f>IF(C13=0,0,C13^(1-'Tech Parameters'!$B$5))</f>
        <v>0</v>
      </c>
      <c r="D22" s="34">
        <f>IF(D13=0,0,D13^(1-'Tech Parameters'!$B$5))</f>
        <v>0</v>
      </c>
      <c r="E22" s="34">
        <f>IF(E13=0,0,E13^(1-'Tech Parameters'!$B$5))</f>
        <v>0</v>
      </c>
      <c r="F22" s="34">
        <f>IF(F13=0,0,F13^(1-'Tech Parameters'!$B$5))</f>
        <v>0</v>
      </c>
      <c r="G22" s="34">
        <f>IF(G13=0,0,G13^(1-'Tech Parameters'!$B$5))</f>
        <v>0</v>
      </c>
      <c r="H22" s="34">
        <f>IF(H13=0,0,H13^(1-'Tech Parameters'!$B$5))</f>
        <v>0</v>
      </c>
      <c r="I22" s="34">
        <f>IF(I13=0,0,I13^(1-'Tech Parameters'!$B$5))</f>
        <v>0</v>
      </c>
      <c r="J22" s="34">
        <f>IF(J13=0,0,J13^(1-'Tech Parameters'!$B$5))</f>
        <v>0</v>
      </c>
      <c r="K22" s="34">
        <f>IF(K13=0,0,K13^(1-'Tech Parameters'!$B$5))</f>
        <v>0</v>
      </c>
      <c r="L22" s="34">
        <f>IF(L13=0,0,L13^(1-'Tech Parameters'!$B$5))</f>
        <v>0</v>
      </c>
      <c r="M22" s="34">
        <f>IF(M13=0,0,M13^(1-'Tech Parameters'!$B$5))</f>
        <v>0</v>
      </c>
      <c r="N22" s="34">
        <f>IF(N13=0,0,N13^(1-'Tech Parameters'!$B$5))</f>
        <v>0</v>
      </c>
    </row>
    <row r="23" spans="1:14" x14ac:dyDescent="0.45">
      <c r="C23" s="34">
        <f>IF(C14=0,0,C14^(1-'Tech Parameters'!$B$5))</f>
        <v>0.17677669529663687</v>
      </c>
      <c r="D23" s="34">
        <f>IF(D14=0,0,D14^(1-'Tech Parameters'!$B$5))</f>
        <v>0.17677669529663687</v>
      </c>
      <c r="E23" s="34">
        <f>IF(E14=0,0,E14^(1-'Tech Parameters'!$B$5))</f>
        <v>0.17677669529663687</v>
      </c>
      <c r="F23" s="34">
        <f>IF(F14=0,0,F14^(1-'Tech Parameters'!$B$5))</f>
        <v>0.17677669529663687</v>
      </c>
      <c r="G23" s="34">
        <f>IF(G14=0,0,G14^(1-'Tech Parameters'!$B$5))</f>
        <v>0.17677669529663687</v>
      </c>
      <c r="H23" s="34">
        <f>IF(H14=0,0,H14^(1-'Tech Parameters'!$B$5))</f>
        <v>0.17677669529663687</v>
      </c>
      <c r="I23" s="34">
        <f>IF(I14=0,0,I14^(1-'Tech Parameters'!$B$5))</f>
        <v>0.17677669529663687</v>
      </c>
      <c r="J23" s="34">
        <f>IF(J14=0,0,J14^(1-'Tech Parameters'!$B$5))</f>
        <v>0.17677669529663687</v>
      </c>
      <c r="K23" s="34">
        <f>IF(K14=0,0,K14^(1-'Tech Parameters'!$B$5))</f>
        <v>0.17677669529663687</v>
      </c>
      <c r="L23" s="34">
        <f>IF(L14=0,0,L14^(1-'Tech Parameters'!$B$5))</f>
        <v>0.17677669529663687</v>
      </c>
      <c r="M23" s="34">
        <f>IF(M14=0,0,M14^(1-'Tech Parameters'!$B$5))</f>
        <v>0.17677669529663687</v>
      </c>
      <c r="N23" s="34">
        <f>IF(N14=0,0,N14^(1-'Tech Parameters'!$B$5))</f>
        <v>0.17677669529663687</v>
      </c>
    </row>
    <row r="24" spans="1:14" x14ac:dyDescent="0.45">
      <c r="C24" s="34">
        <f>IF(C15=0,0,C15^(1-'Tech Parameters'!$B$5))</f>
        <v>0.11785113019775793</v>
      </c>
      <c r="D24" s="34">
        <f>IF(D15=0,0,D15^(1-'Tech Parameters'!$B$5))</f>
        <v>0.11785113019775793</v>
      </c>
      <c r="E24" s="34">
        <f>IF(E15=0,0,E15^(1-'Tech Parameters'!$B$5))</f>
        <v>0.11785113019775793</v>
      </c>
      <c r="F24" s="34">
        <f>IF(F15=0,0,F15^(1-'Tech Parameters'!$B$5))</f>
        <v>0.11785113019775793</v>
      </c>
      <c r="G24" s="34">
        <f>IF(G15=0,0,G15^(1-'Tech Parameters'!$B$5))</f>
        <v>0.11785113019775793</v>
      </c>
      <c r="H24" s="34">
        <f>IF(H15=0,0,H15^(1-'Tech Parameters'!$B$5))</f>
        <v>0.11785113019775793</v>
      </c>
      <c r="I24" s="34">
        <f>IF(I15=0,0,I15^(1-'Tech Parameters'!$B$5))</f>
        <v>0.11785113019775793</v>
      </c>
      <c r="J24" s="34">
        <f>IF(J15=0,0,J15^(1-'Tech Parameters'!$B$5))</f>
        <v>0.11785113019775793</v>
      </c>
      <c r="K24" s="34">
        <f>IF(K15=0,0,K15^(1-'Tech Parameters'!$B$5))</f>
        <v>0.11785113019775793</v>
      </c>
      <c r="L24" s="34">
        <f>IF(L15=0,0,L15^(1-'Tech Parameters'!$B$5))</f>
        <v>0.11785113019775793</v>
      </c>
      <c r="M24" s="34">
        <f>IF(M15=0,0,M15^(1-'Tech Parameters'!$B$5))</f>
        <v>0.11785113019775793</v>
      </c>
      <c r="N24" s="34">
        <f>IF(N15=0,0,N15^(1-'Tech Parameters'!$B$5))</f>
        <v>0.11785113019775793</v>
      </c>
    </row>
    <row r="25" spans="1:14" x14ac:dyDescent="0.45">
      <c r="C25" s="34">
        <f>IF(C16=0,0,C16^(1-'Tech Parameters'!$B$5))</f>
        <v>0.13284223283101429</v>
      </c>
      <c r="D25" s="34">
        <f>IF(D16=0,0,D16^(1-'Tech Parameters'!$B$5))</f>
        <v>0.13284223283101429</v>
      </c>
      <c r="E25" s="34">
        <f>IF(E16=0,0,E16^(1-'Tech Parameters'!$B$5))</f>
        <v>0.13284223283101429</v>
      </c>
      <c r="F25" s="34">
        <f>IF(F16=0,0,F16^(1-'Tech Parameters'!$B$5))</f>
        <v>0.13284223283101429</v>
      </c>
      <c r="G25" s="34">
        <f>IF(G16=0,0,G16^(1-'Tech Parameters'!$B$5))</f>
        <v>0.13284223283101429</v>
      </c>
      <c r="H25" s="34">
        <f>IF(H16=0,0,H16^(1-'Tech Parameters'!$B$5))</f>
        <v>0.13284223283101429</v>
      </c>
      <c r="I25" s="34">
        <f>IF(I16=0,0,I16^(1-'Tech Parameters'!$B$5))</f>
        <v>0.13284223283101429</v>
      </c>
      <c r="J25" s="34">
        <f>IF(J16=0,0,J16^(1-'Tech Parameters'!$B$5))</f>
        <v>0.13284223283101429</v>
      </c>
      <c r="K25" s="34">
        <f>IF(K16=0,0,K16^(1-'Tech Parameters'!$B$5))</f>
        <v>0.13284223283101429</v>
      </c>
      <c r="L25" s="34">
        <f>IF(L16=0,0,L16^(1-'Tech Parameters'!$B$5))</f>
        <v>0.13284223283101429</v>
      </c>
      <c r="M25" s="34">
        <f>IF(M16=0,0,M16^(1-'Tech Parameters'!$B$5))</f>
        <v>0.13284223283101429</v>
      </c>
      <c r="N25" s="34">
        <f>IF(N16=0,0,N16^(1-'Tech Parameters'!$B$5))</f>
        <v>0.13284223283101429</v>
      </c>
    </row>
    <row r="26" spans="1:14" x14ac:dyDescent="0.45">
      <c r="C26" s="34">
        <f>IF(C17=0,0,C17^(1-'Tech Parameters'!$B$5))</f>
        <v>0.19656134827672411</v>
      </c>
      <c r="D26" s="34">
        <f>IF(D17=0,0,D17^(1-'Tech Parameters'!$B$5))</f>
        <v>0.19656134827672411</v>
      </c>
      <c r="E26" s="34">
        <f>IF(E17=0,0,E17^(1-'Tech Parameters'!$B$5))</f>
        <v>0.19656134827672411</v>
      </c>
      <c r="F26" s="34">
        <f>IF(F17=0,0,F17^(1-'Tech Parameters'!$B$5))</f>
        <v>0.19656134827672411</v>
      </c>
      <c r="G26" s="34">
        <f>IF(G17=0,0,G17^(1-'Tech Parameters'!$B$5))</f>
        <v>0.19656134827672411</v>
      </c>
      <c r="H26" s="34">
        <f>IF(H17=0,0,H17^(1-'Tech Parameters'!$B$5))</f>
        <v>0.19656134827672411</v>
      </c>
      <c r="I26" s="34">
        <f>IF(I17=0,0,I17^(1-'Tech Parameters'!$B$5))</f>
        <v>0.19656134827672411</v>
      </c>
      <c r="J26" s="34">
        <f>IF(J17=0,0,J17^(1-'Tech Parameters'!$B$5))</f>
        <v>0.19656134827672411</v>
      </c>
      <c r="K26" s="34">
        <f>IF(K17=0,0,K17^(1-'Tech Parameters'!$B$5))</f>
        <v>0.19656134827672411</v>
      </c>
      <c r="L26" s="34">
        <f>IF(L17=0,0,L17^(1-'Tech Parameters'!$B$5))</f>
        <v>0.19656134827672411</v>
      </c>
      <c r="M26" s="34">
        <f>IF(M17=0,0,M17^(1-'Tech Parameters'!$B$5))</f>
        <v>0.19656134827672411</v>
      </c>
      <c r="N26" s="34">
        <f>IF(N17=0,0,N17^(1-'Tech Parameters'!$B$5))</f>
        <v>0.19656134827672411</v>
      </c>
    </row>
    <row r="27" spans="1:14" x14ac:dyDescent="0.45">
      <c r="C27" s="34">
        <f>IF(C18=0,0,C18^(1-'Tech Parameters'!$B$5))</f>
        <v>0</v>
      </c>
      <c r="D27" s="34">
        <f>IF(D18=0,0,D18^(1-'Tech Parameters'!$B$5))</f>
        <v>0</v>
      </c>
      <c r="E27" s="34">
        <f>IF(E18=0,0,E18^(1-'Tech Parameters'!$B$5))</f>
        <v>0</v>
      </c>
      <c r="F27" s="34">
        <f>IF(F18=0,0,F18^(1-'Tech Parameters'!$B$5))</f>
        <v>0</v>
      </c>
      <c r="G27" s="34">
        <f>IF(G18=0,0,G18^(1-'Tech Parameters'!$B$5))</f>
        <v>0</v>
      </c>
      <c r="H27" s="34">
        <f>IF(H18=0,0,H18^(1-'Tech Parameters'!$B$5))</f>
        <v>0</v>
      </c>
      <c r="I27" s="34">
        <f>IF(I18=0,0,I18^(1-'Tech Parameters'!$B$5))</f>
        <v>0</v>
      </c>
      <c r="J27" s="34">
        <f>IF(J18=0,0,J18^(1-'Tech Parameters'!$B$5))</f>
        <v>0</v>
      </c>
      <c r="K27" s="34">
        <f>IF(K18=0,0,K18^(1-'Tech Parameters'!$B$5))</f>
        <v>0</v>
      </c>
      <c r="L27" s="34">
        <f>IF(L18=0,0,L18^(1-'Tech Parameters'!$B$5))</f>
        <v>0</v>
      </c>
      <c r="M27" s="34">
        <f>IF(M18=0,0,M18^(1-'Tech Parameters'!$B$5))</f>
        <v>0</v>
      </c>
      <c r="N27" s="34">
        <f>IF(N18=0,0,N18^(1-'Tech Parameters'!$B$5))</f>
        <v>0</v>
      </c>
    </row>
    <row r="28" spans="1:14" x14ac:dyDescent="0.45">
      <c r="C28" s="34">
        <f>'Tech Parameters'!J11</f>
        <v>0</v>
      </c>
      <c r="D28" s="34">
        <f>'Tech Parameters'!J12</f>
        <v>5.5452865064695009E-3</v>
      </c>
      <c r="E28" s="34">
        <f>'Tech Parameters'!J13</f>
        <v>0.5406654343807763</v>
      </c>
      <c r="F28" s="34">
        <f>'Tech Parameters'!J14</f>
        <v>0.39279112754158962</v>
      </c>
      <c r="G28" s="34">
        <f>'Tech Parameters'!J15</f>
        <v>6.0998151571164512E-2</v>
      </c>
      <c r="H28" s="34">
        <f>'Tech Parameters'!J16</f>
        <v>0</v>
      </c>
    </row>
    <row r="29" spans="1:14" x14ac:dyDescent="0.45">
      <c r="A29" s="4" t="s">
        <v>106</v>
      </c>
      <c r="B29" s="7" t="s">
        <v>104</v>
      </c>
      <c r="C29" s="35">
        <f>(C28*C22+D28*C23+E28*C24+F28*C25+G28*C26+H28*C27)^(1/(1-'Tech Parameters'!$B$5))</f>
        <v>60.216235656119501</v>
      </c>
      <c r="D29" s="35">
        <f>(C28*D22+D28*D23+E28*D24+F28*D25+G28*D26+H28*D27)^(1/(1-'Tech Parameters'!$B$5))</f>
        <v>60.216235656119501</v>
      </c>
      <c r="E29" s="35">
        <f>(C28*E22+D28*E23+E28*E24+F28*E25+G28*E26+H28*E27)^(1/(1-'Tech Parameters'!$B$5))</f>
        <v>60.216235656119501</v>
      </c>
      <c r="F29" s="35">
        <f>(C28*F22+D28*F23+E28*F24+F28*F25+G28*F26+H28*F27)^(1/(1-'Tech Parameters'!$B$5))</f>
        <v>60.216235656119501</v>
      </c>
      <c r="G29" s="35">
        <f>(C28*G22+D28*G23+E28*G24+F28*G25+G28*G26+H28*G27)^(1/(1-'Tech Parameters'!$B$5))</f>
        <v>60.216235656119501</v>
      </c>
      <c r="H29" s="35">
        <f>(C28*H22+D28*H23+E28*H24+F28*H25+G28*H26+H28*H27)^(1/(1-'Tech Parameters'!$B$5))</f>
        <v>60.216235656119501</v>
      </c>
      <c r="I29" s="35">
        <f>(C28*I22+D28*I23+E28*I24+F28*I25+G28*I26+H28*I27)^(1/(1-'Tech Parameters'!$B$5))</f>
        <v>60.216235656119501</v>
      </c>
      <c r="J29" s="35">
        <f>(C28*J22+D28*J23+E28*J24+F28*J25+G28*J26+H28*J27)^(1/(1-'Tech Parameters'!$B$5))</f>
        <v>60.216235656119501</v>
      </c>
      <c r="K29" s="35">
        <f>(C28*K22+D28*K23+E28*K24+F28*K25+G28*K26+H28*K27)^(1/(1-'Tech Parameters'!$B$5))</f>
        <v>60.216235656119501</v>
      </c>
      <c r="L29" s="35">
        <f>(C28*L22+D28*L23+E28*L24+F28*L25+G28*L26+H28*L27)^(1/(1-'Tech Parameters'!$B$5))</f>
        <v>60.216235656119501</v>
      </c>
      <c r="M29" s="35">
        <f>(C28*M22+D28*M23+E28*M24+F28*M25+G28*M26+H28*M27)^(1/(1-'Tech Parameters'!$B$5))</f>
        <v>60.216235656119501</v>
      </c>
      <c r="N29" s="35">
        <f>(C28*N22+D28*N23+E28*N24+F28*N25+G28*N26+H28*N27)^(1/(1-'Tech Parameters'!$B$5))</f>
        <v>60.216235656119501</v>
      </c>
    </row>
    <row r="31" spans="1:14" x14ac:dyDescent="0.45">
      <c r="A31" s="13" t="s">
        <v>107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x14ac:dyDescent="0.45">
      <c r="A32" s="7" t="s">
        <v>15</v>
      </c>
      <c r="B32" s="7" t="s">
        <v>108</v>
      </c>
      <c r="C32" s="36">
        <f>'Tech Parameters'!D11</f>
        <v>0</v>
      </c>
      <c r="D32" s="36">
        <f>IF(OR(D13=0,C13=0),C41,C41*(D13/C13)^(-'Tech Parameters'!$B$5)*(D29/C29)^('Tech Parameters'!$B$5+'Tech Parameters'!$B$6))</f>
        <v>0</v>
      </c>
      <c r="E32" s="36">
        <f>IF(OR(E13=0,D13=0),D41,D41*(E13/D13)^(-'Tech Parameters'!$B$5)*(E29/D29)^('Tech Parameters'!$B$5+'Tech Parameters'!$B$6))</f>
        <v>0</v>
      </c>
      <c r="F32" s="36">
        <f>IF(OR(F13=0,E13=0),E41,E41*(F13/E13)^(-'Tech Parameters'!$B$5)*(F29/E29)^('Tech Parameters'!$B$5+'Tech Parameters'!$B$6))</f>
        <v>0</v>
      </c>
      <c r="G32" s="36">
        <f>IF(OR(G13=0,F13=0),F41,F41*(G13/F13)^(-'Tech Parameters'!$B$5)*(G29/F29)^('Tech Parameters'!$B$5+'Tech Parameters'!$B$6))</f>
        <v>0</v>
      </c>
      <c r="H32" s="36">
        <f>IF(OR(H13=0,G13=0),G41,G41*(H13/G13)^(-'Tech Parameters'!$B$5)*(H29/G29)^('Tech Parameters'!$B$5+'Tech Parameters'!$B$6))</f>
        <v>0</v>
      </c>
      <c r="I32" s="36">
        <f>IF(OR(I13=0,H13=0),H41,H41*(I13/H13)^(-'Tech Parameters'!$B$5)*(I29/H29)^('Tech Parameters'!$B$5+'Tech Parameters'!$B$6))</f>
        <v>0</v>
      </c>
      <c r="J32" s="36">
        <f>IF(OR(J13=0,I13=0),I41,I41*(J13/I13)^(-'Tech Parameters'!$B$5)*(J29/I29)^('Tech Parameters'!$B$5+'Tech Parameters'!$B$6))</f>
        <v>0</v>
      </c>
      <c r="K32" s="36">
        <f>IF(OR(K13=0,J13=0),J41,J41*(K13/J13)^(-'Tech Parameters'!$B$5)*(K29/J29)^('Tech Parameters'!$B$5+'Tech Parameters'!$B$6))</f>
        <v>0</v>
      </c>
      <c r="L32" s="36">
        <f>IF(OR(L13=0,K13=0),K41,K41*(L13/K13)^(-'Tech Parameters'!$B$5)*(L29/K29)^('Tech Parameters'!$B$5+'Tech Parameters'!$B$6))</f>
        <v>0</v>
      </c>
      <c r="M32" s="36">
        <f>IF(OR(M13=0,L13=0),L41,L41*(M13/L13)^(-'Tech Parameters'!$B$5)*(M29/L29)^('Tech Parameters'!$B$5+'Tech Parameters'!$B$6))</f>
        <v>0</v>
      </c>
      <c r="N32" s="36">
        <f>IF(OR(N13=0,M13=0),M41,M41*(N13/M13)^(-'Tech Parameters'!$B$5)*(N29/M29)^('Tech Parameters'!$B$5+'Tech Parameters'!$B$6))</f>
        <v>0</v>
      </c>
    </row>
    <row r="33" spans="1:14" x14ac:dyDescent="0.45">
      <c r="A33" s="7" t="s">
        <v>16</v>
      </c>
      <c r="B33" s="7" t="s">
        <v>108</v>
      </c>
      <c r="C33" s="36">
        <f>'Tech Parameters'!D12</f>
        <v>15</v>
      </c>
      <c r="D33" s="36">
        <f>IF(OR(D14=0,C14=0),C42,C42*(D14/C14)^(-'Tech Parameters'!$B$5)*(D29/C29)^('Tech Parameters'!$B$5+'Tech Parameters'!$B$6))</f>
        <v>15</v>
      </c>
      <c r="E33" s="36">
        <f>IF(OR(E14=0,D14=0),D42,D42*(E14/D14)^(-'Tech Parameters'!$B$5)*(E29/D29)^('Tech Parameters'!$B$5+'Tech Parameters'!$B$6))</f>
        <v>15</v>
      </c>
      <c r="F33" s="36">
        <f>IF(OR(F14=0,E14=0),E42,E42*(F14/E14)^(-'Tech Parameters'!$B$5)*(F29/E29)^('Tech Parameters'!$B$5+'Tech Parameters'!$B$6))</f>
        <v>15</v>
      </c>
      <c r="G33" s="36">
        <f>IF(OR(G14=0,F14=0),F42,F42*(G14/F14)^(-'Tech Parameters'!$B$5)*(G29/F29)^('Tech Parameters'!$B$5+'Tech Parameters'!$B$6))</f>
        <v>15</v>
      </c>
      <c r="H33" s="36">
        <f>IF(OR(H14=0,G14=0),G42,G42*(H14/G14)^(-'Tech Parameters'!$B$5)*(H29/G29)^('Tech Parameters'!$B$5+'Tech Parameters'!$B$6))</f>
        <v>15</v>
      </c>
      <c r="I33" s="36">
        <f>IF(OR(I14=0,H14=0),H42,H42*(I14/H14)^(-'Tech Parameters'!$B$5)*(I29/H29)^('Tech Parameters'!$B$5+'Tech Parameters'!$B$6))</f>
        <v>15</v>
      </c>
      <c r="J33" s="36">
        <f>IF(OR(J14=0,I14=0),I42,I42*(J14/I14)^(-'Tech Parameters'!$B$5)*(J29/I29)^('Tech Parameters'!$B$5+'Tech Parameters'!$B$6))</f>
        <v>15</v>
      </c>
      <c r="K33" s="36">
        <f>IF(OR(K14=0,J14=0),J42,J42*(K14/J14)^(-'Tech Parameters'!$B$5)*(K29/J29)^('Tech Parameters'!$B$5+'Tech Parameters'!$B$6))</f>
        <v>15</v>
      </c>
      <c r="L33" s="36">
        <f>IF(OR(L14=0,K14=0),K42,K42*(L14/K14)^(-'Tech Parameters'!$B$5)*(L29/K29)^('Tech Parameters'!$B$5+'Tech Parameters'!$B$6))</f>
        <v>15</v>
      </c>
      <c r="M33" s="36">
        <f>IF(OR(M14=0,L14=0),L42,L42*(M14/L14)^(-'Tech Parameters'!$B$5)*(M29/L29)^('Tech Parameters'!$B$5+'Tech Parameters'!$B$6))</f>
        <v>15</v>
      </c>
      <c r="N33" s="36">
        <f>IF(OR(N14=0,M14=0),M42,M42*(N14/M14)^(-'Tech Parameters'!$B$5)*(N29/M29)^('Tech Parameters'!$B$5+'Tech Parameters'!$B$6))</f>
        <v>15</v>
      </c>
    </row>
    <row r="34" spans="1:14" x14ac:dyDescent="0.45">
      <c r="A34" s="7" t="s">
        <v>17</v>
      </c>
      <c r="B34" s="7" t="s">
        <v>108</v>
      </c>
      <c r="C34" s="36">
        <f>'Tech Parameters'!D13</f>
        <v>650</v>
      </c>
      <c r="D34" s="36">
        <f>IF(OR(D15=0,C15=0),C43,C43*(D15/C15)^(-'Tech Parameters'!$B$5)*(D29/C29)^('Tech Parameters'!$B$5+'Tech Parameters'!$B$6))</f>
        <v>650</v>
      </c>
      <c r="E34" s="36">
        <f>IF(OR(E15=0,D15=0),D43,D43*(E15/D15)^(-'Tech Parameters'!$B$5)*(E29/D29)^('Tech Parameters'!$B$5+'Tech Parameters'!$B$6))</f>
        <v>650</v>
      </c>
      <c r="F34" s="36">
        <f>IF(OR(F15=0,E15=0),E43,E43*(F15/E15)^(-'Tech Parameters'!$B$5)*(F29/E29)^('Tech Parameters'!$B$5+'Tech Parameters'!$B$6))</f>
        <v>650</v>
      </c>
      <c r="G34" s="36">
        <f>IF(OR(G15=0,F15=0),F43,F43*(G15/F15)^(-'Tech Parameters'!$B$5)*(G29/F29)^('Tech Parameters'!$B$5+'Tech Parameters'!$B$6))</f>
        <v>650</v>
      </c>
      <c r="H34" s="36">
        <f>IF(OR(H15=0,G15=0),G43,G43*(H15/G15)^(-'Tech Parameters'!$B$5)*(H29/G29)^('Tech Parameters'!$B$5+'Tech Parameters'!$B$6))</f>
        <v>650</v>
      </c>
      <c r="I34" s="36">
        <f>IF(OR(I15=0,H15=0),H43,H43*(I15/H15)^(-'Tech Parameters'!$B$5)*(I29/H29)^('Tech Parameters'!$B$5+'Tech Parameters'!$B$6))</f>
        <v>650</v>
      </c>
      <c r="J34" s="36">
        <f>IF(OR(J15=0,I15=0),I43,I43*(J15/I15)^(-'Tech Parameters'!$B$5)*(J29/I29)^('Tech Parameters'!$B$5+'Tech Parameters'!$B$6))</f>
        <v>650</v>
      </c>
      <c r="K34" s="36">
        <f>IF(OR(K15=0,J15=0),J43,J43*(K15/J15)^(-'Tech Parameters'!$B$5)*(K29/J29)^('Tech Parameters'!$B$5+'Tech Parameters'!$B$6))</f>
        <v>650</v>
      </c>
      <c r="L34" s="36">
        <f>IF(OR(L15=0,K15=0),K43,K43*(L15/K15)^(-'Tech Parameters'!$B$5)*(L29/K29)^('Tech Parameters'!$B$5+'Tech Parameters'!$B$6))</f>
        <v>650</v>
      </c>
      <c r="M34" s="36">
        <f>IF(OR(M15=0,L15=0),L43,L43*(M15/L15)^(-'Tech Parameters'!$B$5)*(M29/L29)^('Tech Parameters'!$B$5+'Tech Parameters'!$B$6))</f>
        <v>650</v>
      </c>
      <c r="N34" s="36">
        <f>IF(OR(N15=0,M15=0),M43,M43*(N15/M15)^(-'Tech Parameters'!$B$5)*(N29/M29)^('Tech Parameters'!$B$5+'Tech Parameters'!$B$6))</f>
        <v>650</v>
      </c>
    </row>
    <row r="35" spans="1:14" x14ac:dyDescent="0.45">
      <c r="A35" s="7" t="s">
        <v>18</v>
      </c>
      <c r="B35" s="7" t="s">
        <v>108</v>
      </c>
      <c r="C35" s="36">
        <f>'Tech Parameters'!D14</f>
        <v>500</v>
      </c>
      <c r="D35" s="36">
        <f>IF(OR(D16=0,C16=0),C44,C44*(D16/C16)^(-'Tech Parameters'!$B$5)*(D29/C29)^('Tech Parameters'!$B$5+'Tech Parameters'!$B$6))</f>
        <v>500</v>
      </c>
      <c r="E35" s="36">
        <f>IF(OR(E16=0,D16=0),D44,D44*(E16/D16)^(-'Tech Parameters'!$B$5)*(E29/D29)^('Tech Parameters'!$B$5+'Tech Parameters'!$B$6))</f>
        <v>500</v>
      </c>
      <c r="F35" s="36">
        <f>IF(OR(F16=0,E16=0),E44,E44*(F16/E16)^(-'Tech Parameters'!$B$5)*(F29/E29)^('Tech Parameters'!$B$5+'Tech Parameters'!$B$6))</f>
        <v>500</v>
      </c>
      <c r="G35" s="36">
        <f>IF(OR(G16=0,F16=0),F44,F44*(G16/F16)^(-'Tech Parameters'!$B$5)*(G29/F29)^('Tech Parameters'!$B$5+'Tech Parameters'!$B$6))</f>
        <v>500</v>
      </c>
      <c r="H35" s="36">
        <f>IF(OR(H16=0,G16=0),G44,G44*(H16/G16)^(-'Tech Parameters'!$B$5)*(H29/G29)^('Tech Parameters'!$B$5+'Tech Parameters'!$B$6))</f>
        <v>500</v>
      </c>
      <c r="I35" s="36">
        <f>IF(OR(I16=0,H16=0),H44,H44*(I16/H16)^(-'Tech Parameters'!$B$5)*(I29/H29)^('Tech Parameters'!$B$5+'Tech Parameters'!$B$6))</f>
        <v>500</v>
      </c>
      <c r="J35" s="36">
        <f>IF(OR(J16=0,I16=0),I44,I44*(J16/I16)^(-'Tech Parameters'!$B$5)*(J29/I29)^('Tech Parameters'!$B$5+'Tech Parameters'!$B$6))</f>
        <v>500</v>
      </c>
      <c r="K35" s="36">
        <f>IF(OR(K16=0,J16=0),J44,J44*(K16/J16)^(-'Tech Parameters'!$B$5)*(K29/J29)^('Tech Parameters'!$B$5+'Tech Parameters'!$B$6))</f>
        <v>500</v>
      </c>
      <c r="L35" s="36">
        <f>IF(OR(L16=0,K16=0),K44,K44*(L16/K16)^(-'Tech Parameters'!$B$5)*(L29/K29)^('Tech Parameters'!$B$5+'Tech Parameters'!$B$6))</f>
        <v>500</v>
      </c>
      <c r="M35" s="36">
        <f>IF(OR(M16=0,L16=0),L44,L44*(M16/L16)^(-'Tech Parameters'!$B$5)*(M29/L29)^('Tech Parameters'!$B$5+'Tech Parameters'!$B$6))</f>
        <v>500</v>
      </c>
      <c r="N35" s="36">
        <f>IF(OR(N16=0,M16=0),M44,M44*(N16/M16)^(-'Tech Parameters'!$B$5)*(N29/M29)^('Tech Parameters'!$B$5+'Tech Parameters'!$B$6))</f>
        <v>500</v>
      </c>
    </row>
    <row r="36" spans="1:14" x14ac:dyDescent="0.45">
      <c r="A36" s="7" t="s">
        <v>19</v>
      </c>
      <c r="B36" s="7" t="s">
        <v>108</v>
      </c>
      <c r="C36" s="36">
        <f>'Tech Parameters'!D15</f>
        <v>60</v>
      </c>
      <c r="D36" s="36">
        <f>IF(OR(D17=0,C17=0),C45,C45*(D17/C17)^(-'Tech Parameters'!$B$5)*(D29/C29)^('Tech Parameters'!$B$5+'Tech Parameters'!$B$6))</f>
        <v>60</v>
      </c>
      <c r="E36" s="36">
        <f>IF(OR(E17=0,D17=0),D45,D45*(E17/D17)^(-'Tech Parameters'!$B$5)*(E29/D29)^('Tech Parameters'!$B$5+'Tech Parameters'!$B$6))</f>
        <v>60</v>
      </c>
      <c r="F36" s="36">
        <f>IF(OR(F17=0,E17=0),E45,E45*(F17/E17)^(-'Tech Parameters'!$B$5)*(F29/E29)^('Tech Parameters'!$B$5+'Tech Parameters'!$B$6))</f>
        <v>60</v>
      </c>
      <c r="G36" s="36">
        <f>IF(OR(G17=0,F17=0),F45,F45*(G17/F17)^(-'Tech Parameters'!$B$5)*(G29/F29)^('Tech Parameters'!$B$5+'Tech Parameters'!$B$6))</f>
        <v>60</v>
      </c>
      <c r="H36" s="36">
        <f>IF(OR(H17=0,G17=0),G45,G45*(H17/G17)^(-'Tech Parameters'!$B$5)*(H29/G29)^('Tech Parameters'!$B$5+'Tech Parameters'!$B$6))</f>
        <v>60</v>
      </c>
      <c r="I36" s="36">
        <f>IF(OR(I17=0,H17=0),H45,H45*(I17/H17)^(-'Tech Parameters'!$B$5)*(I29/H29)^('Tech Parameters'!$B$5+'Tech Parameters'!$B$6))</f>
        <v>60</v>
      </c>
      <c r="J36" s="36">
        <f>IF(OR(J17=0,I17=0),I45,I45*(J17/I17)^(-'Tech Parameters'!$B$5)*(J29/I29)^('Tech Parameters'!$B$5+'Tech Parameters'!$B$6))</f>
        <v>60</v>
      </c>
      <c r="K36" s="36">
        <f>IF(OR(K17=0,J17=0),J45,J45*(K17/J17)^(-'Tech Parameters'!$B$5)*(K29/J29)^('Tech Parameters'!$B$5+'Tech Parameters'!$B$6))</f>
        <v>60</v>
      </c>
      <c r="L36" s="36">
        <f>IF(OR(L17=0,K17=0),K45,K45*(L17/K17)^(-'Tech Parameters'!$B$5)*(L29/K29)^('Tech Parameters'!$B$5+'Tech Parameters'!$B$6))</f>
        <v>60</v>
      </c>
      <c r="M36" s="36">
        <f>IF(OR(M17=0,L17=0),L45,L45*(M17/L17)^(-'Tech Parameters'!$B$5)*(M29/L29)^('Tech Parameters'!$B$5+'Tech Parameters'!$B$6))</f>
        <v>60</v>
      </c>
      <c r="N36" s="36">
        <f>IF(OR(N17=0,M17=0),M45,M45*(N17/M17)^(-'Tech Parameters'!$B$5)*(N29/M29)^('Tech Parameters'!$B$5+'Tech Parameters'!$B$6))</f>
        <v>60</v>
      </c>
    </row>
    <row r="37" spans="1:14" x14ac:dyDescent="0.45">
      <c r="A37" s="7" t="s">
        <v>20</v>
      </c>
      <c r="B37" s="7" t="s">
        <v>108</v>
      </c>
      <c r="C37" s="36">
        <f>'Tech Parameters'!D16</f>
        <v>0</v>
      </c>
      <c r="D37" s="36">
        <f>IF(OR(D18=0,C18=0),C46,C46*(D18/C18)^(-'Tech Parameters'!$B$5)*(D29/C29)^('Tech Parameters'!$B$5+'Tech Parameters'!$B$6))</f>
        <v>0</v>
      </c>
      <c r="E37" s="36">
        <f>IF(OR(E18=0,D18=0),D46,D46*(E18/D18)^(-'Tech Parameters'!$B$5)*(E29/D29)^('Tech Parameters'!$B$5+'Tech Parameters'!$B$6))</f>
        <v>0</v>
      </c>
      <c r="F37" s="36">
        <f>IF(OR(F18=0,E18=0),E46,E46*(F18/E18)^(-'Tech Parameters'!$B$5)*(F29/E29)^('Tech Parameters'!$B$5+'Tech Parameters'!$B$6))</f>
        <v>0</v>
      </c>
      <c r="G37" s="36">
        <f>IF(OR(G18=0,F18=0),F46,F46*(G18/F18)^(-'Tech Parameters'!$B$5)*(G29/F29)^('Tech Parameters'!$B$5+'Tech Parameters'!$B$6))</f>
        <v>0</v>
      </c>
      <c r="H37" s="36">
        <f>IF(OR(H18=0,G18=0),G46,G46*(H18/G18)^(-'Tech Parameters'!$B$5)*(H29/G29)^('Tech Parameters'!$B$5+'Tech Parameters'!$B$6))</f>
        <v>0</v>
      </c>
      <c r="I37" s="36">
        <f>IF(OR(I18=0,H18=0),H46,H46*(I18/H18)^(-'Tech Parameters'!$B$5)*(I29/H29)^('Tech Parameters'!$B$5+'Tech Parameters'!$B$6))</f>
        <v>0</v>
      </c>
      <c r="J37" s="36">
        <f>IF(OR(J18=0,I18=0),I46,I46*(J18/I18)^(-'Tech Parameters'!$B$5)*(J29/I29)^('Tech Parameters'!$B$5+'Tech Parameters'!$B$6))</f>
        <v>0</v>
      </c>
      <c r="K37" s="36">
        <f>IF(OR(K18=0,J18=0),J46,J46*(K18/J18)^(-'Tech Parameters'!$B$5)*(K29/J29)^('Tech Parameters'!$B$5+'Tech Parameters'!$B$6))</f>
        <v>0</v>
      </c>
      <c r="L37" s="36">
        <f>IF(OR(L18=0,K18=0),K46,K46*(L18/K18)^(-'Tech Parameters'!$B$5)*(L29/K29)^('Tech Parameters'!$B$5+'Tech Parameters'!$B$6))</f>
        <v>0</v>
      </c>
      <c r="M37" s="36">
        <f>IF(OR(M18=0,L18=0),L46,L46*(M18/L18)^(-'Tech Parameters'!$B$5)*(M29/L29)^('Tech Parameters'!$B$5+'Tech Parameters'!$B$6))</f>
        <v>0</v>
      </c>
      <c r="N37" s="36">
        <f>IF(OR(N18=0,M18=0),M46,M46*(N18/M18)^(-'Tech Parameters'!$B$5)*(N29/M29)^('Tech Parameters'!$B$5+'Tech Parameters'!$B$6))</f>
        <v>0</v>
      </c>
    </row>
    <row r="39" spans="1:14" x14ac:dyDescent="0.45">
      <c r="A39" s="13" t="s">
        <v>109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1" spans="1:14" x14ac:dyDescent="0.45">
      <c r="A41" s="7" t="s">
        <v>15</v>
      </c>
      <c r="B41" s="7" t="s">
        <v>108</v>
      </c>
      <c r="C41" s="37">
        <f t="shared" ref="C41:C46" si="0">C32</f>
        <v>0</v>
      </c>
      <c r="D41" s="37">
        <f>C41+'Tech Parameters'!$B$7*(D32-C41)</f>
        <v>0</v>
      </c>
      <c r="E41" s="37">
        <f>D41+'Tech Parameters'!$B$7*(E32-D41)</f>
        <v>0</v>
      </c>
      <c r="F41" s="37">
        <f>E41+'Tech Parameters'!$B$7*(F32-E41)</f>
        <v>0</v>
      </c>
      <c r="G41" s="37">
        <f>F41+'Tech Parameters'!$B$7*(G32-F41)</f>
        <v>0</v>
      </c>
      <c r="H41" s="37">
        <f>G41+'Tech Parameters'!$B$7*(H32-G41)</f>
        <v>0</v>
      </c>
      <c r="I41" s="37">
        <f>H41+'Tech Parameters'!$B$7*(I32-H41)</f>
        <v>0</v>
      </c>
      <c r="J41" s="37">
        <f>I41+'Tech Parameters'!$B$7*(J32-I41)</f>
        <v>0</v>
      </c>
      <c r="K41" s="37">
        <f>J41+'Tech Parameters'!$B$7*(K32-J41)</f>
        <v>0</v>
      </c>
      <c r="L41" s="37">
        <f>K41+'Tech Parameters'!$B$7*(L32-K41)</f>
        <v>0</v>
      </c>
      <c r="M41" s="37">
        <f>L41+'Tech Parameters'!$B$7*(M32-L41)</f>
        <v>0</v>
      </c>
      <c r="N41" s="37">
        <f>M41+'Tech Parameters'!$B$7*(N32-M41)</f>
        <v>0</v>
      </c>
    </row>
    <row r="42" spans="1:14" x14ac:dyDescent="0.45">
      <c r="A42" s="7" t="s">
        <v>16</v>
      </c>
      <c r="B42" s="7" t="s">
        <v>108</v>
      </c>
      <c r="C42" s="37">
        <f t="shared" si="0"/>
        <v>15</v>
      </c>
      <c r="D42" s="37">
        <f>C42+'Tech Parameters'!$B$7*(D33-C42)</f>
        <v>15</v>
      </c>
      <c r="E42" s="37">
        <f>D42+'Tech Parameters'!$B$7*(E33-D42)</f>
        <v>15</v>
      </c>
      <c r="F42" s="37">
        <f>E42+'Tech Parameters'!$B$7*(F33-E42)</f>
        <v>15</v>
      </c>
      <c r="G42" s="37">
        <f>F42+'Tech Parameters'!$B$7*(G33-F42)</f>
        <v>15</v>
      </c>
      <c r="H42" s="37">
        <f>G42+'Tech Parameters'!$B$7*(H33-G42)</f>
        <v>15</v>
      </c>
      <c r="I42" s="37">
        <f>H42+'Tech Parameters'!$B$7*(I33-H42)</f>
        <v>15</v>
      </c>
      <c r="J42" s="37">
        <f>I42+'Tech Parameters'!$B$7*(J33-I42)</f>
        <v>15</v>
      </c>
      <c r="K42" s="37">
        <f>J42+'Tech Parameters'!$B$7*(K33-J42)</f>
        <v>15</v>
      </c>
      <c r="L42" s="37">
        <f>K42+'Tech Parameters'!$B$7*(L33-K42)</f>
        <v>15</v>
      </c>
      <c r="M42" s="37">
        <f>L42+'Tech Parameters'!$B$7*(M33-L42)</f>
        <v>15</v>
      </c>
      <c r="N42" s="37">
        <f>M42+'Tech Parameters'!$B$7*(N33-M42)</f>
        <v>15</v>
      </c>
    </row>
    <row r="43" spans="1:14" x14ac:dyDescent="0.45">
      <c r="A43" s="7" t="s">
        <v>17</v>
      </c>
      <c r="B43" s="7" t="s">
        <v>108</v>
      </c>
      <c r="C43" s="37">
        <f t="shared" si="0"/>
        <v>650</v>
      </c>
      <c r="D43" s="37">
        <f>C43+'Tech Parameters'!$B$7*(D34-C43)</f>
        <v>650</v>
      </c>
      <c r="E43" s="37">
        <f>D43+'Tech Parameters'!$B$7*(E34-D43)</f>
        <v>650</v>
      </c>
      <c r="F43" s="37">
        <f>E43+'Tech Parameters'!$B$7*(F34-E43)</f>
        <v>650</v>
      </c>
      <c r="G43" s="37">
        <f>F43+'Tech Parameters'!$B$7*(G34-F43)</f>
        <v>650</v>
      </c>
      <c r="H43" s="37">
        <f>G43+'Tech Parameters'!$B$7*(H34-G43)</f>
        <v>650</v>
      </c>
      <c r="I43" s="37">
        <f>H43+'Tech Parameters'!$B$7*(I34-H43)</f>
        <v>650</v>
      </c>
      <c r="J43" s="37">
        <f>I43+'Tech Parameters'!$B$7*(J34-I43)</f>
        <v>650</v>
      </c>
      <c r="K43" s="37">
        <f>J43+'Tech Parameters'!$B$7*(K34-J43)</f>
        <v>650</v>
      </c>
      <c r="L43" s="37">
        <f>K43+'Tech Parameters'!$B$7*(L34-K43)</f>
        <v>650</v>
      </c>
      <c r="M43" s="37">
        <f>L43+'Tech Parameters'!$B$7*(M34-L43)</f>
        <v>650</v>
      </c>
      <c r="N43" s="37">
        <f>M43+'Tech Parameters'!$B$7*(N34-M43)</f>
        <v>650</v>
      </c>
    </row>
    <row r="44" spans="1:14" x14ac:dyDescent="0.45">
      <c r="A44" s="7" t="s">
        <v>18</v>
      </c>
      <c r="B44" s="7" t="s">
        <v>108</v>
      </c>
      <c r="C44" s="37">
        <f t="shared" si="0"/>
        <v>500</v>
      </c>
      <c r="D44" s="37">
        <f>C44+'Tech Parameters'!$B$7*(D35-C44)</f>
        <v>500</v>
      </c>
      <c r="E44" s="37">
        <f>D44+'Tech Parameters'!$B$7*(E35-D44)</f>
        <v>500</v>
      </c>
      <c r="F44" s="37">
        <f>E44+'Tech Parameters'!$B$7*(F35-E44)</f>
        <v>500</v>
      </c>
      <c r="G44" s="37">
        <f>F44+'Tech Parameters'!$B$7*(G35-F44)</f>
        <v>500</v>
      </c>
      <c r="H44" s="37">
        <f>G44+'Tech Parameters'!$B$7*(H35-G44)</f>
        <v>500</v>
      </c>
      <c r="I44" s="37">
        <f>H44+'Tech Parameters'!$B$7*(I35-H44)</f>
        <v>500</v>
      </c>
      <c r="J44" s="37">
        <f>I44+'Tech Parameters'!$B$7*(J35-I44)</f>
        <v>500</v>
      </c>
      <c r="K44" s="37">
        <f>J44+'Tech Parameters'!$B$7*(K35-J44)</f>
        <v>500</v>
      </c>
      <c r="L44" s="37">
        <f>K44+'Tech Parameters'!$B$7*(L35-K44)</f>
        <v>500</v>
      </c>
      <c r="M44" s="37">
        <f>L44+'Tech Parameters'!$B$7*(M35-L44)</f>
        <v>500</v>
      </c>
      <c r="N44" s="37">
        <f>M44+'Tech Parameters'!$B$7*(N35-M44)</f>
        <v>500</v>
      </c>
    </row>
    <row r="45" spans="1:14" x14ac:dyDescent="0.45">
      <c r="A45" s="7" t="s">
        <v>19</v>
      </c>
      <c r="B45" s="7" t="s">
        <v>108</v>
      </c>
      <c r="C45" s="37">
        <f t="shared" si="0"/>
        <v>60</v>
      </c>
      <c r="D45" s="37">
        <f>C45+'Tech Parameters'!$B$7*(D36-C45)</f>
        <v>60</v>
      </c>
      <c r="E45" s="37">
        <f>D45+'Tech Parameters'!$B$7*(E36-D45)</f>
        <v>60</v>
      </c>
      <c r="F45" s="37">
        <f>E45+'Tech Parameters'!$B$7*(F36-E45)</f>
        <v>60</v>
      </c>
      <c r="G45" s="37">
        <f>F45+'Tech Parameters'!$B$7*(G36-F45)</f>
        <v>60</v>
      </c>
      <c r="H45" s="37">
        <f>G45+'Tech Parameters'!$B$7*(H36-G45)</f>
        <v>60</v>
      </c>
      <c r="I45" s="37">
        <f>H45+'Tech Parameters'!$B$7*(I36-H45)</f>
        <v>60</v>
      </c>
      <c r="J45" s="37">
        <f>I45+'Tech Parameters'!$B$7*(J36-I45)</f>
        <v>60</v>
      </c>
      <c r="K45" s="37">
        <f>J45+'Tech Parameters'!$B$7*(K36-J45)</f>
        <v>60</v>
      </c>
      <c r="L45" s="37">
        <f>K45+'Tech Parameters'!$B$7*(L36-K45)</f>
        <v>60</v>
      </c>
      <c r="M45" s="37">
        <f>L45+'Tech Parameters'!$B$7*(M36-L45)</f>
        <v>60</v>
      </c>
      <c r="N45" s="37">
        <f>M45+'Tech Parameters'!$B$7*(N36-M45)</f>
        <v>60</v>
      </c>
    </row>
    <row r="46" spans="1:14" x14ac:dyDescent="0.45">
      <c r="A46" s="7" t="s">
        <v>20</v>
      </c>
      <c r="B46" s="7" t="s">
        <v>108</v>
      </c>
      <c r="C46" s="37">
        <f t="shared" si="0"/>
        <v>0</v>
      </c>
      <c r="D46" s="37">
        <f>C46+'Tech Parameters'!$B$7*(D37-C46)</f>
        <v>0</v>
      </c>
      <c r="E46" s="37">
        <f>D46+'Tech Parameters'!$B$7*(E37-D46)</f>
        <v>0</v>
      </c>
      <c r="F46" s="37">
        <f>E46+'Tech Parameters'!$B$7*(F37-E46)</f>
        <v>0</v>
      </c>
      <c r="G46" s="37">
        <f>F46+'Tech Parameters'!$B$7*(G37-F46)</f>
        <v>0</v>
      </c>
      <c r="H46" s="37">
        <f>G46+'Tech Parameters'!$B$7*(H37-G46)</f>
        <v>0</v>
      </c>
      <c r="I46" s="37">
        <f>H46+'Tech Parameters'!$B$7*(I37-H46)</f>
        <v>0</v>
      </c>
      <c r="J46" s="37">
        <f>I46+'Tech Parameters'!$B$7*(J37-I46)</f>
        <v>0</v>
      </c>
      <c r="K46" s="37">
        <f>J46+'Tech Parameters'!$B$7*(K37-J46)</f>
        <v>0</v>
      </c>
      <c r="L46" s="37">
        <f>K46+'Tech Parameters'!$B$7*(L37-K46)</f>
        <v>0</v>
      </c>
      <c r="M46" s="37">
        <f>L46+'Tech Parameters'!$B$7*(M37-L46)</f>
        <v>0</v>
      </c>
      <c r="N46" s="37">
        <f>M46+'Tech Parameters'!$B$7*(N37-M46)</f>
        <v>0</v>
      </c>
    </row>
    <row r="48" spans="1:14" x14ac:dyDescent="0.45">
      <c r="A48" s="13" t="s">
        <v>110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x14ac:dyDescent="0.45">
      <c r="A49" s="7" t="s">
        <v>15</v>
      </c>
      <c r="B49" s="7" t="s">
        <v>111</v>
      </c>
      <c r="C49" s="28">
        <f>C41*'Tech Parameters'!C11</f>
        <v>0</v>
      </c>
      <c r="D49" s="28">
        <f>D41*'Tech Parameters'!C11</f>
        <v>0</v>
      </c>
      <c r="E49" s="28">
        <f>E41*'Tech Parameters'!C11</f>
        <v>0</v>
      </c>
      <c r="F49" s="28">
        <f>F41*'Tech Parameters'!C11</f>
        <v>0</v>
      </c>
      <c r="G49" s="28">
        <f>G41*'Tech Parameters'!C11</f>
        <v>0</v>
      </c>
      <c r="H49" s="28">
        <f>H41*'Tech Parameters'!C11</f>
        <v>0</v>
      </c>
      <c r="I49" s="28">
        <f>I41*'Tech Parameters'!C11</f>
        <v>0</v>
      </c>
      <c r="J49" s="28">
        <f>J41*'Tech Parameters'!C11</f>
        <v>0</v>
      </c>
      <c r="K49" s="28">
        <f>K41*'Tech Parameters'!C11</f>
        <v>0</v>
      </c>
      <c r="L49" s="28">
        <f>L41*'Tech Parameters'!C11</f>
        <v>0</v>
      </c>
      <c r="M49" s="28">
        <f>M41*'Tech Parameters'!C11</f>
        <v>0</v>
      </c>
      <c r="N49" s="28">
        <f>N41*'Tech Parameters'!C11</f>
        <v>0</v>
      </c>
    </row>
    <row r="50" spans="1:14" x14ac:dyDescent="0.45">
      <c r="A50" s="7" t="s">
        <v>16</v>
      </c>
      <c r="B50" s="7" t="s">
        <v>111</v>
      </c>
      <c r="C50" s="28">
        <f>C42*'Tech Parameters'!C12</f>
        <v>0.84</v>
      </c>
      <c r="D50" s="28">
        <f>D42*'Tech Parameters'!C12</f>
        <v>0.84</v>
      </c>
      <c r="E50" s="28">
        <f>E42*'Tech Parameters'!C12</f>
        <v>0.84</v>
      </c>
      <c r="F50" s="28">
        <f>F42*'Tech Parameters'!C12</f>
        <v>0.84</v>
      </c>
      <c r="G50" s="28">
        <f>G42*'Tech Parameters'!C12</f>
        <v>0.84</v>
      </c>
      <c r="H50" s="28">
        <f>H42*'Tech Parameters'!C12</f>
        <v>0.84</v>
      </c>
      <c r="I50" s="28">
        <f>I42*'Tech Parameters'!C12</f>
        <v>0.84</v>
      </c>
      <c r="J50" s="28">
        <f>J42*'Tech Parameters'!C12</f>
        <v>0.84</v>
      </c>
      <c r="K50" s="28">
        <f>K42*'Tech Parameters'!C12</f>
        <v>0.84</v>
      </c>
      <c r="L50" s="28">
        <f>L42*'Tech Parameters'!C12</f>
        <v>0.84</v>
      </c>
      <c r="M50" s="28">
        <f>M42*'Tech Parameters'!C12</f>
        <v>0.84</v>
      </c>
      <c r="N50" s="28">
        <f>N42*'Tech Parameters'!C12</f>
        <v>0.84</v>
      </c>
    </row>
    <row r="51" spans="1:14" x14ac:dyDescent="0.45">
      <c r="A51" s="7" t="s">
        <v>17</v>
      </c>
      <c r="B51" s="7" t="s">
        <v>111</v>
      </c>
      <c r="C51" s="28">
        <f>C43*'Tech Parameters'!C13</f>
        <v>44.85</v>
      </c>
      <c r="D51" s="28">
        <f>D43*'Tech Parameters'!C13</f>
        <v>44.85</v>
      </c>
      <c r="E51" s="28">
        <f>E43*'Tech Parameters'!C13</f>
        <v>44.85</v>
      </c>
      <c r="F51" s="28">
        <f>F43*'Tech Parameters'!C13</f>
        <v>44.85</v>
      </c>
      <c r="G51" s="28">
        <f>G43*'Tech Parameters'!C13</f>
        <v>44.85</v>
      </c>
      <c r="H51" s="28">
        <f>H43*'Tech Parameters'!C13</f>
        <v>44.85</v>
      </c>
      <c r="I51" s="28">
        <f>I43*'Tech Parameters'!C13</f>
        <v>44.85</v>
      </c>
      <c r="J51" s="28">
        <f>J43*'Tech Parameters'!C13</f>
        <v>44.85</v>
      </c>
      <c r="K51" s="28">
        <f>K43*'Tech Parameters'!C13</f>
        <v>44.85</v>
      </c>
      <c r="L51" s="28">
        <f>L43*'Tech Parameters'!C13</f>
        <v>44.85</v>
      </c>
      <c r="M51" s="28">
        <f>M43*'Tech Parameters'!C13</f>
        <v>44.85</v>
      </c>
      <c r="N51" s="28">
        <f>N43*'Tech Parameters'!C13</f>
        <v>44.85</v>
      </c>
    </row>
    <row r="52" spans="1:14" x14ac:dyDescent="0.45">
      <c r="A52" s="7" t="s">
        <v>18</v>
      </c>
      <c r="B52" s="7" t="s">
        <v>111</v>
      </c>
      <c r="C52" s="28">
        <f>C44*'Tech Parameters'!C14</f>
        <v>37</v>
      </c>
      <c r="D52" s="28">
        <f>D44*'Tech Parameters'!C14</f>
        <v>37</v>
      </c>
      <c r="E52" s="28">
        <f>E44*'Tech Parameters'!C14</f>
        <v>37</v>
      </c>
      <c r="F52" s="28">
        <f>F44*'Tech Parameters'!C14</f>
        <v>37</v>
      </c>
      <c r="G52" s="28">
        <f>G44*'Tech Parameters'!C14</f>
        <v>37</v>
      </c>
      <c r="H52" s="28">
        <f>H44*'Tech Parameters'!C14</f>
        <v>37</v>
      </c>
      <c r="I52" s="28">
        <f>I44*'Tech Parameters'!C14</f>
        <v>37</v>
      </c>
      <c r="J52" s="28">
        <f>J44*'Tech Parameters'!C14</f>
        <v>37</v>
      </c>
      <c r="K52" s="28">
        <f>K44*'Tech Parameters'!C14</f>
        <v>37</v>
      </c>
      <c r="L52" s="28">
        <f>L44*'Tech Parameters'!C14</f>
        <v>37</v>
      </c>
      <c r="M52" s="28">
        <f>M44*'Tech Parameters'!C14</f>
        <v>37</v>
      </c>
      <c r="N52" s="28">
        <f>N44*'Tech Parameters'!C14</f>
        <v>37</v>
      </c>
    </row>
    <row r="53" spans="1:14" x14ac:dyDescent="0.45">
      <c r="A53" s="7" t="s">
        <v>19</v>
      </c>
      <c r="B53" s="7" t="s">
        <v>111</v>
      </c>
      <c r="C53" s="28">
        <f>C45*'Tech Parameters'!C15</f>
        <v>0</v>
      </c>
      <c r="D53" s="28">
        <f>D45*'Tech Parameters'!C15</f>
        <v>0</v>
      </c>
      <c r="E53" s="28">
        <f>E45*'Tech Parameters'!C15</f>
        <v>0</v>
      </c>
      <c r="F53" s="28">
        <f>F45*'Tech Parameters'!C15</f>
        <v>0</v>
      </c>
      <c r="G53" s="28">
        <f>G45*'Tech Parameters'!C15</f>
        <v>0</v>
      </c>
      <c r="H53" s="28">
        <f>H45*'Tech Parameters'!C15</f>
        <v>0</v>
      </c>
      <c r="I53" s="28">
        <f>I45*'Tech Parameters'!C15</f>
        <v>0</v>
      </c>
      <c r="J53" s="28">
        <f>J45*'Tech Parameters'!C15</f>
        <v>0</v>
      </c>
      <c r="K53" s="28">
        <f>K45*'Tech Parameters'!C15</f>
        <v>0</v>
      </c>
      <c r="L53" s="28">
        <f>L45*'Tech Parameters'!C15</f>
        <v>0</v>
      </c>
      <c r="M53" s="28">
        <f>M45*'Tech Parameters'!C15</f>
        <v>0</v>
      </c>
      <c r="N53" s="28">
        <f>N45*'Tech Parameters'!C15</f>
        <v>0</v>
      </c>
    </row>
    <row r="54" spans="1:14" x14ac:dyDescent="0.45">
      <c r="A54" s="7" t="s">
        <v>20</v>
      </c>
      <c r="B54" s="7" t="s">
        <v>111</v>
      </c>
      <c r="C54" s="28">
        <f>C46*'Tech Parameters'!C16</f>
        <v>0</v>
      </c>
      <c r="D54" s="28">
        <f>D46*'Tech Parameters'!C16</f>
        <v>0</v>
      </c>
      <c r="E54" s="28">
        <f>E46*'Tech Parameters'!C16</f>
        <v>0</v>
      </c>
      <c r="F54" s="28">
        <f>F46*'Tech Parameters'!C16</f>
        <v>0</v>
      </c>
      <c r="G54" s="28">
        <f>G46*'Tech Parameters'!C16</f>
        <v>0</v>
      </c>
      <c r="H54" s="28">
        <f>H46*'Tech Parameters'!C16</f>
        <v>0</v>
      </c>
      <c r="I54" s="28">
        <f>I46*'Tech Parameters'!C16</f>
        <v>0</v>
      </c>
      <c r="J54" s="28">
        <f>J46*'Tech Parameters'!C16</f>
        <v>0</v>
      </c>
      <c r="K54" s="28">
        <f>K46*'Tech Parameters'!C16</f>
        <v>0</v>
      </c>
      <c r="L54" s="28">
        <f>L46*'Tech Parameters'!C16</f>
        <v>0</v>
      </c>
      <c r="M54" s="28">
        <f>M46*'Tech Parameters'!C16</f>
        <v>0</v>
      </c>
      <c r="N54" s="28">
        <f>N46*'Tech Parameters'!C16</f>
        <v>0</v>
      </c>
    </row>
    <row r="55" spans="1:14" x14ac:dyDescent="0.45">
      <c r="A55" s="4" t="s">
        <v>112</v>
      </c>
      <c r="B55" s="4" t="s">
        <v>111</v>
      </c>
      <c r="C55" s="27">
        <f t="shared" ref="C55:N55" si="1">SUM(C49:C54)</f>
        <v>82.69</v>
      </c>
      <c r="D55" s="27">
        <f t="shared" si="1"/>
        <v>82.69</v>
      </c>
      <c r="E55" s="27">
        <f t="shared" si="1"/>
        <v>82.69</v>
      </c>
      <c r="F55" s="27">
        <f t="shared" si="1"/>
        <v>82.69</v>
      </c>
      <c r="G55" s="27">
        <f t="shared" si="1"/>
        <v>82.69</v>
      </c>
      <c r="H55" s="27">
        <f t="shared" si="1"/>
        <v>82.69</v>
      </c>
      <c r="I55" s="27">
        <f t="shared" si="1"/>
        <v>82.69</v>
      </c>
      <c r="J55" s="27">
        <f t="shared" si="1"/>
        <v>82.69</v>
      </c>
      <c r="K55" s="27">
        <f t="shared" si="1"/>
        <v>82.69</v>
      </c>
      <c r="L55" s="27">
        <f t="shared" si="1"/>
        <v>82.69</v>
      </c>
      <c r="M55" s="27">
        <f t="shared" si="1"/>
        <v>82.69</v>
      </c>
      <c r="N55" s="27">
        <f t="shared" si="1"/>
        <v>82.69</v>
      </c>
    </row>
    <row r="56" spans="1:14" x14ac:dyDescent="0.45">
      <c r="A56" s="4" t="s">
        <v>113</v>
      </c>
      <c r="B56" s="4" t="s">
        <v>108</v>
      </c>
      <c r="C56" s="37">
        <f t="shared" ref="C56:N56" si="2">SUM(C41:C46)</f>
        <v>1225</v>
      </c>
      <c r="D56" s="37">
        <f t="shared" si="2"/>
        <v>1225</v>
      </c>
      <c r="E56" s="37">
        <f t="shared" si="2"/>
        <v>1225</v>
      </c>
      <c r="F56" s="37">
        <f t="shared" si="2"/>
        <v>1225</v>
      </c>
      <c r="G56" s="37">
        <f t="shared" si="2"/>
        <v>1225</v>
      </c>
      <c r="H56" s="37">
        <f t="shared" si="2"/>
        <v>1225</v>
      </c>
      <c r="I56" s="37">
        <f t="shared" si="2"/>
        <v>1225</v>
      </c>
      <c r="J56" s="37">
        <f t="shared" si="2"/>
        <v>1225</v>
      </c>
      <c r="K56" s="37">
        <f t="shared" si="2"/>
        <v>1225</v>
      </c>
      <c r="L56" s="37">
        <f t="shared" si="2"/>
        <v>1225</v>
      </c>
      <c r="M56" s="37">
        <f t="shared" si="2"/>
        <v>1225</v>
      </c>
      <c r="N56" s="37">
        <f t="shared" si="2"/>
        <v>1225</v>
      </c>
    </row>
    <row r="59" spans="1:14" x14ac:dyDescent="0.45">
      <c r="A59" s="13" t="s">
        <v>114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x14ac:dyDescent="0.45">
      <c r="A60" s="7" t="s">
        <v>15</v>
      </c>
      <c r="B60" s="7" t="s">
        <v>102</v>
      </c>
      <c r="C60" s="28">
        <f>'Tech Parameters'!B24</f>
        <v>3</v>
      </c>
      <c r="D60" s="28">
        <f>'Tech Parameters'!B24</f>
        <v>3</v>
      </c>
      <c r="E60" s="28">
        <f>'Tech Parameters'!B24</f>
        <v>3</v>
      </c>
      <c r="F60" s="28">
        <f>'Tech Parameters'!B24</f>
        <v>3</v>
      </c>
      <c r="G60" s="28">
        <f>'Tech Parameters'!B24</f>
        <v>3</v>
      </c>
      <c r="H60" s="28">
        <f>'Tech Parameters'!B24</f>
        <v>3</v>
      </c>
      <c r="I60" s="28">
        <f>'Tech Parameters'!B24</f>
        <v>3</v>
      </c>
      <c r="J60" s="28">
        <f>'Tech Parameters'!B24</f>
        <v>3</v>
      </c>
      <c r="K60" s="28">
        <f>'Tech Parameters'!B24</f>
        <v>3</v>
      </c>
      <c r="L60" s="28">
        <f>'Tech Parameters'!B24</f>
        <v>3</v>
      </c>
      <c r="M60" s="28">
        <f>'Tech Parameters'!B24</f>
        <v>3</v>
      </c>
      <c r="N60" s="28">
        <f>'Tech Parameters'!B24</f>
        <v>3</v>
      </c>
    </row>
    <row r="61" spans="1:14" x14ac:dyDescent="0.45">
      <c r="A61" s="7" t="s">
        <v>16</v>
      </c>
      <c r="B61" s="7" t="s">
        <v>102</v>
      </c>
      <c r="C61" s="28">
        <f>'Tech Parameters'!B25</f>
        <v>6</v>
      </c>
      <c r="D61" s="28">
        <f>'Tech Parameters'!B25</f>
        <v>6</v>
      </c>
      <c r="E61" s="28">
        <f>'Tech Parameters'!B25</f>
        <v>6</v>
      </c>
      <c r="F61" s="28">
        <f>'Tech Parameters'!B25</f>
        <v>6</v>
      </c>
      <c r="G61" s="28">
        <f>'Tech Parameters'!B25</f>
        <v>6</v>
      </c>
      <c r="H61" s="28">
        <f>'Tech Parameters'!B25</f>
        <v>6</v>
      </c>
      <c r="I61" s="28">
        <f>'Tech Parameters'!B25</f>
        <v>6</v>
      </c>
      <c r="J61" s="28">
        <f>'Tech Parameters'!B25</f>
        <v>6</v>
      </c>
      <c r="K61" s="28">
        <f>'Tech Parameters'!B25</f>
        <v>6</v>
      </c>
      <c r="L61" s="28">
        <f>'Tech Parameters'!B25</f>
        <v>6</v>
      </c>
      <c r="M61" s="28">
        <f>'Tech Parameters'!B25</f>
        <v>6</v>
      </c>
      <c r="N61" s="28">
        <f>'Tech Parameters'!B25</f>
        <v>6</v>
      </c>
    </row>
    <row r="62" spans="1:14" x14ac:dyDescent="0.45">
      <c r="A62" s="7" t="s">
        <v>17</v>
      </c>
      <c r="B62" s="7" t="s">
        <v>102</v>
      </c>
      <c r="C62" s="28">
        <f>'Tech Parameters'!B26</f>
        <v>0</v>
      </c>
      <c r="D62" s="28">
        <f>'Tech Parameters'!B26</f>
        <v>0</v>
      </c>
      <c r="E62" s="28">
        <f>'Tech Parameters'!B26</f>
        <v>0</v>
      </c>
      <c r="F62" s="28">
        <f>'Tech Parameters'!B26</f>
        <v>0</v>
      </c>
      <c r="G62" s="28">
        <f>'Tech Parameters'!B26</f>
        <v>0</v>
      </c>
      <c r="H62" s="28">
        <f>'Tech Parameters'!B26</f>
        <v>0</v>
      </c>
      <c r="I62" s="28">
        <f>'Tech Parameters'!B26</f>
        <v>0</v>
      </c>
      <c r="J62" s="28">
        <f>'Tech Parameters'!B26</f>
        <v>0</v>
      </c>
      <c r="K62" s="28">
        <f>'Tech Parameters'!B26</f>
        <v>0</v>
      </c>
      <c r="L62" s="28">
        <f>'Tech Parameters'!B26</f>
        <v>0</v>
      </c>
      <c r="M62" s="28">
        <f>'Tech Parameters'!B26</f>
        <v>0</v>
      </c>
      <c r="N62" s="28">
        <f>'Tech Parameters'!B26</f>
        <v>0</v>
      </c>
    </row>
    <row r="63" spans="1:14" x14ac:dyDescent="0.45">
      <c r="A63" s="7" t="s">
        <v>18</v>
      </c>
      <c r="B63" s="7" t="s">
        <v>102</v>
      </c>
      <c r="C63" s="28">
        <f>'Tech Parameters'!B27</f>
        <v>14</v>
      </c>
      <c r="D63" s="28">
        <f>'Tech Parameters'!B27</f>
        <v>14</v>
      </c>
      <c r="E63" s="28">
        <f>'Tech Parameters'!B27</f>
        <v>14</v>
      </c>
      <c r="F63" s="28">
        <f>'Tech Parameters'!B27</f>
        <v>14</v>
      </c>
      <c r="G63" s="28">
        <f>'Tech Parameters'!B27</f>
        <v>14</v>
      </c>
      <c r="H63" s="28">
        <f>'Tech Parameters'!B27</f>
        <v>14</v>
      </c>
      <c r="I63" s="28">
        <f>'Tech Parameters'!B27</f>
        <v>14</v>
      </c>
      <c r="J63" s="28">
        <f>'Tech Parameters'!B27</f>
        <v>14</v>
      </c>
      <c r="K63" s="28">
        <f>'Tech Parameters'!B27</f>
        <v>14</v>
      </c>
      <c r="L63" s="28">
        <f>'Tech Parameters'!B27</f>
        <v>14</v>
      </c>
      <c r="M63" s="28">
        <f>'Tech Parameters'!B27</f>
        <v>14</v>
      </c>
      <c r="N63" s="28">
        <f>'Tech Parameters'!B27</f>
        <v>14</v>
      </c>
    </row>
    <row r="64" spans="1:14" x14ac:dyDescent="0.45">
      <c r="A64" s="7" t="s">
        <v>19</v>
      </c>
      <c r="B64" s="7" t="s">
        <v>102</v>
      </c>
      <c r="C64" s="28">
        <f>'Tech Parameters'!B28</f>
        <v>0</v>
      </c>
      <c r="D64" s="28">
        <f>'Tech Parameters'!B28</f>
        <v>0</v>
      </c>
      <c r="E64" s="28">
        <f>'Tech Parameters'!B28</f>
        <v>0</v>
      </c>
      <c r="F64" s="28">
        <f>'Tech Parameters'!B28</f>
        <v>0</v>
      </c>
      <c r="G64" s="28">
        <f>'Tech Parameters'!B28</f>
        <v>0</v>
      </c>
      <c r="H64" s="28">
        <f>'Tech Parameters'!B28</f>
        <v>0</v>
      </c>
      <c r="I64" s="28">
        <f>'Tech Parameters'!B28</f>
        <v>0</v>
      </c>
      <c r="J64" s="28">
        <f>'Tech Parameters'!B28</f>
        <v>0</v>
      </c>
      <c r="K64" s="28">
        <f>'Tech Parameters'!B28</f>
        <v>0</v>
      </c>
      <c r="L64" s="28">
        <f>'Tech Parameters'!B28</f>
        <v>0</v>
      </c>
      <c r="M64" s="28">
        <f>'Tech Parameters'!B28</f>
        <v>0</v>
      </c>
      <c r="N64" s="28">
        <f>'Tech Parameters'!B28</f>
        <v>0</v>
      </c>
    </row>
    <row r="65" spans="1:14" x14ac:dyDescent="0.45">
      <c r="A65" s="7" t="s">
        <v>20</v>
      </c>
      <c r="B65" s="7" t="s">
        <v>102</v>
      </c>
      <c r="C65" s="28">
        <f>'Tech Parameters'!B29</f>
        <v>2</v>
      </c>
      <c r="D65" s="28">
        <f>'Tech Parameters'!B29</f>
        <v>2</v>
      </c>
      <c r="E65" s="28">
        <f>'Tech Parameters'!B29</f>
        <v>2</v>
      </c>
      <c r="F65" s="28">
        <f>'Tech Parameters'!B29</f>
        <v>2</v>
      </c>
      <c r="G65" s="28">
        <f>'Tech Parameters'!B29</f>
        <v>2</v>
      </c>
      <c r="H65" s="28">
        <f>'Tech Parameters'!B29</f>
        <v>2</v>
      </c>
      <c r="I65" s="28">
        <f>'Tech Parameters'!B29</f>
        <v>2</v>
      </c>
      <c r="J65" s="28">
        <f>'Tech Parameters'!B29</f>
        <v>2</v>
      </c>
      <c r="K65" s="28">
        <f>'Tech Parameters'!B29</f>
        <v>2</v>
      </c>
      <c r="L65" s="28">
        <f>'Tech Parameters'!B29</f>
        <v>2</v>
      </c>
      <c r="M65" s="28">
        <f>'Tech Parameters'!B29</f>
        <v>2</v>
      </c>
      <c r="N65" s="28">
        <f>'Tech Parameters'!B29</f>
        <v>2</v>
      </c>
    </row>
    <row r="67" spans="1:14" x14ac:dyDescent="0.45">
      <c r="A67" s="13" t="s">
        <v>115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x14ac:dyDescent="0.45">
      <c r="A68" s="7" t="s">
        <v>15</v>
      </c>
      <c r="B68" s="7" t="s">
        <v>104</v>
      </c>
      <c r="C68" s="28">
        <f>IF('Tech Parameters'!E24=0,0,C60/'Tech Parameters'!E24)</f>
        <v>7.8947368421052628</v>
      </c>
      <c r="D68" s="28">
        <f>IF('Tech Parameters'!E24=0,0,D60/'Tech Parameters'!E24)</f>
        <v>7.8947368421052628</v>
      </c>
      <c r="E68" s="28">
        <f>IF('Tech Parameters'!E24=0,0,E60/'Tech Parameters'!E24)</f>
        <v>7.8947368421052628</v>
      </c>
      <c r="F68" s="28">
        <f>IF('Tech Parameters'!E24=0,0,F60/'Tech Parameters'!E24)</f>
        <v>7.8947368421052628</v>
      </c>
      <c r="G68" s="28">
        <f>IF('Tech Parameters'!E24=0,0,G60/'Tech Parameters'!E24)</f>
        <v>7.8947368421052628</v>
      </c>
      <c r="H68" s="28">
        <f>IF('Tech Parameters'!E24=0,0,H60/'Tech Parameters'!E24)</f>
        <v>7.8947368421052628</v>
      </c>
      <c r="I68" s="28">
        <f>IF('Tech Parameters'!E24=0,0,I60/'Tech Parameters'!E24)</f>
        <v>7.8947368421052628</v>
      </c>
      <c r="J68" s="28">
        <f>IF('Tech Parameters'!E24=0,0,J60/'Tech Parameters'!E24)</f>
        <v>7.8947368421052628</v>
      </c>
      <c r="K68" s="28">
        <f>IF('Tech Parameters'!E24=0,0,K60/'Tech Parameters'!E24)</f>
        <v>7.8947368421052628</v>
      </c>
      <c r="L68" s="28">
        <f>IF('Tech Parameters'!E24=0,0,L60/'Tech Parameters'!E24)</f>
        <v>7.8947368421052628</v>
      </c>
      <c r="M68" s="28">
        <f>IF('Tech Parameters'!E24=0,0,M60/'Tech Parameters'!E24)</f>
        <v>7.8947368421052628</v>
      </c>
      <c r="N68" s="28">
        <f>IF('Tech Parameters'!E24=0,0,N60/'Tech Parameters'!E24)</f>
        <v>7.8947368421052628</v>
      </c>
    </row>
    <row r="69" spans="1:14" x14ac:dyDescent="0.45">
      <c r="A69" s="7" t="s">
        <v>16</v>
      </c>
      <c r="B69" s="7" t="s">
        <v>104</v>
      </c>
      <c r="C69" s="28">
        <f>IF('Tech Parameters'!E25=0,0,C61/'Tech Parameters'!E25)</f>
        <v>12</v>
      </c>
      <c r="D69" s="28">
        <f>IF('Tech Parameters'!E25=0,0,D61/'Tech Parameters'!E25)</f>
        <v>12</v>
      </c>
      <c r="E69" s="28">
        <f>IF('Tech Parameters'!E25=0,0,E61/'Tech Parameters'!E25)</f>
        <v>12</v>
      </c>
      <c r="F69" s="28">
        <f>IF('Tech Parameters'!E25=0,0,F61/'Tech Parameters'!E25)</f>
        <v>12</v>
      </c>
      <c r="G69" s="28">
        <f>IF('Tech Parameters'!E25=0,0,G61/'Tech Parameters'!E25)</f>
        <v>12</v>
      </c>
      <c r="H69" s="28">
        <f>IF('Tech Parameters'!E25=0,0,H61/'Tech Parameters'!E25)</f>
        <v>12</v>
      </c>
      <c r="I69" s="28">
        <f>IF('Tech Parameters'!E25=0,0,I61/'Tech Parameters'!E25)</f>
        <v>12</v>
      </c>
      <c r="J69" s="28">
        <f>IF('Tech Parameters'!E25=0,0,J61/'Tech Parameters'!E25)</f>
        <v>12</v>
      </c>
      <c r="K69" s="28">
        <f>IF('Tech Parameters'!E25=0,0,K61/'Tech Parameters'!E25)</f>
        <v>12</v>
      </c>
      <c r="L69" s="28">
        <f>IF('Tech Parameters'!E25=0,0,L61/'Tech Parameters'!E25)</f>
        <v>12</v>
      </c>
      <c r="M69" s="28">
        <f>IF('Tech Parameters'!E25=0,0,M61/'Tech Parameters'!E25)</f>
        <v>12</v>
      </c>
      <c r="N69" s="28">
        <f>IF('Tech Parameters'!E25=0,0,N61/'Tech Parameters'!E25)</f>
        <v>12</v>
      </c>
    </row>
    <row r="70" spans="1:14" x14ac:dyDescent="0.45">
      <c r="A70" s="7" t="s">
        <v>17</v>
      </c>
      <c r="B70" s="7" t="s">
        <v>104</v>
      </c>
      <c r="C70" s="28">
        <f>IF('Tech Parameters'!E26=0,0,C62/'Tech Parameters'!E26)</f>
        <v>0</v>
      </c>
      <c r="D70" s="28">
        <f>IF('Tech Parameters'!E26=0,0,D62/'Tech Parameters'!E26)</f>
        <v>0</v>
      </c>
      <c r="E70" s="28">
        <f>IF('Tech Parameters'!E26=0,0,E62/'Tech Parameters'!E26)</f>
        <v>0</v>
      </c>
      <c r="F70" s="28">
        <f>IF('Tech Parameters'!E26=0,0,F62/'Tech Parameters'!E26)</f>
        <v>0</v>
      </c>
      <c r="G70" s="28">
        <f>IF('Tech Parameters'!E26=0,0,G62/'Tech Parameters'!E26)</f>
        <v>0</v>
      </c>
      <c r="H70" s="28">
        <f>IF('Tech Parameters'!E26=0,0,H62/'Tech Parameters'!E26)</f>
        <v>0</v>
      </c>
      <c r="I70" s="28">
        <f>IF('Tech Parameters'!E26=0,0,I62/'Tech Parameters'!E26)</f>
        <v>0</v>
      </c>
      <c r="J70" s="28">
        <f>IF('Tech Parameters'!E26=0,0,J62/'Tech Parameters'!E26)</f>
        <v>0</v>
      </c>
      <c r="K70" s="28">
        <f>IF('Tech Parameters'!E26=0,0,K62/'Tech Parameters'!E26)</f>
        <v>0</v>
      </c>
      <c r="L70" s="28">
        <f>IF('Tech Parameters'!E26=0,0,L62/'Tech Parameters'!E26)</f>
        <v>0</v>
      </c>
      <c r="M70" s="28">
        <f>IF('Tech Parameters'!E26=0,0,M62/'Tech Parameters'!E26)</f>
        <v>0</v>
      </c>
      <c r="N70" s="28">
        <f>IF('Tech Parameters'!E26=0,0,N62/'Tech Parameters'!E26)</f>
        <v>0</v>
      </c>
    </row>
    <row r="71" spans="1:14" x14ac:dyDescent="0.45">
      <c r="A71" s="7" t="s">
        <v>18</v>
      </c>
      <c r="B71" s="7" t="s">
        <v>104</v>
      </c>
      <c r="C71" s="28">
        <f>IF('Tech Parameters'!E27=0,0,C63/'Tech Parameters'!E27)</f>
        <v>40</v>
      </c>
      <c r="D71" s="28">
        <f>IF('Tech Parameters'!E27=0,0,D63/'Tech Parameters'!E27)</f>
        <v>40</v>
      </c>
      <c r="E71" s="28">
        <f>IF('Tech Parameters'!E27=0,0,E63/'Tech Parameters'!E27)</f>
        <v>40</v>
      </c>
      <c r="F71" s="28">
        <f>IF('Tech Parameters'!E27=0,0,F63/'Tech Parameters'!E27)</f>
        <v>40</v>
      </c>
      <c r="G71" s="28">
        <f>IF('Tech Parameters'!E27=0,0,G63/'Tech Parameters'!E27)</f>
        <v>40</v>
      </c>
      <c r="H71" s="28">
        <f>IF('Tech Parameters'!E27=0,0,H63/'Tech Parameters'!E27)</f>
        <v>40</v>
      </c>
      <c r="I71" s="28">
        <f>IF('Tech Parameters'!E27=0,0,I63/'Tech Parameters'!E27)</f>
        <v>40</v>
      </c>
      <c r="J71" s="28">
        <f>IF('Tech Parameters'!E27=0,0,J63/'Tech Parameters'!E27)</f>
        <v>40</v>
      </c>
      <c r="K71" s="28">
        <f>IF('Tech Parameters'!E27=0,0,K63/'Tech Parameters'!E27)</f>
        <v>40</v>
      </c>
      <c r="L71" s="28">
        <f>IF('Tech Parameters'!E27=0,0,L63/'Tech Parameters'!E27)</f>
        <v>40</v>
      </c>
      <c r="M71" s="28">
        <f>IF('Tech Parameters'!E27=0,0,M63/'Tech Parameters'!E27)</f>
        <v>40</v>
      </c>
      <c r="N71" s="28">
        <f>IF('Tech Parameters'!E27=0,0,N63/'Tech Parameters'!E27)</f>
        <v>40</v>
      </c>
    </row>
    <row r="72" spans="1:14" x14ac:dyDescent="0.45">
      <c r="A72" s="7" t="s">
        <v>19</v>
      </c>
      <c r="B72" s="7" t="s">
        <v>104</v>
      </c>
      <c r="C72" s="28">
        <f>IF('Tech Parameters'!E28=0,0,C64/'Tech Parameters'!E28)</f>
        <v>0</v>
      </c>
      <c r="D72" s="28">
        <f>IF('Tech Parameters'!E28=0,0,D64/'Tech Parameters'!E28)</f>
        <v>0</v>
      </c>
      <c r="E72" s="28">
        <f>IF('Tech Parameters'!E28=0,0,E64/'Tech Parameters'!E28)</f>
        <v>0</v>
      </c>
      <c r="F72" s="28">
        <f>IF('Tech Parameters'!E28=0,0,F64/'Tech Parameters'!E28)</f>
        <v>0</v>
      </c>
      <c r="G72" s="28">
        <f>IF('Tech Parameters'!E28=0,0,G64/'Tech Parameters'!E28)</f>
        <v>0</v>
      </c>
      <c r="H72" s="28">
        <f>IF('Tech Parameters'!E28=0,0,H64/'Tech Parameters'!E28)</f>
        <v>0</v>
      </c>
      <c r="I72" s="28">
        <f>IF('Tech Parameters'!E28=0,0,I64/'Tech Parameters'!E28)</f>
        <v>0</v>
      </c>
      <c r="J72" s="28">
        <f>IF('Tech Parameters'!E28=0,0,J64/'Tech Parameters'!E28)</f>
        <v>0</v>
      </c>
      <c r="K72" s="28">
        <f>IF('Tech Parameters'!E28=0,0,K64/'Tech Parameters'!E28)</f>
        <v>0</v>
      </c>
      <c r="L72" s="28">
        <f>IF('Tech Parameters'!E28=0,0,L64/'Tech Parameters'!E28)</f>
        <v>0</v>
      </c>
      <c r="M72" s="28">
        <f>IF('Tech Parameters'!E28=0,0,M64/'Tech Parameters'!E28)</f>
        <v>0</v>
      </c>
      <c r="N72" s="28">
        <f>IF('Tech Parameters'!E28=0,0,N64/'Tech Parameters'!E28)</f>
        <v>0</v>
      </c>
    </row>
    <row r="73" spans="1:14" x14ac:dyDescent="0.45">
      <c r="A73" s="7" t="s">
        <v>20</v>
      </c>
      <c r="B73" s="7" t="s">
        <v>104</v>
      </c>
      <c r="C73" s="28">
        <f>IF('Tech Parameters'!E29=0,0,C65/'Tech Parameters'!E29)</f>
        <v>2</v>
      </c>
      <c r="D73" s="28">
        <f>IF('Tech Parameters'!E29=0,0,D65/'Tech Parameters'!E29)</f>
        <v>2</v>
      </c>
      <c r="E73" s="28">
        <f>IF('Tech Parameters'!E29=0,0,E65/'Tech Parameters'!E29)</f>
        <v>2</v>
      </c>
      <c r="F73" s="28">
        <f>IF('Tech Parameters'!E29=0,0,F65/'Tech Parameters'!E29)</f>
        <v>2</v>
      </c>
      <c r="G73" s="28">
        <f>IF('Tech Parameters'!E29=0,0,G65/'Tech Parameters'!E29)</f>
        <v>2</v>
      </c>
      <c r="H73" s="28">
        <f>IF('Tech Parameters'!E29=0,0,H65/'Tech Parameters'!E29)</f>
        <v>2</v>
      </c>
      <c r="I73" s="28">
        <f>IF('Tech Parameters'!E29=0,0,I65/'Tech Parameters'!E29)</f>
        <v>2</v>
      </c>
      <c r="J73" s="28">
        <f>IF('Tech Parameters'!E29=0,0,J65/'Tech Parameters'!E29)</f>
        <v>2</v>
      </c>
      <c r="K73" s="28">
        <f>IF('Tech Parameters'!E29=0,0,K65/'Tech Parameters'!E29)</f>
        <v>2</v>
      </c>
      <c r="L73" s="28">
        <f>IF('Tech Parameters'!E29=0,0,L65/'Tech Parameters'!E29)</f>
        <v>2</v>
      </c>
      <c r="M73" s="28">
        <f>IF('Tech Parameters'!E29=0,0,M65/'Tech Parameters'!E29)</f>
        <v>2</v>
      </c>
      <c r="N73" s="28">
        <f>IF('Tech Parameters'!E29=0,0,N65/'Tech Parameters'!E29)</f>
        <v>2</v>
      </c>
    </row>
    <row r="75" spans="1:14" x14ac:dyDescent="0.45">
      <c r="A75" s="13" t="s">
        <v>116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7" spans="1:14" x14ac:dyDescent="0.45">
      <c r="C77" s="34">
        <f>IF(C68=0,0,C68^(1-'Tech Parameters'!$C$5))</f>
        <v>1.5117066781209847</v>
      </c>
      <c r="D77" s="34">
        <f>IF(D68=0,0,D68^(1-'Tech Parameters'!$C$5))</f>
        <v>1.5117066781209847</v>
      </c>
      <c r="E77" s="34">
        <f>IF(E68=0,0,E68^(1-'Tech Parameters'!$C$5))</f>
        <v>1.5117066781209847</v>
      </c>
      <c r="F77" s="34">
        <f>IF(F68=0,0,F68^(1-'Tech Parameters'!$C$5))</f>
        <v>1.5117066781209847</v>
      </c>
      <c r="G77" s="34">
        <f>IF(G68=0,0,G68^(1-'Tech Parameters'!$C$5))</f>
        <v>1.5117066781209847</v>
      </c>
      <c r="H77" s="34">
        <f>IF(H68=0,0,H68^(1-'Tech Parameters'!$C$5))</f>
        <v>1.5117066781209847</v>
      </c>
      <c r="I77" s="34">
        <f>IF(I68=0,0,I68^(1-'Tech Parameters'!$C$5))</f>
        <v>1.5117066781209847</v>
      </c>
      <c r="J77" s="34">
        <f>IF(J68=0,0,J68^(1-'Tech Parameters'!$C$5))</f>
        <v>1.5117066781209847</v>
      </c>
      <c r="K77" s="34">
        <f>IF(K68=0,0,K68^(1-'Tech Parameters'!$C$5))</f>
        <v>1.5117066781209847</v>
      </c>
      <c r="L77" s="34">
        <f>IF(L68=0,0,L68^(1-'Tech Parameters'!$C$5))</f>
        <v>1.5117066781209847</v>
      </c>
      <c r="M77" s="34">
        <f>IF(M68=0,0,M68^(1-'Tech Parameters'!$C$5))</f>
        <v>1.5117066781209847</v>
      </c>
      <c r="N77" s="34">
        <f>IF(N68=0,0,N68^(1-'Tech Parameters'!$C$5))</f>
        <v>1.5117066781209847</v>
      </c>
    </row>
    <row r="78" spans="1:14" x14ac:dyDescent="0.45">
      <c r="C78" s="34">
        <f>IF(C69=0,0,C69^(1-'Tech Parameters'!$C$5))</f>
        <v>1.6437518295172255</v>
      </c>
      <c r="D78" s="34">
        <f>IF(D69=0,0,D69^(1-'Tech Parameters'!$C$5))</f>
        <v>1.6437518295172255</v>
      </c>
      <c r="E78" s="34">
        <f>IF(E69=0,0,E69^(1-'Tech Parameters'!$C$5))</f>
        <v>1.6437518295172255</v>
      </c>
      <c r="F78" s="34">
        <f>IF(F69=0,0,F69^(1-'Tech Parameters'!$C$5))</f>
        <v>1.6437518295172255</v>
      </c>
      <c r="G78" s="34">
        <f>IF(G69=0,0,G69^(1-'Tech Parameters'!$C$5))</f>
        <v>1.6437518295172255</v>
      </c>
      <c r="H78" s="34">
        <f>IF(H69=0,0,H69^(1-'Tech Parameters'!$C$5))</f>
        <v>1.6437518295172255</v>
      </c>
      <c r="I78" s="34">
        <f>IF(I69=0,0,I69^(1-'Tech Parameters'!$C$5))</f>
        <v>1.6437518295172255</v>
      </c>
      <c r="J78" s="34">
        <f>IF(J69=0,0,J69^(1-'Tech Parameters'!$C$5))</f>
        <v>1.6437518295172255</v>
      </c>
      <c r="K78" s="34">
        <f>IF(K69=0,0,K69^(1-'Tech Parameters'!$C$5))</f>
        <v>1.6437518295172255</v>
      </c>
      <c r="L78" s="34">
        <f>IF(L69=0,0,L69^(1-'Tech Parameters'!$C$5))</f>
        <v>1.6437518295172255</v>
      </c>
      <c r="M78" s="34">
        <f>IF(M69=0,0,M69^(1-'Tech Parameters'!$C$5))</f>
        <v>1.6437518295172255</v>
      </c>
      <c r="N78" s="34">
        <f>IF(N69=0,0,N69^(1-'Tech Parameters'!$C$5))</f>
        <v>1.6437518295172255</v>
      </c>
    </row>
    <row r="79" spans="1:14" x14ac:dyDescent="0.45">
      <c r="C79" s="34">
        <f>IF(C70=0,0,C70^(1-'Tech Parameters'!$C$5))</f>
        <v>0</v>
      </c>
      <c r="D79" s="34">
        <f>IF(D70=0,0,D70^(1-'Tech Parameters'!$C$5))</f>
        <v>0</v>
      </c>
      <c r="E79" s="34">
        <f>IF(E70=0,0,E70^(1-'Tech Parameters'!$C$5))</f>
        <v>0</v>
      </c>
      <c r="F79" s="34">
        <f>IF(F70=0,0,F70^(1-'Tech Parameters'!$C$5))</f>
        <v>0</v>
      </c>
      <c r="G79" s="34">
        <f>IF(G70=0,0,G70^(1-'Tech Parameters'!$C$5))</f>
        <v>0</v>
      </c>
      <c r="H79" s="34">
        <f>IF(H70=0,0,H70^(1-'Tech Parameters'!$C$5))</f>
        <v>0</v>
      </c>
      <c r="I79" s="34">
        <f>IF(I70=0,0,I70^(1-'Tech Parameters'!$C$5))</f>
        <v>0</v>
      </c>
      <c r="J79" s="34">
        <f>IF(J70=0,0,J70^(1-'Tech Parameters'!$C$5))</f>
        <v>0</v>
      </c>
      <c r="K79" s="34">
        <f>IF(K70=0,0,K70^(1-'Tech Parameters'!$C$5))</f>
        <v>0</v>
      </c>
      <c r="L79" s="34">
        <f>IF(L70=0,0,L70^(1-'Tech Parameters'!$C$5))</f>
        <v>0</v>
      </c>
      <c r="M79" s="34">
        <f>IF(M70=0,0,M70^(1-'Tech Parameters'!$C$5))</f>
        <v>0</v>
      </c>
      <c r="N79" s="34">
        <f>IF(N70=0,0,N70^(1-'Tech Parameters'!$C$5))</f>
        <v>0</v>
      </c>
    </row>
    <row r="80" spans="1:14" x14ac:dyDescent="0.45">
      <c r="C80" s="34">
        <f>IF(C71=0,0,C71^(1-'Tech Parameters'!$C$5))</f>
        <v>2.0912791051825459</v>
      </c>
      <c r="D80" s="34">
        <f>IF(D71=0,0,D71^(1-'Tech Parameters'!$C$5))</f>
        <v>2.0912791051825459</v>
      </c>
      <c r="E80" s="34">
        <f>IF(E71=0,0,E71^(1-'Tech Parameters'!$C$5))</f>
        <v>2.0912791051825459</v>
      </c>
      <c r="F80" s="34">
        <f>IF(F71=0,0,F71^(1-'Tech Parameters'!$C$5))</f>
        <v>2.0912791051825459</v>
      </c>
      <c r="G80" s="34">
        <f>IF(G71=0,0,G71^(1-'Tech Parameters'!$C$5))</f>
        <v>2.0912791051825459</v>
      </c>
      <c r="H80" s="34">
        <f>IF(H71=0,0,H71^(1-'Tech Parameters'!$C$5))</f>
        <v>2.0912791051825459</v>
      </c>
      <c r="I80" s="34">
        <f>IF(I71=0,0,I71^(1-'Tech Parameters'!$C$5))</f>
        <v>2.0912791051825459</v>
      </c>
      <c r="J80" s="34">
        <f>IF(J71=0,0,J71^(1-'Tech Parameters'!$C$5))</f>
        <v>2.0912791051825459</v>
      </c>
      <c r="K80" s="34">
        <f>IF(K71=0,0,K71^(1-'Tech Parameters'!$C$5))</f>
        <v>2.0912791051825459</v>
      </c>
      <c r="L80" s="34">
        <f>IF(L71=0,0,L71^(1-'Tech Parameters'!$C$5))</f>
        <v>2.0912791051825459</v>
      </c>
      <c r="M80" s="34">
        <f>IF(M71=0,0,M71^(1-'Tech Parameters'!$C$5))</f>
        <v>2.0912791051825459</v>
      </c>
      <c r="N80" s="34">
        <f>IF(N71=0,0,N71^(1-'Tech Parameters'!$C$5))</f>
        <v>2.0912791051825459</v>
      </c>
    </row>
    <row r="81" spans="1:14" x14ac:dyDescent="0.45">
      <c r="C81" s="34">
        <f>IF(C72=0,0,C72^(1-'Tech Parameters'!$C$5))</f>
        <v>0</v>
      </c>
      <c r="D81" s="34">
        <f>IF(D72=0,0,D72^(1-'Tech Parameters'!$C$5))</f>
        <v>0</v>
      </c>
      <c r="E81" s="34">
        <f>IF(E72=0,0,E72^(1-'Tech Parameters'!$C$5))</f>
        <v>0</v>
      </c>
      <c r="F81" s="34">
        <f>IF(F72=0,0,F72^(1-'Tech Parameters'!$C$5))</f>
        <v>0</v>
      </c>
      <c r="G81" s="34">
        <f>IF(G72=0,0,G72^(1-'Tech Parameters'!$C$5))</f>
        <v>0</v>
      </c>
      <c r="H81" s="34">
        <f>IF(H72=0,0,H72^(1-'Tech Parameters'!$C$5))</f>
        <v>0</v>
      </c>
      <c r="I81" s="34">
        <f>IF(I72=0,0,I72^(1-'Tech Parameters'!$C$5))</f>
        <v>0</v>
      </c>
      <c r="J81" s="34">
        <f>IF(J72=0,0,J72^(1-'Tech Parameters'!$C$5))</f>
        <v>0</v>
      </c>
      <c r="K81" s="34">
        <f>IF(K72=0,0,K72^(1-'Tech Parameters'!$C$5))</f>
        <v>0</v>
      </c>
      <c r="L81" s="34">
        <f>IF(L72=0,0,L72^(1-'Tech Parameters'!$C$5))</f>
        <v>0</v>
      </c>
      <c r="M81" s="34">
        <f>IF(M72=0,0,M72^(1-'Tech Parameters'!$C$5))</f>
        <v>0</v>
      </c>
      <c r="N81" s="34">
        <f>IF(N72=0,0,N72^(1-'Tech Parameters'!$C$5))</f>
        <v>0</v>
      </c>
    </row>
    <row r="82" spans="1:14" x14ac:dyDescent="0.45">
      <c r="C82" s="34">
        <f>IF(C73=0,0,C73^(1-'Tech Parameters'!$C$5))</f>
        <v>1.1486983549970349</v>
      </c>
      <c r="D82" s="34">
        <f>IF(D73=0,0,D73^(1-'Tech Parameters'!$C$5))</f>
        <v>1.1486983549970349</v>
      </c>
      <c r="E82" s="34">
        <f>IF(E73=0,0,E73^(1-'Tech Parameters'!$C$5))</f>
        <v>1.1486983549970349</v>
      </c>
      <c r="F82" s="34">
        <f>IF(F73=0,0,F73^(1-'Tech Parameters'!$C$5))</f>
        <v>1.1486983549970349</v>
      </c>
      <c r="G82" s="34">
        <f>IF(G73=0,0,G73^(1-'Tech Parameters'!$C$5))</f>
        <v>1.1486983549970349</v>
      </c>
      <c r="H82" s="34">
        <f>IF(H73=0,0,H73^(1-'Tech Parameters'!$C$5))</f>
        <v>1.1486983549970349</v>
      </c>
      <c r="I82" s="34">
        <f>IF(I73=0,0,I73^(1-'Tech Parameters'!$C$5))</f>
        <v>1.1486983549970349</v>
      </c>
      <c r="J82" s="34">
        <f>IF(J73=0,0,J73^(1-'Tech Parameters'!$C$5))</f>
        <v>1.1486983549970349</v>
      </c>
      <c r="K82" s="34">
        <f>IF(K73=0,0,K73^(1-'Tech Parameters'!$C$5))</f>
        <v>1.1486983549970349</v>
      </c>
      <c r="L82" s="34">
        <f>IF(L73=0,0,L73^(1-'Tech Parameters'!$C$5))</f>
        <v>1.1486983549970349</v>
      </c>
      <c r="M82" s="34">
        <f>IF(M73=0,0,M73^(1-'Tech Parameters'!$C$5))</f>
        <v>1.1486983549970349</v>
      </c>
      <c r="N82" s="34">
        <f>IF(N73=0,0,N73^(1-'Tech Parameters'!$C$5))</f>
        <v>1.1486983549970349</v>
      </c>
    </row>
    <row r="83" spans="1:14" x14ac:dyDescent="0.45">
      <c r="C83" s="34">
        <f>'Tech Parameters'!J24</f>
        <v>0.37422037422037424</v>
      </c>
      <c r="D83" s="34">
        <f>'Tech Parameters'!J25</f>
        <v>0.49896049896049899</v>
      </c>
      <c r="E83" s="34">
        <f>'Tech Parameters'!J26</f>
        <v>0</v>
      </c>
      <c r="F83" s="34">
        <f>'Tech Parameters'!J27</f>
        <v>4.3659043659043661E-2</v>
      </c>
      <c r="G83" s="34">
        <f>'Tech Parameters'!J28</f>
        <v>0</v>
      </c>
      <c r="H83" s="34">
        <f>'Tech Parameters'!J29</f>
        <v>8.3160083160083165E-2</v>
      </c>
    </row>
    <row r="84" spans="1:14" x14ac:dyDescent="0.45">
      <c r="A84" s="4" t="s">
        <v>106</v>
      </c>
      <c r="B84" s="7" t="s">
        <v>104</v>
      </c>
      <c r="C84" s="35">
        <f>(C83*C77+D83*C78+E83*C79+F83*C80+G83*C81+H83*C82)^(1/(1-'Tech Parameters'!$C$5))</f>
        <v>9.6214418592254543</v>
      </c>
      <c r="D84" s="35">
        <f>(C83*D77+D83*D78+E83*D79+F83*D80+G83*D81+H83*D82)^(1/(1-'Tech Parameters'!$C$5))</f>
        <v>9.6214418592254543</v>
      </c>
      <c r="E84" s="35">
        <f>(C83*E77+D83*E78+E83*E79+F83*E80+G83*E81+H83*E82)^(1/(1-'Tech Parameters'!$C$5))</f>
        <v>9.6214418592254543</v>
      </c>
      <c r="F84" s="35">
        <f>(C83*F77+D83*F78+E83*F79+F83*F80+G83*F81+H83*F82)^(1/(1-'Tech Parameters'!$C$5))</f>
        <v>9.6214418592254543</v>
      </c>
      <c r="G84" s="35">
        <f>(C83*G77+D83*G78+E83*G79+F83*G80+G83*G81+H83*G82)^(1/(1-'Tech Parameters'!$C$5))</f>
        <v>9.6214418592254543</v>
      </c>
      <c r="H84" s="35">
        <f>(C83*H77+D83*H78+E83*H79+F83*H80+G83*H81+H83*H82)^(1/(1-'Tech Parameters'!$C$5))</f>
        <v>9.6214418592254543</v>
      </c>
      <c r="I84" s="35">
        <f>(C83*I77+D83*I78+E83*I79+F83*I80+G83*I81+H83*I82)^(1/(1-'Tech Parameters'!$C$5))</f>
        <v>9.6214418592254543</v>
      </c>
      <c r="J84" s="35">
        <f>(C83*J77+D83*J78+E83*J79+F83*J80+G83*J81+H83*J82)^(1/(1-'Tech Parameters'!$C$5))</f>
        <v>9.6214418592254543</v>
      </c>
      <c r="K84" s="35">
        <f>(C83*K77+D83*K78+E83*K79+F83*K80+G83*K81+H83*K82)^(1/(1-'Tech Parameters'!$C$5))</f>
        <v>9.6214418592254543</v>
      </c>
      <c r="L84" s="35">
        <f>(C83*L77+D83*L78+E83*L79+F83*L80+G83*L81+H83*L82)^(1/(1-'Tech Parameters'!$C$5))</f>
        <v>9.6214418592254543</v>
      </c>
      <c r="M84" s="35">
        <f>(C83*M77+D83*M78+E83*M79+F83*M80+G83*M81+H83*M82)^(1/(1-'Tech Parameters'!$C$5))</f>
        <v>9.6214418592254543</v>
      </c>
      <c r="N84" s="35">
        <f>(C83*N77+D83*N78+E83*N79+F83*N80+G83*N81+H83*N82)^(1/(1-'Tech Parameters'!$C$5))</f>
        <v>9.6214418592254543</v>
      </c>
    </row>
    <row r="86" spans="1:14" x14ac:dyDescent="0.45">
      <c r="A86" s="13" t="s">
        <v>117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x14ac:dyDescent="0.45">
      <c r="A87" s="7" t="s">
        <v>15</v>
      </c>
      <c r="B87" s="7" t="s">
        <v>108</v>
      </c>
      <c r="C87" s="36">
        <f>'Tech Parameters'!D24</f>
        <v>1200</v>
      </c>
      <c r="D87" s="36">
        <f>IF(OR(D68=0,C68=0),C96,C96*(D68/C68)^(-'Tech Parameters'!$C$5)*(D84/C84)^('Tech Parameters'!$C$5+'Tech Parameters'!$C$6))</f>
        <v>1200</v>
      </c>
      <c r="E87" s="36">
        <f>IF(OR(E68=0,D68=0),D96,D96*(E68/D68)^(-'Tech Parameters'!$C$5)*(E84/D84)^('Tech Parameters'!$C$5+'Tech Parameters'!$C$6))</f>
        <v>1200</v>
      </c>
      <c r="F87" s="36">
        <f>IF(OR(F68=0,E68=0),E96,E96*(F68/E68)^(-'Tech Parameters'!$C$5)*(F84/E84)^('Tech Parameters'!$C$5+'Tech Parameters'!$C$6))</f>
        <v>1200</v>
      </c>
      <c r="G87" s="36">
        <f>IF(OR(G68=0,F68=0),F96,F96*(G68/F68)^(-'Tech Parameters'!$C$5)*(G84/F84)^('Tech Parameters'!$C$5+'Tech Parameters'!$C$6))</f>
        <v>1200</v>
      </c>
      <c r="H87" s="36">
        <f>IF(OR(H68=0,G68=0),G96,G96*(H68/G68)^(-'Tech Parameters'!$C$5)*(H84/G84)^('Tech Parameters'!$C$5+'Tech Parameters'!$C$6))</f>
        <v>1200</v>
      </c>
      <c r="I87" s="36">
        <f>IF(OR(I68=0,H68=0),H96,H96*(I68/H68)^(-'Tech Parameters'!$C$5)*(I84/H84)^('Tech Parameters'!$C$5+'Tech Parameters'!$C$6))</f>
        <v>1200</v>
      </c>
      <c r="J87" s="36">
        <f>IF(OR(J68=0,I68=0),I96,I96*(J68/I68)^(-'Tech Parameters'!$C$5)*(J84/I84)^('Tech Parameters'!$C$5+'Tech Parameters'!$C$6))</f>
        <v>1200</v>
      </c>
      <c r="K87" s="36">
        <f>IF(OR(K68=0,J68=0),J96,J96*(K68/J68)^(-'Tech Parameters'!$C$5)*(K84/J84)^('Tech Parameters'!$C$5+'Tech Parameters'!$C$6))</f>
        <v>1200</v>
      </c>
      <c r="L87" s="36">
        <f>IF(OR(L68=0,K68=0),K96,K96*(L68/K68)^(-'Tech Parameters'!$C$5)*(L84/K84)^('Tech Parameters'!$C$5+'Tech Parameters'!$C$6))</f>
        <v>1200</v>
      </c>
      <c r="M87" s="36">
        <f>IF(OR(M68=0,L68=0),L96,L96*(M68/L68)^(-'Tech Parameters'!$C$5)*(M84/L84)^('Tech Parameters'!$C$5+'Tech Parameters'!$C$6))</f>
        <v>1200</v>
      </c>
      <c r="N87" s="36">
        <f>IF(OR(N68=0,M68=0),M96,M96*(N68/M68)^(-'Tech Parameters'!$C$5)*(N84/M84)^('Tech Parameters'!$C$5+'Tech Parameters'!$C$6))</f>
        <v>1200</v>
      </c>
    </row>
    <row r="88" spans="1:14" x14ac:dyDescent="0.45">
      <c r="A88" s="7" t="s">
        <v>16</v>
      </c>
      <c r="B88" s="7" t="s">
        <v>108</v>
      </c>
      <c r="C88" s="36">
        <f>'Tech Parameters'!D25</f>
        <v>800</v>
      </c>
      <c r="D88" s="36">
        <f>IF(OR(D69=0,C69=0),C97,C97*(D69/C69)^(-'Tech Parameters'!$C$5)*(D84/C84)^('Tech Parameters'!$C$5+'Tech Parameters'!$C$6))</f>
        <v>800</v>
      </c>
      <c r="E88" s="36">
        <f>IF(OR(E69=0,D69=0),D97,D97*(E69/D69)^(-'Tech Parameters'!$C$5)*(E84/D84)^('Tech Parameters'!$C$5+'Tech Parameters'!$C$6))</f>
        <v>800</v>
      </c>
      <c r="F88" s="36">
        <f>IF(OR(F69=0,E69=0),E97,E97*(F69/E69)^(-'Tech Parameters'!$C$5)*(F84/E84)^('Tech Parameters'!$C$5+'Tech Parameters'!$C$6))</f>
        <v>800</v>
      </c>
      <c r="G88" s="36">
        <f>IF(OR(G69=0,F69=0),F97,F97*(G69/F69)^(-'Tech Parameters'!$C$5)*(G84/F84)^('Tech Parameters'!$C$5+'Tech Parameters'!$C$6))</f>
        <v>800</v>
      </c>
      <c r="H88" s="36">
        <f>IF(OR(H69=0,G69=0),G97,G97*(H69/G69)^(-'Tech Parameters'!$C$5)*(H84/G84)^('Tech Parameters'!$C$5+'Tech Parameters'!$C$6))</f>
        <v>800</v>
      </c>
      <c r="I88" s="36">
        <f>IF(OR(I69=0,H69=0),H97,H97*(I69/H69)^(-'Tech Parameters'!$C$5)*(I84/H84)^('Tech Parameters'!$C$5+'Tech Parameters'!$C$6))</f>
        <v>800</v>
      </c>
      <c r="J88" s="36">
        <f>IF(OR(J69=0,I69=0),I97,I97*(J69/I69)^(-'Tech Parameters'!$C$5)*(J84/I84)^('Tech Parameters'!$C$5+'Tech Parameters'!$C$6))</f>
        <v>800</v>
      </c>
      <c r="K88" s="36">
        <f>IF(OR(K69=0,J69=0),J97,J97*(K69/J69)^(-'Tech Parameters'!$C$5)*(K84/J84)^('Tech Parameters'!$C$5+'Tech Parameters'!$C$6))</f>
        <v>800</v>
      </c>
      <c r="L88" s="36">
        <f>IF(OR(L69=0,K69=0),K97,K97*(L69/K69)^(-'Tech Parameters'!$C$5)*(L84/K84)^('Tech Parameters'!$C$5+'Tech Parameters'!$C$6))</f>
        <v>800</v>
      </c>
      <c r="M88" s="36">
        <f>IF(OR(M69=0,L69=0),L97,L97*(M69/L69)^(-'Tech Parameters'!$C$5)*(M84/L84)^('Tech Parameters'!$C$5+'Tech Parameters'!$C$6))</f>
        <v>800</v>
      </c>
      <c r="N88" s="36">
        <f>IF(OR(N69=0,M69=0),M97,M97*(N69/M69)^(-'Tech Parameters'!$C$5)*(N84/M84)^('Tech Parameters'!$C$5+'Tech Parameters'!$C$6))</f>
        <v>800</v>
      </c>
    </row>
    <row r="89" spans="1:14" x14ac:dyDescent="0.45">
      <c r="A89" s="7" t="s">
        <v>17</v>
      </c>
      <c r="B89" s="7" t="s">
        <v>108</v>
      </c>
      <c r="C89" s="36">
        <f>'Tech Parameters'!D26</f>
        <v>0</v>
      </c>
      <c r="D89" s="36">
        <f>IF(OR(D70=0,C70=0),C98,C98*(D70/C70)^(-'Tech Parameters'!$C$5)*(D84/C84)^('Tech Parameters'!$C$5+'Tech Parameters'!$C$6))</f>
        <v>0</v>
      </c>
      <c r="E89" s="36">
        <f>IF(OR(E70=0,D70=0),D98,D98*(E70/D70)^(-'Tech Parameters'!$C$5)*(E84/D84)^('Tech Parameters'!$C$5+'Tech Parameters'!$C$6))</f>
        <v>0</v>
      </c>
      <c r="F89" s="36">
        <f>IF(OR(F70=0,E70=0),E98,E98*(F70/E70)^(-'Tech Parameters'!$C$5)*(F84/E84)^('Tech Parameters'!$C$5+'Tech Parameters'!$C$6))</f>
        <v>0</v>
      </c>
      <c r="G89" s="36">
        <f>IF(OR(G70=0,F70=0),F98,F98*(G70/F70)^(-'Tech Parameters'!$C$5)*(G84/F84)^('Tech Parameters'!$C$5+'Tech Parameters'!$C$6))</f>
        <v>0</v>
      </c>
      <c r="H89" s="36">
        <f>IF(OR(H70=0,G70=0),G98,G98*(H70/G70)^(-'Tech Parameters'!$C$5)*(H84/G84)^('Tech Parameters'!$C$5+'Tech Parameters'!$C$6))</f>
        <v>0</v>
      </c>
      <c r="I89" s="36">
        <f>IF(OR(I70=0,H70=0),H98,H98*(I70/H70)^(-'Tech Parameters'!$C$5)*(I84/H84)^('Tech Parameters'!$C$5+'Tech Parameters'!$C$6))</f>
        <v>0</v>
      </c>
      <c r="J89" s="36">
        <f>IF(OR(J70=0,I70=0),I98,I98*(J70/I70)^(-'Tech Parameters'!$C$5)*(J84/I84)^('Tech Parameters'!$C$5+'Tech Parameters'!$C$6))</f>
        <v>0</v>
      </c>
      <c r="K89" s="36">
        <f>IF(OR(K70=0,J70=0),J98,J98*(K70/J70)^(-'Tech Parameters'!$C$5)*(K84/J84)^('Tech Parameters'!$C$5+'Tech Parameters'!$C$6))</f>
        <v>0</v>
      </c>
      <c r="L89" s="36">
        <f>IF(OR(L70=0,K70=0),K98,K98*(L70/K70)^(-'Tech Parameters'!$C$5)*(L84/K84)^('Tech Parameters'!$C$5+'Tech Parameters'!$C$6))</f>
        <v>0</v>
      </c>
      <c r="M89" s="36">
        <f>IF(OR(M70=0,L70=0),L98,L98*(M70/L70)^(-'Tech Parameters'!$C$5)*(M84/L84)^('Tech Parameters'!$C$5+'Tech Parameters'!$C$6))</f>
        <v>0</v>
      </c>
      <c r="N89" s="36">
        <f>IF(OR(N70=0,M70=0),M98,M98*(N70/M70)^(-'Tech Parameters'!$C$5)*(N84/M84)^('Tech Parameters'!$C$5+'Tech Parameters'!$C$6))</f>
        <v>0</v>
      </c>
    </row>
    <row r="90" spans="1:14" x14ac:dyDescent="0.45">
      <c r="A90" s="7" t="s">
        <v>18</v>
      </c>
      <c r="B90" s="7" t="s">
        <v>108</v>
      </c>
      <c r="C90" s="36">
        <f>'Tech Parameters'!D27</f>
        <v>30</v>
      </c>
      <c r="D90" s="36">
        <f>IF(OR(D71=0,C71=0),C99,C99*(D71/C71)^(-'Tech Parameters'!$C$5)*(D84/C84)^('Tech Parameters'!$C$5+'Tech Parameters'!$C$6))</f>
        <v>30</v>
      </c>
      <c r="E90" s="36">
        <f>IF(OR(E71=0,D71=0),D99,D99*(E71/D71)^(-'Tech Parameters'!$C$5)*(E84/D84)^('Tech Parameters'!$C$5+'Tech Parameters'!$C$6))</f>
        <v>30</v>
      </c>
      <c r="F90" s="36">
        <f>IF(OR(F71=0,E71=0),E99,E99*(F71/E71)^(-'Tech Parameters'!$C$5)*(F84/E84)^('Tech Parameters'!$C$5+'Tech Parameters'!$C$6))</f>
        <v>30</v>
      </c>
      <c r="G90" s="36">
        <f>IF(OR(G71=0,F71=0),F99,F99*(G71/F71)^(-'Tech Parameters'!$C$5)*(G84/F84)^('Tech Parameters'!$C$5+'Tech Parameters'!$C$6))</f>
        <v>30</v>
      </c>
      <c r="H90" s="36">
        <f>IF(OR(H71=0,G71=0),G99,G99*(H71/G71)^(-'Tech Parameters'!$C$5)*(H84/G84)^('Tech Parameters'!$C$5+'Tech Parameters'!$C$6))</f>
        <v>30</v>
      </c>
      <c r="I90" s="36">
        <f>IF(OR(I71=0,H71=0),H99,H99*(I71/H71)^(-'Tech Parameters'!$C$5)*(I84/H84)^('Tech Parameters'!$C$5+'Tech Parameters'!$C$6))</f>
        <v>30</v>
      </c>
      <c r="J90" s="36">
        <f>IF(OR(J71=0,I71=0),I99,I99*(J71/I71)^(-'Tech Parameters'!$C$5)*(J84/I84)^('Tech Parameters'!$C$5+'Tech Parameters'!$C$6))</f>
        <v>30</v>
      </c>
      <c r="K90" s="36">
        <f>IF(OR(K71=0,J71=0),J99,J99*(K71/J71)^(-'Tech Parameters'!$C$5)*(K84/J84)^('Tech Parameters'!$C$5+'Tech Parameters'!$C$6))</f>
        <v>30</v>
      </c>
      <c r="L90" s="36">
        <f>IF(OR(L71=0,K71=0),K99,K99*(L71/K71)^(-'Tech Parameters'!$C$5)*(L84/K84)^('Tech Parameters'!$C$5+'Tech Parameters'!$C$6))</f>
        <v>30</v>
      </c>
      <c r="M90" s="36">
        <f>IF(OR(M71=0,L71=0),L99,L99*(M71/L71)^(-'Tech Parameters'!$C$5)*(M84/L84)^('Tech Parameters'!$C$5+'Tech Parameters'!$C$6))</f>
        <v>30</v>
      </c>
      <c r="N90" s="36">
        <f>IF(OR(N71=0,M71=0),M99,M99*(N71/M71)^(-'Tech Parameters'!$C$5)*(N84/M84)^('Tech Parameters'!$C$5+'Tech Parameters'!$C$6))</f>
        <v>30</v>
      </c>
    </row>
    <row r="91" spans="1:14" x14ac:dyDescent="0.45">
      <c r="A91" s="7" t="s">
        <v>19</v>
      </c>
      <c r="B91" s="7" t="s">
        <v>108</v>
      </c>
      <c r="C91" s="36">
        <f>'Tech Parameters'!D28</f>
        <v>0</v>
      </c>
      <c r="D91" s="36">
        <f>IF(OR(D72=0,C72=0),C100,C100*(D72/C72)^(-'Tech Parameters'!$C$5)*(D84/C84)^('Tech Parameters'!$C$5+'Tech Parameters'!$C$6))</f>
        <v>0</v>
      </c>
      <c r="E91" s="36">
        <f>IF(OR(E72=0,D72=0),D100,D100*(E72/D72)^(-'Tech Parameters'!$C$5)*(E84/D84)^('Tech Parameters'!$C$5+'Tech Parameters'!$C$6))</f>
        <v>0</v>
      </c>
      <c r="F91" s="36">
        <f>IF(OR(F72=0,E72=0),E100,E100*(F72/E72)^(-'Tech Parameters'!$C$5)*(F84/E84)^('Tech Parameters'!$C$5+'Tech Parameters'!$C$6))</f>
        <v>0</v>
      </c>
      <c r="G91" s="36">
        <f>IF(OR(G72=0,F72=0),F100,F100*(G72/F72)^(-'Tech Parameters'!$C$5)*(G84/F84)^('Tech Parameters'!$C$5+'Tech Parameters'!$C$6))</f>
        <v>0</v>
      </c>
      <c r="H91" s="36">
        <f>IF(OR(H72=0,G72=0),G100,G100*(H72/G72)^(-'Tech Parameters'!$C$5)*(H84/G84)^('Tech Parameters'!$C$5+'Tech Parameters'!$C$6))</f>
        <v>0</v>
      </c>
      <c r="I91" s="36">
        <f>IF(OR(I72=0,H72=0),H100,H100*(I72/H72)^(-'Tech Parameters'!$C$5)*(I84/H84)^('Tech Parameters'!$C$5+'Tech Parameters'!$C$6))</f>
        <v>0</v>
      </c>
      <c r="J91" s="36">
        <f>IF(OR(J72=0,I72=0),I100,I100*(J72/I72)^(-'Tech Parameters'!$C$5)*(J84/I84)^('Tech Parameters'!$C$5+'Tech Parameters'!$C$6))</f>
        <v>0</v>
      </c>
      <c r="K91" s="36">
        <f>IF(OR(K72=0,J72=0),J100,J100*(K72/J72)^(-'Tech Parameters'!$C$5)*(K84/J84)^('Tech Parameters'!$C$5+'Tech Parameters'!$C$6))</f>
        <v>0</v>
      </c>
      <c r="L91" s="36">
        <f>IF(OR(L72=0,K72=0),K100,K100*(L72/K72)^(-'Tech Parameters'!$C$5)*(L84/K84)^('Tech Parameters'!$C$5+'Tech Parameters'!$C$6))</f>
        <v>0</v>
      </c>
      <c r="M91" s="36">
        <f>IF(OR(M72=0,L72=0),L100,L100*(M72/L72)^(-'Tech Parameters'!$C$5)*(M84/L84)^('Tech Parameters'!$C$5+'Tech Parameters'!$C$6))</f>
        <v>0</v>
      </c>
      <c r="N91" s="36">
        <f>IF(OR(N72=0,M72=0),M100,M100*(N72/M72)^(-'Tech Parameters'!$C$5)*(N84/M84)^('Tech Parameters'!$C$5+'Tech Parameters'!$C$6))</f>
        <v>0</v>
      </c>
    </row>
    <row r="92" spans="1:14" x14ac:dyDescent="0.45">
      <c r="A92" s="7" t="s">
        <v>20</v>
      </c>
      <c r="B92" s="7" t="s">
        <v>108</v>
      </c>
      <c r="C92" s="36">
        <f>'Tech Parameters'!D29</f>
        <v>400</v>
      </c>
      <c r="D92" s="36">
        <f>IF(OR(D73=0,C73=0),C101,C101*(D73/C73)^(-'Tech Parameters'!$C$5)*(D84/C84)^('Tech Parameters'!$C$5+'Tech Parameters'!$C$6))</f>
        <v>400</v>
      </c>
      <c r="E92" s="36">
        <f>IF(OR(E73=0,D73=0),D101,D101*(E73/D73)^(-'Tech Parameters'!$C$5)*(E84/D84)^('Tech Parameters'!$C$5+'Tech Parameters'!$C$6))</f>
        <v>400</v>
      </c>
      <c r="F92" s="36">
        <f>IF(OR(F73=0,E73=0),E101,E101*(F73/E73)^(-'Tech Parameters'!$C$5)*(F84/E84)^('Tech Parameters'!$C$5+'Tech Parameters'!$C$6))</f>
        <v>400</v>
      </c>
      <c r="G92" s="36">
        <f>IF(OR(G73=0,F73=0),F101,F101*(G73/F73)^(-'Tech Parameters'!$C$5)*(G84/F84)^('Tech Parameters'!$C$5+'Tech Parameters'!$C$6))</f>
        <v>400</v>
      </c>
      <c r="H92" s="36">
        <f>IF(OR(H73=0,G73=0),G101,G101*(H73/G73)^(-'Tech Parameters'!$C$5)*(H84/G84)^('Tech Parameters'!$C$5+'Tech Parameters'!$C$6))</f>
        <v>400</v>
      </c>
      <c r="I92" s="36">
        <f>IF(OR(I73=0,H73=0),H101,H101*(I73/H73)^(-'Tech Parameters'!$C$5)*(I84/H84)^('Tech Parameters'!$C$5+'Tech Parameters'!$C$6))</f>
        <v>400</v>
      </c>
      <c r="J92" s="36">
        <f>IF(OR(J73=0,I73=0),I101,I101*(J73/I73)^(-'Tech Parameters'!$C$5)*(J84/I84)^('Tech Parameters'!$C$5+'Tech Parameters'!$C$6))</f>
        <v>400</v>
      </c>
      <c r="K92" s="36">
        <f>IF(OR(K73=0,J73=0),J101,J101*(K73/J73)^(-'Tech Parameters'!$C$5)*(K84/J84)^('Tech Parameters'!$C$5+'Tech Parameters'!$C$6))</f>
        <v>400</v>
      </c>
      <c r="L92" s="36">
        <f>IF(OR(L73=0,K73=0),K101,K101*(L73/K73)^(-'Tech Parameters'!$C$5)*(L84/K84)^('Tech Parameters'!$C$5+'Tech Parameters'!$C$6))</f>
        <v>400</v>
      </c>
      <c r="M92" s="36">
        <f>IF(OR(M73=0,L73=0),L101,L101*(M73/L73)^(-'Tech Parameters'!$C$5)*(M84/L84)^('Tech Parameters'!$C$5+'Tech Parameters'!$C$6))</f>
        <v>400</v>
      </c>
      <c r="N92" s="36">
        <f>IF(OR(N73=0,M73=0),M101,M101*(N73/M73)^(-'Tech Parameters'!$C$5)*(N84/M84)^('Tech Parameters'!$C$5+'Tech Parameters'!$C$6))</f>
        <v>400</v>
      </c>
    </row>
    <row r="94" spans="1:14" x14ac:dyDescent="0.45">
      <c r="A94" s="13" t="s">
        <v>118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6" spans="1:14" x14ac:dyDescent="0.45">
      <c r="A96" s="7" t="s">
        <v>15</v>
      </c>
      <c r="B96" s="7" t="s">
        <v>108</v>
      </c>
      <c r="C96" s="37">
        <f t="shared" ref="C96:C101" si="3">C87</f>
        <v>1200</v>
      </c>
      <c r="D96" s="37">
        <f>C96+'Tech Parameters'!$C$7*(D87-C96)</f>
        <v>1200</v>
      </c>
      <c r="E96" s="37">
        <f>D96+'Tech Parameters'!$C$7*(E87-D96)</f>
        <v>1200</v>
      </c>
      <c r="F96" s="37">
        <f>E96+'Tech Parameters'!$C$7*(F87-E96)</f>
        <v>1200</v>
      </c>
      <c r="G96" s="37">
        <f>F96+'Tech Parameters'!$C$7*(G87-F96)</f>
        <v>1200</v>
      </c>
      <c r="H96" s="37">
        <f>G96+'Tech Parameters'!$C$7*(H87-G96)</f>
        <v>1200</v>
      </c>
      <c r="I96" s="37">
        <f>H96+'Tech Parameters'!$C$7*(I87-H96)</f>
        <v>1200</v>
      </c>
      <c r="J96" s="37">
        <f>I96+'Tech Parameters'!$C$7*(J87-I96)</f>
        <v>1200</v>
      </c>
      <c r="K96" s="37">
        <f>J96+'Tech Parameters'!$C$7*(K87-J96)</f>
        <v>1200</v>
      </c>
      <c r="L96" s="37">
        <f>K96+'Tech Parameters'!$C$7*(L87-K96)</f>
        <v>1200</v>
      </c>
      <c r="M96" s="37">
        <f>L96+'Tech Parameters'!$C$7*(M87-L96)</f>
        <v>1200</v>
      </c>
      <c r="N96" s="37">
        <f>M96+'Tech Parameters'!$C$7*(N87-M96)</f>
        <v>1200</v>
      </c>
    </row>
    <row r="97" spans="1:14" x14ac:dyDescent="0.45">
      <c r="A97" s="7" t="s">
        <v>16</v>
      </c>
      <c r="B97" s="7" t="s">
        <v>108</v>
      </c>
      <c r="C97" s="37">
        <f t="shared" si="3"/>
        <v>800</v>
      </c>
      <c r="D97" s="37">
        <f>C97+'Tech Parameters'!$C$7*(D88-C97)</f>
        <v>800</v>
      </c>
      <c r="E97" s="37">
        <f>D97+'Tech Parameters'!$C$7*(E88-D97)</f>
        <v>800</v>
      </c>
      <c r="F97" s="37">
        <f>E97+'Tech Parameters'!$C$7*(F88-E97)</f>
        <v>800</v>
      </c>
      <c r="G97" s="37">
        <f>F97+'Tech Parameters'!$C$7*(G88-F97)</f>
        <v>800</v>
      </c>
      <c r="H97" s="37">
        <f>G97+'Tech Parameters'!$C$7*(H88-G97)</f>
        <v>800</v>
      </c>
      <c r="I97" s="37">
        <f>H97+'Tech Parameters'!$C$7*(I88-H97)</f>
        <v>800</v>
      </c>
      <c r="J97" s="37">
        <f>I97+'Tech Parameters'!$C$7*(J88-I97)</f>
        <v>800</v>
      </c>
      <c r="K97" s="37">
        <f>J97+'Tech Parameters'!$C$7*(K88-J97)</f>
        <v>800</v>
      </c>
      <c r="L97" s="37">
        <f>K97+'Tech Parameters'!$C$7*(L88-K97)</f>
        <v>800</v>
      </c>
      <c r="M97" s="37">
        <f>L97+'Tech Parameters'!$C$7*(M88-L97)</f>
        <v>800</v>
      </c>
      <c r="N97" s="37">
        <f>M97+'Tech Parameters'!$C$7*(N88-M97)</f>
        <v>800</v>
      </c>
    </row>
    <row r="98" spans="1:14" x14ac:dyDescent="0.45">
      <c r="A98" s="7" t="s">
        <v>17</v>
      </c>
      <c r="B98" s="7" t="s">
        <v>108</v>
      </c>
      <c r="C98" s="37">
        <f t="shared" si="3"/>
        <v>0</v>
      </c>
      <c r="D98" s="37">
        <f>C98+'Tech Parameters'!$C$7*(D89-C98)</f>
        <v>0</v>
      </c>
      <c r="E98" s="37">
        <f>D98+'Tech Parameters'!$C$7*(E89-D98)</f>
        <v>0</v>
      </c>
      <c r="F98" s="37">
        <f>E98+'Tech Parameters'!$C$7*(F89-E98)</f>
        <v>0</v>
      </c>
      <c r="G98" s="37">
        <f>F98+'Tech Parameters'!$C$7*(G89-F98)</f>
        <v>0</v>
      </c>
      <c r="H98" s="37">
        <f>G98+'Tech Parameters'!$C$7*(H89-G98)</f>
        <v>0</v>
      </c>
      <c r="I98" s="37">
        <f>H98+'Tech Parameters'!$C$7*(I89-H98)</f>
        <v>0</v>
      </c>
      <c r="J98" s="37">
        <f>I98+'Tech Parameters'!$C$7*(J89-I98)</f>
        <v>0</v>
      </c>
      <c r="K98" s="37">
        <f>J98+'Tech Parameters'!$C$7*(K89-J98)</f>
        <v>0</v>
      </c>
      <c r="L98" s="37">
        <f>K98+'Tech Parameters'!$C$7*(L89-K98)</f>
        <v>0</v>
      </c>
      <c r="M98" s="37">
        <f>L98+'Tech Parameters'!$C$7*(M89-L98)</f>
        <v>0</v>
      </c>
      <c r="N98" s="37">
        <f>M98+'Tech Parameters'!$C$7*(N89-M98)</f>
        <v>0</v>
      </c>
    </row>
    <row r="99" spans="1:14" x14ac:dyDescent="0.45">
      <c r="A99" s="7" t="s">
        <v>18</v>
      </c>
      <c r="B99" s="7" t="s">
        <v>108</v>
      </c>
      <c r="C99" s="37">
        <f t="shared" si="3"/>
        <v>30</v>
      </c>
      <c r="D99" s="37">
        <f>C99+'Tech Parameters'!$C$7*(D90-C99)</f>
        <v>30</v>
      </c>
      <c r="E99" s="37">
        <f>D99+'Tech Parameters'!$C$7*(E90-D99)</f>
        <v>30</v>
      </c>
      <c r="F99" s="37">
        <f>E99+'Tech Parameters'!$C$7*(F90-E99)</f>
        <v>30</v>
      </c>
      <c r="G99" s="37">
        <f>F99+'Tech Parameters'!$C$7*(G90-F99)</f>
        <v>30</v>
      </c>
      <c r="H99" s="37">
        <f>G99+'Tech Parameters'!$C$7*(H90-G99)</f>
        <v>30</v>
      </c>
      <c r="I99" s="37">
        <f>H99+'Tech Parameters'!$C$7*(I90-H99)</f>
        <v>30</v>
      </c>
      <c r="J99" s="37">
        <f>I99+'Tech Parameters'!$C$7*(J90-I99)</f>
        <v>30</v>
      </c>
      <c r="K99" s="37">
        <f>J99+'Tech Parameters'!$C$7*(K90-J99)</f>
        <v>30</v>
      </c>
      <c r="L99" s="37">
        <f>K99+'Tech Parameters'!$C$7*(L90-K99)</f>
        <v>30</v>
      </c>
      <c r="M99" s="37">
        <f>L99+'Tech Parameters'!$C$7*(M90-L99)</f>
        <v>30</v>
      </c>
      <c r="N99" s="37">
        <f>M99+'Tech Parameters'!$C$7*(N90-M99)</f>
        <v>30</v>
      </c>
    </row>
    <row r="100" spans="1:14" x14ac:dyDescent="0.45">
      <c r="A100" s="7" t="s">
        <v>19</v>
      </c>
      <c r="B100" s="7" t="s">
        <v>108</v>
      </c>
      <c r="C100" s="37">
        <f t="shared" si="3"/>
        <v>0</v>
      </c>
      <c r="D100" s="37">
        <f>C100+'Tech Parameters'!$C$7*(D91-C100)</f>
        <v>0</v>
      </c>
      <c r="E100" s="37">
        <f>D100+'Tech Parameters'!$C$7*(E91-D100)</f>
        <v>0</v>
      </c>
      <c r="F100" s="37">
        <f>E100+'Tech Parameters'!$C$7*(F91-E100)</f>
        <v>0</v>
      </c>
      <c r="G100" s="37">
        <f>F100+'Tech Parameters'!$C$7*(G91-F100)</f>
        <v>0</v>
      </c>
      <c r="H100" s="37">
        <f>G100+'Tech Parameters'!$C$7*(H91-G100)</f>
        <v>0</v>
      </c>
      <c r="I100" s="37">
        <f>H100+'Tech Parameters'!$C$7*(I91-H100)</f>
        <v>0</v>
      </c>
      <c r="J100" s="37">
        <f>I100+'Tech Parameters'!$C$7*(J91-I100)</f>
        <v>0</v>
      </c>
      <c r="K100" s="37">
        <f>J100+'Tech Parameters'!$C$7*(K91-J100)</f>
        <v>0</v>
      </c>
      <c r="L100" s="37">
        <f>K100+'Tech Parameters'!$C$7*(L91-K100)</f>
        <v>0</v>
      </c>
      <c r="M100" s="37">
        <f>L100+'Tech Parameters'!$C$7*(M91-L100)</f>
        <v>0</v>
      </c>
      <c r="N100" s="37">
        <f>M100+'Tech Parameters'!$C$7*(N91-M100)</f>
        <v>0</v>
      </c>
    </row>
    <row r="101" spans="1:14" x14ac:dyDescent="0.45">
      <c r="A101" s="7" t="s">
        <v>20</v>
      </c>
      <c r="B101" s="7" t="s">
        <v>108</v>
      </c>
      <c r="C101" s="37">
        <f t="shared" si="3"/>
        <v>400</v>
      </c>
      <c r="D101" s="37">
        <f>C101+'Tech Parameters'!$C$7*(D92-C101)</f>
        <v>400</v>
      </c>
      <c r="E101" s="37">
        <f>D101+'Tech Parameters'!$C$7*(E92-D101)</f>
        <v>400</v>
      </c>
      <c r="F101" s="37">
        <f>E101+'Tech Parameters'!$C$7*(F92-E101)</f>
        <v>400</v>
      </c>
      <c r="G101" s="37">
        <f>F101+'Tech Parameters'!$C$7*(G92-F101)</f>
        <v>400</v>
      </c>
      <c r="H101" s="37">
        <f>G101+'Tech Parameters'!$C$7*(H92-G101)</f>
        <v>400</v>
      </c>
      <c r="I101" s="37">
        <f>H101+'Tech Parameters'!$C$7*(I92-H101)</f>
        <v>400</v>
      </c>
      <c r="J101" s="37">
        <f>I101+'Tech Parameters'!$C$7*(J92-I101)</f>
        <v>400</v>
      </c>
      <c r="K101" s="37">
        <f>J101+'Tech Parameters'!$C$7*(K92-J101)</f>
        <v>400</v>
      </c>
      <c r="L101" s="37">
        <f>K101+'Tech Parameters'!$C$7*(L92-K101)</f>
        <v>400</v>
      </c>
      <c r="M101" s="37">
        <f>L101+'Tech Parameters'!$C$7*(M92-L101)</f>
        <v>400</v>
      </c>
      <c r="N101" s="37">
        <f>M101+'Tech Parameters'!$C$7*(N92-M101)</f>
        <v>400</v>
      </c>
    </row>
    <row r="103" spans="1:14" x14ac:dyDescent="0.45">
      <c r="A103" s="13" t="s">
        <v>119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</row>
    <row r="104" spans="1:14" x14ac:dyDescent="0.45">
      <c r="A104" s="7" t="s">
        <v>15</v>
      </c>
      <c r="B104" s="7" t="s">
        <v>111</v>
      </c>
      <c r="C104" s="28">
        <f>C96*'Tech Parameters'!C24</f>
        <v>114</v>
      </c>
      <c r="D104" s="28">
        <f>D96*'Tech Parameters'!C24</f>
        <v>114</v>
      </c>
      <c r="E104" s="28">
        <f>E96*'Tech Parameters'!C24</f>
        <v>114</v>
      </c>
      <c r="F104" s="28">
        <f>F96*'Tech Parameters'!C24</f>
        <v>114</v>
      </c>
      <c r="G104" s="28">
        <f>G96*'Tech Parameters'!C24</f>
        <v>114</v>
      </c>
      <c r="H104" s="28">
        <f>H96*'Tech Parameters'!C24</f>
        <v>114</v>
      </c>
      <c r="I104" s="28">
        <f>I96*'Tech Parameters'!C24</f>
        <v>114</v>
      </c>
      <c r="J104" s="28">
        <f>J96*'Tech Parameters'!C24</f>
        <v>114</v>
      </c>
      <c r="K104" s="28">
        <f>K96*'Tech Parameters'!C24</f>
        <v>114</v>
      </c>
      <c r="L104" s="28">
        <f>L96*'Tech Parameters'!C24</f>
        <v>114</v>
      </c>
      <c r="M104" s="28">
        <f>M96*'Tech Parameters'!C24</f>
        <v>114</v>
      </c>
      <c r="N104" s="28">
        <f>N96*'Tech Parameters'!C24</f>
        <v>114</v>
      </c>
    </row>
    <row r="105" spans="1:14" x14ac:dyDescent="0.45">
      <c r="A105" s="7" t="s">
        <v>16</v>
      </c>
      <c r="B105" s="7" t="s">
        <v>111</v>
      </c>
      <c r="C105" s="28">
        <f>C97*'Tech Parameters'!C25</f>
        <v>44.800000000000004</v>
      </c>
      <c r="D105" s="28">
        <f>D97*'Tech Parameters'!C25</f>
        <v>44.800000000000004</v>
      </c>
      <c r="E105" s="28">
        <f>E97*'Tech Parameters'!C25</f>
        <v>44.800000000000004</v>
      </c>
      <c r="F105" s="28">
        <f>F97*'Tech Parameters'!C25</f>
        <v>44.800000000000004</v>
      </c>
      <c r="G105" s="28">
        <f>G97*'Tech Parameters'!C25</f>
        <v>44.800000000000004</v>
      </c>
      <c r="H105" s="28">
        <f>H97*'Tech Parameters'!C25</f>
        <v>44.800000000000004</v>
      </c>
      <c r="I105" s="28">
        <f>I97*'Tech Parameters'!C25</f>
        <v>44.800000000000004</v>
      </c>
      <c r="J105" s="28">
        <f>J97*'Tech Parameters'!C25</f>
        <v>44.800000000000004</v>
      </c>
      <c r="K105" s="28">
        <f>K97*'Tech Parameters'!C25</f>
        <v>44.800000000000004</v>
      </c>
      <c r="L105" s="28">
        <f>L97*'Tech Parameters'!C25</f>
        <v>44.800000000000004</v>
      </c>
      <c r="M105" s="28">
        <f>M97*'Tech Parameters'!C25</f>
        <v>44.800000000000004</v>
      </c>
      <c r="N105" s="28">
        <f>N97*'Tech Parameters'!C25</f>
        <v>44.800000000000004</v>
      </c>
    </row>
    <row r="106" spans="1:14" x14ac:dyDescent="0.45">
      <c r="A106" s="7" t="s">
        <v>17</v>
      </c>
      <c r="B106" s="7" t="s">
        <v>111</v>
      </c>
      <c r="C106" s="28">
        <f>C98*'Tech Parameters'!C26</f>
        <v>0</v>
      </c>
      <c r="D106" s="28">
        <f>D98*'Tech Parameters'!C26</f>
        <v>0</v>
      </c>
      <c r="E106" s="28">
        <f>E98*'Tech Parameters'!C26</f>
        <v>0</v>
      </c>
      <c r="F106" s="28">
        <f>F98*'Tech Parameters'!C26</f>
        <v>0</v>
      </c>
      <c r="G106" s="28">
        <f>G98*'Tech Parameters'!C26</f>
        <v>0</v>
      </c>
      <c r="H106" s="28">
        <f>H98*'Tech Parameters'!C26</f>
        <v>0</v>
      </c>
      <c r="I106" s="28">
        <f>I98*'Tech Parameters'!C26</f>
        <v>0</v>
      </c>
      <c r="J106" s="28">
        <f>J98*'Tech Parameters'!C26</f>
        <v>0</v>
      </c>
      <c r="K106" s="28">
        <f>K98*'Tech Parameters'!C26</f>
        <v>0</v>
      </c>
      <c r="L106" s="28">
        <f>L98*'Tech Parameters'!C26</f>
        <v>0</v>
      </c>
      <c r="M106" s="28">
        <f>M98*'Tech Parameters'!C26</f>
        <v>0</v>
      </c>
      <c r="N106" s="28">
        <f>N98*'Tech Parameters'!C26</f>
        <v>0</v>
      </c>
    </row>
    <row r="107" spans="1:14" x14ac:dyDescent="0.45">
      <c r="A107" s="7" t="s">
        <v>18</v>
      </c>
      <c r="B107" s="7" t="s">
        <v>111</v>
      </c>
      <c r="C107" s="28">
        <f>C99*'Tech Parameters'!C27</f>
        <v>2.2199999999999998</v>
      </c>
      <c r="D107" s="28">
        <f>D99*'Tech Parameters'!C27</f>
        <v>2.2199999999999998</v>
      </c>
      <c r="E107" s="28">
        <f>E99*'Tech Parameters'!C27</f>
        <v>2.2199999999999998</v>
      </c>
      <c r="F107" s="28">
        <f>F99*'Tech Parameters'!C27</f>
        <v>2.2199999999999998</v>
      </c>
      <c r="G107" s="28">
        <f>G99*'Tech Parameters'!C27</f>
        <v>2.2199999999999998</v>
      </c>
      <c r="H107" s="28">
        <f>H99*'Tech Parameters'!C27</f>
        <v>2.2199999999999998</v>
      </c>
      <c r="I107" s="28">
        <f>I99*'Tech Parameters'!C27</f>
        <v>2.2199999999999998</v>
      </c>
      <c r="J107" s="28">
        <f>J99*'Tech Parameters'!C27</f>
        <v>2.2199999999999998</v>
      </c>
      <c r="K107" s="28">
        <f>K99*'Tech Parameters'!C27</f>
        <v>2.2199999999999998</v>
      </c>
      <c r="L107" s="28">
        <f>L99*'Tech Parameters'!C27</f>
        <v>2.2199999999999998</v>
      </c>
      <c r="M107" s="28">
        <f>M99*'Tech Parameters'!C27</f>
        <v>2.2199999999999998</v>
      </c>
      <c r="N107" s="28">
        <f>N99*'Tech Parameters'!C27</f>
        <v>2.2199999999999998</v>
      </c>
    </row>
    <row r="108" spans="1:14" x14ac:dyDescent="0.45">
      <c r="A108" s="7" t="s">
        <v>19</v>
      </c>
      <c r="B108" s="7" t="s">
        <v>111</v>
      </c>
      <c r="C108" s="28">
        <f>C100*'Tech Parameters'!C28</f>
        <v>0</v>
      </c>
      <c r="D108" s="28">
        <f>D100*'Tech Parameters'!C28</f>
        <v>0</v>
      </c>
      <c r="E108" s="28">
        <f>E100*'Tech Parameters'!C28</f>
        <v>0</v>
      </c>
      <c r="F108" s="28">
        <f>F100*'Tech Parameters'!C28</f>
        <v>0</v>
      </c>
      <c r="G108" s="28">
        <f>G100*'Tech Parameters'!C28</f>
        <v>0</v>
      </c>
      <c r="H108" s="28">
        <f>H100*'Tech Parameters'!C28</f>
        <v>0</v>
      </c>
      <c r="I108" s="28">
        <f>I100*'Tech Parameters'!C28</f>
        <v>0</v>
      </c>
      <c r="J108" s="28">
        <f>J100*'Tech Parameters'!C28</f>
        <v>0</v>
      </c>
      <c r="K108" s="28">
        <f>K100*'Tech Parameters'!C28</f>
        <v>0</v>
      </c>
      <c r="L108" s="28">
        <f>L100*'Tech Parameters'!C28</f>
        <v>0</v>
      </c>
      <c r="M108" s="28">
        <f>M100*'Tech Parameters'!C28</f>
        <v>0</v>
      </c>
      <c r="N108" s="28">
        <f>N100*'Tech Parameters'!C28</f>
        <v>0</v>
      </c>
    </row>
    <row r="109" spans="1:14" x14ac:dyDescent="0.45">
      <c r="A109" s="7" t="s">
        <v>20</v>
      </c>
      <c r="B109" s="7" t="s">
        <v>111</v>
      </c>
      <c r="C109" s="28">
        <f>C101*'Tech Parameters'!C29</f>
        <v>0</v>
      </c>
      <c r="D109" s="28">
        <f>D101*'Tech Parameters'!C29</f>
        <v>0</v>
      </c>
      <c r="E109" s="28">
        <f>E101*'Tech Parameters'!C29</f>
        <v>0</v>
      </c>
      <c r="F109" s="28">
        <f>F101*'Tech Parameters'!C29</f>
        <v>0</v>
      </c>
      <c r="G109" s="28">
        <f>G101*'Tech Parameters'!C29</f>
        <v>0</v>
      </c>
      <c r="H109" s="28">
        <f>H101*'Tech Parameters'!C29</f>
        <v>0</v>
      </c>
      <c r="I109" s="28">
        <f>I101*'Tech Parameters'!C29</f>
        <v>0</v>
      </c>
      <c r="J109" s="28">
        <f>J101*'Tech Parameters'!C29</f>
        <v>0</v>
      </c>
      <c r="K109" s="28">
        <f>K101*'Tech Parameters'!C29</f>
        <v>0</v>
      </c>
      <c r="L109" s="28">
        <f>L101*'Tech Parameters'!C29</f>
        <v>0</v>
      </c>
      <c r="M109" s="28">
        <f>M101*'Tech Parameters'!C29</f>
        <v>0</v>
      </c>
      <c r="N109" s="28">
        <f>N101*'Tech Parameters'!C29</f>
        <v>0</v>
      </c>
    </row>
    <row r="110" spans="1:14" x14ac:dyDescent="0.45">
      <c r="A110" s="4" t="s">
        <v>120</v>
      </c>
      <c r="B110" s="4" t="s">
        <v>111</v>
      </c>
      <c r="C110" s="27">
        <f t="shared" ref="C110:N110" si="4">SUM(C104:C109)</f>
        <v>161.02000000000001</v>
      </c>
      <c r="D110" s="27">
        <f t="shared" si="4"/>
        <v>161.02000000000001</v>
      </c>
      <c r="E110" s="27">
        <f t="shared" si="4"/>
        <v>161.02000000000001</v>
      </c>
      <c r="F110" s="27">
        <f t="shared" si="4"/>
        <v>161.02000000000001</v>
      </c>
      <c r="G110" s="27">
        <f t="shared" si="4"/>
        <v>161.02000000000001</v>
      </c>
      <c r="H110" s="27">
        <f t="shared" si="4"/>
        <v>161.02000000000001</v>
      </c>
      <c r="I110" s="27">
        <f t="shared" si="4"/>
        <v>161.02000000000001</v>
      </c>
      <c r="J110" s="27">
        <f t="shared" si="4"/>
        <v>161.02000000000001</v>
      </c>
      <c r="K110" s="27">
        <f t="shared" si="4"/>
        <v>161.02000000000001</v>
      </c>
      <c r="L110" s="27">
        <f t="shared" si="4"/>
        <v>161.02000000000001</v>
      </c>
      <c r="M110" s="27">
        <f t="shared" si="4"/>
        <v>161.02000000000001</v>
      </c>
      <c r="N110" s="27">
        <f t="shared" si="4"/>
        <v>161.02000000000001</v>
      </c>
    </row>
    <row r="111" spans="1:14" x14ac:dyDescent="0.45">
      <c r="A111" s="4" t="s">
        <v>121</v>
      </c>
      <c r="B111" s="4" t="s">
        <v>108</v>
      </c>
      <c r="C111" s="37">
        <f t="shared" ref="C111:N111" si="5">SUM(C96:C101)</f>
        <v>2430</v>
      </c>
      <c r="D111" s="37">
        <f t="shared" si="5"/>
        <v>2430</v>
      </c>
      <c r="E111" s="37">
        <f t="shared" si="5"/>
        <v>2430</v>
      </c>
      <c r="F111" s="37">
        <f t="shared" si="5"/>
        <v>2430</v>
      </c>
      <c r="G111" s="37">
        <f t="shared" si="5"/>
        <v>2430</v>
      </c>
      <c r="H111" s="37">
        <f t="shared" si="5"/>
        <v>2430</v>
      </c>
      <c r="I111" s="37">
        <f t="shared" si="5"/>
        <v>2430</v>
      </c>
      <c r="J111" s="37">
        <f t="shared" si="5"/>
        <v>2430</v>
      </c>
      <c r="K111" s="37">
        <f t="shared" si="5"/>
        <v>2430</v>
      </c>
      <c r="L111" s="37">
        <f t="shared" si="5"/>
        <v>2430</v>
      </c>
      <c r="M111" s="37">
        <f t="shared" si="5"/>
        <v>2430</v>
      </c>
      <c r="N111" s="37">
        <f t="shared" si="5"/>
        <v>2430</v>
      </c>
    </row>
    <row r="114" spans="1:14" x14ac:dyDescent="0.45">
      <c r="A114" s="13" t="s">
        <v>122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4" x14ac:dyDescent="0.45">
      <c r="A115" s="4" t="s">
        <v>123</v>
      </c>
      <c r="B115" s="4" t="s">
        <v>111</v>
      </c>
      <c r="C115" s="27">
        <f t="shared" ref="C115:N115" si="6">C55+C110</f>
        <v>243.71</v>
      </c>
      <c r="D115" s="27">
        <f t="shared" si="6"/>
        <v>243.71</v>
      </c>
      <c r="E115" s="27">
        <f t="shared" si="6"/>
        <v>243.71</v>
      </c>
      <c r="F115" s="27">
        <f t="shared" si="6"/>
        <v>243.71</v>
      </c>
      <c r="G115" s="27">
        <f t="shared" si="6"/>
        <v>243.71</v>
      </c>
      <c r="H115" s="27">
        <f t="shared" si="6"/>
        <v>243.71</v>
      </c>
      <c r="I115" s="27">
        <f t="shared" si="6"/>
        <v>243.71</v>
      </c>
      <c r="J115" s="27">
        <f t="shared" si="6"/>
        <v>243.71</v>
      </c>
      <c r="K115" s="27">
        <f t="shared" si="6"/>
        <v>243.71</v>
      </c>
      <c r="L115" s="27">
        <f t="shared" si="6"/>
        <v>243.71</v>
      </c>
      <c r="M115" s="27">
        <f t="shared" si="6"/>
        <v>243.71</v>
      </c>
      <c r="N115" s="27">
        <f t="shared" si="6"/>
        <v>243.71</v>
      </c>
    </row>
    <row r="116" spans="1:14" x14ac:dyDescent="0.45">
      <c r="A116" s="4" t="s">
        <v>124</v>
      </c>
      <c r="B116" s="4" t="s">
        <v>108</v>
      </c>
      <c r="C116" s="37">
        <f t="shared" ref="C116:N116" si="7">C56+C111</f>
        <v>3655</v>
      </c>
      <c r="D116" s="37">
        <f t="shared" si="7"/>
        <v>3655</v>
      </c>
      <c r="E116" s="37">
        <f t="shared" si="7"/>
        <v>3655</v>
      </c>
      <c r="F116" s="37">
        <f t="shared" si="7"/>
        <v>3655</v>
      </c>
      <c r="G116" s="37">
        <f t="shared" si="7"/>
        <v>3655</v>
      </c>
      <c r="H116" s="37">
        <f t="shared" si="7"/>
        <v>3655</v>
      </c>
      <c r="I116" s="37">
        <f t="shared" si="7"/>
        <v>3655</v>
      </c>
      <c r="J116" s="37">
        <f t="shared" si="7"/>
        <v>3655</v>
      </c>
      <c r="K116" s="37">
        <f t="shared" si="7"/>
        <v>3655</v>
      </c>
      <c r="L116" s="37">
        <f t="shared" si="7"/>
        <v>3655</v>
      </c>
      <c r="M116" s="37">
        <f t="shared" si="7"/>
        <v>3655</v>
      </c>
      <c r="N116" s="37">
        <f t="shared" si="7"/>
        <v>3655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N116"/>
  <sheetViews>
    <sheetView zoomScaleNormal="100" workbookViewId="0"/>
  </sheetViews>
  <sheetFormatPr defaultColWidth="8.6640625" defaultRowHeight="14.25" x14ac:dyDescent="0.45"/>
  <cols>
    <col min="1" max="1" width="36" customWidth="1"/>
    <col min="2" max="2" width="10" customWidth="1"/>
    <col min="3" max="14" width="12" customWidth="1"/>
  </cols>
  <sheetData>
    <row r="1" spans="1:14" ht="17.649999999999999" x14ac:dyDescent="0.5">
      <c r="A1" s="1" t="s">
        <v>125</v>
      </c>
    </row>
    <row r="3" spans="1:14" x14ac:dyDescent="0.45">
      <c r="B3" s="4" t="s">
        <v>4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32</v>
      </c>
      <c r="N3" s="4" t="s">
        <v>33</v>
      </c>
    </row>
    <row r="4" spans="1:14" x14ac:dyDescent="0.45">
      <c r="A4" s="13" t="s">
        <v>101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x14ac:dyDescent="0.45">
      <c r="A5" s="7" t="s">
        <v>15</v>
      </c>
      <c r="B5" s="7" t="s">
        <v>102</v>
      </c>
      <c r="C5" s="28">
        <f>Baseline!C5+Dashboard!B21*'Tech Parameters'!C11+Dashboard!B22*('Tech Parameters'!C11-('Tech Parameters'!H11*'Tech Parameters'!C11+'Tech Parameters'!H12*'Tech Parameters'!C12+'Tech Parameters'!H13*'Tech Parameters'!C13+'Tech Parameters'!H14*'Tech Parameters'!C14+'Tech Parameters'!H15*'Tech Parameters'!C15+'Tech Parameters'!H16*'Tech Parameters'!C16))+Dashboard!B25</f>
        <v>0</v>
      </c>
      <c r="D5" s="28">
        <f>Baseline!D5+Dashboard!C21*'Tech Parameters'!C11+Dashboard!C22*('Tech Parameters'!C11-('Tech Parameters'!H11*'Tech Parameters'!C11+'Tech Parameters'!H12*'Tech Parameters'!C12+'Tech Parameters'!H13*'Tech Parameters'!C13+'Tech Parameters'!H14*'Tech Parameters'!C14+'Tech Parameters'!H15*'Tech Parameters'!C15+'Tech Parameters'!H16*'Tech Parameters'!C16))+Dashboard!C25</f>
        <v>0</v>
      </c>
      <c r="E5" s="28">
        <f>Baseline!E5+Dashboard!D21*'Tech Parameters'!C11+Dashboard!D22*('Tech Parameters'!C11-('Tech Parameters'!H11*'Tech Parameters'!C11+'Tech Parameters'!H12*'Tech Parameters'!C12+'Tech Parameters'!H13*'Tech Parameters'!C13+'Tech Parameters'!H14*'Tech Parameters'!C14+'Tech Parameters'!H15*'Tech Parameters'!C15+'Tech Parameters'!H16*'Tech Parameters'!C16))+Dashboard!D25</f>
        <v>1.5833333333333335</v>
      </c>
      <c r="F5" s="28">
        <f>Baseline!F5+Dashboard!E21*'Tech Parameters'!C11+Dashboard!E22*('Tech Parameters'!C11-('Tech Parameters'!H11*'Tech Parameters'!C11+'Tech Parameters'!H12*'Tech Parameters'!C12+'Tech Parameters'!H13*'Tech Parameters'!C13+'Tech Parameters'!H14*'Tech Parameters'!C14+'Tech Parameters'!H15*'Tech Parameters'!C15+'Tech Parameters'!H16*'Tech Parameters'!C16))+Dashboard!E25</f>
        <v>3.3041564625850341</v>
      </c>
      <c r="G5" s="28">
        <f>Baseline!G5+Dashboard!F21*'Tech Parameters'!C11+Dashboard!F22*('Tech Parameters'!C11-('Tech Parameters'!H11*'Tech Parameters'!C11+'Tech Parameters'!H12*'Tech Parameters'!C12+'Tech Parameters'!H13*'Tech Parameters'!C13+'Tech Parameters'!H14*'Tech Parameters'!C14+'Tech Parameters'!H15*'Tech Parameters'!C15+'Tech Parameters'!H16*'Tech Parameters'!C16))+Dashboard!F25</f>
        <v>5.0249795918367344</v>
      </c>
      <c r="H5" s="28">
        <f>Baseline!H5+Dashboard!G21*'Tech Parameters'!C11+Dashboard!G22*('Tech Parameters'!C11-('Tech Parameters'!H11*'Tech Parameters'!C11+'Tech Parameters'!H12*'Tech Parameters'!C12+'Tech Parameters'!H13*'Tech Parameters'!C13+'Tech Parameters'!H14*'Tech Parameters'!C14+'Tech Parameters'!H15*'Tech Parameters'!C15+'Tech Parameters'!H16*'Tech Parameters'!C16))+Dashboard!G25</f>
        <v>5.1624693877551024</v>
      </c>
      <c r="I5" s="28">
        <f>Baseline!I5+Dashboard!H21*'Tech Parameters'!C11+Dashboard!H22*('Tech Parameters'!C11-('Tech Parameters'!H11*'Tech Parameters'!C11+'Tech Parameters'!H12*'Tech Parameters'!C12+'Tech Parameters'!H13*'Tech Parameters'!C13+'Tech Parameters'!H14*'Tech Parameters'!C14+'Tech Parameters'!H15*'Tech Parameters'!C15+'Tech Parameters'!H16*'Tech Parameters'!C16))+Dashboard!H25</f>
        <v>5.2999591836734696</v>
      </c>
      <c r="J5" s="28">
        <f>Baseline!J5+Dashboard!I21*'Tech Parameters'!C11+Dashboard!I22*('Tech Parameters'!C11-('Tech Parameters'!H11*'Tech Parameters'!C11+'Tech Parameters'!H12*'Tech Parameters'!C12+'Tech Parameters'!H13*'Tech Parameters'!C13+'Tech Parameters'!H14*'Tech Parameters'!C14+'Tech Parameters'!H15*'Tech Parameters'!C15+'Tech Parameters'!H16*'Tech Parameters'!C16))+Dashboard!I25</f>
        <v>5.2999591836734696</v>
      </c>
      <c r="K5" s="28">
        <f>Baseline!K5+Dashboard!J21*'Tech Parameters'!C11+Dashboard!J22*('Tech Parameters'!C11-('Tech Parameters'!H11*'Tech Parameters'!C11+'Tech Parameters'!H12*'Tech Parameters'!C12+'Tech Parameters'!H13*'Tech Parameters'!C13+'Tech Parameters'!H14*'Tech Parameters'!C14+'Tech Parameters'!H15*'Tech Parameters'!C15+'Tech Parameters'!H16*'Tech Parameters'!C16))+Dashboard!J25</f>
        <v>5.2999591836734696</v>
      </c>
      <c r="L5" s="28">
        <f>Baseline!L5+Dashboard!K21*'Tech Parameters'!C11+Dashboard!K22*('Tech Parameters'!C11-('Tech Parameters'!H11*'Tech Parameters'!C11+'Tech Parameters'!H12*'Tech Parameters'!C12+'Tech Parameters'!H13*'Tech Parameters'!C13+'Tech Parameters'!H14*'Tech Parameters'!C14+'Tech Parameters'!H15*'Tech Parameters'!C15+'Tech Parameters'!H16*'Tech Parameters'!C16))+Dashboard!K25</f>
        <v>5.2999591836734696</v>
      </c>
      <c r="M5" s="28">
        <f>Baseline!M5+Dashboard!L21*'Tech Parameters'!C11+Dashboard!L22*('Tech Parameters'!C11-('Tech Parameters'!H11*'Tech Parameters'!C11+'Tech Parameters'!H12*'Tech Parameters'!C12+'Tech Parameters'!H13*'Tech Parameters'!C13+'Tech Parameters'!H14*'Tech Parameters'!C14+'Tech Parameters'!H15*'Tech Parameters'!C15+'Tech Parameters'!H16*'Tech Parameters'!C16))+Dashboard!L25</f>
        <v>5.2999591836734696</v>
      </c>
      <c r="N5" s="28">
        <f>Baseline!N5+Dashboard!M21*'Tech Parameters'!C11+Dashboard!M22*('Tech Parameters'!C11-('Tech Parameters'!H11*'Tech Parameters'!C11+'Tech Parameters'!H12*'Tech Parameters'!C12+'Tech Parameters'!H13*'Tech Parameters'!C13+'Tech Parameters'!H14*'Tech Parameters'!C14+'Tech Parameters'!H15*'Tech Parameters'!C15+'Tech Parameters'!H16*'Tech Parameters'!C16))+Dashboard!M25</f>
        <v>5.2999591836734696</v>
      </c>
    </row>
    <row r="6" spans="1:14" x14ac:dyDescent="0.45">
      <c r="A6" s="7" t="s">
        <v>16</v>
      </c>
      <c r="B6" s="7" t="s">
        <v>102</v>
      </c>
      <c r="C6" s="28">
        <f>Baseline!C6+Dashboard!B21*'Tech Parameters'!C12+Dashboard!B22*('Tech Parameters'!C12-('Tech Parameters'!H11*'Tech Parameters'!C11+'Tech Parameters'!H12*'Tech Parameters'!C12+'Tech Parameters'!H13*'Tech Parameters'!C13+'Tech Parameters'!H14*'Tech Parameters'!C14+'Tech Parameters'!H15*'Tech Parameters'!C15+'Tech Parameters'!H16*'Tech Parameters'!C16))+Dashboard!B26</f>
        <v>8</v>
      </c>
      <c r="D6" s="28">
        <f>Baseline!D6+Dashboard!C21*'Tech Parameters'!C12+Dashboard!C22*('Tech Parameters'!C12-('Tech Parameters'!H11*'Tech Parameters'!C11+'Tech Parameters'!H12*'Tech Parameters'!C12+'Tech Parameters'!H13*'Tech Parameters'!C13+'Tech Parameters'!H14*'Tech Parameters'!C14+'Tech Parameters'!H15*'Tech Parameters'!C15+'Tech Parameters'!H16*'Tech Parameters'!C16))+Dashboard!C26</f>
        <v>8</v>
      </c>
      <c r="E6" s="28">
        <f>Baseline!E6+Dashboard!D21*'Tech Parameters'!C12+Dashboard!D22*('Tech Parameters'!C12-('Tech Parameters'!H11*'Tech Parameters'!C11+'Tech Parameters'!H12*'Tech Parameters'!C12+'Tech Parameters'!H13*'Tech Parameters'!C13+'Tech Parameters'!H14*'Tech Parameters'!C14+'Tech Parameters'!H15*'Tech Parameters'!C15+'Tech Parameters'!H16*'Tech Parameters'!C16))+Dashboard!D26</f>
        <v>8.9333333333333336</v>
      </c>
      <c r="F6" s="28">
        <f>Baseline!F6+Dashboard!E21*'Tech Parameters'!C12+Dashboard!E22*('Tech Parameters'!C12-('Tech Parameters'!H11*'Tech Parameters'!C11+'Tech Parameters'!H12*'Tech Parameters'!C12+'Tech Parameters'!H13*'Tech Parameters'!C13+'Tech Parameters'!H14*'Tech Parameters'!C14+'Tech Parameters'!H15*'Tech Parameters'!C15+'Tech Parameters'!H16*'Tech Parameters'!C16))+Dashboard!E26</f>
        <v>9.8091564625850349</v>
      </c>
      <c r="G6" s="28">
        <f>Baseline!G6+Dashboard!F21*'Tech Parameters'!C12+Dashboard!F22*('Tech Parameters'!C12-('Tech Parameters'!H11*'Tech Parameters'!C11+'Tech Parameters'!H12*'Tech Parameters'!C12+'Tech Parameters'!H13*'Tech Parameters'!C13+'Tech Parameters'!H14*'Tech Parameters'!C14+'Tech Parameters'!H15*'Tech Parameters'!C15+'Tech Parameters'!H16*'Tech Parameters'!C16))+Dashboard!F26</f>
        <v>10.684979591836735</v>
      </c>
      <c r="H6" s="28">
        <f>Baseline!H6+Dashboard!G21*'Tech Parameters'!C12+Dashboard!G22*('Tech Parameters'!C12-('Tech Parameters'!H11*'Tech Parameters'!C11+'Tech Parameters'!H12*'Tech Parameters'!C12+'Tech Parameters'!H13*'Tech Parameters'!C13+'Tech Parameters'!H14*'Tech Parameters'!C14+'Tech Parameters'!H15*'Tech Parameters'!C15+'Tech Parameters'!H16*'Tech Parameters'!C16))+Dashboard!G26</f>
        <v>10.627469387755102</v>
      </c>
      <c r="I6" s="28">
        <f>Baseline!I6+Dashboard!H21*'Tech Parameters'!C12+Dashboard!H22*('Tech Parameters'!C12-('Tech Parameters'!H11*'Tech Parameters'!C11+'Tech Parameters'!H12*'Tech Parameters'!C12+'Tech Parameters'!H13*'Tech Parameters'!C13+'Tech Parameters'!H14*'Tech Parameters'!C14+'Tech Parameters'!H15*'Tech Parameters'!C15+'Tech Parameters'!H16*'Tech Parameters'!C16))+Dashboard!H26</f>
        <v>10.56995918367347</v>
      </c>
      <c r="J6" s="28">
        <f>Baseline!J6+Dashboard!I21*'Tech Parameters'!C12+Dashboard!I22*('Tech Parameters'!C12-('Tech Parameters'!H11*'Tech Parameters'!C11+'Tech Parameters'!H12*'Tech Parameters'!C12+'Tech Parameters'!H13*'Tech Parameters'!C13+'Tech Parameters'!H14*'Tech Parameters'!C14+'Tech Parameters'!H15*'Tech Parameters'!C15+'Tech Parameters'!H16*'Tech Parameters'!C16))+Dashboard!I26</f>
        <v>10.56995918367347</v>
      </c>
      <c r="K6" s="28">
        <f>Baseline!K6+Dashboard!J21*'Tech Parameters'!C12+Dashboard!J22*('Tech Parameters'!C12-('Tech Parameters'!H11*'Tech Parameters'!C11+'Tech Parameters'!H12*'Tech Parameters'!C12+'Tech Parameters'!H13*'Tech Parameters'!C13+'Tech Parameters'!H14*'Tech Parameters'!C14+'Tech Parameters'!H15*'Tech Parameters'!C15+'Tech Parameters'!H16*'Tech Parameters'!C16))+Dashboard!J26</f>
        <v>10.56995918367347</v>
      </c>
      <c r="L6" s="28">
        <f>Baseline!L6+Dashboard!K21*'Tech Parameters'!C12+Dashboard!K22*('Tech Parameters'!C12-('Tech Parameters'!H11*'Tech Parameters'!C11+'Tech Parameters'!H12*'Tech Parameters'!C12+'Tech Parameters'!H13*'Tech Parameters'!C13+'Tech Parameters'!H14*'Tech Parameters'!C14+'Tech Parameters'!H15*'Tech Parameters'!C15+'Tech Parameters'!H16*'Tech Parameters'!C16))+Dashboard!K26</f>
        <v>10.56995918367347</v>
      </c>
      <c r="M6" s="28">
        <f>Baseline!M6+Dashboard!L21*'Tech Parameters'!C12+Dashboard!L22*('Tech Parameters'!C12-('Tech Parameters'!H11*'Tech Parameters'!C11+'Tech Parameters'!H12*'Tech Parameters'!C12+'Tech Parameters'!H13*'Tech Parameters'!C13+'Tech Parameters'!H14*'Tech Parameters'!C14+'Tech Parameters'!H15*'Tech Parameters'!C15+'Tech Parameters'!H16*'Tech Parameters'!C16))+Dashboard!L26</f>
        <v>10.56995918367347</v>
      </c>
      <c r="N6" s="28">
        <f>Baseline!N6+Dashboard!M21*'Tech Parameters'!C12+Dashboard!M22*('Tech Parameters'!C12-('Tech Parameters'!H11*'Tech Parameters'!C11+'Tech Parameters'!H12*'Tech Parameters'!C12+'Tech Parameters'!H13*'Tech Parameters'!C13+'Tech Parameters'!H14*'Tech Parameters'!C14+'Tech Parameters'!H15*'Tech Parameters'!C15+'Tech Parameters'!H16*'Tech Parameters'!C16))+Dashboard!M26</f>
        <v>10.56995918367347</v>
      </c>
    </row>
    <row r="7" spans="1:14" x14ac:dyDescent="0.45">
      <c r="A7" s="7" t="s">
        <v>17</v>
      </c>
      <c r="B7" s="7" t="s">
        <v>102</v>
      </c>
      <c r="C7" s="28">
        <f>Baseline!C7+Dashboard!B21*'Tech Parameters'!C13+Dashboard!B22*('Tech Parameters'!C13-('Tech Parameters'!H11*'Tech Parameters'!C11+'Tech Parameters'!H12*'Tech Parameters'!C12+'Tech Parameters'!H13*'Tech Parameters'!C13+'Tech Parameters'!H14*'Tech Parameters'!C14+'Tech Parameters'!H15*'Tech Parameters'!C15+'Tech Parameters'!H16*'Tech Parameters'!C16))+Dashboard!B27</f>
        <v>18</v>
      </c>
      <c r="D7" s="28">
        <f>Baseline!D7+Dashboard!C21*'Tech Parameters'!C13+Dashboard!C22*('Tech Parameters'!C13-('Tech Parameters'!H11*'Tech Parameters'!C11+'Tech Parameters'!H12*'Tech Parameters'!C12+'Tech Parameters'!H13*'Tech Parameters'!C13+'Tech Parameters'!H14*'Tech Parameters'!C14+'Tech Parameters'!H15*'Tech Parameters'!C15+'Tech Parameters'!H16*'Tech Parameters'!C16))+Dashboard!C27</f>
        <v>18</v>
      </c>
      <c r="E7" s="28">
        <f>Baseline!E7+Dashboard!D21*'Tech Parameters'!C13+Dashboard!D22*('Tech Parameters'!C13-('Tech Parameters'!H11*'Tech Parameters'!C11+'Tech Parameters'!H12*'Tech Parameters'!C12+'Tech Parameters'!H13*'Tech Parameters'!C13+'Tech Parameters'!H14*'Tech Parameters'!C14+'Tech Parameters'!H15*'Tech Parameters'!C15+'Tech Parameters'!H16*'Tech Parameters'!C16))+Dashboard!D27</f>
        <v>20.816666666666666</v>
      </c>
      <c r="F7" s="28">
        <f>Baseline!F7+Dashboard!E21*'Tech Parameters'!C13+Dashboard!E22*('Tech Parameters'!C13-('Tech Parameters'!H11*'Tech Parameters'!C11+'Tech Parameters'!H12*'Tech Parameters'!C12+'Tech Parameters'!H13*'Tech Parameters'!C13+'Tech Parameters'!H14*'Tech Parameters'!C14+'Tech Parameters'!H15*'Tech Parameters'!C15+'Tech Parameters'!H16*'Tech Parameters'!C16))+Dashboard!E27</f>
        <v>23.6408231292517</v>
      </c>
      <c r="G7" s="28">
        <f>Baseline!G7+Dashboard!F21*'Tech Parameters'!C13+Dashboard!F22*('Tech Parameters'!C13-('Tech Parameters'!H11*'Tech Parameters'!C11+'Tech Parameters'!H12*'Tech Parameters'!C12+'Tech Parameters'!H13*'Tech Parameters'!C13+'Tech Parameters'!H14*'Tech Parameters'!C14+'Tech Parameters'!H15*'Tech Parameters'!C15+'Tech Parameters'!H16*'Tech Parameters'!C16))+Dashboard!F27</f>
        <v>26.464979591836734</v>
      </c>
      <c r="H7" s="28">
        <f>Baseline!H7+Dashboard!G21*'Tech Parameters'!C13+Dashboard!G22*('Tech Parameters'!C13-('Tech Parameters'!H11*'Tech Parameters'!C11+'Tech Parameters'!H12*'Tech Parameters'!C12+'Tech Parameters'!H13*'Tech Parameters'!C13+'Tech Parameters'!H14*'Tech Parameters'!C14+'Tech Parameters'!H15*'Tech Parameters'!C15+'Tech Parameters'!H16*'Tech Parameters'!C16))+Dashboard!G27</f>
        <v>26.472469387755101</v>
      </c>
      <c r="I7" s="28">
        <f>Baseline!I7+Dashboard!H21*'Tech Parameters'!C13+Dashboard!H22*('Tech Parameters'!C13-('Tech Parameters'!H11*'Tech Parameters'!C11+'Tech Parameters'!H12*'Tech Parameters'!C12+'Tech Parameters'!H13*'Tech Parameters'!C13+'Tech Parameters'!H14*'Tech Parameters'!C14+'Tech Parameters'!H15*'Tech Parameters'!C15+'Tech Parameters'!H16*'Tech Parameters'!C16))+Dashboard!H27</f>
        <v>26.479959183673468</v>
      </c>
      <c r="J7" s="28">
        <f>Baseline!J7+Dashboard!I21*'Tech Parameters'!C13+Dashboard!I22*('Tech Parameters'!C13-('Tech Parameters'!H11*'Tech Parameters'!C11+'Tech Parameters'!H12*'Tech Parameters'!C12+'Tech Parameters'!H13*'Tech Parameters'!C13+'Tech Parameters'!H14*'Tech Parameters'!C14+'Tech Parameters'!H15*'Tech Parameters'!C15+'Tech Parameters'!H16*'Tech Parameters'!C16))+Dashboard!I27</f>
        <v>26.479959183673468</v>
      </c>
      <c r="K7" s="28">
        <f>Baseline!K7+Dashboard!J21*'Tech Parameters'!C13+Dashboard!J22*('Tech Parameters'!C13-('Tech Parameters'!H11*'Tech Parameters'!C11+'Tech Parameters'!H12*'Tech Parameters'!C12+'Tech Parameters'!H13*'Tech Parameters'!C13+'Tech Parameters'!H14*'Tech Parameters'!C14+'Tech Parameters'!H15*'Tech Parameters'!C15+'Tech Parameters'!H16*'Tech Parameters'!C16))+Dashboard!J27</f>
        <v>26.479959183673468</v>
      </c>
      <c r="L7" s="28">
        <f>Baseline!L7+Dashboard!K21*'Tech Parameters'!C13+Dashboard!K22*('Tech Parameters'!C13-('Tech Parameters'!H11*'Tech Parameters'!C11+'Tech Parameters'!H12*'Tech Parameters'!C12+'Tech Parameters'!H13*'Tech Parameters'!C13+'Tech Parameters'!H14*'Tech Parameters'!C14+'Tech Parameters'!H15*'Tech Parameters'!C15+'Tech Parameters'!H16*'Tech Parameters'!C16))+Dashboard!K27</f>
        <v>26.479959183673468</v>
      </c>
      <c r="M7" s="28">
        <f>Baseline!M7+Dashboard!L21*'Tech Parameters'!C13+Dashboard!L22*('Tech Parameters'!C13-('Tech Parameters'!H11*'Tech Parameters'!C11+'Tech Parameters'!H12*'Tech Parameters'!C12+'Tech Parameters'!H13*'Tech Parameters'!C13+'Tech Parameters'!H14*'Tech Parameters'!C14+'Tech Parameters'!H15*'Tech Parameters'!C15+'Tech Parameters'!H16*'Tech Parameters'!C16))+Dashboard!L27</f>
        <v>26.479959183673468</v>
      </c>
      <c r="N7" s="28">
        <f>Baseline!N7+Dashboard!M21*'Tech Parameters'!C13+Dashboard!M22*('Tech Parameters'!C13-('Tech Parameters'!H11*'Tech Parameters'!C11+'Tech Parameters'!H12*'Tech Parameters'!C12+'Tech Parameters'!H13*'Tech Parameters'!C13+'Tech Parameters'!H14*'Tech Parameters'!C14+'Tech Parameters'!H15*'Tech Parameters'!C15+'Tech Parameters'!H16*'Tech Parameters'!C16))+Dashboard!M27</f>
        <v>26.479959183673468</v>
      </c>
    </row>
    <row r="8" spans="1:14" x14ac:dyDescent="0.45">
      <c r="A8" s="7" t="s">
        <v>18</v>
      </c>
      <c r="B8" s="7" t="s">
        <v>102</v>
      </c>
      <c r="C8" s="28">
        <f>Baseline!C8+Dashboard!B21*'Tech Parameters'!C14+Dashboard!B22*('Tech Parameters'!C14-('Tech Parameters'!H11*'Tech Parameters'!C11+'Tech Parameters'!H12*'Tech Parameters'!C12+'Tech Parameters'!H13*'Tech Parameters'!C13+'Tech Parameters'!H14*'Tech Parameters'!C14+'Tech Parameters'!H15*'Tech Parameters'!C15+'Tech Parameters'!H16*'Tech Parameters'!C16))+Dashboard!B28</f>
        <v>17</v>
      </c>
      <c r="D8" s="28">
        <f>Baseline!D8+Dashboard!C21*'Tech Parameters'!C14+Dashboard!C22*('Tech Parameters'!C14-('Tech Parameters'!H11*'Tech Parameters'!C11+'Tech Parameters'!H12*'Tech Parameters'!C12+'Tech Parameters'!H13*'Tech Parameters'!C13+'Tech Parameters'!H14*'Tech Parameters'!C14+'Tech Parameters'!H15*'Tech Parameters'!C15+'Tech Parameters'!H16*'Tech Parameters'!C16))+Dashboard!C28</f>
        <v>17</v>
      </c>
      <c r="E8" s="28">
        <f>Baseline!E8+Dashboard!D21*'Tech Parameters'!C14+Dashboard!D22*('Tech Parameters'!C14-('Tech Parameters'!H11*'Tech Parameters'!C11+'Tech Parameters'!H12*'Tech Parameters'!C12+'Tech Parameters'!H13*'Tech Parameters'!C13+'Tech Parameters'!H14*'Tech Parameters'!C14+'Tech Parameters'!H15*'Tech Parameters'!C15+'Tech Parameters'!H16*'Tech Parameters'!C16))+Dashboard!D28</f>
        <v>19.566666666666666</v>
      </c>
      <c r="F8" s="28">
        <f>Baseline!F8+Dashboard!E21*'Tech Parameters'!C14+Dashboard!E22*('Tech Parameters'!C14-('Tech Parameters'!H11*'Tech Parameters'!C11+'Tech Parameters'!H12*'Tech Parameters'!C12+'Tech Parameters'!H13*'Tech Parameters'!C13+'Tech Parameters'!H14*'Tech Parameters'!C14+'Tech Parameters'!H15*'Tech Parameters'!C15+'Tech Parameters'!H16*'Tech Parameters'!C16))+Dashboard!E28</f>
        <v>22.165823129251702</v>
      </c>
      <c r="G8" s="28">
        <f>Baseline!G8+Dashboard!F21*'Tech Parameters'!C14+Dashboard!F22*('Tech Parameters'!C14-('Tech Parameters'!H11*'Tech Parameters'!C11+'Tech Parameters'!H12*'Tech Parameters'!C12+'Tech Parameters'!H13*'Tech Parameters'!C13+'Tech Parameters'!H14*'Tech Parameters'!C14+'Tech Parameters'!H15*'Tech Parameters'!C15+'Tech Parameters'!H16*'Tech Parameters'!C16))+Dashboard!F28</f>
        <v>24.764979591836735</v>
      </c>
      <c r="H8" s="28">
        <f>Baseline!H8+Dashboard!G21*'Tech Parameters'!C14+Dashboard!G22*('Tech Parameters'!C14-('Tech Parameters'!H11*'Tech Parameters'!C11+'Tech Parameters'!H12*'Tech Parameters'!C12+'Tech Parameters'!H13*'Tech Parameters'!C13+'Tech Parameters'!H14*'Tech Parameters'!C14+'Tech Parameters'!H15*'Tech Parameters'!C15+'Tech Parameters'!H16*'Tech Parameters'!C16))+Dashboard!G28</f>
        <v>24.7974693877551</v>
      </c>
      <c r="I8" s="28">
        <f>Baseline!I8+Dashboard!H21*'Tech Parameters'!C14+Dashboard!H22*('Tech Parameters'!C14-('Tech Parameters'!H11*'Tech Parameters'!C11+'Tech Parameters'!H12*'Tech Parameters'!C12+'Tech Parameters'!H13*'Tech Parameters'!C13+'Tech Parameters'!H14*'Tech Parameters'!C14+'Tech Parameters'!H15*'Tech Parameters'!C15+'Tech Parameters'!H16*'Tech Parameters'!C16))+Dashboard!H28</f>
        <v>24.82995918367347</v>
      </c>
      <c r="J8" s="28">
        <f>Baseline!J8+Dashboard!I21*'Tech Parameters'!C14+Dashboard!I22*('Tech Parameters'!C14-('Tech Parameters'!H11*'Tech Parameters'!C11+'Tech Parameters'!H12*'Tech Parameters'!C12+'Tech Parameters'!H13*'Tech Parameters'!C13+'Tech Parameters'!H14*'Tech Parameters'!C14+'Tech Parameters'!H15*'Tech Parameters'!C15+'Tech Parameters'!H16*'Tech Parameters'!C16))+Dashboard!I28</f>
        <v>24.82995918367347</v>
      </c>
      <c r="K8" s="28">
        <f>Baseline!K8+Dashboard!J21*'Tech Parameters'!C14+Dashboard!J22*('Tech Parameters'!C14-('Tech Parameters'!H11*'Tech Parameters'!C11+'Tech Parameters'!H12*'Tech Parameters'!C12+'Tech Parameters'!H13*'Tech Parameters'!C13+'Tech Parameters'!H14*'Tech Parameters'!C14+'Tech Parameters'!H15*'Tech Parameters'!C15+'Tech Parameters'!H16*'Tech Parameters'!C16))+Dashboard!J28</f>
        <v>24.82995918367347</v>
      </c>
      <c r="L8" s="28">
        <f>Baseline!L8+Dashboard!K21*'Tech Parameters'!C14+Dashboard!K22*('Tech Parameters'!C14-('Tech Parameters'!H11*'Tech Parameters'!C11+'Tech Parameters'!H12*'Tech Parameters'!C12+'Tech Parameters'!H13*'Tech Parameters'!C13+'Tech Parameters'!H14*'Tech Parameters'!C14+'Tech Parameters'!H15*'Tech Parameters'!C15+'Tech Parameters'!H16*'Tech Parameters'!C16))+Dashboard!K28</f>
        <v>24.82995918367347</v>
      </c>
      <c r="M8" s="28">
        <f>Baseline!M8+Dashboard!L21*'Tech Parameters'!C14+Dashboard!L22*('Tech Parameters'!C14-('Tech Parameters'!H11*'Tech Parameters'!C11+'Tech Parameters'!H12*'Tech Parameters'!C12+'Tech Parameters'!H13*'Tech Parameters'!C13+'Tech Parameters'!H14*'Tech Parameters'!C14+'Tech Parameters'!H15*'Tech Parameters'!C15+'Tech Parameters'!H16*'Tech Parameters'!C16))+Dashboard!L28</f>
        <v>24.82995918367347</v>
      </c>
      <c r="N8" s="28">
        <f>Baseline!N8+Dashboard!M21*'Tech Parameters'!C14+Dashboard!M22*('Tech Parameters'!C14-('Tech Parameters'!H11*'Tech Parameters'!C11+'Tech Parameters'!H12*'Tech Parameters'!C12+'Tech Parameters'!H13*'Tech Parameters'!C13+'Tech Parameters'!H14*'Tech Parameters'!C14+'Tech Parameters'!H15*'Tech Parameters'!C15+'Tech Parameters'!H16*'Tech Parameters'!C16))+Dashboard!M28</f>
        <v>24.82995918367347</v>
      </c>
    </row>
    <row r="9" spans="1:14" x14ac:dyDescent="0.45">
      <c r="A9" s="7" t="s">
        <v>19</v>
      </c>
      <c r="B9" s="7" t="s">
        <v>102</v>
      </c>
      <c r="C9" s="28">
        <f>Baseline!C9+Dashboard!B21*'Tech Parameters'!C15+Dashboard!B22*('Tech Parameters'!C15-('Tech Parameters'!H11*'Tech Parameters'!C11+'Tech Parameters'!H12*'Tech Parameters'!C12+'Tech Parameters'!H13*'Tech Parameters'!C13+'Tech Parameters'!H14*'Tech Parameters'!C14+'Tech Parameters'!H15*'Tech Parameters'!C15+'Tech Parameters'!H16*'Tech Parameters'!C16))+Dashboard!B29</f>
        <v>22</v>
      </c>
      <c r="D9" s="28">
        <f>Baseline!D9+Dashboard!C21*'Tech Parameters'!C15+Dashboard!C22*('Tech Parameters'!C15-('Tech Parameters'!H11*'Tech Parameters'!C11+'Tech Parameters'!H12*'Tech Parameters'!C12+'Tech Parameters'!H13*'Tech Parameters'!C13+'Tech Parameters'!H14*'Tech Parameters'!C14+'Tech Parameters'!H15*'Tech Parameters'!C15+'Tech Parameters'!H16*'Tech Parameters'!C16))+Dashboard!C29</f>
        <v>22</v>
      </c>
      <c r="E9" s="28">
        <f>Baseline!E9+Dashboard!D21*'Tech Parameters'!C15+Dashboard!D22*('Tech Parameters'!C15-('Tech Parameters'!H11*'Tech Parameters'!C11+'Tech Parameters'!H12*'Tech Parameters'!C12+'Tech Parameters'!H13*'Tech Parameters'!C13+'Tech Parameters'!H14*'Tech Parameters'!C14+'Tech Parameters'!H15*'Tech Parameters'!C15+'Tech Parameters'!H16*'Tech Parameters'!C16))+Dashboard!D29</f>
        <v>22</v>
      </c>
      <c r="F9" s="28">
        <f>Baseline!F9+Dashboard!E21*'Tech Parameters'!C15+Dashboard!E22*('Tech Parameters'!C15-('Tech Parameters'!H11*'Tech Parameters'!C11+'Tech Parameters'!H12*'Tech Parameters'!C12+'Tech Parameters'!H13*'Tech Parameters'!C13+'Tech Parameters'!H14*'Tech Parameters'!C14+'Tech Parameters'!H15*'Tech Parameters'!C15+'Tech Parameters'!H16*'Tech Parameters'!C16))+Dashboard!E29</f>
        <v>21.662489795918368</v>
      </c>
      <c r="G9" s="28">
        <f>Baseline!G9+Dashboard!F21*'Tech Parameters'!C15+Dashboard!F22*('Tech Parameters'!C15-('Tech Parameters'!H11*'Tech Parameters'!C11+'Tech Parameters'!H12*'Tech Parameters'!C12+'Tech Parameters'!H13*'Tech Parameters'!C13+'Tech Parameters'!H14*'Tech Parameters'!C14+'Tech Parameters'!H15*'Tech Parameters'!C15+'Tech Parameters'!H16*'Tech Parameters'!C16))+Dashboard!F29</f>
        <v>21.324979591836733</v>
      </c>
      <c r="H9" s="28">
        <f>Baseline!H9+Dashboard!G21*'Tech Parameters'!C15+Dashboard!G22*('Tech Parameters'!C15-('Tech Parameters'!H11*'Tech Parameters'!C11+'Tech Parameters'!H12*'Tech Parameters'!C12+'Tech Parameters'!H13*'Tech Parameters'!C13+'Tech Parameters'!H14*'Tech Parameters'!C14+'Tech Parameters'!H15*'Tech Parameters'!C15+'Tech Parameters'!H16*'Tech Parameters'!C16))+Dashboard!G29</f>
        <v>20.987469387755102</v>
      </c>
      <c r="I9" s="28">
        <f>Baseline!I9+Dashboard!H21*'Tech Parameters'!C15+Dashboard!H22*('Tech Parameters'!C15-('Tech Parameters'!H11*'Tech Parameters'!C11+'Tech Parameters'!H12*'Tech Parameters'!C12+'Tech Parameters'!H13*'Tech Parameters'!C13+'Tech Parameters'!H14*'Tech Parameters'!C14+'Tech Parameters'!H15*'Tech Parameters'!C15+'Tech Parameters'!H16*'Tech Parameters'!C16))+Dashboard!H29</f>
        <v>20.64995918367347</v>
      </c>
      <c r="J9" s="28">
        <f>Baseline!J9+Dashboard!I21*'Tech Parameters'!C15+Dashboard!I22*('Tech Parameters'!C15-('Tech Parameters'!H11*'Tech Parameters'!C11+'Tech Parameters'!H12*'Tech Parameters'!C12+'Tech Parameters'!H13*'Tech Parameters'!C13+'Tech Parameters'!H14*'Tech Parameters'!C14+'Tech Parameters'!H15*'Tech Parameters'!C15+'Tech Parameters'!H16*'Tech Parameters'!C16))+Dashboard!I29</f>
        <v>20.64995918367347</v>
      </c>
      <c r="K9" s="28">
        <f>Baseline!K9+Dashboard!J21*'Tech Parameters'!C15+Dashboard!J22*('Tech Parameters'!C15-('Tech Parameters'!H11*'Tech Parameters'!C11+'Tech Parameters'!H12*'Tech Parameters'!C12+'Tech Parameters'!H13*'Tech Parameters'!C13+'Tech Parameters'!H14*'Tech Parameters'!C14+'Tech Parameters'!H15*'Tech Parameters'!C15+'Tech Parameters'!H16*'Tech Parameters'!C16))+Dashboard!J29</f>
        <v>20.64995918367347</v>
      </c>
      <c r="L9" s="28">
        <f>Baseline!L9+Dashboard!K21*'Tech Parameters'!C15+Dashboard!K22*('Tech Parameters'!C15-('Tech Parameters'!H11*'Tech Parameters'!C11+'Tech Parameters'!H12*'Tech Parameters'!C12+'Tech Parameters'!H13*'Tech Parameters'!C13+'Tech Parameters'!H14*'Tech Parameters'!C14+'Tech Parameters'!H15*'Tech Parameters'!C15+'Tech Parameters'!H16*'Tech Parameters'!C16))+Dashboard!K29</f>
        <v>20.64995918367347</v>
      </c>
      <c r="M9" s="28">
        <f>Baseline!M9+Dashboard!L21*'Tech Parameters'!C15+Dashboard!L22*('Tech Parameters'!C15-('Tech Parameters'!H11*'Tech Parameters'!C11+'Tech Parameters'!H12*'Tech Parameters'!C12+'Tech Parameters'!H13*'Tech Parameters'!C13+'Tech Parameters'!H14*'Tech Parameters'!C14+'Tech Parameters'!H15*'Tech Parameters'!C15+'Tech Parameters'!H16*'Tech Parameters'!C16))+Dashboard!L29</f>
        <v>20.64995918367347</v>
      </c>
      <c r="N9" s="28">
        <f>Baseline!N9+Dashboard!M21*'Tech Parameters'!C15+Dashboard!M22*('Tech Parameters'!C15-('Tech Parameters'!H11*'Tech Parameters'!C11+'Tech Parameters'!H12*'Tech Parameters'!C12+'Tech Parameters'!H13*'Tech Parameters'!C13+'Tech Parameters'!H14*'Tech Parameters'!C14+'Tech Parameters'!H15*'Tech Parameters'!C15+'Tech Parameters'!H16*'Tech Parameters'!C16))+Dashboard!M29</f>
        <v>20.64995918367347</v>
      </c>
    </row>
    <row r="10" spans="1:14" x14ac:dyDescent="0.45">
      <c r="A10" s="7" t="s">
        <v>20</v>
      </c>
      <c r="B10" s="7" t="s">
        <v>102</v>
      </c>
      <c r="C10" s="28">
        <f>Baseline!C10+Dashboard!B21*'Tech Parameters'!C16+Dashboard!B22*('Tech Parameters'!C16-('Tech Parameters'!H11*'Tech Parameters'!C11+'Tech Parameters'!H12*'Tech Parameters'!C12+'Tech Parameters'!H13*'Tech Parameters'!C13+'Tech Parameters'!H14*'Tech Parameters'!C14+'Tech Parameters'!H15*'Tech Parameters'!C15+'Tech Parameters'!H16*'Tech Parameters'!C16))+Dashboard!B30</f>
        <v>0</v>
      </c>
      <c r="D10" s="28">
        <f>Baseline!D10+Dashboard!C21*'Tech Parameters'!C16+Dashboard!C22*('Tech Parameters'!C16-('Tech Parameters'!H11*'Tech Parameters'!C11+'Tech Parameters'!H12*'Tech Parameters'!C12+'Tech Parameters'!H13*'Tech Parameters'!C13+'Tech Parameters'!H14*'Tech Parameters'!C14+'Tech Parameters'!H15*'Tech Parameters'!C15+'Tech Parameters'!H16*'Tech Parameters'!C16))+Dashboard!C30</f>
        <v>0</v>
      </c>
      <c r="E10" s="28">
        <f>Baseline!E10+Dashboard!D21*'Tech Parameters'!C16+Dashboard!D22*('Tech Parameters'!C16-('Tech Parameters'!H11*'Tech Parameters'!C11+'Tech Parameters'!H12*'Tech Parameters'!C12+'Tech Parameters'!H13*'Tech Parameters'!C13+'Tech Parameters'!H14*'Tech Parameters'!C14+'Tech Parameters'!H15*'Tech Parameters'!C15+'Tech Parameters'!H16*'Tech Parameters'!C16))+Dashboard!D30</f>
        <v>0</v>
      </c>
      <c r="F10" s="28">
        <f>Baseline!F10+Dashboard!E21*'Tech Parameters'!C16+Dashboard!E22*('Tech Parameters'!C16-('Tech Parameters'!H11*'Tech Parameters'!C11+'Tech Parameters'!H12*'Tech Parameters'!C12+'Tech Parameters'!H13*'Tech Parameters'!C13+'Tech Parameters'!H14*'Tech Parameters'!C14+'Tech Parameters'!H15*'Tech Parameters'!C15+'Tech Parameters'!H16*'Tech Parameters'!C16))+Dashboard!E30</f>
        <v>-0.33751020408163268</v>
      </c>
      <c r="G10" s="28">
        <f>Baseline!G10+Dashboard!F21*'Tech Parameters'!C16+Dashboard!F22*('Tech Parameters'!C16-('Tech Parameters'!H11*'Tech Parameters'!C11+'Tech Parameters'!H12*'Tech Parameters'!C12+'Tech Parameters'!H13*'Tech Parameters'!C13+'Tech Parameters'!H14*'Tech Parameters'!C14+'Tech Parameters'!H15*'Tech Parameters'!C15+'Tech Parameters'!H16*'Tech Parameters'!C16))+Dashboard!F30</f>
        <v>-0.67502040816326536</v>
      </c>
      <c r="H10" s="28">
        <f>Baseline!H10+Dashboard!G21*'Tech Parameters'!C16+Dashboard!G22*('Tech Parameters'!C16-('Tech Parameters'!H11*'Tech Parameters'!C11+'Tech Parameters'!H12*'Tech Parameters'!C12+'Tech Parameters'!H13*'Tech Parameters'!C13+'Tech Parameters'!H14*'Tech Parameters'!C14+'Tech Parameters'!H15*'Tech Parameters'!C15+'Tech Parameters'!H16*'Tech Parameters'!C16))+Dashboard!G30</f>
        <v>-1.012530612244898</v>
      </c>
      <c r="I10" s="28">
        <f>Baseline!I10+Dashboard!H21*'Tech Parameters'!C16+Dashboard!H22*('Tech Parameters'!C16-('Tech Parameters'!H11*'Tech Parameters'!C11+'Tech Parameters'!H12*'Tech Parameters'!C12+'Tech Parameters'!H13*'Tech Parameters'!C13+'Tech Parameters'!H14*'Tech Parameters'!C14+'Tech Parameters'!H15*'Tech Parameters'!C15+'Tech Parameters'!H16*'Tech Parameters'!C16))+Dashboard!H30</f>
        <v>-1.3500408163265307</v>
      </c>
      <c r="J10" s="28">
        <f>Baseline!J10+Dashboard!I21*'Tech Parameters'!C16+Dashboard!I22*('Tech Parameters'!C16-('Tech Parameters'!H11*'Tech Parameters'!C11+'Tech Parameters'!H12*'Tech Parameters'!C12+'Tech Parameters'!H13*'Tech Parameters'!C13+'Tech Parameters'!H14*'Tech Parameters'!C14+'Tech Parameters'!H15*'Tech Parameters'!C15+'Tech Parameters'!H16*'Tech Parameters'!C16))+Dashboard!I30</f>
        <v>-1.3500408163265307</v>
      </c>
      <c r="K10" s="28">
        <f>Baseline!K10+Dashboard!J21*'Tech Parameters'!C16+Dashboard!J22*('Tech Parameters'!C16-('Tech Parameters'!H11*'Tech Parameters'!C11+'Tech Parameters'!H12*'Tech Parameters'!C12+'Tech Parameters'!H13*'Tech Parameters'!C13+'Tech Parameters'!H14*'Tech Parameters'!C14+'Tech Parameters'!H15*'Tech Parameters'!C15+'Tech Parameters'!H16*'Tech Parameters'!C16))+Dashboard!J30</f>
        <v>-1.3500408163265307</v>
      </c>
      <c r="L10" s="28">
        <f>Baseline!L10+Dashboard!K21*'Tech Parameters'!C16+Dashboard!K22*('Tech Parameters'!C16-('Tech Parameters'!H11*'Tech Parameters'!C11+'Tech Parameters'!H12*'Tech Parameters'!C12+'Tech Parameters'!H13*'Tech Parameters'!C13+'Tech Parameters'!H14*'Tech Parameters'!C14+'Tech Parameters'!H15*'Tech Parameters'!C15+'Tech Parameters'!H16*'Tech Parameters'!C16))+Dashboard!K30</f>
        <v>-1.3500408163265307</v>
      </c>
      <c r="M10" s="28">
        <f>Baseline!M10+Dashboard!L21*'Tech Parameters'!C16+Dashboard!L22*('Tech Parameters'!C16-('Tech Parameters'!H11*'Tech Parameters'!C11+'Tech Parameters'!H12*'Tech Parameters'!C12+'Tech Parameters'!H13*'Tech Parameters'!C13+'Tech Parameters'!H14*'Tech Parameters'!C14+'Tech Parameters'!H15*'Tech Parameters'!C15+'Tech Parameters'!H16*'Tech Parameters'!C16))+Dashboard!L30</f>
        <v>-1.3500408163265307</v>
      </c>
      <c r="N10" s="28">
        <f>Baseline!N10+Dashboard!M21*'Tech Parameters'!C16+Dashboard!M22*('Tech Parameters'!C16-('Tech Parameters'!H11*'Tech Parameters'!C11+'Tech Parameters'!H12*'Tech Parameters'!C12+'Tech Parameters'!H13*'Tech Parameters'!C13+'Tech Parameters'!H14*'Tech Parameters'!C14+'Tech Parameters'!H15*'Tech Parameters'!C15+'Tech Parameters'!H16*'Tech Parameters'!C16))+Dashboard!M30</f>
        <v>-1.3500408163265307</v>
      </c>
    </row>
    <row r="12" spans="1:14" x14ac:dyDescent="0.45">
      <c r="A12" s="13" t="s">
        <v>103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 x14ac:dyDescent="0.45">
      <c r="A13" s="7" t="s">
        <v>15</v>
      </c>
      <c r="B13" s="7" t="s">
        <v>104</v>
      </c>
      <c r="C13" s="28">
        <f>IF('Tech Parameters'!E11=0,0,C5/'Tech Parameters'!E11)</f>
        <v>0</v>
      </c>
      <c r="D13" s="28">
        <f>IF('Tech Parameters'!E11=0,0,D5/'Tech Parameters'!E11)</f>
        <v>0</v>
      </c>
      <c r="E13" s="28">
        <f>IF('Tech Parameters'!E11=0,0,E5/'Tech Parameters'!E11)</f>
        <v>0</v>
      </c>
      <c r="F13" s="28">
        <f>IF('Tech Parameters'!E11=0,0,F5/'Tech Parameters'!E11)</f>
        <v>0</v>
      </c>
      <c r="G13" s="28">
        <f>IF('Tech Parameters'!E11=0,0,G5/'Tech Parameters'!E11)</f>
        <v>0</v>
      </c>
      <c r="H13" s="28">
        <f>IF('Tech Parameters'!E11=0,0,H5/'Tech Parameters'!E11)</f>
        <v>0</v>
      </c>
      <c r="I13" s="28">
        <f>IF('Tech Parameters'!E11=0,0,I5/'Tech Parameters'!E11)</f>
        <v>0</v>
      </c>
      <c r="J13" s="28">
        <f>IF('Tech Parameters'!E11=0,0,J5/'Tech Parameters'!E11)</f>
        <v>0</v>
      </c>
      <c r="K13" s="28">
        <f>IF('Tech Parameters'!E11=0,0,K5/'Tech Parameters'!E11)</f>
        <v>0</v>
      </c>
      <c r="L13" s="28">
        <f>IF('Tech Parameters'!E11=0,0,L5/'Tech Parameters'!E11)</f>
        <v>0</v>
      </c>
      <c r="M13" s="28">
        <f>IF('Tech Parameters'!E11=0,0,M5/'Tech Parameters'!E11)</f>
        <v>0</v>
      </c>
      <c r="N13" s="28">
        <f>IF('Tech Parameters'!E11=0,0,N5/'Tech Parameters'!E11)</f>
        <v>0</v>
      </c>
    </row>
    <row r="14" spans="1:14" x14ac:dyDescent="0.45">
      <c r="A14" s="7" t="s">
        <v>16</v>
      </c>
      <c r="B14" s="7" t="s">
        <v>104</v>
      </c>
      <c r="C14" s="28">
        <f>IF('Tech Parameters'!E12=0,0,C6/'Tech Parameters'!E12)</f>
        <v>32</v>
      </c>
      <c r="D14" s="28">
        <f>IF('Tech Parameters'!E12=0,0,D6/'Tech Parameters'!E12)</f>
        <v>32</v>
      </c>
      <c r="E14" s="28">
        <f>IF('Tech Parameters'!E12=0,0,E6/'Tech Parameters'!E12)</f>
        <v>35.733333333333334</v>
      </c>
      <c r="F14" s="28">
        <f>IF('Tech Parameters'!E12=0,0,F6/'Tech Parameters'!E12)</f>
        <v>39.23662585034014</v>
      </c>
      <c r="G14" s="28">
        <f>IF('Tech Parameters'!E12=0,0,G6/'Tech Parameters'!E12)</f>
        <v>42.739918367346938</v>
      </c>
      <c r="H14" s="28">
        <f>IF('Tech Parameters'!E12=0,0,H6/'Tech Parameters'!E12)</f>
        <v>42.509877551020409</v>
      </c>
      <c r="I14" s="28">
        <f>IF('Tech Parameters'!E12=0,0,I6/'Tech Parameters'!E12)</f>
        <v>42.27983673469388</v>
      </c>
      <c r="J14" s="28">
        <f>IF('Tech Parameters'!E12=0,0,J6/'Tech Parameters'!E12)</f>
        <v>42.27983673469388</v>
      </c>
      <c r="K14" s="28">
        <f>IF('Tech Parameters'!E12=0,0,K6/'Tech Parameters'!E12)</f>
        <v>42.27983673469388</v>
      </c>
      <c r="L14" s="28">
        <f>IF('Tech Parameters'!E12=0,0,L6/'Tech Parameters'!E12)</f>
        <v>42.27983673469388</v>
      </c>
      <c r="M14" s="28">
        <f>IF('Tech Parameters'!E12=0,0,M6/'Tech Parameters'!E12)</f>
        <v>42.27983673469388</v>
      </c>
      <c r="N14" s="28">
        <f>IF('Tech Parameters'!E12=0,0,N6/'Tech Parameters'!E12)</f>
        <v>42.27983673469388</v>
      </c>
    </row>
    <row r="15" spans="1:14" x14ac:dyDescent="0.45">
      <c r="A15" s="7" t="s">
        <v>17</v>
      </c>
      <c r="B15" s="7" t="s">
        <v>104</v>
      </c>
      <c r="C15" s="28">
        <f>IF('Tech Parameters'!E13=0,0,C7/'Tech Parameters'!E13)</f>
        <v>72</v>
      </c>
      <c r="D15" s="28">
        <f>IF('Tech Parameters'!E13=0,0,D7/'Tech Parameters'!E13)</f>
        <v>72</v>
      </c>
      <c r="E15" s="28">
        <f>IF('Tech Parameters'!E13=0,0,E7/'Tech Parameters'!E13)</f>
        <v>83.266666666666666</v>
      </c>
      <c r="F15" s="28">
        <f>IF('Tech Parameters'!E13=0,0,F7/'Tech Parameters'!E13)</f>
        <v>94.563292517006801</v>
      </c>
      <c r="G15" s="28">
        <f>IF('Tech Parameters'!E13=0,0,G7/'Tech Parameters'!E13)</f>
        <v>105.85991836734694</v>
      </c>
      <c r="H15" s="28">
        <f>IF('Tech Parameters'!E13=0,0,H7/'Tech Parameters'!E13)</f>
        <v>105.8898775510204</v>
      </c>
      <c r="I15" s="28">
        <f>IF('Tech Parameters'!E13=0,0,I7/'Tech Parameters'!E13)</f>
        <v>105.91983673469387</v>
      </c>
      <c r="J15" s="28">
        <f>IF('Tech Parameters'!E13=0,0,J7/'Tech Parameters'!E13)</f>
        <v>105.91983673469387</v>
      </c>
      <c r="K15" s="28">
        <f>IF('Tech Parameters'!E13=0,0,K7/'Tech Parameters'!E13)</f>
        <v>105.91983673469387</v>
      </c>
      <c r="L15" s="28">
        <f>IF('Tech Parameters'!E13=0,0,L7/'Tech Parameters'!E13)</f>
        <v>105.91983673469387</v>
      </c>
      <c r="M15" s="28">
        <f>IF('Tech Parameters'!E13=0,0,M7/'Tech Parameters'!E13)</f>
        <v>105.91983673469387</v>
      </c>
      <c r="N15" s="28">
        <f>IF('Tech Parameters'!E13=0,0,N7/'Tech Parameters'!E13)</f>
        <v>105.91983673469387</v>
      </c>
    </row>
    <row r="16" spans="1:14" x14ac:dyDescent="0.45">
      <c r="A16" s="7" t="s">
        <v>18</v>
      </c>
      <c r="B16" s="7" t="s">
        <v>104</v>
      </c>
      <c r="C16" s="28">
        <f>IF('Tech Parameters'!E14=0,0,C8/'Tech Parameters'!E14)</f>
        <v>56.666666666666671</v>
      </c>
      <c r="D16" s="28">
        <f>IF('Tech Parameters'!E14=0,0,D8/'Tech Parameters'!E14)</f>
        <v>56.666666666666671</v>
      </c>
      <c r="E16" s="28">
        <f>IF('Tech Parameters'!E14=0,0,E8/'Tech Parameters'!E14)</f>
        <v>65.222222222222229</v>
      </c>
      <c r="F16" s="28">
        <f>IF('Tech Parameters'!E14=0,0,F8/'Tech Parameters'!E14)</f>
        <v>73.886077097505677</v>
      </c>
      <c r="G16" s="28">
        <f>IF('Tech Parameters'!E14=0,0,G8/'Tech Parameters'!E14)</f>
        <v>82.549931972789125</v>
      </c>
      <c r="H16" s="28">
        <f>IF('Tech Parameters'!E14=0,0,H8/'Tech Parameters'!E14)</f>
        <v>82.658231292517002</v>
      </c>
      <c r="I16" s="28">
        <f>IF('Tech Parameters'!E14=0,0,I8/'Tech Parameters'!E14)</f>
        <v>82.766530612244907</v>
      </c>
      <c r="J16" s="28">
        <f>IF('Tech Parameters'!E14=0,0,J8/'Tech Parameters'!E14)</f>
        <v>82.766530612244907</v>
      </c>
      <c r="K16" s="28">
        <f>IF('Tech Parameters'!E14=0,0,K8/'Tech Parameters'!E14)</f>
        <v>82.766530612244907</v>
      </c>
      <c r="L16" s="28">
        <f>IF('Tech Parameters'!E14=0,0,L8/'Tech Parameters'!E14)</f>
        <v>82.766530612244907</v>
      </c>
      <c r="M16" s="28">
        <f>IF('Tech Parameters'!E14=0,0,M8/'Tech Parameters'!E14)</f>
        <v>82.766530612244907</v>
      </c>
      <c r="N16" s="28">
        <f>IF('Tech Parameters'!E14=0,0,N8/'Tech Parameters'!E14)</f>
        <v>82.766530612244907</v>
      </c>
    </row>
    <row r="17" spans="1:14" x14ac:dyDescent="0.45">
      <c r="A17" s="7" t="s">
        <v>19</v>
      </c>
      <c r="B17" s="7" t="s">
        <v>104</v>
      </c>
      <c r="C17" s="28">
        <f>IF('Tech Parameters'!E15=0,0,C9/'Tech Parameters'!E15)</f>
        <v>25.882352941176471</v>
      </c>
      <c r="D17" s="28">
        <f>IF('Tech Parameters'!E15=0,0,D9/'Tech Parameters'!E15)</f>
        <v>25.882352941176471</v>
      </c>
      <c r="E17" s="28">
        <f>IF('Tech Parameters'!E15=0,0,E9/'Tech Parameters'!E15)</f>
        <v>25.882352941176471</v>
      </c>
      <c r="F17" s="28">
        <f>IF('Tech Parameters'!E15=0,0,F9/'Tech Parameters'!E15)</f>
        <v>25.485282112845141</v>
      </c>
      <c r="G17" s="28">
        <f>IF('Tech Parameters'!E15=0,0,G9/'Tech Parameters'!E15)</f>
        <v>25.088211284513804</v>
      </c>
      <c r="H17" s="28">
        <f>IF('Tech Parameters'!E15=0,0,H9/'Tech Parameters'!E15)</f>
        <v>24.691140456182474</v>
      </c>
      <c r="I17" s="28">
        <f>IF('Tech Parameters'!E15=0,0,I9/'Tech Parameters'!E15)</f>
        <v>24.29406962785114</v>
      </c>
      <c r="J17" s="28">
        <f>IF('Tech Parameters'!E15=0,0,J9/'Tech Parameters'!E15)</f>
        <v>24.29406962785114</v>
      </c>
      <c r="K17" s="28">
        <f>IF('Tech Parameters'!E15=0,0,K9/'Tech Parameters'!E15)</f>
        <v>24.29406962785114</v>
      </c>
      <c r="L17" s="28">
        <f>IF('Tech Parameters'!E15=0,0,L9/'Tech Parameters'!E15)</f>
        <v>24.29406962785114</v>
      </c>
      <c r="M17" s="28">
        <f>IF('Tech Parameters'!E15=0,0,M9/'Tech Parameters'!E15)</f>
        <v>24.29406962785114</v>
      </c>
      <c r="N17" s="28">
        <f>IF('Tech Parameters'!E15=0,0,N9/'Tech Parameters'!E15)</f>
        <v>24.29406962785114</v>
      </c>
    </row>
    <row r="18" spans="1:14" x14ac:dyDescent="0.45">
      <c r="A18" s="7" t="s">
        <v>20</v>
      </c>
      <c r="B18" s="7" t="s">
        <v>104</v>
      </c>
      <c r="C18" s="28">
        <f>IF('Tech Parameters'!E16=0,0,C10/'Tech Parameters'!E16)</f>
        <v>0</v>
      </c>
      <c r="D18" s="28">
        <f>IF('Tech Parameters'!E16=0,0,D10/'Tech Parameters'!E16)</f>
        <v>0</v>
      </c>
      <c r="E18" s="28">
        <f>IF('Tech Parameters'!E16=0,0,E10/'Tech Parameters'!E16)</f>
        <v>0</v>
      </c>
      <c r="F18" s="28">
        <f>IF('Tech Parameters'!E16=0,0,F10/'Tech Parameters'!E16)</f>
        <v>0</v>
      </c>
      <c r="G18" s="28">
        <f>IF('Tech Parameters'!E16=0,0,G10/'Tech Parameters'!E16)</f>
        <v>0</v>
      </c>
      <c r="H18" s="28">
        <f>IF('Tech Parameters'!E16=0,0,H10/'Tech Parameters'!E16)</f>
        <v>0</v>
      </c>
      <c r="I18" s="28">
        <f>IF('Tech Parameters'!E16=0,0,I10/'Tech Parameters'!E16)</f>
        <v>0</v>
      </c>
      <c r="J18" s="28">
        <f>IF('Tech Parameters'!E16=0,0,J10/'Tech Parameters'!E16)</f>
        <v>0</v>
      </c>
      <c r="K18" s="28">
        <f>IF('Tech Parameters'!E16=0,0,K10/'Tech Parameters'!E16)</f>
        <v>0</v>
      </c>
      <c r="L18" s="28">
        <f>IF('Tech Parameters'!E16=0,0,L10/'Tech Parameters'!E16)</f>
        <v>0</v>
      </c>
      <c r="M18" s="28">
        <f>IF('Tech Parameters'!E16=0,0,M10/'Tech Parameters'!E16)</f>
        <v>0</v>
      </c>
      <c r="N18" s="28">
        <f>IF('Tech Parameters'!E16=0,0,N10/'Tech Parameters'!E16)</f>
        <v>0</v>
      </c>
    </row>
    <row r="20" spans="1:14" x14ac:dyDescent="0.45">
      <c r="A20" s="13" t="s">
        <v>105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2" spans="1:14" x14ac:dyDescent="0.45">
      <c r="C22" s="34">
        <f>IF(C13=0,0,C13^(1-'Tech Parameters'!$B$5))</f>
        <v>0</v>
      </c>
      <c r="D22" s="34">
        <f>IF(D13=0,0,D13^(1-'Tech Parameters'!$B$5))</f>
        <v>0</v>
      </c>
      <c r="E22" s="34">
        <f>IF(E13=0,0,E13^(1-'Tech Parameters'!$B$5))</f>
        <v>0</v>
      </c>
      <c r="F22" s="34">
        <f>IF(F13=0,0,F13^(1-'Tech Parameters'!$B$5))</f>
        <v>0</v>
      </c>
      <c r="G22" s="34">
        <f>IF(G13=0,0,G13^(1-'Tech Parameters'!$B$5))</f>
        <v>0</v>
      </c>
      <c r="H22" s="34">
        <f>IF(H13=0,0,H13^(1-'Tech Parameters'!$B$5))</f>
        <v>0</v>
      </c>
      <c r="I22" s="34">
        <f>IF(I13=0,0,I13^(1-'Tech Parameters'!$B$5))</f>
        <v>0</v>
      </c>
      <c r="J22" s="34">
        <f>IF(J13=0,0,J13^(1-'Tech Parameters'!$B$5))</f>
        <v>0</v>
      </c>
      <c r="K22" s="34">
        <f>IF(K13=0,0,K13^(1-'Tech Parameters'!$B$5))</f>
        <v>0</v>
      </c>
      <c r="L22" s="34">
        <f>IF(L13=0,0,L13^(1-'Tech Parameters'!$B$5))</f>
        <v>0</v>
      </c>
      <c r="M22" s="34">
        <f>IF(M13=0,0,M13^(1-'Tech Parameters'!$B$5))</f>
        <v>0</v>
      </c>
      <c r="N22" s="34">
        <f>IF(N13=0,0,N13^(1-'Tech Parameters'!$B$5))</f>
        <v>0</v>
      </c>
    </row>
    <row r="23" spans="1:14" x14ac:dyDescent="0.45">
      <c r="C23" s="34">
        <f>IF(C14=0,0,C14^(1-'Tech Parameters'!$B$5))</f>
        <v>0.17677669529663687</v>
      </c>
      <c r="D23" s="34">
        <f>IF(D14=0,0,D14^(1-'Tech Parameters'!$B$5))</f>
        <v>0.17677669529663687</v>
      </c>
      <c r="E23" s="34">
        <f>IF(E14=0,0,E14^(1-'Tech Parameters'!$B$5))</f>
        <v>0.16728740127955144</v>
      </c>
      <c r="F23" s="34">
        <f>IF(F14=0,0,F14^(1-'Tech Parameters'!$B$5))</f>
        <v>0.15964457807048371</v>
      </c>
      <c r="G23" s="34">
        <f>IF(G14=0,0,G14^(1-'Tech Parameters'!$B$5))</f>
        <v>0.15296185996295428</v>
      </c>
      <c r="H23" s="34">
        <f>IF(H14=0,0,H14^(1-'Tech Parameters'!$B$5))</f>
        <v>0.15337517561526351</v>
      </c>
      <c r="I23" s="34">
        <f>IF(I14=0,0,I14^(1-'Tech Parameters'!$B$5))</f>
        <v>0.1537918599161118</v>
      </c>
      <c r="J23" s="34">
        <f>IF(J14=0,0,J14^(1-'Tech Parameters'!$B$5))</f>
        <v>0.1537918599161118</v>
      </c>
      <c r="K23" s="34">
        <f>IF(K14=0,0,K14^(1-'Tech Parameters'!$B$5))</f>
        <v>0.1537918599161118</v>
      </c>
      <c r="L23" s="34">
        <f>IF(L14=0,0,L14^(1-'Tech Parameters'!$B$5))</f>
        <v>0.1537918599161118</v>
      </c>
      <c r="M23" s="34">
        <f>IF(M14=0,0,M14^(1-'Tech Parameters'!$B$5))</f>
        <v>0.1537918599161118</v>
      </c>
      <c r="N23" s="34">
        <f>IF(N14=0,0,N14^(1-'Tech Parameters'!$B$5))</f>
        <v>0.1537918599161118</v>
      </c>
    </row>
    <row r="24" spans="1:14" x14ac:dyDescent="0.45">
      <c r="C24" s="34">
        <f>IF(C15=0,0,C15^(1-'Tech Parameters'!$B$5))</f>
        <v>0.11785113019775793</v>
      </c>
      <c r="D24" s="34">
        <f>IF(D15=0,0,D15^(1-'Tech Parameters'!$B$5))</f>
        <v>0.11785113019775793</v>
      </c>
      <c r="E24" s="34">
        <f>IF(E15=0,0,E15^(1-'Tech Parameters'!$B$5))</f>
        <v>0.10958835561385581</v>
      </c>
      <c r="F24" s="34">
        <f>IF(F15=0,0,F15^(1-'Tech Parameters'!$B$5))</f>
        <v>0.10283446842502245</v>
      </c>
      <c r="G24" s="34">
        <f>IF(G15=0,0,G15^(1-'Tech Parameters'!$B$5))</f>
        <v>9.7192828835902037E-2</v>
      </c>
      <c r="H24" s="34">
        <f>IF(H15=0,0,H15^(1-'Tech Parameters'!$B$5))</f>
        <v>9.7179078589580872E-2</v>
      </c>
      <c r="I24" s="34">
        <f>IF(I15=0,0,I15^(1-'Tech Parameters'!$B$5))</f>
        <v>9.7165334177510929E-2</v>
      </c>
      <c r="J24" s="34">
        <f>IF(J15=0,0,J15^(1-'Tech Parameters'!$B$5))</f>
        <v>9.7165334177510929E-2</v>
      </c>
      <c r="K24" s="34">
        <f>IF(K15=0,0,K15^(1-'Tech Parameters'!$B$5))</f>
        <v>9.7165334177510929E-2</v>
      </c>
      <c r="L24" s="34">
        <f>IF(L15=0,0,L15^(1-'Tech Parameters'!$B$5))</f>
        <v>9.7165334177510929E-2</v>
      </c>
      <c r="M24" s="34">
        <f>IF(M15=0,0,M15^(1-'Tech Parameters'!$B$5))</f>
        <v>9.7165334177510929E-2</v>
      </c>
      <c r="N24" s="34">
        <f>IF(N15=0,0,N15^(1-'Tech Parameters'!$B$5))</f>
        <v>9.7165334177510929E-2</v>
      </c>
    </row>
    <row r="25" spans="1:14" x14ac:dyDescent="0.45">
      <c r="C25" s="34">
        <f>IF(C16=0,0,C16^(1-'Tech Parameters'!$B$5))</f>
        <v>0.13284223283101429</v>
      </c>
      <c r="D25" s="34">
        <f>IF(D16=0,0,D16^(1-'Tech Parameters'!$B$5))</f>
        <v>0.13284223283101429</v>
      </c>
      <c r="E25" s="34">
        <f>IF(E16=0,0,E16^(1-'Tech Parameters'!$B$5))</f>
        <v>0.12382325151194939</v>
      </c>
      <c r="F25" s="34">
        <f>IF(F16=0,0,F16^(1-'Tech Parameters'!$B$5))</f>
        <v>0.11633722373742082</v>
      </c>
      <c r="G25" s="34">
        <f>IF(G16=0,0,G16^(1-'Tech Parameters'!$B$5))</f>
        <v>0.11006307448143726</v>
      </c>
      <c r="H25" s="34">
        <f>IF(H16=0,0,H16^(1-'Tech Parameters'!$B$5))</f>
        <v>0.10999094819225105</v>
      </c>
      <c r="I25" s="34">
        <f>IF(I16=0,0,I16^(1-'Tech Parameters'!$B$5))</f>
        <v>0.10991896351439231</v>
      </c>
      <c r="J25" s="34">
        <f>IF(J16=0,0,J16^(1-'Tech Parameters'!$B$5))</f>
        <v>0.10991896351439231</v>
      </c>
      <c r="K25" s="34">
        <f>IF(K16=0,0,K16^(1-'Tech Parameters'!$B$5))</f>
        <v>0.10991896351439231</v>
      </c>
      <c r="L25" s="34">
        <f>IF(L16=0,0,L16^(1-'Tech Parameters'!$B$5))</f>
        <v>0.10991896351439231</v>
      </c>
      <c r="M25" s="34">
        <f>IF(M16=0,0,M16^(1-'Tech Parameters'!$B$5))</f>
        <v>0.10991896351439231</v>
      </c>
      <c r="N25" s="34">
        <f>IF(N16=0,0,N16^(1-'Tech Parameters'!$B$5))</f>
        <v>0.10991896351439231</v>
      </c>
    </row>
    <row r="26" spans="1:14" x14ac:dyDescent="0.45">
      <c r="C26" s="34">
        <f>IF(C17=0,0,C17^(1-'Tech Parameters'!$B$5))</f>
        <v>0.19656134827672411</v>
      </c>
      <c r="D26" s="34">
        <f>IF(D17=0,0,D17^(1-'Tech Parameters'!$B$5))</f>
        <v>0.19656134827672411</v>
      </c>
      <c r="E26" s="34">
        <f>IF(E17=0,0,E17^(1-'Tech Parameters'!$B$5))</f>
        <v>0.19656134827672411</v>
      </c>
      <c r="F26" s="34">
        <f>IF(F17=0,0,F17^(1-'Tech Parameters'!$B$5))</f>
        <v>0.19808668189389955</v>
      </c>
      <c r="G26" s="34">
        <f>IF(G17=0,0,G17^(1-'Tech Parameters'!$B$5))</f>
        <v>0.19964808587251104</v>
      </c>
      <c r="H26" s="34">
        <f>IF(H17=0,0,H17^(1-'Tech Parameters'!$B$5))</f>
        <v>0.2012470046234012</v>
      </c>
      <c r="I26" s="34">
        <f>IF(I17=0,0,I17^(1-'Tech Parameters'!$B$5))</f>
        <v>0.20288496485299648</v>
      </c>
      <c r="J26" s="34">
        <f>IF(J17=0,0,J17^(1-'Tech Parameters'!$B$5))</f>
        <v>0.20288496485299648</v>
      </c>
      <c r="K26" s="34">
        <f>IF(K17=0,0,K17^(1-'Tech Parameters'!$B$5))</f>
        <v>0.20288496485299648</v>
      </c>
      <c r="L26" s="34">
        <f>IF(L17=0,0,L17^(1-'Tech Parameters'!$B$5))</f>
        <v>0.20288496485299648</v>
      </c>
      <c r="M26" s="34">
        <f>IF(M17=0,0,M17^(1-'Tech Parameters'!$B$5))</f>
        <v>0.20288496485299648</v>
      </c>
      <c r="N26" s="34">
        <f>IF(N17=0,0,N17^(1-'Tech Parameters'!$B$5))</f>
        <v>0.20288496485299648</v>
      </c>
    </row>
    <row r="27" spans="1:14" x14ac:dyDescent="0.45">
      <c r="C27" s="34">
        <f>IF(C18=0,0,C18^(1-'Tech Parameters'!$B$5))</f>
        <v>0</v>
      </c>
      <c r="D27" s="34">
        <f>IF(D18=0,0,D18^(1-'Tech Parameters'!$B$5))</f>
        <v>0</v>
      </c>
      <c r="E27" s="34">
        <f>IF(E18=0,0,E18^(1-'Tech Parameters'!$B$5))</f>
        <v>0</v>
      </c>
      <c r="F27" s="34">
        <f>IF(F18=0,0,F18^(1-'Tech Parameters'!$B$5))</f>
        <v>0</v>
      </c>
      <c r="G27" s="34">
        <f>IF(G18=0,0,G18^(1-'Tech Parameters'!$B$5))</f>
        <v>0</v>
      </c>
      <c r="H27" s="34">
        <f>IF(H18=0,0,H18^(1-'Tech Parameters'!$B$5))</f>
        <v>0</v>
      </c>
      <c r="I27" s="34">
        <f>IF(I18=0,0,I18^(1-'Tech Parameters'!$B$5))</f>
        <v>0</v>
      </c>
      <c r="J27" s="34">
        <f>IF(J18=0,0,J18^(1-'Tech Parameters'!$B$5))</f>
        <v>0</v>
      </c>
      <c r="K27" s="34">
        <f>IF(K18=0,0,K18^(1-'Tech Parameters'!$B$5))</f>
        <v>0</v>
      </c>
      <c r="L27" s="34">
        <f>IF(L18=0,0,L18^(1-'Tech Parameters'!$B$5))</f>
        <v>0</v>
      </c>
      <c r="M27" s="34">
        <f>IF(M18=0,0,M18^(1-'Tech Parameters'!$B$5))</f>
        <v>0</v>
      </c>
      <c r="N27" s="34">
        <f>IF(N18=0,0,N18^(1-'Tech Parameters'!$B$5))</f>
        <v>0</v>
      </c>
    </row>
    <row r="28" spans="1:14" x14ac:dyDescent="0.45">
      <c r="C28" s="34">
        <f>'Tech Parameters'!J11</f>
        <v>0</v>
      </c>
      <c r="D28" s="34">
        <f>'Tech Parameters'!J12</f>
        <v>5.5452865064695009E-3</v>
      </c>
      <c r="E28" s="34">
        <f>'Tech Parameters'!J13</f>
        <v>0.5406654343807763</v>
      </c>
      <c r="F28" s="34">
        <f>'Tech Parameters'!J14</f>
        <v>0.39279112754158962</v>
      </c>
      <c r="G28" s="34">
        <f>'Tech Parameters'!J15</f>
        <v>6.0998151571164512E-2</v>
      </c>
      <c r="H28" s="34">
        <f>'Tech Parameters'!J16</f>
        <v>0</v>
      </c>
    </row>
    <row r="29" spans="1:14" x14ac:dyDescent="0.45">
      <c r="A29" s="4" t="s">
        <v>106</v>
      </c>
      <c r="B29" s="7" t="s">
        <v>104</v>
      </c>
      <c r="C29" s="35">
        <f>(C28*C22+D28*C23+E28*C24+F28*C25+G28*C26+H28*C27)^(1/(1-'Tech Parameters'!$B$5))</f>
        <v>60.216235656119501</v>
      </c>
      <c r="D29" s="35">
        <f>(C28*D22+D28*D23+E28*D24+F28*D25+G28*D26+H28*D27)^(1/(1-'Tech Parameters'!$B$5))</f>
        <v>60.216235656119501</v>
      </c>
      <c r="E29" s="35">
        <f>(C28*E22+D28*E23+E28*E24+F28*E25+G28*E26+H28*E27)^(1/(1-'Tech Parameters'!$B$5))</f>
        <v>68.522198438770289</v>
      </c>
      <c r="F29" s="35">
        <f>(C28*F22+D28*F23+E28*F24+F28*F25+G28*F26+H28*F27)^(1/(1-'Tech Parameters'!$B$5))</f>
        <v>76.592314986400041</v>
      </c>
      <c r="G29" s="35">
        <f>(C28*G22+D28*G23+E28*G24+F28*G25+G28*G26+H28*G27)^(1/(1-'Tech Parameters'!$B$5))</f>
        <v>84.466880992189488</v>
      </c>
      <c r="H29" s="35">
        <f>(C28*H22+D28*H23+E28*H24+F28*H25+G28*H26+H28*H27)^(1/(1-'Tech Parameters'!$B$5))</f>
        <v>84.367511980460222</v>
      </c>
      <c r="I29" s="35">
        <f>(C28*I22+D28*I23+E28*I24+F28*I25+G28*I26+H28*I27)^(1/(1-'Tech Parameters'!$B$5))</f>
        <v>84.264514084625858</v>
      </c>
      <c r="J29" s="35">
        <f>(C28*J22+D28*J23+E28*J24+F28*J25+G28*J26+H28*J27)^(1/(1-'Tech Parameters'!$B$5))</f>
        <v>84.264514084625858</v>
      </c>
      <c r="K29" s="35">
        <f>(C28*K22+D28*K23+E28*K24+F28*K25+G28*K26+H28*K27)^(1/(1-'Tech Parameters'!$B$5))</f>
        <v>84.264514084625858</v>
      </c>
      <c r="L29" s="35">
        <f>(C28*L22+D28*L23+E28*L24+F28*L25+G28*L26+H28*L27)^(1/(1-'Tech Parameters'!$B$5))</f>
        <v>84.264514084625858</v>
      </c>
      <c r="M29" s="35">
        <f>(C28*M22+D28*M23+E28*M24+F28*M25+G28*M26+H28*M27)^(1/(1-'Tech Parameters'!$B$5))</f>
        <v>84.264514084625858</v>
      </c>
      <c r="N29" s="35">
        <f>(C28*N22+D28*N23+E28*N24+F28*N25+G28*N26+H28*N27)^(1/(1-'Tech Parameters'!$B$5))</f>
        <v>84.264514084625858</v>
      </c>
    </row>
    <row r="31" spans="1:14" x14ac:dyDescent="0.45">
      <c r="A31" s="13" t="s">
        <v>107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1:14" x14ac:dyDescent="0.45">
      <c r="A32" s="7" t="s">
        <v>15</v>
      </c>
      <c r="B32" s="7" t="s">
        <v>108</v>
      </c>
      <c r="C32" s="36">
        <f>'Tech Parameters'!D11</f>
        <v>0</v>
      </c>
      <c r="D32" s="36">
        <f>IF(OR(D13=0,C13=0),C41,C41*(D13/C13)^(-'Tech Parameters'!$B$5)*(D29/C29)^('Tech Parameters'!$B$5+'Tech Parameters'!$B$6))</f>
        <v>0</v>
      </c>
      <c r="E32" s="36">
        <f>IF(OR(E13=0,D13=0),D41,D41*(E13/D13)^(-'Tech Parameters'!$B$5)*(E29/D29)^('Tech Parameters'!$B$5+'Tech Parameters'!$B$6))</f>
        <v>0</v>
      </c>
      <c r="F32" s="36">
        <f>IF(OR(F13=0,E13=0),E41,E41*(F13/E13)^(-'Tech Parameters'!$B$5)*(F29/E29)^('Tech Parameters'!$B$5+'Tech Parameters'!$B$6))</f>
        <v>0</v>
      </c>
      <c r="G32" s="36">
        <f>IF(OR(G13=0,F13=0),F41,F41*(G13/F13)^(-'Tech Parameters'!$B$5)*(G29/F29)^('Tech Parameters'!$B$5+'Tech Parameters'!$B$6))</f>
        <v>0</v>
      </c>
      <c r="H32" s="36">
        <f>IF(OR(H13=0,G13=0),G41,G41*(H13/G13)^(-'Tech Parameters'!$B$5)*(H29/G29)^('Tech Parameters'!$B$5+'Tech Parameters'!$B$6))</f>
        <v>0</v>
      </c>
      <c r="I32" s="36">
        <f>IF(OR(I13=0,H13=0),H41,H41*(I13/H13)^(-'Tech Parameters'!$B$5)*(I29/H29)^('Tech Parameters'!$B$5+'Tech Parameters'!$B$6))</f>
        <v>0</v>
      </c>
      <c r="J32" s="36">
        <f>IF(OR(J13=0,I13=0),I41,I41*(J13/I13)^(-'Tech Parameters'!$B$5)*(J29/I29)^('Tech Parameters'!$B$5+'Tech Parameters'!$B$6))</f>
        <v>0</v>
      </c>
      <c r="K32" s="36">
        <f>IF(OR(K13=0,J13=0),J41,J41*(K13/J13)^(-'Tech Parameters'!$B$5)*(K29/J29)^('Tech Parameters'!$B$5+'Tech Parameters'!$B$6))</f>
        <v>0</v>
      </c>
      <c r="L32" s="36">
        <f>IF(OR(L13=0,K13=0),K41,K41*(L13/K13)^(-'Tech Parameters'!$B$5)*(L29/K29)^('Tech Parameters'!$B$5+'Tech Parameters'!$B$6))</f>
        <v>0</v>
      </c>
      <c r="M32" s="36">
        <f>IF(OR(M13=0,L13=0),L41,L41*(M13/L13)^(-'Tech Parameters'!$B$5)*(M29/L29)^('Tech Parameters'!$B$5+'Tech Parameters'!$B$6))</f>
        <v>0</v>
      </c>
      <c r="N32" s="36">
        <f>IF(OR(N13=0,M13=0),M41,M41*(N13/M13)^(-'Tech Parameters'!$B$5)*(N29/M29)^('Tech Parameters'!$B$5+'Tech Parameters'!$B$6))</f>
        <v>0</v>
      </c>
    </row>
    <row r="33" spans="1:14" x14ac:dyDescent="0.45">
      <c r="A33" s="7" t="s">
        <v>16</v>
      </c>
      <c r="B33" s="7" t="s">
        <v>108</v>
      </c>
      <c r="C33" s="36">
        <f>'Tech Parameters'!D12</f>
        <v>15</v>
      </c>
      <c r="D33" s="36">
        <f>IF(OR(D14=0,C14=0),C42,C42*(D14/C14)^(-'Tech Parameters'!$B$5)*(D29/C29)^('Tech Parameters'!$B$5+'Tech Parameters'!$B$6))</f>
        <v>15</v>
      </c>
      <c r="E33" s="36">
        <f>IF(OR(E14=0,D14=0),D42,D42*(E14/D14)^(-'Tech Parameters'!$B$5)*(E29/D29)^('Tech Parameters'!$B$5+'Tech Parameters'!$B$6))</f>
        <v>14.843870379034607</v>
      </c>
      <c r="F33" s="36">
        <f>IF(OR(F14=0,E14=0),E42,E42*(F14/E14)^(-'Tech Parameters'!$B$5)*(F29/E29)^('Tech Parameters'!$B$5+'Tech Parameters'!$B$6))</f>
        <v>14.876822197815924</v>
      </c>
      <c r="G33" s="36">
        <f>IF(OR(G14=0,F14=0),F42,F42*(G14/F14)^(-'Tech Parameters'!$B$5)*(G29/F29)^('Tech Parameters'!$B$5+'Tech Parameters'!$B$6))</f>
        <v>14.800179704542904</v>
      </c>
      <c r="H33" s="36">
        <f>IF(OR(H14=0,G14=0),G42,G42*(H14/G14)^(-'Tech Parameters'!$B$5)*(H29/G29)^('Tech Parameters'!$B$5+'Tech Parameters'!$B$6))</f>
        <v>15.037558824050041</v>
      </c>
      <c r="I33" s="36">
        <f>IF(OR(I14=0,H14=0),H42,H42*(I14/H14)^(-'Tech Parameters'!$B$5)*(I29/H29)^('Tech Parameters'!$B$5+'Tech Parameters'!$B$6))</f>
        <v>15.052541470908704</v>
      </c>
      <c r="J33" s="36">
        <f>IF(OR(J14=0,I14=0),I42,I42*(J14/I14)^(-'Tech Parameters'!$B$5)*(J29/I29)^('Tech Parameters'!$B$5+'Tech Parameters'!$B$6))</f>
        <v>14.967442365324469</v>
      </c>
      <c r="K33" s="36">
        <f>IF(OR(K14=0,J14=0),J42,J42*(K14/J14)^(-'Tech Parameters'!$B$5)*(K29/J29)^('Tech Parameters'!$B$5+'Tech Parameters'!$B$6))</f>
        <v>14.967442365324469</v>
      </c>
      <c r="L33" s="36">
        <f>IF(OR(L14=0,K14=0),K42,K42*(L14/K14)^(-'Tech Parameters'!$B$5)*(L29/K29)^('Tech Parameters'!$B$5+'Tech Parameters'!$B$6))</f>
        <v>14.967442365324469</v>
      </c>
      <c r="M33" s="36">
        <f>IF(OR(M14=0,L14=0),L42,L42*(M14/L14)^(-'Tech Parameters'!$B$5)*(M29/L29)^('Tech Parameters'!$B$5+'Tech Parameters'!$B$6))</f>
        <v>14.967442365324469</v>
      </c>
      <c r="N33" s="36">
        <f>IF(OR(N14=0,M14=0),M42,M42*(N14/M14)^(-'Tech Parameters'!$B$5)*(N29/M29)^('Tech Parameters'!$B$5+'Tech Parameters'!$B$6))</f>
        <v>14.967442365324469</v>
      </c>
    </row>
    <row r="34" spans="1:14" x14ac:dyDescent="0.45">
      <c r="A34" s="7" t="s">
        <v>17</v>
      </c>
      <c r="B34" s="7" t="s">
        <v>108</v>
      </c>
      <c r="C34" s="36">
        <f>'Tech Parameters'!D13</f>
        <v>650</v>
      </c>
      <c r="D34" s="36">
        <f>IF(OR(D15=0,C15=0),C43,C43*(D15/C15)^(-'Tech Parameters'!$B$5)*(D29/C29)^('Tech Parameters'!$B$5+'Tech Parameters'!$B$6))</f>
        <v>650</v>
      </c>
      <c r="E34" s="36">
        <f>IF(OR(E15=0,D15=0),D43,D43*(E15/D15)^(-'Tech Parameters'!$B$5)*(E29/D29)^('Tech Parameters'!$B$5+'Tech Parameters'!$B$6))</f>
        <v>610.3044759119839</v>
      </c>
      <c r="F34" s="36">
        <f>IF(OR(F15=0,E15=0),E43,E43*(F15/E15)^(-'Tech Parameters'!$B$5)*(F29/E29)^('Tech Parameters'!$B$5+'Tech Parameters'!$B$6))</f>
        <v>608.22497120200694</v>
      </c>
      <c r="G34" s="36">
        <f>IF(OR(G15=0,F15=0),F43,F43*(G15/F15)^(-'Tech Parameters'!$B$5)*(G29/F29)^('Tech Parameters'!$B$5+'Tech Parameters'!$B$6))</f>
        <v>606.40995377215768</v>
      </c>
      <c r="H34" s="36">
        <f>IF(OR(H15=0,G15=0),G43,G43*(H15/G15)^(-'Tech Parameters'!$B$5)*(H29/G29)^('Tech Parameters'!$B$5+'Tech Parameters'!$B$6))</f>
        <v>632.6698958030928</v>
      </c>
      <c r="I34" s="36">
        <f>IF(OR(I15=0,H15=0),H43,H43*(I15/H15)^(-'Tech Parameters'!$B$5)*(I29/H29)^('Tech Parameters'!$B$5+'Tech Parameters'!$B$6))</f>
        <v>632.46206247574537</v>
      </c>
      <c r="J34" s="36">
        <f>IF(OR(J15=0,I15=0),I43,I43*(J15/I15)^(-'Tech Parameters'!$B$5)*(J29/I29)^('Tech Parameters'!$B$5+'Tech Parameters'!$B$6))</f>
        <v>633.47918964158316</v>
      </c>
      <c r="K34" s="36">
        <f>IF(OR(K15=0,J15=0),J43,J43*(K15/J15)^(-'Tech Parameters'!$B$5)*(K29/J29)^('Tech Parameters'!$B$5+'Tech Parameters'!$B$6))</f>
        <v>633.47918964158316</v>
      </c>
      <c r="L34" s="36">
        <f>IF(OR(L15=0,K15=0),K43,K43*(L15/K15)^(-'Tech Parameters'!$B$5)*(L29/K29)^('Tech Parameters'!$B$5+'Tech Parameters'!$B$6))</f>
        <v>633.47918964158316</v>
      </c>
      <c r="M34" s="36">
        <f>IF(OR(M15=0,L15=0),L43,L43*(M15/L15)^(-'Tech Parameters'!$B$5)*(M29/L29)^('Tech Parameters'!$B$5+'Tech Parameters'!$B$6))</f>
        <v>633.47918964158316</v>
      </c>
      <c r="N34" s="36">
        <f>IF(OR(N15=0,M15=0),M43,M43*(N15/M15)^(-'Tech Parameters'!$B$5)*(N29/M29)^('Tech Parameters'!$B$5+'Tech Parameters'!$B$6))</f>
        <v>633.47918964158316</v>
      </c>
    </row>
    <row r="35" spans="1:14" x14ac:dyDescent="0.45">
      <c r="A35" s="7" t="s">
        <v>18</v>
      </c>
      <c r="B35" s="7" t="s">
        <v>108</v>
      </c>
      <c r="C35" s="36">
        <f>'Tech Parameters'!D14</f>
        <v>500</v>
      </c>
      <c r="D35" s="36">
        <f>IF(OR(D16=0,C16=0),C44,C44*(D16/C16)^(-'Tech Parameters'!$B$5)*(D29/C29)^('Tech Parameters'!$B$5+'Tech Parameters'!$B$6))</f>
        <v>500</v>
      </c>
      <c r="E35" s="36">
        <f>IF(OR(E16=0,D16=0),D44,D44*(E16/D16)^(-'Tech Parameters'!$B$5)*(E29/D29)^('Tech Parameters'!$B$5+'Tech Parameters'!$B$6))</f>
        <v>472.83469853536349</v>
      </c>
      <c r="F35" s="36">
        <f>IF(OR(F16=0,E16=0),E44,E44*(F16/E16)^(-'Tech Parameters'!$B$5)*(F29/E29)^('Tech Parameters'!$B$5+'Tech Parameters'!$B$6))</f>
        <v>470.10010198716503</v>
      </c>
      <c r="G35" s="36">
        <f>IF(OR(G16=0,F16=0),F44,F44*(G16/F16)^(-'Tech Parameters'!$B$5)*(G29/F29)^('Tech Parameters'!$B$5+'Tech Parameters'!$B$6))</f>
        <v>468.57687760347142</v>
      </c>
      <c r="H35" s="36">
        <f>IF(OR(H16=0,G16=0),G44,G44*(H16/G16)^(-'Tech Parameters'!$B$5)*(H29/G29)^('Tech Parameters'!$B$5+'Tech Parameters'!$B$6))</f>
        <v>486.88222915080161</v>
      </c>
      <c r="I35" s="36">
        <f>IF(OR(I16=0,H16=0),H44,H44*(I16/H16)^(-'Tech Parameters'!$B$5)*(I29/H29)^('Tech Parameters'!$B$5+'Tech Parameters'!$B$6))</f>
        <v>486.61115473061557</v>
      </c>
      <c r="J35" s="36">
        <f>IF(OR(J16=0,I16=0),I44,I44*(J16/I16)^(-'Tech Parameters'!$B$5)*(J29/I29)^('Tech Parameters'!$B$5+'Tech Parameters'!$B$6))</f>
        <v>488.03226673437473</v>
      </c>
      <c r="K35" s="36">
        <f>IF(OR(K16=0,J16=0),J44,J44*(K16/J16)^(-'Tech Parameters'!$B$5)*(K29/J29)^('Tech Parameters'!$B$5+'Tech Parameters'!$B$6))</f>
        <v>488.03226673437473</v>
      </c>
      <c r="L35" s="36">
        <f>IF(OR(L16=0,K16=0),K44,K44*(L16/K16)^(-'Tech Parameters'!$B$5)*(L29/K29)^('Tech Parameters'!$B$5+'Tech Parameters'!$B$6))</f>
        <v>488.03226673437473</v>
      </c>
      <c r="M35" s="36">
        <f>IF(OR(M16=0,L16=0),L44,L44*(M16/L16)^(-'Tech Parameters'!$B$5)*(M29/L29)^('Tech Parameters'!$B$5+'Tech Parameters'!$B$6))</f>
        <v>488.03226673437473</v>
      </c>
      <c r="N35" s="36">
        <f>IF(OR(N16=0,M16=0),M44,M44*(N16/M16)^(-'Tech Parameters'!$B$5)*(N29/M29)^('Tech Parameters'!$B$5+'Tech Parameters'!$B$6))</f>
        <v>488.03226673437473</v>
      </c>
    </row>
    <row r="36" spans="1:14" x14ac:dyDescent="0.45">
      <c r="A36" s="7" t="s">
        <v>19</v>
      </c>
      <c r="B36" s="7" t="s">
        <v>108</v>
      </c>
      <c r="C36" s="36">
        <f>'Tech Parameters'!D15</f>
        <v>60</v>
      </c>
      <c r="D36" s="36">
        <f>IF(OR(D17=0,C17=0),C45,C45*(D17/C17)^(-'Tech Parameters'!$B$5)*(D29/C29)^('Tech Parameters'!$B$5+'Tech Parameters'!$B$6))</f>
        <v>60</v>
      </c>
      <c r="E36" s="36">
        <f>IF(OR(E17=0,D17=0),D45,D45*(E17/D17)^(-'Tech Parameters'!$B$5)*(E29/D29)^('Tech Parameters'!$B$5+'Tech Parameters'!$B$6))</f>
        <v>70.063603982692584</v>
      </c>
      <c r="F36" s="36">
        <f>IF(OR(F17=0,E17=0),E45,E45*(F17/E17)^(-'Tech Parameters'!$B$5)*(F29/E29)^('Tech Parameters'!$B$5+'Tech Parameters'!$B$6))</f>
        <v>71.95129872893618</v>
      </c>
      <c r="G36" s="36">
        <f>IF(OR(G17=0,F17=0),F45,F45*(G17/F17)^(-'Tech Parameters'!$B$5)*(G29/F29)^('Tech Parameters'!$B$5+'Tech Parameters'!$B$6))</f>
        <v>72.626302047446529</v>
      </c>
      <c r="H36" s="36">
        <f>IF(OR(H17=0,G17=0),G45,G45*(H17/G17)^(-'Tech Parameters'!$B$5)*(H29/G29)^('Tech Parameters'!$B$5+'Tech Parameters'!$B$6))</f>
        <v>65.977444849558594</v>
      </c>
      <c r="I36" s="36">
        <f>IF(OR(I17=0,H17=0),H45,H45*(I17/H17)^(-'Tech Parameters'!$B$5)*(I29/H29)^('Tech Parameters'!$B$5+'Tech Parameters'!$B$6))</f>
        <v>66.224980239041557</v>
      </c>
      <c r="J36" s="36">
        <f>IF(OR(J17=0,I17=0),I45,I45*(J17/I17)^(-'Tech Parameters'!$B$5)*(J29/I29)^('Tech Parameters'!$B$5+'Tech Parameters'!$B$6))</f>
        <v>64.953175064826723</v>
      </c>
      <c r="K36" s="36">
        <f>IF(OR(K17=0,J17=0),J45,J45*(K17/J17)^(-'Tech Parameters'!$B$5)*(K29/J29)^('Tech Parameters'!$B$5+'Tech Parameters'!$B$6))</f>
        <v>64.953175064826723</v>
      </c>
      <c r="L36" s="36">
        <f>IF(OR(L17=0,K17=0),K45,K45*(L17/K17)^(-'Tech Parameters'!$B$5)*(L29/K29)^('Tech Parameters'!$B$5+'Tech Parameters'!$B$6))</f>
        <v>64.953175064826723</v>
      </c>
      <c r="M36" s="36">
        <f>IF(OR(M17=0,L17=0),L45,L45*(M17/L17)^(-'Tech Parameters'!$B$5)*(M29/L29)^('Tech Parameters'!$B$5+'Tech Parameters'!$B$6))</f>
        <v>64.953175064826723</v>
      </c>
      <c r="N36" s="36">
        <f>IF(OR(N17=0,M17=0),M45,M45*(N17/M17)^(-'Tech Parameters'!$B$5)*(N29/M29)^('Tech Parameters'!$B$5+'Tech Parameters'!$B$6))</f>
        <v>64.953175064826723</v>
      </c>
    </row>
    <row r="37" spans="1:14" x14ac:dyDescent="0.45">
      <c r="A37" s="7" t="s">
        <v>20</v>
      </c>
      <c r="B37" s="7" t="s">
        <v>108</v>
      </c>
      <c r="C37" s="36">
        <f>'Tech Parameters'!D16</f>
        <v>0</v>
      </c>
      <c r="D37" s="36">
        <f>IF(OR(D18=0,C18=0),C46,C46*(D18/C18)^(-'Tech Parameters'!$B$5)*(D29/C29)^('Tech Parameters'!$B$5+'Tech Parameters'!$B$6))</f>
        <v>0</v>
      </c>
      <c r="E37" s="36">
        <f>IF(OR(E18=0,D18=0),D46,D46*(E18/D18)^(-'Tech Parameters'!$B$5)*(E29/D29)^('Tech Parameters'!$B$5+'Tech Parameters'!$B$6))</f>
        <v>0</v>
      </c>
      <c r="F37" s="36">
        <f>IF(OR(F18=0,E18=0),E46,E46*(F18/E18)^(-'Tech Parameters'!$B$5)*(F29/E29)^('Tech Parameters'!$B$5+'Tech Parameters'!$B$6))</f>
        <v>0</v>
      </c>
      <c r="G37" s="36">
        <f>IF(OR(G18=0,F18=0),F46,F46*(G18/F18)^(-'Tech Parameters'!$B$5)*(G29/F29)^('Tech Parameters'!$B$5+'Tech Parameters'!$B$6))</f>
        <v>0</v>
      </c>
      <c r="H37" s="36">
        <f>IF(OR(H18=0,G18=0),G46,G46*(H18/G18)^(-'Tech Parameters'!$B$5)*(H29/G29)^('Tech Parameters'!$B$5+'Tech Parameters'!$B$6))</f>
        <v>0</v>
      </c>
      <c r="I37" s="36">
        <f>IF(OR(I18=0,H18=0),H46,H46*(I18/H18)^(-'Tech Parameters'!$B$5)*(I29/H29)^('Tech Parameters'!$B$5+'Tech Parameters'!$B$6))</f>
        <v>0</v>
      </c>
      <c r="J37" s="36">
        <f>IF(OR(J18=0,I18=0),I46,I46*(J18/I18)^(-'Tech Parameters'!$B$5)*(J29/I29)^('Tech Parameters'!$B$5+'Tech Parameters'!$B$6))</f>
        <v>0</v>
      </c>
      <c r="K37" s="36">
        <f>IF(OR(K18=0,J18=0),J46,J46*(K18/J18)^(-'Tech Parameters'!$B$5)*(K29/J29)^('Tech Parameters'!$B$5+'Tech Parameters'!$B$6))</f>
        <v>0</v>
      </c>
      <c r="L37" s="36">
        <f>IF(OR(L18=0,K18=0),K46,K46*(L18/K18)^(-'Tech Parameters'!$B$5)*(L29/K29)^('Tech Parameters'!$B$5+'Tech Parameters'!$B$6))</f>
        <v>0</v>
      </c>
      <c r="M37" s="36">
        <f>IF(OR(M18=0,L18=0),L46,L46*(M18/L18)^(-'Tech Parameters'!$B$5)*(M29/L29)^('Tech Parameters'!$B$5+'Tech Parameters'!$B$6))</f>
        <v>0</v>
      </c>
      <c r="N37" s="36">
        <f>IF(OR(N18=0,M18=0),M46,M46*(N18/M18)^(-'Tech Parameters'!$B$5)*(N29/M29)^('Tech Parameters'!$B$5+'Tech Parameters'!$B$6))</f>
        <v>0</v>
      </c>
    </row>
    <row r="39" spans="1:14" x14ac:dyDescent="0.45">
      <c r="A39" s="13" t="s">
        <v>109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1" spans="1:14" x14ac:dyDescent="0.45">
      <c r="A41" s="7" t="s">
        <v>15</v>
      </c>
      <c r="B41" s="7" t="s">
        <v>108</v>
      </c>
      <c r="C41" s="37">
        <f t="shared" ref="C41:C46" si="0">C32</f>
        <v>0</v>
      </c>
      <c r="D41" s="37">
        <f>C41+'Tech Parameters'!$B$7*(D32-C41)</f>
        <v>0</v>
      </c>
      <c r="E41" s="37">
        <f>D41+'Tech Parameters'!$B$7*(E32-D41)</f>
        <v>0</v>
      </c>
      <c r="F41" s="37">
        <f>E41+'Tech Parameters'!$B$7*(F32-E41)</f>
        <v>0</v>
      </c>
      <c r="G41" s="37">
        <f>F41+'Tech Parameters'!$B$7*(G32-F41)</f>
        <v>0</v>
      </c>
      <c r="H41" s="37">
        <f>G41+'Tech Parameters'!$B$7*(H32-G41)</f>
        <v>0</v>
      </c>
      <c r="I41" s="37">
        <f>H41+'Tech Parameters'!$B$7*(I32-H41)</f>
        <v>0</v>
      </c>
      <c r="J41" s="37">
        <f>I41+'Tech Parameters'!$B$7*(J32-I41)</f>
        <v>0</v>
      </c>
      <c r="K41" s="37">
        <f>J41+'Tech Parameters'!$B$7*(K32-J41)</f>
        <v>0</v>
      </c>
      <c r="L41" s="37">
        <f>K41+'Tech Parameters'!$B$7*(L32-K41)</f>
        <v>0</v>
      </c>
      <c r="M41" s="37">
        <f>L41+'Tech Parameters'!$B$7*(M32-L41)</f>
        <v>0</v>
      </c>
      <c r="N41" s="37">
        <f>M41+'Tech Parameters'!$B$7*(N32-M41)</f>
        <v>0</v>
      </c>
    </row>
    <row r="42" spans="1:14" x14ac:dyDescent="0.45">
      <c r="A42" s="7" t="s">
        <v>16</v>
      </c>
      <c r="B42" s="7" t="s">
        <v>108</v>
      </c>
      <c r="C42" s="37">
        <f t="shared" si="0"/>
        <v>15</v>
      </c>
      <c r="D42" s="37">
        <f>C42+'Tech Parameters'!$B$7*(D33-C42)</f>
        <v>15</v>
      </c>
      <c r="E42" s="37">
        <f>D42+'Tech Parameters'!$B$7*(E33-D42)</f>
        <v>14.976580556855192</v>
      </c>
      <c r="F42" s="37">
        <f>E42+'Tech Parameters'!$B$7*(F33-E42)</f>
        <v>14.961616802999302</v>
      </c>
      <c r="G42" s="37">
        <f>F42+'Tech Parameters'!$B$7*(G33-F42)</f>
        <v>14.937401238230843</v>
      </c>
      <c r="H42" s="37">
        <f>G42+'Tech Parameters'!$B$7*(H33-G42)</f>
        <v>14.952424876103722</v>
      </c>
      <c r="I42" s="37">
        <f>H42+'Tech Parameters'!$B$7*(I33-H42)</f>
        <v>14.967442365324469</v>
      </c>
      <c r="J42" s="37">
        <f>I42+'Tech Parameters'!$B$7*(J33-I42)</f>
        <v>14.967442365324469</v>
      </c>
      <c r="K42" s="37">
        <f>J42+'Tech Parameters'!$B$7*(K33-J42)</f>
        <v>14.967442365324469</v>
      </c>
      <c r="L42" s="37">
        <f>K42+'Tech Parameters'!$B$7*(L33-K42)</f>
        <v>14.967442365324469</v>
      </c>
      <c r="M42" s="37">
        <f>L42+'Tech Parameters'!$B$7*(M33-L42)</f>
        <v>14.967442365324469</v>
      </c>
      <c r="N42" s="37">
        <f>M42+'Tech Parameters'!$B$7*(N33-M42)</f>
        <v>14.967442365324469</v>
      </c>
    </row>
    <row r="43" spans="1:14" x14ac:dyDescent="0.45">
      <c r="A43" s="7" t="s">
        <v>17</v>
      </c>
      <c r="B43" s="7" t="s">
        <v>108</v>
      </c>
      <c r="C43" s="37">
        <f t="shared" si="0"/>
        <v>650</v>
      </c>
      <c r="D43" s="37">
        <f>C43+'Tech Parameters'!$B$7*(D34-C43)</f>
        <v>650</v>
      </c>
      <c r="E43" s="37">
        <f>D43+'Tech Parameters'!$B$7*(E34-D43)</f>
        <v>644.04567138679761</v>
      </c>
      <c r="F43" s="37">
        <f>E43+'Tech Parameters'!$B$7*(F34-E43)</f>
        <v>638.67256635907904</v>
      </c>
      <c r="G43" s="37">
        <f>F43+'Tech Parameters'!$B$7*(G34-F43)</f>
        <v>633.83317447104082</v>
      </c>
      <c r="H43" s="37">
        <f>G43+'Tech Parameters'!$B$7*(H34-G43)</f>
        <v>633.65868267084863</v>
      </c>
      <c r="I43" s="37">
        <f>H43+'Tech Parameters'!$B$7*(I34-H43)</f>
        <v>633.47918964158316</v>
      </c>
      <c r="J43" s="37">
        <f>I43+'Tech Parameters'!$B$7*(J34-I43)</f>
        <v>633.47918964158316</v>
      </c>
      <c r="K43" s="37">
        <f>J43+'Tech Parameters'!$B$7*(K34-J43)</f>
        <v>633.47918964158316</v>
      </c>
      <c r="L43" s="37">
        <f>K43+'Tech Parameters'!$B$7*(L34-K43)</f>
        <v>633.47918964158316</v>
      </c>
      <c r="M43" s="37">
        <f>L43+'Tech Parameters'!$B$7*(M34-L43)</f>
        <v>633.47918964158316</v>
      </c>
      <c r="N43" s="37">
        <f>M43+'Tech Parameters'!$B$7*(N34-M43)</f>
        <v>633.47918964158316</v>
      </c>
    </row>
    <row r="44" spans="1:14" x14ac:dyDescent="0.45">
      <c r="A44" s="7" t="s">
        <v>18</v>
      </c>
      <c r="B44" s="7" t="s">
        <v>108</v>
      </c>
      <c r="C44" s="37">
        <f t="shared" si="0"/>
        <v>500</v>
      </c>
      <c r="D44" s="37">
        <f>C44+'Tech Parameters'!$B$7*(D35-C44)</f>
        <v>500</v>
      </c>
      <c r="E44" s="37">
        <f>D44+'Tech Parameters'!$B$7*(E35-D44)</f>
        <v>495.92520478030451</v>
      </c>
      <c r="F44" s="37">
        <f>E44+'Tech Parameters'!$B$7*(F35-E44)</f>
        <v>492.05143936133356</v>
      </c>
      <c r="G44" s="37">
        <f>F44+'Tech Parameters'!$B$7*(G35-F44)</f>
        <v>488.53025509765422</v>
      </c>
      <c r="H44" s="37">
        <f>G44+'Tech Parameters'!$B$7*(H35-G44)</f>
        <v>488.28305120562635</v>
      </c>
      <c r="I44" s="37">
        <f>H44+'Tech Parameters'!$B$7*(I35-H44)</f>
        <v>488.03226673437473</v>
      </c>
      <c r="J44" s="37">
        <f>I44+'Tech Parameters'!$B$7*(J35-I44)</f>
        <v>488.03226673437473</v>
      </c>
      <c r="K44" s="37">
        <f>J44+'Tech Parameters'!$B$7*(K35-J44)</f>
        <v>488.03226673437473</v>
      </c>
      <c r="L44" s="37">
        <f>K44+'Tech Parameters'!$B$7*(L35-K44)</f>
        <v>488.03226673437473</v>
      </c>
      <c r="M44" s="37">
        <f>L44+'Tech Parameters'!$B$7*(M35-L44)</f>
        <v>488.03226673437473</v>
      </c>
      <c r="N44" s="37">
        <f>M44+'Tech Parameters'!$B$7*(N35-M44)</f>
        <v>488.03226673437473</v>
      </c>
    </row>
    <row r="45" spans="1:14" x14ac:dyDescent="0.45">
      <c r="A45" s="7" t="s">
        <v>19</v>
      </c>
      <c r="B45" s="7" t="s">
        <v>108</v>
      </c>
      <c r="C45" s="37">
        <f t="shared" si="0"/>
        <v>60</v>
      </c>
      <c r="D45" s="37">
        <f>C45+'Tech Parameters'!$B$7*(D36-C45)</f>
        <v>60</v>
      </c>
      <c r="E45" s="37">
        <f>D45+'Tech Parameters'!$B$7*(E36-D45)</f>
        <v>61.509540597403884</v>
      </c>
      <c r="F45" s="37">
        <f>E45+'Tech Parameters'!$B$7*(F36-E45)</f>
        <v>63.075804317133731</v>
      </c>
      <c r="G45" s="37">
        <f>F45+'Tech Parameters'!$B$7*(G36-F45)</f>
        <v>64.508378976680646</v>
      </c>
      <c r="H45" s="37">
        <f>G45+'Tech Parameters'!$B$7*(H36-G45)</f>
        <v>64.728738857612342</v>
      </c>
      <c r="I45" s="37">
        <f>H45+'Tech Parameters'!$B$7*(I36-H45)</f>
        <v>64.953175064826723</v>
      </c>
      <c r="J45" s="37">
        <f>I45+'Tech Parameters'!$B$7*(J36-I45)</f>
        <v>64.953175064826723</v>
      </c>
      <c r="K45" s="37">
        <f>J45+'Tech Parameters'!$B$7*(K36-J45)</f>
        <v>64.953175064826723</v>
      </c>
      <c r="L45" s="37">
        <f>K45+'Tech Parameters'!$B$7*(L36-K45)</f>
        <v>64.953175064826723</v>
      </c>
      <c r="M45" s="37">
        <f>L45+'Tech Parameters'!$B$7*(M36-L45)</f>
        <v>64.953175064826723</v>
      </c>
      <c r="N45" s="37">
        <f>M45+'Tech Parameters'!$B$7*(N36-M45)</f>
        <v>64.953175064826723</v>
      </c>
    </row>
    <row r="46" spans="1:14" x14ac:dyDescent="0.45">
      <c r="A46" s="7" t="s">
        <v>20</v>
      </c>
      <c r="B46" s="7" t="s">
        <v>108</v>
      </c>
      <c r="C46" s="37">
        <f t="shared" si="0"/>
        <v>0</v>
      </c>
      <c r="D46" s="37">
        <f>C46+'Tech Parameters'!$B$7*(D37-C46)</f>
        <v>0</v>
      </c>
      <c r="E46" s="37">
        <f>D46+'Tech Parameters'!$B$7*(E37-D46)</f>
        <v>0</v>
      </c>
      <c r="F46" s="37">
        <f>E46+'Tech Parameters'!$B$7*(F37-E46)</f>
        <v>0</v>
      </c>
      <c r="G46" s="37">
        <f>F46+'Tech Parameters'!$B$7*(G37-F46)</f>
        <v>0</v>
      </c>
      <c r="H46" s="37">
        <f>G46+'Tech Parameters'!$B$7*(H37-G46)</f>
        <v>0</v>
      </c>
      <c r="I46" s="37">
        <f>H46+'Tech Parameters'!$B$7*(I37-H46)</f>
        <v>0</v>
      </c>
      <c r="J46" s="37">
        <f>I46+'Tech Parameters'!$B$7*(J37-I46)</f>
        <v>0</v>
      </c>
      <c r="K46" s="37">
        <f>J46+'Tech Parameters'!$B$7*(K37-J46)</f>
        <v>0</v>
      </c>
      <c r="L46" s="37">
        <f>K46+'Tech Parameters'!$B$7*(L37-K46)</f>
        <v>0</v>
      </c>
      <c r="M46" s="37">
        <f>L46+'Tech Parameters'!$B$7*(M37-L46)</f>
        <v>0</v>
      </c>
      <c r="N46" s="37">
        <f>M46+'Tech Parameters'!$B$7*(N37-M46)</f>
        <v>0</v>
      </c>
    </row>
    <row r="48" spans="1:14" x14ac:dyDescent="0.45">
      <c r="A48" s="13" t="s">
        <v>110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4" x14ac:dyDescent="0.45">
      <c r="A49" s="7" t="s">
        <v>15</v>
      </c>
      <c r="B49" s="7" t="s">
        <v>111</v>
      </c>
      <c r="C49" s="28">
        <f>C41*'Tech Parameters'!C11</f>
        <v>0</v>
      </c>
      <c r="D49" s="28">
        <f>D41*'Tech Parameters'!C11</f>
        <v>0</v>
      </c>
      <c r="E49" s="28">
        <f>E41*'Tech Parameters'!C11</f>
        <v>0</v>
      </c>
      <c r="F49" s="28">
        <f>F41*'Tech Parameters'!C11</f>
        <v>0</v>
      </c>
      <c r="G49" s="28">
        <f>G41*'Tech Parameters'!C11</f>
        <v>0</v>
      </c>
      <c r="H49" s="28">
        <f>H41*'Tech Parameters'!C11</f>
        <v>0</v>
      </c>
      <c r="I49" s="28">
        <f>I41*'Tech Parameters'!C11</f>
        <v>0</v>
      </c>
      <c r="J49" s="28">
        <f>J41*'Tech Parameters'!C11</f>
        <v>0</v>
      </c>
      <c r="K49" s="28">
        <f>K41*'Tech Parameters'!C11</f>
        <v>0</v>
      </c>
      <c r="L49" s="28">
        <f>L41*'Tech Parameters'!C11</f>
        <v>0</v>
      </c>
      <c r="M49" s="28">
        <f>M41*'Tech Parameters'!C11</f>
        <v>0</v>
      </c>
      <c r="N49" s="28">
        <f>N41*'Tech Parameters'!C11</f>
        <v>0</v>
      </c>
    </row>
    <row r="50" spans="1:14" x14ac:dyDescent="0.45">
      <c r="A50" s="7" t="s">
        <v>16</v>
      </c>
      <c r="B50" s="7" t="s">
        <v>111</v>
      </c>
      <c r="C50" s="28">
        <f>C42*'Tech Parameters'!C12</f>
        <v>0.84</v>
      </c>
      <c r="D50" s="28">
        <f>D42*'Tech Parameters'!C12</f>
        <v>0.84</v>
      </c>
      <c r="E50" s="28">
        <f>E42*'Tech Parameters'!C12</f>
        <v>0.83868851118389076</v>
      </c>
      <c r="F50" s="28">
        <f>F42*'Tech Parameters'!C12</f>
        <v>0.83785054096796097</v>
      </c>
      <c r="G50" s="28">
        <f>G42*'Tech Parameters'!C12</f>
        <v>0.83649446934092719</v>
      </c>
      <c r="H50" s="28">
        <f>H42*'Tech Parameters'!C12</f>
        <v>0.83733579306180839</v>
      </c>
      <c r="I50" s="28">
        <f>I42*'Tech Parameters'!C12</f>
        <v>0.83817677245817035</v>
      </c>
      <c r="J50" s="28">
        <f>J42*'Tech Parameters'!C12</f>
        <v>0.83817677245817035</v>
      </c>
      <c r="K50" s="28">
        <f>K42*'Tech Parameters'!C12</f>
        <v>0.83817677245817035</v>
      </c>
      <c r="L50" s="28">
        <f>L42*'Tech Parameters'!C12</f>
        <v>0.83817677245817035</v>
      </c>
      <c r="M50" s="28">
        <f>M42*'Tech Parameters'!C12</f>
        <v>0.83817677245817035</v>
      </c>
      <c r="N50" s="28">
        <f>N42*'Tech Parameters'!C12</f>
        <v>0.83817677245817035</v>
      </c>
    </row>
    <row r="51" spans="1:14" x14ac:dyDescent="0.45">
      <c r="A51" s="7" t="s">
        <v>17</v>
      </c>
      <c r="B51" s="7" t="s">
        <v>111</v>
      </c>
      <c r="C51" s="28">
        <f>C43*'Tech Parameters'!C13</f>
        <v>44.85</v>
      </c>
      <c r="D51" s="28">
        <f>D43*'Tech Parameters'!C13</f>
        <v>44.85</v>
      </c>
      <c r="E51" s="28">
        <f>E43*'Tech Parameters'!C13</f>
        <v>44.439151325689039</v>
      </c>
      <c r="F51" s="28">
        <f>F43*'Tech Parameters'!C13</f>
        <v>44.06840707877646</v>
      </c>
      <c r="G51" s="28">
        <f>G43*'Tech Parameters'!C13</f>
        <v>43.73448903850182</v>
      </c>
      <c r="H51" s="28">
        <f>H43*'Tech Parameters'!C13</f>
        <v>43.722449104288557</v>
      </c>
      <c r="I51" s="28">
        <f>I43*'Tech Parameters'!C13</f>
        <v>43.710064085269245</v>
      </c>
      <c r="J51" s="28">
        <f>J43*'Tech Parameters'!C13</f>
        <v>43.710064085269245</v>
      </c>
      <c r="K51" s="28">
        <f>K43*'Tech Parameters'!C13</f>
        <v>43.710064085269245</v>
      </c>
      <c r="L51" s="28">
        <f>L43*'Tech Parameters'!C13</f>
        <v>43.710064085269245</v>
      </c>
      <c r="M51" s="28">
        <f>M43*'Tech Parameters'!C13</f>
        <v>43.710064085269245</v>
      </c>
      <c r="N51" s="28">
        <f>N43*'Tech Parameters'!C13</f>
        <v>43.710064085269245</v>
      </c>
    </row>
    <row r="52" spans="1:14" x14ac:dyDescent="0.45">
      <c r="A52" s="7" t="s">
        <v>18</v>
      </c>
      <c r="B52" s="7" t="s">
        <v>111</v>
      </c>
      <c r="C52" s="28">
        <f>C44*'Tech Parameters'!C14</f>
        <v>37</v>
      </c>
      <c r="D52" s="28">
        <f>D44*'Tech Parameters'!C14</f>
        <v>37</v>
      </c>
      <c r="E52" s="28">
        <f>E44*'Tech Parameters'!C14</f>
        <v>36.698465153742532</v>
      </c>
      <c r="F52" s="28">
        <f>F44*'Tech Parameters'!C14</f>
        <v>36.411806512738679</v>
      </c>
      <c r="G52" s="28">
        <f>G44*'Tech Parameters'!C14</f>
        <v>36.151238877226412</v>
      </c>
      <c r="H52" s="28">
        <f>H44*'Tech Parameters'!C14</f>
        <v>36.13294578921635</v>
      </c>
      <c r="I52" s="28">
        <f>I44*'Tech Parameters'!C14</f>
        <v>36.11438773834373</v>
      </c>
      <c r="J52" s="28">
        <f>J44*'Tech Parameters'!C14</f>
        <v>36.11438773834373</v>
      </c>
      <c r="K52" s="28">
        <f>K44*'Tech Parameters'!C14</f>
        <v>36.11438773834373</v>
      </c>
      <c r="L52" s="28">
        <f>L44*'Tech Parameters'!C14</f>
        <v>36.11438773834373</v>
      </c>
      <c r="M52" s="28">
        <f>M44*'Tech Parameters'!C14</f>
        <v>36.11438773834373</v>
      </c>
      <c r="N52" s="28">
        <f>N44*'Tech Parameters'!C14</f>
        <v>36.11438773834373</v>
      </c>
    </row>
    <row r="53" spans="1:14" x14ac:dyDescent="0.45">
      <c r="A53" s="7" t="s">
        <v>19</v>
      </c>
      <c r="B53" s="7" t="s">
        <v>111</v>
      </c>
      <c r="C53" s="28">
        <f>C45*'Tech Parameters'!C15</f>
        <v>0</v>
      </c>
      <c r="D53" s="28">
        <f>D45*'Tech Parameters'!C15</f>
        <v>0</v>
      </c>
      <c r="E53" s="28">
        <f>E45*'Tech Parameters'!C15</f>
        <v>0</v>
      </c>
      <c r="F53" s="28">
        <f>F45*'Tech Parameters'!C15</f>
        <v>0</v>
      </c>
      <c r="G53" s="28">
        <f>G45*'Tech Parameters'!C15</f>
        <v>0</v>
      </c>
      <c r="H53" s="28">
        <f>H45*'Tech Parameters'!C15</f>
        <v>0</v>
      </c>
      <c r="I53" s="28">
        <f>I45*'Tech Parameters'!C15</f>
        <v>0</v>
      </c>
      <c r="J53" s="28">
        <f>J45*'Tech Parameters'!C15</f>
        <v>0</v>
      </c>
      <c r="K53" s="28">
        <f>K45*'Tech Parameters'!C15</f>
        <v>0</v>
      </c>
      <c r="L53" s="28">
        <f>L45*'Tech Parameters'!C15</f>
        <v>0</v>
      </c>
      <c r="M53" s="28">
        <f>M45*'Tech Parameters'!C15</f>
        <v>0</v>
      </c>
      <c r="N53" s="28">
        <f>N45*'Tech Parameters'!C15</f>
        <v>0</v>
      </c>
    </row>
    <row r="54" spans="1:14" x14ac:dyDescent="0.45">
      <c r="A54" s="7" t="s">
        <v>20</v>
      </c>
      <c r="B54" s="7" t="s">
        <v>111</v>
      </c>
      <c r="C54" s="28">
        <f>C46*'Tech Parameters'!C16</f>
        <v>0</v>
      </c>
      <c r="D54" s="28">
        <f>D46*'Tech Parameters'!C16</f>
        <v>0</v>
      </c>
      <c r="E54" s="28">
        <f>E46*'Tech Parameters'!C16</f>
        <v>0</v>
      </c>
      <c r="F54" s="28">
        <f>F46*'Tech Parameters'!C16</f>
        <v>0</v>
      </c>
      <c r="G54" s="28">
        <f>G46*'Tech Parameters'!C16</f>
        <v>0</v>
      </c>
      <c r="H54" s="28">
        <f>H46*'Tech Parameters'!C16</f>
        <v>0</v>
      </c>
      <c r="I54" s="28">
        <f>I46*'Tech Parameters'!C16</f>
        <v>0</v>
      </c>
      <c r="J54" s="28">
        <f>J46*'Tech Parameters'!C16</f>
        <v>0</v>
      </c>
      <c r="K54" s="28">
        <f>K46*'Tech Parameters'!C16</f>
        <v>0</v>
      </c>
      <c r="L54" s="28">
        <f>L46*'Tech Parameters'!C16</f>
        <v>0</v>
      </c>
      <c r="M54" s="28">
        <f>M46*'Tech Parameters'!C16</f>
        <v>0</v>
      </c>
      <c r="N54" s="28">
        <f>N46*'Tech Parameters'!C16</f>
        <v>0</v>
      </c>
    </row>
    <row r="55" spans="1:14" x14ac:dyDescent="0.45">
      <c r="A55" s="4" t="s">
        <v>112</v>
      </c>
      <c r="B55" s="4" t="s">
        <v>111</v>
      </c>
      <c r="C55" s="27">
        <f t="shared" ref="C55:N55" si="1">SUM(C49:C54)</f>
        <v>82.69</v>
      </c>
      <c r="D55" s="27">
        <f t="shared" si="1"/>
        <v>82.69</v>
      </c>
      <c r="E55" s="27">
        <f t="shared" si="1"/>
        <v>81.976304990615461</v>
      </c>
      <c r="F55" s="27">
        <f t="shared" si="1"/>
        <v>81.318064132483102</v>
      </c>
      <c r="G55" s="27">
        <f t="shared" si="1"/>
        <v>80.722222385069159</v>
      </c>
      <c r="H55" s="27">
        <f t="shared" si="1"/>
        <v>80.692730686566719</v>
      </c>
      <c r="I55" s="27">
        <f t="shared" si="1"/>
        <v>80.662628596071144</v>
      </c>
      <c r="J55" s="27">
        <f t="shared" si="1"/>
        <v>80.662628596071144</v>
      </c>
      <c r="K55" s="27">
        <f t="shared" si="1"/>
        <v>80.662628596071144</v>
      </c>
      <c r="L55" s="27">
        <f t="shared" si="1"/>
        <v>80.662628596071144</v>
      </c>
      <c r="M55" s="27">
        <f t="shared" si="1"/>
        <v>80.662628596071144</v>
      </c>
      <c r="N55" s="27">
        <f t="shared" si="1"/>
        <v>80.662628596071144</v>
      </c>
    </row>
    <row r="56" spans="1:14" x14ac:dyDescent="0.45">
      <c r="A56" s="4" t="s">
        <v>113</v>
      </c>
      <c r="B56" s="4" t="s">
        <v>108</v>
      </c>
      <c r="C56" s="37">
        <f t="shared" ref="C56:N56" si="2">SUM(C41:C46)</f>
        <v>1225</v>
      </c>
      <c r="D56" s="37">
        <f t="shared" si="2"/>
        <v>1225</v>
      </c>
      <c r="E56" s="37">
        <f t="shared" si="2"/>
        <v>1216.4569973213611</v>
      </c>
      <c r="F56" s="37">
        <f t="shared" si="2"/>
        <v>1208.7614268405457</v>
      </c>
      <c r="G56" s="37">
        <f t="shared" si="2"/>
        <v>1201.8092097836065</v>
      </c>
      <c r="H56" s="37">
        <f t="shared" si="2"/>
        <v>1201.6228976101911</v>
      </c>
      <c r="I56" s="37">
        <f t="shared" si="2"/>
        <v>1201.4320738061092</v>
      </c>
      <c r="J56" s="37">
        <f t="shared" si="2"/>
        <v>1201.4320738061092</v>
      </c>
      <c r="K56" s="37">
        <f t="shared" si="2"/>
        <v>1201.4320738061092</v>
      </c>
      <c r="L56" s="37">
        <f t="shared" si="2"/>
        <v>1201.4320738061092</v>
      </c>
      <c r="M56" s="37">
        <f t="shared" si="2"/>
        <v>1201.4320738061092</v>
      </c>
      <c r="N56" s="37">
        <f t="shared" si="2"/>
        <v>1201.4320738061092</v>
      </c>
    </row>
    <row r="59" spans="1:14" x14ac:dyDescent="0.45">
      <c r="A59" s="13" t="s">
        <v>114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4" x14ac:dyDescent="0.45">
      <c r="A60" s="7" t="s">
        <v>15</v>
      </c>
      <c r="B60" s="7" t="s">
        <v>102</v>
      </c>
      <c r="C60" s="28">
        <f>Baseline!C60+Dashboard!B21*'Tech Parameters'!C24+Dashboard!B23*('Tech Parameters'!C24-('Tech Parameters'!H24*'Tech Parameters'!C24+'Tech Parameters'!H25*'Tech Parameters'!C25+'Tech Parameters'!H26*'Tech Parameters'!C26+'Tech Parameters'!H27*'Tech Parameters'!C27+'Tech Parameters'!H28*'Tech Parameters'!C28+'Tech Parameters'!H29*'Tech Parameters'!C29))+Dashboard!B32</f>
        <v>3</v>
      </c>
      <c r="D60" s="28">
        <f>Baseline!D60+Dashboard!C21*'Tech Parameters'!C24+Dashboard!C23*('Tech Parameters'!C24-('Tech Parameters'!H24*'Tech Parameters'!C24+'Tech Parameters'!H25*'Tech Parameters'!C25+'Tech Parameters'!H26*'Tech Parameters'!C26+'Tech Parameters'!H27*'Tech Parameters'!C27+'Tech Parameters'!H28*'Tech Parameters'!C28+'Tech Parameters'!H29*'Tech Parameters'!C29))+Dashboard!C32</f>
        <v>3</v>
      </c>
      <c r="E60" s="28">
        <f>Baseline!E60+Dashboard!D21*'Tech Parameters'!C24+Dashboard!D23*('Tech Parameters'!C24-('Tech Parameters'!H24*'Tech Parameters'!C24+'Tech Parameters'!H25*'Tech Parameters'!C25+'Tech Parameters'!H26*'Tech Parameters'!C26+'Tech Parameters'!H27*'Tech Parameters'!C27+'Tech Parameters'!H28*'Tech Parameters'!C28+'Tech Parameters'!H29*'Tech Parameters'!C29))+Dashboard!D32</f>
        <v>4.5833333333333339</v>
      </c>
      <c r="F60" s="28">
        <f>Baseline!F60+Dashboard!E21*'Tech Parameters'!C24+Dashboard!E23*('Tech Parameters'!C24-('Tech Parameters'!H24*'Tech Parameters'!C24+'Tech Parameters'!H25*'Tech Parameters'!C25+'Tech Parameters'!H26*'Tech Parameters'!C26+'Tech Parameters'!H27*'Tech Parameters'!C27+'Tech Parameters'!H28*'Tech Parameters'!C28+'Tech Parameters'!H29*'Tech Parameters'!C29))+Dashboard!E32</f>
        <v>6.2744290123456796</v>
      </c>
      <c r="G60" s="28">
        <f>Baseline!G60+Dashboard!F21*'Tech Parameters'!C24+Dashboard!F23*('Tech Parameters'!C24-('Tech Parameters'!H24*'Tech Parameters'!C24+'Tech Parameters'!H25*'Tech Parameters'!C25+'Tech Parameters'!H26*'Tech Parameters'!C26+'Tech Parameters'!H27*'Tech Parameters'!C27+'Tech Parameters'!H28*'Tech Parameters'!C28+'Tech Parameters'!H29*'Tech Parameters'!C29))+Dashboard!F32</f>
        <v>7.9655246913580244</v>
      </c>
      <c r="H60" s="28">
        <f>Baseline!H60+Dashboard!G21*'Tech Parameters'!C24+Dashboard!G23*('Tech Parameters'!C24-('Tech Parameters'!H24*'Tech Parameters'!C24+'Tech Parameters'!H25*'Tech Parameters'!C25+'Tech Parameters'!H26*'Tech Parameters'!C26+'Tech Parameters'!H27*'Tech Parameters'!C27+'Tech Parameters'!H28*'Tech Parameters'!C28+'Tech Parameters'!H29*'Tech Parameters'!C29))+Dashboard!G32</f>
        <v>8.0732870370370371</v>
      </c>
      <c r="I60" s="28">
        <f>Baseline!I60+Dashboard!H21*'Tech Parameters'!C24+Dashboard!H23*('Tech Parameters'!C24-('Tech Parameters'!H24*'Tech Parameters'!C24+'Tech Parameters'!H25*'Tech Parameters'!C25+'Tech Parameters'!H26*'Tech Parameters'!C26+'Tech Parameters'!H27*'Tech Parameters'!C27+'Tech Parameters'!H28*'Tech Parameters'!C28+'Tech Parameters'!H29*'Tech Parameters'!C29))+Dashboard!H32</f>
        <v>8.1810493827160489</v>
      </c>
      <c r="J60" s="28">
        <f>Baseline!J60+Dashboard!I21*'Tech Parameters'!C24+Dashboard!I23*('Tech Parameters'!C24-('Tech Parameters'!H24*'Tech Parameters'!C24+'Tech Parameters'!H25*'Tech Parameters'!C25+'Tech Parameters'!H26*'Tech Parameters'!C26+'Tech Parameters'!H27*'Tech Parameters'!C27+'Tech Parameters'!H28*'Tech Parameters'!C28+'Tech Parameters'!H29*'Tech Parameters'!C29))+Dashboard!I32</f>
        <v>8.1810493827160489</v>
      </c>
      <c r="K60" s="28">
        <f>Baseline!K60+Dashboard!J21*'Tech Parameters'!C24+Dashboard!J23*('Tech Parameters'!C24-('Tech Parameters'!H24*'Tech Parameters'!C24+'Tech Parameters'!H25*'Tech Parameters'!C25+'Tech Parameters'!H26*'Tech Parameters'!C26+'Tech Parameters'!H27*'Tech Parameters'!C27+'Tech Parameters'!H28*'Tech Parameters'!C28+'Tech Parameters'!H29*'Tech Parameters'!C29))+Dashboard!J32</f>
        <v>8.1810493827160489</v>
      </c>
      <c r="L60" s="28">
        <f>Baseline!L60+Dashboard!K21*'Tech Parameters'!C24+Dashboard!K23*('Tech Parameters'!C24-('Tech Parameters'!H24*'Tech Parameters'!C24+'Tech Parameters'!H25*'Tech Parameters'!C25+'Tech Parameters'!H26*'Tech Parameters'!C26+'Tech Parameters'!H27*'Tech Parameters'!C27+'Tech Parameters'!H28*'Tech Parameters'!C28+'Tech Parameters'!H29*'Tech Parameters'!C29))+Dashboard!K32</f>
        <v>8.1810493827160489</v>
      </c>
      <c r="M60" s="28">
        <f>Baseline!M60+Dashboard!L21*'Tech Parameters'!C24+Dashboard!L23*('Tech Parameters'!C24-('Tech Parameters'!H24*'Tech Parameters'!C24+'Tech Parameters'!H25*'Tech Parameters'!C25+'Tech Parameters'!H26*'Tech Parameters'!C26+'Tech Parameters'!H27*'Tech Parameters'!C27+'Tech Parameters'!H28*'Tech Parameters'!C28+'Tech Parameters'!H29*'Tech Parameters'!C29))+Dashboard!L32</f>
        <v>8.1810493827160489</v>
      </c>
      <c r="N60" s="28">
        <f>Baseline!N60+Dashboard!M21*'Tech Parameters'!C24+Dashboard!M23*('Tech Parameters'!C24-('Tech Parameters'!H24*'Tech Parameters'!C24+'Tech Parameters'!H25*'Tech Parameters'!C25+'Tech Parameters'!H26*'Tech Parameters'!C26+'Tech Parameters'!H27*'Tech Parameters'!C27+'Tech Parameters'!H28*'Tech Parameters'!C28+'Tech Parameters'!H29*'Tech Parameters'!C29))+Dashboard!M32</f>
        <v>8.1810493827160489</v>
      </c>
    </row>
    <row r="61" spans="1:14" x14ac:dyDescent="0.45">
      <c r="A61" s="7" t="s">
        <v>16</v>
      </c>
      <c r="B61" s="7" t="s">
        <v>102</v>
      </c>
      <c r="C61" s="28">
        <f>Baseline!C61+Dashboard!B21*'Tech Parameters'!C25+Dashboard!B23*('Tech Parameters'!C25-('Tech Parameters'!H24*'Tech Parameters'!C24+'Tech Parameters'!H25*'Tech Parameters'!C25+'Tech Parameters'!H26*'Tech Parameters'!C26+'Tech Parameters'!H27*'Tech Parameters'!C27+'Tech Parameters'!H28*'Tech Parameters'!C28+'Tech Parameters'!H29*'Tech Parameters'!C29))+Dashboard!B33</f>
        <v>6</v>
      </c>
      <c r="D61" s="28">
        <f>Baseline!D61+Dashboard!C21*'Tech Parameters'!C25+Dashboard!C23*('Tech Parameters'!C25-('Tech Parameters'!H24*'Tech Parameters'!C24+'Tech Parameters'!H25*'Tech Parameters'!C25+'Tech Parameters'!H26*'Tech Parameters'!C26+'Tech Parameters'!H27*'Tech Parameters'!C27+'Tech Parameters'!H28*'Tech Parameters'!C28+'Tech Parameters'!H29*'Tech Parameters'!C29))+Dashboard!C33</f>
        <v>6</v>
      </c>
      <c r="E61" s="28">
        <f>Baseline!E61+Dashboard!D21*'Tech Parameters'!C25+Dashboard!D23*('Tech Parameters'!C25-('Tech Parameters'!H24*'Tech Parameters'!C24+'Tech Parameters'!H25*'Tech Parameters'!C25+'Tech Parameters'!H26*'Tech Parameters'!C26+'Tech Parameters'!H27*'Tech Parameters'!C27+'Tech Parameters'!H28*'Tech Parameters'!C28+'Tech Parameters'!H29*'Tech Parameters'!C29))+Dashboard!D33</f>
        <v>6.9333333333333336</v>
      </c>
      <c r="F61" s="28">
        <f>Baseline!F61+Dashboard!E21*'Tech Parameters'!C25+Dashboard!E23*('Tech Parameters'!C25-('Tech Parameters'!H24*'Tech Parameters'!C24+'Tech Parameters'!H25*'Tech Parameters'!C25+'Tech Parameters'!H26*'Tech Parameters'!C26+'Tech Parameters'!H27*'Tech Parameters'!C27+'Tech Parameters'!H28*'Tech Parameters'!C28+'Tech Parameters'!H29*'Tech Parameters'!C29))+Dashboard!E33</f>
        <v>7.8281790123456796</v>
      </c>
      <c r="G61" s="28">
        <f>Baseline!G61+Dashboard!F21*'Tech Parameters'!C25+Dashboard!F23*('Tech Parameters'!C25-('Tech Parameters'!H24*'Tech Parameters'!C24+'Tech Parameters'!H25*'Tech Parameters'!C25+'Tech Parameters'!H26*'Tech Parameters'!C26+'Tech Parameters'!H27*'Tech Parameters'!C27+'Tech Parameters'!H28*'Tech Parameters'!C28+'Tech Parameters'!H29*'Tech Parameters'!C29))+Dashboard!F33</f>
        <v>8.7230246913580256</v>
      </c>
      <c r="H61" s="28">
        <f>Baseline!H61+Dashboard!G21*'Tech Parameters'!C25+Dashboard!G23*('Tech Parameters'!C25-('Tech Parameters'!H24*'Tech Parameters'!C24+'Tech Parameters'!H25*'Tech Parameters'!C25+'Tech Parameters'!H26*'Tech Parameters'!C26+'Tech Parameters'!H27*'Tech Parameters'!C27+'Tech Parameters'!H28*'Tech Parameters'!C28+'Tech Parameters'!H29*'Tech Parameters'!C29))+Dashboard!G33</f>
        <v>8.6845370370370372</v>
      </c>
      <c r="I61" s="28">
        <f>Baseline!I61+Dashboard!H21*'Tech Parameters'!C25+Dashboard!H23*('Tech Parameters'!C25-('Tech Parameters'!H24*'Tech Parameters'!C24+'Tech Parameters'!H25*'Tech Parameters'!C25+'Tech Parameters'!H26*'Tech Parameters'!C26+'Tech Parameters'!H27*'Tech Parameters'!C27+'Tech Parameters'!H28*'Tech Parameters'!C28+'Tech Parameters'!H29*'Tech Parameters'!C29))+Dashboard!H33</f>
        <v>8.6460493827160505</v>
      </c>
      <c r="J61" s="28">
        <f>Baseline!J61+Dashboard!I21*'Tech Parameters'!C25+Dashboard!I23*('Tech Parameters'!C25-('Tech Parameters'!H24*'Tech Parameters'!C24+'Tech Parameters'!H25*'Tech Parameters'!C25+'Tech Parameters'!H26*'Tech Parameters'!C26+'Tech Parameters'!H27*'Tech Parameters'!C27+'Tech Parameters'!H28*'Tech Parameters'!C28+'Tech Parameters'!H29*'Tech Parameters'!C29))+Dashboard!I33</f>
        <v>8.6460493827160505</v>
      </c>
      <c r="K61" s="28">
        <f>Baseline!K61+Dashboard!J21*'Tech Parameters'!C25+Dashboard!J23*('Tech Parameters'!C25-('Tech Parameters'!H24*'Tech Parameters'!C24+'Tech Parameters'!H25*'Tech Parameters'!C25+'Tech Parameters'!H26*'Tech Parameters'!C26+'Tech Parameters'!H27*'Tech Parameters'!C27+'Tech Parameters'!H28*'Tech Parameters'!C28+'Tech Parameters'!H29*'Tech Parameters'!C29))+Dashboard!J33</f>
        <v>8.6460493827160505</v>
      </c>
      <c r="L61" s="28">
        <f>Baseline!L61+Dashboard!K21*'Tech Parameters'!C25+Dashboard!K23*('Tech Parameters'!C25-('Tech Parameters'!H24*'Tech Parameters'!C24+'Tech Parameters'!H25*'Tech Parameters'!C25+'Tech Parameters'!H26*'Tech Parameters'!C26+'Tech Parameters'!H27*'Tech Parameters'!C27+'Tech Parameters'!H28*'Tech Parameters'!C28+'Tech Parameters'!H29*'Tech Parameters'!C29))+Dashboard!K33</f>
        <v>8.6460493827160505</v>
      </c>
      <c r="M61" s="28">
        <f>Baseline!M61+Dashboard!L21*'Tech Parameters'!C25+Dashboard!L23*('Tech Parameters'!C25-('Tech Parameters'!H24*'Tech Parameters'!C24+'Tech Parameters'!H25*'Tech Parameters'!C25+'Tech Parameters'!H26*'Tech Parameters'!C26+'Tech Parameters'!H27*'Tech Parameters'!C27+'Tech Parameters'!H28*'Tech Parameters'!C28+'Tech Parameters'!H29*'Tech Parameters'!C29))+Dashboard!L33</f>
        <v>8.6460493827160505</v>
      </c>
      <c r="N61" s="28">
        <f>Baseline!N61+Dashboard!M21*'Tech Parameters'!C25+Dashboard!M23*('Tech Parameters'!C25-('Tech Parameters'!H24*'Tech Parameters'!C24+'Tech Parameters'!H25*'Tech Parameters'!C25+'Tech Parameters'!H26*'Tech Parameters'!C26+'Tech Parameters'!H27*'Tech Parameters'!C27+'Tech Parameters'!H28*'Tech Parameters'!C28+'Tech Parameters'!H29*'Tech Parameters'!C29))+Dashboard!M33</f>
        <v>8.6460493827160505</v>
      </c>
    </row>
    <row r="62" spans="1:14" x14ac:dyDescent="0.45">
      <c r="A62" s="7" t="s">
        <v>17</v>
      </c>
      <c r="B62" s="7" t="s">
        <v>102</v>
      </c>
      <c r="C62" s="28">
        <f>Baseline!C62+Dashboard!B21*'Tech Parameters'!C26+Dashboard!B23*('Tech Parameters'!C26-('Tech Parameters'!H24*'Tech Parameters'!C24+'Tech Parameters'!H25*'Tech Parameters'!C25+'Tech Parameters'!H26*'Tech Parameters'!C26+'Tech Parameters'!H27*'Tech Parameters'!C27+'Tech Parameters'!H28*'Tech Parameters'!C28+'Tech Parameters'!H29*'Tech Parameters'!C29))+Dashboard!B34</f>
        <v>0</v>
      </c>
      <c r="D62" s="28">
        <f>Baseline!D62+Dashboard!C21*'Tech Parameters'!C26+Dashboard!C23*('Tech Parameters'!C26-('Tech Parameters'!H24*'Tech Parameters'!C24+'Tech Parameters'!H25*'Tech Parameters'!C25+'Tech Parameters'!H26*'Tech Parameters'!C26+'Tech Parameters'!H27*'Tech Parameters'!C27+'Tech Parameters'!H28*'Tech Parameters'!C28+'Tech Parameters'!H29*'Tech Parameters'!C29))+Dashboard!C34</f>
        <v>0</v>
      </c>
      <c r="E62" s="28">
        <f>Baseline!E62+Dashboard!D21*'Tech Parameters'!C26+Dashboard!D23*('Tech Parameters'!C26-('Tech Parameters'!H24*'Tech Parameters'!C24+'Tech Parameters'!H25*'Tech Parameters'!C25+'Tech Parameters'!H26*'Tech Parameters'!C26+'Tech Parameters'!H27*'Tech Parameters'!C27+'Tech Parameters'!H28*'Tech Parameters'!C28+'Tech Parameters'!H29*'Tech Parameters'!C29))+Dashboard!D34</f>
        <v>1.1500000000000001</v>
      </c>
      <c r="F62" s="28">
        <f>Baseline!F62+Dashboard!E21*'Tech Parameters'!C26+Dashboard!E23*('Tech Parameters'!C26-('Tech Parameters'!H24*'Tech Parameters'!C24+'Tech Parameters'!H25*'Tech Parameters'!C25+'Tech Parameters'!H26*'Tech Parameters'!C26+'Tech Parameters'!H27*'Tech Parameters'!C27+'Tech Parameters'!H28*'Tech Parameters'!C28+'Tech Parameters'!H29*'Tech Parameters'!C29))+Dashboard!E34</f>
        <v>2.3102623456790128</v>
      </c>
      <c r="G62" s="28">
        <f>Baseline!G62+Dashboard!F21*'Tech Parameters'!C26+Dashboard!F23*('Tech Parameters'!C26-('Tech Parameters'!H24*'Tech Parameters'!C24+'Tech Parameters'!H25*'Tech Parameters'!C25+'Tech Parameters'!H26*'Tech Parameters'!C26+'Tech Parameters'!H27*'Tech Parameters'!C27+'Tech Parameters'!H28*'Tech Parameters'!C28+'Tech Parameters'!H29*'Tech Parameters'!C29))+Dashboard!F34</f>
        <v>3.4705246913580248</v>
      </c>
      <c r="H62" s="28">
        <f>Baseline!H62+Dashboard!G21*'Tech Parameters'!C26+Dashboard!G23*('Tech Parameters'!C26-('Tech Parameters'!H24*'Tech Parameters'!C24+'Tech Parameters'!H25*'Tech Parameters'!C25+'Tech Parameters'!H26*'Tech Parameters'!C26+'Tech Parameters'!H27*'Tech Parameters'!C27+'Tech Parameters'!H28*'Tech Parameters'!C28+'Tech Parameters'!H29*'Tech Parameters'!C29))+Dashboard!G34</f>
        <v>3.4807870370370373</v>
      </c>
      <c r="I62" s="28">
        <f>Baseline!I62+Dashboard!H21*'Tech Parameters'!C26+Dashboard!H23*('Tech Parameters'!C26-('Tech Parameters'!H24*'Tech Parameters'!C24+'Tech Parameters'!H25*'Tech Parameters'!C25+'Tech Parameters'!H26*'Tech Parameters'!C26+'Tech Parameters'!H27*'Tech Parameters'!C27+'Tech Parameters'!H28*'Tech Parameters'!C28+'Tech Parameters'!H29*'Tech Parameters'!C29))+Dashboard!H34</f>
        <v>3.4910493827160498</v>
      </c>
      <c r="J62" s="28">
        <f>Baseline!J62+Dashboard!I21*'Tech Parameters'!C26+Dashboard!I23*('Tech Parameters'!C26-('Tech Parameters'!H24*'Tech Parameters'!C24+'Tech Parameters'!H25*'Tech Parameters'!C25+'Tech Parameters'!H26*'Tech Parameters'!C26+'Tech Parameters'!H27*'Tech Parameters'!C27+'Tech Parameters'!H28*'Tech Parameters'!C28+'Tech Parameters'!H29*'Tech Parameters'!C29))+Dashboard!I34</f>
        <v>3.4910493827160498</v>
      </c>
      <c r="K62" s="28">
        <f>Baseline!K62+Dashboard!J21*'Tech Parameters'!C26+Dashboard!J23*('Tech Parameters'!C26-('Tech Parameters'!H24*'Tech Parameters'!C24+'Tech Parameters'!H25*'Tech Parameters'!C25+'Tech Parameters'!H26*'Tech Parameters'!C26+'Tech Parameters'!H27*'Tech Parameters'!C27+'Tech Parameters'!H28*'Tech Parameters'!C28+'Tech Parameters'!H29*'Tech Parameters'!C29))+Dashboard!J34</f>
        <v>3.4910493827160498</v>
      </c>
      <c r="L62" s="28">
        <f>Baseline!L62+Dashboard!K21*'Tech Parameters'!C26+Dashboard!K23*('Tech Parameters'!C26-('Tech Parameters'!H24*'Tech Parameters'!C24+'Tech Parameters'!H25*'Tech Parameters'!C25+'Tech Parameters'!H26*'Tech Parameters'!C26+'Tech Parameters'!H27*'Tech Parameters'!C27+'Tech Parameters'!H28*'Tech Parameters'!C28+'Tech Parameters'!H29*'Tech Parameters'!C29))+Dashboard!K34</f>
        <v>3.4910493827160498</v>
      </c>
      <c r="M62" s="28">
        <f>Baseline!M62+Dashboard!L21*'Tech Parameters'!C26+Dashboard!L23*('Tech Parameters'!C26-('Tech Parameters'!H24*'Tech Parameters'!C24+'Tech Parameters'!H25*'Tech Parameters'!C25+'Tech Parameters'!H26*'Tech Parameters'!C26+'Tech Parameters'!H27*'Tech Parameters'!C27+'Tech Parameters'!H28*'Tech Parameters'!C28+'Tech Parameters'!H29*'Tech Parameters'!C29))+Dashboard!L34</f>
        <v>3.4910493827160498</v>
      </c>
      <c r="N62" s="28">
        <f>Baseline!N62+Dashboard!M21*'Tech Parameters'!C26+Dashboard!M23*('Tech Parameters'!C26-('Tech Parameters'!H24*'Tech Parameters'!C24+'Tech Parameters'!H25*'Tech Parameters'!C25+'Tech Parameters'!H26*'Tech Parameters'!C26+'Tech Parameters'!H27*'Tech Parameters'!C27+'Tech Parameters'!H28*'Tech Parameters'!C28+'Tech Parameters'!H29*'Tech Parameters'!C29))+Dashboard!M34</f>
        <v>3.4910493827160498</v>
      </c>
    </row>
    <row r="63" spans="1:14" x14ac:dyDescent="0.45">
      <c r="A63" s="7" t="s">
        <v>18</v>
      </c>
      <c r="B63" s="7" t="s">
        <v>102</v>
      </c>
      <c r="C63" s="28">
        <f>Baseline!C63+Dashboard!B21*'Tech Parameters'!C27+Dashboard!B23*('Tech Parameters'!C27-('Tech Parameters'!H24*'Tech Parameters'!C24+'Tech Parameters'!H25*'Tech Parameters'!C25+'Tech Parameters'!H26*'Tech Parameters'!C26+'Tech Parameters'!H27*'Tech Parameters'!C27+'Tech Parameters'!H28*'Tech Parameters'!C28+'Tech Parameters'!H29*'Tech Parameters'!C29))+Dashboard!B35</f>
        <v>14</v>
      </c>
      <c r="D63" s="28">
        <f>Baseline!D63+Dashboard!C21*'Tech Parameters'!C27+Dashboard!C23*('Tech Parameters'!C27-('Tech Parameters'!H24*'Tech Parameters'!C24+'Tech Parameters'!H25*'Tech Parameters'!C25+'Tech Parameters'!H26*'Tech Parameters'!C26+'Tech Parameters'!H27*'Tech Parameters'!C27+'Tech Parameters'!H28*'Tech Parameters'!C28+'Tech Parameters'!H29*'Tech Parameters'!C29))+Dashboard!C35</f>
        <v>14</v>
      </c>
      <c r="E63" s="28">
        <f>Baseline!E63+Dashboard!D21*'Tech Parameters'!C27+Dashboard!D23*('Tech Parameters'!C27-('Tech Parameters'!H24*'Tech Parameters'!C24+'Tech Parameters'!H25*'Tech Parameters'!C25+'Tech Parameters'!H26*'Tech Parameters'!C26+'Tech Parameters'!H27*'Tech Parameters'!C27+'Tech Parameters'!H28*'Tech Parameters'!C28+'Tech Parameters'!H29*'Tech Parameters'!C29))+Dashboard!D35</f>
        <v>15.233333333333334</v>
      </c>
      <c r="F63" s="28">
        <f>Baseline!F63+Dashboard!E21*'Tech Parameters'!C27+Dashboard!E23*('Tech Parameters'!C27-('Tech Parameters'!H24*'Tech Parameters'!C24+'Tech Parameters'!H25*'Tech Parameters'!C25+'Tech Parameters'!H26*'Tech Parameters'!C26+'Tech Parameters'!H27*'Tech Parameters'!C27+'Tech Parameters'!H28*'Tech Parameters'!C28+'Tech Parameters'!H29*'Tech Parameters'!C29))+Dashboard!E35</f>
        <v>16.495679012345683</v>
      </c>
      <c r="G63" s="28">
        <f>Baseline!G63+Dashboard!F21*'Tech Parameters'!C27+Dashboard!F23*('Tech Parameters'!C27-('Tech Parameters'!H24*'Tech Parameters'!C24+'Tech Parameters'!H25*'Tech Parameters'!C25+'Tech Parameters'!H26*'Tech Parameters'!C26+'Tech Parameters'!H27*'Tech Parameters'!C27+'Tech Parameters'!H28*'Tech Parameters'!C28+'Tech Parameters'!H29*'Tech Parameters'!C29))+Dashboard!F35</f>
        <v>17.758024691358024</v>
      </c>
      <c r="H63" s="28">
        <f>Baseline!H63+Dashboard!G21*'Tech Parameters'!C27+Dashboard!G23*('Tech Parameters'!C27-('Tech Parameters'!H24*'Tech Parameters'!C24+'Tech Parameters'!H25*'Tech Parameters'!C25+'Tech Parameters'!H26*'Tech Parameters'!C26+'Tech Parameters'!H27*'Tech Parameters'!C27+'Tech Parameters'!H28*'Tech Parameters'!C28+'Tech Parameters'!H29*'Tech Parameters'!C29))+Dashboard!G35</f>
        <v>17.787037037037038</v>
      </c>
      <c r="I63" s="28">
        <f>Baseline!I63+Dashboard!H21*'Tech Parameters'!C27+Dashboard!H23*('Tech Parameters'!C27-('Tech Parameters'!H24*'Tech Parameters'!C24+'Tech Parameters'!H25*'Tech Parameters'!C25+'Tech Parameters'!H26*'Tech Parameters'!C26+'Tech Parameters'!H27*'Tech Parameters'!C27+'Tech Parameters'!H28*'Tech Parameters'!C28+'Tech Parameters'!H29*'Tech Parameters'!C29))+Dashboard!H35</f>
        <v>17.816049382716049</v>
      </c>
      <c r="J63" s="28">
        <f>Baseline!J63+Dashboard!I21*'Tech Parameters'!C27+Dashboard!I23*('Tech Parameters'!C27-('Tech Parameters'!H24*'Tech Parameters'!C24+'Tech Parameters'!H25*'Tech Parameters'!C25+'Tech Parameters'!H26*'Tech Parameters'!C26+'Tech Parameters'!H27*'Tech Parameters'!C27+'Tech Parameters'!H28*'Tech Parameters'!C28+'Tech Parameters'!H29*'Tech Parameters'!C29))+Dashboard!I35</f>
        <v>17.816049382716049</v>
      </c>
      <c r="K63" s="28">
        <f>Baseline!K63+Dashboard!J21*'Tech Parameters'!C27+Dashboard!J23*('Tech Parameters'!C27-('Tech Parameters'!H24*'Tech Parameters'!C24+'Tech Parameters'!H25*'Tech Parameters'!C25+'Tech Parameters'!H26*'Tech Parameters'!C26+'Tech Parameters'!H27*'Tech Parameters'!C27+'Tech Parameters'!H28*'Tech Parameters'!C28+'Tech Parameters'!H29*'Tech Parameters'!C29))+Dashboard!J35</f>
        <v>17.816049382716049</v>
      </c>
      <c r="L63" s="28">
        <f>Baseline!L63+Dashboard!K21*'Tech Parameters'!C27+Dashboard!K23*('Tech Parameters'!C27-('Tech Parameters'!H24*'Tech Parameters'!C24+'Tech Parameters'!H25*'Tech Parameters'!C25+'Tech Parameters'!H26*'Tech Parameters'!C26+'Tech Parameters'!H27*'Tech Parameters'!C27+'Tech Parameters'!H28*'Tech Parameters'!C28+'Tech Parameters'!H29*'Tech Parameters'!C29))+Dashboard!K35</f>
        <v>17.816049382716049</v>
      </c>
      <c r="M63" s="28">
        <f>Baseline!M63+Dashboard!L21*'Tech Parameters'!C27+Dashboard!L23*('Tech Parameters'!C27-('Tech Parameters'!H24*'Tech Parameters'!C24+'Tech Parameters'!H25*'Tech Parameters'!C25+'Tech Parameters'!H26*'Tech Parameters'!C26+'Tech Parameters'!H27*'Tech Parameters'!C27+'Tech Parameters'!H28*'Tech Parameters'!C28+'Tech Parameters'!H29*'Tech Parameters'!C29))+Dashboard!L35</f>
        <v>17.816049382716049</v>
      </c>
      <c r="N63" s="28">
        <f>Baseline!N63+Dashboard!M21*'Tech Parameters'!C27+Dashboard!M23*('Tech Parameters'!C27-('Tech Parameters'!H24*'Tech Parameters'!C24+'Tech Parameters'!H25*'Tech Parameters'!C25+'Tech Parameters'!H26*'Tech Parameters'!C26+'Tech Parameters'!H27*'Tech Parameters'!C27+'Tech Parameters'!H28*'Tech Parameters'!C28+'Tech Parameters'!H29*'Tech Parameters'!C29))+Dashboard!M35</f>
        <v>17.816049382716049</v>
      </c>
    </row>
    <row r="64" spans="1:14" x14ac:dyDescent="0.45">
      <c r="A64" s="7" t="s">
        <v>19</v>
      </c>
      <c r="B64" s="7" t="s">
        <v>102</v>
      </c>
      <c r="C64" s="28">
        <f>Baseline!C64+Dashboard!B21*'Tech Parameters'!C28+Dashboard!B23*('Tech Parameters'!C28-('Tech Parameters'!H24*'Tech Parameters'!C24+'Tech Parameters'!H25*'Tech Parameters'!C25+'Tech Parameters'!H26*'Tech Parameters'!C26+'Tech Parameters'!H27*'Tech Parameters'!C27+'Tech Parameters'!H28*'Tech Parameters'!C28+'Tech Parameters'!H29*'Tech Parameters'!C29))+Dashboard!B36</f>
        <v>0</v>
      </c>
      <c r="D64" s="28">
        <f>Baseline!D64+Dashboard!C21*'Tech Parameters'!C28+Dashboard!C23*('Tech Parameters'!C28-('Tech Parameters'!H24*'Tech Parameters'!C24+'Tech Parameters'!H25*'Tech Parameters'!C25+'Tech Parameters'!H26*'Tech Parameters'!C26+'Tech Parameters'!H27*'Tech Parameters'!C27+'Tech Parameters'!H28*'Tech Parameters'!C28+'Tech Parameters'!H29*'Tech Parameters'!C29))+Dashboard!C36</f>
        <v>0</v>
      </c>
      <c r="E64" s="28">
        <f>Baseline!E64+Dashboard!D21*'Tech Parameters'!C28+Dashboard!D23*('Tech Parameters'!C28-('Tech Parameters'!H24*'Tech Parameters'!C24+'Tech Parameters'!H25*'Tech Parameters'!C25+'Tech Parameters'!H26*'Tech Parameters'!C26+'Tech Parameters'!H27*'Tech Parameters'!C27+'Tech Parameters'!H28*'Tech Parameters'!C28+'Tech Parameters'!H29*'Tech Parameters'!C29))+Dashboard!D36</f>
        <v>0</v>
      </c>
      <c r="F64" s="28">
        <f>Baseline!F64+Dashboard!E21*'Tech Parameters'!C28+Dashboard!E23*('Tech Parameters'!C28-('Tech Parameters'!H24*'Tech Parameters'!C24+'Tech Parameters'!H25*'Tech Parameters'!C25+'Tech Parameters'!H26*'Tech Parameters'!C26+'Tech Parameters'!H27*'Tech Parameters'!C27+'Tech Parameters'!H28*'Tech Parameters'!C28+'Tech Parameters'!H29*'Tech Parameters'!C29))+Dashboard!E36</f>
        <v>-0.24848765432098763</v>
      </c>
      <c r="G64" s="28">
        <f>Baseline!G64+Dashboard!F21*'Tech Parameters'!C28+Dashboard!F23*('Tech Parameters'!C28-('Tech Parameters'!H24*'Tech Parameters'!C24+'Tech Parameters'!H25*'Tech Parameters'!C25+'Tech Parameters'!H26*'Tech Parameters'!C26+'Tech Parameters'!H27*'Tech Parameters'!C27+'Tech Parameters'!H28*'Tech Parameters'!C28+'Tech Parameters'!H29*'Tech Parameters'!C29))+Dashboard!F36</f>
        <v>-0.49697530864197526</v>
      </c>
      <c r="H64" s="28">
        <f>Baseline!H64+Dashboard!G21*'Tech Parameters'!C28+Dashboard!G23*('Tech Parameters'!C28-('Tech Parameters'!H24*'Tech Parameters'!C24+'Tech Parameters'!H25*'Tech Parameters'!C25+'Tech Parameters'!H26*'Tech Parameters'!C26+'Tech Parameters'!H27*'Tech Parameters'!C27+'Tech Parameters'!H28*'Tech Parameters'!C28+'Tech Parameters'!H29*'Tech Parameters'!C29))+Dashboard!G36</f>
        <v>-0.74546296296296288</v>
      </c>
      <c r="I64" s="28">
        <f>Baseline!I64+Dashboard!H21*'Tech Parameters'!C28+Dashboard!H23*('Tech Parameters'!C28-('Tech Parameters'!H24*'Tech Parameters'!C24+'Tech Parameters'!H25*'Tech Parameters'!C25+'Tech Parameters'!H26*'Tech Parameters'!C26+'Tech Parameters'!H27*'Tech Parameters'!C27+'Tech Parameters'!H28*'Tech Parameters'!C28+'Tech Parameters'!H29*'Tech Parameters'!C29))+Dashboard!H36</f>
        <v>-0.99395061728395051</v>
      </c>
      <c r="J64" s="28">
        <f>Baseline!J64+Dashboard!I21*'Tech Parameters'!C28+Dashboard!I23*('Tech Parameters'!C28-('Tech Parameters'!H24*'Tech Parameters'!C24+'Tech Parameters'!H25*'Tech Parameters'!C25+'Tech Parameters'!H26*'Tech Parameters'!C26+'Tech Parameters'!H27*'Tech Parameters'!C27+'Tech Parameters'!H28*'Tech Parameters'!C28+'Tech Parameters'!H29*'Tech Parameters'!C29))+Dashboard!I36</f>
        <v>-0.99395061728395051</v>
      </c>
      <c r="K64" s="28">
        <f>Baseline!K64+Dashboard!J21*'Tech Parameters'!C28+Dashboard!J23*('Tech Parameters'!C28-('Tech Parameters'!H24*'Tech Parameters'!C24+'Tech Parameters'!H25*'Tech Parameters'!C25+'Tech Parameters'!H26*'Tech Parameters'!C26+'Tech Parameters'!H27*'Tech Parameters'!C27+'Tech Parameters'!H28*'Tech Parameters'!C28+'Tech Parameters'!H29*'Tech Parameters'!C29))+Dashboard!J36</f>
        <v>-0.99395061728395051</v>
      </c>
      <c r="L64" s="28">
        <f>Baseline!L64+Dashboard!K21*'Tech Parameters'!C28+Dashboard!K23*('Tech Parameters'!C28-('Tech Parameters'!H24*'Tech Parameters'!C24+'Tech Parameters'!H25*'Tech Parameters'!C25+'Tech Parameters'!H26*'Tech Parameters'!C26+'Tech Parameters'!H27*'Tech Parameters'!C27+'Tech Parameters'!H28*'Tech Parameters'!C28+'Tech Parameters'!H29*'Tech Parameters'!C29))+Dashboard!K36</f>
        <v>-0.99395061728395051</v>
      </c>
      <c r="M64" s="28">
        <f>Baseline!M64+Dashboard!L21*'Tech Parameters'!C28+Dashboard!L23*('Tech Parameters'!C28-('Tech Parameters'!H24*'Tech Parameters'!C24+'Tech Parameters'!H25*'Tech Parameters'!C25+'Tech Parameters'!H26*'Tech Parameters'!C26+'Tech Parameters'!H27*'Tech Parameters'!C27+'Tech Parameters'!H28*'Tech Parameters'!C28+'Tech Parameters'!H29*'Tech Parameters'!C29))+Dashboard!L36</f>
        <v>-0.99395061728395051</v>
      </c>
      <c r="N64" s="28">
        <f>Baseline!N64+Dashboard!M21*'Tech Parameters'!C28+Dashboard!M23*('Tech Parameters'!C28-('Tech Parameters'!H24*'Tech Parameters'!C24+'Tech Parameters'!H25*'Tech Parameters'!C25+'Tech Parameters'!H26*'Tech Parameters'!C26+'Tech Parameters'!H27*'Tech Parameters'!C27+'Tech Parameters'!H28*'Tech Parameters'!C28+'Tech Parameters'!H29*'Tech Parameters'!C29))+Dashboard!M36</f>
        <v>-0.99395061728395051</v>
      </c>
    </row>
    <row r="65" spans="1:14" x14ac:dyDescent="0.45">
      <c r="A65" s="7" t="s">
        <v>20</v>
      </c>
      <c r="B65" s="7" t="s">
        <v>102</v>
      </c>
      <c r="C65" s="28">
        <f>Baseline!C65+Dashboard!B21*'Tech Parameters'!C29+Dashboard!B23*('Tech Parameters'!C29-('Tech Parameters'!H24*'Tech Parameters'!C24+'Tech Parameters'!H25*'Tech Parameters'!C25+'Tech Parameters'!H26*'Tech Parameters'!C26+'Tech Parameters'!H27*'Tech Parameters'!C27+'Tech Parameters'!H28*'Tech Parameters'!C28+'Tech Parameters'!H29*'Tech Parameters'!C29))+Dashboard!B37</f>
        <v>2</v>
      </c>
      <c r="D65" s="28">
        <f>Baseline!D65+Dashboard!C21*'Tech Parameters'!C29+Dashboard!C23*('Tech Parameters'!C29-('Tech Parameters'!H24*'Tech Parameters'!C24+'Tech Parameters'!H25*'Tech Parameters'!C25+'Tech Parameters'!H26*'Tech Parameters'!C26+'Tech Parameters'!H27*'Tech Parameters'!C27+'Tech Parameters'!H28*'Tech Parameters'!C28+'Tech Parameters'!H29*'Tech Parameters'!C29))+Dashboard!C37</f>
        <v>2</v>
      </c>
      <c r="E65" s="28">
        <f>Baseline!E65+Dashboard!D21*'Tech Parameters'!C29+Dashboard!D23*('Tech Parameters'!C29-('Tech Parameters'!H24*'Tech Parameters'!C24+'Tech Parameters'!H25*'Tech Parameters'!C25+'Tech Parameters'!H26*'Tech Parameters'!C26+'Tech Parameters'!H27*'Tech Parameters'!C27+'Tech Parameters'!H28*'Tech Parameters'!C28+'Tech Parameters'!H29*'Tech Parameters'!C29))+Dashboard!D37</f>
        <v>2</v>
      </c>
      <c r="F65" s="28">
        <f>Baseline!F65+Dashboard!E21*'Tech Parameters'!C29+Dashboard!E23*('Tech Parameters'!C29-('Tech Parameters'!H24*'Tech Parameters'!C24+'Tech Parameters'!H25*'Tech Parameters'!C25+'Tech Parameters'!H26*'Tech Parameters'!C26+'Tech Parameters'!H27*'Tech Parameters'!C27+'Tech Parameters'!H28*'Tech Parameters'!C28+'Tech Parameters'!H29*'Tech Parameters'!C29))+Dashboard!E37</f>
        <v>1.7515123456790125</v>
      </c>
      <c r="G65" s="28">
        <f>Baseline!G65+Dashboard!F21*'Tech Parameters'!C29+Dashboard!F23*('Tech Parameters'!C29-('Tech Parameters'!H24*'Tech Parameters'!C24+'Tech Parameters'!H25*'Tech Parameters'!C25+'Tech Parameters'!H26*'Tech Parameters'!C26+'Tech Parameters'!H27*'Tech Parameters'!C27+'Tech Parameters'!H28*'Tech Parameters'!C28+'Tech Parameters'!H29*'Tech Parameters'!C29))+Dashboard!F37</f>
        <v>1.5030246913580247</v>
      </c>
      <c r="H65" s="28">
        <f>Baseline!H65+Dashboard!G21*'Tech Parameters'!C29+Dashboard!G23*('Tech Parameters'!C29-('Tech Parameters'!H24*'Tech Parameters'!C24+'Tech Parameters'!H25*'Tech Parameters'!C25+'Tech Parameters'!H26*'Tech Parameters'!C26+'Tech Parameters'!H27*'Tech Parameters'!C27+'Tech Parameters'!H28*'Tech Parameters'!C28+'Tech Parameters'!H29*'Tech Parameters'!C29))+Dashboard!G37</f>
        <v>1.254537037037037</v>
      </c>
      <c r="I65" s="28">
        <f>Baseline!I65+Dashboard!H21*'Tech Parameters'!C29+Dashboard!H23*('Tech Parameters'!C29-('Tech Parameters'!H24*'Tech Parameters'!C24+'Tech Parameters'!H25*'Tech Parameters'!C25+'Tech Parameters'!H26*'Tech Parameters'!C26+'Tech Parameters'!H27*'Tech Parameters'!C27+'Tech Parameters'!H28*'Tech Parameters'!C28+'Tech Parameters'!H29*'Tech Parameters'!C29))+Dashboard!H37</f>
        <v>1.0060493827160495</v>
      </c>
      <c r="J65" s="28">
        <f>Baseline!J65+Dashboard!I21*'Tech Parameters'!C29+Dashboard!I23*('Tech Parameters'!C29-('Tech Parameters'!H24*'Tech Parameters'!C24+'Tech Parameters'!H25*'Tech Parameters'!C25+'Tech Parameters'!H26*'Tech Parameters'!C26+'Tech Parameters'!H27*'Tech Parameters'!C27+'Tech Parameters'!H28*'Tech Parameters'!C28+'Tech Parameters'!H29*'Tech Parameters'!C29))+Dashboard!I37</f>
        <v>1.0060493827160495</v>
      </c>
      <c r="K65" s="28">
        <f>Baseline!K65+Dashboard!J21*'Tech Parameters'!C29+Dashboard!J23*('Tech Parameters'!C29-('Tech Parameters'!H24*'Tech Parameters'!C24+'Tech Parameters'!H25*'Tech Parameters'!C25+'Tech Parameters'!H26*'Tech Parameters'!C26+'Tech Parameters'!H27*'Tech Parameters'!C27+'Tech Parameters'!H28*'Tech Parameters'!C28+'Tech Parameters'!H29*'Tech Parameters'!C29))+Dashboard!J37</f>
        <v>1.0060493827160495</v>
      </c>
      <c r="L65" s="28">
        <f>Baseline!L65+Dashboard!K21*'Tech Parameters'!C29+Dashboard!K23*('Tech Parameters'!C29-('Tech Parameters'!H24*'Tech Parameters'!C24+'Tech Parameters'!H25*'Tech Parameters'!C25+'Tech Parameters'!H26*'Tech Parameters'!C26+'Tech Parameters'!H27*'Tech Parameters'!C27+'Tech Parameters'!H28*'Tech Parameters'!C28+'Tech Parameters'!H29*'Tech Parameters'!C29))+Dashboard!K37</f>
        <v>1.0060493827160495</v>
      </c>
      <c r="M65" s="28">
        <f>Baseline!M65+Dashboard!L21*'Tech Parameters'!C29+Dashboard!L23*('Tech Parameters'!C29-('Tech Parameters'!H24*'Tech Parameters'!C24+'Tech Parameters'!H25*'Tech Parameters'!C25+'Tech Parameters'!H26*'Tech Parameters'!C26+'Tech Parameters'!H27*'Tech Parameters'!C27+'Tech Parameters'!H28*'Tech Parameters'!C28+'Tech Parameters'!H29*'Tech Parameters'!C29))+Dashboard!L37</f>
        <v>1.0060493827160495</v>
      </c>
      <c r="N65" s="28">
        <f>Baseline!N65+Dashboard!M21*'Tech Parameters'!C29+Dashboard!M23*('Tech Parameters'!C29-('Tech Parameters'!H24*'Tech Parameters'!C24+'Tech Parameters'!H25*'Tech Parameters'!C25+'Tech Parameters'!H26*'Tech Parameters'!C26+'Tech Parameters'!H27*'Tech Parameters'!C27+'Tech Parameters'!H28*'Tech Parameters'!C28+'Tech Parameters'!H29*'Tech Parameters'!C29))+Dashboard!M37</f>
        <v>1.0060493827160495</v>
      </c>
    </row>
    <row r="67" spans="1:14" x14ac:dyDescent="0.45">
      <c r="A67" s="13" t="s">
        <v>115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x14ac:dyDescent="0.45">
      <c r="A68" s="7" t="s">
        <v>15</v>
      </c>
      <c r="B68" s="7" t="s">
        <v>104</v>
      </c>
      <c r="C68" s="28">
        <f>IF('Tech Parameters'!E24=0,0,C60/'Tech Parameters'!E24)</f>
        <v>7.8947368421052628</v>
      </c>
      <c r="D68" s="28">
        <f>IF('Tech Parameters'!E24=0,0,D60/'Tech Parameters'!E24)</f>
        <v>7.8947368421052628</v>
      </c>
      <c r="E68" s="28">
        <f>IF('Tech Parameters'!E24=0,0,E60/'Tech Parameters'!E24)</f>
        <v>12.061403508771932</v>
      </c>
      <c r="F68" s="28">
        <f>IF('Tech Parameters'!E24=0,0,F60/'Tech Parameters'!E24)</f>
        <v>16.511655295646523</v>
      </c>
      <c r="G68" s="28">
        <f>IF('Tech Parameters'!E24=0,0,G60/'Tech Parameters'!E24)</f>
        <v>20.961907082521115</v>
      </c>
      <c r="H68" s="28">
        <f>IF('Tech Parameters'!E24=0,0,H60/'Tech Parameters'!E24)</f>
        <v>21.245492202729046</v>
      </c>
      <c r="I68" s="28">
        <f>IF('Tech Parameters'!E24=0,0,I60/'Tech Parameters'!E24)</f>
        <v>21.529077322936971</v>
      </c>
      <c r="J68" s="28">
        <f>IF('Tech Parameters'!E24=0,0,J60/'Tech Parameters'!E24)</f>
        <v>21.529077322936971</v>
      </c>
      <c r="K68" s="28">
        <f>IF('Tech Parameters'!E24=0,0,K60/'Tech Parameters'!E24)</f>
        <v>21.529077322936971</v>
      </c>
      <c r="L68" s="28">
        <f>IF('Tech Parameters'!E24=0,0,L60/'Tech Parameters'!E24)</f>
        <v>21.529077322936971</v>
      </c>
      <c r="M68" s="28">
        <f>IF('Tech Parameters'!E24=0,0,M60/'Tech Parameters'!E24)</f>
        <v>21.529077322936971</v>
      </c>
      <c r="N68" s="28">
        <f>IF('Tech Parameters'!E24=0,0,N60/'Tech Parameters'!E24)</f>
        <v>21.529077322936971</v>
      </c>
    </row>
    <row r="69" spans="1:14" x14ac:dyDescent="0.45">
      <c r="A69" s="7" t="s">
        <v>16</v>
      </c>
      <c r="B69" s="7" t="s">
        <v>104</v>
      </c>
      <c r="C69" s="28">
        <f>IF('Tech Parameters'!E25=0,0,C61/'Tech Parameters'!E25)</f>
        <v>12</v>
      </c>
      <c r="D69" s="28">
        <f>IF('Tech Parameters'!E25=0,0,D61/'Tech Parameters'!E25)</f>
        <v>12</v>
      </c>
      <c r="E69" s="28">
        <f>IF('Tech Parameters'!E25=0,0,E61/'Tech Parameters'!E25)</f>
        <v>13.866666666666667</v>
      </c>
      <c r="F69" s="28">
        <f>IF('Tech Parameters'!E25=0,0,F61/'Tech Parameters'!E25)</f>
        <v>15.656358024691359</v>
      </c>
      <c r="G69" s="28">
        <f>IF('Tech Parameters'!E25=0,0,G61/'Tech Parameters'!E25)</f>
        <v>17.446049382716051</v>
      </c>
      <c r="H69" s="28">
        <f>IF('Tech Parameters'!E25=0,0,H61/'Tech Parameters'!E25)</f>
        <v>17.369074074074074</v>
      </c>
      <c r="I69" s="28">
        <f>IF('Tech Parameters'!E25=0,0,I61/'Tech Parameters'!E25)</f>
        <v>17.292098765432101</v>
      </c>
      <c r="J69" s="28">
        <f>IF('Tech Parameters'!E25=0,0,J61/'Tech Parameters'!E25)</f>
        <v>17.292098765432101</v>
      </c>
      <c r="K69" s="28">
        <f>IF('Tech Parameters'!E25=0,0,K61/'Tech Parameters'!E25)</f>
        <v>17.292098765432101</v>
      </c>
      <c r="L69" s="28">
        <f>IF('Tech Parameters'!E25=0,0,L61/'Tech Parameters'!E25)</f>
        <v>17.292098765432101</v>
      </c>
      <c r="M69" s="28">
        <f>IF('Tech Parameters'!E25=0,0,M61/'Tech Parameters'!E25)</f>
        <v>17.292098765432101</v>
      </c>
      <c r="N69" s="28">
        <f>IF('Tech Parameters'!E25=0,0,N61/'Tech Parameters'!E25)</f>
        <v>17.292098765432101</v>
      </c>
    </row>
    <row r="70" spans="1:14" x14ac:dyDescent="0.45">
      <c r="A70" s="7" t="s">
        <v>17</v>
      </c>
      <c r="B70" s="7" t="s">
        <v>104</v>
      </c>
      <c r="C70" s="28">
        <f>IF('Tech Parameters'!E26=0,0,C62/'Tech Parameters'!E26)</f>
        <v>0</v>
      </c>
      <c r="D70" s="28">
        <f>IF('Tech Parameters'!E26=0,0,D62/'Tech Parameters'!E26)</f>
        <v>0</v>
      </c>
      <c r="E70" s="28">
        <f>IF('Tech Parameters'!E26=0,0,E62/'Tech Parameters'!E26)</f>
        <v>0</v>
      </c>
      <c r="F70" s="28">
        <f>IF('Tech Parameters'!E26=0,0,F62/'Tech Parameters'!E26)</f>
        <v>0</v>
      </c>
      <c r="G70" s="28">
        <f>IF('Tech Parameters'!E26=0,0,G62/'Tech Parameters'!E26)</f>
        <v>0</v>
      </c>
      <c r="H70" s="28">
        <f>IF('Tech Parameters'!E26=0,0,H62/'Tech Parameters'!E26)</f>
        <v>0</v>
      </c>
      <c r="I70" s="28">
        <f>IF('Tech Parameters'!E26=0,0,I62/'Tech Parameters'!E26)</f>
        <v>0</v>
      </c>
      <c r="J70" s="28">
        <f>IF('Tech Parameters'!E26=0,0,J62/'Tech Parameters'!E26)</f>
        <v>0</v>
      </c>
      <c r="K70" s="28">
        <f>IF('Tech Parameters'!E26=0,0,K62/'Tech Parameters'!E26)</f>
        <v>0</v>
      </c>
      <c r="L70" s="28">
        <f>IF('Tech Parameters'!E26=0,0,L62/'Tech Parameters'!E26)</f>
        <v>0</v>
      </c>
      <c r="M70" s="28">
        <f>IF('Tech Parameters'!E26=0,0,M62/'Tech Parameters'!E26)</f>
        <v>0</v>
      </c>
      <c r="N70" s="28">
        <f>IF('Tech Parameters'!E26=0,0,N62/'Tech Parameters'!E26)</f>
        <v>0</v>
      </c>
    </row>
    <row r="71" spans="1:14" x14ac:dyDescent="0.45">
      <c r="A71" s="7" t="s">
        <v>18</v>
      </c>
      <c r="B71" s="7" t="s">
        <v>104</v>
      </c>
      <c r="C71" s="28">
        <f>IF('Tech Parameters'!E27=0,0,C63/'Tech Parameters'!E27)</f>
        <v>40</v>
      </c>
      <c r="D71" s="28">
        <f>IF('Tech Parameters'!E27=0,0,D63/'Tech Parameters'!E27)</f>
        <v>40</v>
      </c>
      <c r="E71" s="28">
        <f>IF('Tech Parameters'!E27=0,0,E63/'Tech Parameters'!E27)</f>
        <v>43.523809523809533</v>
      </c>
      <c r="F71" s="28">
        <f>IF('Tech Parameters'!E27=0,0,F63/'Tech Parameters'!E27)</f>
        <v>47.130511463844812</v>
      </c>
      <c r="G71" s="28">
        <f>IF('Tech Parameters'!E27=0,0,G63/'Tech Parameters'!E27)</f>
        <v>50.73721340388007</v>
      </c>
      <c r="H71" s="28">
        <f>IF('Tech Parameters'!E27=0,0,H63/'Tech Parameters'!E27)</f>
        <v>50.820105820105823</v>
      </c>
      <c r="I71" s="28">
        <f>IF('Tech Parameters'!E27=0,0,I63/'Tech Parameters'!E27)</f>
        <v>50.90299823633157</v>
      </c>
      <c r="J71" s="28">
        <f>IF('Tech Parameters'!E27=0,0,J63/'Tech Parameters'!E27)</f>
        <v>50.90299823633157</v>
      </c>
      <c r="K71" s="28">
        <f>IF('Tech Parameters'!E27=0,0,K63/'Tech Parameters'!E27)</f>
        <v>50.90299823633157</v>
      </c>
      <c r="L71" s="28">
        <f>IF('Tech Parameters'!E27=0,0,L63/'Tech Parameters'!E27)</f>
        <v>50.90299823633157</v>
      </c>
      <c r="M71" s="28">
        <f>IF('Tech Parameters'!E27=0,0,M63/'Tech Parameters'!E27)</f>
        <v>50.90299823633157</v>
      </c>
      <c r="N71" s="28">
        <f>IF('Tech Parameters'!E27=0,0,N63/'Tech Parameters'!E27)</f>
        <v>50.90299823633157</v>
      </c>
    </row>
    <row r="72" spans="1:14" x14ac:dyDescent="0.45">
      <c r="A72" s="7" t="s">
        <v>19</v>
      </c>
      <c r="B72" s="7" t="s">
        <v>104</v>
      </c>
      <c r="C72" s="28">
        <f>IF('Tech Parameters'!E28=0,0,C64/'Tech Parameters'!E28)</f>
        <v>0</v>
      </c>
      <c r="D72" s="28">
        <f>IF('Tech Parameters'!E28=0,0,D64/'Tech Parameters'!E28)</f>
        <v>0</v>
      </c>
      <c r="E72" s="28">
        <f>IF('Tech Parameters'!E28=0,0,E64/'Tech Parameters'!E28)</f>
        <v>0</v>
      </c>
      <c r="F72" s="28">
        <f>IF('Tech Parameters'!E28=0,0,F64/'Tech Parameters'!E28)</f>
        <v>0</v>
      </c>
      <c r="G72" s="28">
        <f>IF('Tech Parameters'!E28=0,0,G64/'Tech Parameters'!E28)</f>
        <v>0</v>
      </c>
      <c r="H72" s="28">
        <f>IF('Tech Parameters'!E28=0,0,H64/'Tech Parameters'!E28)</f>
        <v>0</v>
      </c>
      <c r="I72" s="28">
        <f>IF('Tech Parameters'!E28=0,0,I64/'Tech Parameters'!E28)</f>
        <v>0</v>
      </c>
      <c r="J72" s="28">
        <f>IF('Tech Parameters'!E28=0,0,J64/'Tech Parameters'!E28)</f>
        <v>0</v>
      </c>
      <c r="K72" s="28">
        <f>IF('Tech Parameters'!E28=0,0,K64/'Tech Parameters'!E28)</f>
        <v>0</v>
      </c>
      <c r="L72" s="28">
        <f>IF('Tech Parameters'!E28=0,0,L64/'Tech Parameters'!E28)</f>
        <v>0</v>
      </c>
      <c r="M72" s="28">
        <f>IF('Tech Parameters'!E28=0,0,M64/'Tech Parameters'!E28)</f>
        <v>0</v>
      </c>
      <c r="N72" s="28">
        <f>IF('Tech Parameters'!E28=0,0,N64/'Tech Parameters'!E28)</f>
        <v>0</v>
      </c>
    </row>
    <row r="73" spans="1:14" x14ac:dyDescent="0.45">
      <c r="A73" s="7" t="s">
        <v>20</v>
      </c>
      <c r="B73" s="7" t="s">
        <v>104</v>
      </c>
      <c r="C73" s="28">
        <f>IF('Tech Parameters'!E29=0,0,C65/'Tech Parameters'!E29)</f>
        <v>2</v>
      </c>
      <c r="D73" s="28">
        <f>IF('Tech Parameters'!E29=0,0,D65/'Tech Parameters'!E29)</f>
        <v>2</v>
      </c>
      <c r="E73" s="28">
        <f>IF('Tech Parameters'!E29=0,0,E65/'Tech Parameters'!E29)</f>
        <v>2</v>
      </c>
      <c r="F73" s="28">
        <f>IF('Tech Parameters'!E29=0,0,F65/'Tech Parameters'!E29)</f>
        <v>1.7515123456790125</v>
      </c>
      <c r="G73" s="28">
        <f>IF('Tech Parameters'!E29=0,0,G65/'Tech Parameters'!E29)</f>
        <v>1.5030246913580247</v>
      </c>
      <c r="H73" s="28">
        <f>IF('Tech Parameters'!E29=0,0,H65/'Tech Parameters'!E29)</f>
        <v>1.254537037037037</v>
      </c>
      <c r="I73" s="28">
        <f>IF('Tech Parameters'!E29=0,0,I65/'Tech Parameters'!E29)</f>
        <v>1.0060493827160495</v>
      </c>
      <c r="J73" s="28">
        <f>IF('Tech Parameters'!E29=0,0,J65/'Tech Parameters'!E29)</f>
        <v>1.0060493827160495</v>
      </c>
      <c r="K73" s="28">
        <f>IF('Tech Parameters'!E29=0,0,K65/'Tech Parameters'!E29)</f>
        <v>1.0060493827160495</v>
      </c>
      <c r="L73" s="28">
        <f>IF('Tech Parameters'!E29=0,0,L65/'Tech Parameters'!E29)</f>
        <v>1.0060493827160495</v>
      </c>
      <c r="M73" s="28">
        <f>IF('Tech Parameters'!E29=0,0,M65/'Tech Parameters'!E29)</f>
        <v>1.0060493827160495</v>
      </c>
      <c r="N73" s="28">
        <f>IF('Tech Parameters'!E29=0,0,N65/'Tech Parameters'!E29)</f>
        <v>1.0060493827160495</v>
      </c>
    </row>
    <row r="75" spans="1:14" x14ac:dyDescent="0.45">
      <c r="A75" s="13" t="s">
        <v>116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7" spans="1:14" x14ac:dyDescent="0.45">
      <c r="C77" s="34">
        <f>IF(C68=0,0,C68^(1-'Tech Parameters'!$C$5))</f>
        <v>1.5117066781209847</v>
      </c>
      <c r="D77" s="34">
        <f>IF(D68=0,0,D68^(1-'Tech Parameters'!$C$5))</f>
        <v>1.5117066781209847</v>
      </c>
      <c r="E77" s="34">
        <f>IF(E68=0,0,E68^(1-'Tech Parameters'!$C$5))</f>
        <v>1.6454305991113063</v>
      </c>
      <c r="F77" s="34">
        <f>IF(F68=0,0,F68^(1-'Tech Parameters'!$C$5))</f>
        <v>1.7520969059820699</v>
      </c>
      <c r="G77" s="34">
        <f>IF(G68=0,0,G68^(1-'Tech Parameters'!$C$5))</f>
        <v>1.8377488443184118</v>
      </c>
      <c r="H77" s="34">
        <f>IF(H68=0,0,H68^(1-'Tech Parameters'!$C$5))</f>
        <v>1.8426945841054128</v>
      </c>
      <c r="I77" s="34">
        <f>IF(I68=0,0,I68^(1-'Tech Parameters'!$C$5))</f>
        <v>1.8475877900546918</v>
      </c>
      <c r="J77" s="34">
        <f>IF(J68=0,0,J68^(1-'Tech Parameters'!$C$5))</f>
        <v>1.8475877900546918</v>
      </c>
      <c r="K77" s="34">
        <f>IF(K68=0,0,K68^(1-'Tech Parameters'!$C$5))</f>
        <v>1.8475877900546918</v>
      </c>
      <c r="L77" s="34">
        <f>IF(L68=0,0,L68^(1-'Tech Parameters'!$C$5))</f>
        <v>1.8475877900546918</v>
      </c>
      <c r="M77" s="34">
        <f>IF(M68=0,0,M68^(1-'Tech Parameters'!$C$5))</f>
        <v>1.8475877900546918</v>
      </c>
      <c r="N77" s="34">
        <f>IF(N68=0,0,N68^(1-'Tech Parameters'!$C$5))</f>
        <v>1.8475877900546918</v>
      </c>
    </row>
    <row r="78" spans="1:14" x14ac:dyDescent="0.45">
      <c r="C78" s="34">
        <f>IF(C69=0,0,C69^(1-'Tech Parameters'!$C$5))</f>
        <v>1.6437518295172255</v>
      </c>
      <c r="D78" s="34">
        <f>IF(D69=0,0,D69^(1-'Tech Parameters'!$C$5))</f>
        <v>1.6437518295172255</v>
      </c>
      <c r="E78" s="34">
        <f>IF(E69=0,0,E69^(1-'Tech Parameters'!$C$5))</f>
        <v>1.6919768443530048</v>
      </c>
      <c r="F78" s="34">
        <f>IF(F69=0,0,F69^(1-'Tech Parameters'!$C$5))</f>
        <v>1.7335570911024785</v>
      </c>
      <c r="G78" s="34">
        <f>IF(G69=0,0,G69^(1-'Tech Parameters'!$C$5))</f>
        <v>1.7714929140120443</v>
      </c>
      <c r="H78" s="34">
        <f>IF(H69=0,0,H69^(1-'Tech Parameters'!$C$5))</f>
        <v>1.7699269146203866</v>
      </c>
      <c r="I78" s="34">
        <f>IF(I69=0,0,I69^(1-'Tech Parameters'!$C$5))</f>
        <v>1.7683553532612928</v>
      </c>
      <c r="J78" s="34">
        <f>IF(J69=0,0,J69^(1-'Tech Parameters'!$C$5))</f>
        <v>1.7683553532612928</v>
      </c>
      <c r="K78" s="34">
        <f>IF(K69=0,0,K69^(1-'Tech Parameters'!$C$5))</f>
        <v>1.7683553532612928</v>
      </c>
      <c r="L78" s="34">
        <f>IF(L69=0,0,L69^(1-'Tech Parameters'!$C$5))</f>
        <v>1.7683553532612928</v>
      </c>
      <c r="M78" s="34">
        <f>IF(M69=0,0,M69^(1-'Tech Parameters'!$C$5))</f>
        <v>1.7683553532612928</v>
      </c>
      <c r="N78" s="34">
        <f>IF(N69=0,0,N69^(1-'Tech Parameters'!$C$5))</f>
        <v>1.7683553532612928</v>
      </c>
    </row>
    <row r="79" spans="1:14" x14ac:dyDescent="0.45">
      <c r="C79" s="34">
        <f>IF(C70=0,0,C70^(1-'Tech Parameters'!$C$5))</f>
        <v>0</v>
      </c>
      <c r="D79" s="34">
        <f>IF(D70=0,0,D70^(1-'Tech Parameters'!$C$5))</f>
        <v>0</v>
      </c>
      <c r="E79" s="34">
        <f>IF(E70=0,0,E70^(1-'Tech Parameters'!$C$5))</f>
        <v>0</v>
      </c>
      <c r="F79" s="34">
        <f>IF(F70=0,0,F70^(1-'Tech Parameters'!$C$5))</f>
        <v>0</v>
      </c>
      <c r="G79" s="34">
        <f>IF(G70=0,0,G70^(1-'Tech Parameters'!$C$5))</f>
        <v>0</v>
      </c>
      <c r="H79" s="34">
        <f>IF(H70=0,0,H70^(1-'Tech Parameters'!$C$5))</f>
        <v>0</v>
      </c>
      <c r="I79" s="34">
        <f>IF(I70=0,0,I70^(1-'Tech Parameters'!$C$5))</f>
        <v>0</v>
      </c>
      <c r="J79" s="34">
        <f>IF(J70=0,0,J70^(1-'Tech Parameters'!$C$5))</f>
        <v>0</v>
      </c>
      <c r="K79" s="34">
        <f>IF(K70=0,0,K70^(1-'Tech Parameters'!$C$5))</f>
        <v>0</v>
      </c>
      <c r="L79" s="34">
        <f>IF(L70=0,0,L70^(1-'Tech Parameters'!$C$5))</f>
        <v>0</v>
      </c>
      <c r="M79" s="34">
        <f>IF(M70=0,0,M70^(1-'Tech Parameters'!$C$5))</f>
        <v>0</v>
      </c>
      <c r="N79" s="34">
        <f>IF(N70=0,0,N70^(1-'Tech Parameters'!$C$5))</f>
        <v>0</v>
      </c>
    </row>
    <row r="80" spans="1:14" x14ac:dyDescent="0.45">
      <c r="C80" s="34">
        <f>IF(C71=0,0,C71^(1-'Tech Parameters'!$C$5))</f>
        <v>2.0912791051825459</v>
      </c>
      <c r="D80" s="34">
        <f>IF(D71=0,0,D71^(1-'Tech Parameters'!$C$5))</f>
        <v>2.0912791051825459</v>
      </c>
      <c r="E80" s="34">
        <f>IF(E71=0,0,E71^(1-'Tech Parameters'!$C$5))</f>
        <v>2.1268917183094573</v>
      </c>
      <c r="F80" s="34">
        <f>IF(F71=0,0,F71^(1-'Tech Parameters'!$C$5))</f>
        <v>2.1610281819774233</v>
      </c>
      <c r="G80" s="34">
        <f>IF(G71=0,0,G71^(1-'Tech Parameters'!$C$5))</f>
        <v>2.1931347799411793</v>
      </c>
      <c r="H80" s="34">
        <f>IF(H71=0,0,H71^(1-'Tech Parameters'!$C$5))</f>
        <v>2.1938509231501184</v>
      </c>
      <c r="I80" s="34">
        <f>IF(I71=0,0,I71^(1-'Tech Parameters'!$C$5))</f>
        <v>2.194566132489864</v>
      </c>
      <c r="J80" s="34">
        <f>IF(J71=0,0,J71^(1-'Tech Parameters'!$C$5))</f>
        <v>2.194566132489864</v>
      </c>
      <c r="K80" s="34">
        <f>IF(K71=0,0,K71^(1-'Tech Parameters'!$C$5))</f>
        <v>2.194566132489864</v>
      </c>
      <c r="L80" s="34">
        <f>IF(L71=0,0,L71^(1-'Tech Parameters'!$C$5))</f>
        <v>2.194566132489864</v>
      </c>
      <c r="M80" s="34">
        <f>IF(M71=0,0,M71^(1-'Tech Parameters'!$C$5))</f>
        <v>2.194566132489864</v>
      </c>
      <c r="N80" s="34">
        <f>IF(N71=0,0,N71^(1-'Tech Parameters'!$C$5))</f>
        <v>2.194566132489864</v>
      </c>
    </row>
    <row r="81" spans="1:14" x14ac:dyDescent="0.45">
      <c r="C81" s="34">
        <f>IF(C72=0,0,C72^(1-'Tech Parameters'!$C$5))</f>
        <v>0</v>
      </c>
      <c r="D81" s="34">
        <f>IF(D72=0,0,D72^(1-'Tech Parameters'!$C$5))</f>
        <v>0</v>
      </c>
      <c r="E81" s="34">
        <f>IF(E72=0,0,E72^(1-'Tech Parameters'!$C$5))</f>
        <v>0</v>
      </c>
      <c r="F81" s="34">
        <f>IF(F72=0,0,F72^(1-'Tech Parameters'!$C$5))</f>
        <v>0</v>
      </c>
      <c r="G81" s="34">
        <f>IF(G72=0,0,G72^(1-'Tech Parameters'!$C$5))</f>
        <v>0</v>
      </c>
      <c r="H81" s="34">
        <f>IF(H72=0,0,H72^(1-'Tech Parameters'!$C$5))</f>
        <v>0</v>
      </c>
      <c r="I81" s="34">
        <f>IF(I72=0,0,I72^(1-'Tech Parameters'!$C$5))</f>
        <v>0</v>
      </c>
      <c r="J81" s="34">
        <f>IF(J72=0,0,J72^(1-'Tech Parameters'!$C$5))</f>
        <v>0</v>
      </c>
      <c r="K81" s="34">
        <f>IF(K72=0,0,K72^(1-'Tech Parameters'!$C$5))</f>
        <v>0</v>
      </c>
      <c r="L81" s="34">
        <f>IF(L72=0,0,L72^(1-'Tech Parameters'!$C$5))</f>
        <v>0</v>
      </c>
      <c r="M81" s="34">
        <f>IF(M72=0,0,M72^(1-'Tech Parameters'!$C$5))</f>
        <v>0</v>
      </c>
      <c r="N81" s="34">
        <f>IF(N72=0,0,N72^(1-'Tech Parameters'!$C$5))</f>
        <v>0</v>
      </c>
    </row>
    <row r="82" spans="1:14" x14ac:dyDescent="0.45">
      <c r="C82" s="34">
        <f>IF(C73=0,0,C73^(1-'Tech Parameters'!$C$5))</f>
        <v>1.1486983549970349</v>
      </c>
      <c r="D82" s="34">
        <f>IF(D73=0,0,D73^(1-'Tech Parameters'!$C$5))</f>
        <v>1.1486983549970349</v>
      </c>
      <c r="E82" s="34">
        <f>IF(E73=0,0,E73^(1-'Tech Parameters'!$C$5))</f>
        <v>1.1486983549970349</v>
      </c>
      <c r="F82" s="34">
        <f>IF(F73=0,0,F73^(1-'Tech Parameters'!$C$5))</f>
        <v>1.1186201562877618</v>
      </c>
      <c r="G82" s="34">
        <f>IF(G73=0,0,G73^(1-'Tech Parameters'!$C$5))</f>
        <v>1.0849087778428979</v>
      </c>
      <c r="H82" s="34">
        <f>IF(H73=0,0,H73^(1-'Tech Parameters'!$C$5))</f>
        <v>1.0463975098074776</v>
      </c>
      <c r="I82" s="34">
        <f>IF(I73=0,0,I73^(1-'Tech Parameters'!$C$5))</f>
        <v>1.0012069595220319</v>
      </c>
      <c r="J82" s="34">
        <f>IF(J73=0,0,J73^(1-'Tech Parameters'!$C$5))</f>
        <v>1.0012069595220319</v>
      </c>
      <c r="K82" s="34">
        <f>IF(K73=0,0,K73^(1-'Tech Parameters'!$C$5))</f>
        <v>1.0012069595220319</v>
      </c>
      <c r="L82" s="34">
        <f>IF(L73=0,0,L73^(1-'Tech Parameters'!$C$5))</f>
        <v>1.0012069595220319</v>
      </c>
      <c r="M82" s="34">
        <f>IF(M73=0,0,M73^(1-'Tech Parameters'!$C$5))</f>
        <v>1.0012069595220319</v>
      </c>
      <c r="N82" s="34">
        <f>IF(N73=0,0,N73^(1-'Tech Parameters'!$C$5))</f>
        <v>1.0012069595220319</v>
      </c>
    </row>
    <row r="83" spans="1:14" x14ac:dyDescent="0.45">
      <c r="C83" s="34">
        <f>'Tech Parameters'!J24</f>
        <v>0.37422037422037424</v>
      </c>
      <c r="D83" s="34">
        <f>'Tech Parameters'!J25</f>
        <v>0.49896049896049899</v>
      </c>
      <c r="E83" s="34">
        <f>'Tech Parameters'!J26</f>
        <v>0</v>
      </c>
      <c r="F83" s="34">
        <f>'Tech Parameters'!J27</f>
        <v>4.3659043659043661E-2</v>
      </c>
      <c r="G83" s="34">
        <f>'Tech Parameters'!J28</f>
        <v>0</v>
      </c>
      <c r="H83" s="34">
        <f>'Tech Parameters'!J29</f>
        <v>8.3160083160083165E-2</v>
      </c>
    </row>
    <row r="84" spans="1:14" x14ac:dyDescent="0.45">
      <c r="A84" s="4" t="s">
        <v>106</v>
      </c>
      <c r="B84" s="7" t="s">
        <v>104</v>
      </c>
      <c r="C84" s="35">
        <f>(C83*C77+D83*C78+E83*C79+F83*C80+G83*C81+H83*C82)^(1/(1-'Tech Parameters'!$C$5))</f>
        <v>9.6214418592254543</v>
      </c>
      <c r="D84" s="35">
        <f>(C83*D77+D83*D78+E83*D79+F83*D80+G83*D81+H83*D82)^(1/(1-'Tech Parameters'!$C$5))</f>
        <v>9.6214418592254543</v>
      </c>
      <c r="E84" s="35">
        <f>(C83*E77+D83*E78+E83*E79+F83*E80+G83*E81+H83*E82)^(1/(1-'Tech Parameters'!$C$5))</f>
        <v>12.169417382696706</v>
      </c>
      <c r="F84" s="35">
        <f>(C83*F77+D83*F78+E83*F79+F83*F80+G83*F81+H83*F82)^(1/(1-'Tech Parameters'!$C$5))</f>
        <v>14.536657403578817</v>
      </c>
      <c r="G84" s="35">
        <f>(C83*G77+D83*G78+E83*G79+F83*G80+G83*G81+H83*G82)^(1/(1-'Tech Parameters'!$C$5))</f>
        <v>16.772560968375654</v>
      </c>
      <c r="H84" s="35">
        <f>(C83*H77+D83*H78+E83*H79+F83*H80+G83*H81+H83*H82)^(1/(1-'Tech Parameters'!$C$5))</f>
        <v>16.672509204342475</v>
      </c>
      <c r="I84" s="35">
        <f>(C83*I77+D83*I78+E83*I79+F83*I80+G83*I81+H83*I82)^(1/(1-'Tech Parameters'!$C$5))</f>
        <v>16.545641005190642</v>
      </c>
      <c r="J84" s="35">
        <f>(C83*J77+D83*J78+E83*J79+F83*J80+G83*J81+H83*J82)^(1/(1-'Tech Parameters'!$C$5))</f>
        <v>16.545641005190642</v>
      </c>
      <c r="K84" s="35">
        <f>(C83*K77+D83*K78+E83*K79+F83*K80+G83*K81+H83*K82)^(1/(1-'Tech Parameters'!$C$5))</f>
        <v>16.545641005190642</v>
      </c>
      <c r="L84" s="35">
        <f>(C83*L77+D83*L78+E83*L79+F83*L80+G83*L81+H83*L82)^(1/(1-'Tech Parameters'!$C$5))</f>
        <v>16.545641005190642</v>
      </c>
      <c r="M84" s="35">
        <f>(C83*M77+D83*M78+E83*M79+F83*M80+G83*M81+H83*M82)^(1/(1-'Tech Parameters'!$C$5))</f>
        <v>16.545641005190642</v>
      </c>
      <c r="N84" s="35">
        <f>(C83*N77+D83*N78+E83*N79+F83*N80+G83*N81+H83*N82)^(1/(1-'Tech Parameters'!$C$5))</f>
        <v>16.545641005190642</v>
      </c>
    </row>
    <row r="86" spans="1:14" x14ac:dyDescent="0.45">
      <c r="A86" s="13" t="s">
        <v>117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4" x14ac:dyDescent="0.45">
      <c r="A87" s="7" t="s">
        <v>15</v>
      </c>
      <c r="B87" s="7" t="s">
        <v>108</v>
      </c>
      <c r="C87" s="36">
        <f>'Tech Parameters'!D24</f>
        <v>1200</v>
      </c>
      <c r="D87" s="36">
        <f>IF(OR(D68=0,C68=0),C96,C96*(D68/C68)^(-'Tech Parameters'!$C$5)*(D84/C84)^('Tech Parameters'!$C$5+'Tech Parameters'!$C$6))</f>
        <v>1200</v>
      </c>
      <c r="E87" s="36">
        <f>IF(OR(E68=0,D68=0),D96,D96*(E68/D68)^(-'Tech Parameters'!$C$5)*(E84/D84)^('Tech Parameters'!$C$5+'Tech Parameters'!$C$6))</f>
        <v>995.98397878137484</v>
      </c>
      <c r="F87" s="36">
        <f>IF(OR(F68=0,E68=0),E96,E96*(F68/E68)^(-'Tech Parameters'!$C$5)*(F84/E84)^('Tech Parameters'!$C$5+'Tech Parameters'!$C$6))</f>
        <v>1033.466076728432</v>
      </c>
      <c r="G87" s="36">
        <f>IF(OR(G68=0,F68=0),F96,F96*(G68/F68)^(-'Tech Parameters'!$C$5)*(G84/F84)^('Tech Parameters'!$C$5+'Tech Parameters'!$C$6))</f>
        <v>1062.3747240138989</v>
      </c>
      <c r="H87" s="36">
        <f>IF(OR(H68=0,G68=0),G96,G96*(H68/G68)^(-'Tech Parameters'!$C$5)*(H84/G84)^('Tech Parameters'!$C$5+'Tech Parameters'!$C$6))</f>
        <v>1146.0184226782799</v>
      </c>
      <c r="I87" s="36">
        <f>IF(OR(I68=0,H68=0),H96,H96*(I68/H68)^(-'Tech Parameters'!$C$5)*(I84/H84)^('Tech Parameters'!$C$5+'Tech Parameters'!$C$6))</f>
        <v>1143.6179815378223</v>
      </c>
      <c r="J87" s="36">
        <f>IF(OR(J68=0,I68=0),I96,I96*(J68/I68)^(-'Tech Parameters'!$C$5)*(J84/I84)^('Tech Parameters'!$C$5+'Tech Parameters'!$C$6))</f>
        <v>1160.1308230267584</v>
      </c>
      <c r="K87" s="36">
        <f>IF(OR(K68=0,J68=0),J96,J96*(K68/J68)^(-'Tech Parameters'!$C$5)*(K84/J84)^('Tech Parameters'!$C$5+'Tech Parameters'!$C$6))</f>
        <v>1160.1308230267584</v>
      </c>
      <c r="L87" s="36">
        <f>IF(OR(L68=0,K68=0),K96,K96*(L68/K68)^(-'Tech Parameters'!$C$5)*(L84/K84)^('Tech Parameters'!$C$5+'Tech Parameters'!$C$6))</f>
        <v>1160.1308230267584</v>
      </c>
      <c r="M87" s="36">
        <f>IF(OR(M68=0,L68=0),L96,L96*(M68/L68)^(-'Tech Parameters'!$C$5)*(M84/L84)^('Tech Parameters'!$C$5+'Tech Parameters'!$C$6))</f>
        <v>1160.1308230267584</v>
      </c>
      <c r="N87" s="36">
        <f>IF(OR(N68=0,M68=0),M96,M96*(N68/M68)^(-'Tech Parameters'!$C$5)*(N84/M84)^('Tech Parameters'!$C$5+'Tech Parameters'!$C$6))</f>
        <v>1160.1308230267584</v>
      </c>
    </row>
    <row r="88" spans="1:14" x14ac:dyDescent="0.45">
      <c r="A88" s="7" t="s">
        <v>16</v>
      </c>
      <c r="B88" s="7" t="s">
        <v>108</v>
      </c>
      <c r="C88" s="36">
        <f>'Tech Parameters'!D25</f>
        <v>800</v>
      </c>
      <c r="D88" s="36">
        <f>IF(OR(D69=0,C69=0),C97,C97*(D69/C69)^(-'Tech Parameters'!$C$5)*(D84/C84)^('Tech Parameters'!$C$5+'Tech Parameters'!$C$6))</f>
        <v>800</v>
      </c>
      <c r="E88" s="36">
        <f>IF(OR(E69=0,D69=0),D97,D97*(E69/D69)^(-'Tech Parameters'!$C$5)*(E84/D84)^('Tech Parameters'!$C$5+'Tech Parameters'!$C$6))</f>
        <v>830.18824655945559</v>
      </c>
      <c r="F88" s="36">
        <f>IF(OR(F69=0,E69=0),E97,E97*(F69/E69)^(-'Tech Parameters'!$C$5)*(F84/E84)^('Tech Parameters'!$C$5+'Tech Parameters'!$C$6))</f>
        <v>817.33620304196506</v>
      </c>
      <c r="G88" s="36">
        <f>IF(OR(G69=0,F69=0),F97,F97*(G69/F69)^(-'Tech Parameters'!$C$5)*(G84/F84)^('Tech Parameters'!$C$5+'Tech Parameters'!$C$6))</f>
        <v>808.77405409654216</v>
      </c>
      <c r="H88" s="36">
        <f>IF(OR(H69=0,G69=0),G97,G97*(H69/G69)^(-'Tech Parameters'!$C$5)*(H84/G84)^('Tech Parameters'!$C$5+'Tech Parameters'!$C$6))</f>
        <v>803.73946676799528</v>
      </c>
      <c r="I88" s="36">
        <f>IF(OR(I69=0,H69=0),H97,H97*(I69/H69)^(-'Tech Parameters'!$C$5)*(I84/H84)^('Tech Parameters'!$C$5+'Tech Parameters'!$C$6))</f>
        <v>802.86511740226945</v>
      </c>
      <c r="J88" s="36">
        <f>IF(OR(J69=0,I69=0),I97,I97*(J69/I69)^(-'Tech Parameters'!$C$5)*(J84/I84)^('Tech Parameters'!$C$5+'Tech Parameters'!$C$6))</f>
        <v>803.90863414403339</v>
      </c>
      <c r="K88" s="36">
        <f>IF(OR(K69=0,J69=0),J97,J97*(K69/J69)^(-'Tech Parameters'!$C$5)*(K84/J84)^('Tech Parameters'!$C$5+'Tech Parameters'!$C$6))</f>
        <v>803.90863414403339</v>
      </c>
      <c r="L88" s="36">
        <f>IF(OR(L69=0,K69=0),K97,K97*(L69/K69)^(-'Tech Parameters'!$C$5)*(L84/K84)^('Tech Parameters'!$C$5+'Tech Parameters'!$C$6))</f>
        <v>803.90863414403339</v>
      </c>
      <c r="M88" s="36">
        <f>IF(OR(M69=0,L69=0),L97,L97*(M69/L69)^(-'Tech Parameters'!$C$5)*(M84/L84)^('Tech Parameters'!$C$5+'Tech Parameters'!$C$6))</f>
        <v>803.90863414403339</v>
      </c>
      <c r="N88" s="36">
        <f>IF(OR(N69=0,M69=0),M97,M97*(N69/M69)^(-'Tech Parameters'!$C$5)*(N84/M84)^('Tech Parameters'!$C$5+'Tech Parameters'!$C$6))</f>
        <v>803.90863414403339</v>
      </c>
    </row>
    <row r="89" spans="1:14" x14ac:dyDescent="0.45">
      <c r="A89" s="7" t="s">
        <v>17</v>
      </c>
      <c r="B89" s="7" t="s">
        <v>108</v>
      </c>
      <c r="C89" s="36">
        <f>'Tech Parameters'!D26</f>
        <v>0</v>
      </c>
      <c r="D89" s="36">
        <f>IF(OR(D70=0,C70=0),C98,C98*(D70/C70)^(-'Tech Parameters'!$C$5)*(D84/C84)^('Tech Parameters'!$C$5+'Tech Parameters'!$C$6))</f>
        <v>0</v>
      </c>
      <c r="E89" s="36">
        <f>IF(OR(E70=0,D70=0),D98,D98*(E70/D70)^(-'Tech Parameters'!$C$5)*(E84/D84)^('Tech Parameters'!$C$5+'Tech Parameters'!$C$6))</f>
        <v>0</v>
      </c>
      <c r="F89" s="36">
        <f>IF(OR(F70=0,E70=0),E98,E98*(F70/E70)^(-'Tech Parameters'!$C$5)*(F84/E84)^('Tech Parameters'!$C$5+'Tech Parameters'!$C$6))</f>
        <v>0</v>
      </c>
      <c r="G89" s="36">
        <f>IF(OR(G70=0,F70=0),F98,F98*(G70/F70)^(-'Tech Parameters'!$C$5)*(G84/F84)^('Tech Parameters'!$C$5+'Tech Parameters'!$C$6))</f>
        <v>0</v>
      </c>
      <c r="H89" s="36">
        <f>IF(OR(H70=0,G70=0),G98,G98*(H70/G70)^(-'Tech Parameters'!$C$5)*(H84/G84)^('Tech Parameters'!$C$5+'Tech Parameters'!$C$6))</f>
        <v>0</v>
      </c>
      <c r="I89" s="36">
        <f>IF(OR(I70=0,H70=0),H98,H98*(I70/H70)^(-'Tech Parameters'!$C$5)*(I84/H84)^('Tech Parameters'!$C$5+'Tech Parameters'!$C$6))</f>
        <v>0</v>
      </c>
      <c r="J89" s="36">
        <f>IF(OR(J70=0,I70=0),I98,I98*(J70/I70)^(-'Tech Parameters'!$C$5)*(J84/I84)^('Tech Parameters'!$C$5+'Tech Parameters'!$C$6))</f>
        <v>0</v>
      </c>
      <c r="K89" s="36">
        <f>IF(OR(K70=0,J70=0),J98,J98*(K70/J70)^(-'Tech Parameters'!$C$5)*(K84/J84)^('Tech Parameters'!$C$5+'Tech Parameters'!$C$6))</f>
        <v>0</v>
      </c>
      <c r="L89" s="36">
        <f>IF(OR(L70=0,K70=0),K98,K98*(L70/K70)^(-'Tech Parameters'!$C$5)*(L84/K84)^('Tech Parameters'!$C$5+'Tech Parameters'!$C$6))</f>
        <v>0</v>
      </c>
      <c r="M89" s="36">
        <f>IF(OR(M70=0,L70=0),L98,L98*(M70/L70)^(-'Tech Parameters'!$C$5)*(M84/L84)^('Tech Parameters'!$C$5+'Tech Parameters'!$C$6))</f>
        <v>0</v>
      </c>
      <c r="N89" s="36">
        <f>IF(OR(N70=0,M70=0),M98,M98*(N70/M70)^(-'Tech Parameters'!$C$5)*(N84/M84)^('Tech Parameters'!$C$5+'Tech Parameters'!$C$6))</f>
        <v>0</v>
      </c>
    </row>
    <row r="90" spans="1:14" x14ac:dyDescent="0.45">
      <c r="A90" s="7" t="s">
        <v>18</v>
      </c>
      <c r="B90" s="7" t="s">
        <v>108</v>
      </c>
      <c r="C90" s="36">
        <f>'Tech Parameters'!D27</f>
        <v>30</v>
      </c>
      <c r="D90" s="36">
        <f>IF(OR(D71=0,C71=0),C99,C99*(D71/C71)^(-'Tech Parameters'!$C$5)*(D84/C84)^('Tech Parameters'!$C$5+'Tech Parameters'!$C$6))</f>
        <v>30</v>
      </c>
      <c r="E90" s="36">
        <f>IF(OR(E71=0,D71=0),D99,D99*(E71/D71)^(-'Tech Parameters'!$C$5)*(E84/D84)^('Tech Parameters'!$C$5+'Tech Parameters'!$C$6))</f>
        <v>32.666829396255359</v>
      </c>
      <c r="F90" s="36">
        <f>IF(OR(F71=0,E71=0),E99,E99*(F71/E71)^(-'Tech Parameters'!$C$5)*(F84/E84)^('Tech Parameters'!$C$5+'Tech Parameters'!$C$6))</f>
        <v>31.821102859863021</v>
      </c>
      <c r="G90" s="36">
        <f>IF(OR(G71=0,F71=0),F99,F99*(G71/F71)^(-'Tech Parameters'!$C$5)*(G84/F84)^('Tech Parameters'!$C$5+'Tech Parameters'!$C$6))</f>
        <v>31.391480511672544</v>
      </c>
      <c r="H90" s="36">
        <f>IF(OR(H71=0,G71=0),G99,G99*(H71/G71)^(-'Tech Parameters'!$C$5)*(H84/G84)^('Tech Parameters'!$C$5+'Tech Parameters'!$C$6))</f>
        <v>30.268277080880477</v>
      </c>
      <c r="I90" s="36">
        <f>IF(OR(I71=0,H71=0),H99,H99*(I71/H71)^(-'Tech Parameters'!$C$5)*(I84/H84)^('Tech Parameters'!$C$5+'Tech Parameters'!$C$6))</f>
        <v>30.223255626816297</v>
      </c>
      <c r="J90" s="36">
        <f>IF(OR(J71=0,I71=0),I99,I99*(J71/I71)^(-'Tech Parameters'!$C$5)*(J84/I84)^('Tech Parameters'!$C$5+'Tech Parameters'!$C$6))</f>
        <v>30.398111071603633</v>
      </c>
      <c r="K90" s="36">
        <f>IF(OR(K71=0,J71=0),J99,J99*(K71/J71)^(-'Tech Parameters'!$C$5)*(K84/J84)^('Tech Parameters'!$C$5+'Tech Parameters'!$C$6))</f>
        <v>30.398111071603633</v>
      </c>
      <c r="L90" s="36">
        <f>IF(OR(L71=0,K71=0),K99,K99*(L71/K71)^(-'Tech Parameters'!$C$5)*(L84/K84)^('Tech Parameters'!$C$5+'Tech Parameters'!$C$6))</f>
        <v>30.398111071603633</v>
      </c>
      <c r="M90" s="36">
        <f>IF(OR(M71=0,L71=0),L99,L99*(M71/L71)^(-'Tech Parameters'!$C$5)*(M84/L84)^('Tech Parameters'!$C$5+'Tech Parameters'!$C$6))</f>
        <v>30.398111071603633</v>
      </c>
      <c r="N90" s="36">
        <f>IF(OR(N71=0,M71=0),M99,M99*(N71/M71)^(-'Tech Parameters'!$C$5)*(N84/M84)^('Tech Parameters'!$C$5+'Tech Parameters'!$C$6))</f>
        <v>30.398111071603633</v>
      </c>
    </row>
    <row r="91" spans="1:14" x14ac:dyDescent="0.45">
      <c r="A91" s="7" t="s">
        <v>19</v>
      </c>
      <c r="B91" s="7" t="s">
        <v>108</v>
      </c>
      <c r="C91" s="36">
        <f>'Tech Parameters'!D28</f>
        <v>0</v>
      </c>
      <c r="D91" s="36">
        <f>IF(OR(D72=0,C72=0),C100,C100*(D72/C72)^(-'Tech Parameters'!$C$5)*(D84/C84)^('Tech Parameters'!$C$5+'Tech Parameters'!$C$6))</f>
        <v>0</v>
      </c>
      <c r="E91" s="36">
        <f>IF(OR(E72=0,D72=0),D100,D100*(E72/D72)^(-'Tech Parameters'!$C$5)*(E84/D84)^('Tech Parameters'!$C$5+'Tech Parameters'!$C$6))</f>
        <v>0</v>
      </c>
      <c r="F91" s="36">
        <f>IF(OR(F72=0,E72=0),E100,E100*(F72/E72)^(-'Tech Parameters'!$C$5)*(F84/E84)^('Tech Parameters'!$C$5+'Tech Parameters'!$C$6))</f>
        <v>0</v>
      </c>
      <c r="G91" s="36">
        <f>IF(OR(G72=0,F72=0),F100,F100*(G72/F72)^(-'Tech Parameters'!$C$5)*(G84/F84)^('Tech Parameters'!$C$5+'Tech Parameters'!$C$6))</f>
        <v>0</v>
      </c>
      <c r="H91" s="36">
        <f>IF(OR(H72=0,G72=0),G100,G100*(H72/G72)^(-'Tech Parameters'!$C$5)*(H84/G84)^('Tech Parameters'!$C$5+'Tech Parameters'!$C$6))</f>
        <v>0</v>
      </c>
      <c r="I91" s="36">
        <f>IF(OR(I72=0,H72=0),H100,H100*(I72/H72)^(-'Tech Parameters'!$C$5)*(I84/H84)^('Tech Parameters'!$C$5+'Tech Parameters'!$C$6))</f>
        <v>0</v>
      </c>
      <c r="J91" s="36">
        <f>IF(OR(J72=0,I72=0),I100,I100*(J72/I72)^(-'Tech Parameters'!$C$5)*(J84/I84)^('Tech Parameters'!$C$5+'Tech Parameters'!$C$6))</f>
        <v>0</v>
      </c>
      <c r="K91" s="36">
        <f>IF(OR(K72=0,J72=0),J100,J100*(K72/J72)^(-'Tech Parameters'!$C$5)*(K84/J84)^('Tech Parameters'!$C$5+'Tech Parameters'!$C$6))</f>
        <v>0</v>
      </c>
      <c r="L91" s="36">
        <f>IF(OR(L72=0,K72=0),K100,K100*(L72/K72)^(-'Tech Parameters'!$C$5)*(L84/K84)^('Tech Parameters'!$C$5+'Tech Parameters'!$C$6))</f>
        <v>0</v>
      </c>
      <c r="M91" s="36">
        <f>IF(OR(M72=0,L72=0),L100,L100*(M72/L72)^(-'Tech Parameters'!$C$5)*(M84/L84)^('Tech Parameters'!$C$5+'Tech Parameters'!$C$6))</f>
        <v>0</v>
      </c>
      <c r="N91" s="36">
        <f>IF(OR(N72=0,M72=0),M100,M100*(N72/M72)^(-'Tech Parameters'!$C$5)*(N84/M84)^('Tech Parameters'!$C$5+'Tech Parameters'!$C$6))</f>
        <v>0</v>
      </c>
    </row>
    <row r="92" spans="1:14" x14ac:dyDescent="0.45">
      <c r="A92" s="7" t="s">
        <v>20</v>
      </c>
      <c r="B92" s="7" t="s">
        <v>108</v>
      </c>
      <c r="C92" s="36">
        <f>'Tech Parameters'!D29</f>
        <v>400</v>
      </c>
      <c r="D92" s="36">
        <f>IF(OR(D73=0,C73=0),C101,C101*(D73/C73)^(-'Tech Parameters'!$C$5)*(D84/C84)^('Tech Parameters'!$C$5+'Tech Parameters'!$C$6))</f>
        <v>400</v>
      </c>
      <c r="E92" s="36">
        <f>IF(OR(E73=0,D73=0),D101,D101*(E73/D73)^(-'Tech Parameters'!$C$5)*(E84/D84)^('Tech Parameters'!$C$5+'Tech Parameters'!$C$6))</f>
        <v>465.9928453340317</v>
      </c>
      <c r="F92" s="36">
        <f>IF(OR(F73=0,E73=0),E101,E101*(F73/E73)^(-'Tech Parameters'!$C$5)*(F84/E84)^('Tech Parameters'!$C$5+'Tech Parameters'!$C$6))</f>
        <v>505.85330630903866</v>
      </c>
      <c r="G92" s="36">
        <f>IF(OR(G73=0,F73=0),F101,F101*(G73/F73)^(-'Tech Parameters'!$C$5)*(G84/F84)^('Tech Parameters'!$C$5+'Tech Parameters'!$C$6))</f>
        <v>512.66932800182542</v>
      </c>
      <c r="H92" s="36">
        <f>IF(OR(H73=0,G73=0),G101,G101*(H73/G73)^(-'Tech Parameters'!$C$5)*(H84/G84)^('Tech Parameters'!$C$5+'Tech Parameters'!$C$6))</f>
        <v>484.90940975421546</v>
      </c>
      <c r="I92" s="36">
        <f>IF(OR(I73=0,H73=0),H101,H101*(I73/H73)^(-'Tech Parameters'!$C$5)*(I84/H84)^('Tech Parameters'!$C$5+'Tech Parameters'!$C$6))</f>
        <v>506.19210380952302</v>
      </c>
      <c r="J92" s="36">
        <f>IF(OR(J73=0,I73=0),I101,I101*(J73/I73)^(-'Tech Parameters'!$C$5)*(J84/I84)^('Tech Parameters'!$C$5+'Tech Parameters'!$C$6))</f>
        <v>432.750047135599</v>
      </c>
      <c r="K92" s="36">
        <f>IF(OR(K73=0,J73=0),J101,J101*(K73/J73)^(-'Tech Parameters'!$C$5)*(K84/J84)^('Tech Parameters'!$C$5+'Tech Parameters'!$C$6))</f>
        <v>432.750047135599</v>
      </c>
      <c r="L92" s="36">
        <f>IF(OR(L73=0,K73=0),K101,K101*(L73/K73)^(-'Tech Parameters'!$C$5)*(L84/K84)^('Tech Parameters'!$C$5+'Tech Parameters'!$C$6))</f>
        <v>432.750047135599</v>
      </c>
      <c r="M92" s="36">
        <f>IF(OR(M73=0,L73=0),L101,L101*(M73/L73)^(-'Tech Parameters'!$C$5)*(M84/L84)^('Tech Parameters'!$C$5+'Tech Parameters'!$C$6))</f>
        <v>432.750047135599</v>
      </c>
      <c r="N92" s="36">
        <f>IF(OR(N73=0,M73=0),M101,M101*(N73/M73)^(-'Tech Parameters'!$C$5)*(N84/M84)^('Tech Parameters'!$C$5+'Tech Parameters'!$C$6))</f>
        <v>432.750047135599</v>
      </c>
    </row>
    <row r="94" spans="1:14" x14ac:dyDescent="0.45">
      <c r="A94" s="13" t="s">
        <v>118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6" spans="1:14" x14ac:dyDescent="0.45">
      <c r="A96" s="7" t="s">
        <v>15</v>
      </c>
      <c r="B96" s="7" t="s">
        <v>108</v>
      </c>
      <c r="C96" s="37">
        <f t="shared" ref="C96:C101" si="3">C87</f>
        <v>1200</v>
      </c>
      <c r="D96" s="37">
        <f>C96+'Tech Parameters'!$C$7*(D87-C96)</f>
        <v>1200</v>
      </c>
      <c r="E96" s="37">
        <f>D96+'Tech Parameters'!$C$7*(E87-D96)</f>
        <v>1183.6787183025099</v>
      </c>
      <c r="F96" s="37">
        <f>E96+'Tech Parameters'!$C$7*(F87-E96)</f>
        <v>1171.6617069765837</v>
      </c>
      <c r="G96" s="37">
        <f>F96+'Tech Parameters'!$C$7*(G87-F96)</f>
        <v>1162.918748339569</v>
      </c>
      <c r="H96" s="37">
        <f>G96+'Tech Parameters'!$C$7*(H87-G96)</f>
        <v>1161.5667222866659</v>
      </c>
      <c r="I96" s="37">
        <f>H96+'Tech Parameters'!$C$7*(I87-H96)</f>
        <v>1160.1308230267584</v>
      </c>
      <c r="J96" s="37">
        <f>I96+'Tech Parameters'!$C$7*(J87-I96)</f>
        <v>1160.1308230267584</v>
      </c>
      <c r="K96" s="37">
        <f>J96+'Tech Parameters'!$C$7*(K87-J96)</f>
        <v>1160.1308230267584</v>
      </c>
      <c r="L96" s="37">
        <f>K96+'Tech Parameters'!$C$7*(L87-K96)</f>
        <v>1160.1308230267584</v>
      </c>
      <c r="M96" s="37">
        <f>L96+'Tech Parameters'!$C$7*(M87-L96)</f>
        <v>1160.1308230267584</v>
      </c>
      <c r="N96" s="37">
        <f>M96+'Tech Parameters'!$C$7*(N87-M96)</f>
        <v>1160.1308230267584</v>
      </c>
    </row>
    <row r="97" spans="1:14" x14ac:dyDescent="0.45">
      <c r="A97" s="7" t="s">
        <v>16</v>
      </c>
      <c r="B97" s="7" t="s">
        <v>108</v>
      </c>
      <c r="C97" s="37">
        <f t="shared" si="3"/>
        <v>800</v>
      </c>
      <c r="D97" s="37">
        <f>C97+'Tech Parameters'!$C$7*(D88-C97)</f>
        <v>800</v>
      </c>
      <c r="E97" s="37">
        <f>D97+'Tech Parameters'!$C$7*(E88-D97)</f>
        <v>802.41505972475647</v>
      </c>
      <c r="F97" s="37">
        <f>E97+'Tech Parameters'!$C$7*(F88-E97)</f>
        <v>803.60875119013315</v>
      </c>
      <c r="G97" s="37">
        <f>F97+'Tech Parameters'!$C$7*(G88-F97)</f>
        <v>804.02197542264582</v>
      </c>
      <c r="H97" s="37">
        <f>G97+'Tech Parameters'!$C$7*(H88-G97)</f>
        <v>803.99937473027376</v>
      </c>
      <c r="I97" s="37">
        <f>H97+'Tech Parameters'!$C$7*(I88-H97)</f>
        <v>803.90863414403339</v>
      </c>
      <c r="J97" s="37">
        <f>I97+'Tech Parameters'!$C$7*(J88-I97)</f>
        <v>803.90863414403339</v>
      </c>
      <c r="K97" s="37">
        <f>J97+'Tech Parameters'!$C$7*(K88-J97)</f>
        <v>803.90863414403339</v>
      </c>
      <c r="L97" s="37">
        <f>K97+'Tech Parameters'!$C$7*(L88-K97)</f>
        <v>803.90863414403339</v>
      </c>
      <c r="M97" s="37">
        <f>L97+'Tech Parameters'!$C$7*(M88-L97)</f>
        <v>803.90863414403339</v>
      </c>
      <c r="N97" s="37">
        <f>M97+'Tech Parameters'!$C$7*(N88-M97)</f>
        <v>803.90863414403339</v>
      </c>
    </row>
    <row r="98" spans="1:14" x14ac:dyDescent="0.45">
      <c r="A98" s="7" t="s">
        <v>17</v>
      </c>
      <c r="B98" s="7" t="s">
        <v>108</v>
      </c>
      <c r="C98" s="37">
        <f t="shared" si="3"/>
        <v>0</v>
      </c>
      <c r="D98" s="37">
        <f>C98+'Tech Parameters'!$C$7*(D89-C98)</f>
        <v>0</v>
      </c>
      <c r="E98" s="37">
        <f>D98+'Tech Parameters'!$C$7*(E89-D98)</f>
        <v>0</v>
      </c>
      <c r="F98" s="37">
        <f>E98+'Tech Parameters'!$C$7*(F89-E98)</f>
        <v>0</v>
      </c>
      <c r="G98" s="37">
        <f>F98+'Tech Parameters'!$C$7*(G89-F98)</f>
        <v>0</v>
      </c>
      <c r="H98" s="37">
        <f>G98+'Tech Parameters'!$C$7*(H89-G98)</f>
        <v>0</v>
      </c>
      <c r="I98" s="37">
        <f>H98+'Tech Parameters'!$C$7*(I89-H98)</f>
        <v>0</v>
      </c>
      <c r="J98" s="37">
        <f>I98+'Tech Parameters'!$C$7*(J89-I98)</f>
        <v>0</v>
      </c>
      <c r="K98" s="37">
        <f>J98+'Tech Parameters'!$C$7*(K89-J98)</f>
        <v>0</v>
      </c>
      <c r="L98" s="37">
        <f>K98+'Tech Parameters'!$C$7*(L89-K98)</f>
        <v>0</v>
      </c>
      <c r="M98" s="37">
        <f>L98+'Tech Parameters'!$C$7*(M89-L98)</f>
        <v>0</v>
      </c>
      <c r="N98" s="37">
        <f>M98+'Tech Parameters'!$C$7*(N89-M98)</f>
        <v>0</v>
      </c>
    </row>
    <row r="99" spans="1:14" x14ac:dyDescent="0.45">
      <c r="A99" s="7" t="s">
        <v>18</v>
      </c>
      <c r="B99" s="7" t="s">
        <v>108</v>
      </c>
      <c r="C99" s="37">
        <f t="shared" si="3"/>
        <v>30</v>
      </c>
      <c r="D99" s="37">
        <f>C99+'Tech Parameters'!$C$7*(D90-C99)</f>
        <v>30</v>
      </c>
      <c r="E99" s="37">
        <f>D99+'Tech Parameters'!$C$7*(E90-D99)</f>
        <v>30.21334635170043</v>
      </c>
      <c r="F99" s="37">
        <f>E99+'Tech Parameters'!$C$7*(F90-E99)</f>
        <v>30.341966872353439</v>
      </c>
      <c r="G99" s="37">
        <f>F99+'Tech Parameters'!$C$7*(G90-F99)</f>
        <v>30.425927963498967</v>
      </c>
      <c r="H99" s="37">
        <f>G99+'Tech Parameters'!$C$7*(H90-G99)</f>
        <v>30.413315892889489</v>
      </c>
      <c r="I99" s="37">
        <f>H99+'Tech Parameters'!$C$7*(I90-H99)</f>
        <v>30.398111071603633</v>
      </c>
      <c r="J99" s="37">
        <f>I99+'Tech Parameters'!$C$7*(J90-I99)</f>
        <v>30.398111071603633</v>
      </c>
      <c r="K99" s="37">
        <f>J99+'Tech Parameters'!$C$7*(K90-J99)</f>
        <v>30.398111071603633</v>
      </c>
      <c r="L99" s="37">
        <f>K99+'Tech Parameters'!$C$7*(L90-K99)</f>
        <v>30.398111071603633</v>
      </c>
      <c r="M99" s="37">
        <f>L99+'Tech Parameters'!$C$7*(M90-L99)</f>
        <v>30.398111071603633</v>
      </c>
      <c r="N99" s="37">
        <f>M99+'Tech Parameters'!$C$7*(N90-M99)</f>
        <v>30.398111071603633</v>
      </c>
    </row>
    <row r="100" spans="1:14" x14ac:dyDescent="0.45">
      <c r="A100" s="7" t="s">
        <v>19</v>
      </c>
      <c r="B100" s="7" t="s">
        <v>108</v>
      </c>
      <c r="C100" s="37">
        <f t="shared" si="3"/>
        <v>0</v>
      </c>
      <c r="D100" s="37">
        <f>C100+'Tech Parameters'!$C$7*(D91-C100)</f>
        <v>0</v>
      </c>
      <c r="E100" s="37">
        <f>D100+'Tech Parameters'!$C$7*(E91-D100)</f>
        <v>0</v>
      </c>
      <c r="F100" s="37">
        <f>E100+'Tech Parameters'!$C$7*(F91-E100)</f>
        <v>0</v>
      </c>
      <c r="G100" s="37">
        <f>F100+'Tech Parameters'!$C$7*(G91-F100)</f>
        <v>0</v>
      </c>
      <c r="H100" s="37">
        <f>G100+'Tech Parameters'!$C$7*(H91-G100)</f>
        <v>0</v>
      </c>
      <c r="I100" s="37">
        <f>H100+'Tech Parameters'!$C$7*(I91-H100)</f>
        <v>0</v>
      </c>
      <c r="J100" s="37">
        <f>I100+'Tech Parameters'!$C$7*(J91-I100)</f>
        <v>0</v>
      </c>
      <c r="K100" s="37">
        <f>J100+'Tech Parameters'!$C$7*(K91-J100)</f>
        <v>0</v>
      </c>
      <c r="L100" s="37">
        <f>K100+'Tech Parameters'!$C$7*(L91-K100)</f>
        <v>0</v>
      </c>
      <c r="M100" s="37">
        <f>L100+'Tech Parameters'!$C$7*(M91-L100)</f>
        <v>0</v>
      </c>
      <c r="N100" s="37">
        <f>M100+'Tech Parameters'!$C$7*(N91-M100)</f>
        <v>0</v>
      </c>
    </row>
    <row r="101" spans="1:14" x14ac:dyDescent="0.45">
      <c r="A101" s="7" t="s">
        <v>20</v>
      </c>
      <c r="B101" s="7" t="s">
        <v>108</v>
      </c>
      <c r="C101" s="37">
        <f t="shared" si="3"/>
        <v>400</v>
      </c>
      <c r="D101" s="37">
        <f>C101+'Tech Parameters'!$C$7*(D92-C101)</f>
        <v>400</v>
      </c>
      <c r="E101" s="37">
        <f>D101+'Tech Parameters'!$C$7*(E92-D101)</f>
        <v>405.27942762672251</v>
      </c>
      <c r="F101" s="37">
        <f>E101+'Tech Parameters'!$C$7*(F92-E101)</f>
        <v>413.32533792130778</v>
      </c>
      <c r="G101" s="37">
        <f>F101+'Tech Parameters'!$C$7*(G92-F101)</f>
        <v>421.27285712774921</v>
      </c>
      <c r="H101" s="37">
        <f>G101+'Tech Parameters'!$C$7*(H92-G101)</f>
        <v>426.3637813378665</v>
      </c>
      <c r="I101" s="37">
        <f>H101+'Tech Parameters'!$C$7*(I92-H101)</f>
        <v>432.750047135599</v>
      </c>
      <c r="J101" s="37">
        <f>I101+'Tech Parameters'!$C$7*(J92-I101)</f>
        <v>432.750047135599</v>
      </c>
      <c r="K101" s="37">
        <f>J101+'Tech Parameters'!$C$7*(K92-J101)</f>
        <v>432.750047135599</v>
      </c>
      <c r="L101" s="37">
        <f>K101+'Tech Parameters'!$C$7*(L92-K101)</f>
        <v>432.750047135599</v>
      </c>
      <c r="M101" s="37">
        <f>L101+'Tech Parameters'!$C$7*(M92-L101)</f>
        <v>432.750047135599</v>
      </c>
      <c r="N101" s="37">
        <f>M101+'Tech Parameters'!$C$7*(N92-M101)</f>
        <v>432.750047135599</v>
      </c>
    </row>
    <row r="103" spans="1:14" x14ac:dyDescent="0.45">
      <c r="A103" s="13" t="s">
        <v>119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</row>
    <row r="104" spans="1:14" x14ac:dyDescent="0.45">
      <c r="A104" s="7" t="s">
        <v>15</v>
      </c>
      <c r="B104" s="7" t="s">
        <v>111</v>
      </c>
      <c r="C104" s="28">
        <f>C96*'Tech Parameters'!C24</f>
        <v>114</v>
      </c>
      <c r="D104" s="28">
        <f>D96*'Tech Parameters'!C24</f>
        <v>114</v>
      </c>
      <c r="E104" s="28">
        <f>E96*'Tech Parameters'!C24</f>
        <v>112.44947823873844</v>
      </c>
      <c r="F104" s="28">
        <f>F96*'Tech Parameters'!C24</f>
        <v>111.30786216277545</v>
      </c>
      <c r="G104" s="28">
        <f>G96*'Tech Parameters'!C24</f>
        <v>110.47728109225906</v>
      </c>
      <c r="H104" s="28">
        <f>H96*'Tech Parameters'!C24</f>
        <v>110.34883861723327</v>
      </c>
      <c r="I104" s="28">
        <f>I96*'Tech Parameters'!C24</f>
        <v>110.21242818754206</v>
      </c>
      <c r="J104" s="28">
        <f>J96*'Tech Parameters'!C24</f>
        <v>110.21242818754206</v>
      </c>
      <c r="K104" s="28">
        <f>K96*'Tech Parameters'!C24</f>
        <v>110.21242818754206</v>
      </c>
      <c r="L104" s="28">
        <f>L96*'Tech Parameters'!C24</f>
        <v>110.21242818754206</v>
      </c>
      <c r="M104" s="28">
        <f>M96*'Tech Parameters'!C24</f>
        <v>110.21242818754206</v>
      </c>
      <c r="N104" s="28">
        <f>N96*'Tech Parameters'!C24</f>
        <v>110.21242818754206</v>
      </c>
    </row>
    <row r="105" spans="1:14" x14ac:dyDescent="0.45">
      <c r="A105" s="7" t="s">
        <v>16</v>
      </c>
      <c r="B105" s="7" t="s">
        <v>111</v>
      </c>
      <c r="C105" s="28">
        <f>C97*'Tech Parameters'!C25</f>
        <v>44.800000000000004</v>
      </c>
      <c r="D105" s="28">
        <f>D97*'Tech Parameters'!C25</f>
        <v>44.800000000000004</v>
      </c>
      <c r="E105" s="28">
        <f>E97*'Tech Parameters'!C25</f>
        <v>44.935243344586361</v>
      </c>
      <c r="F105" s="28">
        <f>F97*'Tech Parameters'!C25</f>
        <v>45.002090066647455</v>
      </c>
      <c r="G105" s="28">
        <f>G97*'Tech Parameters'!C25</f>
        <v>45.025230623668165</v>
      </c>
      <c r="H105" s="28">
        <f>H97*'Tech Parameters'!C25</f>
        <v>45.023964984895329</v>
      </c>
      <c r="I105" s="28">
        <f>I97*'Tech Parameters'!C25</f>
        <v>45.018883512065869</v>
      </c>
      <c r="J105" s="28">
        <f>J97*'Tech Parameters'!C25</f>
        <v>45.018883512065869</v>
      </c>
      <c r="K105" s="28">
        <f>K97*'Tech Parameters'!C25</f>
        <v>45.018883512065869</v>
      </c>
      <c r="L105" s="28">
        <f>L97*'Tech Parameters'!C25</f>
        <v>45.018883512065869</v>
      </c>
      <c r="M105" s="28">
        <f>M97*'Tech Parameters'!C25</f>
        <v>45.018883512065869</v>
      </c>
      <c r="N105" s="28">
        <f>N97*'Tech Parameters'!C25</f>
        <v>45.018883512065869</v>
      </c>
    </row>
    <row r="106" spans="1:14" x14ac:dyDescent="0.45">
      <c r="A106" s="7" t="s">
        <v>17</v>
      </c>
      <c r="B106" s="7" t="s">
        <v>111</v>
      </c>
      <c r="C106" s="28">
        <f>C98*'Tech Parameters'!C26</f>
        <v>0</v>
      </c>
      <c r="D106" s="28">
        <f>D98*'Tech Parameters'!C26</f>
        <v>0</v>
      </c>
      <c r="E106" s="28">
        <f>E98*'Tech Parameters'!C26</f>
        <v>0</v>
      </c>
      <c r="F106" s="28">
        <f>F98*'Tech Parameters'!C26</f>
        <v>0</v>
      </c>
      <c r="G106" s="28">
        <f>G98*'Tech Parameters'!C26</f>
        <v>0</v>
      </c>
      <c r="H106" s="28">
        <f>H98*'Tech Parameters'!C26</f>
        <v>0</v>
      </c>
      <c r="I106" s="28">
        <f>I98*'Tech Parameters'!C26</f>
        <v>0</v>
      </c>
      <c r="J106" s="28">
        <f>J98*'Tech Parameters'!C26</f>
        <v>0</v>
      </c>
      <c r="K106" s="28">
        <f>K98*'Tech Parameters'!C26</f>
        <v>0</v>
      </c>
      <c r="L106" s="28">
        <f>L98*'Tech Parameters'!C26</f>
        <v>0</v>
      </c>
      <c r="M106" s="28">
        <f>M98*'Tech Parameters'!C26</f>
        <v>0</v>
      </c>
      <c r="N106" s="28">
        <f>N98*'Tech Parameters'!C26</f>
        <v>0</v>
      </c>
    </row>
    <row r="107" spans="1:14" x14ac:dyDescent="0.45">
      <c r="A107" s="7" t="s">
        <v>18</v>
      </c>
      <c r="B107" s="7" t="s">
        <v>111</v>
      </c>
      <c r="C107" s="28">
        <f>C99*'Tech Parameters'!C27</f>
        <v>2.2199999999999998</v>
      </c>
      <c r="D107" s="28">
        <f>D99*'Tech Parameters'!C27</f>
        <v>2.2199999999999998</v>
      </c>
      <c r="E107" s="28">
        <f>E99*'Tech Parameters'!C27</f>
        <v>2.2357876300258317</v>
      </c>
      <c r="F107" s="28">
        <f>F99*'Tech Parameters'!C27</f>
        <v>2.2453055485541542</v>
      </c>
      <c r="G107" s="28">
        <f>G99*'Tech Parameters'!C27</f>
        <v>2.2515186692989233</v>
      </c>
      <c r="H107" s="28">
        <f>H99*'Tech Parameters'!C27</f>
        <v>2.2505853760738219</v>
      </c>
      <c r="I107" s="28">
        <f>I99*'Tech Parameters'!C27</f>
        <v>2.2494602192986686</v>
      </c>
      <c r="J107" s="28">
        <f>J99*'Tech Parameters'!C27</f>
        <v>2.2494602192986686</v>
      </c>
      <c r="K107" s="28">
        <f>K99*'Tech Parameters'!C27</f>
        <v>2.2494602192986686</v>
      </c>
      <c r="L107" s="28">
        <f>L99*'Tech Parameters'!C27</f>
        <v>2.2494602192986686</v>
      </c>
      <c r="M107" s="28">
        <f>M99*'Tech Parameters'!C27</f>
        <v>2.2494602192986686</v>
      </c>
      <c r="N107" s="28">
        <f>N99*'Tech Parameters'!C27</f>
        <v>2.2494602192986686</v>
      </c>
    </row>
    <row r="108" spans="1:14" x14ac:dyDescent="0.45">
      <c r="A108" s="7" t="s">
        <v>19</v>
      </c>
      <c r="B108" s="7" t="s">
        <v>111</v>
      </c>
      <c r="C108" s="28">
        <f>C100*'Tech Parameters'!C28</f>
        <v>0</v>
      </c>
      <c r="D108" s="28">
        <f>D100*'Tech Parameters'!C28</f>
        <v>0</v>
      </c>
      <c r="E108" s="28">
        <f>E100*'Tech Parameters'!C28</f>
        <v>0</v>
      </c>
      <c r="F108" s="28">
        <f>F100*'Tech Parameters'!C28</f>
        <v>0</v>
      </c>
      <c r="G108" s="28">
        <f>G100*'Tech Parameters'!C28</f>
        <v>0</v>
      </c>
      <c r="H108" s="28">
        <f>H100*'Tech Parameters'!C28</f>
        <v>0</v>
      </c>
      <c r="I108" s="28">
        <f>I100*'Tech Parameters'!C28</f>
        <v>0</v>
      </c>
      <c r="J108" s="28">
        <f>J100*'Tech Parameters'!C28</f>
        <v>0</v>
      </c>
      <c r="K108" s="28">
        <f>K100*'Tech Parameters'!C28</f>
        <v>0</v>
      </c>
      <c r="L108" s="28">
        <f>L100*'Tech Parameters'!C28</f>
        <v>0</v>
      </c>
      <c r="M108" s="28">
        <f>M100*'Tech Parameters'!C28</f>
        <v>0</v>
      </c>
      <c r="N108" s="28">
        <f>N100*'Tech Parameters'!C28</f>
        <v>0</v>
      </c>
    </row>
    <row r="109" spans="1:14" x14ac:dyDescent="0.45">
      <c r="A109" s="7" t="s">
        <v>20</v>
      </c>
      <c r="B109" s="7" t="s">
        <v>111</v>
      </c>
      <c r="C109" s="28">
        <f>C101*'Tech Parameters'!C29</f>
        <v>0</v>
      </c>
      <c r="D109" s="28">
        <f>D101*'Tech Parameters'!C29</f>
        <v>0</v>
      </c>
      <c r="E109" s="28">
        <f>E101*'Tech Parameters'!C29</f>
        <v>0</v>
      </c>
      <c r="F109" s="28">
        <f>F101*'Tech Parameters'!C29</f>
        <v>0</v>
      </c>
      <c r="G109" s="28">
        <f>G101*'Tech Parameters'!C29</f>
        <v>0</v>
      </c>
      <c r="H109" s="28">
        <f>H101*'Tech Parameters'!C29</f>
        <v>0</v>
      </c>
      <c r="I109" s="28">
        <f>I101*'Tech Parameters'!C29</f>
        <v>0</v>
      </c>
      <c r="J109" s="28">
        <f>J101*'Tech Parameters'!C29</f>
        <v>0</v>
      </c>
      <c r="K109" s="28">
        <f>K101*'Tech Parameters'!C29</f>
        <v>0</v>
      </c>
      <c r="L109" s="28">
        <f>L101*'Tech Parameters'!C29</f>
        <v>0</v>
      </c>
      <c r="M109" s="28">
        <f>M101*'Tech Parameters'!C29</f>
        <v>0</v>
      </c>
      <c r="N109" s="28">
        <f>N101*'Tech Parameters'!C29</f>
        <v>0</v>
      </c>
    </row>
    <row r="110" spans="1:14" x14ac:dyDescent="0.45">
      <c r="A110" s="4" t="s">
        <v>120</v>
      </c>
      <c r="B110" s="4" t="s">
        <v>111</v>
      </c>
      <c r="C110" s="27">
        <f t="shared" ref="C110:N110" si="4">SUM(C104:C109)</f>
        <v>161.02000000000001</v>
      </c>
      <c r="D110" s="27">
        <f t="shared" si="4"/>
        <v>161.02000000000001</v>
      </c>
      <c r="E110" s="27">
        <f t="shared" si="4"/>
        <v>159.62050921335063</v>
      </c>
      <c r="F110" s="27">
        <f t="shared" si="4"/>
        <v>158.55525777797703</v>
      </c>
      <c r="G110" s="27">
        <f t="shared" si="4"/>
        <v>157.75403038522614</v>
      </c>
      <c r="H110" s="27">
        <f t="shared" si="4"/>
        <v>157.62338897820243</v>
      </c>
      <c r="I110" s="27">
        <f t="shared" si="4"/>
        <v>157.48077191890661</v>
      </c>
      <c r="J110" s="27">
        <f t="shared" si="4"/>
        <v>157.48077191890661</v>
      </c>
      <c r="K110" s="27">
        <f t="shared" si="4"/>
        <v>157.48077191890661</v>
      </c>
      <c r="L110" s="27">
        <f t="shared" si="4"/>
        <v>157.48077191890661</v>
      </c>
      <c r="M110" s="27">
        <f t="shared" si="4"/>
        <v>157.48077191890661</v>
      </c>
      <c r="N110" s="27">
        <f t="shared" si="4"/>
        <v>157.48077191890661</v>
      </c>
    </row>
    <row r="111" spans="1:14" x14ac:dyDescent="0.45">
      <c r="A111" s="4" t="s">
        <v>121</v>
      </c>
      <c r="B111" s="4" t="s">
        <v>108</v>
      </c>
      <c r="C111" s="37">
        <f t="shared" ref="C111:N111" si="5">SUM(C96:C101)</f>
        <v>2430</v>
      </c>
      <c r="D111" s="37">
        <f t="shared" si="5"/>
        <v>2430</v>
      </c>
      <c r="E111" s="37">
        <f t="shared" si="5"/>
        <v>2421.5865520056896</v>
      </c>
      <c r="F111" s="37">
        <f t="shared" si="5"/>
        <v>2418.9377629603778</v>
      </c>
      <c r="G111" s="37">
        <f t="shared" si="5"/>
        <v>2418.6395088534632</v>
      </c>
      <c r="H111" s="37">
        <f t="shared" si="5"/>
        <v>2422.3431942476955</v>
      </c>
      <c r="I111" s="37">
        <f t="shared" si="5"/>
        <v>2427.1876153779945</v>
      </c>
      <c r="J111" s="37">
        <f t="shared" si="5"/>
        <v>2427.1876153779945</v>
      </c>
      <c r="K111" s="37">
        <f t="shared" si="5"/>
        <v>2427.1876153779945</v>
      </c>
      <c r="L111" s="37">
        <f t="shared" si="5"/>
        <v>2427.1876153779945</v>
      </c>
      <c r="M111" s="37">
        <f t="shared" si="5"/>
        <v>2427.1876153779945</v>
      </c>
      <c r="N111" s="37">
        <f t="shared" si="5"/>
        <v>2427.1876153779945</v>
      </c>
    </row>
    <row r="114" spans="1:14" x14ac:dyDescent="0.45">
      <c r="A114" s="13" t="s">
        <v>122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4" x14ac:dyDescent="0.45">
      <c r="A115" s="4" t="s">
        <v>123</v>
      </c>
      <c r="B115" s="4" t="s">
        <v>111</v>
      </c>
      <c r="C115" s="27">
        <f t="shared" ref="C115:N115" si="6">C55+C110</f>
        <v>243.71</v>
      </c>
      <c r="D115" s="27">
        <f t="shared" si="6"/>
        <v>243.71</v>
      </c>
      <c r="E115" s="27">
        <f t="shared" si="6"/>
        <v>241.59681420396609</v>
      </c>
      <c r="F115" s="27">
        <f t="shared" si="6"/>
        <v>239.87332191046013</v>
      </c>
      <c r="G115" s="27">
        <f t="shared" si="6"/>
        <v>238.4762527702953</v>
      </c>
      <c r="H115" s="27">
        <f t="shared" si="6"/>
        <v>238.31611966476913</v>
      </c>
      <c r="I115" s="27">
        <f t="shared" si="6"/>
        <v>238.14340051497777</v>
      </c>
      <c r="J115" s="27">
        <f t="shared" si="6"/>
        <v>238.14340051497777</v>
      </c>
      <c r="K115" s="27">
        <f t="shared" si="6"/>
        <v>238.14340051497777</v>
      </c>
      <c r="L115" s="27">
        <f t="shared" si="6"/>
        <v>238.14340051497777</v>
      </c>
      <c r="M115" s="27">
        <f t="shared" si="6"/>
        <v>238.14340051497777</v>
      </c>
      <c r="N115" s="27">
        <f t="shared" si="6"/>
        <v>238.14340051497777</v>
      </c>
    </row>
    <row r="116" spans="1:14" x14ac:dyDescent="0.45">
      <c r="A116" s="4" t="s">
        <v>124</v>
      </c>
      <c r="B116" s="4" t="s">
        <v>108</v>
      </c>
      <c r="C116" s="37">
        <f t="shared" ref="C116:N116" si="7">C56+C111</f>
        <v>3655</v>
      </c>
      <c r="D116" s="37">
        <f t="shared" si="7"/>
        <v>3655</v>
      </c>
      <c r="E116" s="37">
        <f t="shared" si="7"/>
        <v>3638.0435493270506</v>
      </c>
      <c r="F116" s="37">
        <f t="shared" si="7"/>
        <v>3627.6991898009237</v>
      </c>
      <c r="G116" s="37">
        <f t="shared" si="7"/>
        <v>3620.4487186370698</v>
      </c>
      <c r="H116" s="37">
        <f t="shared" si="7"/>
        <v>3623.9660918578866</v>
      </c>
      <c r="I116" s="37">
        <f t="shared" si="7"/>
        <v>3628.6196891841037</v>
      </c>
      <c r="J116" s="37">
        <f t="shared" si="7"/>
        <v>3628.6196891841037</v>
      </c>
      <c r="K116" s="37">
        <f t="shared" si="7"/>
        <v>3628.6196891841037</v>
      </c>
      <c r="L116" s="37">
        <f t="shared" si="7"/>
        <v>3628.6196891841037</v>
      </c>
      <c r="M116" s="37">
        <f t="shared" si="7"/>
        <v>3628.6196891841037</v>
      </c>
      <c r="N116" s="37">
        <f t="shared" si="7"/>
        <v>3628.6196891841037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Tech Parameters</vt:lpstr>
      <vt:lpstr>TECP Calcs</vt:lpstr>
      <vt:lpstr>Baseline</vt:lpstr>
      <vt:lpstr>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2026-03-04T21:12:58Z</dcterms:created>
  <dcterms:modified xsi:type="dcterms:W3CDTF">2026-03-04T22:01:10Z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2026-03-04T21:26:33Z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6351a552-9adf-4b60-8709-925375369185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