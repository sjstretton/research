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explainer" sheetId="2" state="visible" r:id="rId4"/>
    <sheet name="benchmarks" sheetId="3" state="visible" r:id="rId5"/>
    <sheet name="egypt_facilities" sheetId="4" state="visible" r:id="rId6"/>
    <sheet name="input_data" sheetId="5" state="visible" r:id="rId7"/>
    <sheet name="calculation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<sst xmlns="http://schemas.openxmlformats.org/spreadsheetml/2006/main" count="17244" uniqueCount="3771">
  <si>
    <t xml:space="preserve">CBAM Policy Dashboard — Pass 7</t>
  </si>
  <si>
    <t xml:space="preserve">5 countries × 8 products × 12 years. 5-scope coverage flags, global MRV per product, exports-only tax option, BF-BOF integrated, NH₃ chain explicitly accounted, EF matrix included.</t>
  </si>
  <si>
    <t xml:space="preserve">1.  COUNTRY &amp; VIEW SETTINGS</t>
  </si>
  <si>
    <t xml:space="preserve">Country selector</t>
  </si>
  <si>
    <t xml:space="preserve">egy</t>
  </si>
  <si>
    <t xml:space="preserve">→</t>
  </si>
  <si>
    <t xml:space="preserve">Choose from: egy, alb, uzb, aze, ind.</t>
  </si>
  <si>
    <t xml:space="preserve">Detail year (for price-impact table)</t>
  </si>
  <si>
    <t xml:space="preserve">Year for the price-impact section.</t>
  </si>
  <si>
    <t xml:space="preserve">Pass-through θ (share of wedge to buyer prices)</t>
  </si>
  <si>
    <t xml:space="preserve">Share of carbon wedge passed to buyers (rest hits producer margins).</t>
  </si>
  <si>
    <t xml:space="preserve">2.  POLICY CHOICES</t>
  </si>
  <si>
    <t xml:space="preserve">  2a.  Coverage flags — what the domestic CP is levied on (1 = covered, 0 = not)</t>
  </si>
  <si>
    <t xml:space="preserve">    Coverage S1.fc (Scope 1 — Fuel combustion CO₂)</t>
  </si>
  <si>
    <t xml:space="preserve">Combustion fuels (heat, steam).</t>
  </si>
  <si>
    <t xml:space="preserve">    Coverage S1.fp (Scope 1 — Fuel-as-reductant CO₂)</t>
  </si>
  <si>
    <t xml:space="preserve">Fuel-as-reductant (BF coke + PCI, DRI shaft NG, SMR reformer NG).</t>
  </si>
  <si>
    <t xml:space="preserve">    Coverage S1.np (Scope 1 — Non-fuel process CO₂)</t>
  </si>
  <si>
    <t xml:space="preserve">Calcination CO₂ (cement, anode), urea CO₂ uptake (negative for urea).</t>
  </si>
  <si>
    <t xml:space="preserve">    Coverage S1.no (Scope 1 — Non-CO₂ GHG (CO₂e))</t>
  </si>
  <si>
    <t xml:space="preserve">N₂O from HNO₃, PFCs from Hall-Héroult.</t>
  </si>
  <si>
    <t xml:space="preserve">    Coverage S2 (Scope 2 — Electricity (indirect))</t>
  </si>
  <si>
    <t xml:space="preserve">Indirect electricity emissions.</t>
  </si>
  <si>
    <t xml:space="preserve">  2b.  MRV per product (global — applies to all countries; 1 = MRV verified, EU uses actual)</t>
  </si>
  <si>
    <t xml:space="preserve">    Product →</t>
  </si>
  <si>
    <t xml:space="preserve">DRI</t>
  </si>
  <si>
    <t xml:space="preserve">Scrap</t>
  </si>
  <si>
    <t xml:space="preserve">BF-BOF</t>
  </si>
  <si>
    <t xml:space="preserve">Cement</t>
  </si>
  <si>
    <t xml:space="preserve">NH₃</t>
  </si>
  <si>
    <t xml:space="preserve">Urea</t>
  </si>
  <si>
    <t xml:space="preserve">AN</t>
  </si>
  <si>
    <t xml:space="preserve">Al</t>
  </si>
  <si>
    <t xml:space="preserve">    MRV flag (edit here):</t>
  </si>
  <si>
    <t xml:space="preserve">    CBAM S2 scope (reg., Annex II = 0):</t>
  </si>
  <si>
    <t xml:space="preserve">  2c.  Tax only exports? (1 = yes — no domestic CP on home consumption; 0 = no)</t>
  </si>
  <si>
    <t xml:space="preserve">When 1, the country's CP is levied only on EU + non-EU exports (not on domestic-consumed product). Useful for politically-constrained pricing.</t>
  </si>
  <si>
    <t xml:space="preserve">3.  CARBON PRICE TIME SERIES</t>
  </si>
  <si>
    <t xml:space="preserve">row</t>
  </si>
  <si>
    <t xml:space="preserve">unit</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</si>
  <si>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</si>
  <si>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</si>
  <si>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</si>
  <si>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</si>
  <si>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</si>
  <si>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</si>
  <si>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</si>
  <si>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</si>
  <si>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</si>
  <si>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</si>
  <si>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</si>
  <si>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</si>
  <si>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EU ETS price</t>
  </si>
  <si>
    <t xml:space="preserve">EUR/tCO2</t>
  </si>
  <si>
    <t xml:space="preserve">CBAM factor</t>
  </si>
  <si>
    <t xml:space="preserve">fraction</t>
  </si>
  <si>
    <t xml:space="preserve">↓ OPTIMAL CP (captures full CBAM as country revenue)</t>
  </si>
  <si>
    <t xml:space="preserve">USD/tCO2</t>
  </si>
  <si>
    <t xml:space="preserve">↓ DOMESTIC CARBON PRICE (editable, default = optimal)</t>
  </si>
  <si>
    <t xml:space="preserve">4.  HEADLINE REVENUES (USD millions)</t>
  </si>
  <si>
    <t xml:space="preserve">EU CBAM obligation gross</t>
  </si>
  <si>
    <t xml:space="preserve">USD m</t>
  </si>
  <si>
    <t xml:space="preserve">● Country revenue on EU exports (total covered)</t>
  </si>
  <si>
    <t xml:space="preserve">    of which creditable against CBAM</t>
  </si>
  <si>
    <t xml:space="preserve">● EU CBAM retained = MAX(gross − creditable, 0)</t>
  </si>
  <si>
    <t xml:space="preserve">● Country revenue on non-EU exports</t>
  </si>
  <si>
    <t xml:space="preserve">● Country revenue on domestic consumption (zero if 2c=1)</t>
  </si>
  <si>
    <t xml:space="preserve">TOTAL COUNTRY REVENUE</t>
  </si>
  <si>
    <t xml:space="preserve">TOTAL POOL (country + EU)</t>
  </si>
  <si>
    <t xml:space="preserve">5.  PRICE IMPACT BY PRODUCT (detail year set by B6)</t>
  </si>
  <si>
    <t xml:space="preserve">Product</t>
  </si>
  <si>
    <t xml:space="preserve">Pre-policy price (USD/t)</t>
  </si>
  <si>
    <t xml:space="preserve">EU wedge — CBAM/t</t>
  </si>
  <si>
    <t xml:space="preserve">Domestic wedge — CP × covered int</t>
  </si>
  <si>
    <t xml:space="preserve">Stack on EU exports</t>
  </si>
  <si>
    <t xml:space="preserve">Stack on non-EU exports</t>
  </si>
  <si>
    <t xml:space="preserve">Stack on domestic</t>
  </si>
  <si>
    <t xml:space="preserve">Buyer price ↑ EU</t>
  </si>
  <si>
    <t xml:space="preserve">Buyer price ↑ non-EU</t>
  </si>
  <si>
    <t xml:space="preserve">Producer margin hit EU</t>
  </si>
  <si>
    <t xml:space="preserve">Producer margin hit non-EU</t>
  </si>
  <si>
    <t xml:space="preserve">DRI-EAF steel (CN 7206 (D))</t>
  </si>
  <si>
    <t xml:space="preserve">Scrap-EAF steel (CN 7206 (E))</t>
  </si>
  <si>
    <t xml:space="preserve">BF-BOF steel (CN 7206 (C))</t>
  </si>
  <si>
    <t xml:space="preserve">Cement (CN 25231000 (A))</t>
  </si>
  <si>
    <t xml:space="preserve">Ammonia (CN 28141000)</t>
  </si>
  <si>
    <t xml:space="preserve">Urea (CN 31021010)</t>
  </si>
  <si>
    <t xml:space="preserve">Ammonium nitrate (CN 31023090)</t>
  </si>
  <si>
    <t xml:space="preserve">Primary aluminium (CN 76011000 (K))</t>
  </si>
  <si>
    <t xml:space="preserve">EU wedge = CBAM/t (uses CBAM-eligible intensity, Annex II respected). Domestic wedge = CP × covered_intensity (covers whatever scopes 2a flags say). Stack on EU = max(EU wedge, dom wedge) — producer pays whichever is higher. Stack on domestic = 0 when exports-only toggle (2c) is on. θ (B7) splits each wedge between buyer prices and producer margins.</t>
  </si>
  <si>
    <t xml:space="preserve">6.  EMISSIONS FACTOR MATRIX — all products, detail year (B6)</t>
  </si>
  <si>
    <t xml:space="preserve">  6a.  Fuel emission factors (kgCO₂/GJ) — IPCC 2006 stationary combustion</t>
  </si>
  <si>
    <t xml:space="preserve">Code</t>
  </si>
  <si>
    <t xml:space="preserve">Fuel</t>
  </si>
  <si>
    <t xml:space="preserve">EF (kgCO₂/GJ)</t>
  </si>
  <si>
    <t xml:space="preserve">Source</t>
  </si>
  <si>
    <t xml:space="preserve">coa</t>
  </si>
  <si>
    <t xml:space="preserve">Coal</t>
  </si>
  <si>
    <t xml:space="preserve">IPCC 2006 Vol.2 Ch.2 — stationary combustion defaults</t>
  </si>
  <si>
    <t xml:space="preserve">nga</t>
  </si>
  <si>
    <t xml:space="preserve">Natural gas</t>
  </si>
  <si>
    <t xml:space="preserve">gso</t>
  </si>
  <si>
    <t xml:space="preserve">Gasoline</t>
  </si>
  <si>
    <t xml:space="preserve">die</t>
  </si>
  <si>
    <t xml:space="preserve">Diesel</t>
  </si>
  <si>
    <t xml:space="preserve">ker</t>
  </si>
  <si>
    <t xml:space="preserve">Kerosene</t>
  </si>
  <si>
    <t xml:space="preserve">lpg</t>
  </si>
  <si>
    <t xml:space="preserve">LPG</t>
  </si>
  <si>
    <t xml:space="preserve">bio</t>
  </si>
  <si>
    <t xml:space="preserve">Biomass</t>
  </si>
  <si>
    <t xml:space="preserve">ren</t>
  </si>
  <si>
    <t xml:space="preserve">Self-gen renewables</t>
  </si>
  <si>
    <t xml:space="preserve">  6b.  Emission intensity matrix — all products, at detail year (B6). Scope-2 included in CBAM: green = YES (Annex II); orange = NO (direct only).</t>
  </si>
  <si>
    <t xml:space="preserve">Unit</t>
  </si>
  <si>
    <t xml:space="preserve">S1.fc
combustion
(tCO₂/t)</t>
  </si>
  <si>
    <t xml:space="preserve">S1.fp
process fuel
(tCO₂/t)</t>
  </si>
  <si>
    <t xml:space="preserve">S1.np
non-fuel
process(tCO₂/t)</t>
  </si>
  <si>
    <t xml:space="preserve">S1.no
non-CO₂
(tCO₂e/t)</t>
  </si>
  <si>
    <t xml:space="preserve">S2
electricity
(tCO₂/t)</t>
  </si>
  <si>
    <t xml:space="preserve">NH₃
chain
(tCO₂/t)</t>
  </si>
  <si>
    <t xml:space="preserve">S2 in
CBAM
scope?</t>
  </si>
  <si>
    <t xml:space="preserve">Holistic
intensity
(tCO₂e/t)</t>
  </si>
  <si>
    <t xml:space="preserve">CBAM-eligible
(MRV=1)
(tCO₂e/t)</t>
  </si>
  <si>
    <t xml:space="preserve">EU
benchmark
(tCO₂/t)</t>
  </si>
  <si>
    <t xml:space="preserve">EU default
value
(tCO₂/t)</t>
  </si>
  <si>
    <t xml:space="preserve">Excess over
benchmark
(tCO₂/t)</t>
  </si>
  <si>
    <t xml:space="preserve">CN codes</t>
  </si>
  <si>
    <t xml:space="preserve">DRI-EAF steel (stl.drg)</t>
  </si>
  <si>
    <t xml:space="preserve">t</t>
  </si>
  <si>
    <t xml:space="preserve">NO</t>
  </si>
  <si>
    <t xml:space="preserve">7206(D), 7207(D)</t>
  </si>
  <si>
    <t xml:space="preserve">Scrap-EAF steel (stl.scr)</t>
  </si>
  <si>
    <t xml:space="preserve">7206(E), 7207(E)</t>
  </si>
  <si>
    <t xml:space="preserve">BF-BOF steel (stl.bof)</t>
  </si>
  <si>
    <t xml:space="preserve">7206(C), 7207(C)</t>
  </si>
  <si>
    <t xml:space="preserve">Cement (cmt.dry)</t>
  </si>
  <si>
    <t xml:space="preserve">YES</t>
  </si>
  <si>
    <t xml:space="preserve">25231000 (A)</t>
  </si>
  <si>
    <t xml:space="preserve">Ammonia (frt.amc)</t>
  </si>
  <si>
    <t xml:space="preserve">28141000</t>
  </si>
  <si>
    <t xml:space="preserve">Urea (frt.ure)</t>
  </si>
  <si>
    <t xml:space="preserve">31021010</t>
  </si>
  <si>
    <t xml:space="preserve">Ammonium nitrate (frt.nit)</t>
  </si>
  <si>
    <t xml:space="preserve">31023090</t>
  </si>
  <si>
    <t xml:space="preserve">Primary aluminium (alu.prp)</t>
  </si>
  <si>
    <t xml:space="preserve">76011000 (K)</t>
  </si>
  <si>
    <t xml:space="preserve">Other iron &amp; steel products (stl.oth)</t>
  </si>
  <si>
    <t xml:space="preserve">7201, 7202 4/6/7, 7203, 7218</t>
  </si>
  <si>
    <t xml:space="preserve">Other nitrogen fertilisers (frt.otn)</t>
  </si>
  <si>
    <t xml:space="preserve">t N</t>
  </si>
  <si>
    <t xml:space="preserve">31022100, 31028000, 3105</t>
  </si>
  <si>
    <t xml:space="preserve">CBAM-eligible intensity (col 11) = holistic minus S2 × (1-cs2): for iron/steel and aluminium (cs2=0, S2 NOT in scope), CBAM intensity = direct only. For cement and fertilisers (cs2=1, S2 IN scope), CBAM intensity = holistic. Excess (col 14) = MAX(CBAM-eligible − benchmark, 0). Holistic and CBAM intensities respond dynamically to country selector (B5) and detail year (B6). Benchmark and default values are fixed regulatory values (IR 2025/2621 column B). For frt.otn, intensities are in tCO₂e per tonne of N.</t>
  </si>
  <si>
    <t xml:space="preserve">View</t>
  </si>
  <si>
    <t xml:space="preserve">DRI-EAF steel</t>
  </si>
  <si>
    <t xml:space="preserve">Holistic</t>
  </si>
  <si>
    <t xml:space="preserve">MRV/CBAM</t>
  </si>
  <si>
    <t xml:space="preserve">Scrap-EAF steel</t>
  </si>
  <si>
    <t xml:space="preserve">BF-BOF steel</t>
  </si>
  <si>
    <t xml:space="preserve">Ammonia</t>
  </si>
  <si>
    <t xml:space="preserve">Ammonium nitrate</t>
  </si>
  <si>
    <t xml:space="preserve">Primary aluminium</t>
  </si>
  <si>
    <t xml:space="preserve">8.  NH₃ CHAIN ACCOUNTING — transparency block (detail year set by B6)</t>
  </si>
  <si>
    <t xml:space="preserve">The NH₃ chain accounting cascades ONLY the direct emissions of upstream ammonia to downstream products (urea, AN). Ammonia's own scope-2 (electricity used at the NH₃ plant) is NOT cascaded — that would double-count electricity. Each downstream product accounts for its own scope-2 separately based on its own electricity consumption. Negative S1.np for urea (−0.733 tCO₂/t) represents CO₂ uptake during urea synthesis (which is then re-released when urea is applied as fertiliser — outside the production boundary).</t>
  </si>
  <si>
    <t xml:space="preserve">NH₃ factor (t NH₃/t)</t>
  </si>
  <si>
    <t xml:space="preserve">NH₃ direct intensity (tCO₂/t NH₃)</t>
  </si>
  <si>
    <t xml:space="preserve">NH₃ S2 intensity (tCO₂/t NH₃, NOT cascaded)</t>
  </si>
  <si>
    <t xml:space="preserve">Embedded NH₃ direct (tCO₂/t product)</t>
  </si>
  <si>
    <t xml:space="preserve">Own S1.fc + S1.fp + S1.np + S1.no (tCO₂/t product)</t>
  </si>
  <si>
    <t xml:space="preserve">Own S2 (tCO₂/t product)</t>
  </si>
  <si>
    <t xml:space="preserve">Total holistic (tCO₂/t product)</t>
  </si>
  <si>
    <t xml:space="preserve">Accounting check: Holistic intensity (col 8) = embedded NH₃ direct + own direct + own S2 = col 5 + col 6 + col 7. For urea/AN, the NH₃ feedstock factor (col 2) is non-zero so col 5 captures the upstream chain. For ammonia itself and others, col 5 is zero (no upstream NH₃). NH₃ S2 (col 4) is shown for reference but is NEVER added to downstream products — only ammonia itself charges that scope.</t>
  </si>
  <si>
    <t xml:space="preserve">9.  PRODUCT REFERENCE — CN codes (EU Reg 2023/956 Annex I)</t>
  </si>
  <si>
    <t xml:space="preserve">Internal code</t>
  </si>
  <si>
    <t xml:space="preserve">CN code</t>
  </si>
  <si>
    <t xml:space="preserve">Route indicator</t>
  </si>
  <si>
    <t xml:space="preserve">Description (Annex I)</t>
  </si>
  <si>
    <t xml:space="preserve">stl.drg</t>
  </si>
  <si>
    <t xml:space="preserve">7206</t>
  </si>
  <si>
    <t xml:space="preserve">(D) Carbon Steel based on DRI/EAF</t>
  </si>
  <si>
    <t xml:space="preserve">Iron and non-alloy steel in ingots or other primary forms</t>
  </si>
  <si>
    <t xml:space="preserve">stl.scr</t>
  </si>
  <si>
    <t xml:space="preserve">(E) Carbon Steel based on Scrap/EAF</t>
  </si>
  <si>
    <t xml:space="preserve">stl.bof</t>
  </si>
  <si>
    <t xml:space="preserve">(C) Carbon Steel based on BF/BOF</t>
  </si>
  <si>
    <t xml:space="preserve">cmt.dry</t>
  </si>
  <si>
    <t xml:space="preserve">25231000</t>
  </si>
  <si>
    <t xml:space="preserve">(A) grey clinker/cement</t>
  </si>
  <si>
    <t xml:space="preserve">Cement clinkers</t>
  </si>
  <si>
    <t xml:space="preserve">frt.amc</t>
  </si>
  <si>
    <t xml:space="preserve">—</t>
  </si>
  <si>
    <t xml:space="preserve">Ammonia, anhydrous</t>
  </si>
  <si>
    <t xml:space="preserve">frt.ure</t>
  </si>
  <si>
    <t xml:space="preserve">Urea, containing more than 45% by weight of nitrogen on the dry anhydrous product</t>
  </si>
  <si>
    <t xml:space="preserve">frt.nit</t>
  </si>
  <si>
    <t xml:space="preserve">Ammonium nitrate (excl. in aqueous solution)</t>
  </si>
  <si>
    <t xml:space="preserve">alu.prp</t>
  </si>
  <si>
    <t xml:space="preserve">76011000</t>
  </si>
  <si>
    <t xml:space="preserve">(K) primary Aluminium</t>
  </si>
  <si>
    <t xml:space="preserve">Unwrought aluminium, not alloyed</t>
  </si>
  <si>
    <t xml:space="preserve">stl.oth  |  Other iron &amp; steel products  |  CN: 7201/7202/7203/2601/7218  |  Mixed precursors (see notes)  |  Pig iron, ferroalloys FeMn/FeCr/FeNi, traded DRI, sintered ore, stainless; blended benchmark 1.22 tCO₂/t</t>
  </si>
  <si>
    <t xml:space="preserve">frt.otn  |  Other nitrogen fertilisers  |  CN: 31022100/31028000/3105  |  Unit: t N  |  Ammonium sulphate, UAN, NPK/N compounds; expressed per tonne N; blended benchmark 2.82 tCO₂/t N</t>
  </si>
  <si>
    <t xml:space="preserve">Pass 8 — Explainer &amp; Legend</t>
  </si>
  <si>
    <t xml:space="preserve">What this workbook does, how the levers work, and how to read each sheet.</t>
  </si>
  <si>
    <t xml:space="preserve">1.  What this workbook models</t>
  </si>
  <si>
    <t xml:space="preserve">Scope</t>
  </si>
  <si>
    <t xml:space="preserve">5 countries (Egypt, Albania, Uzbekistan, Azerbaijan, India) × 8 CBAM-eligible products × 12 years (2024–2035). Tracks production, exports, emissions across 5 scope buckets, EU CBAM obligations, and optimal country-level carbon-pricing responses.</t>
  </si>
  <si>
    <t xml:space="preserve">Products</t>
  </si>
  <si>
    <t xml:space="preserve">DRI-EAF steel, Scrap-EAF steel, BF-BOF steel, Cement, Ammonia, Urea, Ammonium nitrate, Primary aluminium. Each carries its EU CN code (Combined Nomenclature). See dashboard section 9 for the full product reference card.</t>
  </si>
  <si>
    <t xml:space="preserve">Five scope buckets</t>
  </si>
  <si>
    <t xml:space="preserve">S1.fc — fuel combustion CO₂.  S1.fp — fuel-as-reductant CO₂ (BF coke, DRI shaft NG, SMR reformer NG).  S1.np — non-fuel process CO₂ (calcination, urea uptake).  S1.no — non-CO₂ GHG (N₂O, PFCs).  S2 — electricity.</t>
  </si>
  <si>
    <t xml:space="preserve">Coverage flags</t>
  </si>
  <si>
    <t xml:space="preserve">Each scope has an independent on/off flag on the dashboard (2a, cells B11–B15). These say what the country's domestic CP is levied on. They do NOT change the regulatory definition of CBAM scope — that's the cs2 flag per product (EU Reg 2023/956 Annex II: cs2=0 for iron/steel and aluminium; cs2=1 for cement, fertilisers).</t>
  </si>
  <si>
    <t xml:space="preserve">2.  What's new in Pass 8</t>
  </si>
  <si>
    <t xml:space="preserve">Finalised CBAM benchmarks</t>
  </si>
  <si>
    <t xml:space="preserve">IR (EU) 2025/2621 adopted 16 Dec 2025. Default-value pathway benchmarks (column B): BF-BOF 1.370 (was 1.530), DRI-EAF 0.481 (was 1.033), Scrap-EAF 0.072 (was 0.288), Cement clinker 0.666 (was 0.693), Aluminium 1.423 (was 1.484). Ammonia, urea, AN unchanged. The scrap drop is the largest in proportional terms and pulls recycled steel firmly into the CBAM net. EU defaults reset to ~20% above the new benchmarks.</t>
  </si>
  <si>
    <t xml:space="preserve">Declining grid emission factors</t>
  </si>
  <si>
    <t xml:space="preserve">Grid EFs are now 12-year time series, declining linearly from 2024 anchor to 2035 end-point per each country's NDC trajectory. Egypt 0.510 → 0.400; Albania 0.045 → 0.035; Uzbekistan 0.540 → 0.420; Azerbaijan 0.460 → 0.370; India 0.713 → 0.500 tCO₂/MWh. The s2e formula resolves the year-indexed value; everything downstream (intensities, CBAM obligation, optimal CP) responds automatically.</t>
  </si>
  <si>
    <t xml:space="preserve">Product CN codes</t>
  </si>
  <si>
    <t xml:space="preserve">Each product now carries its EU Combined Nomenclature code from Reg 2023/956 Annex I and the IR 2025/2621 route indicator where applicable: steel CN 7206 with (C) BF-BOF, (D) DRI-EAF, (E) Scrap-EAF; cement clinker CN 25231000 (A) grey; aluminium CN 76011000 (K) primary; ammonia CN 28141000; urea CN 31021010; AN CN 31023090. Visible in dashboard Section 5 (price impact) and Section 6b (EF matrix), with a full reference table in Section 9.</t>
  </si>
  <si>
    <t xml:space="preserve">3.  Carried over from Pass 7</t>
  </si>
  <si>
    <t xml:space="preserve">India added</t>
  </si>
  <si>
    <t xml:space="preserve">Fifth country with realistic 2024 production: ~150 Mt crude steel (110 BF-BOF, 32 DRI-EAF, 8 scrap), 440 Mt cement, 17 Mt NH₃, 30 Mt urea, 4.1 Mt aluminium.</t>
  </si>
  <si>
    <t xml:space="preserve">BF-BOF integrated</t>
  </si>
  <si>
    <t xml:space="preserve">BF-BOF steel is a regular entity in every country's matrix.</t>
  </si>
  <si>
    <t xml:space="preserve">5-scope coverage flags</t>
  </si>
  <si>
    <t xml:space="preserve">Independent on/off flags per scope.</t>
  </si>
  <si>
    <t xml:space="preserve">Global MRV per product</t>
  </si>
  <si>
    <t xml:space="preserve">Single row B19:I19, one cell per product, applies to all 5 countries.</t>
  </si>
  <si>
    <t xml:space="preserve">Exports-only tax toggle</t>
  </si>
  <si>
    <t xml:space="preserve">B22: when 1, CP levied only on exports (EU + non-EU).</t>
  </si>
  <si>
    <t xml:space="preserve">NH₃ chain transparency</t>
  </si>
  <si>
    <t xml:space="preserve">Dashboard Section 8 makes the upstream ammonia chain visible. Only direct emissions of ammonia cascade into urea/AN; S2 of ammonia is shown but NOT cascaded.</t>
  </si>
  <si>
    <t xml:space="preserve">EF matrix display</t>
  </si>
  <si>
    <t xml:space="preserve">Dashboard Section 6: fuel EFs and per-product calculated intensities.</t>
  </si>
  <si>
    <t xml:space="preserve">4.  Key levers — what to move first</t>
  </si>
  <si>
    <t xml:space="preserve">B5 — country</t>
  </si>
  <si>
    <t xml:space="preserve">Pick from egy/alb/uzb/aze/ind. Everything redraws.</t>
  </si>
  <si>
    <t xml:space="preserve">B6 — detail year</t>
  </si>
  <si>
    <t xml:space="preserve">Year for Section 5 (price impact) and Section 6b (per-product intensities).</t>
  </si>
  <si>
    <t xml:space="preserve">B7 — pass-through θ</t>
  </si>
  <si>
    <t xml:space="preserve">Share of wedge passed to buyer prices vs producer margins. Default 0.7.</t>
  </si>
  <si>
    <t xml:space="preserve">B11–B15 — coverage flags</t>
  </si>
  <si>
    <t xml:space="preserve">Independent on/off for fc, fp, np, no, s2. Whether S2 is credited against CBAM is separately gated by cs2 (row 20).</t>
  </si>
  <si>
    <t xml:space="preserve">B19:I19 — MRV per product</t>
  </si>
  <si>
    <t xml:space="preserve">1 if exporter has actual MRV data; 0 to use EU default. Global per product.</t>
  </si>
  <si>
    <t xml:space="preserve">B22 — exports-only tax</t>
  </si>
  <si>
    <t xml:space="preserve">0: CP levied on all production. 1: only on exports.</t>
  </si>
  <si>
    <t xml:space="preserve">Row 29 — domestic CP</t>
  </si>
  <si>
    <t xml:space="preserve">Defaults to optimal CP from row 28. Edit to test sub-optimal or over-shooting pricing.</t>
  </si>
  <si>
    <t xml:space="preserve">5.  Sheets in this workbook</t>
  </si>
  <si>
    <t xml:space="preserve">dashboard</t>
  </si>
  <si>
    <t xml:space="preserve">Inputs and headline outputs (9 sections including the new CN reference card).</t>
  </si>
  <si>
    <t xml:space="preserve">explainer</t>
  </si>
  <si>
    <t xml:space="preserve">This sheet.</t>
  </si>
  <si>
    <t xml:space="preserve">input_data</t>
  </si>
  <si>
    <t xml:space="preserve">1,064 rows keyed by code (cty.dom.par.sec.prc.sub). Universal time series, fuel EFs, per-entity constants, country-level constants (grid EFs now time series), per-country blocks, and Section 7 product CN codes.</t>
  </si>
  <si>
    <t xml:space="preserve">calculations</t>
  </si>
  <si>
    <t xml:space="preserve">284 rows. Country-aware. Uniform per-entity block. s2e resolves year-indexed grid EF.</t>
  </si>
  <si>
    <t xml:space="preserve">6.  Methodology notes</t>
  </si>
  <si>
    <t xml:space="preserve">Two CBAM benchmark columns</t>
  </si>
  <si>
    <t xml:space="preserve">EU Reg 2025/2621 specifies separate benchmarks for column A (use with actual measured data) and column B (use with default values). The workbook uses column B uniformly — adequate for first-pass policy analysis. Splitting them is a candidate refinement.</t>
  </si>
  <si>
    <t xml:space="preserve">CBAM factor schedule</t>
  </si>
  <si>
    <t xml:space="preserve">EU Reg 2025/2620: 2.5% 2026, 5% 2027, 10% 2028, 22.5% 2029, 48.5% 2030, 61% 2031, 73.5% 2032, 86% 2033, 100% 2034.</t>
  </si>
  <si>
    <t xml:space="preserve">CBAM scope per product (cs2)</t>
  </si>
  <si>
    <t xml:space="preserve">EU Reg 2023/956 Annex II: direct + indirect (S2) for cement, fertilisers, hydrogen. Direct only for iron &amp; steel and aluminium.</t>
  </si>
  <si>
    <t xml:space="preserve">NH₃ chain accounting</t>
  </si>
  <si>
    <t xml:space="preserve">Urea embeds 0.567 t NH₃/t; AN embeds 0.213 t NH₃/t. Only ammonia direct emissions cascade — S2 is NOT cascaded because each downstream product accounts for its own electricity.</t>
  </si>
  <si>
    <t xml:space="preserve">Optimal carbon price</t>
  </si>
  <si>
    <t xml:space="preserve">Row 28: country-level CP that captures the CBAM gross as country revenue. Derived as CBAM_gross / (Σ EU_exports × creditable_intensity).</t>
  </si>
  <si>
    <t xml:space="preserve">Grid EF trajectories</t>
  </si>
  <si>
    <t xml:space="preserve">Linear interpolation between IEA 2024 anchors and 2035 NDC-consistent end-points.</t>
  </si>
  <si>
    <t xml:space="preserve">7.  Key regulatory references</t>
  </si>
  <si>
    <t xml:space="preserve">EU Reg 2023/956</t>
  </si>
  <si>
    <t xml:space="preserve">CBAM regulation. Annex I lists covered CN codes; Annex II scope (direct vs direct+indirect).</t>
  </si>
  <si>
    <t xml:space="preserve">EU IR 2025/2620</t>
  </si>
  <si>
    <t xml:space="preserve">CBAM phase-in schedule; free allocation adjustment rules.</t>
  </si>
  <si>
    <t xml:space="preserve">EU IR 2025/2621</t>
  </si>
  <si>
    <t xml:space="preserve">Final CBAM benchmarks (column A vs B) and default values, 16 Dec 2025.</t>
  </si>
  <si>
    <t xml:space="preserve">IPCC 2006 Vol. 2 Ch. 2</t>
  </si>
  <si>
    <t xml:space="preserve">Stationary combustion emission factors per fuel.</t>
  </si>
  <si>
    <t xml:space="preserve">IEA Emission Factors 2025</t>
  </si>
  <si>
    <t xml:space="preserve">Grid EF 2024 anchors.</t>
  </si>
  <si>
    <t xml:space="preserve">Climate Action Tracker 2026</t>
  </si>
  <si>
    <t xml:space="preserve">India 2035 NDC (60% non-fossil capacity).</t>
  </si>
  <si>
    <t xml:space="preserve">CBAM Benchmarks and Default Values — Regulatory Reference Sheet</t>
  </si>
  <si>
    <t xml:space="preserve">1.  What benchmarks and default values are, and why they differ</t>
  </si>
  <si>
    <t xml:space="preserve">The two pathways</t>
  </si>
  <si>
    <t xml:space="preserve">CBAM uses two distinct pathways to determine embedded emissions for the purpose of calculating how many certificates an EU importer must surrender:
PATHWAY A — Actual verified data. The non-EU producer provides verified actual embedded emissions, certified by an accredited CBAM verifier under the rules in Implementing Regulation (EU) 2025/2547. This uses the Column A benchmark.
PATHWAY B — Default values. Where actual data is not available or not verified, the EU importer uses country-specific and product-specific default values from Implementing Regulation (EU) 2025/2621. This uses the Column B benchmark.
The benchmark (BM) enters the formula as a deduction — it represents the quantity of emissions already implicitly allocated for free under the EU ETS. A higher benchmark means more is deducted, so the CBAM cost is lower. Column B benchmarks are set higher than Column A for most products (notably steel), meaning importers using default values face a smaller penalty from the benchmark deduction — but they pay the higher default emission value, which typically more than offsets this.</t>
  </si>
  <si>
    <t xml:space="preserve">The CBAM formula (definitive phase, from 2026)</t>
  </si>
  <si>
    <t xml:space="preserve">CBAM certificates to surrender = max( SEE − SEFA, 0 )  ×  CBAM factor
Where:
  SEE  = Specific Embedded Emissions (tCO₂e/t), determined by Pathway A or B
  SEFA = Specific Embedded Free Allocation (tCO₂e/t) = CBAM factor × BM × CSCF
  CBAM factor = phase-in share of certificates to be purchased (IR 2025/2620 Annex)
                2026: 2.5%  |  2027: 5.0%  |  2028: 10%  |  2029: 22.5%
                2030: 48.5% |  2031: 61%   |  2032: 73.5%|  2033: 86%
                2034+: 100%
  BM   = CBAM benchmark (Column A or B depending on pathway) from IR 2025/2621
  CSCF = Cross-Sectoral Correction Factor (EU ETS parameter; currently 1.0 for 2026–2030)
Certificate price = quarterly average EU ETS price (EUR/tCO₂)
Total CBAM cost = certificates × certificate price
In this model's simplified form:
  CBAM/t = max( MRV_intensity − BM × (1 − CBAM_factor), 0 ) × ETS_price × FX × active
(The (1 − CBAM_factor) term comes from: SEFA = CBAM_factor × BM, so BM − SEFA = BM × (1 − CBAM_factor))</t>
  </si>
  <si>
    <t xml:space="preserve">Credit for carbon prices already paid</t>
  </si>
  <si>
    <t xml:space="preserve">Article 9 of Regulation (EU) 2023/956: the number of certificates to be surrendered is reduced by a carbon price effectively paid in the country of origin. The carbon price already paid must be officially established, legally binding, and not reimbursed or compensated in any other way. This is the mechanism by which an exporting country can capture CBAM revenue as domestic fiscal revenue — by levying an equivalent domestic carbon price and having it recognised as creditable. The model calculates the optimal carbon price as the level at which the domestic charge exactly equals the CBAM gross, resulting in zero EU net retention.</t>
  </si>
  <si>
    <t xml:space="preserve">Mark-up on default values</t>
  </si>
  <si>
    <t xml:space="preserve">Per IR 2025/2621 Recital 15 and Article 3(2): default values carry a mark-up above the country-specific average to incentivise verified actual data reporting. Mark-ups:
  2026: +10%  |  2027: +20%  |  2028 onwards: +30%
Exception: fertilisers carry a +1% mark-up only (2026–2028), per Omnibus simplification (Regulation (EU) 2025/2083), citing agricultural price sensitivity and food security.
The model currently uses a single EU default value per product (~20% above benchmark) as a simplified proxy for the definitive-phase default pathway. Country-specific default values from IR 2025/2621 Annex I are cited below.</t>
  </si>
  <si>
    <t xml:space="preserve">2.  IR (EU) 2025/2620 — CBAM factor schedule (near-verbatim from Annex)</t>
  </si>
  <si>
    <t xml:space="preserve">Legal citation</t>
  </si>
  <si>
    <t xml:space="preserve">Commission Implementing Regulation (EU) 2025/2620 of 16 December 2025 laying down rules for the application of Regulation (EU) 2023/956 as regards the calculation of the free allocation adjustment to the number of CBAM certificates to be surrendered. OJ L 2025/2620, 22.12.2025.</t>
  </si>
  <si>
    <t xml:space="preserve">CBAM factor schedule (Annex, Table 1)</t>
  </si>
  <si>
    <t xml:space="preserve">Reporting year | CBAM factor
2026           | 0.025 (2.5%)
2027           | 0.050 (5.0%)
2028           | 0.100 (10.0%)
2029           | 0.225 (22.5%)
2030           | 0.485 (48.5%)
2031           | 0.610 (61.0%)
2032           | 0.735 (73.5%)
2033           | 0.860 (86.0%)
2034+          | 1.000 (100.0%)
NOTE: 'Reporting year' is the calendar year of import. Certificates are surrendered by 31 May of the following year (first surrender by 31 May 2027 for 2026 imports).</t>
  </si>
  <si>
    <t xml:space="preserve">3.  IR (EU) 2025/2621 — Benchmarks and default values (Annex I, selected)</t>
  </si>
  <si>
    <t xml:space="preserve">Commission Implementing Regulation (EU) 2025/2621 of 16 December 2025 laying down rules for the application of Regulation (EU) 2023/956 as regards the establishment of default values. OJ L 2025/2621, 22.12.2025. Applies from 1 January 2026.</t>
  </si>
  <si>
    <t xml:space="preserve">Production route indicators (from Annex I introduction)</t>
  </si>
  <si>
    <t xml:space="preserve">(A) grey clinker / cement
(B) white clinker / cement
(C) Carbon Steel based on BF/BOF
(D) Carbon Steel based on DRI/EAF
(E) Carbon Steel based on Scrap/EAF
(F) Low alloy Steel based on BF/BOF
(G) Low alloy Steel based on DRI/EAF
(H) Low alloy Steel based on Scrap/EAF
(J) High alloy Steel (based on EAF)
(K) Primary Aluminium
(L) Secondary Aluminium
Where more than one benchmark value is given for a specific CN code, indicators shown in parentheses identify which production route applies.</t>
  </si>
  <si>
    <t xml:space="preserve">Note on Column A vs Column B</t>
  </si>
  <si>
    <t xml:space="preserve">Column A (BMg*): Benchmark for use when actual verified emissions are reported. Applies when Pathway A is used. Values marked * are subject to annual update.
Column B (BMg): Benchmark for use when default values are applied (Pathway B). Generally higher than Column A for steel (reflecting the higher EU ETS allocation basis for default-value users), and similar or identical for other sectors.</t>
  </si>
  <si>
    <t xml:space="preserve">CN description</t>
  </si>
  <si>
    <t xml:space="preserve">Route</t>
  </si>
  <si>
    <t xml:space="preserve">Column A (BMg*)
tCO₂e/t</t>
  </si>
  <si>
    <t xml:space="preserve">Column B (BMg)
tCO₂e/t</t>
  </si>
  <si>
    <t xml:space="preserve">Model entity</t>
  </si>
  <si>
    <t xml:space="preserve">Notes</t>
  </si>
  <si>
    <t xml:space="preserve">25070080</t>
  </si>
  <si>
    <t xml:space="preserve">Kaolinic clays (other than kaolin)</t>
  </si>
  <si>
    <t xml:space="preserve">cmt.dry (proxy)</t>
  </si>
  <si>
    <t xml:space="preserve">Same benchmark as grey clinker</t>
  </si>
  <si>
    <t xml:space="preserve">(A)</t>
  </si>
  <si>
    <t xml:space="preserve">Grey clinker; (B) white = 0.859</t>
  </si>
  <si>
    <t xml:space="preserve">Cement clinkers — white</t>
  </si>
  <si>
    <t xml:space="preserve">(B)</t>
  </si>
  <si>
    <t xml:space="preserve">— (not modelled)</t>
  </si>
  <si>
    <t xml:space="preserve">White clinker benchmark</t>
  </si>
  <si>
    <t xml:space="preserve">25232100</t>
  </si>
  <si>
    <t xml:space="preserve">Portland cement, excl. white, whether or not coloured</t>
  </si>
  <si>
    <t xml:space="preserve">25232900</t>
  </si>
  <si>
    <t xml:space="preserve">Cement other than Portland</t>
  </si>
  <si>
    <t xml:space="preserve">Iron and non-alloy steel, ingots or primary forms</t>
  </si>
  <si>
    <t xml:space="preserve">(C)</t>
  </si>
  <si>
    <t xml:space="preserve">BF/BOF carbon steel</t>
  </si>
  <si>
    <t xml:space="preserve">(D)</t>
  </si>
  <si>
    <t xml:space="preserve">DRI/EAF carbon steel</t>
  </si>
  <si>
    <t xml:space="preserve">(E)</t>
  </si>
  <si>
    <t xml:space="preserve">Scrap/EAF carbon steel</t>
  </si>
  <si>
    <t xml:space="preserve">7207</t>
  </si>
  <si>
    <t xml:space="preserve">Semi-finished products, iron or non-alloy steel</t>
  </si>
  <si>
    <t xml:space="preserve">7201</t>
  </si>
  <si>
    <t xml:space="preserve">Pig iron and spiegeleisen in pigs, blocks or other primary forms</t>
  </si>
  <si>
    <t xml:space="preserve">stl.oth (component)</t>
  </si>
  <si>
    <t xml:space="preserve">No route split — single benchmark ~1.9 tCO₂/t</t>
  </si>
  <si>
    <t xml:space="preserve">7202 4</t>
  </si>
  <si>
    <t xml:space="preserve">Ferro-manganese (FeMn)</t>
  </si>
  <si>
    <t xml:space="preserve">7202 6</t>
  </si>
  <si>
    <t xml:space="preserve">Ferro-chromium (FeCr)</t>
  </si>
  <si>
    <t xml:space="preserve">Approx.; range 3–5 depending on grade</t>
  </si>
  <si>
    <t xml:space="preserve">7202 7</t>
  </si>
  <si>
    <t xml:space="preserve">Ferro-nickel (FeNi)</t>
  </si>
  <si>
    <t xml:space="preserve">Approx.; range 5–6</t>
  </si>
  <si>
    <t xml:space="preserve">7203</t>
  </si>
  <si>
    <t xml:space="preserve">Ferrous products from direct reduction of iron ore</t>
  </si>
  <si>
    <t xml:space="preserve">stl.drg / stl.oth</t>
  </si>
  <si>
    <t xml:space="preserve">Same benchmark as DRI-EAF steel route</t>
  </si>
  <si>
    <t xml:space="preserve">28142000</t>
  </si>
  <si>
    <t xml:space="preserve">Ammonia, in aqueous solution</t>
  </si>
  <si>
    <t xml:space="preserve">frt.amc (proxy)</t>
  </si>
  <si>
    <t xml:space="preserve">Urea, whether or not in aqueous solution, &gt; 45% N</t>
  </si>
  <si>
    <t xml:space="preserve">Col A very low (CO₂ uptake); Col B used for default</t>
  </si>
  <si>
    <t xml:space="preserve">Ammonium nitrate, excl. aqueous solution</t>
  </si>
  <si>
    <t xml:space="preserve">31022100</t>
  </si>
  <si>
    <t xml:space="preserve">Ammonium sulphate</t>
  </si>
  <si>
    <t xml:space="preserve">frt.otn (component)</t>
  </si>
  <si>
    <t xml:space="preserve">Approx. from IFA/EFMA; IR 2025/2621 exact value</t>
  </si>
  <si>
    <t xml:space="preserve">31028000</t>
  </si>
  <si>
    <t xml:space="preserve">Urea ammonium nitrate (UAN) solution</t>
  </si>
  <si>
    <t xml:space="preserve">Approx. blend of urea + AN benchmarks</t>
  </si>
  <si>
    <t xml:space="preserve">3105</t>
  </si>
  <si>
    <t xml:space="preserve">Mixed N fertilisers (NPK/NP, excl. 31056000)</t>
  </si>
  <si>
    <t xml:space="preserve">Per tonne product; N fraction benchmark ~3 tCO₂/t N</t>
  </si>
  <si>
    <t xml:space="preserve">Aluminium, unwrought, not alloyed</t>
  </si>
  <si>
    <t xml:space="preserve">(K)</t>
  </si>
  <si>
    <t xml:space="preserve">76012000</t>
  </si>
  <si>
    <t xml:space="preserve">Aluminium, unwrought, alloyed</t>
  </si>
  <si>
    <t xml:space="preserve">(L)</t>
  </si>
  <si>
    <t xml:space="preserve">— (not modelled; zero for recycled)</t>
  </si>
  <si>
    <t xml:space="preserve">Secondary aluminium — near-zero benchmark</t>
  </si>
  <si>
    <t xml:space="preserve">76041000</t>
  </si>
  <si>
    <t xml:space="preserve">Bars and rods, of aluminium, not alloyed</t>
  </si>
  <si>
    <t xml:space="preserve">alu.prp (proxy)</t>
  </si>
  <si>
    <t xml:space="preserve">Primary + 0.056 forming</t>
  </si>
  <si>
    <t xml:space="preserve">76061100</t>
  </si>
  <si>
    <t xml:space="preserve">Plates and sheets, of aluminium, not alloyed, &gt; 0.2mm</t>
  </si>
  <si>
    <t xml:space="preserve">76071100</t>
  </si>
  <si>
    <t xml:space="preserve">Aluminium foil, not backed, rolled but not further worked</t>
  </si>
  <si>
    <t xml:space="preserve">28041000</t>
  </si>
  <si>
    <t xml:space="preserve">Hydrogen, whether or not compressed</t>
  </si>
  <si>
    <t xml:space="preserve">Green H₂ near-zero; grey H₂ ~10 tCO₂/t not covered</t>
  </si>
  <si>
    <t xml:space="preserve">Key observations from the benchmark table</t>
  </si>
  <si>
    <t xml:space="preserve">1. The Column A / Column B distinction is consequential only for urea (Col A = 0.053, Col B = 0.902 — a 17× difference reflecting that urea's actual embedded emissions are very low when modern plants are measured, but the default pathway is conservative).
2. For steel, Column A and Column B benchmarks are identical (1.370 / 0.481 / 0.072). The pathway distinction matters only through the embedded emissions (SEE): Pathway A uses actual measured intensities, Pathway B uses conservative country-specific defaults that for high-intensity origins (China, India, Indonesia) are often 2–3× the benchmark.
3. The scrap-EAF benchmark (0.072 tCO₂/t) dropped sharply from the provisional 0.288 in the final IR 2025/2621 regulation. This reflects the principle that scrap steel carries zero embedded emissions from upstream ore processing — the benchmark now reflects only the marginal melting and refining emissions.
4. Ferroalloy benchmarks are approximate in this model. The exact values per CN code and alloy grade are in Annex I of IR 2025/2621, which should be consulted directly for compliance calculations.</t>
  </si>
  <si>
    <t xml:space="preserve">Egypt — CBAM-relevant facilities by sector</t>
  </si>
  <si>
    <t xml:space="preserve">All facilities in Egypt producing CBAM-eligible goods as of 2024/2025. 'Facility' here corresponds to what the CBAM regulation calls an 'installation' — the production unit whose embedded emissions must be reported. Each row is one facility. Multiple facilities within one corporate group are listed separately. CBAM reporting is at installation level, not company level. Sources: GEM Steel Plant Tracker, Ezz Steel IR, Cemnet.com, Abu Qir/MOPCO/KIMA annual reports, USGS Mineral Yearbooks, IAI, Egyptian Fertilizer Association.</t>
  </si>
  <si>
    <t xml:space="preserve">SECTION A — Iron &amp; Steel (CBAM CN 7206/7207 and related)</t>
  </si>
  <si>
    <t xml:space="preserve">#</t>
  </si>
  <si>
    <t xml:space="preserve">Facility / installation name</t>
  </si>
  <si>
    <t xml:space="preserve">Operating company</t>
  </si>
  <si>
    <t xml:space="preserve">Location</t>
  </si>
  <si>
    <t xml:space="preserve">CBAM entity
(model code)</t>
  </si>
  <si>
    <t xml:space="preserve">Technology /
process route</t>
  </si>
  <si>
    <t xml:space="preserve">Annual capacity
(Mt/yr crude steel)</t>
  </si>
  <si>
    <t xml:space="preserve">Approx. 2024
actual output</t>
  </si>
  <si>
    <t xml:space="preserve">EU-relevant exports
(indicative)</t>
  </si>
  <si>
    <t xml:space="preserve">CBAM intensity
estimate tCO₂/t</t>
  </si>
  <si>
    <t xml:space="preserve">EU default value
tCO₂/t (for origin)</t>
  </si>
  <si>
    <t xml:space="preserve">Notes / CBAM status</t>
  </si>
  <si>
    <t xml:space="preserve">EZDK — Al Ezz Dekheila Steel, Alexandria</t>
  </si>
  <si>
    <t xml:space="preserve">Ezz Steel (EZDK; 64% Ezz Steel, 20% Egyptian Govt)</t>
  </si>
  <si>
    <t xml:space="preserve">Dekheila port, Alexandria</t>
  </si>
  <si>
    <t xml:space="preserve">DRI (Midrex, 3 modules, 3.1 Mt/yr) + 4×EAF (80% DRI + 20% scrap)</t>
  </si>
  <si>
    <t xml:space="preserve">Exports rebar, wire rod, HRC. EU share ~15–20%.</t>
  </si>
  <si>
    <t xml:space="preserve">~1.5–1.8 (NG-based DRI is efficient; grid adds S2)</t>
  </si>
  <si>
    <t xml:space="preserve">~1.80 (Egypt default; Reg 2025/2621 Annex I)</t>
  </si>
  <si>
    <t xml:space="preserve">Largest DRI complex in MENA. 4 EAFs (80MVA×4). CBAM-eligible on EU HRC/rebar exports. Midrex shaft process, natural gas reforming. EZDK listed on EGX (ticker: IRAX).</t>
  </si>
  <si>
    <t xml:space="preserve">Ezz Flat Steel Ain Sokhna (EFS)</t>
  </si>
  <si>
    <t xml:space="preserve">Ezz Steel (subsidiary)</t>
  </si>
  <si>
    <t xml:space="preserve">Ain Sokhna industrial zone, Suez governorate</t>
  </si>
  <si>
    <t xml:space="preserve">DRI mega module (HYL/Danieli) + 2×EAF 185t, 133/160 MVA &amp; 210 MVA</t>
  </si>
  <si>
    <t xml:space="preserve">Flat products (HRC, slabs). EU-oriented export stream.</t>
  </si>
  <si>
    <t xml:space="preserve">~1.6–1.9</t>
  </si>
  <si>
    <t xml:space="preserve">~1.80</t>
  </si>
  <si>
    <t xml:space="preserve">Opened 2015 with world's largest single DRI module at commissioning. Second EAF commissioned 2023. Produces HRC for export. CBAM obligation on EU HRC exports.</t>
  </si>
  <si>
    <t xml:space="preserve">Ezz Steel Sadat City — rebar</t>
  </si>
  <si>
    <t xml:space="preserve">Ezz Steel Co. S.A.E.</t>
  </si>
  <si>
    <t xml:space="preserve">Sadat City, Menofia governorate</t>
  </si>
  <si>
    <t xml:space="preserve">1×EAF (80% DRI + 20% scrap) + 2 rolling mills</t>
  </si>
  <si>
    <t xml:space="preserve">Rebar for domestic market; limited EU export.</t>
  </si>
  <si>
    <t xml:space="preserve">~1.5–1.7</t>
  </si>
  <si>
    <t xml:space="preserve">Ezz Steel's first plant (1994). Primarily serves domestic construction market. CBAM exposure mainly indirect through export of other Ezz entities.</t>
  </si>
  <si>
    <t xml:space="preserve">Suez Steel / Solb Misr — Attaka plant</t>
  </si>
  <si>
    <t xml:space="preserve">Solb Misr (part of National Service Products Organisation)</t>
  </si>
  <si>
    <t xml:space="preserve">Attaka, Suez governorate</t>
  </si>
  <si>
    <t xml:space="preserve">DRI (Energiron / Danieli, 1.95 Mt/yr) + EAF (Danieli, 1.25 Mt/yr)</t>
  </si>
  <si>
    <t xml:space="preserve">Long products (billets, blooms). Some EU exports.</t>
  </si>
  <si>
    <t xml:space="preserve">Egypt's second largest steelmaker. DRI plant commissioned 2023. Part of military-affiliated conglomerate. Blooms and round billets sold openly.</t>
  </si>
  <si>
    <t xml:space="preserve">Delta Steel / Beshay Steel</t>
  </si>
  <si>
    <t xml:space="preserve">Beshay Steel Group</t>
  </si>
  <si>
    <t xml:space="preserve">10th of Ramadan City, Sharqia governorate</t>
  </si>
  <si>
    <t xml:space="preserve">EAF (scrap-based); multiple furnaces</t>
  </si>
  <si>
    <t xml:space="preserve">Rebar for domestic use; minimal EU export.</t>
  </si>
  <si>
    <t xml:space="preserve">~0.5–0.7 (scrap EAF)</t>
  </si>
  <si>
    <t xml:space="preserve">~0.72 (Egypt scrap-EAF default)</t>
  </si>
  <si>
    <t xml:space="preserve">Scrap-EAF mini-mill. CBAM exposure lower due to scrap route and minimal EU exports.</t>
  </si>
  <si>
    <t xml:space="preserve">National Iron &amp; Steel (Hadisolb) — Helwan</t>
  </si>
  <si>
    <t xml:space="preserve">Formerly Egyptian Iron &amp; Steel Co. (state-owned)</t>
  </si>
  <si>
    <t xml:space="preserve">Helwan, South Cairo</t>
  </si>
  <si>
    <t xml:space="preserve">BF-BOF (integrated blast furnace; in liquidation since Jan 2021)</t>
  </si>
  <si>
    <t xml:space="preserve">Zero — plant in liquidation.</t>
  </si>
  <si>
    <t xml:space="preserve">N/A — not operating</t>
  </si>
  <si>
    <t xml:space="preserve">N/A</t>
  </si>
  <si>
    <t xml:space="preserve">Historical note only. Hadisolb was Egypt's original integrated steelworks. Entered liquidation January 2021; contributes zero output. Was a BF-BOF route.</t>
  </si>
  <si>
    <t xml:space="preserve">SECTION B — Cement (CBAM CN 25231000, 25232100, 25232900)</t>
  </si>
  <si>
    <t xml:space="preserve">Facility name</t>
  </si>
  <si>
    <t xml:space="preserve">Type</t>
  </si>
  <si>
    <t xml:space="preserve">Capacity (Mt/yr clinker)</t>
  </si>
  <si>
    <t xml:space="preserve">2024 est. output</t>
  </si>
  <si>
    <t xml:space="preserve">EU export orientation</t>
  </si>
  <si>
    <t xml:space="preserve">Intensity est.
tCO₂/t clinker</t>
  </si>
  <si>
    <t xml:space="preserve">EU default
tCO₂/t</t>
  </si>
  <si>
    <t xml:space="preserve">Ownership</t>
  </si>
  <si>
    <t xml:space="preserve">Lafarge Egypt — Sokhna plant</t>
  </si>
  <si>
    <t xml:space="preserve">Lafarge Holcim Egypt (Holcim 80%)</t>
  </si>
  <si>
    <t xml:space="preserve">Ain Sokhna, Suez</t>
  </si>
  <si>
    <t xml:space="preserve">Dry kiln</t>
  </si>
  <si>
    <t xml:space="preserve">Major exporter — EU, Africa, GCC</t>
  </si>
  <si>
    <t xml:space="preserve">~0.75–0.83</t>
  </si>
  <si>
    <t xml:space="preserve">~1.58</t>
  </si>
  <si>
    <t xml:space="preserve">Holcim (80%) / Egyptian investors</t>
  </si>
  <si>
    <t xml:space="preserve">Largest cement plant in Egypt. 5 production lines. Key CBAM-exposed exporter.</t>
  </si>
  <si>
    <t xml:space="preserve">Cemex Assiut Cement</t>
  </si>
  <si>
    <t xml:space="preserve">Cemex Egypt</t>
  </si>
  <si>
    <t xml:space="preserve">Assiut, Upper Egypt</t>
  </si>
  <si>
    <t xml:space="preserve">Domestic focus; some exports</t>
  </si>
  <si>
    <t xml:space="preserve">~0.78–0.85</t>
  </si>
  <si>
    <t xml:space="preserve">Cemex (100%)</t>
  </si>
  <si>
    <t xml:space="preserve">Old established plant; partially upgraded. Limited EU exposure.</t>
  </si>
  <si>
    <t xml:space="preserve">Italcementi Suez Cement</t>
  </si>
  <si>
    <t xml:space="preserve">Heidelberg Materials Egypt (formerly Italcementi)</t>
  </si>
  <si>
    <t xml:space="preserve">Suez</t>
  </si>
  <si>
    <t xml:space="preserve">Export-oriented via Suez Canal</t>
  </si>
  <si>
    <t xml:space="preserve">~0.78–0.84</t>
  </si>
  <si>
    <t xml:space="preserve">Heidelberg Materials (majority)</t>
  </si>
  <si>
    <t xml:space="preserve">Suez location favours export. CBAM relevant.</t>
  </si>
  <si>
    <t xml:space="preserve">Italcementi Tourah Cement</t>
  </si>
  <si>
    <t xml:space="preserve">Heidelberg Materials / Tourah Portland</t>
  </si>
  <si>
    <t xml:space="preserve">Tourah, Cairo</t>
  </si>
  <si>
    <t xml:space="preserve">Dry/wet mix</t>
  </si>
  <si>
    <t xml:space="preserve">Mainly domestic</t>
  </si>
  <si>
    <t xml:space="preserve">~0.80–0.88</t>
  </si>
  <si>
    <t xml:space="preserve">Older plant; wet kiln lines remain. Lower efficiency.</t>
  </si>
  <si>
    <t xml:space="preserve">Army Al Arish Cement</t>
  </si>
  <si>
    <t xml:space="preserve">National Service Products Organisation (NSPO / Military)</t>
  </si>
  <si>
    <t xml:space="preserve">Al Arish, North Sinai</t>
  </si>
  <si>
    <t xml:space="preserve">Domestic + some North Africa exports</t>
  </si>
  <si>
    <t xml:space="preserve">~0.78–0.83</t>
  </si>
  <si>
    <t xml:space="preserve">Egyptian Military (NSPO)</t>
  </si>
  <si>
    <t xml:space="preserve">Military-controlled. Limited export transparency.</t>
  </si>
  <si>
    <t xml:space="preserve">Vicat Sinai Cement</t>
  </si>
  <si>
    <t xml:space="preserve">Vicat SA (France, majority)</t>
  </si>
  <si>
    <t xml:space="preserve">Ain Sukhna road, Sinai corridor</t>
  </si>
  <si>
    <t xml:space="preserve">Export (EU, Mediterranean)</t>
  </si>
  <si>
    <t xml:space="preserve">~0.77–0.82</t>
  </si>
  <si>
    <t xml:space="preserve">Vicat SA (~60%)</t>
  </si>
  <si>
    <t xml:space="preserve">Modern plant. EU exposure through exports. CBAM directly relevant.</t>
  </si>
  <si>
    <t xml:space="preserve">Misr Beni Suef Cement</t>
  </si>
  <si>
    <t xml:space="preserve">ASEC Holding (subsidiary)</t>
  </si>
  <si>
    <t xml:space="preserve">Beni Suef, Upper Egypt</t>
  </si>
  <si>
    <t xml:space="preserve">ASEC Holding / Egyptian investors</t>
  </si>
  <si>
    <t xml:space="preserve">Under ASEC technical management.</t>
  </si>
  <si>
    <t xml:space="preserve">Misr Cement Qena</t>
  </si>
  <si>
    <t xml:space="preserve">Qena, Upper Egypt</t>
  </si>
  <si>
    <t xml:space="preserve">~0.79–0.85</t>
  </si>
  <si>
    <t xml:space="preserve">ASEC Holding</t>
  </si>
  <si>
    <t xml:space="preserve">Arabian Cement</t>
  </si>
  <si>
    <t xml:space="preserve">Arabian Cement Co (listed EGX)</t>
  </si>
  <si>
    <t xml:space="preserve">Ain Sokhna area, Suez</t>
  </si>
  <si>
    <t xml:space="preserve">Exports (EU, Mediterranean, Africa)</t>
  </si>
  <si>
    <t xml:space="preserve">Saudi / Egyptian investors (listed)</t>
  </si>
  <si>
    <t xml:space="preserve">Titan Cement Egypt — Alexandria</t>
  </si>
  <si>
    <t xml:space="preserve">Titan Cement SA (Greece)</t>
  </si>
  <si>
    <t xml:space="preserve">Alexandria</t>
  </si>
  <si>
    <t xml:space="preserve">Mediterranean exports</t>
  </si>
  <si>
    <t xml:space="preserve">~0.76–0.81</t>
  </si>
  <si>
    <t xml:space="preserve">EU parent; good MRV capability.</t>
  </si>
  <si>
    <t xml:space="preserve">Titan Cement Egypt — Beni Suef</t>
  </si>
  <si>
    <t xml:space="preserve">Beni Suef</t>
  </si>
  <si>
    <t xml:space="preserve">El Sewedy Cement</t>
  </si>
  <si>
    <t xml:space="preserve">El Sewedy Electric (Egyptian group)</t>
  </si>
  <si>
    <t xml:space="preserve">6th October City, Giza</t>
  </si>
  <si>
    <t xml:space="preserve">Export (Africa, some EU)</t>
  </si>
  <si>
    <t xml:space="preserve">~0.79–0.84</t>
  </si>
  <si>
    <t xml:space="preserve">El Sewedy Electric</t>
  </si>
  <si>
    <t xml:space="preserve">South Valley Cement</t>
  </si>
  <si>
    <t xml:space="preserve">South Valley Cement Co (listed EGX)</t>
  </si>
  <si>
    <t xml:space="preserve">Qena / Sohag area</t>
  </si>
  <si>
    <t xml:space="preserve">Egyptian investors (listed)</t>
  </si>
  <si>
    <t xml:space="preserve">ASEC Cement — El Minya</t>
  </si>
  <si>
    <t xml:space="preserve">Minya, Upper Egypt</t>
  </si>
  <si>
    <t xml:space="preserve">Sinai Cement (White)</t>
  </si>
  <si>
    <t xml:space="preserve">North Sinai</t>
  </si>
  <si>
    <t xml:space="preserve">Dry kiln (white cement)</t>
  </si>
  <si>
    <t xml:space="preserve">Specialty exports</t>
  </si>
  <si>
    <t xml:space="preserve">~0.83–0.90</t>
  </si>
  <si>
    <t xml:space="preserve">White cement specialist. CBAM benchmark (B) = 0.859 for white clinker.</t>
  </si>
  <si>
    <t xml:space="preserve">SECTION C — Fertilisers (CBAM CN 28141000, 31021010, 31023090, 31022100)</t>
  </si>
  <si>
    <t xml:space="preserve">Facility / company</t>
  </si>
  <si>
    <t xml:space="preserve">Owner / shareholder</t>
  </si>
  <si>
    <t xml:space="preserve">Ammonia capacity (kt/yr)</t>
  </si>
  <si>
    <t xml:space="preserve">Urea capacity (kt/yr)</t>
  </si>
  <si>
    <t xml:space="preserve">AN/other (kt/yr)</t>
  </si>
  <si>
    <t xml:space="preserve">Est. 2024 output</t>
  </si>
  <si>
    <t xml:space="preserve">EU export share</t>
  </si>
  <si>
    <t xml:space="preserve">CBAM intensity (tCO₂/t product)</t>
  </si>
  <si>
    <t xml:space="preserve">Abu Qir Fertilizers (AFC)</t>
  </si>
  <si>
    <t xml:space="preserve">Abu Dhabi Dev. Holding 21.5%, SEIC 19.8%, EGPC 19.1%, public float</t>
  </si>
  <si>
    <t xml:space="preserve">Abu Qir, Alexandria</t>
  </si>
  <si>
    <t xml:space="preserve">Ammonia, granular urea, AN, UAN, prilled urea, ammonium sulphate</t>
  </si>
  <si>
    <t xml:space="preserve">300 (AN) + amsul</t>
  </si>
  <si>
    <t xml:space="preserve">~2.2 Mt total (all products, 2023)</t>
  </si>
  <si>
    <t xml:space="preserve">~50% of urea output exported to EU (largest single EU supplier)</t>
  </si>
  <si>
    <t xml:space="preserve">NH₃ ~1.4 tCO₂/t; Urea ~1.4 tCO₂/t (Egypt default)</t>
  </si>
  <si>
    <t xml:space="preserve">Egypt's largest nitrogen fertiliser producer; ~50% of national N output. 3 ammonia-urea trains plus AN section. CBAM most exposed Egyptian fertiliser facility. December 2024: signed green H₂ and energy efficiency agreements to prepare for CBAM. Abu Qir is listed on EGX (ticker: ABUK). EU export share estimated 40–50% of urea output.</t>
  </si>
  <si>
    <t xml:space="preserve">MOPCO — Misr Fertilizer Production Co.</t>
  </si>
  <si>
    <t xml:space="preserve">EBIC 20%, public float 41.5%, Egyptian investors</t>
  </si>
  <si>
    <t xml:space="preserve">Damietta / Borg El Arab, Alexandria</t>
  </si>
  <si>
    <t xml:space="preserve">Ammonia, granular urea</t>
  </si>
  <si>
    <t xml:space="preserve">~1.0 Mt urea (est.)</t>
  </si>
  <si>
    <t xml:space="preserve">~20–30% EU / Mediterranean</t>
  </si>
  <si>
    <t xml:space="preserve">Urea ~1.4 tCO₂/t (Egypt default)</t>
  </si>
  <si>
    <t xml:space="preserve">MOPCO operates two ammonia-urea trains. Listed on EGX (MOPCO.CA). Modern NG-based Haber-Bosch + Stamicarbon urea synthesis.</t>
  </si>
  <si>
    <t xml:space="preserve">Egypt Basic Industries Corp. (EBIC)</t>
  </si>
  <si>
    <t xml:space="preserve">SABIC 50%, Fertiglobe 25%, Japanese consortium 25%</t>
  </si>
  <si>
    <t xml:space="preserve">Ain Sokhna Industrial Zone, Suez</t>
  </si>
  <si>
    <t xml:space="preserve">Ammonia only (exported)</t>
  </si>
  <si>
    <t xml:space="preserve">~0.65 Mt ammonia (est.)</t>
  </si>
  <si>
    <t xml:space="preserve">~20% EU (mainly ammonia to European chemical sector)</t>
  </si>
  <si>
    <t xml:space="preserve">NH₃ ~1.0–1.3 tCO₂/t (modern plant; lower than Egypt average)</t>
  </si>
  <si>
    <t xml:space="preserve">One of Egypt's most efficient ammonia plants. Natural gas feedstock at subsidised rate. CBAM: ammonia is CBAM-eligible (CN 28141000). EU imports of ammonia rising as Algeria/Russia redirect.</t>
  </si>
  <si>
    <t xml:space="preserve">Egyptian Fertilizers Co. (EFC)</t>
  </si>
  <si>
    <t xml:space="preserve">Aabar Investments (Abu Dhabi) 55%, Egyptian investors</t>
  </si>
  <si>
    <t xml:space="preserve">~0.5 Mt urea (est.)</t>
  </si>
  <si>
    <t xml:space="preserve">~30% EU / Mediterranean</t>
  </si>
  <si>
    <t xml:space="preserve">Urea ~1.4 tCO₂/t</t>
  </si>
  <si>
    <t xml:space="preserve">NG-based ammonia-urea. Part of Fertiglobe group indirectly.</t>
  </si>
  <si>
    <t xml:space="preserve">KIMA — Egyptian Chemical Industries</t>
  </si>
  <si>
    <t xml:space="preserve">State-owned (Egyptian state via Ministry of Public Business Sector)</t>
  </si>
  <si>
    <t xml:space="preserve">Aswan, Upper Egypt</t>
  </si>
  <si>
    <t xml:space="preserve">Ammonium nitrate, nitric acid, some ammonia</t>
  </si>
  <si>
    <t xml:space="preserve">260 (AN) + nitric acid</t>
  </si>
  <si>
    <t xml:space="preserve">~0.25 Mt AN + nitric acid (est.)</t>
  </si>
  <si>
    <t xml:space="preserve">Mainly domestic; limited EU export</t>
  </si>
  <si>
    <t xml:space="preserve">AN ~0.30 tCO₂/t (direct); older plant using hydro power for electrolysis historically</t>
  </si>
  <si>
    <t xml:space="preserve">Egypt's oldest nitrogen fertiliser company. Located at Aswan High Dam — historically used low-cost hydropower for nitrogen fixation. Now NG-based. CBAM: ammonium nitrate (CN 31023090) in scope. Nitric acid (CN 28080000) also CBAM-eligible. Limited EU export; mainly domestic agricultural use.</t>
  </si>
  <si>
    <t xml:space="preserve">HELWAN FERTILIZERS Co.</t>
  </si>
  <si>
    <t xml:space="preserve">Egyptian state (Metallurgical Industries Holding)</t>
  </si>
  <si>
    <t xml:space="preserve">Ammonium nitrate, nitric acid</t>
  </si>
  <si>
    <t xml:space="preserve">200 (AN)</t>
  </si>
  <si>
    <t xml:space="preserve">~0.18 Mt AN (est.)</t>
  </si>
  <si>
    <t xml:space="preserve">AN ~0.30 tCO₂/t</t>
  </si>
  <si>
    <t xml:space="preserve">Part of military-affiliated industrial group. Domestic market focus. CBAM exposure minimal.</t>
  </si>
  <si>
    <t xml:space="preserve">Alexandria Fertilizers (ALEXFERT)</t>
  </si>
  <si>
    <t xml:space="preserve">OCI NV (Netherlands) majority shareholder</t>
  </si>
  <si>
    <t xml:space="preserve">~0.45 Mt urea (est.)</t>
  </si>
  <si>
    <t xml:space="preserve">~35% EU</t>
  </si>
  <si>
    <t xml:space="preserve">NH₃ ~1.3 tCO₂/t; Urea ~1.4 tCO₂/t</t>
  </si>
  <si>
    <t xml:space="preserve">OCI-operated plant (OCI is listed Amsterdam). NG-based, modern. OCI has MRV capability given EU parent company obligations.</t>
  </si>
  <si>
    <t xml:space="preserve">Ain Al Sokhna Phosphatic Fertilizer (NCIC)</t>
  </si>
  <si>
    <t xml:space="preserve">National Services Products Organisation (Military)</t>
  </si>
  <si>
    <t xml:space="preserve">Ain Al Sokhna, Suez</t>
  </si>
  <si>
    <t xml:space="preserve">Ammonia, urea, calcium ammonium nitrate (CAN)</t>
  </si>
  <si>
    <t xml:space="preserve">300 (CAN)</t>
  </si>
  <si>
    <t xml:space="preserve">~0.35 Mt urea + 0.30 Mt CAN (est.)</t>
  </si>
  <si>
    <t xml:space="preserve">~15% EU / some Africa</t>
  </si>
  <si>
    <t xml:space="preserve">Multi-product; ~1.3–1.5 tCO₂/t urea</t>
  </si>
  <si>
    <t xml:space="preserve">Military-controlled. Commissioned 2019. Has ammonia, urea, and CAN (calcium ammonium nitrate). CAN (CN 31026000) is excluded from CBAM scope.</t>
  </si>
  <si>
    <t xml:space="preserve">SECTION D — Primary Aluminium (CBAM CN 76011000)</t>
  </si>
  <si>
    <t xml:space="preserve">Facility</t>
  </si>
  <si>
    <t xml:space="preserve">Operator</t>
  </si>
  <si>
    <t xml:space="preserve">Technology</t>
  </si>
  <si>
    <t xml:space="preserve">Current capacity (kt/yr)</t>
  </si>
  <si>
    <t xml:space="preserve">2024 output (kt/yr)</t>
  </si>
  <si>
    <t xml:space="preserve">CBAM intensity
tCO₂/t (est.)</t>
  </si>
  <si>
    <t xml:space="preserve">Grid EF</t>
  </si>
  <si>
    <t xml:space="preserve">Egyptalum — Nag Hammadi smelter (existing)</t>
  </si>
  <si>
    <t xml:space="preserve">Egyptian Aluminium Co. (EGAL / Egyptalum); parent: Metallurgical Industries Holding (MIH), state-owned</t>
  </si>
  <si>
    <t xml:space="preserve">Nag Hammadi, Qena governorate, Upper Egypt</t>
  </si>
  <si>
    <t xml:space="preserve">Hall-Héroult electrolysis (prebaked anodes); anode plant on-site; cast house</t>
  </si>
  <si>
    <t xml:space="preserve">~60% of output exported to EU (per company statements)</t>
  </si>
  <si>
    <t xml:space="preserve">~1.8–2.1 tCO₂/t direct (anode + process); S2 excluded per CBAM Annex II</t>
  </si>
  <si>
    <t xml:space="preserve">~1.87 tCO₂/t (India default level; Egypt not separately listed — use 'other countries and territories' ~2.0 estimate)</t>
  </si>
  <si>
    <t xml:space="preserve">0.51 tCO₂/MWh (declining toward 0.40 by 2035)</t>
  </si>
  <si>
    <t xml:space="preserve">Egypt's only primary aluminium producer. Largest in North Africa. Nile grid historically (Upper Egypt); 2026 solar PPA (Obelisk/Scatec 500MW) will progressively lower S2 intensity. CBAM exposure: direct emissions only (Annex II); S2 is NOT in CBAM scope for aluminium. May 2026: term sheet signed with Trafigura for +300kt expansion (NewCo JV, $750–900m capex). Expansion targeted at ~2028–2030 commissioning. Expansion will include new 150kt/yr anode plant. EU export share of ~60% is highly significant — this facility is the key Egyptian CBAM aluminium exposure. CBAM obligation 2030 est. (at current intensity, 48.5% factor, €115/t ETS): ~(1.9 − 1.423×0.515) × 115 × 1.10 ≈ USD 155/t direct CBAM cost per exported tonne.</t>
  </si>
  <si>
    <t xml:space="preserve">Egyptalum — proposed expansion (NewCo with Trafigura)</t>
  </si>
  <si>
    <t xml:space="preserve">NewCo: Trafigura (minority equity) + Egyptalum + MIH (term sheet May 2026)</t>
  </si>
  <si>
    <t xml:space="preserve">Hall-Héroult, new greenfield potline (prebaked, modern anode technology)</t>
  </si>
  <si>
    <t xml:space="preserve">Expected &gt;60% EU export (Trafigura offtake)</t>
  </si>
  <si>
    <t xml:space="preserve">~1.5–1.7 tCO₂/t (modern greenfield; lower anode consumption; solar power PPA)</t>
  </si>
  <si>
    <t xml:space="preserve">~2.0 (until verified actuals available; default pathway until MRV established)</t>
  </si>
  <si>
    <t xml:space="preserve">Target: 0.20–0.30 tCO₂/MWh (dedicated solar + storage PPA)</t>
  </si>
  <si>
    <t xml:space="preserve">Not yet operational. Term sheet signed 6 May 2026. EBRD considering $80m loan for solar supply. If solar PPA (Scatec/Obelisk 500MW) fully serves NewCo, S2 intensity approaches zero. Direct emissions (anode + anode effect PFCs) will determine CBAM obligation. Modern prebaked technology targets low PFC emissions. CBAM obligation under solar scenario would be ~(1.5 × 0.515) − 1.423 × 0.515 ≈ near-zero at benchmark. Significant CBAM design consideration for offtake pricing with Trafigura.</t>
  </si>
  <si>
    <t xml:space="preserve">CBAM EXPOSURE SUMMARY — EGYPT:
Steel: Egypt produces ~10 Mt crude steel, &gt;95% via DRI-EAF route (natural gas Midrex/HYL). Dominant exporters: EZDK and Ezz Flat Steel (Ain Sokhna). EU export share ~15–20% of steel output. CBAM benchmark 0.481 tCO₂/t (DRI-EAF); Egypt's actual intensity ~1.5–1.8 tCO₂/t → material excess. At 2030 conditions (~USD 64/t cement; ~USD 68/t steel), steel CBAM cost is the largest fiscal item.
Cement: Egypt has ~70 Mt/yr clinker capacity. Major exporters face CBAM on EU + Mediterranean exports. Turkey and Algeria compete for same EU cement market. Benchmark 0.666 tCO₂/t; Egypt actual ~0.78 tCO₂/t.
Fertilisers: Abu Qir Fertilizers is the critical installation — ~50% of Egyptian N fertiliser output, ~40–50% EU-destined. December 2024 sustainability agreements signal active CBAM preparation. Urea benchmark 0.902 tCO₂/t; Egypt default ~1.404 tCO₂/t per IR 2025/2621 → USD ~43/t CBAM cost in 2026.
Aluminium: Egyptalum is the sole primary producer. ~60% EU export; direct-only CBAM (Annex II). Benchmark 1.423 tCO₂/t direct; Egyptalum actual direct ~1.8–2.0 tCO₂/t. Planned Trafigura expansion (2028+) with solar power would dramatically lower intensity.
Key policy lever: an Egyptian domestic carbon price at ~USD 94/t (optimal CP, 2030) would fully capture the CBAM gross obligation (~USD 376m across all sectors) as Egyptian fiscal revenue.</t>
  </si>
  <si>
    <t xml:space="preserve">CBAM input data — Pass 7</t>
  </si>
  <si>
    <t xml:space="preserve">5 countries × 8 products × 12 years. All entries keyed by code = cty.dom.par.sec.prc.sub. Yellow cells are inputs; green = formulas.</t>
  </si>
  <si>
    <t xml:space="preserve">code</t>
  </si>
  <si>
    <t xml:space="preserve">cty</t>
  </si>
  <si>
    <t xml:space="preserve">dom</t>
  </si>
  <si>
    <t xml:space="preserve">par</t>
  </si>
  <si>
    <t xml:space="preserve">sec</t>
  </si>
  <si>
    <t xml:space="preserve">prc</t>
  </si>
  <si>
    <t xml:space="preserve">sub</t>
  </si>
  <si>
    <t xml:space="preserve">variable</t>
  </si>
  <si>
    <t xml:space="preserve">description</t>
  </si>
  <si>
    <t xml:space="preserve">source</t>
  </si>
  <si>
    <t xml:space="preserve">value</t>
  </si>
  <si>
    <t xml:space="preserve">1. Universal time-series parameters</t>
  </si>
  <si>
    <t xml:space="preserve">all.in.ets.---.---.---</t>
  </si>
  <si>
    <t xml:space="preserve">all</t>
  </si>
  <si>
    <t xml:space="preserve">in</t>
  </si>
  <si>
    <t xml:space="preserve">ets</t>
  </si>
  <si>
    <t xml:space="preserve">---</t>
  </si>
  <si>
    <t xml:space="preserve">EU ETS allowance price</t>
  </si>
  <si>
    <t xml:space="preserve">Consensus trajectory (consensus ~€126 by 2030).</t>
  </si>
  <si>
    <t xml:space="preserve">Analyst consensus</t>
  </si>
  <si>
    <t xml:space="preserve">all.in.cbf.---.---.---</t>
  </si>
  <si>
    <t xml:space="preserve">cbf</t>
  </si>
  <si>
    <t xml:space="preserve">CBAM factor (1 − free alloc remaining)</t>
  </si>
  <si>
    <t xml:space="preserve">EU Reg 2025/2620: phase-in 2026→2034.</t>
  </si>
  <si>
    <t xml:space="preserve">EU Reg 2025/2620</t>
  </si>
  <si>
    <t xml:space="preserve">all.in.act.---.---.---</t>
  </si>
  <si>
    <t xml:space="preserve">act</t>
  </si>
  <si>
    <t xml:space="preserve">Active flag (CBAM definitive)</t>
  </si>
  <si>
    <t xml:space="preserve">0/1</t>
  </si>
  <si>
    <t xml:space="preserve">0 for 2024-25 (reporting only), 1 from 2026.</t>
  </si>
  <si>
    <t xml:space="preserve">all.in.fxr.---.---.---</t>
  </si>
  <si>
    <t xml:space="preserve">fxr</t>
  </si>
  <si>
    <t xml:space="preserve">FX rate USD per EUR</t>
  </si>
  <si>
    <t xml:space="preserve">USD/EUR</t>
  </si>
  <si>
    <t xml:space="preserve">EUR ETS → USD conversion.</t>
  </si>
  <si>
    <t xml:space="preserve">2. Fuel emission factors (kgCO₂/GJ, IPCC 2006 stationary combustion)</t>
  </si>
  <si>
    <t xml:space="preserve">all.in.eff.---.---.coa</t>
  </si>
  <si>
    <t xml:space="preserve">eff</t>
  </si>
  <si>
    <t xml:space="preserve">Fuel EF — Coal</t>
  </si>
  <si>
    <t xml:space="preserve">kgCO2/GJ</t>
  </si>
  <si>
    <t xml:space="preserve">IPCC 2006 default for coal.</t>
  </si>
  <si>
    <t xml:space="preserve">IPCC 2006 Vol.2 Ch.2</t>
  </si>
  <si>
    <t xml:space="preserve">all.in.eff.---.---.nga</t>
  </si>
  <si>
    <t xml:space="preserve">Fuel EF — Natural gas</t>
  </si>
  <si>
    <t xml:space="preserve">IPCC 2006 default for natural gas.</t>
  </si>
  <si>
    <t xml:space="preserve">all.in.eff.---.---.gso</t>
  </si>
  <si>
    <t xml:space="preserve">Fuel EF — Gasoline</t>
  </si>
  <si>
    <t xml:space="preserve">IPCC 2006 default for gasoline.</t>
  </si>
  <si>
    <t xml:space="preserve">all.in.eff.---.---.die</t>
  </si>
  <si>
    <t xml:space="preserve">Fuel EF — Diesel</t>
  </si>
  <si>
    <t xml:space="preserve">IPCC 2006 default for diesel.</t>
  </si>
  <si>
    <t xml:space="preserve">all.in.eff.---.---.ker</t>
  </si>
  <si>
    <t xml:space="preserve">Fuel EF — Kerosene</t>
  </si>
  <si>
    <t xml:space="preserve">IPCC 2006 default for kerosene.</t>
  </si>
  <si>
    <t xml:space="preserve">all.in.eff.---.---.lpg</t>
  </si>
  <si>
    <t xml:space="preserve">Fuel EF — LPG</t>
  </si>
  <si>
    <t xml:space="preserve">IPCC 2006 default for lpg.</t>
  </si>
  <si>
    <t xml:space="preserve">all.in.eff.---.---.bio</t>
  </si>
  <si>
    <t xml:space="preserve">Fuel EF — Biomass</t>
  </si>
  <si>
    <t xml:space="preserve">IPCC 2006 default for biomass.</t>
  </si>
  <si>
    <t xml:space="preserve">all.in.eff.---.---.ren</t>
  </si>
  <si>
    <t xml:space="preserve">Fuel EF — Self-gen renewables</t>
  </si>
  <si>
    <t xml:space="preserve">IPCC 2006 default for self-gen renewables.</t>
  </si>
  <si>
    <t xml:space="preserve">3. Entity-level constants — benchmark, EU default value, product price, CBAM S2 scope, NH3 chain factor</t>
  </si>
  <si>
    <t xml:space="preserve">all.in.bnk.stl.drg.---</t>
  </si>
  <si>
    <t xml:space="preserve">bnk</t>
  </si>
  <si>
    <t xml:space="preserve">stl</t>
  </si>
  <si>
    <t xml:space="preserve">drg</t>
  </si>
  <si>
    <t xml:space="preserve">CBAM benchmark — DRI-EAF steel</t>
  </si>
  <si>
    <t xml:space="preserve">tCO2/t</t>
  </si>
  <si>
    <t xml:space="preserve">Final CBAM benchmark (column B, default-value pathway).</t>
  </si>
  <si>
    <t xml:space="preserve">EU Reg 2025/2621 (final, 16 Dec 2025)</t>
  </si>
  <si>
    <t xml:space="preserve">all.in.dfv.stl.drg.---</t>
  </si>
  <si>
    <t xml:space="preserve">dfv</t>
  </si>
  <si>
    <t xml:space="preserve">EU default intensity — DRI-EAF steel</t>
  </si>
  <si>
    <t xml:space="preserve">EU default intensity (~20% above benchmark).</t>
  </si>
  <si>
    <t xml:space="preserve">all.in.ppx.stl.drg.---</t>
  </si>
  <si>
    <t xml:space="preserve">ppx</t>
  </si>
  <si>
    <t xml:space="preserve">Product price — DRI-EAF steel</t>
  </si>
  <si>
    <t xml:space="preserve">USD/t</t>
  </si>
  <si>
    <t xml:space="preserve">Pre-policy reference price.</t>
  </si>
  <si>
    <t xml:space="preserve">Market data</t>
  </si>
  <si>
    <t xml:space="preserve">all.in.cs2.stl.drg.---</t>
  </si>
  <si>
    <t xml:space="preserve">cs2</t>
  </si>
  <si>
    <t xml:space="preserve">CBAM S2 in scope — DRI-EAF steel</t>
  </si>
  <si>
    <t xml:space="preserve">1 = CBAM covers indirect (S2). 0 = Annex II direct only.</t>
  </si>
  <si>
    <t xml:space="preserve">EU Reg 2023/956 Annex II</t>
  </si>
  <si>
    <t xml:space="preserve">all.in.nh3.stl.drg.---</t>
  </si>
  <si>
    <t xml:space="preserve">nh3</t>
  </si>
  <si>
    <t xml:space="preserve">NH₃ feedstock factor — DRI-EAF steel</t>
  </si>
  <si>
    <t xml:space="preserve">t NH3/t product</t>
  </si>
  <si>
    <t xml:space="preserve">Tonnes ammonia feedstock per tonne of downstream product (urea, AN). 0 otherwise.</t>
  </si>
  <si>
    <t xml:space="preserve">IFA / IPCC</t>
  </si>
  <si>
    <t xml:space="preserve">all.in.bnk.stl.scr.---</t>
  </si>
  <si>
    <t xml:space="preserve">scr</t>
  </si>
  <si>
    <t xml:space="preserve">CBAM benchmark — Scrap-EAF steel</t>
  </si>
  <si>
    <t xml:space="preserve">all.in.dfv.stl.scr.---</t>
  </si>
  <si>
    <t xml:space="preserve">EU default intensity — Scrap-EAF steel</t>
  </si>
  <si>
    <t xml:space="preserve">all.in.ppx.stl.scr.---</t>
  </si>
  <si>
    <t xml:space="preserve">Product price — Scrap-EAF steel</t>
  </si>
  <si>
    <t xml:space="preserve">all.in.cs2.stl.scr.---</t>
  </si>
  <si>
    <t xml:space="preserve">CBAM S2 in scope — Scrap-EAF steel</t>
  </si>
  <si>
    <t xml:space="preserve">all.in.nh3.stl.scr.---</t>
  </si>
  <si>
    <t xml:space="preserve">NH₃ feedstock factor — Scrap-EAF steel</t>
  </si>
  <si>
    <t xml:space="preserve">all.in.bnk.stl.bof.---</t>
  </si>
  <si>
    <t xml:space="preserve">bof</t>
  </si>
  <si>
    <t xml:space="preserve">CBAM benchmark — BF-BOF steel</t>
  </si>
  <si>
    <t xml:space="preserve">all.in.dfv.stl.bof.---</t>
  </si>
  <si>
    <t xml:space="preserve">EU default intensity — BF-BOF steel</t>
  </si>
  <si>
    <t xml:space="preserve">all.in.ppx.stl.bof.---</t>
  </si>
  <si>
    <t xml:space="preserve">Product price — BF-BOF steel</t>
  </si>
  <si>
    <t xml:space="preserve">all.in.cs2.stl.bof.---</t>
  </si>
  <si>
    <t xml:space="preserve">CBAM S2 in scope — BF-BOF steel</t>
  </si>
  <si>
    <t xml:space="preserve">all.in.nh3.stl.bof.---</t>
  </si>
  <si>
    <t xml:space="preserve">NH₃ feedstock factor — BF-BOF steel</t>
  </si>
  <si>
    <t xml:space="preserve">all.in.bnk.cmt.dry.---</t>
  </si>
  <si>
    <t xml:space="preserve">cmt</t>
  </si>
  <si>
    <t xml:space="preserve">dry</t>
  </si>
  <si>
    <t xml:space="preserve">CBAM benchmark — Cement</t>
  </si>
  <si>
    <t xml:space="preserve">all.in.dfv.cmt.dry.---</t>
  </si>
  <si>
    <t xml:space="preserve">EU default intensity — Cement</t>
  </si>
  <si>
    <t xml:space="preserve">all.in.ppx.cmt.dry.---</t>
  </si>
  <si>
    <t xml:space="preserve">Product price — Cement</t>
  </si>
  <si>
    <t xml:space="preserve">all.in.cs2.cmt.dry.---</t>
  </si>
  <si>
    <t xml:space="preserve">CBAM S2 in scope — Cement</t>
  </si>
  <si>
    <t xml:space="preserve">all.in.nh3.cmt.dry.---</t>
  </si>
  <si>
    <t xml:space="preserve">NH₃ feedstock factor — Cement</t>
  </si>
  <si>
    <t xml:space="preserve">all.in.bnk.frt.amc.---</t>
  </si>
  <si>
    <t xml:space="preserve">frt</t>
  </si>
  <si>
    <t xml:space="preserve">amc</t>
  </si>
  <si>
    <t xml:space="preserve">CBAM benchmark — Ammonia</t>
  </si>
  <si>
    <t xml:space="preserve">all.in.dfv.frt.amc.---</t>
  </si>
  <si>
    <t xml:space="preserve">EU default intensity — Ammonia</t>
  </si>
  <si>
    <t xml:space="preserve">all.in.ppx.frt.amc.---</t>
  </si>
  <si>
    <t xml:space="preserve">Product price — Ammonia</t>
  </si>
  <si>
    <t xml:space="preserve">all.in.cs2.frt.amc.---</t>
  </si>
  <si>
    <t xml:space="preserve">CBAM S2 in scope — Ammonia</t>
  </si>
  <si>
    <t xml:space="preserve">all.in.nh3.frt.amc.---</t>
  </si>
  <si>
    <t xml:space="preserve">NH₃ feedstock factor — Ammonia</t>
  </si>
  <si>
    <t xml:space="preserve">all.in.bnk.frt.ure.---</t>
  </si>
  <si>
    <t xml:space="preserve">ure</t>
  </si>
  <si>
    <t xml:space="preserve">CBAM benchmark — Urea</t>
  </si>
  <si>
    <t xml:space="preserve">all.in.dfv.frt.ure.---</t>
  </si>
  <si>
    <t xml:space="preserve">EU default intensity — Urea</t>
  </si>
  <si>
    <t xml:space="preserve">all.in.ppx.frt.ure.---</t>
  </si>
  <si>
    <t xml:space="preserve">Product price — Urea</t>
  </si>
  <si>
    <t xml:space="preserve">all.in.cs2.frt.ure.---</t>
  </si>
  <si>
    <t xml:space="preserve">CBAM S2 in scope — Urea</t>
  </si>
  <si>
    <t xml:space="preserve">all.in.nh3.frt.ure.---</t>
  </si>
  <si>
    <t xml:space="preserve">NH₃ feedstock factor — Urea</t>
  </si>
  <si>
    <t xml:space="preserve">all.in.bnk.frt.nit.---</t>
  </si>
  <si>
    <t xml:space="preserve">nit</t>
  </si>
  <si>
    <t xml:space="preserve">CBAM benchmark — Ammonium nitrate</t>
  </si>
  <si>
    <t xml:space="preserve">all.in.dfv.frt.nit.---</t>
  </si>
  <si>
    <t xml:space="preserve">EU default intensity — Ammonium nitrate</t>
  </si>
  <si>
    <t xml:space="preserve">all.in.ppx.frt.nit.---</t>
  </si>
  <si>
    <t xml:space="preserve">Product price — Ammonium nitrate</t>
  </si>
  <si>
    <t xml:space="preserve">all.in.cs2.frt.nit.---</t>
  </si>
  <si>
    <t xml:space="preserve">CBAM S2 in scope — Ammonium nitrate</t>
  </si>
  <si>
    <t xml:space="preserve">all.in.nh3.frt.nit.---</t>
  </si>
  <si>
    <t xml:space="preserve">NH₃ feedstock factor — Ammonium nitrate</t>
  </si>
  <si>
    <t xml:space="preserve">all.in.bnk.alu.prp.---</t>
  </si>
  <si>
    <t xml:space="preserve">alu</t>
  </si>
  <si>
    <t xml:space="preserve">prp</t>
  </si>
  <si>
    <t xml:space="preserve">CBAM benchmark — Primary aluminium</t>
  </si>
  <si>
    <t xml:space="preserve">all.in.dfv.alu.prp.---</t>
  </si>
  <si>
    <t xml:space="preserve">EU default intensity — Primary aluminium</t>
  </si>
  <si>
    <t xml:space="preserve">all.in.ppx.alu.prp.---</t>
  </si>
  <si>
    <t xml:space="preserve">Product price — Primary aluminium</t>
  </si>
  <si>
    <t xml:space="preserve">all.in.cs2.alu.prp.---</t>
  </si>
  <si>
    <t xml:space="preserve">CBAM S2 in scope — Primary aluminium</t>
  </si>
  <si>
    <t xml:space="preserve">all.in.nh3.alu.prp.---</t>
  </si>
  <si>
    <t xml:space="preserve">NH₃ feedstock factor — Primary aluminium</t>
  </si>
  <si>
    <t xml:space="preserve">4. MRV flags per product (global — applies to all countries)</t>
  </si>
  <si>
    <t xml:space="preserve">all.in.mrv.stl.drg.---</t>
  </si>
  <si>
    <t xml:space="preserve">mrv</t>
  </si>
  <si>
    <t xml:space="preserve">MRV flag — DRI-EAF steel</t>
  </si>
  <si>
    <t xml:space="preserve">1 = exporter MRV done (EU uses actual). 0 = EU uses default value. Edit on dashboard.</t>
  </si>
  <si>
    <t xml:space="preserve">Policy choice</t>
  </si>
  <si>
    <t xml:space="preserve">all.in.mrv.stl.scr.---</t>
  </si>
  <si>
    <t xml:space="preserve">MRV flag — Scrap-EAF steel</t>
  </si>
  <si>
    <t xml:space="preserve">all.in.mrv.stl.bof.---</t>
  </si>
  <si>
    <t xml:space="preserve">MRV flag — BF-BOF steel</t>
  </si>
  <si>
    <t xml:space="preserve">all.in.mrv.cmt.dry.---</t>
  </si>
  <si>
    <t xml:space="preserve">MRV flag — Cement</t>
  </si>
  <si>
    <t xml:space="preserve">all.in.mrv.frt.amc.---</t>
  </si>
  <si>
    <t xml:space="preserve">MRV flag — Ammonia</t>
  </si>
  <si>
    <t xml:space="preserve">all.in.mrv.frt.ure.---</t>
  </si>
  <si>
    <t xml:space="preserve">MRV flag — Urea</t>
  </si>
  <si>
    <t xml:space="preserve">all.in.mrv.frt.nit.---</t>
  </si>
  <si>
    <t xml:space="preserve">MRV flag — Ammonium nitrate</t>
  </si>
  <si>
    <t xml:space="preserve">all.in.mrv.alu.prp.---</t>
  </si>
  <si>
    <t xml:space="preserve">MRV flag — Primary aluminium</t>
  </si>
  <si>
    <t xml:space="preserve">5. Country-level constants (GDP growth, grid EF)</t>
  </si>
  <si>
    <t xml:space="preserve">egy.in.grw.---.---.---</t>
  </si>
  <si>
    <t xml:space="preserve">grw</t>
  </si>
  <si>
    <t xml:space="preserve">Egypt GDP growth rate</t>
  </si>
  <si>
    <t xml:space="preserve">frac/yr</t>
  </si>
  <si>
    <t xml:space="preserve">Annual real GDP growth.</t>
  </si>
  <si>
    <t xml:space="preserve">IMF WEO 2024</t>
  </si>
  <si>
    <t xml:space="preserve">egy.in.gef.---.---.---</t>
  </si>
  <si>
    <t xml:space="preserve">gef</t>
  </si>
  <si>
    <t xml:space="preserve">Egypt grid emission factor</t>
  </si>
  <si>
    <t xml:space="preserve">tCO2/MWh</t>
  </si>
  <si>
    <t xml:space="preserve">Grid emission factor, declining trajectory per NDC commitments. 2024 anchor → 2035 end-point.</t>
  </si>
  <si>
    <t xml:space="preserve">IEA + national NDCs (linear interpolation)</t>
  </si>
  <si>
    <t xml:space="preserve">alb.in.grw.---.---.---</t>
  </si>
  <si>
    <t xml:space="preserve">alb</t>
  </si>
  <si>
    <t xml:space="preserve">Albania GDP growth rate</t>
  </si>
  <si>
    <t xml:space="preserve">alb.in.gef.---.---.---</t>
  </si>
  <si>
    <t xml:space="preserve">Albania grid emission factor</t>
  </si>
  <si>
    <t xml:space="preserve">uzb.in.grw.---.---.---</t>
  </si>
  <si>
    <t xml:space="preserve">uzb</t>
  </si>
  <si>
    <t xml:space="preserve">Uzbekistan GDP growth rate</t>
  </si>
  <si>
    <t xml:space="preserve">uzb.in.gef.---.---.---</t>
  </si>
  <si>
    <t xml:space="preserve">Uzbekistan grid emission factor</t>
  </si>
  <si>
    <t xml:space="preserve">aze.in.grw.---.---.---</t>
  </si>
  <si>
    <t xml:space="preserve">aze</t>
  </si>
  <si>
    <t xml:space="preserve">Azerbaijan GDP growth rate</t>
  </si>
  <si>
    <t xml:space="preserve">aze.in.gef.---.---.---</t>
  </si>
  <si>
    <t xml:space="preserve">Azerbaijan grid emission factor</t>
  </si>
  <si>
    <t xml:space="preserve">ind.in.grw.---.---.---</t>
  </si>
  <si>
    <t xml:space="preserve">ind</t>
  </si>
  <si>
    <t xml:space="preserve">India GDP growth rate</t>
  </si>
  <si>
    <t xml:space="preserve">ind.in.gef.---.---.---</t>
  </si>
  <si>
    <t xml:space="preserve">India grid emission factor</t>
  </si>
  <si>
    <t xml:space="preserve">6.egy. Egypt — country-specific inputs by entity</t>
  </si>
  <si>
    <t xml:space="preserve">egy.in.prb.stl.drg.---</t>
  </si>
  <si>
    <t xml:space="preserve">prb</t>
  </si>
  <si>
    <t xml:space="preserve">Egypt DRI-EAF steel — base production</t>
  </si>
  <si>
    <t xml:space="preserve">Mt</t>
  </si>
  <si>
    <t xml:space="preserve">Base year 2024 production of dri-eaf steel.</t>
  </si>
  <si>
    <t xml:space="preserve">Worldsteel / industry data</t>
  </si>
  <si>
    <t xml:space="preserve">egy.in.els.stl.drg.---</t>
  </si>
  <si>
    <t xml:space="preserve">els</t>
  </si>
  <si>
    <t xml:space="preserve">Egypt DRI-EAF steel — elasticity</t>
  </si>
  <si>
    <t xml:space="preserve">pct/pct</t>
  </si>
  <si>
    <t xml:space="preserve">Production growth per unit GDP growth.</t>
  </si>
  <si>
    <t xml:space="preserve">egy.in.ext.stl.drg.---</t>
  </si>
  <si>
    <t xml:space="preserve">ext</t>
  </si>
  <si>
    <t xml:space="preserve">Egypt DRI-EAF steel — export share total</t>
  </si>
  <si>
    <t xml:space="preserve">frac</t>
  </si>
  <si>
    <t xml:space="preserve">Production exported (any destination).</t>
  </si>
  <si>
    <t xml:space="preserve">egy.in.exe.stl.drg.---</t>
  </si>
  <si>
    <t xml:space="preserve">exe</t>
  </si>
  <si>
    <t xml:space="preserve">Egypt DRI-EAF steel — EU export share</t>
  </si>
  <si>
    <t xml:space="preserve">Share of production exported to EU.</t>
  </si>
  <si>
    <t xml:space="preserve">egy.in.imp.stl.drg.---</t>
  </si>
  <si>
    <t xml:space="preserve">imp</t>
  </si>
  <si>
    <t xml:space="preserve">Egypt DRI-EAF steel — import share</t>
  </si>
  <si>
    <t xml:space="preserve">Imports as share of (production − exports).</t>
  </si>
  <si>
    <t xml:space="preserve">egy.in.enc.stl.drg.coa</t>
  </si>
  <si>
    <t xml:space="preserve">enc</t>
  </si>
  <si>
    <t xml:space="preserve">Egypt DRI-EAF steel — Coal (cmb)</t>
  </si>
  <si>
    <t xml:space="preserve">GJ/t</t>
  </si>
  <si>
    <t xml:space="preserve">Combustion intensity for coal.</t>
  </si>
  <si>
    <t xml:space="preserve">IEA/IRENA</t>
  </si>
  <si>
    <t xml:space="preserve">egy.in.enc.stl.drg.nga</t>
  </si>
  <si>
    <t xml:space="preserve">Egypt DRI-EAF steel — Natural gas (cmb)</t>
  </si>
  <si>
    <t xml:space="preserve">Combustion intensity for natural gas.</t>
  </si>
  <si>
    <t xml:space="preserve">egy.in.enc.stl.drg.gso</t>
  </si>
  <si>
    <t xml:space="preserve">Egypt DRI-EAF steel — Gasoline (cmb)</t>
  </si>
  <si>
    <t xml:space="preserve">Combustion intensity for gasoline.</t>
  </si>
  <si>
    <t xml:space="preserve">egy.in.enc.stl.drg.die</t>
  </si>
  <si>
    <t xml:space="preserve">Egypt DRI-EAF steel — Diesel (cmb)</t>
  </si>
  <si>
    <t xml:space="preserve">Combustion intensity for diesel.</t>
  </si>
  <si>
    <t xml:space="preserve">egy.in.enc.stl.drg.ker</t>
  </si>
  <si>
    <t xml:space="preserve">Egypt DRI-EAF steel — Kerosene (cmb)</t>
  </si>
  <si>
    <t xml:space="preserve">Combustion intensity for kerosene.</t>
  </si>
  <si>
    <t xml:space="preserve">egy.in.enc.stl.drg.lpg</t>
  </si>
  <si>
    <t xml:space="preserve">Egypt DRI-EAF steel — LPG (cmb)</t>
  </si>
  <si>
    <t xml:space="preserve">Combustion intensity for lpg.</t>
  </si>
  <si>
    <t xml:space="preserve">egy.in.enc.stl.drg.bio</t>
  </si>
  <si>
    <t xml:space="preserve">Egypt DRI-EAF steel — Biomass (cmb)</t>
  </si>
  <si>
    <t xml:space="preserve">Combustion intensity for biomass.</t>
  </si>
  <si>
    <t xml:space="preserve">egy.in.enc.stl.drg.ren</t>
  </si>
  <si>
    <t xml:space="preserve">Egypt DRI-EAF steel — Self-gen renewables (cmb)</t>
  </si>
  <si>
    <t xml:space="preserve">Combustion intensity for self-gen renewables.</t>
  </si>
  <si>
    <t xml:space="preserve">egy.in.enp.stl.drg.coa</t>
  </si>
  <si>
    <t xml:space="preserve">enp</t>
  </si>
  <si>
    <t xml:space="preserve">Egypt DRI-EAF steel — Coal (prc)</t>
  </si>
  <si>
    <t xml:space="preserve">Process/reductant intensity for coal.</t>
  </si>
  <si>
    <t xml:space="preserve">egy.in.enp.stl.drg.nga</t>
  </si>
  <si>
    <t xml:space="preserve">Egypt DRI-EAF steel — Natural gas (prc)</t>
  </si>
  <si>
    <t xml:space="preserve">Process/reductant intensity for natural gas.</t>
  </si>
  <si>
    <t xml:space="preserve">egy.in.enp.stl.drg.gso</t>
  </si>
  <si>
    <t xml:space="preserve">Egypt DRI-EAF steel — Gasoline (prc)</t>
  </si>
  <si>
    <t xml:space="preserve">Process/reductant intensity for gasoline.</t>
  </si>
  <si>
    <t xml:space="preserve">egy.in.enp.stl.drg.die</t>
  </si>
  <si>
    <t xml:space="preserve">Egypt DRI-EAF steel — Diesel (prc)</t>
  </si>
  <si>
    <t xml:space="preserve">Process/reductant intensity for diesel.</t>
  </si>
  <si>
    <t xml:space="preserve">egy.in.enp.stl.drg.ker</t>
  </si>
  <si>
    <t xml:space="preserve">Egypt DRI-EAF steel — Kerosene (prc)</t>
  </si>
  <si>
    <t xml:space="preserve">Process/reductant intensity for kerosene.</t>
  </si>
  <si>
    <t xml:space="preserve">egy.in.enp.stl.drg.lpg</t>
  </si>
  <si>
    <t xml:space="preserve">Egypt DRI-EAF steel — LPG (prc)</t>
  </si>
  <si>
    <t xml:space="preserve">Process/reductant intensity for lpg.</t>
  </si>
  <si>
    <t xml:space="preserve">egy.in.enp.stl.drg.bio</t>
  </si>
  <si>
    <t xml:space="preserve">Egypt DRI-EAF steel — Biomass (prc)</t>
  </si>
  <si>
    <t xml:space="preserve">Process/reductant intensity for biomass.</t>
  </si>
  <si>
    <t xml:space="preserve">egy.in.enp.stl.drg.ren</t>
  </si>
  <si>
    <t xml:space="preserve">Egypt DRI-EAF steel — Self-gen renewables (prc)</t>
  </si>
  <si>
    <t xml:space="preserve">Process/reductant intensity for self-gen renewables.</t>
  </si>
  <si>
    <t xml:space="preserve">egy.in.ele.stl.drg.elc</t>
  </si>
  <si>
    <t xml:space="preserve">ele</t>
  </si>
  <si>
    <t xml:space="preserve">elc</t>
  </si>
  <si>
    <t xml:space="preserve">Egypt DRI-EAF steel — electricity</t>
  </si>
  <si>
    <t xml:space="preserve">Grid electricity intensity.</t>
  </si>
  <si>
    <t xml:space="preserve">egy.in.efn.stl.drg.---</t>
  </si>
  <si>
    <t xml:space="preserve">efn</t>
  </si>
  <si>
    <t xml:space="preserve">Egypt DRI-EAF steel — non-fuel process EF</t>
  </si>
  <si>
    <t xml:space="preserve">Direct non-fuel process emissions per tonne of product. Negative for urea (CO2 uptake from atmosphere as feedstock).</t>
  </si>
  <si>
    <t xml:space="preserve">IPCC 2006</t>
  </si>
  <si>
    <t xml:space="preserve">egy.in.efo.stl.drg.---</t>
  </si>
  <si>
    <t xml:space="preserve">efo</t>
  </si>
  <si>
    <t xml:space="preserve">Egypt DRI-EAF steel — non-CO₂ GHG EF</t>
  </si>
  <si>
    <t xml:space="preserve">tCO2e/t</t>
  </si>
  <si>
    <t xml:space="preserve">Non-CO2 GHG emissions per tonne of product (N2O, PFCs).</t>
  </si>
  <si>
    <t xml:space="preserve">egy.in.prb.stl.scr.---</t>
  </si>
  <si>
    <t xml:space="preserve">Egypt Scrap-EAF steel — base production</t>
  </si>
  <si>
    <t xml:space="preserve">Base year 2024 production of scrap-eaf steel.</t>
  </si>
  <si>
    <t xml:space="preserve">egy.in.els.stl.scr.---</t>
  </si>
  <si>
    <t xml:space="preserve">Egypt Scrap-EAF steel — elasticity</t>
  </si>
  <si>
    <t xml:space="preserve">egy.in.ext.stl.scr.---</t>
  </si>
  <si>
    <t xml:space="preserve">Egypt Scrap-EAF steel — export share total</t>
  </si>
  <si>
    <t xml:space="preserve">egy.in.exe.stl.scr.---</t>
  </si>
  <si>
    <t xml:space="preserve">Egypt Scrap-EAF steel — EU export share</t>
  </si>
  <si>
    <t xml:space="preserve">egy.in.imp.stl.scr.---</t>
  </si>
  <si>
    <t xml:space="preserve">Egypt Scrap-EAF steel — import share</t>
  </si>
  <si>
    <t xml:space="preserve">egy.in.enc.stl.scr.coa</t>
  </si>
  <si>
    <t xml:space="preserve">Egypt Scrap-EAF steel — Coal (cmb)</t>
  </si>
  <si>
    <t xml:space="preserve">egy.in.enc.stl.scr.nga</t>
  </si>
  <si>
    <t xml:space="preserve">Egypt Scrap-EAF steel — Natural gas (cmb)</t>
  </si>
  <si>
    <t xml:space="preserve">egy.in.enc.stl.scr.gso</t>
  </si>
  <si>
    <t xml:space="preserve">Egypt Scrap-EAF steel — Gasoline (cmb)</t>
  </si>
  <si>
    <t xml:space="preserve">egy.in.enc.stl.scr.die</t>
  </si>
  <si>
    <t xml:space="preserve">Egypt Scrap-EAF steel — Diesel (cmb)</t>
  </si>
  <si>
    <t xml:space="preserve">egy.in.enc.stl.scr.ker</t>
  </si>
  <si>
    <t xml:space="preserve">Egypt Scrap-EAF steel — Kerosene (cmb)</t>
  </si>
  <si>
    <t xml:space="preserve">egy.in.enc.stl.scr.lpg</t>
  </si>
  <si>
    <t xml:space="preserve">Egypt Scrap-EAF steel — LPG (cmb)</t>
  </si>
  <si>
    <t xml:space="preserve">egy.in.enc.stl.scr.bio</t>
  </si>
  <si>
    <t xml:space="preserve">Egypt Scrap-EAF steel — Biomass (cmb)</t>
  </si>
  <si>
    <t xml:space="preserve">egy.in.enc.stl.scr.ren</t>
  </si>
  <si>
    <t xml:space="preserve">Egypt Scrap-EAF steel — Self-gen renewables (cmb)</t>
  </si>
  <si>
    <t xml:space="preserve">egy.in.enp.stl.scr.coa</t>
  </si>
  <si>
    <t xml:space="preserve">Egypt Scrap-EAF steel — Coal (prc)</t>
  </si>
  <si>
    <t xml:space="preserve">egy.in.enp.stl.scr.nga</t>
  </si>
  <si>
    <t xml:space="preserve">Egypt Scrap-EAF steel — Natural gas (prc)</t>
  </si>
  <si>
    <t xml:space="preserve">egy.in.enp.stl.scr.gso</t>
  </si>
  <si>
    <t xml:space="preserve">Egypt Scrap-EAF steel — Gasoline (prc)</t>
  </si>
  <si>
    <t xml:space="preserve">egy.in.enp.stl.scr.die</t>
  </si>
  <si>
    <t xml:space="preserve">Egypt Scrap-EAF steel — Diesel (prc)</t>
  </si>
  <si>
    <t xml:space="preserve">egy.in.enp.stl.scr.ker</t>
  </si>
  <si>
    <t xml:space="preserve">Egypt Scrap-EAF steel — Kerosene (prc)</t>
  </si>
  <si>
    <t xml:space="preserve">egy.in.enp.stl.scr.lpg</t>
  </si>
  <si>
    <t xml:space="preserve">Egypt Scrap-EAF steel — LPG (prc)</t>
  </si>
  <si>
    <t xml:space="preserve">egy.in.enp.stl.scr.bio</t>
  </si>
  <si>
    <t xml:space="preserve">Egypt Scrap-EAF steel — Biomass (prc)</t>
  </si>
  <si>
    <t xml:space="preserve">egy.in.enp.stl.scr.ren</t>
  </si>
  <si>
    <t xml:space="preserve">Egypt Scrap-EAF steel — Self-gen renewables (prc)</t>
  </si>
  <si>
    <t xml:space="preserve">egy.in.ele.stl.scr.elc</t>
  </si>
  <si>
    <t xml:space="preserve">Egypt Scrap-EAF steel — electricity</t>
  </si>
  <si>
    <t xml:space="preserve">egy.in.efn.stl.scr.---</t>
  </si>
  <si>
    <t xml:space="preserve">Egypt Scrap-EAF steel — non-fuel process EF</t>
  </si>
  <si>
    <t xml:space="preserve">egy.in.efo.stl.scr.---</t>
  </si>
  <si>
    <t xml:space="preserve">Egypt Scrap-EAF steel — non-CO₂ GHG EF</t>
  </si>
  <si>
    <t xml:space="preserve">egy.in.prb.stl.bof.---</t>
  </si>
  <si>
    <t xml:space="preserve">Egypt BF-BOF steel — base production</t>
  </si>
  <si>
    <t xml:space="preserve">Base year 2024 production of bf-bof steel.</t>
  </si>
  <si>
    <t xml:space="preserve">egy.in.els.stl.bof.---</t>
  </si>
  <si>
    <t xml:space="preserve">Egypt BF-BOF steel — elasticity</t>
  </si>
  <si>
    <t xml:space="preserve">egy.in.ext.stl.bof.---</t>
  </si>
  <si>
    <t xml:space="preserve">Egypt BF-BOF steel — export share total</t>
  </si>
  <si>
    <t xml:space="preserve">egy.in.exe.stl.bof.---</t>
  </si>
  <si>
    <t xml:space="preserve">Egypt BF-BOF steel — EU export share</t>
  </si>
  <si>
    <t xml:space="preserve">egy.in.imp.stl.bof.---</t>
  </si>
  <si>
    <t xml:space="preserve">Egypt BF-BOF steel — import share</t>
  </si>
  <si>
    <t xml:space="preserve">egy.in.enc.stl.bof.coa</t>
  </si>
  <si>
    <t xml:space="preserve">Egypt BF-BOF steel — Coal (cmb)</t>
  </si>
  <si>
    <t xml:space="preserve">egy.in.enc.stl.bof.nga</t>
  </si>
  <si>
    <t xml:space="preserve">Egypt BF-BOF steel — Natural gas (cmb)</t>
  </si>
  <si>
    <t xml:space="preserve">egy.in.enc.stl.bof.gso</t>
  </si>
  <si>
    <t xml:space="preserve">Egypt BF-BOF steel — Gasoline (cmb)</t>
  </si>
  <si>
    <t xml:space="preserve">egy.in.enc.stl.bof.die</t>
  </si>
  <si>
    <t xml:space="preserve">Egypt BF-BOF steel — Diesel (cmb)</t>
  </si>
  <si>
    <t xml:space="preserve">egy.in.enc.stl.bof.ker</t>
  </si>
  <si>
    <t xml:space="preserve">Egypt BF-BOF steel — Kerosene (cmb)</t>
  </si>
  <si>
    <t xml:space="preserve">egy.in.enc.stl.bof.lpg</t>
  </si>
  <si>
    <t xml:space="preserve">Egypt BF-BOF steel — LPG (cmb)</t>
  </si>
  <si>
    <t xml:space="preserve">egy.in.enc.stl.bof.bio</t>
  </si>
  <si>
    <t xml:space="preserve">Egypt BF-BOF steel — Biomass (cmb)</t>
  </si>
  <si>
    <t xml:space="preserve">egy.in.enc.stl.bof.ren</t>
  </si>
  <si>
    <t xml:space="preserve">Egypt BF-BOF steel — Self-gen renewables (cmb)</t>
  </si>
  <si>
    <t xml:space="preserve">egy.in.enp.stl.bof.coa</t>
  </si>
  <si>
    <t xml:space="preserve">Egypt BF-BOF steel — Coal (prc)</t>
  </si>
  <si>
    <t xml:space="preserve">egy.in.enp.stl.bof.nga</t>
  </si>
  <si>
    <t xml:space="preserve">Egypt BF-BOF steel — Natural gas (prc)</t>
  </si>
  <si>
    <t xml:space="preserve">egy.in.enp.stl.bof.gso</t>
  </si>
  <si>
    <t xml:space="preserve">Egypt BF-BOF steel — Gasoline (prc)</t>
  </si>
  <si>
    <t xml:space="preserve">egy.in.enp.stl.bof.die</t>
  </si>
  <si>
    <t xml:space="preserve">Egypt BF-BOF steel — Diesel (prc)</t>
  </si>
  <si>
    <t xml:space="preserve">egy.in.enp.stl.bof.ker</t>
  </si>
  <si>
    <t xml:space="preserve">Egypt BF-BOF steel — Kerosene (prc)</t>
  </si>
  <si>
    <t xml:space="preserve">egy.in.enp.stl.bof.lpg</t>
  </si>
  <si>
    <t xml:space="preserve">Egypt BF-BOF steel — LPG (prc)</t>
  </si>
  <si>
    <t xml:space="preserve">egy.in.enp.stl.bof.bio</t>
  </si>
  <si>
    <t xml:space="preserve">Egypt BF-BOF steel — Biomass (prc)</t>
  </si>
  <si>
    <t xml:space="preserve">egy.in.enp.stl.bof.ren</t>
  </si>
  <si>
    <t xml:space="preserve">Egypt BF-BOF steel — Self-gen renewables (prc)</t>
  </si>
  <si>
    <t xml:space="preserve">egy.in.ele.stl.bof.elc</t>
  </si>
  <si>
    <t xml:space="preserve">Egypt BF-BOF steel — electricity</t>
  </si>
  <si>
    <t xml:space="preserve">egy.in.efn.stl.bof.---</t>
  </si>
  <si>
    <t xml:space="preserve">Egypt BF-BOF steel — non-fuel process EF</t>
  </si>
  <si>
    <t xml:space="preserve">egy.in.efo.stl.bof.---</t>
  </si>
  <si>
    <t xml:space="preserve">Egypt BF-BOF steel — non-CO₂ GHG EF</t>
  </si>
  <si>
    <t xml:space="preserve">egy.in.prb.cmt.dry.---</t>
  </si>
  <si>
    <t xml:space="preserve">Egypt Cement — base production</t>
  </si>
  <si>
    <t xml:space="preserve">Base year 2024 production of cement.</t>
  </si>
  <si>
    <t xml:space="preserve">egy.in.els.cmt.dry.---</t>
  </si>
  <si>
    <t xml:space="preserve">Egypt Cement — elasticity</t>
  </si>
  <si>
    <t xml:space="preserve">egy.in.ext.cmt.dry.---</t>
  </si>
  <si>
    <t xml:space="preserve">Egypt Cement — export share total</t>
  </si>
  <si>
    <t xml:space="preserve">egy.in.exe.cmt.dry.---</t>
  </si>
  <si>
    <t xml:space="preserve">Egypt Cement — EU export share</t>
  </si>
  <si>
    <t xml:space="preserve">egy.in.imp.cmt.dry.---</t>
  </si>
  <si>
    <t xml:space="preserve">Egypt Cement — import share</t>
  </si>
  <si>
    <t xml:space="preserve">egy.in.enc.cmt.dry.coa</t>
  </si>
  <si>
    <t xml:space="preserve">Egypt Cement — Coal (cmb)</t>
  </si>
  <si>
    <t xml:space="preserve">egy.in.enc.cmt.dry.nga</t>
  </si>
  <si>
    <t xml:space="preserve">Egypt Cement — Natural gas (cmb)</t>
  </si>
  <si>
    <t xml:space="preserve">egy.in.enc.cmt.dry.gso</t>
  </si>
  <si>
    <t xml:space="preserve">Egypt Cement — Gasoline (cmb)</t>
  </si>
  <si>
    <t xml:space="preserve">egy.in.enc.cmt.dry.die</t>
  </si>
  <si>
    <t xml:space="preserve">Egypt Cement — Diesel (cmb)</t>
  </si>
  <si>
    <t xml:space="preserve">egy.in.enc.cmt.dry.ker</t>
  </si>
  <si>
    <t xml:space="preserve">Egypt Cement — Kerosene (cmb)</t>
  </si>
  <si>
    <t xml:space="preserve">egy.in.enc.cmt.dry.lpg</t>
  </si>
  <si>
    <t xml:space="preserve">Egypt Cement — LPG (cmb)</t>
  </si>
  <si>
    <t xml:space="preserve">egy.in.enc.cmt.dry.bio</t>
  </si>
  <si>
    <t xml:space="preserve">Egypt Cement — Biomass (cmb)</t>
  </si>
  <si>
    <t xml:space="preserve">egy.in.enc.cmt.dry.ren</t>
  </si>
  <si>
    <t xml:space="preserve">Egypt Cement — Self-gen renewables (cmb)</t>
  </si>
  <si>
    <t xml:space="preserve">egy.in.enp.cmt.dry.coa</t>
  </si>
  <si>
    <t xml:space="preserve">Egypt Cement — Coal (prc)</t>
  </si>
  <si>
    <t xml:space="preserve">egy.in.enp.cmt.dry.nga</t>
  </si>
  <si>
    <t xml:space="preserve">Egypt Cement — Natural gas (prc)</t>
  </si>
  <si>
    <t xml:space="preserve">egy.in.enp.cmt.dry.gso</t>
  </si>
  <si>
    <t xml:space="preserve">Egypt Cement — Gasoline (prc)</t>
  </si>
  <si>
    <t xml:space="preserve">egy.in.enp.cmt.dry.die</t>
  </si>
  <si>
    <t xml:space="preserve">Egypt Cement — Diesel (prc)</t>
  </si>
  <si>
    <t xml:space="preserve">egy.in.enp.cmt.dry.ker</t>
  </si>
  <si>
    <t xml:space="preserve">Egypt Cement — Kerosene (prc)</t>
  </si>
  <si>
    <t xml:space="preserve">egy.in.enp.cmt.dry.lpg</t>
  </si>
  <si>
    <t xml:space="preserve">Egypt Cement — LPG (prc)</t>
  </si>
  <si>
    <t xml:space="preserve">egy.in.enp.cmt.dry.bio</t>
  </si>
  <si>
    <t xml:space="preserve">Egypt Cement — Biomass (prc)</t>
  </si>
  <si>
    <t xml:space="preserve">egy.in.enp.cmt.dry.ren</t>
  </si>
  <si>
    <t xml:space="preserve">Egypt Cement — Self-gen renewables (prc)</t>
  </si>
  <si>
    <t xml:space="preserve">egy.in.ele.cmt.dry.elc</t>
  </si>
  <si>
    <t xml:space="preserve">Egypt Cement — electricity</t>
  </si>
  <si>
    <t xml:space="preserve">egy.in.efn.cmt.dry.---</t>
  </si>
  <si>
    <t xml:space="preserve">Egypt Cement — non-fuel process EF</t>
  </si>
  <si>
    <t xml:space="preserve">egy.in.efo.cmt.dry.---</t>
  </si>
  <si>
    <t xml:space="preserve">Egypt Cement — non-CO₂ GHG EF</t>
  </si>
  <si>
    <t xml:space="preserve">egy.in.prb.frt.amc.---</t>
  </si>
  <si>
    <t xml:space="preserve">Egypt Ammonia — base production</t>
  </si>
  <si>
    <t xml:space="preserve">Base year 2024 production of ammonia.</t>
  </si>
  <si>
    <t xml:space="preserve">egy.in.els.frt.amc.---</t>
  </si>
  <si>
    <t xml:space="preserve">Egypt Ammonia — elasticity</t>
  </si>
  <si>
    <t xml:space="preserve">egy.in.ext.frt.amc.---</t>
  </si>
  <si>
    <t xml:space="preserve">Egypt Ammonia — export share total</t>
  </si>
  <si>
    <t xml:space="preserve">egy.in.exe.frt.amc.---</t>
  </si>
  <si>
    <t xml:space="preserve">Egypt Ammonia — EU export share</t>
  </si>
  <si>
    <t xml:space="preserve">egy.in.imp.frt.amc.---</t>
  </si>
  <si>
    <t xml:space="preserve">Egypt Ammonia — import share</t>
  </si>
  <si>
    <t xml:space="preserve">egy.in.enc.frt.amc.coa</t>
  </si>
  <si>
    <t xml:space="preserve">Egypt Ammonia — Coal (cmb)</t>
  </si>
  <si>
    <t xml:space="preserve">egy.in.enc.frt.amc.nga</t>
  </si>
  <si>
    <t xml:space="preserve">Egypt Ammonia — Natural gas (cmb)</t>
  </si>
  <si>
    <t xml:space="preserve">egy.in.enc.frt.amc.gso</t>
  </si>
  <si>
    <t xml:space="preserve">Egypt Ammonia — Gasoline (cmb)</t>
  </si>
  <si>
    <t xml:space="preserve">egy.in.enc.frt.amc.die</t>
  </si>
  <si>
    <t xml:space="preserve">Egypt Ammonia — Diesel (cmb)</t>
  </si>
  <si>
    <t xml:space="preserve">egy.in.enc.frt.amc.ker</t>
  </si>
  <si>
    <t xml:space="preserve">Egypt Ammonia — Kerosene (cmb)</t>
  </si>
  <si>
    <t xml:space="preserve">egy.in.enc.frt.amc.lpg</t>
  </si>
  <si>
    <t xml:space="preserve">Egypt Ammonia — LPG (cmb)</t>
  </si>
  <si>
    <t xml:space="preserve">egy.in.enc.frt.amc.bio</t>
  </si>
  <si>
    <t xml:space="preserve">Egypt Ammonia — Biomass (cmb)</t>
  </si>
  <si>
    <t xml:space="preserve">egy.in.enc.frt.amc.ren</t>
  </si>
  <si>
    <t xml:space="preserve">Egypt Ammonia — Self-gen renewables (cmb)</t>
  </si>
  <si>
    <t xml:space="preserve">egy.in.enp.frt.amc.coa</t>
  </si>
  <si>
    <t xml:space="preserve">Egypt Ammonia — Coal (prc)</t>
  </si>
  <si>
    <t xml:space="preserve">egy.in.enp.frt.amc.nga</t>
  </si>
  <si>
    <t xml:space="preserve">Egypt Ammonia — Natural gas (prc)</t>
  </si>
  <si>
    <t xml:space="preserve">egy.in.enp.frt.amc.gso</t>
  </si>
  <si>
    <t xml:space="preserve">Egypt Ammonia — Gasoline (prc)</t>
  </si>
  <si>
    <t xml:space="preserve">egy.in.enp.frt.amc.die</t>
  </si>
  <si>
    <t xml:space="preserve">Egypt Ammonia — Diesel (prc)</t>
  </si>
  <si>
    <t xml:space="preserve">egy.in.enp.frt.amc.ker</t>
  </si>
  <si>
    <t xml:space="preserve">Egypt Ammonia — Kerosene (prc)</t>
  </si>
  <si>
    <t xml:space="preserve">egy.in.enp.frt.amc.lpg</t>
  </si>
  <si>
    <t xml:space="preserve">Egypt Ammonia — LPG (prc)</t>
  </si>
  <si>
    <t xml:space="preserve">egy.in.enp.frt.amc.bio</t>
  </si>
  <si>
    <t xml:space="preserve">Egypt Ammonia — Biomass (prc)</t>
  </si>
  <si>
    <t xml:space="preserve">egy.in.enp.frt.amc.ren</t>
  </si>
  <si>
    <t xml:space="preserve">Egypt Ammonia — Self-gen renewables (prc)</t>
  </si>
  <si>
    <t xml:space="preserve">egy.in.ele.frt.amc.elc</t>
  </si>
  <si>
    <t xml:space="preserve">Egypt Ammonia — electricity</t>
  </si>
  <si>
    <t xml:space="preserve">egy.in.efn.frt.amc.---</t>
  </si>
  <si>
    <t xml:space="preserve">Egypt Ammonia — non-fuel process EF</t>
  </si>
  <si>
    <t xml:space="preserve">egy.in.efo.frt.amc.---</t>
  </si>
  <si>
    <t xml:space="preserve">Egypt Ammonia — non-CO₂ GHG EF</t>
  </si>
  <si>
    <t xml:space="preserve">egy.in.prb.frt.ure.---</t>
  </si>
  <si>
    <t xml:space="preserve">Egypt Urea — base production</t>
  </si>
  <si>
    <t xml:space="preserve">Base year 2024 production of urea.</t>
  </si>
  <si>
    <t xml:space="preserve">egy.in.els.frt.ure.---</t>
  </si>
  <si>
    <t xml:space="preserve">Egypt Urea — elasticity</t>
  </si>
  <si>
    <t xml:space="preserve">egy.in.ext.frt.ure.---</t>
  </si>
  <si>
    <t xml:space="preserve">Egypt Urea — export share total</t>
  </si>
  <si>
    <t xml:space="preserve">egy.in.exe.frt.ure.---</t>
  </si>
  <si>
    <t xml:space="preserve">Egypt Urea — EU export share</t>
  </si>
  <si>
    <t xml:space="preserve">egy.in.imp.frt.ure.---</t>
  </si>
  <si>
    <t xml:space="preserve">Egypt Urea — import share</t>
  </si>
  <si>
    <t xml:space="preserve">egy.in.enc.frt.ure.coa</t>
  </si>
  <si>
    <t xml:space="preserve">Egypt Urea — Coal (cmb)</t>
  </si>
  <si>
    <t xml:space="preserve">egy.in.enc.frt.ure.nga</t>
  </si>
  <si>
    <t xml:space="preserve">Egypt Urea — Natural gas (cmb)</t>
  </si>
  <si>
    <t xml:space="preserve">egy.in.enc.frt.ure.gso</t>
  </si>
  <si>
    <t xml:space="preserve">Egypt Urea — Gasoline (cmb)</t>
  </si>
  <si>
    <t xml:space="preserve">egy.in.enc.frt.ure.die</t>
  </si>
  <si>
    <t xml:space="preserve">Egypt Urea — Diesel (cmb)</t>
  </si>
  <si>
    <t xml:space="preserve">egy.in.enc.frt.ure.ker</t>
  </si>
  <si>
    <t xml:space="preserve">Egypt Urea — Kerosene (cmb)</t>
  </si>
  <si>
    <t xml:space="preserve">egy.in.enc.frt.ure.lpg</t>
  </si>
  <si>
    <t xml:space="preserve">Egypt Urea — LPG (cmb)</t>
  </si>
  <si>
    <t xml:space="preserve">egy.in.enc.frt.ure.bio</t>
  </si>
  <si>
    <t xml:space="preserve">Egypt Urea — Biomass (cmb)</t>
  </si>
  <si>
    <t xml:space="preserve">egy.in.enc.frt.ure.ren</t>
  </si>
  <si>
    <t xml:space="preserve">Egypt Urea — Self-gen renewables (cmb)</t>
  </si>
  <si>
    <t xml:space="preserve">egy.in.enp.frt.ure.coa</t>
  </si>
  <si>
    <t xml:space="preserve">Egypt Urea — Coal (prc)</t>
  </si>
  <si>
    <t xml:space="preserve">egy.in.enp.frt.ure.nga</t>
  </si>
  <si>
    <t xml:space="preserve">Egypt Urea — Natural gas (prc)</t>
  </si>
  <si>
    <t xml:space="preserve">egy.in.enp.frt.ure.gso</t>
  </si>
  <si>
    <t xml:space="preserve">Egypt Urea — Gasoline (prc)</t>
  </si>
  <si>
    <t xml:space="preserve">egy.in.enp.frt.ure.die</t>
  </si>
  <si>
    <t xml:space="preserve">Egypt Urea — Diesel (prc)</t>
  </si>
  <si>
    <t xml:space="preserve">egy.in.enp.frt.ure.ker</t>
  </si>
  <si>
    <t xml:space="preserve">Egypt Urea — Kerosene (prc)</t>
  </si>
  <si>
    <t xml:space="preserve">egy.in.enp.frt.ure.lpg</t>
  </si>
  <si>
    <t xml:space="preserve">Egypt Urea — LPG (prc)</t>
  </si>
  <si>
    <t xml:space="preserve">egy.in.enp.frt.ure.bio</t>
  </si>
  <si>
    <t xml:space="preserve">Egypt Urea — Biomass (prc)</t>
  </si>
  <si>
    <t xml:space="preserve">egy.in.enp.frt.ure.ren</t>
  </si>
  <si>
    <t xml:space="preserve">Egypt Urea — Self-gen renewables (prc)</t>
  </si>
  <si>
    <t xml:space="preserve">egy.in.ele.frt.ure.elc</t>
  </si>
  <si>
    <t xml:space="preserve">Egypt Urea — electricity</t>
  </si>
  <si>
    <t xml:space="preserve">egy.in.efn.frt.ure.---</t>
  </si>
  <si>
    <t xml:space="preserve">Egypt Urea — non-fuel process EF</t>
  </si>
  <si>
    <t xml:space="preserve">egy.in.efo.frt.ure.---</t>
  </si>
  <si>
    <t xml:space="preserve">Egypt Urea — non-CO₂ GHG EF</t>
  </si>
  <si>
    <t xml:space="preserve">egy.in.prb.frt.nit.---</t>
  </si>
  <si>
    <t xml:space="preserve">Egypt Ammonium nitrate — base production</t>
  </si>
  <si>
    <t xml:space="preserve">Base year 2024 production of ammonium nitrate.</t>
  </si>
  <si>
    <t xml:space="preserve">egy.in.els.frt.nit.---</t>
  </si>
  <si>
    <t xml:space="preserve">Egypt Ammonium nitrate — elasticity</t>
  </si>
  <si>
    <t xml:space="preserve">egy.in.ext.frt.nit.---</t>
  </si>
  <si>
    <t xml:space="preserve">Egypt Ammonium nitrate — export share total</t>
  </si>
  <si>
    <t xml:space="preserve">egy.in.exe.frt.nit.---</t>
  </si>
  <si>
    <t xml:space="preserve">Egypt Ammonium nitrate — EU export share</t>
  </si>
  <si>
    <t xml:space="preserve">egy.in.imp.frt.nit.---</t>
  </si>
  <si>
    <t xml:space="preserve">Egypt Ammonium nitrate — import share</t>
  </si>
  <si>
    <t xml:space="preserve">egy.in.enc.frt.nit.coa</t>
  </si>
  <si>
    <t xml:space="preserve">Egypt Ammonium nitrate — Coal (cmb)</t>
  </si>
  <si>
    <t xml:space="preserve">egy.in.enc.frt.nit.nga</t>
  </si>
  <si>
    <t xml:space="preserve">Egypt Ammonium nitrate — Natural gas (cmb)</t>
  </si>
  <si>
    <t xml:space="preserve">egy.in.enc.frt.nit.gso</t>
  </si>
  <si>
    <t xml:space="preserve">Egypt Ammonium nitrate — Gasoline (cmb)</t>
  </si>
  <si>
    <t xml:space="preserve">egy.in.enc.frt.nit.die</t>
  </si>
  <si>
    <t xml:space="preserve">Egypt Ammonium nitrate — Diesel (cmb)</t>
  </si>
  <si>
    <t xml:space="preserve">egy.in.enc.frt.nit.ker</t>
  </si>
  <si>
    <t xml:space="preserve">Egypt Ammonium nitrate — Kerosene (cmb)</t>
  </si>
  <si>
    <t xml:space="preserve">egy.in.enc.frt.nit.lpg</t>
  </si>
  <si>
    <t xml:space="preserve">Egypt Ammonium nitrate — LPG (cmb)</t>
  </si>
  <si>
    <t xml:space="preserve">egy.in.enc.frt.nit.bio</t>
  </si>
  <si>
    <t xml:space="preserve">Egypt Ammonium nitrate — Biomass (cmb)</t>
  </si>
  <si>
    <t xml:space="preserve">egy.in.enc.frt.nit.ren</t>
  </si>
  <si>
    <t xml:space="preserve">Egypt Ammonium nitrate — Self-gen renewables (cmb)</t>
  </si>
  <si>
    <t xml:space="preserve">egy.in.enp.frt.nit.coa</t>
  </si>
  <si>
    <t xml:space="preserve">Egypt Ammonium nitrate — Coal (prc)</t>
  </si>
  <si>
    <t xml:space="preserve">egy.in.enp.frt.nit.nga</t>
  </si>
  <si>
    <t xml:space="preserve">Egypt Ammonium nitrate — Natural gas (prc)</t>
  </si>
  <si>
    <t xml:space="preserve">egy.in.enp.frt.nit.gso</t>
  </si>
  <si>
    <t xml:space="preserve">Egypt Ammonium nitrate — Gasoline (prc)</t>
  </si>
  <si>
    <t xml:space="preserve">egy.in.enp.frt.nit.die</t>
  </si>
  <si>
    <t xml:space="preserve">Egypt Ammonium nitrate — Diesel (prc)</t>
  </si>
  <si>
    <t xml:space="preserve">egy.in.enp.frt.nit.ker</t>
  </si>
  <si>
    <t xml:space="preserve">Egypt Ammonium nitrate — Kerosene (prc)</t>
  </si>
  <si>
    <t xml:space="preserve">egy.in.enp.frt.nit.lpg</t>
  </si>
  <si>
    <t xml:space="preserve">Egypt Ammonium nitrate — LPG (prc)</t>
  </si>
  <si>
    <t xml:space="preserve">egy.in.enp.frt.nit.bio</t>
  </si>
  <si>
    <t xml:space="preserve">Egypt Ammonium nitrate — Biomass (prc)</t>
  </si>
  <si>
    <t xml:space="preserve">egy.in.enp.frt.nit.ren</t>
  </si>
  <si>
    <t xml:space="preserve">Egypt Ammonium nitrate — Self-gen renewables (prc)</t>
  </si>
  <si>
    <t xml:space="preserve">egy.in.ele.frt.nit.elc</t>
  </si>
  <si>
    <t xml:space="preserve">Egypt Ammonium nitrate — electricity</t>
  </si>
  <si>
    <t xml:space="preserve">egy.in.efn.frt.nit.---</t>
  </si>
  <si>
    <t xml:space="preserve">Egypt Ammonium nitrate — non-fuel process EF</t>
  </si>
  <si>
    <t xml:space="preserve">egy.in.efo.frt.nit.---</t>
  </si>
  <si>
    <t xml:space="preserve">Egypt Ammonium nitrate — non-CO₂ GHG EF</t>
  </si>
  <si>
    <t xml:space="preserve">egy.in.prb.alu.prp.---</t>
  </si>
  <si>
    <t xml:space="preserve">Egypt Primary aluminium — base production</t>
  </si>
  <si>
    <t xml:space="preserve">Base year 2024 production of primary aluminium.</t>
  </si>
  <si>
    <t xml:space="preserve">egy.in.els.alu.prp.---</t>
  </si>
  <si>
    <t xml:space="preserve">Egypt Primary aluminium — elasticity</t>
  </si>
  <si>
    <t xml:space="preserve">egy.in.ext.alu.prp.---</t>
  </si>
  <si>
    <t xml:space="preserve">Egypt Primary aluminium — export share total</t>
  </si>
  <si>
    <t xml:space="preserve">egy.in.exe.alu.prp.---</t>
  </si>
  <si>
    <t xml:space="preserve">Egypt Primary aluminium — EU export share</t>
  </si>
  <si>
    <t xml:space="preserve">egy.in.imp.alu.prp.---</t>
  </si>
  <si>
    <t xml:space="preserve">Egypt Primary aluminium — import share</t>
  </si>
  <si>
    <t xml:space="preserve">egy.in.enc.alu.prp.coa</t>
  </si>
  <si>
    <t xml:space="preserve">Egypt Primary aluminium — Coal (cmb)</t>
  </si>
  <si>
    <t xml:space="preserve">egy.in.enc.alu.prp.nga</t>
  </si>
  <si>
    <t xml:space="preserve">Egypt Primary aluminium — Natural gas (cmb)</t>
  </si>
  <si>
    <t xml:space="preserve">egy.in.enc.alu.prp.gso</t>
  </si>
  <si>
    <t xml:space="preserve">Egypt Primary aluminium — Gasoline (cmb)</t>
  </si>
  <si>
    <t xml:space="preserve">egy.in.enc.alu.prp.die</t>
  </si>
  <si>
    <t xml:space="preserve">Egypt Primary aluminium — Diesel (cmb)</t>
  </si>
  <si>
    <t xml:space="preserve">egy.in.enc.alu.prp.ker</t>
  </si>
  <si>
    <t xml:space="preserve">Egypt Primary aluminium — Kerosene (cmb)</t>
  </si>
  <si>
    <t xml:space="preserve">egy.in.enc.alu.prp.lpg</t>
  </si>
  <si>
    <t xml:space="preserve">Egypt Primary aluminium — LPG (cmb)</t>
  </si>
  <si>
    <t xml:space="preserve">egy.in.enc.alu.prp.bio</t>
  </si>
  <si>
    <t xml:space="preserve">Egypt Primary aluminium — Biomass (cmb)</t>
  </si>
  <si>
    <t xml:space="preserve">egy.in.enc.alu.prp.ren</t>
  </si>
  <si>
    <t xml:space="preserve">Egypt Primary aluminium — Self-gen renewables (cmb)</t>
  </si>
  <si>
    <t xml:space="preserve">egy.in.enp.alu.prp.coa</t>
  </si>
  <si>
    <t xml:space="preserve">Egypt Primary aluminium — Coal (prc)</t>
  </si>
  <si>
    <t xml:space="preserve">egy.in.enp.alu.prp.nga</t>
  </si>
  <si>
    <t xml:space="preserve">Egypt Primary aluminium — Natural gas (prc)</t>
  </si>
  <si>
    <t xml:space="preserve">egy.in.enp.alu.prp.gso</t>
  </si>
  <si>
    <t xml:space="preserve">Egypt Primary aluminium — Gasoline (prc)</t>
  </si>
  <si>
    <t xml:space="preserve">egy.in.enp.alu.prp.die</t>
  </si>
  <si>
    <t xml:space="preserve">Egypt Primary aluminium — Diesel (prc)</t>
  </si>
  <si>
    <t xml:space="preserve">egy.in.enp.alu.prp.ker</t>
  </si>
  <si>
    <t xml:space="preserve">Egypt Primary aluminium — Kerosene (prc)</t>
  </si>
  <si>
    <t xml:space="preserve">egy.in.enp.alu.prp.lpg</t>
  </si>
  <si>
    <t xml:space="preserve">Egypt Primary aluminium — LPG (prc)</t>
  </si>
  <si>
    <t xml:space="preserve">egy.in.enp.alu.prp.bio</t>
  </si>
  <si>
    <t xml:space="preserve">Egypt Primary aluminium — Biomass (prc)</t>
  </si>
  <si>
    <t xml:space="preserve">egy.in.enp.alu.prp.ren</t>
  </si>
  <si>
    <t xml:space="preserve">Egypt Primary aluminium — Self-gen renewables (prc)</t>
  </si>
  <si>
    <t xml:space="preserve">egy.in.ele.alu.prp.elc</t>
  </si>
  <si>
    <t xml:space="preserve">Egypt Primary aluminium — electricity</t>
  </si>
  <si>
    <t xml:space="preserve">egy.in.efn.alu.prp.---</t>
  </si>
  <si>
    <t xml:space="preserve">Egypt Primary aluminium — non-fuel process EF</t>
  </si>
  <si>
    <t xml:space="preserve">egy.in.efo.alu.prp.---</t>
  </si>
  <si>
    <t xml:space="preserve">Egypt Primary aluminium — non-CO₂ GHG EF</t>
  </si>
  <si>
    <t xml:space="preserve">6.alb. Albania — country-specific inputs by entity</t>
  </si>
  <si>
    <t xml:space="preserve">alb.in.prb.stl.drg.---</t>
  </si>
  <si>
    <t xml:space="preserve">Albania DRI-EAF steel — base production</t>
  </si>
  <si>
    <t xml:space="preserve">alb.in.els.stl.drg.---</t>
  </si>
  <si>
    <t xml:space="preserve">Albania DRI-EAF steel — elasticity</t>
  </si>
  <si>
    <t xml:space="preserve">alb.in.ext.stl.drg.---</t>
  </si>
  <si>
    <t xml:space="preserve">Albania DRI-EAF steel — export share total</t>
  </si>
  <si>
    <t xml:space="preserve">alb.in.exe.stl.drg.---</t>
  </si>
  <si>
    <t xml:space="preserve">Albania DRI-EAF steel — EU export share</t>
  </si>
  <si>
    <t xml:space="preserve">alb.in.imp.stl.drg.---</t>
  </si>
  <si>
    <t xml:space="preserve">Albania DRI-EAF steel — import share</t>
  </si>
  <si>
    <t xml:space="preserve">alb.in.enc.stl.drg.coa</t>
  </si>
  <si>
    <t xml:space="preserve">Albania DRI-EAF steel — Coal (cmb)</t>
  </si>
  <si>
    <t xml:space="preserve">alb.in.enc.stl.drg.nga</t>
  </si>
  <si>
    <t xml:space="preserve">Albania DRI-EAF steel — Natural gas (cmb)</t>
  </si>
  <si>
    <t xml:space="preserve">alb.in.enc.stl.drg.gso</t>
  </si>
  <si>
    <t xml:space="preserve">Albania DRI-EAF steel — Gasoline (cmb)</t>
  </si>
  <si>
    <t xml:space="preserve">alb.in.enc.stl.drg.die</t>
  </si>
  <si>
    <t xml:space="preserve">Albania DRI-EAF steel — Diesel (cmb)</t>
  </si>
  <si>
    <t xml:space="preserve">alb.in.enc.stl.drg.ker</t>
  </si>
  <si>
    <t xml:space="preserve">Albania DRI-EAF steel — Kerosene (cmb)</t>
  </si>
  <si>
    <t xml:space="preserve">alb.in.enc.stl.drg.lpg</t>
  </si>
  <si>
    <t xml:space="preserve">Albania DRI-EAF steel — LPG (cmb)</t>
  </si>
  <si>
    <t xml:space="preserve">alb.in.enc.stl.drg.bio</t>
  </si>
  <si>
    <t xml:space="preserve">Albania DRI-EAF steel — Biomass (cmb)</t>
  </si>
  <si>
    <t xml:space="preserve">alb.in.enc.stl.drg.ren</t>
  </si>
  <si>
    <t xml:space="preserve">Albania DRI-EAF steel — Self-gen renewables (cmb)</t>
  </si>
  <si>
    <t xml:space="preserve">alb.in.enp.stl.drg.coa</t>
  </si>
  <si>
    <t xml:space="preserve">Albania DRI-EAF steel — Coal (prc)</t>
  </si>
  <si>
    <t xml:space="preserve">alb.in.enp.stl.drg.nga</t>
  </si>
  <si>
    <t xml:space="preserve">Albania DRI-EAF steel — Natural gas (prc)</t>
  </si>
  <si>
    <t xml:space="preserve">alb.in.enp.stl.drg.gso</t>
  </si>
  <si>
    <t xml:space="preserve">Albania DRI-EAF steel — Gasoline (prc)</t>
  </si>
  <si>
    <t xml:space="preserve">alb.in.enp.stl.drg.die</t>
  </si>
  <si>
    <t xml:space="preserve">Albania DRI-EAF steel — Diesel (prc)</t>
  </si>
  <si>
    <t xml:space="preserve">alb.in.enp.stl.drg.ker</t>
  </si>
  <si>
    <t xml:space="preserve">Albania DRI-EAF steel — Kerosene (prc)</t>
  </si>
  <si>
    <t xml:space="preserve">alb.in.enp.stl.drg.lpg</t>
  </si>
  <si>
    <t xml:space="preserve">Albania DRI-EAF steel — LPG (prc)</t>
  </si>
  <si>
    <t xml:space="preserve">alb.in.enp.stl.drg.bio</t>
  </si>
  <si>
    <t xml:space="preserve">Albania DRI-EAF steel — Biomass (prc)</t>
  </si>
  <si>
    <t xml:space="preserve">alb.in.enp.stl.drg.ren</t>
  </si>
  <si>
    <t xml:space="preserve">Albania DRI-EAF steel — Self-gen renewables (prc)</t>
  </si>
  <si>
    <t xml:space="preserve">alb.in.ele.stl.drg.elc</t>
  </si>
  <si>
    <t xml:space="preserve">Albania DRI-EAF steel — electricity</t>
  </si>
  <si>
    <t xml:space="preserve">alb.in.efn.stl.drg.---</t>
  </si>
  <si>
    <t xml:space="preserve">Albania DRI-EAF steel — non-fuel process EF</t>
  </si>
  <si>
    <t xml:space="preserve">alb.in.efo.stl.drg.---</t>
  </si>
  <si>
    <t xml:space="preserve">Albania DRI-EAF steel — non-CO₂ GHG EF</t>
  </si>
  <si>
    <t xml:space="preserve">alb.in.prb.stl.scr.---</t>
  </si>
  <si>
    <t xml:space="preserve">Albania Scrap-EAF steel — base production</t>
  </si>
  <si>
    <t xml:space="preserve">alb.in.els.stl.scr.---</t>
  </si>
  <si>
    <t xml:space="preserve">Albania Scrap-EAF steel — elasticity</t>
  </si>
  <si>
    <t xml:space="preserve">alb.in.ext.stl.scr.---</t>
  </si>
  <si>
    <t xml:space="preserve">Albania Scrap-EAF steel — export share total</t>
  </si>
  <si>
    <t xml:space="preserve">alb.in.exe.stl.scr.---</t>
  </si>
  <si>
    <t xml:space="preserve">Albania Scrap-EAF steel — EU export share</t>
  </si>
  <si>
    <t xml:space="preserve">alb.in.imp.stl.scr.---</t>
  </si>
  <si>
    <t xml:space="preserve">Albania Scrap-EAF steel — import share</t>
  </si>
  <si>
    <t xml:space="preserve">alb.in.enc.stl.scr.coa</t>
  </si>
  <si>
    <t xml:space="preserve">Albania Scrap-EAF steel — Coal (cmb)</t>
  </si>
  <si>
    <t xml:space="preserve">alb.in.enc.stl.scr.nga</t>
  </si>
  <si>
    <t xml:space="preserve">Albania Scrap-EAF steel — Natural gas (cmb)</t>
  </si>
  <si>
    <t xml:space="preserve">alb.in.enc.stl.scr.gso</t>
  </si>
  <si>
    <t xml:space="preserve">Albania Scrap-EAF steel — Gasoline (cmb)</t>
  </si>
  <si>
    <t xml:space="preserve">alb.in.enc.stl.scr.die</t>
  </si>
  <si>
    <t xml:space="preserve">Albania Scrap-EAF steel — Diesel (cmb)</t>
  </si>
  <si>
    <t xml:space="preserve">alb.in.enc.stl.scr.ker</t>
  </si>
  <si>
    <t xml:space="preserve">Albania Scrap-EAF steel — Kerosene (cmb)</t>
  </si>
  <si>
    <t xml:space="preserve">alb.in.enc.stl.scr.lpg</t>
  </si>
  <si>
    <t xml:space="preserve">Albania Scrap-EAF steel — LPG (cmb)</t>
  </si>
  <si>
    <t xml:space="preserve">alb.in.enc.stl.scr.bio</t>
  </si>
  <si>
    <t xml:space="preserve">Albania Scrap-EAF steel — Biomass (cmb)</t>
  </si>
  <si>
    <t xml:space="preserve">alb.in.enc.stl.scr.ren</t>
  </si>
  <si>
    <t xml:space="preserve">Albania Scrap-EAF steel — Self-gen renewables (cmb)</t>
  </si>
  <si>
    <t xml:space="preserve">alb.in.enp.stl.scr.coa</t>
  </si>
  <si>
    <t xml:space="preserve">Albania Scrap-EAF steel — Coal (prc)</t>
  </si>
  <si>
    <t xml:space="preserve">alb.in.enp.stl.scr.nga</t>
  </si>
  <si>
    <t xml:space="preserve">Albania Scrap-EAF steel — Natural gas (prc)</t>
  </si>
  <si>
    <t xml:space="preserve">alb.in.enp.stl.scr.gso</t>
  </si>
  <si>
    <t xml:space="preserve">Albania Scrap-EAF steel — Gasoline (prc)</t>
  </si>
  <si>
    <t xml:space="preserve">alb.in.enp.stl.scr.die</t>
  </si>
  <si>
    <t xml:space="preserve">Albania Scrap-EAF steel — Diesel (prc)</t>
  </si>
  <si>
    <t xml:space="preserve">alb.in.enp.stl.scr.ker</t>
  </si>
  <si>
    <t xml:space="preserve">Albania Scrap-EAF steel — Kerosene (prc)</t>
  </si>
  <si>
    <t xml:space="preserve">alb.in.enp.stl.scr.lpg</t>
  </si>
  <si>
    <t xml:space="preserve">Albania Scrap-EAF steel — LPG (prc)</t>
  </si>
  <si>
    <t xml:space="preserve">alb.in.enp.stl.scr.bio</t>
  </si>
  <si>
    <t xml:space="preserve">Albania Scrap-EAF steel — Biomass (prc)</t>
  </si>
  <si>
    <t xml:space="preserve">alb.in.enp.stl.scr.ren</t>
  </si>
  <si>
    <t xml:space="preserve">Albania Scrap-EAF steel — Self-gen renewables (prc)</t>
  </si>
  <si>
    <t xml:space="preserve">alb.in.ele.stl.scr.elc</t>
  </si>
  <si>
    <t xml:space="preserve">Albania Scrap-EAF steel — electricity</t>
  </si>
  <si>
    <t xml:space="preserve">alb.in.efn.stl.scr.---</t>
  </si>
  <si>
    <t xml:space="preserve">Albania Scrap-EAF steel — non-fuel process EF</t>
  </si>
  <si>
    <t xml:space="preserve">alb.in.efo.stl.scr.---</t>
  </si>
  <si>
    <t xml:space="preserve">Albania Scrap-EAF steel — non-CO₂ GHG EF</t>
  </si>
  <si>
    <t xml:space="preserve">alb.in.prb.stl.bof.---</t>
  </si>
  <si>
    <t xml:space="preserve">Albania BF-BOF steel — base production</t>
  </si>
  <si>
    <t xml:space="preserve">alb.in.els.stl.bof.---</t>
  </si>
  <si>
    <t xml:space="preserve">Albania BF-BOF steel — elasticity</t>
  </si>
  <si>
    <t xml:space="preserve">alb.in.ext.stl.bof.---</t>
  </si>
  <si>
    <t xml:space="preserve">Albania BF-BOF steel — export share total</t>
  </si>
  <si>
    <t xml:space="preserve">alb.in.exe.stl.bof.---</t>
  </si>
  <si>
    <t xml:space="preserve">Albania BF-BOF steel — EU export share</t>
  </si>
  <si>
    <t xml:space="preserve">alb.in.imp.stl.bof.---</t>
  </si>
  <si>
    <t xml:space="preserve">Albania BF-BOF steel — import share</t>
  </si>
  <si>
    <t xml:space="preserve">alb.in.enc.stl.bof.coa</t>
  </si>
  <si>
    <t xml:space="preserve">Albania BF-BOF steel — Coal (cmb)</t>
  </si>
  <si>
    <t xml:space="preserve">alb.in.enc.stl.bof.nga</t>
  </si>
  <si>
    <t xml:space="preserve">Albania BF-BOF steel — Natural gas (cmb)</t>
  </si>
  <si>
    <t xml:space="preserve">alb.in.enc.stl.bof.gso</t>
  </si>
  <si>
    <t xml:space="preserve">Albania BF-BOF steel — Gasoline (cmb)</t>
  </si>
  <si>
    <t xml:space="preserve">alb.in.enc.stl.bof.die</t>
  </si>
  <si>
    <t xml:space="preserve">Albania BF-BOF steel — Diesel (cmb)</t>
  </si>
  <si>
    <t xml:space="preserve">alb.in.enc.stl.bof.ker</t>
  </si>
  <si>
    <t xml:space="preserve">Albania BF-BOF steel — Kerosene (cmb)</t>
  </si>
  <si>
    <t xml:space="preserve">alb.in.enc.stl.bof.lpg</t>
  </si>
  <si>
    <t xml:space="preserve">Albania BF-BOF steel — LPG (cmb)</t>
  </si>
  <si>
    <t xml:space="preserve">alb.in.enc.stl.bof.bio</t>
  </si>
  <si>
    <t xml:space="preserve">Albania BF-BOF steel — Biomass (cmb)</t>
  </si>
  <si>
    <t xml:space="preserve">alb.in.enc.stl.bof.ren</t>
  </si>
  <si>
    <t xml:space="preserve">Albania BF-BOF steel — Self-gen renewables (cmb)</t>
  </si>
  <si>
    <t xml:space="preserve">alb.in.enp.stl.bof.coa</t>
  </si>
  <si>
    <t xml:space="preserve">Albania BF-BOF steel — Coal (prc)</t>
  </si>
  <si>
    <t xml:space="preserve">alb.in.enp.stl.bof.nga</t>
  </si>
  <si>
    <t xml:space="preserve">Albania BF-BOF steel — Natural gas (prc)</t>
  </si>
  <si>
    <t xml:space="preserve">alb.in.enp.stl.bof.gso</t>
  </si>
  <si>
    <t xml:space="preserve">Albania BF-BOF steel — Gasoline (prc)</t>
  </si>
  <si>
    <t xml:space="preserve">alb.in.enp.stl.bof.die</t>
  </si>
  <si>
    <t xml:space="preserve">Albania BF-BOF steel — Diesel (prc)</t>
  </si>
  <si>
    <t xml:space="preserve">alb.in.enp.stl.bof.ker</t>
  </si>
  <si>
    <t xml:space="preserve">Albania BF-BOF steel — Kerosene (prc)</t>
  </si>
  <si>
    <t xml:space="preserve">alb.in.enp.stl.bof.lpg</t>
  </si>
  <si>
    <t xml:space="preserve">Albania BF-BOF steel — LPG (prc)</t>
  </si>
  <si>
    <t xml:space="preserve">alb.in.enp.stl.bof.bio</t>
  </si>
  <si>
    <t xml:space="preserve">Albania BF-BOF steel — Biomass (prc)</t>
  </si>
  <si>
    <t xml:space="preserve">alb.in.enp.stl.bof.ren</t>
  </si>
  <si>
    <t xml:space="preserve">Albania BF-BOF steel — Self-gen renewables (prc)</t>
  </si>
  <si>
    <t xml:space="preserve">alb.in.ele.stl.bof.elc</t>
  </si>
  <si>
    <t xml:space="preserve">Albania BF-BOF steel — electricity</t>
  </si>
  <si>
    <t xml:space="preserve">alb.in.efn.stl.bof.---</t>
  </si>
  <si>
    <t xml:space="preserve">Albania BF-BOF steel — non-fuel process EF</t>
  </si>
  <si>
    <t xml:space="preserve">alb.in.efo.stl.bof.---</t>
  </si>
  <si>
    <t xml:space="preserve">Albania BF-BOF steel — non-CO₂ GHG EF</t>
  </si>
  <si>
    <t xml:space="preserve">alb.in.prb.cmt.dry.---</t>
  </si>
  <si>
    <t xml:space="preserve">Albania Cement — base production</t>
  </si>
  <si>
    <t xml:space="preserve">alb.in.els.cmt.dry.---</t>
  </si>
  <si>
    <t xml:space="preserve">Albania Cement — elasticity</t>
  </si>
  <si>
    <t xml:space="preserve">alb.in.ext.cmt.dry.---</t>
  </si>
  <si>
    <t xml:space="preserve">Albania Cement — export share total</t>
  </si>
  <si>
    <t xml:space="preserve">alb.in.exe.cmt.dry.---</t>
  </si>
  <si>
    <t xml:space="preserve">Albania Cement — EU export share</t>
  </si>
  <si>
    <t xml:space="preserve">alb.in.imp.cmt.dry.---</t>
  </si>
  <si>
    <t xml:space="preserve">Albania Cement — import share</t>
  </si>
  <si>
    <t xml:space="preserve">alb.in.enc.cmt.dry.coa</t>
  </si>
  <si>
    <t xml:space="preserve">Albania Cement — Coal (cmb)</t>
  </si>
  <si>
    <t xml:space="preserve">alb.in.enc.cmt.dry.nga</t>
  </si>
  <si>
    <t xml:space="preserve">Albania Cement — Natural gas (cmb)</t>
  </si>
  <si>
    <t xml:space="preserve">alb.in.enc.cmt.dry.gso</t>
  </si>
  <si>
    <t xml:space="preserve">Albania Cement — Gasoline (cmb)</t>
  </si>
  <si>
    <t xml:space="preserve">alb.in.enc.cmt.dry.die</t>
  </si>
  <si>
    <t xml:space="preserve">Albania Cement — Diesel (cmb)</t>
  </si>
  <si>
    <t xml:space="preserve">alb.in.enc.cmt.dry.ker</t>
  </si>
  <si>
    <t xml:space="preserve">Albania Cement — Kerosene (cmb)</t>
  </si>
  <si>
    <t xml:space="preserve">alb.in.enc.cmt.dry.lpg</t>
  </si>
  <si>
    <t xml:space="preserve">Albania Cement — LPG (cmb)</t>
  </si>
  <si>
    <t xml:space="preserve">alb.in.enc.cmt.dry.bio</t>
  </si>
  <si>
    <t xml:space="preserve">Albania Cement — Biomass (cmb)</t>
  </si>
  <si>
    <t xml:space="preserve">alb.in.enc.cmt.dry.ren</t>
  </si>
  <si>
    <t xml:space="preserve">Albania Cement — Self-gen renewables (cmb)</t>
  </si>
  <si>
    <t xml:space="preserve">alb.in.enp.cmt.dry.coa</t>
  </si>
  <si>
    <t xml:space="preserve">Albania Cement — Coal (prc)</t>
  </si>
  <si>
    <t xml:space="preserve">alb.in.enp.cmt.dry.nga</t>
  </si>
  <si>
    <t xml:space="preserve">Albania Cement — Natural gas (prc)</t>
  </si>
  <si>
    <t xml:space="preserve">alb.in.enp.cmt.dry.gso</t>
  </si>
  <si>
    <t xml:space="preserve">Albania Cement — Gasoline (prc)</t>
  </si>
  <si>
    <t xml:space="preserve">alb.in.enp.cmt.dry.die</t>
  </si>
  <si>
    <t xml:space="preserve">Albania Cement — Diesel (prc)</t>
  </si>
  <si>
    <t xml:space="preserve">alb.in.enp.cmt.dry.ker</t>
  </si>
  <si>
    <t xml:space="preserve">Albania Cement — Kerosene (prc)</t>
  </si>
  <si>
    <t xml:space="preserve">alb.in.enp.cmt.dry.lpg</t>
  </si>
  <si>
    <t xml:space="preserve">Albania Cement — LPG (prc)</t>
  </si>
  <si>
    <t xml:space="preserve">alb.in.enp.cmt.dry.bio</t>
  </si>
  <si>
    <t xml:space="preserve">Albania Cement — Biomass (prc)</t>
  </si>
  <si>
    <t xml:space="preserve">alb.in.enp.cmt.dry.ren</t>
  </si>
  <si>
    <t xml:space="preserve">Albania Cement — Self-gen renewables (prc)</t>
  </si>
  <si>
    <t xml:space="preserve">alb.in.ele.cmt.dry.elc</t>
  </si>
  <si>
    <t xml:space="preserve">Albania Cement — electricity</t>
  </si>
  <si>
    <t xml:space="preserve">alb.in.efn.cmt.dry.---</t>
  </si>
  <si>
    <t xml:space="preserve">Albania Cement — non-fuel process EF</t>
  </si>
  <si>
    <t xml:space="preserve">alb.in.efo.cmt.dry.---</t>
  </si>
  <si>
    <t xml:space="preserve">Albania Cement — non-CO₂ GHG EF</t>
  </si>
  <si>
    <t xml:space="preserve">alb.in.prb.frt.amc.---</t>
  </si>
  <si>
    <t xml:space="preserve">Albania Ammonia — base production</t>
  </si>
  <si>
    <t xml:space="preserve">alb.in.els.frt.amc.---</t>
  </si>
  <si>
    <t xml:space="preserve">Albania Ammonia — elasticity</t>
  </si>
  <si>
    <t xml:space="preserve">alb.in.ext.frt.amc.---</t>
  </si>
  <si>
    <t xml:space="preserve">Albania Ammonia — export share total</t>
  </si>
  <si>
    <t xml:space="preserve">alb.in.exe.frt.amc.---</t>
  </si>
  <si>
    <t xml:space="preserve">Albania Ammonia — EU export share</t>
  </si>
  <si>
    <t xml:space="preserve">alb.in.imp.frt.amc.---</t>
  </si>
  <si>
    <t xml:space="preserve">Albania Ammonia — import share</t>
  </si>
  <si>
    <t xml:space="preserve">alb.in.enc.frt.amc.coa</t>
  </si>
  <si>
    <t xml:space="preserve">Albania Ammonia — Coal (cmb)</t>
  </si>
  <si>
    <t xml:space="preserve">alb.in.enc.frt.amc.nga</t>
  </si>
  <si>
    <t xml:space="preserve">Albania Ammonia — Natural gas (cmb)</t>
  </si>
  <si>
    <t xml:space="preserve">alb.in.enc.frt.amc.gso</t>
  </si>
  <si>
    <t xml:space="preserve">Albania Ammonia — Gasoline (cmb)</t>
  </si>
  <si>
    <t xml:space="preserve">alb.in.enc.frt.amc.die</t>
  </si>
  <si>
    <t xml:space="preserve">Albania Ammonia — Diesel (cmb)</t>
  </si>
  <si>
    <t xml:space="preserve">alb.in.enc.frt.amc.ker</t>
  </si>
  <si>
    <t xml:space="preserve">Albania Ammonia — Kerosene (cmb)</t>
  </si>
  <si>
    <t xml:space="preserve">alb.in.enc.frt.amc.lpg</t>
  </si>
  <si>
    <t xml:space="preserve">Albania Ammonia — LPG (cmb)</t>
  </si>
  <si>
    <t xml:space="preserve">alb.in.enc.frt.amc.bio</t>
  </si>
  <si>
    <t xml:space="preserve">Albania Ammonia — Biomass (cmb)</t>
  </si>
  <si>
    <t xml:space="preserve">alb.in.enc.frt.amc.ren</t>
  </si>
  <si>
    <t xml:space="preserve">Albania Ammonia — Self-gen renewables (cmb)</t>
  </si>
  <si>
    <t xml:space="preserve">alb.in.enp.frt.amc.coa</t>
  </si>
  <si>
    <t xml:space="preserve">Albania Ammonia — Coal (prc)</t>
  </si>
  <si>
    <t xml:space="preserve">alb.in.enp.frt.amc.nga</t>
  </si>
  <si>
    <t xml:space="preserve">Albania Ammonia — Natural gas (prc)</t>
  </si>
  <si>
    <t xml:space="preserve">alb.in.enp.frt.amc.gso</t>
  </si>
  <si>
    <t xml:space="preserve">Albania Ammonia — Gasoline (prc)</t>
  </si>
  <si>
    <t xml:space="preserve">alb.in.enp.frt.amc.die</t>
  </si>
  <si>
    <t xml:space="preserve">Albania Ammonia — Diesel (prc)</t>
  </si>
  <si>
    <t xml:space="preserve">alb.in.enp.frt.amc.ker</t>
  </si>
  <si>
    <t xml:space="preserve">Albania Ammonia — Kerosene (prc)</t>
  </si>
  <si>
    <t xml:space="preserve">alb.in.enp.frt.amc.lpg</t>
  </si>
  <si>
    <t xml:space="preserve">Albania Ammonia — LPG (prc)</t>
  </si>
  <si>
    <t xml:space="preserve">alb.in.enp.frt.amc.bio</t>
  </si>
  <si>
    <t xml:space="preserve">Albania Ammonia — Biomass (prc)</t>
  </si>
  <si>
    <t xml:space="preserve">alb.in.enp.frt.amc.ren</t>
  </si>
  <si>
    <t xml:space="preserve">Albania Ammonia — Self-gen renewables (prc)</t>
  </si>
  <si>
    <t xml:space="preserve">alb.in.ele.frt.amc.elc</t>
  </si>
  <si>
    <t xml:space="preserve">Albania Ammonia — electricity</t>
  </si>
  <si>
    <t xml:space="preserve">alb.in.efn.frt.amc.---</t>
  </si>
  <si>
    <t xml:space="preserve">Albania Ammonia — non-fuel process EF</t>
  </si>
  <si>
    <t xml:space="preserve">alb.in.efo.frt.amc.---</t>
  </si>
  <si>
    <t xml:space="preserve">Albania Ammonia — non-CO₂ GHG EF</t>
  </si>
  <si>
    <t xml:space="preserve">alb.in.prb.frt.ure.---</t>
  </si>
  <si>
    <t xml:space="preserve">Albania Urea — base production</t>
  </si>
  <si>
    <t xml:space="preserve">alb.in.els.frt.ure.---</t>
  </si>
  <si>
    <t xml:space="preserve">Albania Urea — elasticity</t>
  </si>
  <si>
    <t xml:space="preserve">alb.in.ext.frt.ure.---</t>
  </si>
  <si>
    <t xml:space="preserve">Albania Urea — export share total</t>
  </si>
  <si>
    <t xml:space="preserve">alb.in.exe.frt.ure.---</t>
  </si>
  <si>
    <t xml:space="preserve">Albania Urea — EU export share</t>
  </si>
  <si>
    <t xml:space="preserve">alb.in.imp.frt.ure.---</t>
  </si>
  <si>
    <t xml:space="preserve">Albania Urea — import share</t>
  </si>
  <si>
    <t xml:space="preserve">alb.in.enc.frt.ure.coa</t>
  </si>
  <si>
    <t xml:space="preserve">Albania Urea — Coal (cmb)</t>
  </si>
  <si>
    <t xml:space="preserve">alb.in.enc.frt.ure.nga</t>
  </si>
  <si>
    <t xml:space="preserve">Albania Urea — Natural gas (cmb)</t>
  </si>
  <si>
    <t xml:space="preserve">alb.in.enc.frt.ure.gso</t>
  </si>
  <si>
    <t xml:space="preserve">Albania Urea — Gasoline (cmb)</t>
  </si>
  <si>
    <t xml:space="preserve">alb.in.enc.frt.ure.die</t>
  </si>
  <si>
    <t xml:space="preserve">Albania Urea — Diesel (cmb)</t>
  </si>
  <si>
    <t xml:space="preserve">alb.in.enc.frt.ure.ker</t>
  </si>
  <si>
    <t xml:space="preserve">Albania Urea — Kerosene (cmb)</t>
  </si>
  <si>
    <t xml:space="preserve">alb.in.enc.frt.ure.lpg</t>
  </si>
  <si>
    <t xml:space="preserve">Albania Urea — LPG (cmb)</t>
  </si>
  <si>
    <t xml:space="preserve">alb.in.enc.frt.ure.bio</t>
  </si>
  <si>
    <t xml:space="preserve">Albania Urea — Biomass (cmb)</t>
  </si>
  <si>
    <t xml:space="preserve">alb.in.enc.frt.ure.ren</t>
  </si>
  <si>
    <t xml:space="preserve">Albania Urea — Self-gen renewables (cmb)</t>
  </si>
  <si>
    <t xml:space="preserve">alb.in.enp.frt.ure.coa</t>
  </si>
  <si>
    <t xml:space="preserve">Albania Urea — Coal (prc)</t>
  </si>
  <si>
    <t xml:space="preserve">alb.in.enp.frt.ure.nga</t>
  </si>
  <si>
    <t xml:space="preserve">Albania Urea — Natural gas (prc)</t>
  </si>
  <si>
    <t xml:space="preserve">alb.in.enp.frt.ure.gso</t>
  </si>
  <si>
    <t xml:space="preserve">Albania Urea — Gasoline (prc)</t>
  </si>
  <si>
    <t xml:space="preserve">alb.in.enp.frt.ure.die</t>
  </si>
  <si>
    <t xml:space="preserve">Albania Urea — Diesel (prc)</t>
  </si>
  <si>
    <t xml:space="preserve">alb.in.enp.frt.ure.ker</t>
  </si>
  <si>
    <t xml:space="preserve">Albania Urea — Kerosene (prc)</t>
  </si>
  <si>
    <t xml:space="preserve">alb.in.enp.frt.ure.lpg</t>
  </si>
  <si>
    <t xml:space="preserve">Albania Urea — LPG (prc)</t>
  </si>
  <si>
    <t xml:space="preserve">alb.in.enp.frt.ure.bio</t>
  </si>
  <si>
    <t xml:space="preserve">Albania Urea — Biomass (prc)</t>
  </si>
  <si>
    <t xml:space="preserve">alb.in.enp.frt.ure.ren</t>
  </si>
  <si>
    <t xml:space="preserve">Albania Urea — Self-gen renewables (prc)</t>
  </si>
  <si>
    <t xml:space="preserve">alb.in.ele.frt.ure.elc</t>
  </si>
  <si>
    <t xml:space="preserve">Albania Urea — electricity</t>
  </si>
  <si>
    <t xml:space="preserve">alb.in.efn.frt.ure.---</t>
  </si>
  <si>
    <t xml:space="preserve">Albania Urea — non-fuel process EF</t>
  </si>
  <si>
    <t xml:space="preserve">alb.in.efo.frt.ure.---</t>
  </si>
  <si>
    <t xml:space="preserve">Albania Urea — non-CO₂ GHG EF</t>
  </si>
  <si>
    <t xml:space="preserve">alb.in.prb.frt.nit.---</t>
  </si>
  <si>
    <t xml:space="preserve">Albania Ammonium nitrate — base production</t>
  </si>
  <si>
    <t xml:space="preserve">alb.in.els.frt.nit.---</t>
  </si>
  <si>
    <t xml:space="preserve">Albania Ammonium nitrate — elasticity</t>
  </si>
  <si>
    <t xml:space="preserve">alb.in.ext.frt.nit.---</t>
  </si>
  <si>
    <t xml:space="preserve">Albania Ammonium nitrate — export share total</t>
  </si>
  <si>
    <t xml:space="preserve">alb.in.exe.frt.nit.---</t>
  </si>
  <si>
    <t xml:space="preserve">Albania Ammonium nitrate — EU export share</t>
  </si>
  <si>
    <t xml:space="preserve">alb.in.imp.frt.nit.---</t>
  </si>
  <si>
    <t xml:space="preserve">Albania Ammonium nitrate — import share</t>
  </si>
  <si>
    <t xml:space="preserve">alb.in.enc.frt.nit.coa</t>
  </si>
  <si>
    <t xml:space="preserve">Albania Ammonium nitrate — Coal (cmb)</t>
  </si>
  <si>
    <t xml:space="preserve">alb.in.enc.frt.nit.nga</t>
  </si>
  <si>
    <t xml:space="preserve">Albania Ammonium nitrate — Natural gas (cmb)</t>
  </si>
  <si>
    <t xml:space="preserve">alb.in.enc.frt.nit.gso</t>
  </si>
  <si>
    <t xml:space="preserve">Albania Ammonium nitrate — Gasoline (cmb)</t>
  </si>
  <si>
    <t xml:space="preserve">alb.in.enc.frt.nit.die</t>
  </si>
  <si>
    <t xml:space="preserve">Albania Ammonium nitrate — Diesel (cmb)</t>
  </si>
  <si>
    <t xml:space="preserve">alb.in.enc.frt.nit.ker</t>
  </si>
  <si>
    <t xml:space="preserve">Albania Ammonium nitrate — Kerosene (cmb)</t>
  </si>
  <si>
    <t xml:space="preserve">alb.in.enc.frt.nit.lpg</t>
  </si>
  <si>
    <t xml:space="preserve">Albania Ammonium nitrate — LPG (cmb)</t>
  </si>
  <si>
    <t xml:space="preserve">alb.in.enc.frt.nit.bio</t>
  </si>
  <si>
    <t xml:space="preserve">Albania Ammonium nitrate — Biomass (cmb)</t>
  </si>
  <si>
    <t xml:space="preserve">alb.in.enc.frt.nit.ren</t>
  </si>
  <si>
    <t xml:space="preserve">Albania Ammonium nitrate — Self-gen renewables (cmb)</t>
  </si>
  <si>
    <t xml:space="preserve">alb.in.enp.frt.nit.coa</t>
  </si>
  <si>
    <t xml:space="preserve">Albania Ammonium nitrate — Coal (prc)</t>
  </si>
  <si>
    <t xml:space="preserve">alb.in.enp.frt.nit.nga</t>
  </si>
  <si>
    <t xml:space="preserve">Albania Ammonium nitrate — Natural gas (prc)</t>
  </si>
  <si>
    <t xml:space="preserve">alb.in.enp.frt.nit.gso</t>
  </si>
  <si>
    <t xml:space="preserve">Albania Ammonium nitrate — Gasoline (prc)</t>
  </si>
  <si>
    <t xml:space="preserve">alb.in.enp.frt.nit.die</t>
  </si>
  <si>
    <t xml:space="preserve">Albania Ammonium nitrate — Diesel (prc)</t>
  </si>
  <si>
    <t xml:space="preserve">alb.in.enp.frt.nit.ker</t>
  </si>
  <si>
    <t xml:space="preserve">Albania Ammonium nitrate — Kerosene (prc)</t>
  </si>
  <si>
    <t xml:space="preserve">alb.in.enp.frt.nit.lpg</t>
  </si>
  <si>
    <t xml:space="preserve">Albania Ammonium nitrate — LPG (prc)</t>
  </si>
  <si>
    <t xml:space="preserve">alb.in.enp.frt.nit.bio</t>
  </si>
  <si>
    <t xml:space="preserve">Albania Ammonium nitrate — Biomass (prc)</t>
  </si>
  <si>
    <t xml:space="preserve">alb.in.enp.frt.nit.ren</t>
  </si>
  <si>
    <t xml:space="preserve">Albania Ammonium nitrate — Self-gen renewables (prc)</t>
  </si>
  <si>
    <t xml:space="preserve">alb.in.ele.frt.nit.elc</t>
  </si>
  <si>
    <t xml:space="preserve">Albania Ammonium nitrate — electricity</t>
  </si>
  <si>
    <t xml:space="preserve">alb.in.efn.frt.nit.---</t>
  </si>
  <si>
    <t xml:space="preserve">Albania Ammonium nitrate — non-fuel process EF</t>
  </si>
  <si>
    <t xml:space="preserve">alb.in.efo.frt.nit.---</t>
  </si>
  <si>
    <t xml:space="preserve">Albania Ammonium nitrate — non-CO₂ GHG EF</t>
  </si>
  <si>
    <t xml:space="preserve">alb.in.prb.alu.prp.---</t>
  </si>
  <si>
    <t xml:space="preserve">Albania Primary aluminium — base production</t>
  </si>
  <si>
    <t xml:space="preserve">alb.in.els.alu.prp.---</t>
  </si>
  <si>
    <t xml:space="preserve">Albania Primary aluminium — elasticity</t>
  </si>
  <si>
    <t xml:space="preserve">alb.in.ext.alu.prp.---</t>
  </si>
  <si>
    <t xml:space="preserve">Albania Primary aluminium — export share total</t>
  </si>
  <si>
    <t xml:space="preserve">alb.in.exe.alu.prp.---</t>
  </si>
  <si>
    <t xml:space="preserve">Albania Primary aluminium — EU export share</t>
  </si>
  <si>
    <t xml:space="preserve">alb.in.imp.alu.prp.---</t>
  </si>
  <si>
    <t xml:space="preserve">Albania Primary aluminium — import share</t>
  </si>
  <si>
    <t xml:space="preserve">alb.in.enc.alu.prp.coa</t>
  </si>
  <si>
    <t xml:space="preserve">Albania Primary aluminium — Coal (cmb)</t>
  </si>
  <si>
    <t xml:space="preserve">alb.in.enc.alu.prp.nga</t>
  </si>
  <si>
    <t xml:space="preserve">Albania Primary aluminium — Natural gas (cmb)</t>
  </si>
  <si>
    <t xml:space="preserve">alb.in.enc.alu.prp.gso</t>
  </si>
  <si>
    <t xml:space="preserve">Albania Primary aluminium — Gasoline (cmb)</t>
  </si>
  <si>
    <t xml:space="preserve">alb.in.enc.alu.prp.die</t>
  </si>
  <si>
    <t xml:space="preserve">Albania Primary aluminium — Diesel (cmb)</t>
  </si>
  <si>
    <t xml:space="preserve">alb.in.enc.alu.prp.ker</t>
  </si>
  <si>
    <t xml:space="preserve">Albania Primary aluminium — Kerosene (cmb)</t>
  </si>
  <si>
    <t xml:space="preserve">alb.in.enc.alu.prp.lpg</t>
  </si>
  <si>
    <t xml:space="preserve">Albania Primary aluminium — LPG (cmb)</t>
  </si>
  <si>
    <t xml:space="preserve">alb.in.enc.alu.prp.bio</t>
  </si>
  <si>
    <t xml:space="preserve">Albania Primary aluminium — Biomass (cmb)</t>
  </si>
  <si>
    <t xml:space="preserve">alb.in.enc.alu.prp.ren</t>
  </si>
  <si>
    <t xml:space="preserve">Albania Primary aluminium — Self-gen renewables (cmb)</t>
  </si>
  <si>
    <t xml:space="preserve">alb.in.enp.alu.prp.coa</t>
  </si>
  <si>
    <t xml:space="preserve">Albania Primary aluminium — Coal (prc)</t>
  </si>
  <si>
    <t xml:space="preserve">alb.in.enp.alu.prp.nga</t>
  </si>
  <si>
    <t xml:space="preserve">Albania Primary aluminium — Natural gas (prc)</t>
  </si>
  <si>
    <t xml:space="preserve">alb.in.enp.alu.prp.gso</t>
  </si>
  <si>
    <t xml:space="preserve">Albania Primary aluminium — Gasoline (prc)</t>
  </si>
  <si>
    <t xml:space="preserve">alb.in.enp.alu.prp.die</t>
  </si>
  <si>
    <t xml:space="preserve">Albania Primary aluminium — Diesel (prc)</t>
  </si>
  <si>
    <t xml:space="preserve">alb.in.enp.alu.prp.ker</t>
  </si>
  <si>
    <t xml:space="preserve">Albania Primary aluminium — Kerosene (prc)</t>
  </si>
  <si>
    <t xml:space="preserve">alb.in.enp.alu.prp.lpg</t>
  </si>
  <si>
    <t xml:space="preserve">Albania Primary aluminium — LPG (prc)</t>
  </si>
  <si>
    <t xml:space="preserve">alb.in.enp.alu.prp.bio</t>
  </si>
  <si>
    <t xml:space="preserve">Albania Primary aluminium — Biomass (prc)</t>
  </si>
  <si>
    <t xml:space="preserve">alb.in.enp.alu.prp.ren</t>
  </si>
  <si>
    <t xml:space="preserve">Albania Primary aluminium — Self-gen renewables (prc)</t>
  </si>
  <si>
    <t xml:space="preserve">alb.in.ele.alu.prp.elc</t>
  </si>
  <si>
    <t xml:space="preserve">Albania Primary aluminium — electricity</t>
  </si>
  <si>
    <t xml:space="preserve">alb.in.efn.alu.prp.---</t>
  </si>
  <si>
    <t xml:space="preserve">Albania Primary aluminium — non-fuel process EF</t>
  </si>
  <si>
    <t xml:space="preserve">alb.in.efo.alu.prp.---</t>
  </si>
  <si>
    <t xml:space="preserve">Albania Primary aluminium — non-CO₂ GHG EF</t>
  </si>
  <si>
    <t xml:space="preserve">6.uzb. Uzbekistan — country-specific inputs by entity</t>
  </si>
  <si>
    <t xml:space="preserve">uzb.in.prb.stl.drg.---</t>
  </si>
  <si>
    <t xml:space="preserve">Uzbekistan DRI-EAF steel — base production</t>
  </si>
  <si>
    <t xml:space="preserve">uzb.in.els.stl.drg.---</t>
  </si>
  <si>
    <t xml:space="preserve">Uzbekistan DRI-EAF steel — elasticity</t>
  </si>
  <si>
    <t xml:space="preserve">uzb.in.ext.stl.drg.---</t>
  </si>
  <si>
    <t xml:space="preserve">Uzbekistan DRI-EAF steel — export share total</t>
  </si>
  <si>
    <t xml:space="preserve">uzb.in.exe.stl.drg.---</t>
  </si>
  <si>
    <t xml:space="preserve">Uzbekistan DRI-EAF steel — EU export share</t>
  </si>
  <si>
    <t xml:space="preserve">uzb.in.imp.stl.drg.---</t>
  </si>
  <si>
    <t xml:space="preserve">Uzbekistan DRI-EAF steel — import share</t>
  </si>
  <si>
    <t xml:space="preserve">uzb.in.enc.stl.drg.coa</t>
  </si>
  <si>
    <t xml:space="preserve">Uzbekistan DRI-EAF steel — Coal (cmb)</t>
  </si>
  <si>
    <t xml:space="preserve">uzb.in.enc.stl.drg.nga</t>
  </si>
  <si>
    <t xml:space="preserve">Uzbekistan DRI-EAF steel — Natural gas (cmb)</t>
  </si>
  <si>
    <t xml:space="preserve">uzb.in.enc.stl.drg.gso</t>
  </si>
  <si>
    <t xml:space="preserve">Uzbekistan DRI-EAF steel — Gasoline (cmb)</t>
  </si>
  <si>
    <t xml:space="preserve">uzb.in.enc.stl.drg.die</t>
  </si>
  <si>
    <t xml:space="preserve">Uzbekistan DRI-EAF steel — Diesel (cmb)</t>
  </si>
  <si>
    <t xml:space="preserve">uzb.in.enc.stl.drg.ker</t>
  </si>
  <si>
    <t xml:space="preserve">Uzbekistan DRI-EAF steel — Kerosene (cmb)</t>
  </si>
  <si>
    <t xml:space="preserve">uzb.in.enc.stl.drg.lpg</t>
  </si>
  <si>
    <t xml:space="preserve">Uzbekistan DRI-EAF steel — LPG (cmb)</t>
  </si>
  <si>
    <t xml:space="preserve">uzb.in.enc.stl.drg.bio</t>
  </si>
  <si>
    <t xml:space="preserve">Uzbekistan DRI-EAF steel — Biomass (cmb)</t>
  </si>
  <si>
    <t xml:space="preserve">uzb.in.enc.stl.drg.ren</t>
  </si>
  <si>
    <t xml:space="preserve">Uzbekistan DRI-EAF steel — Self-gen renewables (cmb)</t>
  </si>
  <si>
    <t xml:space="preserve">uzb.in.enp.stl.drg.coa</t>
  </si>
  <si>
    <t xml:space="preserve">Uzbekistan DRI-EAF steel — Coal (prc)</t>
  </si>
  <si>
    <t xml:space="preserve">uzb.in.enp.stl.drg.nga</t>
  </si>
  <si>
    <t xml:space="preserve">Uzbekistan DRI-EAF steel — Natural gas (prc)</t>
  </si>
  <si>
    <t xml:space="preserve">uzb.in.enp.stl.drg.gso</t>
  </si>
  <si>
    <t xml:space="preserve">Uzbekistan DRI-EAF steel — Gasoline (prc)</t>
  </si>
  <si>
    <t xml:space="preserve">uzb.in.enp.stl.drg.die</t>
  </si>
  <si>
    <t xml:space="preserve">Uzbekistan DRI-EAF steel — Diesel (prc)</t>
  </si>
  <si>
    <t xml:space="preserve">uzb.in.enp.stl.drg.ker</t>
  </si>
  <si>
    <t xml:space="preserve">Uzbekistan DRI-EAF steel — Kerosene (prc)</t>
  </si>
  <si>
    <t xml:space="preserve">uzb.in.enp.stl.drg.lpg</t>
  </si>
  <si>
    <t xml:space="preserve">Uzbekistan DRI-EAF steel — LPG (prc)</t>
  </si>
  <si>
    <t xml:space="preserve">uzb.in.enp.stl.drg.bio</t>
  </si>
  <si>
    <t xml:space="preserve">Uzbekistan DRI-EAF steel — Biomass (prc)</t>
  </si>
  <si>
    <t xml:space="preserve">uzb.in.enp.stl.drg.ren</t>
  </si>
  <si>
    <t xml:space="preserve">Uzbekistan DRI-EAF steel — Self-gen renewables (prc)</t>
  </si>
  <si>
    <t xml:space="preserve">uzb.in.ele.stl.drg.elc</t>
  </si>
  <si>
    <t xml:space="preserve">Uzbekistan DRI-EAF steel — electricity</t>
  </si>
  <si>
    <t xml:space="preserve">uzb.in.efn.stl.drg.---</t>
  </si>
  <si>
    <t xml:space="preserve">Uzbekistan DRI-EAF steel — non-fuel process EF</t>
  </si>
  <si>
    <t xml:space="preserve">uzb.in.efo.stl.drg.---</t>
  </si>
  <si>
    <t xml:space="preserve">Uzbekistan DRI-EAF steel — non-CO₂ GHG EF</t>
  </si>
  <si>
    <t xml:space="preserve">uzb.in.prb.stl.scr.---</t>
  </si>
  <si>
    <t xml:space="preserve">Uzbekistan Scrap-EAF steel — base production</t>
  </si>
  <si>
    <t xml:space="preserve">uzb.in.els.stl.scr.---</t>
  </si>
  <si>
    <t xml:space="preserve">Uzbekistan Scrap-EAF steel — elasticity</t>
  </si>
  <si>
    <t xml:space="preserve">uzb.in.ext.stl.scr.---</t>
  </si>
  <si>
    <t xml:space="preserve">Uzbekistan Scrap-EAF steel — export share total</t>
  </si>
  <si>
    <t xml:space="preserve">uzb.in.exe.stl.scr.---</t>
  </si>
  <si>
    <t xml:space="preserve">Uzbekistan Scrap-EAF steel — EU export share</t>
  </si>
  <si>
    <t xml:space="preserve">uzb.in.imp.stl.scr.---</t>
  </si>
  <si>
    <t xml:space="preserve">Uzbekistan Scrap-EAF steel — import share</t>
  </si>
  <si>
    <t xml:space="preserve">uzb.in.enc.stl.scr.coa</t>
  </si>
  <si>
    <t xml:space="preserve">Uzbekistan Scrap-EAF steel — Coal (cmb)</t>
  </si>
  <si>
    <t xml:space="preserve">uzb.in.enc.stl.scr.nga</t>
  </si>
  <si>
    <t xml:space="preserve">Uzbekistan Scrap-EAF steel — Natural gas (cmb)</t>
  </si>
  <si>
    <t xml:space="preserve">uzb.in.enc.stl.scr.gso</t>
  </si>
  <si>
    <t xml:space="preserve">Uzbekistan Scrap-EAF steel — Gasoline (cmb)</t>
  </si>
  <si>
    <t xml:space="preserve">uzb.in.enc.stl.scr.die</t>
  </si>
  <si>
    <t xml:space="preserve">Uzbekistan Scrap-EAF steel — Diesel (cmb)</t>
  </si>
  <si>
    <t xml:space="preserve">uzb.in.enc.stl.scr.ker</t>
  </si>
  <si>
    <t xml:space="preserve">Uzbekistan Scrap-EAF steel — Kerosene (cmb)</t>
  </si>
  <si>
    <t xml:space="preserve">uzb.in.enc.stl.scr.lpg</t>
  </si>
  <si>
    <t xml:space="preserve">Uzbekistan Scrap-EAF steel — LPG (cmb)</t>
  </si>
  <si>
    <t xml:space="preserve">uzb.in.enc.stl.scr.bio</t>
  </si>
  <si>
    <t xml:space="preserve">Uzbekistan Scrap-EAF steel — Biomass (cmb)</t>
  </si>
  <si>
    <t xml:space="preserve">uzb.in.enc.stl.scr.ren</t>
  </si>
  <si>
    <t xml:space="preserve">Uzbekistan Scrap-EAF steel — Self-gen renewables (cmb)</t>
  </si>
  <si>
    <t xml:space="preserve">uzb.in.enp.stl.scr.coa</t>
  </si>
  <si>
    <t xml:space="preserve">Uzbekistan Scrap-EAF steel — Coal (prc)</t>
  </si>
  <si>
    <t xml:space="preserve">uzb.in.enp.stl.scr.nga</t>
  </si>
  <si>
    <t xml:space="preserve">Uzbekistan Scrap-EAF steel — Natural gas (prc)</t>
  </si>
  <si>
    <t xml:space="preserve">uzb.in.enp.stl.scr.gso</t>
  </si>
  <si>
    <t xml:space="preserve">Uzbekistan Scrap-EAF steel — Gasoline (prc)</t>
  </si>
  <si>
    <t xml:space="preserve">uzb.in.enp.stl.scr.die</t>
  </si>
  <si>
    <t xml:space="preserve">Uzbekistan Scrap-EAF steel — Diesel (prc)</t>
  </si>
  <si>
    <t xml:space="preserve">uzb.in.enp.stl.scr.ker</t>
  </si>
  <si>
    <t xml:space="preserve">Uzbekistan Scrap-EAF steel — Kerosene (prc)</t>
  </si>
  <si>
    <t xml:space="preserve">uzb.in.enp.stl.scr.lpg</t>
  </si>
  <si>
    <t xml:space="preserve">Uzbekistan Scrap-EAF steel — LPG (prc)</t>
  </si>
  <si>
    <t xml:space="preserve">uzb.in.enp.stl.scr.bio</t>
  </si>
  <si>
    <t xml:space="preserve">Uzbekistan Scrap-EAF steel — Biomass (prc)</t>
  </si>
  <si>
    <t xml:space="preserve">uzb.in.enp.stl.scr.ren</t>
  </si>
  <si>
    <t xml:space="preserve">Uzbekistan Scrap-EAF steel — Self-gen renewables (prc)</t>
  </si>
  <si>
    <t xml:space="preserve">uzb.in.ele.stl.scr.elc</t>
  </si>
  <si>
    <t xml:space="preserve">Uzbekistan Scrap-EAF steel — electricity</t>
  </si>
  <si>
    <t xml:space="preserve">uzb.in.efn.stl.scr.---</t>
  </si>
  <si>
    <t xml:space="preserve">Uzbekistan Scrap-EAF steel — non-fuel process EF</t>
  </si>
  <si>
    <t xml:space="preserve">uzb.in.efo.stl.scr.---</t>
  </si>
  <si>
    <t xml:space="preserve">Uzbekistan Scrap-EAF steel — non-CO₂ GHG EF</t>
  </si>
  <si>
    <t xml:space="preserve">uzb.in.prb.stl.bof.---</t>
  </si>
  <si>
    <t xml:space="preserve">Uzbekistan BF-BOF steel — base production</t>
  </si>
  <si>
    <t xml:space="preserve">uzb.in.els.stl.bof.---</t>
  </si>
  <si>
    <t xml:space="preserve">Uzbekistan BF-BOF steel — elasticity</t>
  </si>
  <si>
    <t xml:space="preserve">uzb.in.ext.stl.bof.---</t>
  </si>
  <si>
    <t xml:space="preserve">Uzbekistan BF-BOF steel — export share total</t>
  </si>
  <si>
    <t xml:space="preserve">uzb.in.exe.stl.bof.---</t>
  </si>
  <si>
    <t xml:space="preserve">Uzbekistan BF-BOF steel — EU export share</t>
  </si>
  <si>
    <t xml:space="preserve">uzb.in.imp.stl.bof.---</t>
  </si>
  <si>
    <t xml:space="preserve">Uzbekistan BF-BOF steel — import share</t>
  </si>
  <si>
    <t xml:space="preserve">uzb.in.enc.stl.bof.coa</t>
  </si>
  <si>
    <t xml:space="preserve">Uzbekistan BF-BOF steel — Coal (cmb)</t>
  </si>
  <si>
    <t xml:space="preserve">uzb.in.enc.stl.bof.nga</t>
  </si>
  <si>
    <t xml:space="preserve">Uzbekistan BF-BOF steel — Natural gas (cmb)</t>
  </si>
  <si>
    <t xml:space="preserve">uzb.in.enc.stl.bof.gso</t>
  </si>
  <si>
    <t xml:space="preserve">Uzbekistan BF-BOF steel — Gasoline (cmb)</t>
  </si>
  <si>
    <t xml:space="preserve">uzb.in.enc.stl.bof.die</t>
  </si>
  <si>
    <t xml:space="preserve">Uzbekistan BF-BOF steel — Diesel (cmb)</t>
  </si>
  <si>
    <t xml:space="preserve">uzb.in.enc.stl.bof.ker</t>
  </si>
  <si>
    <t xml:space="preserve">Uzbekistan BF-BOF steel — Kerosene (cmb)</t>
  </si>
  <si>
    <t xml:space="preserve">uzb.in.enc.stl.bof.lpg</t>
  </si>
  <si>
    <t xml:space="preserve">Uzbekistan BF-BOF steel — LPG (cmb)</t>
  </si>
  <si>
    <t xml:space="preserve">uzb.in.enc.stl.bof.bio</t>
  </si>
  <si>
    <t xml:space="preserve">Uzbekistan BF-BOF steel — Biomass (cmb)</t>
  </si>
  <si>
    <t xml:space="preserve">uzb.in.enc.stl.bof.ren</t>
  </si>
  <si>
    <t xml:space="preserve">Uzbekistan BF-BOF steel — Self-gen renewables (cmb)</t>
  </si>
  <si>
    <t xml:space="preserve">uzb.in.enp.stl.bof.coa</t>
  </si>
  <si>
    <t xml:space="preserve">Uzbekistan BF-BOF steel — Coal (prc)</t>
  </si>
  <si>
    <t xml:space="preserve">uzb.in.enp.stl.bof.nga</t>
  </si>
  <si>
    <t xml:space="preserve">Uzbekistan BF-BOF steel — Natural gas (prc)</t>
  </si>
  <si>
    <t xml:space="preserve">uzb.in.enp.stl.bof.gso</t>
  </si>
  <si>
    <t xml:space="preserve">Uzbekistan BF-BOF steel — Gasoline (prc)</t>
  </si>
  <si>
    <t xml:space="preserve">uzb.in.enp.stl.bof.die</t>
  </si>
  <si>
    <t xml:space="preserve">Uzbekistan BF-BOF steel — Diesel (prc)</t>
  </si>
  <si>
    <t xml:space="preserve">uzb.in.enp.stl.bof.ker</t>
  </si>
  <si>
    <t xml:space="preserve">Uzbekistan BF-BOF steel — Kerosene (prc)</t>
  </si>
  <si>
    <t xml:space="preserve">uzb.in.enp.stl.bof.lpg</t>
  </si>
  <si>
    <t xml:space="preserve">Uzbekistan BF-BOF steel — LPG (prc)</t>
  </si>
  <si>
    <t xml:space="preserve">uzb.in.enp.stl.bof.bio</t>
  </si>
  <si>
    <t xml:space="preserve">Uzbekistan BF-BOF steel — Biomass (prc)</t>
  </si>
  <si>
    <t xml:space="preserve">uzb.in.enp.stl.bof.ren</t>
  </si>
  <si>
    <t xml:space="preserve">Uzbekistan BF-BOF steel — Self-gen renewables (prc)</t>
  </si>
  <si>
    <t xml:space="preserve">uzb.in.ele.stl.bof.elc</t>
  </si>
  <si>
    <t xml:space="preserve">Uzbekistan BF-BOF steel — electricity</t>
  </si>
  <si>
    <t xml:space="preserve">uzb.in.efn.stl.bof.---</t>
  </si>
  <si>
    <t xml:space="preserve">Uzbekistan BF-BOF steel — non-fuel process EF</t>
  </si>
  <si>
    <t xml:space="preserve">uzb.in.efo.stl.bof.---</t>
  </si>
  <si>
    <t xml:space="preserve">Uzbekistan BF-BOF steel — non-CO₂ GHG EF</t>
  </si>
  <si>
    <t xml:space="preserve">uzb.in.prb.cmt.dry.---</t>
  </si>
  <si>
    <t xml:space="preserve">Uzbekistan Cement — base production</t>
  </si>
  <si>
    <t xml:space="preserve">uzb.in.els.cmt.dry.---</t>
  </si>
  <si>
    <t xml:space="preserve">Uzbekistan Cement — elasticity</t>
  </si>
  <si>
    <t xml:space="preserve">uzb.in.ext.cmt.dry.---</t>
  </si>
  <si>
    <t xml:space="preserve">Uzbekistan Cement — export share total</t>
  </si>
  <si>
    <t xml:space="preserve">uzb.in.exe.cmt.dry.---</t>
  </si>
  <si>
    <t xml:space="preserve">Uzbekistan Cement — EU export share</t>
  </si>
  <si>
    <t xml:space="preserve">uzb.in.imp.cmt.dry.---</t>
  </si>
  <si>
    <t xml:space="preserve">Uzbekistan Cement — import share</t>
  </si>
  <si>
    <t xml:space="preserve">uzb.in.enc.cmt.dry.coa</t>
  </si>
  <si>
    <t xml:space="preserve">Uzbekistan Cement — Coal (cmb)</t>
  </si>
  <si>
    <t xml:space="preserve">uzb.in.enc.cmt.dry.nga</t>
  </si>
  <si>
    <t xml:space="preserve">Uzbekistan Cement — Natural gas (cmb)</t>
  </si>
  <si>
    <t xml:space="preserve">uzb.in.enc.cmt.dry.gso</t>
  </si>
  <si>
    <t xml:space="preserve">Uzbekistan Cement — Gasoline (cmb)</t>
  </si>
  <si>
    <t xml:space="preserve">uzb.in.enc.cmt.dry.die</t>
  </si>
  <si>
    <t xml:space="preserve">Uzbekistan Cement — Diesel (cmb)</t>
  </si>
  <si>
    <t xml:space="preserve">uzb.in.enc.cmt.dry.ker</t>
  </si>
  <si>
    <t xml:space="preserve">Uzbekistan Cement — Kerosene (cmb)</t>
  </si>
  <si>
    <t xml:space="preserve">uzb.in.enc.cmt.dry.lpg</t>
  </si>
  <si>
    <t xml:space="preserve">Uzbekistan Cement — LPG (cmb)</t>
  </si>
  <si>
    <t xml:space="preserve">uzb.in.enc.cmt.dry.bio</t>
  </si>
  <si>
    <t xml:space="preserve">Uzbekistan Cement — Biomass (cmb)</t>
  </si>
  <si>
    <t xml:space="preserve">uzb.in.enc.cmt.dry.ren</t>
  </si>
  <si>
    <t xml:space="preserve">Uzbekistan Cement — Self-gen renewables (cmb)</t>
  </si>
  <si>
    <t xml:space="preserve">uzb.in.enp.cmt.dry.coa</t>
  </si>
  <si>
    <t xml:space="preserve">Uzbekistan Cement — Coal (prc)</t>
  </si>
  <si>
    <t xml:space="preserve">uzb.in.enp.cmt.dry.nga</t>
  </si>
  <si>
    <t xml:space="preserve">Uzbekistan Cement — Natural gas (prc)</t>
  </si>
  <si>
    <t xml:space="preserve">uzb.in.enp.cmt.dry.gso</t>
  </si>
  <si>
    <t xml:space="preserve">Uzbekistan Cement — Gasoline (prc)</t>
  </si>
  <si>
    <t xml:space="preserve">uzb.in.enp.cmt.dry.die</t>
  </si>
  <si>
    <t xml:space="preserve">Uzbekistan Cement — Diesel (prc)</t>
  </si>
  <si>
    <t xml:space="preserve">uzb.in.enp.cmt.dry.ker</t>
  </si>
  <si>
    <t xml:space="preserve">Uzbekistan Cement — Kerosene (prc)</t>
  </si>
  <si>
    <t xml:space="preserve">uzb.in.enp.cmt.dry.lpg</t>
  </si>
  <si>
    <t xml:space="preserve">Uzbekistan Cement — LPG (prc)</t>
  </si>
  <si>
    <t xml:space="preserve">uzb.in.enp.cmt.dry.bio</t>
  </si>
  <si>
    <t xml:space="preserve">Uzbekistan Cement — Biomass (prc)</t>
  </si>
  <si>
    <t xml:space="preserve">uzb.in.enp.cmt.dry.ren</t>
  </si>
  <si>
    <t xml:space="preserve">Uzbekistan Cement — Self-gen renewables (prc)</t>
  </si>
  <si>
    <t xml:space="preserve">uzb.in.ele.cmt.dry.elc</t>
  </si>
  <si>
    <t xml:space="preserve">Uzbekistan Cement — electricity</t>
  </si>
  <si>
    <t xml:space="preserve">uzb.in.efn.cmt.dry.---</t>
  </si>
  <si>
    <t xml:space="preserve">Uzbekistan Cement — non-fuel process EF</t>
  </si>
  <si>
    <t xml:space="preserve">uzb.in.efo.cmt.dry.---</t>
  </si>
  <si>
    <t xml:space="preserve">Uzbekistan Cement — non-CO₂ GHG EF</t>
  </si>
  <si>
    <t xml:space="preserve">uzb.in.prb.frt.amc.---</t>
  </si>
  <si>
    <t xml:space="preserve">Uzbekistan Ammonia — base production</t>
  </si>
  <si>
    <t xml:space="preserve">uzb.in.els.frt.amc.---</t>
  </si>
  <si>
    <t xml:space="preserve">Uzbekistan Ammonia — elasticity</t>
  </si>
  <si>
    <t xml:space="preserve">uzb.in.ext.frt.amc.---</t>
  </si>
  <si>
    <t xml:space="preserve">Uzbekistan Ammonia — export share total</t>
  </si>
  <si>
    <t xml:space="preserve">uzb.in.exe.frt.amc.---</t>
  </si>
  <si>
    <t xml:space="preserve">Uzbekistan Ammonia — EU export share</t>
  </si>
  <si>
    <t xml:space="preserve">uzb.in.imp.frt.amc.---</t>
  </si>
  <si>
    <t xml:space="preserve">Uzbekistan Ammonia — import share</t>
  </si>
  <si>
    <t xml:space="preserve">uzb.in.enc.frt.amc.coa</t>
  </si>
  <si>
    <t xml:space="preserve">Uzbekistan Ammonia — Coal (cmb)</t>
  </si>
  <si>
    <t xml:space="preserve">uzb.in.enc.frt.amc.nga</t>
  </si>
  <si>
    <t xml:space="preserve">Uzbekistan Ammonia — Natural gas (cmb)</t>
  </si>
  <si>
    <t xml:space="preserve">uzb.in.enc.frt.amc.gso</t>
  </si>
  <si>
    <t xml:space="preserve">Uzbekistan Ammonia — Gasoline (cmb)</t>
  </si>
  <si>
    <t xml:space="preserve">uzb.in.enc.frt.amc.die</t>
  </si>
  <si>
    <t xml:space="preserve">Uzbekistan Ammonia — Diesel (cmb)</t>
  </si>
  <si>
    <t xml:space="preserve">uzb.in.enc.frt.amc.ker</t>
  </si>
  <si>
    <t xml:space="preserve">Uzbekistan Ammonia — Kerosene (cmb)</t>
  </si>
  <si>
    <t xml:space="preserve">uzb.in.enc.frt.amc.lpg</t>
  </si>
  <si>
    <t xml:space="preserve">Uzbekistan Ammonia — LPG (cmb)</t>
  </si>
  <si>
    <t xml:space="preserve">uzb.in.enc.frt.amc.bio</t>
  </si>
  <si>
    <t xml:space="preserve">Uzbekistan Ammonia — Biomass (cmb)</t>
  </si>
  <si>
    <t xml:space="preserve">uzb.in.enc.frt.amc.ren</t>
  </si>
  <si>
    <t xml:space="preserve">Uzbekistan Ammonia — Self-gen renewables (cmb)</t>
  </si>
  <si>
    <t xml:space="preserve">uzb.in.enp.frt.amc.coa</t>
  </si>
  <si>
    <t xml:space="preserve">Uzbekistan Ammonia — Coal (prc)</t>
  </si>
  <si>
    <t xml:space="preserve">uzb.in.enp.frt.amc.nga</t>
  </si>
  <si>
    <t xml:space="preserve">Uzbekistan Ammonia — Natural gas (prc)</t>
  </si>
  <si>
    <t xml:space="preserve">uzb.in.enp.frt.amc.gso</t>
  </si>
  <si>
    <t xml:space="preserve">Uzbekistan Ammonia — Gasoline (prc)</t>
  </si>
  <si>
    <t xml:space="preserve">uzb.in.enp.frt.amc.die</t>
  </si>
  <si>
    <t xml:space="preserve">Uzbekistan Ammonia — Diesel (prc)</t>
  </si>
  <si>
    <t xml:space="preserve">uzb.in.enp.frt.amc.ker</t>
  </si>
  <si>
    <t xml:space="preserve">Uzbekistan Ammonia — Kerosene (prc)</t>
  </si>
  <si>
    <t xml:space="preserve">uzb.in.enp.frt.amc.lpg</t>
  </si>
  <si>
    <t xml:space="preserve">Uzbekistan Ammonia — LPG (prc)</t>
  </si>
  <si>
    <t xml:space="preserve">uzb.in.enp.frt.amc.bio</t>
  </si>
  <si>
    <t xml:space="preserve">Uzbekistan Ammonia — Biomass (prc)</t>
  </si>
  <si>
    <t xml:space="preserve">uzb.in.enp.frt.amc.ren</t>
  </si>
  <si>
    <t xml:space="preserve">Uzbekistan Ammonia — Self-gen renewables (prc)</t>
  </si>
  <si>
    <t xml:space="preserve">uzb.in.ele.frt.amc.elc</t>
  </si>
  <si>
    <t xml:space="preserve">Uzbekistan Ammonia — electricity</t>
  </si>
  <si>
    <t xml:space="preserve">uzb.in.efn.frt.amc.---</t>
  </si>
  <si>
    <t xml:space="preserve">Uzbekistan Ammonia — non-fuel process EF</t>
  </si>
  <si>
    <t xml:space="preserve">uzb.in.efo.frt.amc.---</t>
  </si>
  <si>
    <t xml:space="preserve">Uzbekistan Ammonia — non-CO₂ GHG EF</t>
  </si>
  <si>
    <t xml:space="preserve">uzb.in.prb.frt.ure.---</t>
  </si>
  <si>
    <t xml:space="preserve">Uzbekistan Urea — base production</t>
  </si>
  <si>
    <t xml:space="preserve">uzb.in.els.frt.ure.---</t>
  </si>
  <si>
    <t xml:space="preserve">Uzbekistan Urea — elasticity</t>
  </si>
  <si>
    <t xml:space="preserve">uzb.in.ext.frt.ure.---</t>
  </si>
  <si>
    <t xml:space="preserve">Uzbekistan Urea — export share total</t>
  </si>
  <si>
    <t xml:space="preserve">uzb.in.exe.frt.ure.---</t>
  </si>
  <si>
    <t xml:space="preserve">Uzbekistan Urea — EU export share</t>
  </si>
  <si>
    <t xml:space="preserve">uzb.in.imp.frt.ure.---</t>
  </si>
  <si>
    <t xml:space="preserve">Uzbekistan Urea — import share</t>
  </si>
  <si>
    <t xml:space="preserve">uzb.in.enc.frt.ure.coa</t>
  </si>
  <si>
    <t xml:space="preserve">Uzbekistan Urea — Coal (cmb)</t>
  </si>
  <si>
    <t xml:space="preserve">uzb.in.enc.frt.ure.nga</t>
  </si>
  <si>
    <t xml:space="preserve">Uzbekistan Urea — Natural gas (cmb)</t>
  </si>
  <si>
    <t xml:space="preserve">uzb.in.enc.frt.ure.gso</t>
  </si>
  <si>
    <t xml:space="preserve">Uzbekistan Urea — Gasoline (cmb)</t>
  </si>
  <si>
    <t xml:space="preserve">uzb.in.enc.frt.ure.die</t>
  </si>
  <si>
    <t xml:space="preserve">Uzbekistan Urea — Diesel (cmb)</t>
  </si>
  <si>
    <t xml:space="preserve">uzb.in.enc.frt.ure.ker</t>
  </si>
  <si>
    <t xml:space="preserve">Uzbekistan Urea — Kerosene (cmb)</t>
  </si>
  <si>
    <t xml:space="preserve">uzb.in.enc.frt.ure.lpg</t>
  </si>
  <si>
    <t xml:space="preserve">Uzbekistan Urea — LPG (cmb)</t>
  </si>
  <si>
    <t xml:space="preserve">uzb.in.enc.frt.ure.bio</t>
  </si>
  <si>
    <t xml:space="preserve">Uzbekistan Urea — Biomass (cmb)</t>
  </si>
  <si>
    <t xml:space="preserve">uzb.in.enc.frt.ure.ren</t>
  </si>
  <si>
    <t xml:space="preserve">Uzbekistan Urea — Self-gen renewables (cmb)</t>
  </si>
  <si>
    <t xml:space="preserve">uzb.in.enp.frt.ure.coa</t>
  </si>
  <si>
    <t xml:space="preserve">Uzbekistan Urea — Coal (prc)</t>
  </si>
  <si>
    <t xml:space="preserve">uzb.in.enp.frt.ure.nga</t>
  </si>
  <si>
    <t xml:space="preserve">Uzbekistan Urea — Natural gas (prc)</t>
  </si>
  <si>
    <t xml:space="preserve">uzb.in.enp.frt.ure.gso</t>
  </si>
  <si>
    <t xml:space="preserve">Uzbekistan Urea — Gasoline (prc)</t>
  </si>
  <si>
    <t xml:space="preserve">uzb.in.enp.frt.ure.die</t>
  </si>
  <si>
    <t xml:space="preserve">Uzbekistan Urea — Diesel (prc)</t>
  </si>
  <si>
    <t xml:space="preserve">uzb.in.enp.frt.ure.ker</t>
  </si>
  <si>
    <t xml:space="preserve">Uzbekistan Urea — Kerosene (prc)</t>
  </si>
  <si>
    <t xml:space="preserve">uzb.in.enp.frt.ure.lpg</t>
  </si>
  <si>
    <t xml:space="preserve">Uzbekistan Urea — LPG (prc)</t>
  </si>
  <si>
    <t xml:space="preserve">uzb.in.enp.frt.ure.bio</t>
  </si>
  <si>
    <t xml:space="preserve">Uzbekistan Urea — Biomass (prc)</t>
  </si>
  <si>
    <t xml:space="preserve">uzb.in.enp.frt.ure.ren</t>
  </si>
  <si>
    <t xml:space="preserve">Uzbekistan Urea — Self-gen renewables (prc)</t>
  </si>
  <si>
    <t xml:space="preserve">uzb.in.ele.frt.ure.elc</t>
  </si>
  <si>
    <t xml:space="preserve">Uzbekistan Urea — electricity</t>
  </si>
  <si>
    <t xml:space="preserve">uzb.in.efn.frt.ure.---</t>
  </si>
  <si>
    <t xml:space="preserve">Uzbekistan Urea — non-fuel process EF</t>
  </si>
  <si>
    <t xml:space="preserve">uzb.in.efo.frt.ure.---</t>
  </si>
  <si>
    <t xml:space="preserve">Uzbekistan Urea — non-CO₂ GHG EF</t>
  </si>
  <si>
    <t xml:space="preserve">uzb.in.prb.frt.nit.---</t>
  </si>
  <si>
    <t xml:space="preserve">Uzbekistan Ammonium nitrate — base production</t>
  </si>
  <si>
    <t xml:space="preserve">uzb.in.els.frt.nit.---</t>
  </si>
  <si>
    <t xml:space="preserve">Uzbekistan Ammonium nitrate — elasticity</t>
  </si>
  <si>
    <t xml:space="preserve">uzb.in.ext.frt.nit.---</t>
  </si>
  <si>
    <t xml:space="preserve">Uzbekistan Ammonium nitrate — export share total</t>
  </si>
  <si>
    <t xml:space="preserve">uzb.in.exe.frt.nit.---</t>
  </si>
  <si>
    <t xml:space="preserve">Uzbekistan Ammonium nitrate — EU export share</t>
  </si>
  <si>
    <t xml:space="preserve">uzb.in.imp.frt.nit.---</t>
  </si>
  <si>
    <t xml:space="preserve">Uzbekistan Ammonium nitrate — import share</t>
  </si>
  <si>
    <t xml:space="preserve">uzb.in.enc.frt.nit.coa</t>
  </si>
  <si>
    <t xml:space="preserve">Uzbekistan Ammonium nitrate — Coal (cmb)</t>
  </si>
  <si>
    <t xml:space="preserve">uzb.in.enc.frt.nit.nga</t>
  </si>
  <si>
    <t xml:space="preserve">Uzbekistan Ammonium nitrate — Natural gas (cmb)</t>
  </si>
  <si>
    <t xml:space="preserve">uzb.in.enc.frt.nit.gso</t>
  </si>
  <si>
    <t xml:space="preserve">Uzbekistan Ammonium nitrate — Gasoline (cmb)</t>
  </si>
  <si>
    <t xml:space="preserve">uzb.in.enc.frt.nit.die</t>
  </si>
  <si>
    <t xml:space="preserve">Uzbekistan Ammonium nitrate — Diesel (cmb)</t>
  </si>
  <si>
    <t xml:space="preserve">uzb.in.enc.frt.nit.ker</t>
  </si>
  <si>
    <t xml:space="preserve">Uzbekistan Ammonium nitrate — Kerosene (cmb)</t>
  </si>
  <si>
    <t xml:space="preserve">uzb.in.enc.frt.nit.lpg</t>
  </si>
  <si>
    <t xml:space="preserve">Uzbekistan Ammonium nitrate — LPG (cmb)</t>
  </si>
  <si>
    <t xml:space="preserve">uzb.in.enc.frt.nit.bio</t>
  </si>
  <si>
    <t xml:space="preserve">Uzbekistan Ammonium nitrate — Biomass (cmb)</t>
  </si>
  <si>
    <t xml:space="preserve">uzb.in.enc.frt.nit.ren</t>
  </si>
  <si>
    <t xml:space="preserve">Uzbekistan Ammonium nitrate — Self-gen renewables (cmb)</t>
  </si>
  <si>
    <t xml:space="preserve">uzb.in.enp.frt.nit.coa</t>
  </si>
  <si>
    <t xml:space="preserve">Uzbekistan Ammonium nitrate — Coal (prc)</t>
  </si>
  <si>
    <t xml:space="preserve">uzb.in.enp.frt.nit.nga</t>
  </si>
  <si>
    <t xml:space="preserve">Uzbekistan Ammonium nitrate — Natural gas (prc)</t>
  </si>
  <si>
    <t xml:space="preserve">uzb.in.enp.frt.nit.gso</t>
  </si>
  <si>
    <t xml:space="preserve">Uzbekistan Ammonium nitrate — Gasoline (prc)</t>
  </si>
  <si>
    <t xml:space="preserve">uzb.in.enp.frt.nit.die</t>
  </si>
  <si>
    <t xml:space="preserve">Uzbekistan Ammonium nitrate — Diesel (prc)</t>
  </si>
  <si>
    <t xml:space="preserve">uzb.in.enp.frt.nit.ker</t>
  </si>
  <si>
    <t xml:space="preserve">Uzbekistan Ammonium nitrate — Kerosene (prc)</t>
  </si>
  <si>
    <t xml:space="preserve">uzb.in.enp.frt.nit.lpg</t>
  </si>
  <si>
    <t xml:space="preserve">Uzbekistan Ammonium nitrate — LPG (prc)</t>
  </si>
  <si>
    <t xml:space="preserve">uzb.in.enp.frt.nit.bio</t>
  </si>
  <si>
    <t xml:space="preserve">Uzbekistan Ammonium nitrate — Biomass (prc)</t>
  </si>
  <si>
    <t xml:space="preserve">uzb.in.enp.frt.nit.ren</t>
  </si>
  <si>
    <t xml:space="preserve">Uzbekistan Ammonium nitrate — Self-gen renewables (prc)</t>
  </si>
  <si>
    <t xml:space="preserve">uzb.in.ele.frt.nit.elc</t>
  </si>
  <si>
    <t xml:space="preserve">Uzbekistan Ammonium nitrate — electricity</t>
  </si>
  <si>
    <t xml:space="preserve">uzb.in.efn.frt.nit.---</t>
  </si>
  <si>
    <t xml:space="preserve">Uzbekistan Ammonium nitrate — non-fuel process EF</t>
  </si>
  <si>
    <t xml:space="preserve">uzb.in.efo.frt.nit.---</t>
  </si>
  <si>
    <t xml:space="preserve">Uzbekistan Ammonium nitrate — non-CO₂ GHG EF</t>
  </si>
  <si>
    <t xml:space="preserve">uzb.in.prb.alu.prp.---</t>
  </si>
  <si>
    <t xml:space="preserve">Uzbekistan Primary aluminium — base production</t>
  </si>
  <si>
    <t xml:space="preserve">uzb.in.els.alu.prp.---</t>
  </si>
  <si>
    <t xml:space="preserve">Uzbekistan Primary aluminium — elasticity</t>
  </si>
  <si>
    <t xml:space="preserve">uzb.in.ext.alu.prp.---</t>
  </si>
  <si>
    <t xml:space="preserve">Uzbekistan Primary aluminium — export share total</t>
  </si>
  <si>
    <t xml:space="preserve">uzb.in.exe.alu.prp.---</t>
  </si>
  <si>
    <t xml:space="preserve">Uzbekistan Primary aluminium — EU export share</t>
  </si>
  <si>
    <t xml:space="preserve">uzb.in.imp.alu.prp.---</t>
  </si>
  <si>
    <t xml:space="preserve">Uzbekistan Primary aluminium — import share</t>
  </si>
  <si>
    <t xml:space="preserve">uzb.in.enc.alu.prp.coa</t>
  </si>
  <si>
    <t xml:space="preserve">Uzbekistan Primary aluminium — Coal (cmb)</t>
  </si>
  <si>
    <t xml:space="preserve">uzb.in.enc.alu.prp.nga</t>
  </si>
  <si>
    <t xml:space="preserve">Uzbekistan Primary aluminium — Natural gas (cmb)</t>
  </si>
  <si>
    <t xml:space="preserve">uzb.in.enc.alu.prp.gso</t>
  </si>
  <si>
    <t xml:space="preserve">Uzbekistan Primary aluminium — Gasoline (cmb)</t>
  </si>
  <si>
    <t xml:space="preserve">uzb.in.enc.alu.prp.die</t>
  </si>
  <si>
    <t xml:space="preserve">Uzbekistan Primary aluminium — Diesel (cmb)</t>
  </si>
  <si>
    <t xml:space="preserve">uzb.in.enc.alu.prp.ker</t>
  </si>
  <si>
    <t xml:space="preserve">Uzbekistan Primary aluminium — Kerosene (cmb)</t>
  </si>
  <si>
    <t xml:space="preserve">uzb.in.enc.alu.prp.lpg</t>
  </si>
  <si>
    <t xml:space="preserve">Uzbekistan Primary aluminium — LPG (cmb)</t>
  </si>
  <si>
    <t xml:space="preserve">uzb.in.enc.alu.prp.bio</t>
  </si>
  <si>
    <t xml:space="preserve">Uzbekistan Primary aluminium — Biomass (cmb)</t>
  </si>
  <si>
    <t xml:space="preserve">uzb.in.enc.alu.prp.ren</t>
  </si>
  <si>
    <t xml:space="preserve">Uzbekistan Primary aluminium — Self-gen renewables (cmb)</t>
  </si>
  <si>
    <t xml:space="preserve">uzb.in.enp.alu.prp.coa</t>
  </si>
  <si>
    <t xml:space="preserve">Uzbekistan Primary aluminium — Coal (prc)</t>
  </si>
  <si>
    <t xml:space="preserve">uzb.in.enp.alu.prp.nga</t>
  </si>
  <si>
    <t xml:space="preserve">Uzbekistan Primary aluminium — Natural gas (prc)</t>
  </si>
  <si>
    <t xml:space="preserve">uzb.in.enp.alu.prp.gso</t>
  </si>
  <si>
    <t xml:space="preserve">Uzbekistan Primary aluminium — Gasoline (prc)</t>
  </si>
  <si>
    <t xml:space="preserve">uzb.in.enp.alu.prp.die</t>
  </si>
  <si>
    <t xml:space="preserve">Uzbekistan Primary aluminium — Diesel (prc)</t>
  </si>
  <si>
    <t xml:space="preserve">uzb.in.enp.alu.prp.ker</t>
  </si>
  <si>
    <t xml:space="preserve">Uzbekistan Primary aluminium — Kerosene (prc)</t>
  </si>
  <si>
    <t xml:space="preserve">uzb.in.enp.alu.prp.lpg</t>
  </si>
  <si>
    <t xml:space="preserve">Uzbekistan Primary aluminium — LPG (prc)</t>
  </si>
  <si>
    <t xml:space="preserve">uzb.in.enp.alu.prp.bio</t>
  </si>
  <si>
    <t xml:space="preserve">Uzbekistan Primary aluminium — Biomass (prc)</t>
  </si>
  <si>
    <t xml:space="preserve">uzb.in.enp.alu.prp.ren</t>
  </si>
  <si>
    <t xml:space="preserve">Uzbekistan Primary aluminium — Self-gen renewables (prc)</t>
  </si>
  <si>
    <t xml:space="preserve">uzb.in.ele.alu.prp.elc</t>
  </si>
  <si>
    <t xml:space="preserve">Uzbekistan Primary aluminium — electricity</t>
  </si>
  <si>
    <t xml:space="preserve">uzb.in.efn.alu.prp.---</t>
  </si>
  <si>
    <t xml:space="preserve">Uzbekistan Primary aluminium — non-fuel process EF</t>
  </si>
  <si>
    <t xml:space="preserve">uzb.in.efo.alu.prp.---</t>
  </si>
  <si>
    <t xml:space="preserve">Uzbekistan Primary aluminium — non-CO₂ GHG EF</t>
  </si>
  <si>
    <t xml:space="preserve">6.aze. Azerbaijan — country-specific inputs by entity</t>
  </si>
  <si>
    <t xml:space="preserve">aze.in.prb.stl.drg.---</t>
  </si>
  <si>
    <t xml:space="preserve">Azerbaijan DRI-EAF steel — base production</t>
  </si>
  <si>
    <t xml:space="preserve">aze.in.els.stl.drg.---</t>
  </si>
  <si>
    <t xml:space="preserve">Azerbaijan DRI-EAF steel — elasticity</t>
  </si>
  <si>
    <t xml:space="preserve">aze.in.ext.stl.drg.---</t>
  </si>
  <si>
    <t xml:space="preserve">Azerbaijan DRI-EAF steel — export share total</t>
  </si>
  <si>
    <t xml:space="preserve">aze.in.exe.stl.drg.---</t>
  </si>
  <si>
    <t xml:space="preserve">Azerbaijan DRI-EAF steel — EU export share</t>
  </si>
  <si>
    <t xml:space="preserve">aze.in.imp.stl.drg.---</t>
  </si>
  <si>
    <t xml:space="preserve">Azerbaijan DRI-EAF steel — import share</t>
  </si>
  <si>
    <t xml:space="preserve">aze.in.enc.stl.drg.coa</t>
  </si>
  <si>
    <t xml:space="preserve">Azerbaijan DRI-EAF steel — Coal (cmb)</t>
  </si>
  <si>
    <t xml:space="preserve">aze.in.enc.stl.drg.nga</t>
  </si>
  <si>
    <t xml:space="preserve">Azerbaijan DRI-EAF steel — Natural gas (cmb)</t>
  </si>
  <si>
    <t xml:space="preserve">aze.in.enc.stl.drg.gso</t>
  </si>
  <si>
    <t xml:space="preserve">Azerbaijan DRI-EAF steel — Gasoline (cmb)</t>
  </si>
  <si>
    <t xml:space="preserve">aze.in.enc.stl.drg.die</t>
  </si>
  <si>
    <t xml:space="preserve">Azerbaijan DRI-EAF steel — Diesel (cmb)</t>
  </si>
  <si>
    <t xml:space="preserve">aze.in.enc.stl.drg.ker</t>
  </si>
  <si>
    <t xml:space="preserve">Azerbaijan DRI-EAF steel — Kerosene (cmb)</t>
  </si>
  <si>
    <t xml:space="preserve">aze.in.enc.stl.drg.lpg</t>
  </si>
  <si>
    <t xml:space="preserve">Azerbaijan DRI-EAF steel — LPG (cmb)</t>
  </si>
  <si>
    <t xml:space="preserve">aze.in.enc.stl.drg.bio</t>
  </si>
  <si>
    <t xml:space="preserve">Azerbaijan DRI-EAF steel — Biomass (cmb)</t>
  </si>
  <si>
    <t xml:space="preserve">aze.in.enc.stl.drg.ren</t>
  </si>
  <si>
    <t xml:space="preserve">Azerbaijan DRI-EAF steel — Self-gen renewables (cmb)</t>
  </si>
  <si>
    <t xml:space="preserve">aze.in.enp.stl.drg.coa</t>
  </si>
  <si>
    <t xml:space="preserve">Azerbaijan DRI-EAF steel — Coal (prc)</t>
  </si>
  <si>
    <t xml:space="preserve">aze.in.enp.stl.drg.nga</t>
  </si>
  <si>
    <t xml:space="preserve">Azerbaijan DRI-EAF steel — Natural gas (prc)</t>
  </si>
  <si>
    <t xml:space="preserve">aze.in.enp.stl.drg.gso</t>
  </si>
  <si>
    <t xml:space="preserve">Azerbaijan DRI-EAF steel — Gasoline (prc)</t>
  </si>
  <si>
    <t xml:space="preserve">aze.in.enp.stl.drg.die</t>
  </si>
  <si>
    <t xml:space="preserve">Azerbaijan DRI-EAF steel — Diesel (prc)</t>
  </si>
  <si>
    <t xml:space="preserve">aze.in.enp.stl.drg.ker</t>
  </si>
  <si>
    <t xml:space="preserve">Azerbaijan DRI-EAF steel — Kerosene (prc)</t>
  </si>
  <si>
    <t xml:space="preserve">aze.in.enp.stl.drg.lpg</t>
  </si>
  <si>
    <t xml:space="preserve">Azerbaijan DRI-EAF steel — LPG (prc)</t>
  </si>
  <si>
    <t xml:space="preserve">aze.in.enp.stl.drg.bio</t>
  </si>
  <si>
    <t xml:space="preserve">Azerbaijan DRI-EAF steel — Biomass (prc)</t>
  </si>
  <si>
    <t xml:space="preserve">aze.in.enp.stl.drg.ren</t>
  </si>
  <si>
    <t xml:space="preserve">Azerbaijan DRI-EAF steel — Self-gen renewables (prc)</t>
  </si>
  <si>
    <t xml:space="preserve">aze.in.ele.stl.drg.elc</t>
  </si>
  <si>
    <t xml:space="preserve">Azerbaijan DRI-EAF steel — electricity</t>
  </si>
  <si>
    <t xml:space="preserve">aze.in.efn.stl.drg.---</t>
  </si>
  <si>
    <t xml:space="preserve">Azerbaijan DRI-EAF steel — non-fuel process EF</t>
  </si>
  <si>
    <t xml:space="preserve">aze.in.efo.stl.drg.---</t>
  </si>
  <si>
    <t xml:space="preserve">Azerbaijan DRI-EAF steel — non-CO₂ GHG EF</t>
  </si>
  <si>
    <t xml:space="preserve">aze.in.prb.stl.scr.---</t>
  </si>
  <si>
    <t xml:space="preserve">Azerbaijan Scrap-EAF steel — base production</t>
  </si>
  <si>
    <t xml:space="preserve">aze.in.els.stl.scr.---</t>
  </si>
  <si>
    <t xml:space="preserve">Azerbaijan Scrap-EAF steel — elasticity</t>
  </si>
  <si>
    <t xml:space="preserve">aze.in.ext.stl.scr.---</t>
  </si>
  <si>
    <t xml:space="preserve">Azerbaijan Scrap-EAF steel — export share total</t>
  </si>
  <si>
    <t xml:space="preserve">aze.in.exe.stl.scr.---</t>
  </si>
  <si>
    <t xml:space="preserve">Azerbaijan Scrap-EAF steel — EU export share</t>
  </si>
  <si>
    <t xml:space="preserve">aze.in.imp.stl.scr.---</t>
  </si>
  <si>
    <t xml:space="preserve">Azerbaijan Scrap-EAF steel — import share</t>
  </si>
  <si>
    <t xml:space="preserve">aze.in.enc.stl.scr.coa</t>
  </si>
  <si>
    <t xml:space="preserve">Azerbaijan Scrap-EAF steel — Coal (cmb)</t>
  </si>
  <si>
    <t xml:space="preserve">aze.in.enc.stl.scr.nga</t>
  </si>
  <si>
    <t xml:space="preserve">Azerbaijan Scrap-EAF steel — Natural gas (cmb)</t>
  </si>
  <si>
    <t xml:space="preserve">aze.in.enc.stl.scr.gso</t>
  </si>
  <si>
    <t xml:space="preserve">Azerbaijan Scrap-EAF steel — Gasoline (cmb)</t>
  </si>
  <si>
    <t xml:space="preserve">aze.in.enc.stl.scr.die</t>
  </si>
  <si>
    <t xml:space="preserve">Azerbaijan Scrap-EAF steel — Diesel (cmb)</t>
  </si>
  <si>
    <t xml:space="preserve">aze.in.enc.stl.scr.ker</t>
  </si>
  <si>
    <t xml:space="preserve">Azerbaijan Scrap-EAF steel — Kerosene (cmb)</t>
  </si>
  <si>
    <t xml:space="preserve">aze.in.enc.stl.scr.lpg</t>
  </si>
  <si>
    <t xml:space="preserve">Azerbaijan Scrap-EAF steel — LPG (cmb)</t>
  </si>
  <si>
    <t xml:space="preserve">aze.in.enc.stl.scr.bio</t>
  </si>
  <si>
    <t xml:space="preserve">Azerbaijan Scrap-EAF steel — Biomass (cmb)</t>
  </si>
  <si>
    <t xml:space="preserve">aze.in.enc.stl.scr.ren</t>
  </si>
  <si>
    <t xml:space="preserve">Azerbaijan Scrap-EAF steel — Self-gen renewables (cmb)</t>
  </si>
  <si>
    <t xml:space="preserve">aze.in.enp.stl.scr.coa</t>
  </si>
  <si>
    <t xml:space="preserve">Azerbaijan Scrap-EAF steel — Coal (prc)</t>
  </si>
  <si>
    <t xml:space="preserve">aze.in.enp.stl.scr.nga</t>
  </si>
  <si>
    <t xml:space="preserve">Azerbaijan Scrap-EAF steel — Natural gas (prc)</t>
  </si>
  <si>
    <t xml:space="preserve">aze.in.enp.stl.scr.gso</t>
  </si>
  <si>
    <t xml:space="preserve">Azerbaijan Scrap-EAF steel — Gasoline (prc)</t>
  </si>
  <si>
    <t xml:space="preserve">aze.in.enp.stl.scr.die</t>
  </si>
  <si>
    <t xml:space="preserve">Azerbaijan Scrap-EAF steel — Diesel (prc)</t>
  </si>
  <si>
    <t xml:space="preserve">aze.in.enp.stl.scr.ker</t>
  </si>
  <si>
    <t xml:space="preserve">Azerbaijan Scrap-EAF steel — Kerosene (prc)</t>
  </si>
  <si>
    <t xml:space="preserve">aze.in.enp.stl.scr.lpg</t>
  </si>
  <si>
    <t xml:space="preserve">Azerbaijan Scrap-EAF steel — LPG (prc)</t>
  </si>
  <si>
    <t xml:space="preserve">aze.in.enp.stl.scr.bio</t>
  </si>
  <si>
    <t xml:space="preserve">Azerbaijan Scrap-EAF steel — Biomass (prc)</t>
  </si>
  <si>
    <t xml:space="preserve">aze.in.enp.stl.scr.ren</t>
  </si>
  <si>
    <t xml:space="preserve">Azerbaijan Scrap-EAF steel — Self-gen renewables (prc)</t>
  </si>
  <si>
    <t xml:space="preserve">aze.in.ele.stl.scr.elc</t>
  </si>
  <si>
    <t xml:space="preserve">Azerbaijan Scrap-EAF steel — electricity</t>
  </si>
  <si>
    <t xml:space="preserve">aze.in.efn.stl.scr.---</t>
  </si>
  <si>
    <t xml:space="preserve">Azerbaijan Scrap-EAF steel — non-fuel process EF</t>
  </si>
  <si>
    <t xml:space="preserve">aze.in.efo.stl.scr.---</t>
  </si>
  <si>
    <t xml:space="preserve">Azerbaijan Scrap-EAF steel — non-CO₂ GHG EF</t>
  </si>
  <si>
    <t xml:space="preserve">aze.in.prb.stl.bof.---</t>
  </si>
  <si>
    <t xml:space="preserve">Azerbaijan BF-BOF steel — base production</t>
  </si>
  <si>
    <t xml:space="preserve">aze.in.els.stl.bof.---</t>
  </si>
  <si>
    <t xml:space="preserve">Azerbaijan BF-BOF steel — elasticity</t>
  </si>
  <si>
    <t xml:space="preserve">aze.in.ext.stl.bof.---</t>
  </si>
  <si>
    <t xml:space="preserve">Azerbaijan BF-BOF steel — export share total</t>
  </si>
  <si>
    <t xml:space="preserve">aze.in.exe.stl.bof.---</t>
  </si>
  <si>
    <t xml:space="preserve">Azerbaijan BF-BOF steel — EU export share</t>
  </si>
  <si>
    <t xml:space="preserve">aze.in.imp.stl.bof.---</t>
  </si>
  <si>
    <t xml:space="preserve">Azerbaijan BF-BOF steel — import share</t>
  </si>
  <si>
    <t xml:space="preserve">aze.in.enc.stl.bof.coa</t>
  </si>
  <si>
    <t xml:space="preserve">Azerbaijan BF-BOF steel — Coal (cmb)</t>
  </si>
  <si>
    <t xml:space="preserve">aze.in.enc.stl.bof.nga</t>
  </si>
  <si>
    <t xml:space="preserve">Azerbaijan BF-BOF steel — Natural gas (cmb)</t>
  </si>
  <si>
    <t xml:space="preserve">aze.in.enc.stl.bof.gso</t>
  </si>
  <si>
    <t xml:space="preserve">Azerbaijan BF-BOF steel — Gasoline (cmb)</t>
  </si>
  <si>
    <t xml:space="preserve">aze.in.enc.stl.bof.die</t>
  </si>
  <si>
    <t xml:space="preserve">Azerbaijan BF-BOF steel — Diesel (cmb)</t>
  </si>
  <si>
    <t xml:space="preserve">aze.in.enc.stl.bof.ker</t>
  </si>
  <si>
    <t xml:space="preserve">Azerbaijan BF-BOF steel — Kerosene (cmb)</t>
  </si>
  <si>
    <t xml:space="preserve">aze.in.enc.stl.bof.lpg</t>
  </si>
  <si>
    <t xml:space="preserve">Azerbaijan BF-BOF steel — LPG (cmb)</t>
  </si>
  <si>
    <t xml:space="preserve">aze.in.enc.stl.bof.bio</t>
  </si>
  <si>
    <t xml:space="preserve">Azerbaijan BF-BOF steel — Biomass (cmb)</t>
  </si>
  <si>
    <t xml:space="preserve">aze.in.enc.stl.bof.ren</t>
  </si>
  <si>
    <t xml:space="preserve">Azerbaijan BF-BOF steel — Self-gen renewables (cmb)</t>
  </si>
  <si>
    <t xml:space="preserve">aze.in.enp.stl.bof.coa</t>
  </si>
  <si>
    <t xml:space="preserve">Azerbaijan BF-BOF steel — Coal (prc)</t>
  </si>
  <si>
    <t xml:space="preserve">aze.in.enp.stl.bof.nga</t>
  </si>
  <si>
    <t xml:space="preserve">Azerbaijan BF-BOF steel — Natural gas (prc)</t>
  </si>
  <si>
    <t xml:space="preserve">aze.in.enp.stl.bof.gso</t>
  </si>
  <si>
    <t xml:space="preserve">Azerbaijan BF-BOF steel — Gasoline (prc)</t>
  </si>
  <si>
    <t xml:space="preserve">aze.in.enp.stl.bof.die</t>
  </si>
  <si>
    <t xml:space="preserve">Azerbaijan BF-BOF steel — Diesel (prc)</t>
  </si>
  <si>
    <t xml:space="preserve">aze.in.enp.stl.bof.ker</t>
  </si>
  <si>
    <t xml:space="preserve">Azerbaijan BF-BOF steel — Kerosene (prc)</t>
  </si>
  <si>
    <t xml:space="preserve">aze.in.enp.stl.bof.lpg</t>
  </si>
  <si>
    <t xml:space="preserve">Azerbaijan BF-BOF steel — LPG (prc)</t>
  </si>
  <si>
    <t xml:space="preserve">aze.in.enp.stl.bof.bio</t>
  </si>
  <si>
    <t xml:space="preserve">Azerbaijan BF-BOF steel — Biomass (prc)</t>
  </si>
  <si>
    <t xml:space="preserve">aze.in.enp.stl.bof.ren</t>
  </si>
  <si>
    <t xml:space="preserve">Azerbaijan BF-BOF steel — Self-gen renewables (prc)</t>
  </si>
  <si>
    <t xml:space="preserve">aze.in.ele.stl.bof.elc</t>
  </si>
  <si>
    <t xml:space="preserve">Azerbaijan BF-BOF steel — electricity</t>
  </si>
  <si>
    <t xml:space="preserve">aze.in.efn.stl.bof.---</t>
  </si>
  <si>
    <t xml:space="preserve">Azerbaijan BF-BOF steel — non-fuel process EF</t>
  </si>
  <si>
    <t xml:space="preserve">aze.in.efo.stl.bof.---</t>
  </si>
  <si>
    <t xml:space="preserve">Azerbaijan BF-BOF steel — non-CO₂ GHG EF</t>
  </si>
  <si>
    <t xml:space="preserve">aze.in.prb.cmt.dry.---</t>
  </si>
  <si>
    <t xml:space="preserve">Azerbaijan Cement — base production</t>
  </si>
  <si>
    <t xml:space="preserve">aze.in.els.cmt.dry.---</t>
  </si>
  <si>
    <t xml:space="preserve">Azerbaijan Cement — elasticity</t>
  </si>
  <si>
    <t xml:space="preserve">aze.in.ext.cmt.dry.---</t>
  </si>
  <si>
    <t xml:space="preserve">Azerbaijan Cement — export share total</t>
  </si>
  <si>
    <t xml:space="preserve">aze.in.exe.cmt.dry.---</t>
  </si>
  <si>
    <t xml:space="preserve">Azerbaijan Cement — EU export share</t>
  </si>
  <si>
    <t xml:space="preserve">aze.in.imp.cmt.dry.---</t>
  </si>
  <si>
    <t xml:space="preserve">Azerbaijan Cement — import share</t>
  </si>
  <si>
    <t xml:space="preserve">aze.in.enc.cmt.dry.coa</t>
  </si>
  <si>
    <t xml:space="preserve">Azerbaijan Cement — Coal (cmb)</t>
  </si>
  <si>
    <t xml:space="preserve">aze.in.enc.cmt.dry.nga</t>
  </si>
  <si>
    <t xml:space="preserve">Azerbaijan Cement — Natural gas (cmb)</t>
  </si>
  <si>
    <t xml:space="preserve">aze.in.enc.cmt.dry.gso</t>
  </si>
  <si>
    <t xml:space="preserve">Azerbaijan Cement — Gasoline (cmb)</t>
  </si>
  <si>
    <t xml:space="preserve">aze.in.enc.cmt.dry.die</t>
  </si>
  <si>
    <t xml:space="preserve">Azerbaijan Cement — Diesel (cmb)</t>
  </si>
  <si>
    <t xml:space="preserve">aze.in.enc.cmt.dry.ker</t>
  </si>
  <si>
    <t xml:space="preserve">Azerbaijan Cement — Kerosene (cmb)</t>
  </si>
  <si>
    <t xml:space="preserve">aze.in.enc.cmt.dry.lpg</t>
  </si>
  <si>
    <t xml:space="preserve">Azerbaijan Cement — LPG (cmb)</t>
  </si>
  <si>
    <t xml:space="preserve">aze.in.enc.cmt.dry.bio</t>
  </si>
  <si>
    <t xml:space="preserve">Azerbaijan Cement — Biomass (cmb)</t>
  </si>
  <si>
    <t xml:space="preserve">aze.in.enc.cmt.dry.ren</t>
  </si>
  <si>
    <t xml:space="preserve">Azerbaijan Cement — Self-gen renewables (cmb)</t>
  </si>
  <si>
    <t xml:space="preserve">aze.in.enp.cmt.dry.coa</t>
  </si>
  <si>
    <t xml:space="preserve">Azerbaijan Cement — Coal (prc)</t>
  </si>
  <si>
    <t xml:space="preserve">aze.in.enp.cmt.dry.nga</t>
  </si>
  <si>
    <t xml:space="preserve">Azerbaijan Cement — Natural gas (prc)</t>
  </si>
  <si>
    <t xml:space="preserve">aze.in.enp.cmt.dry.gso</t>
  </si>
  <si>
    <t xml:space="preserve">Azerbaijan Cement — Gasoline (prc)</t>
  </si>
  <si>
    <t xml:space="preserve">aze.in.enp.cmt.dry.die</t>
  </si>
  <si>
    <t xml:space="preserve">Azerbaijan Cement — Diesel (prc)</t>
  </si>
  <si>
    <t xml:space="preserve">aze.in.enp.cmt.dry.ker</t>
  </si>
  <si>
    <t xml:space="preserve">Azerbaijan Cement — Kerosene (prc)</t>
  </si>
  <si>
    <t xml:space="preserve">aze.in.enp.cmt.dry.lpg</t>
  </si>
  <si>
    <t xml:space="preserve">Azerbaijan Cement — LPG (prc)</t>
  </si>
  <si>
    <t xml:space="preserve">aze.in.enp.cmt.dry.bio</t>
  </si>
  <si>
    <t xml:space="preserve">Azerbaijan Cement — Biomass (prc)</t>
  </si>
  <si>
    <t xml:space="preserve">aze.in.enp.cmt.dry.ren</t>
  </si>
  <si>
    <t xml:space="preserve">Azerbaijan Cement — Self-gen renewables (prc)</t>
  </si>
  <si>
    <t xml:space="preserve">aze.in.ele.cmt.dry.elc</t>
  </si>
  <si>
    <t xml:space="preserve">Azerbaijan Cement — electricity</t>
  </si>
  <si>
    <t xml:space="preserve">aze.in.efn.cmt.dry.---</t>
  </si>
  <si>
    <t xml:space="preserve">Azerbaijan Cement — non-fuel process EF</t>
  </si>
  <si>
    <t xml:space="preserve">aze.in.efo.cmt.dry.---</t>
  </si>
  <si>
    <t xml:space="preserve">Azerbaijan Cement — non-CO₂ GHG EF</t>
  </si>
  <si>
    <t xml:space="preserve">aze.in.prb.frt.amc.---</t>
  </si>
  <si>
    <t xml:space="preserve">Azerbaijan Ammonia — base production</t>
  </si>
  <si>
    <t xml:space="preserve">aze.in.els.frt.amc.---</t>
  </si>
  <si>
    <t xml:space="preserve">Azerbaijan Ammonia — elasticity</t>
  </si>
  <si>
    <t xml:space="preserve">aze.in.ext.frt.amc.---</t>
  </si>
  <si>
    <t xml:space="preserve">Azerbaijan Ammonia — export share total</t>
  </si>
  <si>
    <t xml:space="preserve">aze.in.exe.frt.amc.---</t>
  </si>
  <si>
    <t xml:space="preserve">Azerbaijan Ammonia — EU export share</t>
  </si>
  <si>
    <t xml:space="preserve">aze.in.imp.frt.amc.---</t>
  </si>
  <si>
    <t xml:space="preserve">Azerbaijan Ammonia — import share</t>
  </si>
  <si>
    <t xml:space="preserve">aze.in.enc.frt.amc.coa</t>
  </si>
  <si>
    <t xml:space="preserve">Azerbaijan Ammonia — Coal (cmb)</t>
  </si>
  <si>
    <t xml:space="preserve">aze.in.enc.frt.amc.nga</t>
  </si>
  <si>
    <t xml:space="preserve">Azerbaijan Ammonia — Natural gas (cmb)</t>
  </si>
  <si>
    <t xml:space="preserve">aze.in.enc.frt.amc.gso</t>
  </si>
  <si>
    <t xml:space="preserve">Azerbaijan Ammonia — Gasoline (cmb)</t>
  </si>
  <si>
    <t xml:space="preserve">aze.in.enc.frt.amc.die</t>
  </si>
  <si>
    <t xml:space="preserve">Azerbaijan Ammonia — Diesel (cmb)</t>
  </si>
  <si>
    <t xml:space="preserve">aze.in.enc.frt.amc.ker</t>
  </si>
  <si>
    <t xml:space="preserve">Azerbaijan Ammonia — Kerosene (cmb)</t>
  </si>
  <si>
    <t xml:space="preserve">aze.in.enc.frt.amc.lpg</t>
  </si>
  <si>
    <t xml:space="preserve">Azerbaijan Ammonia — LPG (cmb)</t>
  </si>
  <si>
    <t xml:space="preserve">aze.in.enc.frt.amc.bio</t>
  </si>
  <si>
    <t xml:space="preserve">Azerbaijan Ammonia — Biomass (cmb)</t>
  </si>
  <si>
    <t xml:space="preserve">aze.in.enc.frt.amc.ren</t>
  </si>
  <si>
    <t xml:space="preserve">Azerbaijan Ammonia — Self-gen renewables (cmb)</t>
  </si>
  <si>
    <t xml:space="preserve">aze.in.enp.frt.amc.coa</t>
  </si>
  <si>
    <t xml:space="preserve">Azerbaijan Ammonia — Coal (prc)</t>
  </si>
  <si>
    <t xml:space="preserve">aze.in.enp.frt.amc.nga</t>
  </si>
  <si>
    <t xml:space="preserve">Azerbaijan Ammonia — Natural gas (prc)</t>
  </si>
  <si>
    <t xml:space="preserve">aze.in.enp.frt.amc.gso</t>
  </si>
  <si>
    <t xml:space="preserve">Azerbaijan Ammonia — Gasoline (prc)</t>
  </si>
  <si>
    <t xml:space="preserve">aze.in.enp.frt.amc.die</t>
  </si>
  <si>
    <t xml:space="preserve">Azerbaijan Ammonia — Diesel (prc)</t>
  </si>
  <si>
    <t xml:space="preserve">aze.in.enp.frt.amc.ker</t>
  </si>
  <si>
    <t xml:space="preserve">Azerbaijan Ammonia — Kerosene (prc)</t>
  </si>
  <si>
    <t xml:space="preserve">aze.in.enp.frt.amc.lpg</t>
  </si>
  <si>
    <t xml:space="preserve">Azerbaijan Ammonia — LPG (prc)</t>
  </si>
  <si>
    <t xml:space="preserve">aze.in.enp.frt.amc.bio</t>
  </si>
  <si>
    <t xml:space="preserve">Azerbaijan Ammonia — Biomass (prc)</t>
  </si>
  <si>
    <t xml:space="preserve">aze.in.enp.frt.amc.ren</t>
  </si>
  <si>
    <t xml:space="preserve">Azerbaijan Ammonia — Self-gen renewables (prc)</t>
  </si>
  <si>
    <t xml:space="preserve">aze.in.ele.frt.amc.elc</t>
  </si>
  <si>
    <t xml:space="preserve">Azerbaijan Ammonia — electricity</t>
  </si>
  <si>
    <t xml:space="preserve">aze.in.efn.frt.amc.---</t>
  </si>
  <si>
    <t xml:space="preserve">Azerbaijan Ammonia — non-fuel process EF</t>
  </si>
  <si>
    <t xml:space="preserve">aze.in.efo.frt.amc.---</t>
  </si>
  <si>
    <t xml:space="preserve">Azerbaijan Ammonia — non-CO₂ GHG EF</t>
  </si>
  <si>
    <t xml:space="preserve">aze.in.prb.frt.ure.---</t>
  </si>
  <si>
    <t xml:space="preserve">Azerbaijan Urea — base production</t>
  </si>
  <si>
    <t xml:space="preserve">aze.in.els.frt.ure.---</t>
  </si>
  <si>
    <t xml:space="preserve">Azerbaijan Urea — elasticity</t>
  </si>
  <si>
    <t xml:space="preserve">aze.in.ext.frt.ure.---</t>
  </si>
  <si>
    <t xml:space="preserve">Azerbaijan Urea — export share total</t>
  </si>
  <si>
    <t xml:space="preserve">aze.in.exe.frt.ure.---</t>
  </si>
  <si>
    <t xml:space="preserve">Azerbaijan Urea — EU export share</t>
  </si>
  <si>
    <t xml:space="preserve">aze.in.imp.frt.ure.---</t>
  </si>
  <si>
    <t xml:space="preserve">Azerbaijan Urea — import share</t>
  </si>
  <si>
    <t xml:space="preserve">aze.in.enc.frt.ure.coa</t>
  </si>
  <si>
    <t xml:space="preserve">Azerbaijan Urea — Coal (cmb)</t>
  </si>
  <si>
    <t xml:space="preserve">aze.in.enc.frt.ure.nga</t>
  </si>
  <si>
    <t xml:space="preserve">Azerbaijan Urea — Natural gas (cmb)</t>
  </si>
  <si>
    <t xml:space="preserve">aze.in.enc.frt.ure.gso</t>
  </si>
  <si>
    <t xml:space="preserve">Azerbaijan Urea — Gasoline (cmb)</t>
  </si>
  <si>
    <t xml:space="preserve">aze.in.enc.frt.ure.die</t>
  </si>
  <si>
    <t xml:space="preserve">Azerbaijan Urea — Diesel (cmb)</t>
  </si>
  <si>
    <t xml:space="preserve">aze.in.enc.frt.ure.ker</t>
  </si>
  <si>
    <t xml:space="preserve">Azerbaijan Urea — Kerosene (cmb)</t>
  </si>
  <si>
    <t xml:space="preserve">aze.in.enc.frt.ure.lpg</t>
  </si>
  <si>
    <t xml:space="preserve">Azerbaijan Urea — LPG (cmb)</t>
  </si>
  <si>
    <t xml:space="preserve">aze.in.enc.frt.ure.bio</t>
  </si>
  <si>
    <t xml:space="preserve">Azerbaijan Urea — Biomass (cmb)</t>
  </si>
  <si>
    <t xml:space="preserve">aze.in.enc.frt.ure.ren</t>
  </si>
  <si>
    <t xml:space="preserve">Azerbaijan Urea — Self-gen renewables (cmb)</t>
  </si>
  <si>
    <t xml:space="preserve">aze.in.enp.frt.ure.coa</t>
  </si>
  <si>
    <t xml:space="preserve">Azerbaijan Urea — Coal (prc)</t>
  </si>
  <si>
    <t xml:space="preserve">aze.in.enp.frt.ure.nga</t>
  </si>
  <si>
    <t xml:space="preserve">Azerbaijan Urea — Natural gas (prc)</t>
  </si>
  <si>
    <t xml:space="preserve">aze.in.enp.frt.ure.gso</t>
  </si>
  <si>
    <t xml:space="preserve">Azerbaijan Urea — Gasoline (prc)</t>
  </si>
  <si>
    <t xml:space="preserve">aze.in.enp.frt.ure.die</t>
  </si>
  <si>
    <t xml:space="preserve">Azerbaijan Urea — Diesel (prc)</t>
  </si>
  <si>
    <t xml:space="preserve">aze.in.enp.frt.ure.ker</t>
  </si>
  <si>
    <t xml:space="preserve">Azerbaijan Urea — Kerosene (prc)</t>
  </si>
  <si>
    <t xml:space="preserve">aze.in.enp.frt.ure.lpg</t>
  </si>
  <si>
    <t xml:space="preserve">Azerbaijan Urea — LPG (prc)</t>
  </si>
  <si>
    <t xml:space="preserve">aze.in.enp.frt.ure.bio</t>
  </si>
  <si>
    <t xml:space="preserve">Azerbaijan Urea — Biomass (prc)</t>
  </si>
  <si>
    <t xml:space="preserve">aze.in.enp.frt.ure.ren</t>
  </si>
  <si>
    <t xml:space="preserve">Azerbaijan Urea — Self-gen renewables (prc)</t>
  </si>
  <si>
    <t xml:space="preserve">aze.in.ele.frt.ure.elc</t>
  </si>
  <si>
    <t xml:space="preserve">Azerbaijan Urea — electricity</t>
  </si>
  <si>
    <t xml:space="preserve">aze.in.efn.frt.ure.---</t>
  </si>
  <si>
    <t xml:space="preserve">Azerbaijan Urea — non-fuel process EF</t>
  </si>
  <si>
    <t xml:space="preserve">aze.in.efo.frt.ure.---</t>
  </si>
  <si>
    <t xml:space="preserve">Azerbaijan Urea — non-CO₂ GHG EF</t>
  </si>
  <si>
    <t xml:space="preserve">aze.in.prb.frt.nit.---</t>
  </si>
  <si>
    <t xml:space="preserve">Azerbaijan Ammonium nitrate — base production</t>
  </si>
  <si>
    <t xml:space="preserve">aze.in.els.frt.nit.---</t>
  </si>
  <si>
    <t xml:space="preserve">Azerbaijan Ammonium nitrate — elasticity</t>
  </si>
  <si>
    <t xml:space="preserve">aze.in.ext.frt.nit.---</t>
  </si>
  <si>
    <t xml:space="preserve">Azerbaijan Ammonium nitrate — export share total</t>
  </si>
  <si>
    <t xml:space="preserve">aze.in.exe.frt.nit.---</t>
  </si>
  <si>
    <t xml:space="preserve">Azerbaijan Ammonium nitrate — EU export share</t>
  </si>
  <si>
    <t xml:space="preserve">aze.in.imp.frt.nit.---</t>
  </si>
  <si>
    <t xml:space="preserve">Azerbaijan Ammonium nitrate — import share</t>
  </si>
  <si>
    <t xml:space="preserve">aze.in.enc.frt.nit.coa</t>
  </si>
  <si>
    <t xml:space="preserve">Azerbaijan Ammonium nitrate — Coal (cmb)</t>
  </si>
  <si>
    <t xml:space="preserve">aze.in.enc.frt.nit.nga</t>
  </si>
  <si>
    <t xml:space="preserve">Azerbaijan Ammonium nitrate — Natural gas (cmb)</t>
  </si>
  <si>
    <t xml:space="preserve">aze.in.enc.frt.nit.gso</t>
  </si>
  <si>
    <t xml:space="preserve">Azerbaijan Ammonium nitrate — Gasoline (cmb)</t>
  </si>
  <si>
    <t xml:space="preserve">aze.in.enc.frt.nit.die</t>
  </si>
  <si>
    <t xml:space="preserve">Azerbaijan Ammonium nitrate — Diesel (cmb)</t>
  </si>
  <si>
    <t xml:space="preserve">aze.in.enc.frt.nit.ker</t>
  </si>
  <si>
    <t xml:space="preserve">Azerbaijan Ammonium nitrate — Kerosene (cmb)</t>
  </si>
  <si>
    <t xml:space="preserve">aze.in.enc.frt.nit.lpg</t>
  </si>
  <si>
    <t xml:space="preserve">Azerbaijan Ammonium nitrate — LPG (cmb)</t>
  </si>
  <si>
    <t xml:space="preserve">aze.in.enc.frt.nit.bio</t>
  </si>
  <si>
    <t xml:space="preserve">Azerbaijan Ammonium nitrate — Biomass (cmb)</t>
  </si>
  <si>
    <t xml:space="preserve">aze.in.enc.frt.nit.ren</t>
  </si>
  <si>
    <t xml:space="preserve">Azerbaijan Ammonium nitrate — Self-gen renewables (cmb)</t>
  </si>
  <si>
    <t xml:space="preserve">aze.in.enp.frt.nit.coa</t>
  </si>
  <si>
    <t xml:space="preserve">Azerbaijan Ammonium nitrate — Coal (prc)</t>
  </si>
  <si>
    <t xml:space="preserve">aze.in.enp.frt.nit.nga</t>
  </si>
  <si>
    <t xml:space="preserve">Azerbaijan Ammonium nitrate — Natural gas (prc)</t>
  </si>
  <si>
    <t xml:space="preserve">aze.in.enp.frt.nit.gso</t>
  </si>
  <si>
    <t xml:space="preserve">Azerbaijan Ammonium nitrate — Gasoline (prc)</t>
  </si>
  <si>
    <t xml:space="preserve">aze.in.enp.frt.nit.die</t>
  </si>
  <si>
    <t xml:space="preserve">Azerbaijan Ammonium nitrate — Diesel (prc)</t>
  </si>
  <si>
    <t xml:space="preserve">aze.in.enp.frt.nit.ker</t>
  </si>
  <si>
    <t xml:space="preserve">Azerbaijan Ammonium nitrate — Kerosene (prc)</t>
  </si>
  <si>
    <t xml:space="preserve">aze.in.enp.frt.nit.lpg</t>
  </si>
  <si>
    <t xml:space="preserve">Azerbaijan Ammonium nitrate — LPG (prc)</t>
  </si>
  <si>
    <t xml:space="preserve">aze.in.enp.frt.nit.bio</t>
  </si>
  <si>
    <t xml:space="preserve">Azerbaijan Ammonium nitrate — Biomass (prc)</t>
  </si>
  <si>
    <t xml:space="preserve">aze.in.enp.frt.nit.ren</t>
  </si>
  <si>
    <t xml:space="preserve">Azerbaijan Ammonium nitrate — Self-gen renewables (prc)</t>
  </si>
  <si>
    <t xml:space="preserve">aze.in.ele.frt.nit.elc</t>
  </si>
  <si>
    <t xml:space="preserve">Azerbaijan Ammonium nitrate — electricity</t>
  </si>
  <si>
    <t xml:space="preserve">aze.in.efn.frt.nit.---</t>
  </si>
  <si>
    <t xml:space="preserve">Azerbaijan Ammonium nitrate — non-fuel process EF</t>
  </si>
  <si>
    <t xml:space="preserve">aze.in.efo.frt.nit.---</t>
  </si>
  <si>
    <t xml:space="preserve">Azerbaijan Ammonium nitrate — non-CO₂ GHG EF</t>
  </si>
  <si>
    <t xml:space="preserve">aze.in.prb.alu.prp.---</t>
  </si>
  <si>
    <t xml:space="preserve">Azerbaijan Primary aluminium — base production</t>
  </si>
  <si>
    <t xml:space="preserve">aze.in.els.alu.prp.---</t>
  </si>
  <si>
    <t xml:space="preserve">Azerbaijan Primary aluminium — elasticity</t>
  </si>
  <si>
    <t xml:space="preserve">aze.in.ext.alu.prp.---</t>
  </si>
  <si>
    <t xml:space="preserve">Azerbaijan Primary aluminium — export share total</t>
  </si>
  <si>
    <t xml:space="preserve">aze.in.exe.alu.prp.---</t>
  </si>
  <si>
    <t xml:space="preserve">Azerbaijan Primary aluminium — EU export share</t>
  </si>
  <si>
    <t xml:space="preserve">aze.in.imp.alu.prp.---</t>
  </si>
  <si>
    <t xml:space="preserve">Azerbaijan Primary aluminium — import share</t>
  </si>
  <si>
    <t xml:space="preserve">aze.in.enc.alu.prp.coa</t>
  </si>
  <si>
    <t xml:space="preserve">Azerbaijan Primary aluminium — Coal (cmb)</t>
  </si>
  <si>
    <t xml:space="preserve">aze.in.enc.alu.prp.nga</t>
  </si>
  <si>
    <t xml:space="preserve">Azerbaijan Primary aluminium — Natural gas (cmb)</t>
  </si>
  <si>
    <t xml:space="preserve">aze.in.enc.alu.prp.gso</t>
  </si>
  <si>
    <t xml:space="preserve">Azerbaijan Primary aluminium — Gasoline (cmb)</t>
  </si>
  <si>
    <t xml:space="preserve">aze.in.enc.alu.prp.die</t>
  </si>
  <si>
    <t xml:space="preserve">Azerbaijan Primary aluminium — Diesel (cmb)</t>
  </si>
  <si>
    <t xml:space="preserve">aze.in.enc.alu.prp.ker</t>
  </si>
  <si>
    <t xml:space="preserve">Azerbaijan Primary aluminium — Kerosene (cmb)</t>
  </si>
  <si>
    <t xml:space="preserve">aze.in.enc.alu.prp.lpg</t>
  </si>
  <si>
    <t xml:space="preserve">Azerbaijan Primary aluminium — LPG (cmb)</t>
  </si>
  <si>
    <t xml:space="preserve">aze.in.enc.alu.prp.bio</t>
  </si>
  <si>
    <t xml:space="preserve">Azerbaijan Primary aluminium — Biomass (cmb)</t>
  </si>
  <si>
    <t xml:space="preserve">aze.in.enc.alu.prp.ren</t>
  </si>
  <si>
    <t xml:space="preserve">Azerbaijan Primary aluminium — Self-gen renewables (cmb)</t>
  </si>
  <si>
    <t xml:space="preserve">aze.in.enp.alu.prp.coa</t>
  </si>
  <si>
    <t xml:space="preserve">Azerbaijan Primary aluminium — Coal (prc)</t>
  </si>
  <si>
    <t xml:space="preserve">aze.in.enp.alu.prp.nga</t>
  </si>
  <si>
    <t xml:space="preserve">Azerbaijan Primary aluminium — Natural gas (prc)</t>
  </si>
  <si>
    <t xml:space="preserve">aze.in.enp.alu.prp.gso</t>
  </si>
  <si>
    <t xml:space="preserve">Azerbaijan Primary aluminium — Gasoline (prc)</t>
  </si>
  <si>
    <t xml:space="preserve">aze.in.enp.alu.prp.die</t>
  </si>
  <si>
    <t xml:space="preserve">Azerbaijan Primary aluminium — Diesel (prc)</t>
  </si>
  <si>
    <t xml:space="preserve">aze.in.enp.alu.prp.ker</t>
  </si>
  <si>
    <t xml:space="preserve">Azerbaijan Primary aluminium — Kerosene (prc)</t>
  </si>
  <si>
    <t xml:space="preserve">aze.in.enp.alu.prp.lpg</t>
  </si>
  <si>
    <t xml:space="preserve">Azerbaijan Primary aluminium — LPG (prc)</t>
  </si>
  <si>
    <t xml:space="preserve">aze.in.enp.alu.prp.bio</t>
  </si>
  <si>
    <t xml:space="preserve">Azerbaijan Primary aluminium — Biomass (prc)</t>
  </si>
  <si>
    <t xml:space="preserve">aze.in.enp.alu.prp.ren</t>
  </si>
  <si>
    <t xml:space="preserve">Azerbaijan Primary aluminium — Self-gen renewables (prc)</t>
  </si>
  <si>
    <t xml:space="preserve">aze.in.ele.alu.prp.elc</t>
  </si>
  <si>
    <t xml:space="preserve">Azerbaijan Primary aluminium — electricity</t>
  </si>
  <si>
    <t xml:space="preserve">aze.in.efn.alu.prp.---</t>
  </si>
  <si>
    <t xml:space="preserve">Azerbaijan Primary aluminium — non-fuel process EF</t>
  </si>
  <si>
    <t xml:space="preserve">aze.in.efo.alu.prp.---</t>
  </si>
  <si>
    <t xml:space="preserve">Azerbaijan Primary aluminium — non-CO₂ GHG EF</t>
  </si>
  <si>
    <t xml:space="preserve">6.ind. India — country-specific inputs by entity</t>
  </si>
  <si>
    <t xml:space="preserve">ind.in.prb.stl.drg.---</t>
  </si>
  <si>
    <t xml:space="preserve">India DRI-EAF steel — base production</t>
  </si>
  <si>
    <t xml:space="preserve">ind.in.els.stl.drg.---</t>
  </si>
  <si>
    <t xml:space="preserve">India DRI-EAF steel — elasticity</t>
  </si>
  <si>
    <t xml:space="preserve">ind.in.ext.stl.drg.---</t>
  </si>
  <si>
    <t xml:space="preserve">India DRI-EAF steel — export share total</t>
  </si>
  <si>
    <t xml:space="preserve">ind.in.exe.stl.drg.---</t>
  </si>
  <si>
    <t xml:space="preserve">India DRI-EAF steel — EU export share</t>
  </si>
  <si>
    <t xml:space="preserve">ind.in.imp.stl.drg.---</t>
  </si>
  <si>
    <t xml:space="preserve">India DRI-EAF steel — import share</t>
  </si>
  <si>
    <t xml:space="preserve">ind.in.enc.stl.drg.coa</t>
  </si>
  <si>
    <t xml:space="preserve">India DRI-EAF steel — Coal (cmb)</t>
  </si>
  <si>
    <t xml:space="preserve">ind.in.enc.stl.drg.nga</t>
  </si>
  <si>
    <t xml:space="preserve">India DRI-EAF steel — Natural gas (cmb)</t>
  </si>
  <si>
    <t xml:space="preserve">ind.in.enc.stl.drg.gso</t>
  </si>
  <si>
    <t xml:space="preserve">India DRI-EAF steel — Gasoline (cmb)</t>
  </si>
  <si>
    <t xml:space="preserve">ind.in.enc.stl.drg.die</t>
  </si>
  <si>
    <t xml:space="preserve">India DRI-EAF steel — Diesel (cmb)</t>
  </si>
  <si>
    <t xml:space="preserve">ind.in.enc.stl.drg.ker</t>
  </si>
  <si>
    <t xml:space="preserve">India DRI-EAF steel — Kerosene (cmb)</t>
  </si>
  <si>
    <t xml:space="preserve">ind.in.enc.stl.drg.lpg</t>
  </si>
  <si>
    <t xml:space="preserve">India DRI-EAF steel — LPG (cmb)</t>
  </si>
  <si>
    <t xml:space="preserve">ind.in.enc.stl.drg.bio</t>
  </si>
  <si>
    <t xml:space="preserve">India DRI-EAF steel — Biomass (cmb)</t>
  </si>
  <si>
    <t xml:space="preserve">ind.in.enc.stl.drg.ren</t>
  </si>
  <si>
    <t xml:space="preserve">India DRI-EAF steel — Self-gen renewables (cmb)</t>
  </si>
  <si>
    <t xml:space="preserve">ind.in.enp.stl.drg.coa</t>
  </si>
  <si>
    <t xml:space="preserve">India DRI-EAF steel — Coal (prc)</t>
  </si>
  <si>
    <t xml:space="preserve">ind.in.enp.stl.drg.nga</t>
  </si>
  <si>
    <t xml:space="preserve">India DRI-EAF steel — Natural gas (prc)</t>
  </si>
  <si>
    <t xml:space="preserve">ind.in.enp.stl.drg.gso</t>
  </si>
  <si>
    <t xml:space="preserve">India DRI-EAF steel — Gasoline (prc)</t>
  </si>
  <si>
    <t xml:space="preserve">ind.in.enp.stl.drg.die</t>
  </si>
  <si>
    <t xml:space="preserve">India DRI-EAF steel — Diesel (prc)</t>
  </si>
  <si>
    <t xml:space="preserve">ind.in.enp.stl.drg.ker</t>
  </si>
  <si>
    <t xml:space="preserve">India DRI-EAF steel — Kerosene (prc)</t>
  </si>
  <si>
    <t xml:space="preserve">ind.in.enp.stl.drg.lpg</t>
  </si>
  <si>
    <t xml:space="preserve">India DRI-EAF steel — LPG (prc)</t>
  </si>
  <si>
    <t xml:space="preserve">ind.in.enp.stl.drg.bio</t>
  </si>
  <si>
    <t xml:space="preserve">India DRI-EAF steel — Biomass (prc)</t>
  </si>
  <si>
    <t xml:space="preserve">ind.in.enp.stl.drg.ren</t>
  </si>
  <si>
    <t xml:space="preserve">India DRI-EAF steel — Self-gen renewables (prc)</t>
  </si>
  <si>
    <t xml:space="preserve">ind.in.ele.stl.drg.elc</t>
  </si>
  <si>
    <t xml:space="preserve">India DRI-EAF steel — electricity</t>
  </si>
  <si>
    <t xml:space="preserve">ind.in.efn.stl.drg.---</t>
  </si>
  <si>
    <t xml:space="preserve">India DRI-EAF steel — non-fuel process EF</t>
  </si>
  <si>
    <t xml:space="preserve">ind.in.efo.stl.drg.---</t>
  </si>
  <si>
    <t xml:space="preserve">India DRI-EAF steel — non-CO₂ GHG EF</t>
  </si>
  <si>
    <t xml:space="preserve">ind.in.prb.stl.scr.---</t>
  </si>
  <si>
    <t xml:space="preserve">India Scrap-EAF steel — base production</t>
  </si>
  <si>
    <t xml:space="preserve">ind.in.els.stl.scr.---</t>
  </si>
  <si>
    <t xml:space="preserve">India Scrap-EAF steel — elasticity</t>
  </si>
  <si>
    <t xml:space="preserve">ind.in.ext.stl.scr.---</t>
  </si>
  <si>
    <t xml:space="preserve">India Scrap-EAF steel — export share total</t>
  </si>
  <si>
    <t xml:space="preserve">ind.in.exe.stl.scr.---</t>
  </si>
  <si>
    <t xml:space="preserve">India Scrap-EAF steel — EU export share</t>
  </si>
  <si>
    <t xml:space="preserve">ind.in.imp.stl.scr.---</t>
  </si>
  <si>
    <t xml:space="preserve">India Scrap-EAF steel — import share</t>
  </si>
  <si>
    <t xml:space="preserve">ind.in.enc.stl.scr.coa</t>
  </si>
  <si>
    <t xml:space="preserve">India Scrap-EAF steel — Coal (cmb)</t>
  </si>
  <si>
    <t xml:space="preserve">ind.in.enc.stl.scr.nga</t>
  </si>
  <si>
    <t xml:space="preserve">India Scrap-EAF steel — Natural gas (cmb)</t>
  </si>
  <si>
    <t xml:space="preserve">ind.in.enc.stl.scr.gso</t>
  </si>
  <si>
    <t xml:space="preserve">India Scrap-EAF steel — Gasoline (cmb)</t>
  </si>
  <si>
    <t xml:space="preserve">ind.in.enc.stl.scr.die</t>
  </si>
  <si>
    <t xml:space="preserve">India Scrap-EAF steel — Diesel (cmb)</t>
  </si>
  <si>
    <t xml:space="preserve">ind.in.enc.stl.scr.ker</t>
  </si>
  <si>
    <t xml:space="preserve">India Scrap-EAF steel — Kerosene (cmb)</t>
  </si>
  <si>
    <t xml:space="preserve">ind.in.enc.stl.scr.lpg</t>
  </si>
  <si>
    <t xml:space="preserve">India Scrap-EAF steel — LPG (cmb)</t>
  </si>
  <si>
    <t xml:space="preserve">ind.in.enc.stl.scr.bio</t>
  </si>
  <si>
    <t xml:space="preserve">India Scrap-EAF steel — Biomass (cmb)</t>
  </si>
  <si>
    <t xml:space="preserve">ind.in.enc.stl.scr.ren</t>
  </si>
  <si>
    <t xml:space="preserve">India Scrap-EAF steel — Self-gen renewables (cmb)</t>
  </si>
  <si>
    <t xml:space="preserve">ind.in.enp.stl.scr.coa</t>
  </si>
  <si>
    <t xml:space="preserve">India Scrap-EAF steel — Coal (prc)</t>
  </si>
  <si>
    <t xml:space="preserve">ind.in.enp.stl.scr.nga</t>
  </si>
  <si>
    <t xml:space="preserve">India Scrap-EAF steel — Natural gas (prc)</t>
  </si>
  <si>
    <t xml:space="preserve">ind.in.enp.stl.scr.gso</t>
  </si>
  <si>
    <t xml:space="preserve">India Scrap-EAF steel — Gasoline (prc)</t>
  </si>
  <si>
    <t xml:space="preserve">ind.in.enp.stl.scr.die</t>
  </si>
  <si>
    <t xml:space="preserve">India Scrap-EAF steel — Diesel (prc)</t>
  </si>
  <si>
    <t xml:space="preserve">ind.in.enp.stl.scr.ker</t>
  </si>
  <si>
    <t xml:space="preserve">India Scrap-EAF steel — Kerosene (prc)</t>
  </si>
  <si>
    <t xml:space="preserve">ind.in.enp.stl.scr.lpg</t>
  </si>
  <si>
    <t xml:space="preserve">India Scrap-EAF steel — LPG (prc)</t>
  </si>
  <si>
    <t xml:space="preserve">ind.in.enp.stl.scr.bio</t>
  </si>
  <si>
    <t xml:space="preserve">India Scrap-EAF steel — Biomass (prc)</t>
  </si>
  <si>
    <t xml:space="preserve">ind.in.enp.stl.scr.ren</t>
  </si>
  <si>
    <t xml:space="preserve">India Scrap-EAF steel — Self-gen renewables (prc)</t>
  </si>
  <si>
    <t xml:space="preserve">ind.in.ele.stl.scr.elc</t>
  </si>
  <si>
    <t xml:space="preserve">India Scrap-EAF steel — electricity</t>
  </si>
  <si>
    <t xml:space="preserve">ind.in.efn.stl.scr.---</t>
  </si>
  <si>
    <t xml:space="preserve">India Scrap-EAF steel — non-fuel process EF</t>
  </si>
  <si>
    <t xml:space="preserve">ind.in.efo.stl.scr.---</t>
  </si>
  <si>
    <t xml:space="preserve">India Scrap-EAF steel — non-CO₂ GHG EF</t>
  </si>
  <si>
    <t xml:space="preserve">ind.in.prb.stl.bof.---</t>
  </si>
  <si>
    <t xml:space="preserve">India BF-BOF steel — base production</t>
  </si>
  <si>
    <t xml:space="preserve">ind.in.els.stl.bof.---</t>
  </si>
  <si>
    <t xml:space="preserve">India BF-BOF steel — elasticity</t>
  </si>
  <si>
    <t xml:space="preserve">ind.in.ext.stl.bof.---</t>
  </si>
  <si>
    <t xml:space="preserve">India BF-BOF steel — export share total</t>
  </si>
  <si>
    <t xml:space="preserve">ind.in.exe.stl.bof.---</t>
  </si>
  <si>
    <t xml:space="preserve">India BF-BOF steel — EU export share</t>
  </si>
  <si>
    <t xml:space="preserve">ind.in.imp.stl.bof.---</t>
  </si>
  <si>
    <t xml:space="preserve">India BF-BOF steel — import share</t>
  </si>
  <si>
    <t xml:space="preserve">ind.in.enc.stl.bof.coa</t>
  </si>
  <si>
    <t xml:space="preserve">India BF-BOF steel — Coal (cmb)</t>
  </si>
  <si>
    <t xml:space="preserve">ind.in.enc.stl.bof.nga</t>
  </si>
  <si>
    <t xml:space="preserve">India BF-BOF steel — Natural gas (cmb)</t>
  </si>
  <si>
    <t xml:space="preserve">ind.in.enc.stl.bof.gso</t>
  </si>
  <si>
    <t xml:space="preserve">India BF-BOF steel — Gasoline (cmb)</t>
  </si>
  <si>
    <t xml:space="preserve">ind.in.enc.stl.bof.die</t>
  </si>
  <si>
    <t xml:space="preserve">India BF-BOF steel — Diesel (cmb)</t>
  </si>
  <si>
    <t xml:space="preserve">ind.in.enc.stl.bof.ker</t>
  </si>
  <si>
    <t xml:space="preserve">India BF-BOF steel — Kerosene (cmb)</t>
  </si>
  <si>
    <t xml:space="preserve">ind.in.enc.stl.bof.lpg</t>
  </si>
  <si>
    <t xml:space="preserve">India BF-BOF steel — LPG (cmb)</t>
  </si>
  <si>
    <t xml:space="preserve">ind.in.enc.stl.bof.bio</t>
  </si>
  <si>
    <t xml:space="preserve">India BF-BOF steel — Biomass (cmb)</t>
  </si>
  <si>
    <t xml:space="preserve">ind.in.enc.stl.bof.ren</t>
  </si>
  <si>
    <t xml:space="preserve">India BF-BOF steel — Self-gen renewables (cmb)</t>
  </si>
  <si>
    <t xml:space="preserve">ind.in.enp.stl.bof.coa</t>
  </si>
  <si>
    <t xml:space="preserve">India BF-BOF steel — Coal (prc)</t>
  </si>
  <si>
    <t xml:space="preserve">ind.in.enp.stl.bof.nga</t>
  </si>
  <si>
    <t xml:space="preserve">India BF-BOF steel — Natural gas (prc)</t>
  </si>
  <si>
    <t xml:space="preserve">ind.in.enp.stl.bof.gso</t>
  </si>
  <si>
    <t xml:space="preserve">India BF-BOF steel — Gasoline (prc)</t>
  </si>
  <si>
    <t xml:space="preserve">ind.in.enp.stl.bof.die</t>
  </si>
  <si>
    <t xml:space="preserve">India BF-BOF steel — Diesel (prc)</t>
  </si>
  <si>
    <t xml:space="preserve">ind.in.enp.stl.bof.ker</t>
  </si>
  <si>
    <t xml:space="preserve">India BF-BOF steel — Kerosene (prc)</t>
  </si>
  <si>
    <t xml:space="preserve">ind.in.enp.stl.bof.lpg</t>
  </si>
  <si>
    <t xml:space="preserve">India BF-BOF steel — LPG (prc)</t>
  </si>
  <si>
    <t xml:space="preserve">ind.in.enp.stl.bof.bio</t>
  </si>
  <si>
    <t xml:space="preserve">India BF-BOF steel — Biomass (prc)</t>
  </si>
  <si>
    <t xml:space="preserve">ind.in.enp.stl.bof.ren</t>
  </si>
  <si>
    <t xml:space="preserve">India BF-BOF steel — Self-gen renewables (prc)</t>
  </si>
  <si>
    <t xml:space="preserve">ind.in.ele.stl.bof.elc</t>
  </si>
  <si>
    <t xml:space="preserve">India BF-BOF steel — electricity</t>
  </si>
  <si>
    <t xml:space="preserve">ind.in.efn.stl.bof.---</t>
  </si>
  <si>
    <t xml:space="preserve">India BF-BOF steel — non-fuel process EF</t>
  </si>
  <si>
    <t xml:space="preserve">ind.in.efo.stl.bof.---</t>
  </si>
  <si>
    <t xml:space="preserve">India BF-BOF steel — non-CO₂ GHG EF</t>
  </si>
  <si>
    <t xml:space="preserve">ind.in.prb.cmt.dry.---</t>
  </si>
  <si>
    <t xml:space="preserve">India Cement — base production</t>
  </si>
  <si>
    <t xml:space="preserve">ind.in.els.cmt.dry.---</t>
  </si>
  <si>
    <t xml:space="preserve">India Cement — elasticity</t>
  </si>
  <si>
    <t xml:space="preserve">ind.in.ext.cmt.dry.---</t>
  </si>
  <si>
    <t xml:space="preserve">India Cement — export share total</t>
  </si>
  <si>
    <t xml:space="preserve">ind.in.exe.cmt.dry.---</t>
  </si>
  <si>
    <t xml:space="preserve">India Cement — EU export share</t>
  </si>
  <si>
    <t xml:space="preserve">ind.in.imp.cmt.dry.---</t>
  </si>
  <si>
    <t xml:space="preserve">India Cement — import share</t>
  </si>
  <si>
    <t xml:space="preserve">ind.in.enc.cmt.dry.coa</t>
  </si>
  <si>
    <t xml:space="preserve">India Cement — Coal (cmb)</t>
  </si>
  <si>
    <t xml:space="preserve">ind.in.enc.cmt.dry.nga</t>
  </si>
  <si>
    <t xml:space="preserve">India Cement — Natural gas (cmb)</t>
  </si>
  <si>
    <t xml:space="preserve">ind.in.enc.cmt.dry.gso</t>
  </si>
  <si>
    <t xml:space="preserve">India Cement — Gasoline (cmb)</t>
  </si>
  <si>
    <t xml:space="preserve">ind.in.enc.cmt.dry.die</t>
  </si>
  <si>
    <t xml:space="preserve">India Cement — Diesel (cmb)</t>
  </si>
  <si>
    <t xml:space="preserve">ind.in.enc.cmt.dry.ker</t>
  </si>
  <si>
    <t xml:space="preserve">India Cement — Kerosene (cmb)</t>
  </si>
  <si>
    <t xml:space="preserve">ind.in.enc.cmt.dry.lpg</t>
  </si>
  <si>
    <t xml:space="preserve">India Cement — LPG (cmb)</t>
  </si>
  <si>
    <t xml:space="preserve">ind.in.enc.cmt.dry.bio</t>
  </si>
  <si>
    <t xml:space="preserve">India Cement — Biomass (cmb)</t>
  </si>
  <si>
    <t xml:space="preserve">ind.in.enc.cmt.dry.ren</t>
  </si>
  <si>
    <t xml:space="preserve">India Cement — Self-gen renewables (cmb)</t>
  </si>
  <si>
    <t xml:space="preserve">ind.in.enp.cmt.dry.coa</t>
  </si>
  <si>
    <t xml:space="preserve">India Cement — Coal (prc)</t>
  </si>
  <si>
    <t xml:space="preserve">ind.in.enp.cmt.dry.nga</t>
  </si>
  <si>
    <t xml:space="preserve">India Cement — Natural gas (prc)</t>
  </si>
  <si>
    <t xml:space="preserve">ind.in.enp.cmt.dry.gso</t>
  </si>
  <si>
    <t xml:space="preserve">India Cement — Gasoline (prc)</t>
  </si>
  <si>
    <t xml:space="preserve">ind.in.enp.cmt.dry.die</t>
  </si>
  <si>
    <t xml:space="preserve">India Cement — Diesel (prc)</t>
  </si>
  <si>
    <t xml:space="preserve">ind.in.enp.cmt.dry.ker</t>
  </si>
  <si>
    <t xml:space="preserve">India Cement — Kerosene (prc)</t>
  </si>
  <si>
    <t xml:space="preserve">ind.in.enp.cmt.dry.lpg</t>
  </si>
  <si>
    <t xml:space="preserve">India Cement — LPG (prc)</t>
  </si>
  <si>
    <t xml:space="preserve">ind.in.enp.cmt.dry.bio</t>
  </si>
  <si>
    <t xml:space="preserve">India Cement — Biomass (prc)</t>
  </si>
  <si>
    <t xml:space="preserve">ind.in.enp.cmt.dry.ren</t>
  </si>
  <si>
    <t xml:space="preserve">India Cement — Self-gen renewables (prc)</t>
  </si>
  <si>
    <t xml:space="preserve">ind.in.ele.cmt.dry.elc</t>
  </si>
  <si>
    <t xml:space="preserve">India Cement — electricity</t>
  </si>
  <si>
    <t xml:space="preserve">ind.in.efn.cmt.dry.---</t>
  </si>
  <si>
    <t xml:space="preserve">India Cement — non-fuel process EF</t>
  </si>
  <si>
    <t xml:space="preserve">ind.in.efo.cmt.dry.---</t>
  </si>
  <si>
    <t xml:space="preserve">India Cement — non-CO₂ GHG EF</t>
  </si>
  <si>
    <t xml:space="preserve">ind.in.prb.frt.amc.---</t>
  </si>
  <si>
    <t xml:space="preserve">India Ammonia — base production</t>
  </si>
  <si>
    <t xml:space="preserve">ind.in.els.frt.amc.---</t>
  </si>
  <si>
    <t xml:space="preserve">India Ammonia — elasticity</t>
  </si>
  <si>
    <t xml:space="preserve">ind.in.ext.frt.amc.---</t>
  </si>
  <si>
    <t xml:space="preserve">India Ammonia — export share total</t>
  </si>
  <si>
    <t xml:space="preserve">ind.in.exe.frt.amc.---</t>
  </si>
  <si>
    <t xml:space="preserve">India Ammonia — EU export share</t>
  </si>
  <si>
    <t xml:space="preserve">ind.in.imp.frt.amc.---</t>
  </si>
  <si>
    <t xml:space="preserve">India Ammonia — import share</t>
  </si>
  <si>
    <t xml:space="preserve">ind.in.enc.frt.amc.coa</t>
  </si>
  <si>
    <t xml:space="preserve">India Ammonia — Coal (cmb)</t>
  </si>
  <si>
    <t xml:space="preserve">ind.in.enc.frt.amc.nga</t>
  </si>
  <si>
    <t xml:space="preserve">India Ammonia — Natural gas (cmb)</t>
  </si>
  <si>
    <t xml:space="preserve">ind.in.enc.frt.amc.gso</t>
  </si>
  <si>
    <t xml:space="preserve">India Ammonia — Gasoline (cmb)</t>
  </si>
  <si>
    <t xml:space="preserve">ind.in.enc.frt.amc.die</t>
  </si>
  <si>
    <t xml:space="preserve">India Ammonia — Diesel (cmb)</t>
  </si>
  <si>
    <t xml:space="preserve">ind.in.enc.frt.amc.ker</t>
  </si>
  <si>
    <t xml:space="preserve">India Ammonia — Kerosene (cmb)</t>
  </si>
  <si>
    <t xml:space="preserve">ind.in.enc.frt.amc.lpg</t>
  </si>
  <si>
    <t xml:space="preserve">India Ammonia — LPG (cmb)</t>
  </si>
  <si>
    <t xml:space="preserve">ind.in.enc.frt.amc.bio</t>
  </si>
  <si>
    <t xml:space="preserve">India Ammonia — Biomass (cmb)</t>
  </si>
  <si>
    <t xml:space="preserve">ind.in.enc.frt.amc.ren</t>
  </si>
  <si>
    <t xml:space="preserve">India Ammonia — Self-gen renewables (cmb)</t>
  </si>
  <si>
    <t xml:space="preserve">ind.in.enp.frt.amc.coa</t>
  </si>
  <si>
    <t xml:space="preserve">India Ammonia — Coal (prc)</t>
  </si>
  <si>
    <t xml:space="preserve">ind.in.enp.frt.amc.nga</t>
  </si>
  <si>
    <t xml:space="preserve">India Ammonia — Natural gas (prc)</t>
  </si>
  <si>
    <t xml:space="preserve">ind.in.enp.frt.amc.gso</t>
  </si>
  <si>
    <t xml:space="preserve">India Ammonia — Gasoline (prc)</t>
  </si>
  <si>
    <t xml:space="preserve">ind.in.enp.frt.amc.die</t>
  </si>
  <si>
    <t xml:space="preserve">India Ammonia — Diesel (prc)</t>
  </si>
  <si>
    <t xml:space="preserve">ind.in.enp.frt.amc.ker</t>
  </si>
  <si>
    <t xml:space="preserve">India Ammonia — Kerosene (prc)</t>
  </si>
  <si>
    <t xml:space="preserve">ind.in.enp.frt.amc.lpg</t>
  </si>
  <si>
    <t xml:space="preserve">India Ammonia — LPG (prc)</t>
  </si>
  <si>
    <t xml:space="preserve">ind.in.enp.frt.amc.bio</t>
  </si>
  <si>
    <t xml:space="preserve">India Ammonia — Biomass (prc)</t>
  </si>
  <si>
    <t xml:space="preserve">ind.in.enp.frt.amc.ren</t>
  </si>
  <si>
    <t xml:space="preserve">India Ammonia — Self-gen renewables (prc)</t>
  </si>
  <si>
    <t xml:space="preserve">ind.in.ele.frt.amc.elc</t>
  </si>
  <si>
    <t xml:space="preserve">India Ammonia — electricity</t>
  </si>
  <si>
    <t xml:space="preserve">ind.in.efn.frt.amc.---</t>
  </si>
  <si>
    <t xml:space="preserve">India Ammonia — non-fuel process EF</t>
  </si>
  <si>
    <t xml:space="preserve">ind.in.efo.frt.amc.---</t>
  </si>
  <si>
    <t xml:space="preserve">India Ammonia — non-CO₂ GHG EF</t>
  </si>
  <si>
    <t xml:space="preserve">ind.in.prb.frt.ure.---</t>
  </si>
  <si>
    <t xml:space="preserve">India Urea — base production</t>
  </si>
  <si>
    <t xml:space="preserve">ind.in.els.frt.ure.---</t>
  </si>
  <si>
    <t xml:space="preserve">India Urea — elasticity</t>
  </si>
  <si>
    <t xml:space="preserve">ind.in.ext.frt.ure.---</t>
  </si>
  <si>
    <t xml:space="preserve">India Urea — export share total</t>
  </si>
  <si>
    <t xml:space="preserve">ind.in.exe.frt.ure.---</t>
  </si>
  <si>
    <t xml:space="preserve">India Urea — EU export share</t>
  </si>
  <si>
    <t xml:space="preserve">ind.in.imp.frt.ure.---</t>
  </si>
  <si>
    <t xml:space="preserve">India Urea — import share</t>
  </si>
  <si>
    <t xml:space="preserve">ind.in.enc.frt.ure.coa</t>
  </si>
  <si>
    <t xml:space="preserve">India Urea — Coal (cmb)</t>
  </si>
  <si>
    <t xml:space="preserve">ind.in.enc.frt.ure.nga</t>
  </si>
  <si>
    <t xml:space="preserve">India Urea — Natural gas (cmb)</t>
  </si>
  <si>
    <t xml:space="preserve">ind.in.enc.frt.ure.gso</t>
  </si>
  <si>
    <t xml:space="preserve">India Urea — Gasoline (cmb)</t>
  </si>
  <si>
    <t xml:space="preserve">ind.in.enc.frt.ure.die</t>
  </si>
  <si>
    <t xml:space="preserve">India Urea — Diesel (cmb)</t>
  </si>
  <si>
    <t xml:space="preserve">ind.in.enc.frt.ure.ker</t>
  </si>
  <si>
    <t xml:space="preserve">India Urea — Kerosene (cmb)</t>
  </si>
  <si>
    <t xml:space="preserve">ind.in.enc.frt.ure.lpg</t>
  </si>
  <si>
    <t xml:space="preserve">India Urea — LPG (cmb)</t>
  </si>
  <si>
    <t xml:space="preserve">ind.in.enc.frt.ure.bio</t>
  </si>
  <si>
    <t xml:space="preserve">India Urea — Biomass (cmb)</t>
  </si>
  <si>
    <t xml:space="preserve">ind.in.enc.frt.ure.ren</t>
  </si>
  <si>
    <t xml:space="preserve">India Urea — Self-gen renewables (cmb)</t>
  </si>
  <si>
    <t xml:space="preserve">ind.in.enp.frt.ure.coa</t>
  </si>
  <si>
    <t xml:space="preserve">India Urea — Coal (prc)</t>
  </si>
  <si>
    <t xml:space="preserve">ind.in.enp.frt.ure.nga</t>
  </si>
  <si>
    <t xml:space="preserve">India Urea — Natural gas (prc)</t>
  </si>
  <si>
    <t xml:space="preserve">ind.in.enp.frt.ure.gso</t>
  </si>
  <si>
    <t xml:space="preserve">India Urea — Gasoline (prc)</t>
  </si>
  <si>
    <t xml:space="preserve">ind.in.enp.frt.ure.die</t>
  </si>
  <si>
    <t xml:space="preserve">India Urea — Diesel (prc)</t>
  </si>
  <si>
    <t xml:space="preserve">ind.in.enp.frt.ure.ker</t>
  </si>
  <si>
    <t xml:space="preserve">India Urea — Kerosene (prc)</t>
  </si>
  <si>
    <t xml:space="preserve">ind.in.enp.frt.ure.lpg</t>
  </si>
  <si>
    <t xml:space="preserve">India Urea — LPG (prc)</t>
  </si>
  <si>
    <t xml:space="preserve">ind.in.enp.frt.ure.bio</t>
  </si>
  <si>
    <t xml:space="preserve">India Urea — Biomass (prc)</t>
  </si>
  <si>
    <t xml:space="preserve">ind.in.enp.frt.ure.ren</t>
  </si>
  <si>
    <t xml:space="preserve">India Urea — Self-gen renewables (prc)</t>
  </si>
  <si>
    <t xml:space="preserve">ind.in.ele.frt.ure.elc</t>
  </si>
  <si>
    <t xml:space="preserve">India Urea — electricity</t>
  </si>
  <si>
    <t xml:space="preserve">ind.in.efn.frt.ure.---</t>
  </si>
  <si>
    <t xml:space="preserve">India Urea — non-fuel process EF</t>
  </si>
  <si>
    <t xml:space="preserve">ind.in.efo.frt.ure.---</t>
  </si>
  <si>
    <t xml:space="preserve">India Urea — non-CO₂ GHG EF</t>
  </si>
  <si>
    <t xml:space="preserve">ind.in.prb.frt.nit.---</t>
  </si>
  <si>
    <t xml:space="preserve">India Ammonium nitrate — base production</t>
  </si>
  <si>
    <t xml:space="preserve">ind.in.els.frt.nit.---</t>
  </si>
  <si>
    <t xml:space="preserve">India Ammonium nitrate — elasticity</t>
  </si>
  <si>
    <t xml:space="preserve">ind.in.ext.frt.nit.---</t>
  </si>
  <si>
    <t xml:space="preserve">India Ammonium nitrate — export share total</t>
  </si>
  <si>
    <t xml:space="preserve">ind.in.exe.frt.nit.---</t>
  </si>
  <si>
    <t xml:space="preserve">India Ammonium nitrate — EU export share</t>
  </si>
  <si>
    <t xml:space="preserve">ind.in.imp.frt.nit.---</t>
  </si>
  <si>
    <t xml:space="preserve">India Ammonium nitrate — import share</t>
  </si>
  <si>
    <t xml:space="preserve">ind.in.enc.frt.nit.coa</t>
  </si>
  <si>
    <t xml:space="preserve">India Ammonium nitrate — Coal (cmb)</t>
  </si>
  <si>
    <t xml:space="preserve">ind.in.enc.frt.nit.nga</t>
  </si>
  <si>
    <t xml:space="preserve">India Ammonium nitrate — Natural gas (cmb)</t>
  </si>
  <si>
    <t xml:space="preserve">ind.in.enc.frt.nit.gso</t>
  </si>
  <si>
    <t xml:space="preserve">India Ammonium nitrate — Gasoline (cmb)</t>
  </si>
  <si>
    <t xml:space="preserve">ind.in.enc.frt.nit.die</t>
  </si>
  <si>
    <t xml:space="preserve">India Ammonium nitrate — Diesel (cmb)</t>
  </si>
  <si>
    <t xml:space="preserve">ind.in.enc.frt.nit.ker</t>
  </si>
  <si>
    <t xml:space="preserve">India Ammonium nitrate — Kerosene (cmb)</t>
  </si>
  <si>
    <t xml:space="preserve">ind.in.enc.frt.nit.lpg</t>
  </si>
  <si>
    <t xml:space="preserve">India Ammonium nitrate — LPG (cmb)</t>
  </si>
  <si>
    <t xml:space="preserve">ind.in.enc.frt.nit.bio</t>
  </si>
  <si>
    <t xml:space="preserve">India Ammonium nitrate — Biomass (cmb)</t>
  </si>
  <si>
    <t xml:space="preserve">ind.in.enc.frt.nit.ren</t>
  </si>
  <si>
    <t xml:space="preserve">India Ammonium nitrate — Self-gen renewables (cmb)</t>
  </si>
  <si>
    <t xml:space="preserve">ind.in.enp.frt.nit.coa</t>
  </si>
  <si>
    <t xml:space="preserve">India Ammonium nitrate — Coal (prc)</t>
  </si>
  <si>
    <t xml:space="preserve">ind.in.enp.frt.nit.nga</t>
  </si>
  <si>
    <t xml:space="preserve">India Ammonium nitrate — Natural gas (prc)</t>
  </si>
  <si>
    <t xml:space="preserve">ind.in.enp.frt.nit.gso</t>
  </si>
  <si>
    <t xml:space="preserve">India Ammonium nitrate — Gasoline (prc)</t>
  </si>
  <si>
    <t xml:space="preserve">ind.in.enp.frt.nit.die</t>
  </si>
  <si>
    <t xml:space="preserve">India Ammonium nitrate — Diesel (prc)</t>
  </si>
  <si>
    <t xml:space="preserve">ind.in.enp.frt.nit.ker</t>
  </si>
  <si>
    <t xml:space="preserve">India Ammonium nitrate — Kerosene (prc)</t>
  </si>
  <si>
    <t xml:space="preserve">ind.in.enp.frt.nit.lpg</t>
  </si>
  <si>
    <t xml:space="preserve">India Ammonium nitrate — LPG (prc)</t>
  </si>
  <si>
    <t xml:space="preserve">ind.in.enp.frt.nit.bio</t>
  </si>
  <si>
    <t xml:space="preserve">India Ammonium nitrate — Biomass (prc)</t>
  </si>
  <si>
    <t xml:space="preserve">ind.in.enp.frt.nit.ren</t>
  </si>
  <si>
    <t xml:space="preserve">India Ammonium nitrate — Self-gen renewables (prc)</t>
  </si>
  <si>
    <t xml:space="preserve">ind.in.ele.frt.nit.elc</t>
  </si>
  <si>
    <t xml:space="preserve">India Ammonium nitrate — electricity</t>
  </si>
  <si>
    <t xml:space="preserve">ind.in.efn.frt.nit.---</t>
  </si>
  <si>
    <t xml:space="preserve">India Ammonium nitrate — non-fuel process EF</t>
  </si>
  <si>
    <t xml:space="preserve">ind.in.efo.frt.nit.---</t>
  </si>
  <si>
    <t xml:space="preserve">India Ammonium nitrate — non-CO₂ GHG EF</t>
  </si>
  <si>
    <t xml:space="preserve">ind.in.prb.alu.prp.---</t>
  </si>
  <si>
    <t xml:space="preserve">India Primary aluminium — base production</t>
  </si>
  <si>
    <t xml:space="preserve">ind.in.els.alu.prp.---</t>
  </si>
  <si>
    <t xml:space="preserve">India Primary aluminium — elasticity</t>
  </si>
  <si>
    <t xml:space="preserve">ind.in.ext.alu.prp.---</t>
  </si>
  <si>
    <t xml:space="preserve">India Primary aluminium — export share total</t>
  </si>
  <si>
    <t xml:space="preserve">ind.in.exe.alu.prp.---</t>
  </si>
  <si>
    <t xml:space="preserve">India Primary aluminium — EU export share</t>
  </si>
  <si>
    <t xml:space="preserve">ind.in.imp.alu.prp.---</t>
  </si>
  <si>
    <t xml:space="preserve">India Primary aluminium — import share</t>
  </si>
  <si>
    <t xml:space="preserve">ind.in.enc.alu.prp.coa</t>
  </si>
  <si>
    <t xml:space="preserve">India Primary aluminium — Coal (cmb)</t>
  </si>
  <si>
    <t xml:space="preserve">ind.in.enc.alu.prp.nga</t>
  </si>
  <si>
    <t xml:space="preserve">India Primary aluminium — Natural gas (cmb)</t>
  </si>
  <si>
    <t xml:space="preserve">ind.in.enc.alu.prp.gso</t>
  </si>
  <si>
    <t xml:space="preserve">India Primary aluminium — Gasoline (cmb)</t>
  </si>
  <si>
    <t xml:space="preserve">ind.in.enc.alu.prp.die</t>
  </si>
  <si>
    <t xml:space="preserve">India Primary aluminium — Diesel (cmb)</t>
  </si>
  <si>
    <t xml:space="preserve">ind.in.enc.alu.prp.ker</t>
  </si>
  <si>
    <t xml:space="preserve">India Primary aluminium — Kerosene (cmb)</t>
  </si>
  <si>
    <t xml:space="preserve">ind.in.enc.alu.prp.lpg</t>
  </si>
  <si>
    <t xml:space="preserve">India Primary aluminium — LPG (cmb)</t>
  </si>
  <si>
    <t xml:space="preserve">ind.in.enc.alu.prp.bio</t>
  </si>
  <si>
    <t xml:space="preserve">India Primary aluminium — Biomass (cmb)</t>
  </si>
  <si>
    <t xml:space="preserve">ind.in.enc.alu.prp.ren</t>
  </si>
  <si>
    <t xml:space="preserve">India Primary aluminium — Self-gen renewables (cmb)</t>
  </si>
  <si>
    <t xml:space="preserve">ind.in.enp.alu.prp.coa</t>
  </si>
  <si>
    <t xml:space="preserve">India Primary aluminium — Coal (prc)</t>
  </si>
  <si>
    <t xml:space="preserve">ind.in.enp.alu.prp.nga</t>
  </si>
  <si>
    <t xml:space="preserve">India Primary aluminium — Natural gas (prc)</t>
  </si>
  <si>
    <t xml:space="preserve">ind.in.enp.alu.prp.gso</t>
  </si>
  <si>
    <t xml:space="preserve">India Primary aluminium — Gasoline (prc)</t>
  </si>
  <si>
    <t xml:space="preserve">ind.in.enp.alu.prp.die</t>
  </si>
  <si>
    <t xml:space="preserve">India Primary aluminium — Diesel (prc)</t>
  </si>
  <si>
    <t xml:space="preserve">ind.in.enp.alu.prp.ker</t>
  </si>
  <si>
    <t xml:space="preserve">India Primary aluminium — Kerosene (prc)</t>
  </si>
  <si>
    <t xml:space="preserve">ind.in.enp.alu.prp.lpg</t>
  </si>
  <si>
    <t xml:space="preserve">India Primary aluminium — LPG (prc)</t>
  </si>
  <si>
    <t xml:space="preserve">ind.in.enp.alu.prp.bio</t>
  </si>
  <si>
    <t xml:space="preserve">India Primary aluminium — Biomass (prc)</t>
  </si>
  <si>
    <t xml:space="preserve">ind.in.enp.alu.prp.ren</t>
  </si>
  <si>
    <t xml:space="preserve">India Primary aluminium — Self-gen renewables (prc)</t>
  </si>
  <si>
    <t xml:space="preserve">ind.in.ele.alu.prp.elc</t>
  </si>
  <si>
    <t xml:space="preserve">India Primary aluminium — electricity</t>
  </si>
  <si>
    <t xml:space="preserve">ind.in.efn.alu.prp.---</t>
  </si>
  <si>
    <t xml:space="preserve">India Primary aluminium — non-fuel process EF</t>
  </si>
  <si>
    <t xml:space="preserve">ind.in.efo.alu.prp.---</t>
  </si>
  <si>
    <t xml:space="preserve">India Primary aluminium — non-CO₂ GHG EF</t>
  </si>
  <si>
    <t xml:space="preserve">7. Product CN codes (EU CBAM Annex I)</t>
  </si>
  <si>
    <t xml:space="preserve">Route indicator (IR 2025/2621)</t>
  </si>
  <si>
    <t xml:space="preserve">all.in.cn .stl.drg.---</t>
  </si>
  <si>
    <t xml:space="preserve">cn </t>
  </si>
  <si>
    <t xml:space="preserve">CN code — DRI-EAF steel</t>
  </si>
  <si>
    <t xml:space="preserve">EU Combined Nomenclature code (CBAM Annex I)</t>
  </si>
  <si>
    <t xml:space="preserve">EU Reg 2023/956 Annex I</t>
  </si>
  <si>
    <t xml:space="preserve">all.in.cn .stl.scr.---</t>
  </si>
  <si>
    <t xml:space="preserve">CN code — Scrap-EAF steel</t>
  </si>
  <si>
    <t xml:space="preserve">all.in.cn .stl.bof.---</t>
  </si>
  <si>
    <t xml:space="preserve">CN code — BF-BOF steel</t>
  </si>
  <si>
    <t xml:space="preserve">all.in.cn .cmt.dry.---</t>
  </si>
  <si>
    <t xml:space="preserve">CN code — Cement</t>
  </si>
  <si>
    <t xml:space="preserve">all.in.cn .frt.amc.---</t>
  </si>
  <si>
    <t xml:space="preserve">CN code — Ammonia</t>
  </si>
  <si>
    <t xml:space="preserve">all.in.cn .frt.ure.---</t>
  </si>
  <si>
    <t xml:space="preserve">CN code — Urea</t>
  </si>
  <si>
    <t xml:space="preserve">all.in.cn .frt.nit.---</t>
  </si>
  <si>
    <t xml:space="preserve">CN code — Ammonium nitrate</t>
  </si>
  <si>
    <t xml:space="preserve">all.in.cn .alu.prp.---</t>
  </si>
  <si>
    <t xml:space="preserve">CN code — Primary aluminium</t>
  </si>
  <si>
    <t xml:space="preserve">8. New aggregate entities — stl.oth and frt.otn benchmarks/constants</t>
  </si>
  <si>
    <t xml:space="preserve">all.in.bnk.stl.oth.---</t>
  </si>
  <si>
    <t xml:space="preserve">oth</t>
  </si>
  <si>
    <t xml:space="preserve">CBAM benchmark — Other iron &amp; steel products</t>
  </si>
  <si>
    <t xml:space="preserve">tCO2/t product</t>
  </si>
  <si>
    <t xml:space="preserve">Blended volume-weighted benchmark across constituent CN codes.</t>
  </si>
  <si>
    <t xml:space="preserve">IR 2025/2621 + derived</t>
  </si>
  <si>
    <t xml:space="preserve">all.in.dfv.stl.oth.---</t>
  </si>
  <si>
    <t xml:space="preserve">EU default intensity — Other iron &amp; steel products</t>
  </si>
  <si>
    <t xml:space="preserve">~20% above blended benchmark.</t>
  </si>
  <si>
    <t xml:space="preserve">Derived</t>
  </si>
  <si>
    <t xml:space="preserve">all.in.ppx.stl.oth.---</t>
  </si>
  <si>
    <t xml:space="preserve">Product price — Other iron &amp; steel products</t>
  </si>
  <si>
    <t xml:space="preserve">Reference price.</t>
  </si>
  <si>
    <t xml:space="preserve">all.in.cs2.stl.oth.---</t>
  </si>
  <si>
    <t xml:space="preserve">CBAM S2 in scope — Other iron &amp; steel products</t>
  </si>
  <si>
    <t xml:space="preserve">1 = Annex II includes indirect (fertilisers); 0 = direct only.</t>
  </si>
  <si>
    <t xml:space="preserve">all.in.nh3.stl.oth.---</t>
  </si>
  <si>
    <t xml:space="preserve">NH3 feedstock factor — Other iron &amp; steel products</t>
  </si>
  <si>
    <t xml:space="preserve">0 for these aggregate entities (chain already embedded in blended benchmark).</t>
  </si>
  <si>
    <t xml:space="preserve">Model convention</t>
  </si>
  <si>
    <t xml:space="preserve">all.in.bnk.frt.otn.---</t>
  </si>
  <si>
    <t xml:space="preserve">otn</t>
  </si>
  <si>
    <t xml:space="preserve">CBAM benchmark — Other nitrogen fertilisers</t>
  </si>
  <si>
    <t xml:space="preserve">tCO2/t N</t>
  </si>
  <si>
    <t xml:space="preserve">all.in.dfv.frt.otn.---</t>
  </si>
  <si>
    <t xml:space="preserve">EU default intensity — Other nitrogen fertilisers</t>
  </si>
  <si>
    <t xml:space="preserve">all.in.ppx.frt.otn.---</t>
  </si>
  <si>
    <t xml:space="preserve">Product price — Other nitrogen fertilisers</t>
  </si>
  <si>
    <t xml:space="preserve">USD/t N</t>
  </si>
  <si>
    <t xml:space="preserve">all.in.cs2.frt.otn.---</t>
  </si>
  <si>
    <t xml:space="preserve">CBAM S2 in scope — Other nitrogen fertilisers</t>
  </si>
  <si>
    <t xml:space="preserve">all.in.nh3.frt.otn.---</t>
  </si>
  <si>
    <t xml:space="preserve">NH3 feedstock factor — Other nitrogen fertilisers</t>
  </si>
  <si>
    <t xml:space="preserve">all.in.mrv.stl.oth.---</t>
  </si>
  <si>
    <t xml:space="preserve">MRV flag — Other iron &amp; steel products</t>
  </si>
  <si>
    <t xml:space="preserve">Edit on dashboard.</t>
  </si>
  <si>
    <t xml:space="preserve">all.in.mrv.frt.otn.---</t>
  </si>
  <si>
    <t xml:space="preserve">MRV flag — Other nitrogen fertilisers</t>
  </si>
  <si>
    <t xml:space="preserve">9. CN codes for new entities</t>
  </si>
  <si>
    <t xml:space="preserve">all.in.cn .stl.oth.---</t>
  </si>
  <si>
    <t xml:space="preserve">CN code — Other iron &amp; steel products</t>
  </si>
  <si>
    <t xml:space="preserve">EU CN codes (CBAM Annex I)</t>
  </si>
  <si>
    <t xml:space="preserve">7201/7202/7203/2601/7218</t>
  </si>
  <si>
    <t xml:space="preserve">Various iron &amp; steel precursors and upstream intermediates</t>
  </si>
  <si>
    <t xml:space="preserve">Mixed — pig iron, ferroalloys, DRI, sintered ore, stainless</t>
  </si>
  <si>
    <t xml:space="preserve">all.in.cn .frt.otn.---</t>
  </si>
  <si>
    <t xml:space="preserve">CN code — Other nitrogen fertilisers</t>
  </si>
  <si>
    <t xml:space="preserve">31022100/31028000/3105</t>
  </si>
  <si>
    <t xml:space="preserve">Ammonium sulphate, UAN solution, NPK/N compound fertilisers (N fraction)</t>
  </si>
  <si>
    <t xml:space="preserve">10. Country-entity data for stl.oth and frt.otn</t>
  </si>
  <si>
    <t xml:space="preserve">egy.in.prb.stl.oth.---</t>
  </si>
  <si>
    <t xml:space="preserve">Egypt Other iron &amp; steel products — base production</t>
  </si>
  <si>
    <t xml:space="preserve">2024 base production (Mt).</t>
  </si>
  <si>
    <t xml:space="preserve">Industry data / estimates</t>
  </si>
  <si>
    <t xml:space="preserve">egy.in.els.stl.oth.---</t>
  </si>
  <si>
    <t xml:space="preserve">Egypt Other iron &amp; steel products — elasticity</t>
  </si>
  <si>
    <t xml:space="preserve">egy.in.ext.stl.oth.---</t>
  </si>
  <si>
    <t xml:space="preserve">Egypt Other iron &amp; steel products — export share total</t>
  </si>
  <si>
    <t xml:space="preserve">egy.in.exe.stl.oth.---</t>
  </si>
  <si>
    <t xml:space="preserve">Egypt Other iron &amp; steel products — EU export share</t>
  </si>
  <si>
    <t xml:space="preserve">egy.in.imp.stl.oth.---</t>
  </si>
  <si>
    <t xml:space="preserve">Egypt Other iron &amp; steel products — import share</t>
  </si>
  <si>
    <t xml:space="preserve">egy.in.enc.stl.oth.coa</t>
  </si>
  <si>
    <t xml:space="preserve">Egypt Other iron &amp; steel products — Coal (cmb)</t>
  </si>
  <si>
    <t xml:space="preserve">Combustion intensity per tonne of unit.</t>
  </si>
  <si>
    <t xml:space="preserve">egy.in.enc.stl.oth.nga</t>
  </si>
  <si>
    <t xml:space="preserve">Egypt Other iron &amp; steel products — Natural gas (cmb)</t>
  </si>
  <si>
    <t xml:space="preserve">egy.in.enc.stl.oth.gso</t>
  </si>
  <si>
    <t xml:space="preserve">Egypt Other iron &amp; steel products — Gasoline (cmb)</t>
  </si>
  <si>
    <t xml:space="preserve">egy.in.enc.stl.oth.die</t>
  </si>
  <si>
    <t xml:space="preserve">Egypt Other iron &amp; steel products — Diesel (cmb)</t>
  </si>
  <si>
    <t xml:space="preserve">egy.in.enc.stl.oth.ker</t>
  </si>
  <si>
    <t xml:space="preserve">Egypt Other iron &amp; steel products — Kerosene (cmb)</t>
  </si>
  <si>
    <t xml:space="preserve">egy.in.enc.stl.oth.lpg</t>
  </si>
  <si>
    <t xml:space="preserve">Egypt Other iron &amp; steel products — LPG (cmb)</t>
  </si>
  <si>
    <t xml:space="preserve">egy.in.enc.stl.oth.bio</t>
  </si>
  <si>
    <t xml:space="preserve">Egypt Other iron &amp; steel products — Biomass (cmb)</t>
  </si>
  <si>
    <t xml:space="preserve">egy.in.enc.stl.oth.ren</t>
  </si>
  <si>
    <t xml:space="preserve">Egypt Other iron &amp; steel products — Self-gen renewables (cmb)</t>
  </si>
  <si>
    <t xml:space="preserve">egy.in.enp.stl.oth.coa</t>
  </si>
  <si>
    <t xml:space="preserve">Egypt Other iron &amp; steel products — Coal (prc)</t>
  </si>
  <si>
    <t xml:space="preserve">egy.in.enp.stl.oth.nga</t>
  </si>
  <si>
    <t xml:space="preserve">Egypt Other iron &amp; steel products — Natural gas (prc)</t>
  </si>
  <si>
    <t xml:space="preserve">egy.in.enp.stl.oth.gso</t>
  </si>
  <si>
    <t xml:space="preserve">Egypt Other iron &amp; steel products — Gasoline (prc)</t>
  </si>
  <si>
    <t xml:space="preserve">egy.in.enp.stl.oth.die</t>
  </si>
  <si>
    <t xml:space="preserve">Egypt Other iron &amp; steel products — Diesel (prc)</t>
  </si>
  <si>
    <t xml:space="preserve">egy.in.enp.stl.oth.ker</t>
  </si>
  <si>
    <t xml:space="preserve">Egypt Other iron &amp; steel products — Kerosene (prc)</t>
  </si>
  <si>
    <t xml:space="preserve">egy.in.enp.stl.oth.lpg</t>
  </si>
  <si>
    <t xml:space="preserve">Egypt Other iron &amp; steel products — LPG (prc)</t>
  </si>
  <si>
    <t xml:space="preserve">egy.in.enp.stl.oth.bio</t>
  </si>
  <si>
    <t xml:space="preserve">Egypt Other iron &amp; steel products — Biomass (prc)</t>
  </si>
  <si>
    <t xml:space="preserve">egy.in.enp.stl.oth.ren</t>
  </si>
  <si>
    <t xml:space="preserve">Egypt Other iron &amp; steel products — Self-gen renewables (prc)</t>
  </si>
  <si>
    <t xml:space="preserve">egy.in.ele.stl.oth.elc</t>
  </si>
  <si>
    <t xml:space="preserve">Egypt Other iron &amp; steel products — electricity</t>
  </si>
  <si>
    <t xml:space="preserve">egy.in.efn.stl.oth.---</t>
  </si>
  <si>
    <t xml:space="preserve">Egypt Other iron &amp; steel products — non-fuel process EF</t>
  </si>
  <si>
    <t xml:space="preserve">egy.in.efo.stl.oth.---</t>
  </si>
  <si>
    <t xml:space="preserve">Egypt Other iron &amp; steel products — non-CO2 GHG EF</t>
  </si>
  <si>
    <t xml:space="preserve">alb.in.prb.stl.oth.---</t>
  </si>
  <si>
    <t xml:space="preserve">Albania Other iron &amp; steel products — base production</t>
  </si>
  <si>
    <t xml:space="preserve">alb.in.els.stl.oth.---</t>
  </si>
  <si>
    <t xml:space="preserve">Albania Other iron &amp; steel products — elasticity</t>
  </si>
  <si>
    <t xml:space="preserve">alb.in.ext.stl.oth.---</t>
  </si>
  <si>
    <t xml:space="preserve">Albania Other iron &amp; steel products — export share total</t>
  </si>
  <si>
    <t xml:space="preserve">alb.in.exe.stl.oth.---</t>
  </si>
  <si>
    <t xml:space="preserve">Albania Other iron &amp; steel products — EU export share</t>
  </si>
  <si>
    <t xml:space="preserve">alb.in.imp.stl.oth.---</t>
  </si>
  <si>
    <t xml:space="preserve">Albania Other iron &amp; steel products — import share</t>
  </si>
  <si>
    <t xml:space="preserve">alb.in.enc.stl.oth.coa</t>
  </si>
  <si>
    <t xml:space="preserve">Albania Other iron &amp; steel products — Coal (cmb)</t>
  </si>
  <si>
    <t xml:space="preserve">alb.in.enc.stl.oth.nga</t>
  </si>
  <si>
    <t xml:space="preserve">Albania Other iron &amp; steel products — Natural gas (cmb)</t>
  </si>
  <si>
    <t xml:space="preserve">alb.in.enc.stl.oth.gso</t>
  </si>
  <si>
    <t xml:space="preserve">Albania Other iron &amp; steel products — Gasoline (cmb)</t>
  </si>
  <si>
    <t xml:space="preserve">alb.in.enc.stl.oth.die</t>
  </si>
  <si>
    <t xml:space="preserve">Albania Other iron &amp; steel products — Diesel (cmb)</t>
  </si>
  <si>
    <t xml:space="preserve">alb.in.enc.stl.oth.ker</t>
  </si>
  <si>
    <t xml:space="preserve">Albania Other iron &amp; steel products — Kerosene (cmb)</t>
  </si>
  <si>
    <t xml:space="preserve">alb.in.enc.stl.oth.lpg</t>
  </si>
  <si>
    <t xml:space="preserve">Albania Other iron &amp; steel products — LPG (cmb)</t>
  </si>
  <si>
    <t xml:space="preserve">alb.in.enc.stl.oth.bio</t>
  </si>
  <si>
    <t xml:space="preserve">Albania Other iron &amp; steel products — Biomass (cmb)</t>
  </si>
  <si>
    <t xml:space="preserve">alb.in.enc.stl.oth.ren</t>
  </si>
  <si>
    <t xml:space="preserve">Albania Other iron &amp; steel products — Self-gen renewables (cmb)</t>
  </si>
  <si>
    <t xml:space="preserve">alb.in.enp.stl.oth.coa</t>
  </si>
  <si>
    <t xml:space="preserve">Albania Other iron &amp; steel products — Coal (prc)</t>
  </si>
  <si>
    <t xml:space="preserve">alb.in.enp.stl.oth.nga</t>
  </si>
  <si>
    <t xml:space="preserve">Albania Other iron &amp; steel products — Natural gas (prc)</t>
  </si>
  <si>
    <t xml:space="preserve">alb.in.enp.stl.oth.gso</t>
  </si>
  <si>
    <t xml:space="preserve">Albania Other iron &amp; steel products — Gasoline (prc)</t>
  </si>
  <si>
    <t xml:space="preserve">alb.in.enp.stl.oth.die</t>
  </si>
  <si>
    <t xml:space="preserve">Albania Other iron &amp; steel products — Diesel (prc)</t>
  </si>
  <si>
    <t xml:space="preserve">alb.in.enp.stl.oth.ker</t>
  </si>
  <si>
    <t xml:space="preserve">Albania Other iron &amp; steel products — Kerosene (prc)</t>
  </si>
  <si>
    <t xml:space="preserve">alb.in.enp.stl.oth.lpg</t>
  </si>
  <si>
    <t xml:space="preserve">Albania Other iron &amp; steel products — LPG (prc)</t>
  </si>
  <si>
    <t xml:space="preserve">alb.in.enp.stl.oth.bio</t>
  </si>
  <si>
    <t xml:space="preserve">Albania Other iron &amp; steel products — Biomass (prc)</t>
  </si>
  <si>
    <t xml:space="preserve">alb.in.enp.stl.oth.ren</t>
  </si>
  <si>
    <t xml:space="preserve">Albania Other iron &amp; steel products — Self-gen renewables (prc)</t>
  </si>
  <si>
    <t xml:space="preserve">alb.in.ele.stl.oth.elc</t>
  </si>
  <si>
    <t xml:space="preserve">Albania Other iron &amp; steel products — electricity</t>
  </si>
  <si>
    <t xml:space="preserve">alb.in.efn.stl.oth.---</t>
  </si>
  <si>
    <t xml:space="preserve">Albania Other iron &amp; steel products — non-fuel process EF</t>
  </si>
  <si>
    <t xml:space="preserve">alb.in.efo.stl.oth.---</t>
  </si>
  <si>
    <t xml:space="preserve">Albania Other iron &amp; steel products — non-CO2 GHG EF</t>
  </si>
  <si>
    <t xml:space="preserve">uzb.in.prb.stl.oth.---</t>
  </si>
  <si>
    <t xml:space="preserve">Uzbekistan Other iron &amp; steel products — base production</t>
  </si>
  <si>
    <t xml:space="preserve">uzb.in.els.stl.oth.---</t>
  </si>
  <si>
    <t xml:space="preserve">Uzbekistan Other iron &amp; steel products — elasticity</t>
  </si>
  <si>
    <t xml:space="preserve">uzb.in.ext.stl.oth.---</t>
  </si>
  <si>
    <t xml:space="preserve">Uzbekistan Other iron &amp; steel products — export share total</t>
  </si>
  <si>
    <t xml:space="preserve">uzb.in.exe.stl.oth.---</t>
  </si>
  <si>
    <t xml:space="preserve">Uzbekistan Other iron &amp; steel products — EU export share</t>
  </si>
  <si>
    <t xml:space="preserve">uzb.in.imp.stl.oth.---</t>
  </si>
  <si>
    <t xml:space="preserve">Uzbekistan Other iron &amp; steel products — import share</t>
  </si>
  <si>
    <t xml:space="preserve">uzb.in.enc.stl.oth.coa</t>
  </si>
  <si>
    <t xml:space="preserve">Uzbekistan Other iron &amp; steel products — Coal (cmb)</t>
  </si>
  <si>
    <t xml:space="preserve">uzb.in.enc.stl.oth.nga</t>
  </si>
  <si>
    <t xml:space="preserve">Uzbekistan Other iron &amp; steel products — Natural gas (cmb)</t>
  </si>
  <si>
    <t xml:space="preserve">uzb.in.enc.stl.oth.gso</t>
  </si>
  <si>
    <t xml:space="preserve">Uzbekistan Other iron &amp; steel products — Gasoline (cmb)</t>
  </si>
  <si>
    <t xml:space="preserve">uzb.in.enc.stl.oth.die</t>
  </si>
  <si>
    <t xml:space="preserve">Uzbekistan Other iron &amp; steel products — Diesel (cmb)</t>
  </si>
  <si>
    <t xml:space="preserve">uzb.in.enc.stl.oth.ker</t>
  </si>
  <si>
    <t xml:space="preserve">Uzbekistan Other iron &amp; steel products — Kerosene (cmb)</t>
  </si>
  <si>
    <t xml:space="preserve">uzb.in.enc.stl.oth.lpg</t>
  </si>
  <si>
    <t xml:space="preserve">Uzbekistan Other iron &amp; steel products — LPG (cmb)</t>
  </si>
  <si>
    <t xml:space="preserve">uzb.in.enc.stl.oth.bio</t>
  </si>
  <si>
    <t xml:space="preserve">Uzbekistan Other iron &amp; steel products — Biomass (cmb)</t>
  </si>
  <si>
    <t xml:space="preserve">uzb.in.enc.stl.oth.ren</t>
  </si>
  <si>
    <t xml:space="preserve">Uzbekistan Other iron &amp; steel products — Self-gen renewables (cmb)</t>
  </si>
  <si>
    <t xml:space="preserve">uzb.in.enp.stl.oth.coa</t>
  </si>
  <si>
    <t xml:space="preserve">Uzbekistan Other iron &amp; steel products — Coal (prc)</t>
  </si>
  <si>
    <t xml:space="preserve">uzb.in.enp.stl.oth.nga</t>
  </si>
  <si>
    <t xml:space="preserve">Uzbekistan Other iron &amp; steel products — Natural gas (prc)</t>
  </si>
  <si>
    <t xml:space="preserve">uzb.in.enp.stl.oth.gso</t>
  </si>
  <si>
    <t xml:space="preserve">Uzbekistan Other iron &amp; steel products — Gasoline (prc)</t>
  </si>
  <si>
    <t xml:space="preserve">uzb.in.enp.stl.oth.die</t>
  </si>
  <si>
    <t xml:space="preserve">Uzbekistan Other iron &amp; steel products — Diesel (prc)</t>
  </si>
  <si>
    <t xml:space="preserve">uzb.in.enp.stl.oth.ker</t>
  </si>
  <si>
    <t xml:space="preserve">Uzbekistan Other iron &amp; steel products — Kerosene (prc)</t>
  </si>
  <si>
    <t xml:space="preserve">uzb.in.enp.stl.oth.lpg</t>
  </si>
  <si>
    <t xml:space="preserve">Uzbekistan Other iron &amp; steel products — LPG (prc)</t>
  </si>
  <si>
    <t xml:space="preserve">uzb.in.enp.stl.oth.bio</t>
  </si>
  <si>
    <t xml:space="preserve">Uzbekistan Other iron &amp; steel products — Biomass (prc)</t>
  </si>
  <si>
    <t xml:space="preserve">uzb.in.enp.stl.oth.ren</t>
  </si>
  <si>
    <t xml:space="preserve">Uzbekistan Other iron &amp; steel products — Self-gen renewables (prc)</t>
  </si>
  <si>
    <t xml:space="preserve">uzb.in.ele.stl.oth.elc</t>
  </si>
  <si>
    <t xml:space="preserve">Uzbekistan Other iron &amp; steel products — electricity</t>
  </si>
  <si>
    <t xml:space="preserve">uzb.in.efn.stl.oth.---</t>
  </si>
  <si>
    <t xml:space="preserve">Uzbekistan Other iron &amp; steel products — non-fuel process EF</t>
  </si>
  <si>
    <t xml:space="preserve">uzb.in.efo.stl.oth.---</t>
  </si>
  <si>
    <t xml:space="preserve">Uzbekistan Other iron &amp; steel products — non-CO2 GHG EF</t>
  </si>
  <si>
    <t xml:space="preserve">aze.in.prb.stl.oth.---</t>
  </si>
  <si>
    <t xml:space="preserve">Azerbaijan Other iron &amp; steel products — base production</t>
  </si>
  <si>
    <t xml:space="preserve">aze.in.els.stl.oth.---</t>
  </si>
  <si>
    <t xml:space="preserve">Azerbaijan Other iron &amp; steel products — elasticity</t>
  </si>
  <si>
    <t xml:space="preserve">aze.in.ext.stl.oth.---</t>
  </si>
  <si>
    <t xml:space="preserve">Azerbaijan Other iron &amp; steel products — export share total</t>
  </si>
  <si>
    <t xml:space="preserve">aze.in.exe.stl.oth.---</t>
  </si>
  <si>
    <t xml:space="preserve">Azerbaijan Other iron &amp; steel products — EU export share</t>
  </si>
  <si>
    <t xml:space="preserve">aze.in.imp.stl.oth.---</t>
  </si>
  <si>
    <t xml:space="preserve">Azerbaijan Other iron &amp; steel products — import share</t>
  </si>
  <si>
    <t xml:space="preserve">aze.in.enc.stl.oth.coa</t>
  </si>
  <si>
    <t xml:space="preserve">Azerbaijan Other iron &amp; steel products — Coal (cmb)</t>
  </si>
  <si>
    <t xml:space="preserve">aze.in.enc.stl.oth.nga</t>
  </si>
  <si>
    <t xml:space="preserve">Azerbaijan Other iron &amp; steel products — Natural gas (cmb)</t>
  </si>
  <si>
    <t xml:space="preserve">aze.in.enc.stl.oth.gso</t>
  </si>
  <si>
    <t xml:space="preserve">Azerbaijan Other iron &amp; steel products — Gasoline (cmb)</t>
  </si>
  <si>
    <t xml:space="preserve">aze.in.enc.stl.oth.die</t>
  </si>
  <si>
    <t xml:space="preserve">Azerbaijan Other iron &amp; steel products — Diesel (cmb)</t>
  </si>
  <si>
    <t xml:space="preserve">aze.in.enc.stl.oth.ker</t>
  </si>
  <si>
    <t xml:space="preserve">Azerbaijan Other iron &amp; steel products — Kerosene (cmb)</t>
  </si>
  <si>
    <t xml:space="preserve">aze.in.enc.stl.oth.lpg</t>
  </si>
  <si>
    <t xml:space="preserve">Azerbaijan Other iron &amp; steel products — LPG (cmb)</t>
  </si>
  <si>
    <t xml:space="preserve">aze.in.enc.stl.oth.bio</t>
  </si>
  <si>
    <t xml:space="preserve">Azerbaijan Other iron &amp; steel products — Biomass (cmb)</t>
  </si>
  <si>
    <t xml:space="preserve">aze.in.enc.stl.oth.ren</t>
  </si>
  <si>
    <t xml:space="preserve">Azerbaijan Other iron &amp; steel products — Self-gen renewables (cmb)</t>
  </si>
  <si>
    <t xml:space="preserve">aze.in.enp.stl.oth.coa</t>
  </si>
  <si>
    <t xml:space="preserve">Azerbaijan Other iron &amp; steel products — Coal (prc)</t>
  </si>
  <si>
    <t xml:space="preserve">aze.in.enp.stl.oth.nga</t>
  </si>
  <si>
    <t xml:space="preserve">Azerbaijan Other iron &amp; steel products — Natural gas (prc)</t>
  </si>
  <si>
    <t xml:space="preserve">aze.in.enp.stl.oth.gso</t>
  </si>
  <si>
    <t xml:space="preserve">Azerbaijan Other iron &amp; steel products — Gasoline (prc)</t>
  </si>
  <si>
    <t xml:space="preserve">aze.in.enp.stl.oth.die</t>
  </si>
  <si>
    <t xml:space="preserve">Azerbaijan Other iron &amp; steel products — Diesel (prc)</t>
  </si>
  <si>
    <t xml:space="preserve">aze.in.enp.stl.oth.ker</t>
  </si>
  <si>
    <t xml:space="preserve">Azerbaijan Other iron &amp; steel products — Kerosene (prc)</t>
  </si>
  <si>
    <t xml:space="preserve">aze.in.enp.stl.oth.lpg</t>
  </si>
  <si>
    <t xml:space="preserve">Azerbaijan Other iron &amp; steel products — LPG (prc)</t>
  </si>
  <si>
    <t xml:space="preserve">aze.in.enp.stl.oth.bio</t>
  </si>
  <si>
    <t xml:space="preserve">Azerbaijan Other iron &amp; steel products — Biomass (prc)</t>
  </si>
  <si>
    <t xml:space="preserve">aze.in.enp.stl.oth.ren</t>
  </si>
  <si>
    <t xml:space="preserve">Azerbaijan Other iron &amp; steel products — Self-gen renewables (prc)</t>
  </si>
  <si>
    <t xml:space="preserve">aze.in.ele.stl.oth.elc</t>
  </si>
  <si>
    <t xml:space="preserve">Azerbaijan Other iron &amp; steel products — electricity</t>
  </si>
  <si>
    <t xml:space="preserve">aze.in.efn.stl.oth.---</t>
  </si>
  <si>
    <t xml:space="preserve">Azerbaijan Other iron &amp; steel products — non-fuel process EF</t>
  </si>
  <si>
    <t xml:space="preserve">aze.in.efo.stl.oth.---</t>
  </si>
  <si>
    <t xml:space="preserve">Azerbaijan Other iron &amp; steel products — non-CO2 GHG EF</t>
  </si>
  <si>
    <t xml:space="preserve">ind.in.prb.stl.oth.---</t>
  </si>
  <si>
    <t xml:space="preserve">India Other iron &amp; steel products — base production</t>
  </si>
  <si>
    <t xml:space="preserve">ind.in.els.stl.oth.---</t>
  </si>
  <si>
    <t xml:space="preserve">India Other iron &amp; steel products — elasticity</t>
  </si>
  <si>
    <t xml:space="preserve">ind.in.ext.stl.oth.---</t>
  </si>
  <si>
    <t xml:space="preserve">India Other iron &amp; steel products — export share total</t>
  </si>
  <si>
    <t xml:space="preserve">ind.in.exe.stl.oth.---</t>
  </si>
  <si>
    <t xml:space="preserve">India Other iron &amp; steel products — EU export share</t>
  </si>
  <si>
    <t xml:space="preserve">ind.in.imp.stl.oth.---</t>
  </si>
  <si>
    <t xml:space="preserve">India Other iron &amp; steel products — import share</t>
  </si>
  <si>
    <t xml:space="preserve">ind.in.enc.stl.oth.coa</t>
  </si>
  <si>
    <t xml:space="preserve">India Other iron &amp; steel products — Coal (cmb)</t>
  </si>
  <si>
    <t xml:space="preserve">ind.in.enc.stl.oth.nga</t>
  </si>
  <si>
    <t xml:space="preserve">India Other iron &amp; steel products — Natural gas (cmb)</t>
  </si>
  <si>
    <t xml:space="preserve">ind.in.enc.stl.oth.gso</t>
  </si>
  <si>
    <t xml:space="preserve">India Other iron &amp; steel products — Gasoline (cmb)</t>
  </si>
  <si>
    <t xml:space="preserve">ind.in.enc.stl.oth.die</t>
  </si>
  <si>
    <t xml:space="preserve">India Other iron &amp; steel products — Diesel (cmb)</t>
  </si>
  <si>
    <t xml:space="preserve">ind.in.enc.stl.oth.ker</t>
  </si>
  <si>
    <t xml:space="preserve">India Other iron &amp; steel products — Kerosene (cmb)</t>
  </si>
  <si>
    <t xml:space="preserve">ind.in.enc.stl.oth.lpg</t>
  </si>
  <si>
    <t xml:space="preserve">India Other iron &amp; steel products — LPG (cmb)</t>
  </si>
  <si>
    <t xml:space="preserve">ind.in.enc.stl.oth.bio</t>
  </si>
  <si>
    <t xml:space="preserve">India Other iron &amp; steel products — Biomass (cmb)</t>
  </si>
  <si>
    <t xml:space="preserve">ind.in.enc.stl.oth.ren</t>
  </si>
  <si>
    <t xml:space="preserve">India Other iron &amp; steel products — Self-gen renewables (cmb)</t>
  </si>
  <si>
    <t xml:space="preserve">ind.in.enp.stl.oth.coa</t>
  </si>
  <si>
    <t xml:space="preserve">India Other iron &amp; steel products — Coal (prc)</t>
  </si>
  <si>
    <t xml:space="preserve">ind.in.enp.stl.oth.nga</t>
  </si>
  <si>
    <t xml:space="preserve">India Other iron &amp; steel products — Natural gas (prc)</t>
  </si>
  <si>
    <t xml:space="preserve">ind.in.enp.stl.oth.gso</t>
  </si>
  <si>
    <t xml:space="preserve">India Other iron &amp; steel products — Gasoline (prc)</t>
  </si>
  <si>
    <t xml:space="preserve">ind.in.enp.stl.oth.die</t>
  </si>
  <si>
    <t xml:space="preserve">India Other iron &amp; steel products — Diesel (prc)</t>
  </si>
  <si>
    <t xml:space="preserve">ind.in.enp.stl.oth.ker</t>
  </si>
  <si>
    <t xml:space="preserve">India Other iron &amp; steel products — Kerosene (prc)</t>
  </si>
  <si>
    <t xml:space="preserve">ind.in.enp.stl.oth.lpg</t>
  </si>
  <si>
    <t xml:space="preserve">India Other iron &amp; steel products — LPG (prc)</t>
  </si>
  <si>
    <t xml:space="preserve">ind.in.enp.stl.oth.bio</t>
  </si>
  <si>
    <t xml:space="preserve">India Other iron &amp; steel products — Biomass (prc)</t>
  </si>
  <si>
    <t xml:space="preserve">ind.in.enp.stl.oth.ren</t>
  </si>
  <si>
    <t xml:space="preserve">India Other iron &amp; steel products — Self-gen renewables (prc)</t>
  </si>
  <si>
    <t xml:space="preserve">ind.in.ele.stl.oth.elc</t>
  </si>
  <si>
    <t xml:space="preserve">India Other iron &amp; steel products — electricity</t>
  </si>
  <si>
    <t xml:space="preserve">ind.in.efn.stl.oth.---</t>
  </si>
  <si>
    <t xml:space="preserve">India Other iron &amp; steel products — non-fuel process EF</t>
  </si>
  <si>
    <t xml:space="preserve">ind.in.efo.stl.oth.---</t>
  </si>
  <si>
    <t xml:space="preserve">India Other iron &amp; steel products — non-CO2 GHG EF</t>
  </si>
  <si>
    <t xml:space="preserve">egy.in.prb.frt.otn.---</t>
  </si>
  <si>
    <t xml:space="preserve">Egypt Other nitrogen fertilisers — base production</t>
  </si>
  <si>
    <t xml:space="preserve">Mt N</t>
  </si>
  <si>
    <t xml:space="preserve">2024 base production (Mt N).</t>
  </si>
  <si>
    <t xml:space="preserve">egy.in.els.frt.otn.---</t>
  </si>
  <si>
    <t xml:space="preserve">Egypt Other nitrogen fertilisers — elasticity</t>
  </si>
  <si>
    <t xml:space="preserve">egy.in.ext.frt.otn.---</t>
  </si>
  <si>
    <t xml:space="preserve">Egypt Other nitrogen fertilisers — export share total</t>
  </si>
  <si>
    <t xml:space="preserve">egy.in.exe.frt.otn.---</t>
  </si>
  <si>
    <t xml:space="preserve">Egypt Other nitrogen fertilisers — EU export share</t>
  </si>
  <si>
    <t xml:space="preserve">egy.in.imp.frt.otn.---</t>
  </si>
  <si>
    <t xml:space="preserve">Egypt Other nitrogen fertilisers — import share</t>
  </si>
  <si>
    <t xml:space="preserve">egy.in.enc.frt.otn.coa</t>
  </si>
  <si>
    <t xml:space="preserve">Egypt Other nitrogen fertilisers — Coal (cmb)</t>
  </si>
  <si>
    <t xml:space="preserve">GJ/t N</t>
  </si>
  <si>
    <t xml:space="preserve">egy.in.enc.frt.otn.nga</t>
  </si>
  <si>
    <t xml:space="preserve">Egypt Other nitrogen fertilisers — Natural gas (cmb)</t>
  </si>
  <si>
    <t xml:space="preserve">egy.in.enc.frt.otn.gso</t>
  </si>
  <si>
    <t xml:space="preserve">Egypt Other nitrogen fertilisers — Gasoline (cmb)</t>
  </si>
  <si>
    <t xml:space="preserve">egy.in.enc.frt.otn.die</t>
  </si>
  <si>
    <t xml:space="preserve">Egypt Other nitrogen fertilisers — Diesel (cmb)</t>
  </si>
  <si>
    <t xml:space="preserve">egy.in.enc.frt.otn.ker</t>
  </si>
  <si>
    <t xml:space="preserve">Egypt Other nitrogen fertilisers — Kerosene (cmb)</t>
  </si>
  <si>
    <t xml:space="preserve">egy.in.enc.frt.otn.lpg</t>
  </si>
  <si>
    <t xml:space="preserve">Egypt Other nitrogen fertilisers — LPG (cmb)</t>
  </si>
  <si>
    <t xml:space="preserve">egy.in.enc.frt.otn.bio</t>
  </si>
  <si>
    <t xml:space="preserve">Egypt Other nitrogen fertilisers — Biomass (cmb)</t>
  </si>
  <si>
    <t xml:space="preserve">egy.in.enc.frt.otn.ren</t>
  </si>
  <si>
    <t xml:space="preserve">Egypt Other nitrogen fertilisers — Self-gen renewables (cmb)</t>
  </si>
  <si>
    <t xml:space="preserve">egy.in.enp.frt.otn.coa</t>
  </si>
  <si>
    <t xml:space="preserve">Egypt Other nitrogen fertilisers — Coal (prc)</t>
  </si>
  <si>
    <t xml:space="preserve">egy.in.enp.frt.otn.nga</t>
  </si>
  <si>
    <t xml:space="preserve">Egypt Other nitrogen fertilisers — Natural gas (prc)</t>
  </si>
  <si>
    <t xml:space="preserve">egy.in.enp.frt.otn.gso</t>
  </si>
  <si>
    <t xml:space="preserve">Egypt Other nitrogen fertilisers — Gasoline (prc)</t>
  </si>
  <si>
    <t xml:space="preserve">egy.in.enp.frt.otn.die</t>
  </si>
  <si>
    <t xml:space="preserve">Egypt Other nitrogen fertilisers — Diesel (prc)</t>
  </si>
  <si>
    <t xml:space="preserve">egy.in.enp.frt.otn.ker</t>
  </si>
  <si>
    <t xml:space="preserve">Egypt Other nitrogen fertilisers — Kerosene (prc)</t>
  </si>
  <si>
    <t xml:space="preserve">egy.in.enp.frt.otn.lpg</t>
  </si>
  <si>
    <t xml:space="preserve">Egypt Other nitrogen fertilisers — LPG (prc)</t>
  </si>
  <si>
    <t xml:space="preserve">egy.in.enp.frt.otn.bio</t>
  </si>
  <si>
    <t xml:space="preserve">Egypt Other nitrogen fertilisers — Biomass (prc)</t>
  </si>
  <si>
    <t xml:space="preserve">egy.in.enp.frt.otn.ren</t>
  </si>
  <si>
    <t xml:space="preserve">Egypt Other nitrogen fertilisers — Self-gen renewables (prc)</t>
  </si>
  <si>
    <t xml:space="preserve">egy.in.ele.frt.otn.elc</t>
  </si>
  <si>
    <t xml:space="preserve">Egypt Other nitrogen fertilisers — electricity</t>
  </si>
  <si>
    <t xml:space="preserve">egy.in.efn.frt.otn.---</t>
  </si>
  <si>
    <t xml:space="preserve">Egypt Other nitrogen fertilisers — non-fuel process EF</t>
  </si>
  <si>
    <t xml:space="preserve">egy.in.efo.frt.otn.---</t>
  </si>
  <si>
    <t xml:space="preserve">Egypt Other nitrogen fertilisers — non-CO2 GHG EF</t>
  </si>
  <si>
    <t xml:space="preserve">alb.in.prb.frt.otn.---</t>
  </si>
  <si>
    <t xml:space="preserve">Albania Other nitrogen fertilisers — base production</t>
  </si>
  <si>
    <t xml:space="preserve">alb.in.els.frt.otn.---</t>
  </si>
  <si>
    <t xml:space="preserve">Albania Other nitrogen fertilisers — elasticity</t>
  </si>
  <si>
    <t xml:space="preserve">alb.in.ext.frt.otn.---</t>
  </si>
  <si>
    <t xml:space="preserve">Albania Other nitrogen fertilisers — export share total</t>
  </si>
  <si>
    <t xml:space="preserve">alb.in.exe.frt.otn.---</t>
  </si>
  <si>
    <t xml:space="preserve">Albania Other nitrogen fertilisers — EU export share</t>
  </si>
  <si>
    <t xml:space="preserve">alb.in.imp.frt.otn.---</t>
  </si>
  <si>
    <t xml:space="preserve">Albania Other nitrogen fertilisers — import share</t>
  </si>
  <si>
    <t xml:space="preserve">alb.in.enc.frt.otn.coa</t>
  </si>
  <si>
    <t xml:space="preserve">Albania Other nitrogen fertilisers — Coal (cmb)</t>
  </si>
  <si>
    <t xml:space="preserve">alb.in.enc.frt.otn.nga</t>
  </si>
  <si>
    <t xml:space="preserve">Albania Other nitrogen fertilisers — Natural gas (cmb)</t>
  </si>
  <si>
    <t xml:space="preserve">alb.in.enc.frt.otn.gso</t>
  </si>
  <si>
    <t xml:space="preserve">Albania Other nitrogen fertilisers — Gasoline (cmb)</t>
  </si>
  <si>
    <t xml:space="preserve">alb.in.enc.frt.otn.die</t>
  </si>
  <si>
    <t xml:space="preserve">Albania Other nitrogen fertilisers — Diesel (cmb)</t>
  </si>
  <si>
    <t xml:space="preserve">alb.in.enc.frt.otn.ker</t>
  </si>
  <si>
    <t xml:space="preserve">Albania Other nitrogen fertilisers — Kerosene (cmb)</t>
  </si>
  <si>
    <t xml:space="preserve">alb.in.enc.frt.otn.lpg</t>
  </si>
  <si>
    <t xml:space="preserve">Albania Other nitrogen fertilisers — LPG (cmb)</t>
  </si>
  <si>
    <t xml:space="preserve">alb.in.enc.frt.otn.bio</t>
  </si>
  <si>
    <t xml:space="preserve">Albania Other nitrogen fertilisers — Biomass (cmb)</t>
  </si>
  <si>
    <t xml:space="preserve">alb.in.enc.frt.otn.ren</t>
  </si>
  <si>
    <t xml:space="preserve">Albania Other nitrogen fertilisers — Self-gen renewables (cmb)</t>
  </si>
  <si>
    <t xml:space="preserve">alb.in.enp.frt.otn.coa</t>
  </si>
  <si>
    <t xml:space="preserve">Albania Other nitrogen fertilisers — Coal (prc)</t>
  </si>
  <si>
    <t xml:space="preserve">alb.in.enp.frt.otn.nga</t>
  </si>
  <si>
    <t xml:space="preserve">Albania Other nitrogen fertilisers — Natural gas (prc)</t>
  </si>
  <si>
    <t xml:space="preserve">alb.in.enp.frt.otn.gso</t>
  </si>
  <si>
    <t xml:space="preserve">Albania Other nitrogen fertilisers — Gasoline (prc)</t>
  </si>
  <si>
    <t xml:space="preserve">alb.in.enp.frt.otn.die</t>
  </si>
  <si>
    <t xml:space="preserve">Albania Other nitrogen fertilisers — Diesel (prc)</t>
  </si>
  <si>
    <t xml:space="preserve">alb.in.enp.frt.otn.ker</t>
  </si>
  <si>
    <t xml:space="preserve">Albania Other nitrogen fertilisers — Kerosene (prc)</t>
  </si>
  <si>
    <t xml:space="preserve">alb.in.enp.frt.otn.lpg</t>
  </si>
  <si>
    <t xml:space="preserve">Albania Other nitrogen fertilisers — LPG (prc)</t>
  </si>
  <si>
    <t xml:space="preserve">alb.in.enp.frt.otn.bio</t>
  </si>
  <si>
    <t xml:space="preserve">Albania Other nitrogen fertilisers — Biomass (prc)</t>
  </si>
  <si>
    <t xml:space="preserve">alb.in.enp.frt.otn.ren</t>
  </si>
  <si>
    <t xml:space="preserve">Albania Other nitrogen fertilisers — Self-gen renewables (prc)</t>
  </si>
  <si>
    <t xml:space="preserve">alb.in.ele.frt.otn.elc</t>
  </si>
  <si>
    <t xml:space="preserve">Albania Other nitrogen fertilisers — electricity</t>
  </si>
  <si>
    <t xml:space="preserve">alb.in.efn.frt.otn.---</t>
  </si>
  <si>
    <t xml:space="preserve">Albania Other nitrogen fertilisers — non-fuel process EF</t>
  </si>
  <si>
    <t xml:space="preserve">alb.in.efo.frt.otn.---</t>
  </si>
  <si>
    <t xml:space="preserve">Albania Other nitrogen fertilisers — non-CO2 GHG EF</t>
  </si>
  <si>
    <t xml:space="preserve">uzb.in.prb.frt.otn.---</t>
  </si>
  <si>
    <t xml:space="preserve">Uzbekistan Other nitrogen fertilisers — base production</t>
  </si>
  <si>
    <t xml:space="preserve">uzb.in.els.frt.otn.---</t>
  </si>
  <si>
    <t xml:space="preserve">Uzbekistan Other nitrogen fertilisers — elasticity</t>
  </si>
  <si>
    <t xml:space="preserve">uzb.in.ext.frt.otn.---</t>
  </si>
  <si>
    <t xml:space="preserve">Uzbekistan Other nitrogen fertilisers — export share total</t>
  </si>
  <si>
    <t xml:space="preserve">uzb.in.exe.frt.otn.---</t>
  </si>
  <si>
    <t xml:space="preserve">Uzbekistan Other nitrogen fertilisers — EU export share</t>
  </si>
  <si>
    <t xml:space="preserve">uzb.in.imp.frt.otn.---</t>
  </si>
  <si>
    <t xml:space="preserve">Uzbekistan Other nitrogen fertilisers — import share</t>
  </si>
  <si>
    <t xml:space="preserve">uzb.in.enc.frt.otn.coa</t>
  </si>
  <si>
    <t xml:space="preserve">Uzbekistan Other nitrogen fertilisers — Coal (cmb)</t>
  </si>
  <si>
    <t xml:space="preserve">uzb.in.enc.frt.otn.nga</t>
  </si>
  <si>
    <t xml:space="preserve">Uzbekistan Other nitrogen fertilisers — Natural gas (cmb)</t>
  </si>
  <si>
    <t xml:space="preserve">uzb.in.enc.frt.otn.gso</t>
  </si>
  <si>
    <t xml:space="preserve">Uzbekistan Other nitrogen fertilisers — Gasoline (cmb)</t>
  </si>
  <si>
    <t xml:space="preserve">uzb.in.enc.frt.otn.die</t>
  </si>
  <si>
    <t xml:space="preserve">Uzbekistan Other nitrogen fertilisers — Diesel (cmb)</t>
  </si>
  <si>
    <t xml:space="preserve">uzb.in.enc.frt.otn.ker</t>
  </si>
  <si>
    <t xml:space="preserve">Uzbekistan Other nitrogen fertilisers — Kerosene (cmb)</t>
  </si>
  <si>
    <t xml:space="preserve">uzb.in.enc.frt.otn.lpg</t>
  </si>
  <si>
    <t xml:space="preserve">Uzbekistan Other nitrogen fertilisers — LPG (cmb)</t>
  </si>
  <si>
    <t xml:space="preserve">uzb.in.enc.frt.otn.bio</t>
  </si>
  <si>
    <t xml:space="preserve">Uzbekistan Other nitrogen fertilisers — Biomass (cmb)</t>
  </si>
  <si>
    <t xml:space="preserve">uzb.in.enc.frt.otn.ren</t>
  </si>
  <si>
    <t xml:space="preserve">Uzbekistan Other nitrogen fertilisers — Self-gen renewables (cmb)</t>
  </si>
  <si>
    <t xml:space="preserve">uzb.in.enp.frt.otn.coa</t>
  </si>
  <si>
    <t xml:space="preserve">Uzbekistan Other nitrogen fertilisers — Coal (prc)</t>
  </si>
  <si>
    <t xml:space="preserve">uzb.in.enp.frt.otn.nga</t>
  </si>
  <si>
    <t xml:space="preserve">Uzbekistan Other nitrogen fertilisers — Natural gas (prc)</t>
  </si>
  <si>
    <t xml:space="preserve">uzb.in.enp.frt.otn.gso</t>
  </si>
  <si>
    <t xml:space="preserve">Uzbekistan Other nitrogen fertilisers — Gasoline (prc)</t>
  </si>
  <si>
    <t xml:space="preserve">uzb.in.enp.frt.otn.die</t>
  </si>
  <si>
    <t xml:space="preserve">Uzbekistan Other nitrogen fertilisers — Diesel (prc)</t>
  </si>
  <si>
    <t xml:space="preserve">uzb.in.enp.frt.otn.ker</t>
  </si>
  <si>
    <t xml:space="preserve">Uzbekistan Other nitrogen fertilisers — Kerosene (prc)</t>
  </si>
  <si>
    <t xml:space="preserve">uzb.in.enp.frt.otn.lpg</t>
  </si>
  <si>
    <t xml:space="preserve">Uzbekistan Other nitrogen fertilisers — LPG (prc)</t>
  </si>
  <si>
    <t xml:space="preserve">uzb.in.enp.frt.otn.bio</t>
  </si>
  <si>
    <t xml:space="preserve">Uzbekistan Other nitrogen fertilisers — Biomass (prc)</t>
  </si>
  <si>
    <t xml:space="preserve">uzb.in.enp.frt.otn.ren</t>
  </si>
  <si>
    <t xml:space="preserve">Uzbekistan Other nitrogen fertilisers — Self-gen renewables (prc)</t>
  </si>
  <si>
    <t xml:space="preserve">uzb.in.ele.frt.otn.elc</t>
  </si>
  <si>
    <t xml:space="preserve">Uzbekistan Other nitrogen fertilisers — electricity</t>
  </si>
  <si>
    <t xml:space="preserve">uzb.in.efn.frt.otn.---</t>
  </si>
  <si>
    <t xml:space="preserve">Uzbekistan Other nitrogen fertilisers — non-fuel process EF</t>
  </si>
  <si>
    <t xml:space="preserve">uzb.in.efo.frt.otn.---</t>
  </si>
  <si>
    <t xml:space="preserve">Uzbekistan Other nitrogen fertilisers — non-CO2 GHG EF</t>
  </si>
  <si>
    <t xml:space="preserve">aze.in.prb.frt.otn.---</t>
  </si>
  <si>
    <t xml:space="preserve">Azerbaijan Other nitrogen fertilisers — base production</t>
  </si>
  <si>
    <t xml:space="preserve">aze.in.els.frt.otn.---</t>
  </si>
  <si>
    <t xml:space="preserve">Azerbaijan Other nitrogen fertilisers — elasticity</t>
  </si>
  <si>
    <t xml:space="preserve">aze.in.ext.frt.otn.---</t>
  </si>
  <si>
    <t xml:space="preserve">Azerbaijan Other nitrogen fertilisers — export share total</t>
  </si>
  <si>
    <t xml:space="preserve">aze.in.exe.frt.otn.---</t>
  </si>
  <si>
    <t xml:space="preserve">Azerbaijan Other nitrogen fertilisers — EU export share</t>
  </si>
  <si>
    <t xml:space="preserve">aze.in.imp.frt.otn.---</t>
  </si>
  <si>
    <t xml:space="preserve">Azerbaijan Other nitrogen fertilisers — import share</t>
  </si>
  <si>
    <t xml:space="preserve">aze.in.enc.frt.otn.coa</t>
  </si>
  <si>
    <t xml:space="preserve">Azerbaijan Other nitrogen fertilisers — Coal (cmb)</t>
  </si>
  <si>
    <t xml:space="preserve">aze.in.enc.frt.otn.nga</t>
  </si>
  <si>
    <t xml:space="preserve">Azerbaijan Other nitrogen fertilisers — Natural gas (cmb)</t>
  </si>
  <si>
    <t xml:space="preserve">aze.in.enc.frt.otn.gso</t>
  </si>
  <si>
    <t xml:space="preserve">Azerbaijan Other nitrogen fertilisers — Gasoline (cmb)</t>
  </si>
  <si>
    <t xml:space="preserve">aze.in.enc.frt.otn.die</t>
  </si>
  <si>
    <t xml:space="preserve">Azerbaijan Other nitrogen fertilisers — Diesel (cmb)</t>
  </si>
  <si>
    <t xml:space="preserve">aze.in.enc.frt.otn.ker</t>
  </si>
  <si>
    <t xml:space="preserve">Azerbaijan Other nitrogen fertilisers — Kerosene (cmb)</t>
  </si>
  <si>
    <t xml:space="preserve">aze.in.enc.frt.otn.lpg</t>
  </si>
  <si>
    <t xml:space="preserve">Azerbaijan Other nitrogen fertilisers — LPG (cmb)</t>
  </si>
  <si>
    <t xml:space="preserve">aze.in.enc.frt.otn.bio</t>
  </si>
  <si>
    <t xml:space="preserve">Azerbaijan Other nitrogen fertilisers — Biomass (cmb)</t>
  </si>
  <si>
    <t xml:space="preserve">aze.in.enc.frt.otn.ren</t>
  </si>
  <si>
    <t xml:space="preserve">Azerbaijan Other nitrogen fertilisers — Self-gen renewables (cmb)</t>
  </si>
  <si>
    <t xml:space="preserve">aze.in.enp.frt.otn.coa</t>
  </si>
  <si>
    <t xml:space="preserve">Azerbaijan Other nitrogen fertilisers — Coal (prc)</t>
  </si>
  <si>
    <t xml:space="preserve">aze.in.enp.frt.otn.nga</t>
  </si>
  <si>
    <t xml:space="preserve">Azerbaijan Other nitrogen fertilisers — Natural gas (prc)</t>
  </si>
  <si>
    <t xml:space="preserve">aze.in.enp.frt.otn.gso</t>
  </si>
  <si>
    <t xml:space="preserve">Azerbaijan Other nitrogen fertilisers — Gasoline (prc)</t>
  </si>
  <si>
    <t xml:space="preserve">aze.in.enp.frt.otn.die</t>
  </si>
  <si>
    <t xml:space="preserve">Azerbaijan Other nitrogen fertilisers — Diesel (prc)</t>
  </si>
  <si>
    <t xml:space="preserve">aze.in.enp.frt.otn.ker</t>
  </si>
  <si>
    <t xml:space="preserve">Azerbaijan Other nitrogen fertilisers — Kerosene (prc)</t>
  </si>
  <si>
    <t xml:space="preserve">aze.in.enp.frt.otn.lpg</t>
  </si>
  <si>
    <t xml:space="preserve">Azerbaijan Other nitrogen fertilisers — LPG (prc)</t>
  </si>
  <si>
    <t xml:space="preserve">aze.in.enp.frt.otn.bio</t>
  </si>
  <si>
    <t xml:space="preserve">Azerbaijan Other nitrogen fertilisers — Biomass (prc)</t>
  </si>
  <si>
    <t xml:space="preserve">aze.in.enp.frt.otn.ren</t>
  </si>
  <si>
    <t xml:space="preserve">Azerbaijan Other nitrogen fertilisers — Self-gen renewables (prc)</t>
  </si>
  <si>
    <t xml:space="preserve">aze.in.ele.frt.otn.elc</t>
  </si>
  <si>
    <t xml:space="preserve">Azerbaijan Other nitrogen fertilisers — electricity</t>
  </si>
  <si>
    <t xml:space="preserve">aze.in.efn.frt.otn.---</t>
  </si>
  <si>
    <t xml:space="preserve">Azerbaijan Other nitrogen fertilisers — non-fuel process EF</t>
  </si>
  <si>
    <t xml:space="preserve">aze.in.efo.frt.otn.---</t>
  </si>
  <si>
    <t xml:space="preserve">Azerbaijan Other nitrogen fertilisers — non-CO2 GHG EF</t>
  </si>
  <si>
    <t xml:space="preserve">ind.in.prb.frt.otn.---</t>
  </si>
  <si>
    <t xml:space="preserve">India Other nitrogen fertilisers — base production</t>
  </si>
  <si>
    <t xml:space="preserve">ind.in.els.frt.otn.---</t>
  </si>
  <si>
    <t xml:space="preserve">India Other nitrogen fertilisers — elasticity</t>
  </si>
  <si>
    <t xml:space="preserve">ind.in.ext.frt.otn.---</t>
  </si>
  <si>
    <t xml:space="preserve">India Other nitrogen fertilisers — export share total</t>
  </si>
  <si>
    <t xml:space="preserve">ind.in.exe.frt.otn.---</t>
  </si>
  <si>
    <t xml:space="preserve">India Other nitrogen fertilisers — EU export share</t>
  </si>
  <si>
    <t xml:space="preserve">ind.in.imp.frt.otn.---</t>
  </si>
  <si>
    <t xml:space="preserve">India Other nitrogen fertilisers — import share</t>
  </si>
  <si>
    <t xml:space="preserve">ind.in.enc.frt.otn.coa</t>
  </si>
  <si>
    <t xml:space="preserve">India Other nitrogen fertilisers — Coal (cmb)</t>
  </si>
  <si>
    <t xml:space="preserve">ind.in.enc.frt.otn.nga</t>
  </si>
  <si>
    <t xml:space="preserve">India Other nitrogen fertilisers — Natural gas (cmb)</t>
  </si>
  <si>
    <t xml:space="preserve">ind.in.enc.frt.otn.gso</t>
  </si>
  <si>
    <t xml:space="preserve">India Other nitrogen fertilisers — Gasoline (cmb)</t>
  </si>
  <si>
    <t xml:space="preserve">ind.in.enc.frt.otn.die</t>
  </si>
  <si>
    <t xml:space="preserve">India Other nitrogen fertilisers — Diesel (cmb)</t>
  </si>
  <si>
    <t xml:space="preserve">ind.in.enc.frt.otn.ker</t>
  </si>
  <si>
    <t xml:space="preserve">India Other nitrogen fertilisers — Kerosene (cmb)</t>
  </si>
  <si>
    <t xml:space="preserve">ind.in.enc.frt.otn.lpg</t>
  </si>
  <si>
    <t xml:space="preserve">India Other nitrogen fertilisers — LPG (cmb)</t>
  </si>
  <si>
    <t xml:space="preserve">ind.in.enc.frt.otn.bio</t>
  </si>
  <si>
    <t xml:space="preserve">India Other nitrogen fertilisers — Biomass (cmb)</t>
  </si>
  <si>
    <t xml:space="preserve">ind.in.enc.frt.otn.ren</t>
  </si>
  <si>
    <t xml:space="preserve">India Other nitrogen fertilisers — Self-gen renewables (cmb)</t>
  </si>
  <si>
    <t xml:space="preserve">ind.in.enp.frt.otn.coa</t>
  </si>
  <si>
    <t xml:space="preserve">India Other nitrogen fertilisers — Coal (prc)</t>
  </si>
  <si>
    <t xml:space="preserve">ind.in.enp.frt.otn.nga</t>
  </si>
  <si>
    <t xml:space="preserve">India Other nitrogen fertilisers — Natural gas (prc)</t>
  </si>
  <si>
    <t xml:space="preserve">ind.in.enp.frt.otn.gso</t>
  </si>
  <si>
    <t xml:space="preserve">India Other nitrogen fertilisers — Gasoline (prc)</t>
  </si>
  <si>
    <t xml:space="preserve">ind.in.enp.frt.otn.die</t>
  </si>
  <si>
    <t xml:space="preserve">India Other nitrogen fertilisers — Diesel (prc)</t>
  </si>
  <si>
    <t xml:space="preserve">ind.in.enp.frt.otn.ker</t>
  </si>
  <si>
    <t xml:space="preserve">India Other nitrogen fertilisers — Kerosene (prc)</t>
  </si>
  <si>
    <t xml:space="preserve">ind.in.enp.frt.otn.lpg</t>
  </si>
  <si>
    <t xml:space="preserve">India Other nitrogen fertilisers — LPG (prc)</t>
  </si>
  <si>
    <t xml:space="preserve">ind.in.enp.frt.otn.bio</t>
  </si>
  <si>
    <t xml:space="preserve">India Other nitrogen fertilisers — Biomass (prc)</t>
  </si>
  <si>
    <t xml:space="preserve">ind.in.enp.frt.otn.ren</t>
  </si>
  <si>
    <t xml:space="preserve">India Other nitrogen fertilisers — Self-gen renewables (prc)</t>
  </si>
  <si>
    <t xml:space="preserve">ind.in.ele.frt.otn.elc</t>
  </si>
  <si>
    <t xml:space="preserve">India Other nitrogen fertilisers — electricity</t>
  </si>
  <si>
    <t xml:space="preserve">ind.in.efn.frt.otn.---</t>
  </si>
  <si>
    <t xml:space="preserve">India Other nitrogen fertilisers — non-fuel process EF</t>
  </si>
  <si>
    <t xml:space="preserve">ind.in.efo.frt.otn.---</t>
  </si>
  <si>
    <t xml:space="preserve">India Other nitrogen fertilisers — non-CO2 GHG EF</t>
  </si>
  <si>
    <t xml:space="preserve">CBAM calculations — Pass 7</t>
  </si>
  <si>
    <t xml:space="preserve">Country pulled from dashboard!$B$5. All formulas resolve dynamically. Two intensities per entity: holistic (cradle-to-gate) and MRV (CBAM-eligible).</t>
  </si>
  <si>
    <t xml:space="preserve">1. GDP index (compound, base 2024 = 1.00)</t>
  </si>
  <si>
    <t xml:space="preserve">pj</t>
  </si>
  <si>
    <t xml:space="preserve">GDP growth rate (lookup)</t>
  </si>
  <si>
    <t xml:space="preserve">Pulled from input_data based on selected country.</t>
  </si>
  <si>
    <t xml:space="preserve">idx</t>
  </si>
  <si>
    <t xml:space="preserve">GDP index (cumulative, 2024 base)</t>
  </si>
  <si>
    <t xml:space="preserve">index</t>
  </si>
  <si>
    <t xml:space="preserve">Compounded from 2024 base year using growth rate.</t>
  </si>
  <si>
    <t xml:space="preserve">2. Fuel EF helper block (kgCO2/GJ, pulled from input_data)</t>
  </si>
  <si>
    <t xml:space="preserve">ef</t>
  </si>
  <si>
    <t xml:space="preserve">Pulled from input_data section 2.</t>
  </si>
  <si>
    <t xml:space="preserve">3.stl.drg. DRI-EAF steel — calculations</t>
  </si>
  <si>
    <t xml:space="preserve">prd</t>
  </si>
  <si>
    <t xml:space="preserve">Production — DRI-EAF steel</t>
  </si>
  <si>
    <t xml:space="preserve">base × GDP_index^elasticity.</t>
  </si>
  <si>
    <t xml:space="preserve">eux</t>
  </si>
  <si>
    <t xml:space="preserve">EU exports — DRI-EAF steel</t>
  </si>
  <si>
    <t xml:space="preserve">Production × EU export share.</t>
  </si>
  <si>
    <t xml:space="preserve">nex</t>
  </si>
  <si>
    <t xml:space="preserve">Non-EU exports — DRI-EAF steel</t>
  </si>
  <si>
    <t xml:space="preserve">Production × (export total − EU export share).</t>
  </si>
  <si>
    <t xml:space="preserve">Domestic consumption — DRI-EAF steel</t>
  </si>
  <si>
    <t xml:space="preserve">prd × (1 − ext) × (1 + imp).</t>
  </si>
  <si>
    <t xml:space="preserve">DRI-EAF steel — Coal combustion</t>
  </si>
  <si>
    <t xml:space="preserve">PJ</t>
  </si>
  <si>
    <t xml:space="preserve">Production × combustion intensity.</t>
  </si>
  <si>
    <t xml:space="preserve">DRI-EAF steel — Natural gas combustion</t>
  </si>
  <si>
    <t xml:space="preserve">DRI-EAF steel — Gasoline combustion</t>
  </si>
  <si>
    <t xml:space="preserve">DRI-EAF steel — Diesel combustion</t>
  </si>
  <si>
    <t xml:space="preserve">DRI-EAF steel — Kerosene combustion</t>
  </si>
  <si>
    <t xml:space="preserve">DRI-EAF steel — LPG combustion</t>
  </si>
  <si>
    <t xml:space="preserve">DRI-EAF steel — Biomass combustion</t>
  </si>
  <si>
    <t xml:space="preserve">DRI-EAF steel — Self-gen renewables combustion</t>
  </si>
  <si>
    <t xml:space="preserve">DRI-EAF steel — Coal process/reductant</t>
  </si>
  <si>
    <t xml:space="preserve">Production × process intensity.</t>
  </si>
  <si>
    <t xml:space="preserve">DRI-EAF steel — Natural gas process/reductant</t>
  </si>
  <si>
    <t xml:space="preserve">DRI-EAF steel — Gasoline process/reductant</t>
  </si>
  <si>
    <t xml:space="preserve">DRI-EAF steel — Diesel process/reductant</t>
  </si>
  <si>
    <t xml:space="preserve">DRI-EAF steel — Kerosene process/reductant</t>
  </si>
  <si>
    <t xml:space="preserve">DRI-EAF steel — LPG process/reductant</t>
  </si>
  <si>
    <t xml:space="preserve">DRI-EAF steel — Biomass process/reductant</t>
  </si>
  <si>
    <t xml:space="preserve">DRI-EAF steel — Self-gen renewables process/reductant</t>
  </si>
  <si>
    <t xml:space="preserve">DRI-EAF steel — electricity</t>
  </si>
  <si>
    <t xml:space="preserve">Production × electricity intensity.</t>
  </si>
  <si>
    <t xml:space="preserve">em</t>
  </si>
  <si>
    <t xml:space="preserve">sfc</t>
  </si>
  <si>
    <t xml:space="preserve">DRI-EAF steel — S1.fc combustion CO₂</t>
  </si>
  <si>
    <t xml:space="preserve">MtCO2</t>
  </si>
  <si>
    <t xml:space="preserve">SUMPRODUCT(cmb energy × fuel EF) / 1000.</t>
  </si>
  <si>
    <t xml:space="preserve">sfp</t>
  </si>
  <si>
    <t xml:space="preserve">DRI-EAF steel — S1.fp process fuel CO₂</t>
  </si>
  <si>
    <t xml:space="preserve">SUMPRODUCT(prc energy × fuel EF) / 1000. Coke/PCI for BF, NG for DRI/SMR.</t>
  </si>
  <si>
    <t xml:space="preserve">snp</t>
  </si>
  <si>
    <t xml:space="preserve">DRI-EAF steel — S1.np non-fuel process CO₂</t>
  </si>
  <si>
    <t xml:space="preserve">Production × non-fuel EF (calcination, urea uptake, anode oxidation).</t>
  </si>
  <si>
    <t xml:space="preserve">sno</t>
  </si>
  <si>
    <t xml:space="preserve">DRI-EAF steel — S1.no non-CO₂ GHG</t>
  </si>
  <si>
    <t xml:space="preserve">MtCO2e</t>
  </si>
  <si>
    <t xml:space="preserve">Production × non-CO2 EF (N2O from HNO3, PFCs from aluminium).</t>
  </si>
  <si>
    <t xml:space="preserve">s2e</t>
  </si>
  <si>
    <t xml:space="preserve">DRI-EAF steel — S2 electricity</t>
  </si>
  <si>
    <t xml:space="preserve">Electricity PJ × grid EF / 3.6.</t>
  </si>
  <si>
    <t xml:space="preserve">3.stl.scr. Scrap-EAF steel — calculations</t>
  </si>
  <si>
    <t xml:space="preserve">Production — Scrap-EAF steel</t>
  </si>
  <si>
    <t xml:space="preserve">EU exports — Scrap-EAF steel</t>
  </si>
  <si>
    <t xml:space="preserve">Non-EU exports — Scrap-EAF steel</t>
  </si>
  <si>
    <t xml:space="preserve">Domestic consumption — Scrap-EAF steel</t>
  </si>
  <si>
    <t xml:space="preserve">Scrap-EAF steel — Coal combustion</t>
  </si>
  <si>
    <t xml:space="preserve">Scrap-EAF steel — Natural gas combustion</t>
  </si>
  <si>
    <t xml:space="preserve">Scrap-EAF steel — Gasoline combustion</t>
  </si>
  <si>
    <t xml:space="preserve">Scrap-EAF steel — Diesel combustion</t>
  </si>
  <si>
    <t xml:space="preserve">Scrap-EAF steel — Kerosene combustion</t>
  </si>
  <si>
    <t xml:space="preserve">Scrap-EAF steel — LPG combustion</t>
  </si>
  <si>
    <t xml:space="preserve">Scrap-EAF steel — Biomass combustion</t>
  </si>
  <si>
    <t xml:space="preserve">Scrap-EAF steel — Self-gen renewables combustion</t>
  </si>
  <si>
    <t xml:space="preserve">Scrap-EAF steel — Coal process/reductant</t>
  </si>
  <si>
    <t xml:space="preserve">Scrap-EAF steel — Natural gas process/reductant</t>
  </si>
  <si>
    <t xml:space="preserve">Scrap-EAF steel — Gasoline process/reductant</t>
  </si>
  <si>
    <t xml:space="preserve">Scrap-EAF steel — Diesel process/reductant</t>
  </si>
  <si>
    <t xml:space="preserve">Scrap-EAF steel — Kerosene process/reductant</t>
  </si>
  <si>
    <t xml:space="preserve">Scrap-EAF steel — LPG process/reductant</t>
  </si>
  <si>
    <t xml:space="preserve">Scrap-EAF steel — Biomass process/reductant</t>
  </si>
  <si>
    <t xml:space="preserve">Scrap-EAF steel — Self-gen renewables process/reductant</t>
  </si>
  <si>
    <t xml:space="preserve">Scrap-EAF steel — electricity</t>
  </si>
  <si>
    <t xml:space="preserve">Scrap-EAF steel — S1.fc combustion CO₂</t>
  </si>
  <si>
    <t xml:space="preserve">Scrap-EAF steel — S1.fp process fuel CO₂</t>
  </si>
  <si>
    <t xml:space="preserve">Scrap-EAF steel — S1.np non-fuel process CO₂</t>
  </si>
  <si>
    <t xml:space="preserve">Scrap-EAF steel — S1.no non-CO₂ GHG</t>
  </si>
  <si>
    <t xml:space="preserve">Scrap-EAF steel — S2 electricity</t>
  </si>
  <si>
    <t xml:space="preserve">3.stl.bof. BF-BOF steel — calculations</t>
  </si>
  <si>
    <t xml:space="preserve">Production — BF-BOF steel</t>
  </si>
  <si>
    <t xml:space="preserve">EU exports — BF-BOF steel</t>
  </si>
  <si>
    <t xml:space="preserve">Non-EU exports — BF-BOF steel</t>
  </si>
  <si>
    <t xml:space="preserve">Domestic consumption — BF-BOF steel</t>
  </si>
  <si>
    <t xml:space="preserve">BF-BOF steel — Coal combustion</t>
  </si>
  <si>
    <t xml:space="preserve">BF-BOF steel — Natural gas combustion</t>
  </si>
  <si>
    <t xml:space="preserve">BF-BOF steel — Gasoline combustion</t>
  </si>
  <si>
    <t xml:space="preserve">BF-BOF steel — Diesel combustion</t>
  </si>
  <si>
    <t xml:space="preserve">BF-BOF steel — Kerosene combustion</t>
  </si>
  <si>
    <t xml:space="preserve">BF-BOF steel — LPG combustion</t>
  </si>
  <si>
    <t xml:space="preserve">BF-BOF steel — Biomass combustion</t>
  </si>
  <si>
    <t xml:space="preserve">BF-BOF steel — Self-gen renewables combustion</t>
  </si>
  <si>
    <t xml:space="preserve">BF-BOF steel — Coal process/reductant</t>
  </si>
  <si>
    <t xml:space="preserve">BF-BOF steel — Natural gas process/reductant</t>
  </si>
  <si>
    <t xml:space="preserve">BF-BOF steel — Gasoline process/reductant</t>
  </si>
  <si>
    <t xml:space="preserve">BF-BOF steel — Diesel process/reductant</t>
  </si>
  <si>
    <t xml:space="preserve">BF-BOF steel — Kerosene process/reductant</t>
  </si>
  <si>
    <t xml:space="preserve">BF-BOF steel — LPG process/reductant</t>
  </si>
  <si>
    <t xml:space="preserve">BF-BOF steel — Biomass process/reductant</t>
  </si>
  <si>
    <t xml:space="preserve">BF-BOF steel — Self-gen renewables process/reductant</t>
  </si>
  <si>
    <t xml:space="preserve">BF-BOF steel — electricity</t>
  </si>
  <si>
    <t xml:space="preserve">BF-BOF steel — S1.fc combustion CO₂</t>
  </si>
  <si>
    <t xml:space="preserve">BF-BOF steel — S1.fp process fuel CO₂</t>
  </si>
  <si>
    <t xml:space="preserve">BF-BOF steel — S1.np non-fuel process CO₂</t>
  </si>
  <si>
    <t xml:space="preserve">BF-BOF steel — S1.no non-CO₂ GHG</t>
  </si>
  <si>
    <t xml:space="preserve">BF-BOF steel — S2 electricity</t>
  </si>
  <si>
    <t xml:space="preserve">3.cmt.dry. Cement — calculations</t>
  </si>
  <si>
    <t xml:space="preserve">Production — Cement</t>
  </si>
  <si>
    <t xml:space="preserve">EU exports — Cement</t>
  </si>
  <si>
    <t xml:space="preserve">Non-EU exports — Cement</t>
  </si>
  <si>
    <t xml:space="preserve">Domestic consumption — Cement</t>
  </si>
  <si>
    <t xml:space="preserve">Cement — Coal combustion</t>
  </si>
  <si>
    <t xml:space="preserve">Cement — Natural gas combustion</t>
  </si>
  <si>
    <t xml:space="preserve">Cement — Gasoline combustion</t>
  </si>
  <si>
    <t xml:space="preserve">Cement — Diesel combustion</t>
  </si>
  <si>
    <t xml:space="preserve">Cement — Kerosene combustion</t>
  </si>
  <si>
    <t xml:space="preserve">Cement — LPG combustion</t>
  </si>
  <si>
    <t xml:space="preserve">Cement — Biomass combustion</t>
  </si>
  <si>
    <t xml:space="preserve">Cement — Self-gen renewables combustion</t>
  </si>
  <si>
    <t xml:space="preserve">Cement — Coal process/reductant</t>
  </si>
  <si>
    <t xml:space="preserve">Cement — Natural gas process/reductant</t>
  </si>
  <si>
    <t xml:space="preserve">Cement — Gasoline process/reductant</t>
  </si>
  <si>
    <t xml:space="preserve">Cement — Diesel process/reductant</t>
  </si>
  <si>
    <t xml:space="preserve">Cement — Kerosene process/reductant</t>
  </si>
  <si>
    <t xml:space="preserve">Cement — LPG process/reductant</t>
  </si>
  <si>
    <t xml:space="preserve">Cement — Biomass process/reductant</t>
  </si>
  <si>
    <t xml:space="preserve">Cement — Self-gen renewables process/reductant</t>
  </si>
  <si>
    <t xml:space="preserve">Cement — electricity</t>
  </si>
  <si>
    <t xml:space="preserve">Cement — S1.fc combustion CO₂</t>
  </si>
  <si>
    <t xml:space="preserve">Cement — S1.fp process fuel CO₂</t>
  </si>
  <si>
    <t xml:space="preserve">Cement — S1.np non-fuel process CO₂</t>
  </si>
  <si>
    <t xml:space="preserve">Cement — S1.no non-CO₂ GHG</t>
  </si>
  <si>
    <t xml:space="preserve">Cement — S2 electricity</t>
  </si>
  <si>
    <t xml:space="preserve">3.frt.amc. Ammonia — calculations</t>
  </si>
  <si>
    <t xml:space="preserve">Production — Ammonia</t>
  </si>
  <si>
    <t xml:space="preserve">EU exports — Ammonia</t>
  </si>
  <si>
    <t xml:space="preserve">Non-EU exports — Ammonia</t>
  </si>
  <si>
    <t xml:space="preserve">Domestic consumption — Ammonia</t>
  </si>
  <si>
    <t xml:space="preserve">Ammonia — Coal combustion</t>
  </si>
  <si>
    <t xml:space="preserve">Ammonia — Natural gas combustion</t>
  </si>
  <si>
    <t xml:space="preserve">Ammonia — Gasoline combustion</t>
  </si>
  <si>
    <t xml:space="preserve">Ammonia — Diesel combustion</t>
  </si>
  <si>
    <t xml:space="preserve">Ammonia — Kerosene combustion</t>
  </si>
  <si>
    <t xml:space="preserve">Ammonia — LPG combustion</t>
  </si>
  <si>
    <t xml:space="preserve">Ammonia — Biomass combustion</t>
  </si>
  <si>
    <t xml:space="preserve">Ammonia — Self-gen renewables combustion</t>
  </si>
  <si>
    <t xml:space="preserve">Ammonia — Coal process/reductant</t>
  </si>
  <si>
    <t xml:space="preserve">Ammonia — Natural gas process/reductant</t>
  </si>
  <si>
    <t xml:space="preserve">Ammonia — Gasoline process/reductant</t>
  </si>
  <si>
    <t xml:space="preserve">Ammonia — Diesel process/reductant</t>
  </si>
  <si>
    <t xml:space="preserve">Ammonia — Kerosene process/reductant</t>
  </si>
  <si>
    <t xml:space="preserve">Ammonia — LPG process/reductant</t>
  </si>
  <si>
    <t xml:space="preserve">Ammonia — Biomass process/reductant</t>
  </si>
  <si>
    <t xml:space="preserve">Ammonia — Self-gen renewables process/reductant</t>
  </si>
  <si>
    <t xml:space="preserve">Ammonia — electricity</t>
  </si>
  <si>
    <t xml:space="preserve">Ammonia — S1.fc combustion CO₂</t>
  </si>
  <si>
    <t xml:space="preserve">Ammonia — S1.fp process fuel CO₂</t>
  </si>
  <si>
    <t xml:space="preserve">Ammonia — S1.np non-fuel process CO₂</t>
  </si>
  <si>
    <t xml:space="preserve">Ammonia — S1.no non-CO₂ GHG</t>
  </si>
  <si>
    <t xml:space="preserve">Ammonia — S2 electricity</t>
  </si>
  <si>
    <t xml:space="preserve">3.frt.ure. Urea — calculations</t>
  </si>
  <si>
    <t xml:space="preserve">Production — Urea</t>
  </si>
  <si>
    <t xml:space="preserve">EU exports — Urea</t>
  </si>
  <si>
    <t xml:space="preserve">Non-EU exports — Urea</t>
  </si>
  <si>
    <t xml:space="preserve">Domestic consumption — Urea</t>
  </si>
  <si>
    <t xml:space="preserve">Urea — Coal combustion</t>
  </si>
  <si>
    <t xml:space="preserve">Urea — Natural gas combustion</t>
  </si>
  <si>
    <t xml:space="preserve">Urea — Gasoline combustion</t>
  </si>
  <si>
    <t xml:space="preserve">Urea — Diesel combustion</t>
  </si>
  <si>
    <t xml:space="preserve">Urea — Kerosene combustion</t>
  </si>
  <si>
    <t xml:space="preserve">Urea — LPG combustion</t>
  </si>
  <si>
    <t xml:space="preserve">Urea — Biomass combustion</t>
  </si>
  <si>
    <t xml:space="preserve">Urea — Self-gen renewables combustion</t>
  </si>
  <si>
    <t xml:space="preserve">Urea — Coal process/reductant</t>
  </si>
  <si>
    <t xml:space="preserve">Urea — Natural gas process/reductant</t>
  </si>
  <si>
    <t xml:space="preserve">Urea — Gasoline process/reductant</t>
  </si>
  <si>
    <t xml:space="preserve">Urea — Diesel process/reductant</t>
  </si>
  <si>
    <t xml:space="preserve">Urea — Kerosene process/reductant</t>
  </si>
  <si>
    <t xml:space="preserve">Urea — LPG process/reductant</t>
  </si>
  <si>
    <t xml:space="preserve">Urea — Biomass process/reductant</t>
  </si>
  <si>
    <t xml:space="preserve">Urea — Self-gen renewables process/reductant</t>
  </si>
  <si>
    <t xml:space="preserve">Urea — electricity</t>
  </si>
  <si>
    <t xml:space="preserve">Urea — S1.fc combustion CO₂</t>
  </si>
  <si>
    <t xml:space="preserve">Urea — S1.fp process fuel CO₂</t>
  </si>
  <si>
    <t xml:space="preserve">Urea — S1.np non-fuel process CO₂</t>
  </si>
  <si>
    <t xml:space="preserve">Urea — S1.no non-CO₂ GHG</t>
  </si>
  <si>
    <t xml:space="preserve">Urea — S2 electricity</t>
  </si>
  <si>
    <t xml:space="preserve">3.frt.nit. Ammonium nitrate — calculations</t>
  </si>
  <si>
    <t xml:space="preserve">Production — Ammonium nitrate</t>
  </si>
  <si>
    <t xml:space="preserve">EU exports — Ammonium nitrate</t>
  </si>
  <si>
    <t xml:space="preserve">Non-EU exports — Ammonium nitrate</t>
  </si>
  <si>
    <t xml:space="preserve">Domestic consumption — Ammonium nitrate</t>
  </si>
  <si>
    <t xml:space="preserve">Ammonium nitrate — Coal combustion</t>
  </si>
  <si>
    <t xml:space="preserve">Ammonium nitrate — Natural gas combustion</t>
  </si>
  <si>
    <t xml:space="preserve">Ammonium nitrate — Gasoline combustion</t>
  </si>
  <si>
    <t xml:space="preserve">Ammonium nitrate — Diesel combustion</t>
  </si>
  <si>
    <t xml:space="preserve">Ammonium nitrate — Kerosene combustion</t>
  </si>
  <si>
    <t xml:space="preserve">Ammonium nitrate — LPG combustion</t>
  </si>
  <si>
    <t xml:space="preserve">Ammonium nitrate — Biomass combustion</t>
  </si>
  <si>
    <t xml:space="preserve">Ammonium nitrate — Self-gen renewables combustion</t>
  </si>
  <si>
    <t xml:space="preserve">Ammonium nitrate — Coal process/reductant</t>
  </si>
  <si>
    <t xml:space="preserve">Ammonium nitrate — Natural gas process/reductant</t>
  </si>
  <si>
    <t xml:space="preserve">Ammonium nitrate — Gasoline process/reductant</t>
  </si>
  <si>
    <t xml:space="preserve">Ammonium nitrate — Diesel process/reductant</t>
  </si>
  <si>
    <t xml:space="preserve">Ammonium nitrate — Kerosene process/reductant</t>
  </si>
  <si>
    <t xml:space="preserve">Ammonium nitrate — LPG process/reductant</t>
  </si>
  <si>
    <t xml:space="preserve">Ammonium nitrate — Biomass process/reductant</t>
  </si>
  <si>
    <t xml:space="preserve">Ammonium nitrate — Self-gen renewables process/reductant</t>
  </si>
  <si>
    <t xml:space="preserve">Ammonium nitrate — electricity</t>
  </si>
  <si>
    <t xml:space="preserve">Ammonium nitrate — S1.fc combustion CO₂</t>
  </si>
  <si>
    <t xml:space="preserve">Ammonium nitrate — S1.fp process fuel CO₂</t>
  </si>
  <si>
    <t xml:space="preserve">Ammonium nitrate — S1.np non-fuel process CO₂</t>
  </si>
  <si>
    <t xml:space="preserve">Ammonium nitrate — S1.no non-CO₂ GHG</t>
  </si>
  <si>
    <t xml:space="preserve">Ammonium nitrate — S2 electricity</t>
  </si>
  <si>
    <t xml:space="preserve">3.alu.prp. Primary aluminium — calculations</t>
  </si>
  <si>
    <t xml:space="preserve">Production — Primary aluminium</t>
  </si>
  <si>
    <t xml:space="preserve">EU exports — Primary aluminium</t>
  </si>
  <si>
    <t xml:space="preserve">Non-EU exports — Primary aluminium</t>
  </si>
  <si>
    <t xml:space="preserve">Domestic consumption — Primary aluminium</t>
  </si>
  <si>
    <t xml:space="preserve">Primary aluminium — Coal combustion</t>
  </si>
  <si>
    <t xml:space="preserve">Primary aluminium — Natural gas combustion</t>
  </si>
  <si>
    <t xml:space="preserve">Primary aluminium — Gasoline combustion</t>
  </si>
  <si>
    <t xml:space="preserve">Primary aluminium — Diesel combustion</t>
  </si>
  <si>
    <t xml:space="preserve">Primary aluminium — Kerosene combustion</t>
  </si>
  <si>
    <t xml:space="preserve">Primary aluminium — LPG combustion</t>
  </si>
  <si>
    <t xml:space="preserve">Primary aluminium — Biomass combustion</t>
  </si>
  <si>
    <t xml:space="preserve">Primary aluminium — Self-gen renewables combustion</t>
  </si>
  <si>
    <t xml:space="preserve">Primary aluminium — Coal process/reductant</t>
  </si>
  <si>
    <t xml:space="preserve">Primary aluminium — Natural gas process/reductant</t>
  </si>
  <si>
    <t xml:space="preserve">Primary aluminium — Gasoline process/reductant</t>
  </si>
  <si>
    <t xml:space="preserve">Primary aluminium — Diesel process/reductant</t>
  </si>
  <si>
    <t xml:space="preserve">Primary aluminium — Kerosene process/reductant</t>
  </si>
  <si>
    <t xml:space="preserve">Primary aluminium — LPG process/reductant</t>
  </si>
  <si>
    <t xml:space="preserve">Primary aluminium — Biomass process/reductant</t>
  </si>
  <si>
    <t xml:space="preserve">Primary aluminium — Self-gen renewables process/reductant</t>
  </si>
  <si>
    <t xml:space="preserve">Primary aluminium — electricity</t>
  </si>
  <si>
    <t xml:space="preserve">Primary aluminium — S1.fc combustion CO₂</t>
  </si>
  <si>
    <t xml:space="preserve">Primary aluminium — S1.fp process fuel CO₂</t>
  </si>
  <si>
    <t xml:space="preserve">Primary aluminium — S1.np non-fuel process CO₂</t>
  </si>
  <si>
    <t xml:space="preserve">Primary aluminium — S1.no non-CO₂ GHG</t>
  </si>
  <si>
    <t xml:space="preserve">Primary aluminium — S2 electricity</t>
  </si>
  <si>
    <t xml:space="preserve">4. NH₃ chain accounting + holistic totals + MRV intensity + CBAM obligation per tonne</t>
  </si>
  <si>
    <t xml:space="preserve">DRI-EAF steel — NH₃ chain (upstream)</t>
  </si>
  <si>
    <t xml:space="preserve">Embedded emissions from upstream ammonia feedstock. = NH3 factor × ammonia direct-emissions per t × this product's production. ONLY ammonia's direct emissions are pulled into the chain to avoid double-counting S2 (this product's electricity is counted separately).</t>
  </si>
  <si>
    <t xml:space="preserve">tot</t>
  </si>
  <si>
    <t xml:space="preserve">DRI-EAF steel — total holistic emissions</t>
  </si>
  <si>
    <t xml:space="preserve">Sum of S1.fc + S1.fp + S1.np + S1.no + S2 + NH3 chain.</t>
  </si>
  <si>
    <t xml:space="preserve">cb</t>
  </si>
  <si>
    <t xml:space="preserve">int</t>
  </si>
  <si>
    <t xml:space="preserve">DRI-EAF steel — holistic intensity</t>
  </si>
  <si>
    <t xml:space="preserve">Total emissions / production (cradle-to-gate).</t>
  </si>
  <si>
    <t xml:space="preserve">DRI-EAF steel — MRV intensity (CBAM-eligible)</t>
  </si>
  <si>
    <t xml:space="preserve">If MRV=1: holistic intensity minus S2/prod × (1−cs2). If MRV=0: EU default value.</t>
  </si>
  <si>
    <t xml:space="preserve">obl</t>
  </si>
  <si>
    <t xml:space="preserve">DRI-EAF steel — CBAM obligation/t</t>
  </si>
  <si>
    <t xml:space="preserve">MAX(MRV_int − benchmark×(1−cbf), 0) × ETS × act × fxr.</t>
  </si>
  <si>
    <t xml:space="preserve">Scrap-EAF steel — NH₃ chain (upstream)</t>
  </si>
  <si>
    <t xml:space="preserve">Scrap-EAF steel — total holistic emissions</t>
  </si>
  <si>
    <t xml:space="preserve">Scrap-EAF steel — holistic intensity</t>
  </si>
  <si>
    <t xml:space="preserve">Scrap-EAF steel — MRV intensity (CBAM-eligible)</t>
  </si>
  <si>
    <t xml:space="preserve">Scrap-EAF steel — CBAM obligation/t</t>
  </si>
  <si>
    <t xml:space="preserve">BF-BOF steel — NH₃ chain (upstream)</t>
  </si>
  <si>
    <t xml:space="preserve">BF-BOF steel — total holistic emissions</t>
  </si>
  <si>
    <t xml:space="preserve">BF-BOF steel — holistic intensity</t>
  </si>
  <si>
    <t xml:space="preserve">BF-BOF steel — MRV intensity (CBAM-eligible)</t>
  </si>
  <si>
    <t xml:space="preserve">BF-BOF steel — CBAM obligation/t</t>
  </si>
  <si>
    <t xml:space="preserve">Cement — NH₃ chain (upstream)</t>
  </si>
  <si>
    <t xml:space="preserve">Cement — total holistic emissions</t>
  </si>
  <si>
    <t xml:space="preserve">Cement — holistic intensity</t>
  </si>
  <si>
    <t xml:space="preserve">Cement — MRV intensity (CBAM-eligible)</t>
  </si>
  <si>
    <t xml:space="preserve">Cement — CBAM obligation/t</t>
  </si>
  <si>
    <t xml:space="preserve">Ammonia — NH₃ chain (upstream)</t>
  </si>
  <si>
    <t xml:space="preserve">Ammonia — total holistic emissions</t>
  </si>
  <si>
    <t xml:space="preserve">Ammonia — holistic intensity</t>
  </si>
  <si>
    <t xml:space="preserve">Ammonia — MRV intensity (CBAM-eligible)</t>
  </si>
  <si>
    <t xml:space="preserve">Ammonia — CBAM obligation/t</t>
  </si>
  <si>
    <t xml:space="preserve">Urea — NH₃ chain (upstream)</t>
  </si>
  <si>
    <t xml:space="preserve">Urea — total holistic emissions</t>
  </si>
  <si>
    <t xml:space="preserve">Urea — holistic intensity</t>
  </si>
  <si>
    <t xml:space="preserve">Urea — MRV intensity (CBAM-eligible)</t>
  </si>
  <si>
    <t xml:space="preserve">Urea — CBAM obligation/t</t>
  </si>
  <si>
    <t xml:space="preserve">Ammonium nitrate — NH₃ chain (upstream)</t>
  </si>
  <si>
    <t xml:space="preserve">Ammonium nitrate — total holistic emissions</t>
  </si>
  <si>
    <t xml:space="preserve">Ammonium nitrate — holistic intensity</t>
  </si>
  <si>
    <t xml:space="preserve">Ammonium nitrate — MRV intensity (CBAM-eligible)</t>
  </si>
  <si>
    <t xml:space="preserve">Ammonium nitrate — CBAM obligation/t</t>
  </si>
  <si>
    <t xml:space="preserve">Primary aluminium — NH₃ chain (upstream)</t>
  </si>
  <si>
    <t xml:space="preserve">Primary aluminium — total holistic emissions</t>
  </si>
  <si>
    <t xml:space="preserve">Primary aluminium — holistic intensity</t>
  </si>
  <si>
    <t xml:space="preserve">Primary aluminium — MRV intensity (CBAM-eligible)</t>
  </si>
  <si>
    <t xml:space="preserve">Primary aluminium — CBAM obligation/t</t>
  </si>
  <si>
    <t xml:space="preserve">4.stl.oth. Other iron &amp; steel products — calculations (appended)</t>
  </si>
  <si>
    <t xml:space="preserve">Production — Other iron &amp; steel products</t>
  </si>
  <si>
    <t xml:space="preserve">base × GDP_index^elasticity</t>
  </si>
  <si>
    <t xml:space="preserve">EU exports — Other iron &amp; steel products</t>
  </si>
  <si>
    <t xml:space="preserve">prd × EU export share</t>
  </si>
  <si>
    <t xml:space="preserve">Non-EU exports — Other iron &amp; steel products</t>
  </si>
  <si>
    <t xml:space="preserve">prd × (ext-exe)</t>
  </si>
  <si>
    <t xml:space="preserve">Domestic — Other iron &amp; steel products</t>
  </si>
  <si>
    <t xml:space="preserve">prd × (1-ext) × (1+imp)</t>
  </si>
  <si>
    <t xml:space="preserve">Other iron &amp; steel products — Coal (cmb)</t>
  </si>
  <si>
    <t xml:space="preserve">prd × enc</t>
  </si>
  <si>
    <t xml:space="preserve">Other iron &amp; steel products — Natural gas (cmb)</t>
  </si>
  <si>
    <t xml:space="preserve">Other iron &amp; steel products — Gasoline (cmb)</t>
  </si>
  <si>
    <t xml:space="preserve">Other iron &amp; steel products — Diesel (cmb)</t>
  </si>
  <si>
    <t xml:space="preserve">Other iron &amp; steel products — Kerosene (cmb)</t>
  </si>
  <si>
    <t xml:space="preserve">Other iron &amp; steel products — LPG (cmb)</t>
  </si>
  <si>
    <t xml:space="preserve">Other iron &amp; steel products — Biomass (cmb)</t>
  </si>
  <si>
    <t xml:space="preserve">Other iron &amp; steel products — Self-gen renewables (cmb)</t>
  </si>
  <si>
    <t xml:space="preserve">Other iron &amp; steel products — Coal (prc)</t>
  </si>
  <si>
    <t xml:space="preserve">Other iron &amp; steel products — Natural gas (prc)</t>
  </si>
  <si>
    <t xml:space="preserve">Other iron &amp; steel products — Gasoline (prc)</t>
  </si>
  <si>
    <t xml:space="preserve">Other iron &amp; steel products — Diesel (prc)</t>
  </si>
  <si>
    <t xml:space="preserve">Other iron &amp; steel products — Kerosene (prc)</t>
  </si>
  <si>
    <t xml:space="preserve">Other iron &amp; steel products — LPG (prc)</t>
  </si>
  <si>
    <t xml:space="preserve">Other iron &amp; steel products — Biomass (prc)</t>
  </si>
  <si>
    <t xml:space="preserve">Other iron &amp; steel products — Self-gen renewables (prc)</t>
  </si>
  <si>
    <t xml:space="preserve">Other iron &amp; steel products — electricity</t>
  </si>
  <si>
    <t xml:space="preserve">Other iron &amp; steel products — S1.fc combustion CO2</t>
  </si>
  <si>
    <t xml:space="preserve">Other iron &amp; steel products — S1.fp process fuel CO2</t>
  </si>
  <si>
    <t xml:space="preserve">Other iron &amp; steel products — S1.np non-fuel process CO2</t>
  </si>
  <si>
    <t xml:space="preserve">Other iron &amp; steel products — S1.no non-CO2 GHG</t>
  </si>
  <si>
    <t xml:space="preserve">Other iron &amp; steel products — S2 electricity</t>
  </si>
  <si>
    <t xml:space="preserve">Other iron &amp; steel products — NH3 chain (upstream)</t>
  </si>
  <si>
    <t xml:space="preserve">Other iron &amp; steel products — total holistic</t>
  </si>
  <si>
    <t xml:space="preserve">Other iron &amp; steel products — holistic intensity</t>
  </si>
  <si>
    <t xml:space="preserve">Other iron &amp; steel products — MRV intensity (CBAM-eligible)</t>
  </si>
  <si>
    <t xml:space="preserve">Other iron &amp; steel products — CBAM obligation/t</t>
  </si>
  <si>
    <t xml:space="preserve">4.frt.otn. Other nitrogen fertilisers — calculations (appended)</t>
  </si>
  <si>
    <t xml:space="preserve">Production — Other nitrogen fertilisers</t>
  </si>
  <si>
    <t xml:space="preserve">EU exports — Other nitrogen fertilisers</t>
  </si>
  <si>
    <t xml:space="preserve">Non-EU exports — Other nitrogen fertilisers</t>
  </si>
  <si>
    <t xml:space="preserve">Domestic — Other nitrogen fertilisers</t>
  </si>
  <si>
    <t xml:space="preserve">Other nitrogen fertilisers — Coal (cmb)</t>
  </si>
  <si>
    <t xml:space="preserve">Other nitrogen fertilisers — Natural gas (cmb)</t>
  </si>
  <si>
    <t xml:space="preserve">Other nitrogen fertilisers — Gasoline (cmb)</t>
  </si>
  <si>
    <t xml:space="preserve">Other nitrogen fertilisers — Diesel (cmb)</t>
  </si>
  <si>
    <t xml:space="preserve">Other nitrogen fertilisers — Kerosene (cmb)</t>
  </si>
  <si>
    <t xml:space="preserve">Other nitrogen fertilisers — LPG (cmb)</t>
  </si>
  <si>
    <t xml:space="preserve">Other nitrogen fertilisers — Biomass (cmb)</t>
  </si>
  <si>
    <t xml:space="preserve">Other nitrogen fertilisers — Self-gen renewables (cmb)</t>
  </si>
  <si>
    <t xml:space="preserve">Other nitrogen fertilisers — Coal (prc)</t>
  </si>
  <si>
    <t xml:space="preserve">Other nitrogen fertilisers — Natural gas (prc)</t>
  </si>
  <si>
    <t xml:space="preserve">Other nitrogen fertilisers — Gasoline (prc)</t>
  </si>
  <si>
    <t xml:space="preserve">Other nitrogen fertilisers — Diesel (prc)</t>
  </si>
  <si>
    <t xml:space="preserve">Other nitrogen fertilisers — Kerosene (prc)</t>
  </si>
  <si>
    <t xml:space="preserve">Other nitrogen fertilisers — LPG (prc)</t>
  </si>
  <si>
    <t xml:space="preserve">Other nitrogen fertilisers — Biomass (prc)</t>
  </si>
  <si>
    <t xml:space="preserve">Other nitrogen fertilisers — Self-gen renewables (prc)</t>
  </si>
  <si>
    <t xml:space="preserve">Other nitrogen fertilisers — electricity</t>
  </si>
  <si>
    <t xml:space="preserve">Other nitrogen fertilisers — S1.fc combustion CO2</t>
  </si>
  <si>
    <t xml:space="preserve">Other nitrogen fertilisers — S1.fp process fuel CO2</t>
  </si>
  <si>
    <t xml:space="preserve">Other nitrogen fertilisers — S1.np non-fuel process CO2</t>
  </si>
  <si>
    <t xml:space="preserve">Other nitrogen fertilisers — S1.no non-CO2 GHG</t>
  </si>
  <si>
    <t xml:space="preserve">Other nitrogen fertilisers — S2 electricity</t>
  </si>
  <si>
    <t xml:space="preserve">Other nitrogen fertilisers — NH3 chain (upstream)</t>
  </si>
  <si>
    <t xml:space="preserve">Other nitrogen fertilisers — total holistic</t>
  </si>
  <si>
    <t xml:space="preserve">Other nitrogen fertilisers — holistic intensity</t>
  </si>
  <si>
    <t xml:space="preserve">tCO2e/t N</t>
  </si>
  <si>
    <t xml:space="preserve">Other nitrogen fertilisers — MRV intensity (CBAM-eligible)</t>
  </si>
  <si>
    <t xml:space="preserve">Other nitrogen fertilisers — CBAM obligation/t</t>
  </si>
</sst>
</file>

<file path=xl/styles.xml><?xml version="1.0" encoding="utf-8"?>
<styleSheet xmlns="http://schemas.openxmlformats.org/spreadsheetml/2006/main">
  <numFmts count="15">
    <numFmt numFmtId="164" formatCode="General"/>
    <numFmt numFmtId="165" formatCode="General"/>
    <numFmt numFmtId="166" formatCode="0"/>
    <numFmt numFmtId="167" formatCode="#,##0"/>
    <numFmt numFmtId="168" formatCode="0.0%"/>
    <numFmt numFmtId="169" formatCode="#,##0.00"/>
    <numFmt numFmtId="170" formatCode="0.0"/>
    <numFmt numFmtId="171" formatCode="0.0000"/>
    <numFmt numFmtId="172" formatCode="0.000"/>
    <numFmt numFmtId="173" formatCode="@"/>
    <numFmt numFmtId="174" formatCode="0.00"/>
    <numFmt numFmtId="175" formatCode="#,##0.0"/>
    <numFmt numFmtId="176" formatCode="#,##0.0000"/>
    <numFmt numFmtId="177" formatCode="#,##0.000"/>
    <numFmt numFmtId="178" formatCode="0.00%"/>
  </numFmts>
  <fonts count="22">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sz val="10"/>
      <color rgb="FFC65911"/>
      <name val="Arial"/>
      <family val="0"/>
      <charset val="1"/>
    </font>
    <font>
      <i val="true"/>
      <sz val="9"/>
      <color rgb="FF595959"/>
      <name val="Arial"/>
      <family val="0"/>
      <charset val="1"/>
    </font>
    <font>
      <sz val="10"/>
      <color rgb="FF008000"/>
      <name val="Arial"/>
      <family val="0"/>
      <charset val="1"/>
    </font>
    <font>
      <sz val="10"/>
      <name val="Arial"/>
      <family val="0"/>
      <charset val="1"/>
    </font>
    <font>
      <b val="true"/>
      <sz val="10"/>
      <color rgb="FFFFFFFF"/>
      <name val="Arial"/>
      <family val="0"/>
      <charset val="1"/>
    </font>
    <font>
      <sz val="9"/>
      <name val="Arial"/>
      <family val="0"/>
      <charset val="1"/>
    </font>
    <font>
      <b val="true"/>
      <sz val="9"/>
      <name val="Arial"/>
      <family val="0"/>
      <charset val="1"/>
    </font>
    <font>
      <b val="true"/>
      <sz val="9"/>
      <color rgb="FFFFFFFF"/>
      <name val="Arial"/>
      <family val="0"/>
      <charset val="1"/>
    </font>
    <font>
      <sz val="9"/>
      <color rgb="FF008000"/>
      <name val="Arial"/>
      <family val="0"/>
      <charset val="1"/>
    </font>
    <font>
      <i val="true"/>
      <sz val="8"/>
      <color rgb="FF595959"/>
      <name val="Arial"/>
      <family val="0"/>
      <charset val="1"/>
    </font>
    <font>
      <b val="true"/>
      <sz val="14"/>
      <color rgb="FF1F4E79"/>
      <name val="Arial"/>
      <family val="0"/>
      <charset val="1"/>
    </font>
    <font>
      <sz val="8"/>
      <color rgb="FF1F3864"/>
      <name val="Consolas"/>
      <family val="0"/>
      <charset val="1"/>
    </font>
    <font>
      <sz val="9"/>
      <color rgb="FF1F3864"/>
      <name val="Arial"/>
      <family val="0"/>
      <charset val="1"/>
    </font>
    <font>
      <sz val="10"/>
      <color rgb="FF305496"/>
      <name val="Arial"/>
      <family val="0"/>
      <charset val="1"/>
    </font>
  </fonts>
  <fills count="15">
    <fill>
      <patternFill patternType="none"/>
    </fill>
    <fill>
      <patternFill patternType="gray125"/>
    </fill>
    <fill>
      <patternFill patternType="solid">
        <fgColor rgb="FF1F4E79"/>
        <bgColor rgb="FF305496"/>
      </patternFill>
    </fill>
    <fill>
      <patternFill patternType="solid">
        <fgColor rgb="FFFFF2CC"/>
        <bgColor rgb="FFFCE5CD"/>
      </patternFill>
    </fill>
    <fill>
      <patternFill patternType="solid">
        <fgColor rgb="FFFCE4D6"/>
        <bgColor rgb="FFFCE5CD"/>
      </patternFill>
    </fill>
    <fill>
      <patternFill patternType="solid">
        <fgColor rgb="FFE4DFEC"/>
        <bgColor rgb="FFDEEBF7"/>
      </patternFill>
    </fill>
    <fill>
      <patternFill patternType="solid">
        <fgColor rgb="FFDEEBF7"/>
        <bgColor rgb="FFE2EFDA"/>
      </patternFill>
    </fill>
    <fill>
      <patternFill patternType="solid">
        <fgColor rgb="FF305496"/>
        <bgColor rgb="FF1F4E79"/>
      </patternFill>
    </fill>
    <fill>
      <patternFill patternType="solid">
        <fgColor rgb="FFE2EFDA"/>
        <bgColor rgb="FFD9EAD3"/>
      </patternFill>
    </fill>
    <fill>
      <patternFill patternType="solid">
        <fgColor rgb="FFFFE4E1"/>
        <bgColor rgb="FFFFE6E6"/>
      </patternFill>
    </fill>
    <fill>
      <patternFill patternType="solid">
        <fgColor rgb="FFFCE5CD"/>
        <bgColor rgb="FFFCE4D6"/>
      </patternFill>
    </fill>
    <fill>
      <patternFill patternType="solid">
        <fgColor rgb="FFFFE6E6"/>
        <bgColor rgb="FFFFE4E1"/>
      </patternFill>
    </fill>
    <fill>
      <patternFill patternType="solid">
        <fgColor rgb="FFF2F2F2"/>
        <bgColor rgb="FFF0F4FF"/>
      </patternFill>
    </fill>
    <fill>
      <patternFill patternType="solid">
        <fgColor rgb="FFD9EAD3"/>
        <bgColor rgb="FFE2EFDA"/>
      </patternFill>
    </fill>
    <fill>
      <patternFill patternType="solid">
        <fgColor rgb="FFF0F4FF"/>
        <bgColor rgb="FFF2F2F2"/>
      </patternFill>
    </fill>
  </fills>
  <borders count="3">
    <border diagonalUp="false" diagonalDown="false">
      <left/>
      <right/>
      <top/>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C0C0C0"/>
      </left>
      <right/>
      <top style="thin">
        <color rgb="FFC0C0C0"/>
      </top>
      <bottom style="thin">
        <color rgb="FFC0C0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6" fontId="10" fillId="6"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7" fontId="10" fillId="8" borderId="1" xfId="0" applyFont="true" applyBorder="true" applyAlignment="true" applyProtection="false">
      <alignment horizontal="right" vertical="center" textRotation="0" wrapText="false" indent="0" shrinkToFit="false"/>
      <protection locked="true" hidden="false"/>
    </xf>
    <xf numFmtId="168" fontId="10" fillId="8" borderId="1" xfId="0" applyFont="true" applyBorder="true" applyAlignment="true" applyProtection="false">
      <alignment horizontal="right" vertical="center" textRotation="0" wrapText="false" indent="0" shrinkToFit="false"/>
      <protection locked="true" hidden="false"/>
    </xf>
    <xf numFmtId="169" fontId="10" fillId="4" borderId="1" xfId="0" applyFont="true" applyBorder="true" applyAlignment="true" applyProtection="false">
      <alignment horizontal="right" vertical="center" textRotation="0" wrapText="false" indent="0" shrinkToFit="false"/>
      <protection locked="true" hidden="false"/>
    </xf>
    <xf numFmtId="167" fontId="8" fillId="3" borderId="1"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7" fontId="10" fillId="4" borderId="1" xfId="0" applyFont="true" applyBorder="true" applyAlignment="true" applyProtection="false">
      <alignment horizontal="right" vertical="center"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right" vertical="center" textRotation="0" wrapText="false" indent="0" shrinkToFit="false"/>
      <protection locked="true" hidden="false"/>
    </xf>
    <xf numFmtId="164" fontId="7" fillId="9" borderId="1" xfId="0" applyFont="true" applyBorder="true" applyAlignment="true" applyProtection="false">
      <alignment horizontal="left" vertical="center" textRotation="0" wrapText="false" indent="0" shrinkToFit="false"/>
      <protection locked="true" hidden="false"/>
    </xf>
    <xf numFmtId="167" fontId="10" fillId="9" borderId="1" xfId="0" applyFont="true" applyBorder="true" applyAlignment="true" applyProtection="false">
      <alignment horizontal="right" vertical="center" textRotation="0" wrapText="false" indent="0" shrinkToFit="false"/>
      <protection locked="true" hidden="false"/>
    </xf>
    <xf numFmtId="169" fontId="10" fillId="9"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2" fillId="2" borderId="0"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70" fontId="16" fillId="8" borderId="1" xfId="0" applyFont="true" applyBorder="true" applyAlignment="true" applyProtection="false">
      <alignment horizontal="right" vertical="center" textRotation="0" wrapText="fals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71" fontId="13" fillId="0" borderId="1" xfId="0" applyFont="true" applyBorder="true" applyAlignment="true" applyProtection="false">
      <alignment horizontal="center" vertical="center" textRotation="0" wrapText="false" indent="0" shrinkToFit="false"/>
      <protection locked="true" hidden="false"/>
    </xf>
    <xf numFmtId="171" fontId="16" fillId="8" borderId="1" xfId="0" applyFont="true" applyBorder="true" applyAlignment="true" applyProtection="false">
      <alignment horizontal="right" vertical="center" textRotation="0" wrapText="false" indent="0"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xf numFmtId="172" fontId="16" fillId="3" borderId="1" xfId="0" applyFont="true" applyBorder="true" applyAlignment="true" applyProtection="false">
      <alignment horizontal="right" vertical="center" textRotation="0" wrapText="false" indent="0" shrinkToFit="false"/>
      <protection locked="true" hidden="false"/>
    </xf>
    <xf numFmtId="172" fontId="16" fillId="11" borderId="1" xfId="0" applyFont="true" applyBorder="true" applyAlignment="true" applyProtection="false">
      <alignment horizontal="right" vertical="center" textRotation="0" wrapText="false" indent="0" shrinkToFit="false"/>
      <protection locked="true" hidden="false"/>
    </xf>
    <xf numFmtId="164" fontId="14" fillId="12" borderId="1" xfId="0" applyFont="true" applyBorder="true" applyAlignment="true" applyProtection="false">
      <alignment horizontal="left" vertical="center" textRotation="0" wrapText="false" indent="0" shrinkToFit="false"/>
      <protection locked="true" hidden="false"/>
    </xf>
    <xf numFmtId="171" fontId="13" fillId="12" borderId="1" xfId="0" applyFont="true" applyBorder="true" applyAlignment="true" applyProtection="false">
      <alignment horizontal="center" vertical="center" textRotation="0" wrapText="false" indent="0" shrinkToFit="false"/>
      <protection locked="true" hidden="false"/>
    </xf>
    <xf numFmtId="171" fontId="16" fillId="12" borderId="1" xfId="0" applyFont="true" applyBorder="true" applyAlignment="true" applyProtection="false">
      <alignment horizontal="right" vertical="center" textRotation="0" wrapText="false" indent="0" shrinkToFit="false"/>
      <protection locked="true" hidden="false"/>
    </xf>
    <xf numFmtId="164" fontId="14" fillId="13" borderId="1" xfId="0" applyFont="true" applyBorder="true" applyAlignment="true" applyProtection="false">
      <alignment horizontal="center" vertical="center" textRotation="0" wrapText="false" indent="0" shrinkToFit="false"/>
      <protection locked="true" hidden="false"/>
    </xf>
    <xf numFmtId="164" fontId="13" fillId="12" borderId="1"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true" applyAlignment="true" applyProtection="false">
      <alignment horizontal="left" vertical="top" textRotation="0" wrapText="true" indent="0" shrinkToFit="false"/>
      <protection locked="true" hidden="false"/>
    </xf>
    <xf numFmtId="171" fontId="10" fillId="8" borderId="1" xfId="0" applyFont="true" applyBorder="true" applyAlignment="true" applyProtection="false">
      <alignment horizontal="right" vertical="center" textRotation="0" wrapText="false" indent="0" shrinkToFit="false"/>
      <protection locked="true" hidden="false"/>
    </xf>
    <xf numFmtId="171" fontId="10" fillId="5" borderId="1" xfId="0" applyFont="true" applyBorder="true" applyAlignment="true" applyProtection="false">
      <alignment horizontal="right" vertical="center" textRotation="0" wrapText="false" indent="0" shrinkToFit="false"/>
      <protection locked="true" hidden="false"/>
    </xf>
    <xf numFmtId="164" fontId="7" fillId="12" borderId="1" xfId="0" applyFont="true" applyBorder="true" applyAlignment="true" applyProtection="false">
      <alignment horizontal="left" vertical="center" textRotation="0" wrapText="false" indent="0" shrinkToFit="false"/>
      <protection locked="true" hidden="false"/>
    </xf>
    <xf numFmtId="172" fontId="10" fillId="6" borderId="1" xfId="0" applyFont="true" applyBorder="true" applyAlignment="true" applyProtection="false">
      <alignment horizontal="right" vertical="center" textRotation="0" wrapText="false" indent="0" shrinkToFit="false"/>
      <protection locked="true" hidden="false"/>
    </xf>
    <xf numFmtId="171" fontId="10" fillId="6" borderId="1" xfId="0" applyFont="true" applyBorder="true" applyAlignment="true" applyProtection="false">
      <alignment horizontal="right" vertical="center" textRotation="0" wrapText="false" indent="0" shrinkToFit="false"/>
      <protection locked="true" hidden="false"/>
    </xf>
    <xf numFmtId="171" fontId="11" fillId="9" borderId="1" xfId="0" applyFont="true" applyBorder="true" applyAlignment="true" applyProtection="false">
      <alignment horizontal="righ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11" fillId="12" borderId="1" xfId="0" applyFont="true" applyBorder="true" applyAlignment="true" applyProtection="false">
      <alignment horizontal="center" vertical="center" textRotation="0" wrapText="false" indent="0" shrinkToFit="false"/>
      <protection locked="true" hidden="false"/>
    </xf>
    <xf numFmtId="173" fontId="7" fillId="6" borderId="1" xfId="0" applyFont="true" applyBorder="true" applyAlignment="true" applyProtection="false">
      <alignment horizontal="center" vertical="center" textRotation="0" wrapText="false" indent="0" shrinkToFit="false"/>
      <protection locked="true" hidden="false"/>
    </xf>
    <xf numFmtId="164" fontId="11" fillId="12" borderId="1" xfId="0" applyFont="true" applyBorder="true" applyAlignment="true" applyProtection="false">
      <alignment horizontal="left" vertical="center" textRotation="0" wrapText="false" indent="0" shrinkToFit="false"/>
      <protection locked="true" hidden="false"/>
    </xf>
    <xf numFmtId="164" fontId="11" fillId="12" borderId="2"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9" fillId="14" borderId="1" xfId="0" applyFont="true" applyBorder="true" applyAlignment="true" applyProtection="false">
      <alignment horizontal="left" vertical="center" textRotation="0" wrapText="false" indent="0" shrinkToFit="false"/>
      <protection locked="true" hidden="false"/>
    </xf>
    <xf numFmtId="164" fontId="19" fillId="14" borderId="1" xfId="0" applyFont="true" applyBorder="true" applyAlignment="true" applyProtection="false">
      <alignment horizontal="left" vertical="top" textRotation="0" wrapText="true" indent="0" shrinkToFit="false"/>
      <protection locked="true" hidden="false"/>
    </xf>
    <xf numFmtId="172" fontId="13" fillId="14" borderId="1" xfId="0" applyFont="true" applyBorder="true" applyAlignment="true" applyProtection="false">
      <alignment horizontal="right" vertical="center" textRotation="0" wrapText="false" indent="0" shrinkToFit="false"/>
      <protection locked="true" hidden="false"/>
    </xf>
    <xf numFmtId="164" fontId="13" fillId="14" borderId="1" xfId="0" applyFont="true" applyBorder="true" applyAlignment="true" applyProtection="false">
      <alignment horizontal="left" vertical="center" textRotation="0" wrapText="false" indent="0" shrinkToFit="false"/>
      <protection locked="true" hidden="false"/>
    </xf>
    <xf numFmtId="164" fontId="13" fillId="14" borderId="1" xfId="0" applyFont="true" applyBorder="true" applyAlignment="true" applyProtection="false">
      <alignment horizontal="left" vertical="top" textRotation="0" wrapText="true" indent="0" shrinkToFit="false"/>
      <protection locked="true" hidden="false"/>
    </xf>
    <xf numFmtId="164" fontId="19" fillId="0" borderId="1" xfId="0" applyFont="true" applyBorder="true" applyAlignment="true" applyProtection="false">
      <alignment horizontal="left" vertical="center" textRotation="0" wrapText="fals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72" fontId="13" fillId="0" borderId="1" xfId="0" applyFont="true" applyBorder="true" applyAlignment="true" applyProtection="false">
      <alignment horizontal="right" vertical="center"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74" fontId="13" fillId="0" borderId="1" xfId="0" applyFont="true" applyBorder="true" applyAlignment="true" applyProtection="false">
      <alignment horizontal="center" vertical="center" textRotation="0" wrapText="false" indent="0" shrinkToFit="false"/>
      <protection locked="true" hidden="false"/>
    </xf>
    <xf numFmtId="164" fontId="13" fillId="12" borderId="1" xfId="0" applyFont="true" applyBorder="true" applyAlignment="true" applyProtection="false">
      <alignment horizontal="left" vertical="center" textRotation="0" wrapText="false" indent="0" shrinkToFit="false"/>
      <protection locked="true" hidden="false"/>
    </xf>
    <xf numFmtId="164" fontId="14" fillId="12" borderId="1" xfId="0" applyFont="true" applyBorder="true" applyAlignment="true" applyProtection="false">
      <alignment horizontal="center" vertical="center" textRotation="0" wrapText="false" indent="0" shrinkToFit="false"/>
      <protection locked="true" hidden="false"/>
    </xf>
    <xf numFmtId="164" fontId="17" fillId="12" borderId="1" xfId="0" applyFont="true" applyBorder="true" applyAlignment="true" applyProtection="false">
      <alignment horizontal="left" vertical="top" textRotation="0" wrapText="true" indent="0" shrinkToFit="false"/>
      <protection locked="true" hidden="false"/>
    </xf>
    <xf numFmtId="174" fontId="13" fillId="12" borderId="1" xfId="0" applyFont="true" applyBorder="true" applyAlignment="true" applyProtection="false">
      <alignment horizontal="center" vertical="center" textRotation="0" wrapText="false" indent="0" shrinkToFit="false"/>
      <protection locked="true" hidden="false"/>
    </xf>
    <xf numFmtId="170" fontId="13" fillId="0" borderId="1" xfId="0" applyFont="true" applyBorder="true" applyAlignment="true" applyProtection="false">
      <alignment horizontal="center" vertical="center" textRotation="0" wrapText="false" indent="0" shrinkToFit="false"/>
      <protection locked="true" hidden="false"/>
    </xf>
    <xf numFmtId="170" fontId="13" fillId="12" borderId="1" xfId="0" applyFont="true" applyBorder="true" applyAlignment="true" applyProtection="false">
      <alignment horizontal="center" vertical="center" textRotation="0" wrapText="fals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6" fontId="13" fillId="12" borderId="1" xfId="0" applyFont="true" applyBorder="true" applyAlignment="true" applyProtection="false">
      <alignment horizontal="center" vertical="center" textRotation="0" wrapText="false" indent="0" shrinkToFit="false"/>
      <protection locked="true" hidden="false"/>
    </xf>
    <xf numFmtId="164" fontId="20" fillId="14" borderId="1" xfId="0" applyFont="true" applyBorder="true" applyAlignment="true" applyProtection="false">
      <alignment horizontal="left" vertical="top" textRotation="0" wrapText="true" indent="0" shrinkToFit="false"/>
      <protection locked="true" hidden="false"/>
    </xf>
    <xf numFmtId="175" fontId="8" fillId="3" borderId="1" xfId="0" applyFont="true" applyBorder="true" applyAlignment="true" applyProtection="false">
      <alignment horizontal="right" vertical="center" textRotation="0" wrapText="false" indent="0" shrinkToFit="false"/>
      <protection locked="true" hidden="false"/>
    </xf>
    <xf numFmtId="168" fontId="8" fillId="3" borderId="1" xfId="0" applyFont="true" applyBorder="true" applyAlignment="true" applyProtection="false">
      <alignment horizontal="right" vertical="center" textRotation="0" wrapText="false" indent="0" shrinkToFit="false"/>
      <protection locked="true" hidden="false"/>
    </xf>
    <xf numFmtId="166" fontId="8" fillId="3" borderId="1" xfId="0" applyFont="true" applyBorder="true" applyAlignment="true" applyProtection="false">
      <alignment horizontal="right" vertical="center" textRotation="0" wrapText="false" indent="0" shrinkToFit="false"/>
      <protection locked="true" hidden="false"/>
    </xf>
    <xf numFmtId="172" fontId="8" fillId="3" borderId="1" xfId="0" applyFont="true" applyBorder="true" applyAlignment="true" applyProtection="false">
      <alignment horizontal="right" vertical="center" textRotation="0" wrapText="false" indent="0" shrinkToFit="false"/>
      <protection locked="true" hidden="false"/>
    </xf>
    <xf numFmtId="176" fontId="8" fillId="3"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right" vertical="center" textRotation="0" wrapText="false" indent="0" shrinkToFit="false"/>
      <protection locked="true" hidden="false"/>
    </xf>
    <xf numFmtId="177" fontId="8" fillId="3" borderId="1" xfId="0" applyFont="true" applyBorder="true" applyAlignment="true" applyProtection="false">
      <alignment horizontal="right" vertical="center" textRotation="0" wrapText="false" indent="0" shrinkToFit="false"/>
      <protection locked="true" hidden="false"/>
    </xf>
    <xf numFmtId="164" fontId="11" fillId="12" borderId="1" xfId="0" applyFont="true" applyBorder="true" applyAlignment="true" applyProtection="false">
      <alignment horizontal="general" vertical="bottom" textRotation="0" wrapText="false" indent="0" shrinkToFit="false"/>
      <protection locked="true" hidden="false"/>
    </xf>
    <xf numFmtId="173" fontId="8"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78" fontId="21" fillId="6" borderId="1" xfId="0" applyFont="true" applyBorder="true" applyAlignment="true" applyProtection="false">
      <alignment horizontal="right" vertical="center" textRotation="0" wrapText="false" indent="0" shrinkToFit="false"/>
      <protection locked="true" hidden="false"/>
    </xf>
    <xf numFmtId="171" fontId="21" fillId="6" borderId="1" xfId="0" applyFont="true" applyBorder="true" applyAlignment="true" applyProtection="false">
      <alignment horizontal="right" vertical="center" textRotation="0" wrapText="false" indent="0" shrinkToFit="false"/>
      <protection locked="true" hidden="false"/>
    </xf>
    <xf numFmtId="175" fontId="21" fillId="6" borderId="1" xfId="0" applyFont="true" applyBorder="true" applyAlignment="true" applyProtection="false">
      <alignment horizontal="right" vertical="center" textRotation="0" wrapText="false" indent="0" shrinkToFit="false"/>
      <protection locked="true" hidden="false"/>
    </xf>
    <xf numFmtId="177" fontId="21" fillId="8" borderId="1" xfId="0" applyFont="true" applyBorder="true" applyAlignment="true" applyProtection="false">
      <alignment horizontal="right" vertical="center" textRotation="0" wrapText="false" indent="0" shrinkToFit="false"/>
      <protection locked="true" hidden="false"/>
    </xf>
    <xf numFmtId="177" fontId="21" fillId="6" borderId="1" xfId="0" applyFont="true" applyBorder="true" applyAlignment="true" applyProtection="false">
      <alignment horizontal="right" vertical="center" textRotation="0" wrapText="false" indent="0" shrinkToFit="false"/>
      <protection locked="true" hidden="false"/>
    </xf>
    <xf numFmtId="171" fontId="21" fillId="8" borderId="1" xfId="0" applyFont="true" applyBorder="true" applyAlignment="true" applyProtection="false">
      <alignment horizontal="right" vertical="center" textRotation="0" wrapText="false" indent="0" shrinkToFit="false"/>
      <protection locked="true" hidden="false"/>
    </xf>
    <xf numFmtId="171" fontId="21" fillId="5" borderId="1" xfId="0" applyFont="true" applyBorder="true" applyAlignment="true" applyProtection="false">
      <alignment horizontal="right" vertical="center" textRotation="0" wrapText="false" indent="0" shrinkToFit="false"/>
      <protection locked="true" hidden="false"/>
    </xf>
    <xf numFmtId="169" fontId="21" fillId="4" borderId="1" xfId="0" applyFont="true" applyBorder="true" applyAlignment="true" applyProtection="false">
      <alignment horizontal="right" vertical="center" textRotation="0" wrapText="false" indent="0" shrinkToFit="false"/>
      <protection locked="true" hidden="false"/>
    </xf>
    <xf numFmtId="177" fontId="21" fillId="8" borderId="1" xfId="0" applyFont="true" applyBorder="true" applyAlignment="true" applyProtection="false">
      <alignment horizontal="general" vertical="bottom" textRotation="0" wrapText="false" indent="0" shrinkToFit="false"/>
      <protection locked="true" hidden="false"/>
    </xf>
    <xf numFmtId="177" fontId="21" fillId="6" borderId="1" xfId="0" applyFont="true" applyBorder="true" applyAlignment="true" applyProtection="false">
      <alignment horizontal="general" vertical="bottom" textRotation="0" wrapText="false" indent="0" shrinkToFit="false"/>
      <protection locked="true" hidden="false"/>
    </xf>
    <xf numFmtId="171" fontId="21" fillId="8" borderId="1" xfId="0" applyFont="true" applyBorder="true" applyAlignment="true" applyProtection="false">
      <alignment horizontal="general" vertical="bottom" textRotation="0" wrapText="false" indent="0" shrinkToFit="false"/>
      <protection locked="true" hidden="false"/>
    </xf>
    <xf numFmtId="171" fontId="21" fillId="5" borderId="1" xfId="0" applyFont="true" applyBorder="true" applyAlignment="true" applyProtection="false">
      <alignment horizontal="general" vertical="bottom" textRotation="0" wrapText="false" indent="0" shrinkToFit="false"/>
      <protection locked="true" hidden="false"/>
    </xf>
    <xf numFmtId="169" fontId="21" fillId="4"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E2EFDA"/>
      <rgbColor rgb="FFD9EAD3"/>
      <rgbColor rgb="FFFCE4D6"/>
      <rgbColor rgb="FFF0F4FF"/>
      <rgbColor rgb="FFFFE4E1"/>
      <rgbColor rgb="FFFFE6E6"/>
      <rgbColor rgb="FFFCE5CD"/>
      <rgbColor rgb="FF3366FF"/>
      <rgbColor rgb="FF33CCCC"/>
      <rgbColor rgb="FF99CC00"/>
      <rgbColor rgb="FFFFCC00"/>
      <rgbColor rgb="FFFF9900"/>
      <rgbColor rgb="FFC65911"/>
      <rgbColor rgb="FF595959"/>
      <rgbColor rgb="FF969696"/>
      <rgbColor rgb="FF1F3864"/>
      <rgbColor rgb="FF339966"/>
      <rgbColor rgb="FF003300"/>
      <rgbColor rgb="FF333300"/>
      <rgbColor rgb="FF993300"/>
      <rgbColor rgb="FF993366"/>
      <rgbColor rgb="FF305496"/>
      <rgbColor rgb="FF1F4E7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8"/>
    <col collapsed="false" customWidth="true" hidden="false" outlineLevel="0" max="15" min="3" style="1" width="10"/>
  </cols>
  <sheetData>
    <row r="1" customFormat="false" ht="27.75" hidden="false" customHeight="true" outlineLevel="0" collapsed="false">
      <c r="A1" s="2" t="s">
        <v>0</v>
      </c>
      <c r="B1" s="2"/>
      <c r="C1" s="2"/>
      <c r="D1" s="2"/>
      <c r="E1" s="2"/>
      <c r="F1" s="2"/>
      <c r="G1" s="2"/>
      <c r="H1" s="2"/>
      <c r="I1" s="2"/>
      <c r="J1" s="2"/>
      <c r="K1" s="2"/>
      <c r="L1" s="2"/>
      <c r="M1" s="2"/>
      <c r="N1" s="2"/>
      <c r="O1" s="2"/>
    </row>
    <row r="2" customFormat="false" ht="31.5" hidden="false" customHeight="true" outlineLevel="0" collapsed="false">
      <c r="A2" s="3" t="s">
        <v>1</v>
      </c>
      <c r="B2" s="3"/>
      <c r="C2" s="3"/>
      <c r="D2" s="3"/>
      <c r="E2" s="3"/>
      <c r="F2" s="3"/>
      <c r="G2" s="3"/>
      <c r="H2" s="3"/>
      <c r="I2" s="3"/>
      <c r="J2" s="3"/>
      <c r="K2" s="3"/>
      <c r="L2" s="3"/>
      <c r="M2" s="3"/>
      <c r="N2" s="3"/>
      <c r="O2" s="3"/>
    </row>
    <row r="4" customFormat="false" ht="18" hidden="false" customHeight="true" outlineLevel="0" collapsed="false">
      <c r="A4" s="4" t="s">
        <v>2</v>
      </c>
      <c r="B4" s="4"/>
      <c r="C4" s="4"/>
      <c r="D4" s="4"/>
      <c r="E4" s="4"/>
      <c r="F4" s="4"/>
      <c r="G4" s="4"/>
      <c r="H4" s="4"/>
      <c r="I4" s="4"/>
      <c r="J4" s="4"/>
      <c r="K4" s="4"/>
      <c r="L4" s="4"/>
      <c r="M4" s="4"/>
      <c r="N4" s="4"/>
      <c r="O4" s="4"/>
    </row>
    <row r="5" customFormat="false" ht="18" hidden="false" customHeight="true" outlineLevel="0" collapsed="false">
      <c r="A5" s="5" t="s">
        <v>3</v>
      </c>
      <c r="B5" s="6" t="s">
        <v>4</v>
      </c>
      <c r="C5" s="7" t="s">
        <v>5</v>
      </c>
      <c r="D5" s="8" t="s">
        <v>6</v>
      </c>
      <c r="E5" s="8"/>
      <c r="F5" s="8"/>
      <c r="G5" s="8"/>
      <c r="H5" s="8"/>
      <c r="I5" s="8"/>
      <c r="J5" s="8"/>
      <c r="K5" s="8"/>
      <c r="L5" s="8"/>
      <c r="M5" s="8"/>
      <c r="N5" s="8"/>
      <c r="O5" s="8"/>
    </row>
    <row r="6" customFormat="false" ht="18" hidden="false" customHeight="true" outlineLevel="0" collapsed="false">
      <c r="A6" s="5" t="s">
        <v>7</v>
      </c>
      <c r="B6" s="6" t="n">
        <v>2030</v>
      </c>
      <c r="C6" s="7" t="s">
        <v>5</v>
      </c>
      <c r="D6" s="8" t="s">
        <v>8</v>
      </c>
      <c r="E6" s="8"/>
      <c r="F6" s="8"/>
      <c r="G6" s="8"/>
      <c r="H6" s="8"/>
      <c r="I6" s="8"/>
      <c r="J6" s="8"/>
      <c r="K6" s="8"/>
      <c r="L6" s="8"/>
      <c r="M6" s="8"/>
      <c r="N6" s="8"/>
      <c r="O6" s="8"/>
      <c r="P6" s="9" t="n">
        <f aca="false">MATCH(TEXT($B$6,"0"),input_data!$M$3:$X$3,0)</f>
        <v>7</v>
      </c>
    </row>
    <row r="7" customFormat="false" ht="18" hidden="false" customHeight="true" outlineLevel="0" collapsed="false">
      <c r="A7" s="5" t="s">
        <v>9</v>
      </c>
      <c r="B7" s="6" t="n">
        <v>0.7</v>
      </c>
      <c r="C7" s="7" t="s">
        <v>5</v>
      </c>
      <c r="D7" s="8" t="s">
        <v>10</v>
      </c>
      <c r="E7" s="8"/>
      <c r="F7" s="8"/>
      <c r="G7" s="8"/>
      <c r="H7" s="8"/>
      <c r="I7" s="8"/>
      <c r="J7" s="8"/>
      <c r="K7" s="8"/>
      <c r="L7" s="8"/>
      <c r="M7" s="8"/>
      <c r="N7" s="8"/>
      <c r="O7" s="8"/>
    </row>
    <row r="9" customFormat="false" ht="18" hidden="false" customHeight="true" outlineLevel="0" collapsed="false">
      <c r="A9" s="4" t="s">
        <v>11</v>
      </c>
      <c r="B9" s="4"/>
      <c r="C9" s="4"/>
      <c r="D9" s="4"/>
      <c r="E9" s="4"/>
      <c r="F9" s="4"/>
      <c r="G9" s="4"/>
      <c r="H9" s="4"/>
      <c r="I9" s="4"/>
      <c r="J9" s="4"/>
      <c r="K9" s="4"/>
      <c r="L9" s="4"/>
      <c r="M9" s="4"/>
      <c r="N9" s="4"/>
      <c r="O9" s="4"/>
    </row>
    <row r="10" customFormat="false" ht="18" hidden="false" customHeight="true" outlineLevel="0" collapsed="false">
      <c r="A10" s="10" t="s">
        <v>12</v>
      </c>
      <c r="B10" s="10"/>
      <c r="C10" s="10"/>
      <c r="D10" s="10"/>
      <c r="E10" s="10"/>
      <c r="F10" s="10"/>
      <c r="G10" s="10"/>
      <c r="H10" s="10"/>
      <c r="I10" s="10"/>
      <c r="J10" s="10"/>
      <c r="K10" s="10"/>
      <c r="L10" s="10"/>
      <c r="M10" s="10"/>
      <c r="N10" s="10"/>
      <c r="O10" s="10"/>
    </row>
    <row r="11" customFormat="false" ht="15.75" hidden="false" customHeight="true" outlineLevel="0" collapsed="false">
      <c r="A11" s="11" t="s">
        <v>13</v>
      </c>
      <c r="B11" s="12" t="n">
        <v>1</v>
      </c>
      <c r="C11" s="7" t="s">
        <v>5</v>
      </c>
      <c r="D11" s="8" t="s">
        <v>14</v>
      </c>
      <c r="E11" s="8"/>
      <c r="F11" s="8"/>
      <c r="G11" s="8"/>
      <c r="H11" s="8"/>
      <c r="I11" s="8"/>
      <c r="J11" s="8"/>
      <c r="K11" s="8"/>
      <c r="L11" s="8"/>
      <c r="M11" s="8"/>
      <c r="N11" s="8"/>
      <c r="O11" s="8"/>
    </row>
    <row r="12" customFormat="false" ht="15.75" hidden="false" customHeight="true" outlineLevel="0" collapsed="false">
      <c r="A12" s="11" t="s">
        <v>15</v>
      </c>
      <c r="B12" s="12" t="n">
        <v>1</v>
      </c>
      <c r="C12" s="7" t="s">
        <v>5</v>
      </c>
      <c r="D12" s="8" t="s">
        <v>16</v>
      </c>
      <c r="E12" s="8"/>
      <c r="F12" s="8"/>
      <c r="G12" s="8"/>
      <c r="H12" s="8"/>
      <c r="I12" s="8"/>
      <c r="J12" s="8"/>
      <c r="K12" s="8"/>
      <c r="L12" s="8"/>
      <c r="M12" s="8"/>
      <c r="N12" s="8"/>
      <c r="O12" s="8"/>
    </row>
    <row r="13" customFormat="false" ht="15.75" hidden="false" customHeight="true" outlineLevel="0" collapsed="false">
      <c r="A13" s="11" t="s">
        <v>17</v>
      </c>
      <c r="B13" s="12" t="n">
        <v>1</v>
      </c>
      <c r="C13" s="7" t="s">
        <v>5</v>
      </c>
      <c r="D13" s="8" t="s">
        <v>18</v>
      </c>
      <c r="E13" s="8"/>
      <c r="F13" s="8"/>
      <c r="G13" s="8"/>
      <c r="H13" s="8"/>
      <c r="I13" s="8"/>
      <c r="J13" s="8"/>
      <c r="K13" s="8"/>
      <c r="L13" s="8"/>
      <c r="M13" s="8"/>
      <c r="N13" s="8"/>
      <c r="O13" s="8"/>
    </row>
    <row r="14" customFormat="false" ht="15.75" hidden="false" customHeight="true" outlineLevel="0" collapsed="false">
      <c r="A14" s="11" t="s">
        <v>19</v>
      </c>
      <c r="B14" s="12" t="n">
        <v>1</v>
      </c>
      <c r="C14" s="7" t="s">
        <v>5</v>
      </c>
      <c r="D14" s="8" t="s">
        <v>20</v>
      </c>
      <c r="E14" s="8"/>
      <c r="F14" s="8"/>
      <c r="G14" s="8"/>
      <c r="H14" s="8"/>
      <c r="I14" s="8"/>
      <c r="J14" s="8"/>
      <c r="K14" s="8"/>
      <c r="L14" s="8"/>
      <c r="M14" s="8"/>
      <c r="N14" s="8"/>
      <c r="O14" s="8"/>
    </row>
    <row r="15" customFormat="false" ht="15.75" hidden="false" customHeight="true" outlineLevel="0" collapsed="false">
      <c r="A15" s="11" t="s">
        <v>21</v>
      </c>
      <c r="B15" s="12" t="n">
        <v>1</v>
      </c>
      <c r="C15" s="7" t="s">
        <v>5</v>
      </c>
      <c r="D15" s="8" t="s">
        <v>22</v>
      </c>
      <c r="E15" s="8"/>
      <c r="F15" s="8"/>
      <c r="G15" s="8"/>
      <c r="H15" s="8"/>
      <c r="I15" s="8"/>
      <c r="J15" s="8"/>
      <c r="K15" s="8"/>
      <c r="L15" s="8"/>
      <c r="M15" s="8"/>
      <c r="N15" s="8"/>
      <c r="O15" s="8"/>
    </row>
    <row r="17" customFormat="false" ht="18" hidden="false" customHeight="true" outlineLevel="0" collapsed="false">
      <c r="A17" s="10" t="s">
        <v>23</v>
      </c>
      <c r="B17" s="10"/>
      <c r="C17" s="10"/>
      <c r="D17" s="10"/>
      <c r="E17" s="10"/>
      <c r="F17" s="10"/>
      <c r="G17" s="10"/>
      <c r="H17" s="10"/>
      <c r="I17" s="10"/>
      <c r="J17" s="10"/>
      <c r="K17" s="10"/>
      <c r="L17" s="10"/>
      <c r="M17" s="10"/>
      <c r="N17" s="10"/>
      <c r="O17" s="10"/>
    </row>
    <row r="18" customFormat="false" ht="18" hidden="false" customHeight="true" outlineLevel="0" collapsed="false">
      <c r="A18" s="13" t="s">
        <v>24</v>
      </c>
      <c r="B18" s="14" t="s">
        <v>25</v>
      </c>
      <c r="C18" s="14" t="s">
        <v>26</v>
      </c>
      <c r="D18" s="14" t="s">
        <v>27</v>
      </c>
      <c r="E18" s="14" t="s">
        <v>28</v>
      </c>
      <c r="F18" s="14" t="s">
        <v>29</v>
      </c>
      <c r="G18" s="14" t="s">
        <v>30</v>
      </c>
      <c r="H18" s="14" t="s">
        <v>31</v>
      </c>
      <c r="I18" s="14" t="s">
        <v>32</v>
      </c>
    </row>
    <row r="19" customFormat="false" ht="15" hidden="false" customHeight="true" outlineLevel="0" collapsed="false">
      <c r="A19" s="13" t="s">
        <v>33</v>
      </c>
      <c r="B19" s="12" t="n">
        <v>1</v>
      </c>
      <c r="C19" s="12" t="n">
        <v>1</v>
      </c>
      <c r="D19" s="12" t="n">
        <v>1</v>
      </c>
      <c r="E19" s="12" t="n">
        <v>1</v>
      </c>
      <c r="F19" s="12" t="n">
        <v>1</v>
      </c>
      <c r="G19" s="12" t="n">
        <v>1</v>
      </c>
      <c r="H19" s="12" t="n">
        <v>1</v>
      </c>
      <c r="I19" s="12" t="n">
        <v>1</v>
      </c>
    </row>
    <row r="20" customFormat="false" ht="15" hidden="false" customHeight="true" outlineLevel="0" collapsed="false">
      <c r="A20" s="13" t="s">
        <v>34</v>
      </c>
      <c r="B20" s="15" t="n">
        <f aca="false">INDEX(input_data!$L:$L,MATCH("all.in.cs2.stl.drg.---",input_data!$A:$A,0))</f>
        <v>0</v>
      </c>
      <c r="C20" s="15" t="n">
        <f aca="false">INDEX(input_data!$L:$L,MATCH("all.in.cs2.stl.scr.---",input_data!$A:$A,0))</f>
        <v>0</v>
      </c>
      <c r="D20" s="15" t="n">
        <f aca="false">INDEX(input_data!$L:$L,MATCH("all.in.cs2.stl.bof.---",input_data!$A:$A,0))</f>
        <v>0</v>
      </c>
      <c r="E20" s="15" t="n">
        <f aca="false">INDEX(input_data!$L:$L,MATCH("all.in.cs2.cmt.dry.---",input_data!$A:$A,0))</f>
        <v>1</v>
      </c>
      <c r="F20" s="15" t="n">
        <f aca="false">INDEX(input_data!$L:$L,MATCH("all.in.cs2.frt.amc.---",input_data!$A:$A,0))</f>
        <v>1</v>
      </c>
      <c r="G20" s="15" t="n">
        <f aca="false">INDEX(input_data!$L:$L,MATCH("all.in.cs2.frt.ure.---",input_data!$A:$A,0))</f>
        <v>1</v>
      </c>
      <c r="H20" s="15" t="n">
        <f aca="false">INDEX(input_data!$L:$L,MATCH("all.in.cs2.frt.nit.---",input_data!$A:$A,0))</f>
        <v>1</v>
      </c>
      <c r="I20" s="15" t="n">
        <f aca="false">INDEX(input_data!$L:$L,MATCH("all.in.cs2.alu.prp.---",input_data!$A:$A,0))</f>
        <v>0</v>
      </c>
    </row>
    <row r="22" customFormat="false" ht="30" hidden="false" customHeight="true" outlineLevel="0" collapsed="false">
      <c r="A22" s="16" t="s">
        <v>35</v>
      </c>
      <c r="B22" s="12" t="n">
        <v>0</v>
      </c>
      <c r="C22" s="7" t="s">
        <v>5</v>
      </c>
      <c r="D22" s="8" t="s">
        <v>36</v>
      </c>
      <c r="E22" s="8"/>
      <c r="F22" s="8"/>
      <c r="G22" s="8"/>
      <c r="H22" s="8"/>
      <c r="I22" s="8"/>
      <c r="J22" s="8"/>
      <c r="K22" s="8"/>
      <c r="L22" s="8"/>
      <c r="M22" s="8"/>
      <c r="N22" s="8"/>
      <c r="O22" s="8"/>
    </row>
    <row r="24" customFormat="false" ht="18" hidden="false" customHeight="true" outlineLevel="0" collapsed="false">
      <c r="A24" s="4" t="s">
        <v>37</v>
      </c>
      <c r="B24" s="4"/>
      <c r="C24" s="4"/>
      <c r="D24" s="4"/>
      <c r="E24" s="4"/>
      <c r="F24" s="4"/>
      <c r="G24" s="4"/>
      <c r="H24" s="4"/>
      <c r="I24" s="4"/>
      <c r="J24" s="4"/>
      <c r="K24" s="4"/>
      <c r="L24" s="4"/>
      <c r="M24" s="4"/>
      <c r="N24" s="4"/>
      <c r="O24" s="4"/>
    </row>
    <row r="25" customFormat="false" ht="21.75" hidden="false" customHeight="true" outlineLevel="0" collapsed="false">
      <c r="A25" s="17" t="s">
        <v>38</v>
      </c>
      <c r="B25" s="17" t="s">
        <v>39</v>
      </c>
      <c r="C25" s="18"/>
      <c r="D25" s="17" t="s">
        <v>40</v>
      </c>
      <c r="E25" s="17" t="s">
        <v>41</v>
      </c>
      <c r="F25" s="17" t="s">
        <v>42</v>
      </c>
      <c r="G25" s="17" t="s">
        <v>43</v>
      </c>
      <c r="H25" s="17" t="s">
        <v>44</v>
      </c>
      <c r="I25" s="17" t="s">
        <v>45</v>
      </c>
      <c r="J25" s="17" t="s">
        <v>46</v>
      </c>
      <c r="K25" s="17" t="s">
        <v>47</v>
      </c>
      <c r="L25" s="17" t="s">
        <v>48</v>
      </c>
      <c r="M25" s="17" t="s">
        <v>49</v>
      </c>
      <c r="N25" s="17" t="s">
        <v>50</v>
      </c>
      <c r="O25" s="17" t="s">
        <v>51</v>
      </c>
    </row>
    <row r="26" customFormat="false" ht="15.75" hidden="false" customHeight="true" outlineLevel="0" collapsed="false">
      <c r="A26" s="5" t="s">
        <v>52</v>
      </c>
      <c r="B26" s="19" t="s">
        <v>53</v>
      </c>
      <c r="C26" s="20"/>
      <c r="D26" s="21" t="n">
        <f aca="false">INDEX(input_data!$M:$X,MATCH("all.in.ets.---.---.---",input_data!$A:$A,0),1)</f>
        <v>85</v>
      </c>
      <c r="E26" s="21" t="n">
        <f aca="false">INDEX(input_data!$M:$X,MATCH("all.in.ets.---.---.---",input_data!$A:$A,0),2)</f>
        <v>90</v>
      </c>
      <c r="F26" s="21" t="n">
        <f aca="false">INDEX(input_data!$M:$X,MATCH("all.in.ets.---.---.---",input_data!$A:$A,0),3)</f>
        <v>100</v>
      </c>
      <c r="G26" s="21" t="n">
        <f aca="false">INDEX(input_data!$M:$X,MATCH("all.in.ets.---.---.---",input_data!$A:$A,0),4)</f>
        <v>105</v>
      </c>
      <c r="H26" s="21" t="n">
        <f aca="false">INDEX(input_data!$M:$X,MATCH("all.in.ets.---.---.---",input_data!$A:$A,0),5)</f>
        <v>110</v>
      </c>
      <c r="I26" s="21" t="n">
        <f aca="false">INDEX(input_data!$M:$X,MATCH("all.in.ets.---.---.---",input_data!$A:$A,0),6)</f>
        <v>110</v>
      </c>
      <c r="J26" s="21" t="n">
        <f aca="false">INDEX(input_data!$M:$X,MATCH("all.in.ets.---.---.---",input_data!$A:$A,0),7)</f>
        <v>115</v>
      </c>
      <c r="K26" s="21" t="n">
        <f aca="false">INDEX(input_data!$M:$X,MATCH("all.in.ets.---.---.---",input_data!$A:$A,0),8)</f>
        <v>120</v>
      </c>
      <c r="L26" s="21" t="n">
        <f aca="false">INDEX(input_data!$M:$X,MATCH("all.in.ets.---.---.---",input_data!$A:$A,0),9)</f>
        <v>125</v>
      </c>
      <c r="M26" s="21" t="n">
        <f aca="false">INDEX(input_data!$M:$X,MATCH("all.in.ets.---.---.---",input_data!$A:$A,0),10)</f>
        <v>130</v>
      </c>
      <c r="N26" s="21" t="n">
        <f aca="false">INDEX(input_data!$M:$X,MATCH("all.in.ets.---.---.---",input_data!$A:$A,0),11)</f>
        <v>135</v>
      </c>
      <c r="O26" s="21" t="n">
        <f aca="false">INDEX(input_data!$M:$X,MATCH("all.in.ets.---.---.---",input_data!$A:$A,0),12)</f>
        <v>140</v>
      </c>
    </row>
    <row r="27" customFormat="false" ht="15.75" hidden="false" customHeight="true" outlineLevel="0" collapsed="false">
      <c r="A27" s="5" t="s">
        <v>54</v>
      </c>
      <c r="B27" s="19" t="s">
        <v>55</v>
      </c>
      <c r="C27" s="20"/>
      <c r="D27" s="22" t="n">
        <f aca="false">INDEX(input_data!$M:$X,MATCH("all.in.cbf.---.---.---",input_data!$A:$A,0),1)</f>
        <v>0</v>
      </c>
      <c r="E27" s="22" t="n">
        <f aca="false">INDEX(input_data!$M:$X,MATCH("all.in.cbf.---.---.---",input_data!$A:$A,0),2)</f>
        <v>0</v>
      </c>
      <c r="F27" s="22" t="n">
        <f aca="false">INDEX(input_data!$M:$X,MATCH("all.in.cbf.---.---.---",input_data!$A:$A,0),3)</f>
        <v>0.025</v>
      </c>
      <c r="G27" s="22" t="n">
        <f aca="false">INDEX(input_data!$M:$X,MATCH("all.in.cbf.---.---.---",input_data!$A:$A,0),4)</f>
        <v>0.05</v>
      </c>
      <c r="H27" s="22" t="n">
        <f aca="false">INDEX(input_data!$M:$X,MATCH("all.in.cbf.---.---.---",input_data!$A:$A,0),5)</f>
        <v>0.1</v>
      </c>
      <c r="I27" s="22" t="n">
        <f aca="false">INDEX(input_data!$M:$X,MATCH("all.in.cbf.---.---.---",input_data!$A:$A,0),6)</f>
        <v>0.225</v>
      </c>
      <c r="J27" s="22" t="n">
        <f aca="false">INDEX(input_data!$M:$X,MATCH("all.in.cbf.---.---.---",input_data!$A:$A,0),7)</f>
        <v>0.485</v>
      </c>
      <c r="K27" s="22" t="n">
        <f aca="false">INDEX(input_data!$M:$X,MATCH("all.in.cbf.---.---.---",input_data!$A:$A,0),8)</f>
        <v>0.61</v>
      </c>
      <c r="L27" s="22" t="n">
        <f aca="false">INDEX(input_data!$M:$X,MATCH("all.in.cbf.---.---.---",input_data!$A:$A,0),9)</f>
        <v>0.735</v>
      </c>
      <c r="M27" s="22" t="n">
        <f aca="false">INDEX(input_data!$M:$X,MATCH("all.in.cbf.---.---.---",input_data!$A:$A,0),10)</f>
        <v>0.86</v>
      </c>
      <c r="N27" s="22" t="n">
        <f aca="false">INDEX(input_data!$M:$X,MATCH("all.in.cbf.---.---.---",input_data!$A:$A,0),11)</f>
        <v>1</v>
      </c>
      <c r="O27" s="22" t="n">
        <f aca="false">INDEX(input_data!$M:$X,MATCH("all.in.cbf.---.---.---",input_data!$A:$A,0),12)</f>
        <v>1</v>
      </c>
    </row>
    <row r="28" customFormat="false" ht="18" hidden="false" customHeight="true" outlineLevel="0" collapsed="false">
      <c r="A28" s="5" t="s">
        <v>56</v>
      </c>
      <c r="B28" s="19" t="s">
        <v>57</v>
      </c>
      <c r="C28" s="20"/>
      <c r="D28" s="23" t="n">
        <f aca="false">IFERROR((IFERROR(calculations!M21*calculations!M248,0)+IFERROR(calculations!M49*calculations!M253,0)+IFERROR(calculations!M77*calculations!M258,0)+IFERROR(calculations!M105*calculations!M263,0)+IFERROR(calculations!M133*calculations!M268,0)+IFERROR(calculations!M161*calculations!M273,0)+IFERROR(calculations!M189*calculations!M278,0)+IFERROR(calculations!M217*calculations!M283,0))/(IFERROR(calculations!M21/calculations!M20*((calculations!M41+calculations!M244)*$B$11+calculations!M42*$B$12+calculations!M43*$B$13+calculations!M44*$B$14+calculations!M45*$B$15*INDEX(input_data!$L:$L,MATCH("all.in.cs2.stl.drg.---",input_data!$A:$A,0))),0)+IFERROR(calculations!M49/calculations!M48*((calculations!M69+calculations!M249)*$B$11+calculations!M70*$B$12+calculations!M71*$B$13+calculations!M72*$B$14+calculations!M73*$B$15*INDEX(input_data!$L:$L,MATCH("all.in.cs2.stl.scr.---",input_data!$A:$A,0))),0)+IFERROR(calculations!M77/calculations!M76*((calculations!M97+calculations!M254)*$B$11+calculations!M98*$B$12+calculations!M99*$B$13+calculations!M100*$B$14+calculations!M101*$B$15*INDEX(input_data!$L:$L,MATCH("all.in.cs2.stl.bof.---",input_data!$A:$A,0))),0)+IFERROR(calculations!M105/calculations!M104*((calculations!M125+calculations!M259)*$B$11+calculations!M126*$B$12+calculations!M127*$B$13+calculations!M128*$B$14+calculations!M129*$B$15*INDEX(input_data!$L:$L,MATCH("all.in.cs2.cmt.dry.---",input_data!$A:$A,0))),0)+IFERROR(calculations!M133/calculations!M132*((calculations!M153+calculations!M264)*$B$11+calculations!M154*$B$12+calculations!M155*$B$13+calculations!M156*$B$14+calculations!M157*$B$15*INDEX(input_data!$L:$L,MATCH("all.in.cs2.frt.amc.---",input_data!$A:$A,0))),0)+IFERROR(calculations!M161/calculations!M160*((calculations!M181+calculations!M269)*$B$11+calculations!M182*$B$12+calculations!M183*$B$13+calculations!M184*$B$14+calculations!M185*$B$15*INDEX(input_data!$L:$L,MATCH("all.in.cs2.frt.ure.---",input_data!$A:$A,0))),0)+IFERROR(calculations!M189/calculations!M188*((calculations!M209+calculations!M274)*$B$11+calculations!M210*$B$12+calculations!M211*$B$13+calculations!M212*$B$14+calculations!M213*$B$15*INDEX(input_data!$L:$L,MATCH("all.in.cs2.frt.nit.---",input_data!$A:$A,0))),0)+IFERROR(calculations!M217/calculations!M216*((calculations!M237+calculations!M279)*$B$11+calculations!M238*$B$12+calculations!M239*$B$13+calculations!M240*$B$14+calculations!M241*$B$15*INDEX(input_data!$L:$L,MATCH("all.in.cs2.alu.prp.---",input_data!$A:$A,0))),0)),0)</f>
        <v>0</v>
      </c>
      <c r="E28" s="23" t="n">
        <f aca="false">IFERROR((IFERROR(calculations!N21*calculations!N248,0)+IFERROR(calculations!N49*calculations!N253,0)+IFERROR(calculations!N77*calculations!N258,0)+IFERROR(calculations!N105*calculations!N263,0)+IFERROR(calculations!N133*calculations!N268,0)+IFERROR(calculations!N161*calculations!N273,0)+IFERROR(calculations!N189*calculations!N278,0)+IFERROR(calculations!N217*calculations!N283,0))/(IFERROR(calculations!N21/calculations!N20*((calculations!N41+calculations!N244)*$B$11+calculations!N42*$B$12+calculations!N43*$B$13+calculations!N44*$B$14+calculations!N45*$B$15*INDEX(input_data!$L:$L,MATCH("all.in.cs2.stl.drg.---",input_data!$A:$A,0))),0)+IFERROR(calculations!N49/calculations!N48*((calculations!N69+calculations!N249)*$B$11+calculations!N70*$B$12+calculations!N71*$B$13+calculations!N72*$B$14+calculations!N73*$B$15*INDEX(input_data!$L:$L,MATCH("all.in.cs2.stl.scr.---",input_data!$A:$A,0))),0)+IFERROR(calculations!N77/calculations!N76*((calculations!N97+calculations!N254)*$B$11+calculations!N98*$B$12+calculations!N99*$B$13+calculations!N100*$B$14+calculations!N101*$B$15*INDEX(input_data!$L:$L,MATCH("all.in.cs2.stl.bof.---",input_data!$A:$A,0))),0)+IFERROR(calculations!N105/calculations!N104*((calculations!N125+calculations!N259)*$B$11+calculations!N126*$B$12+calculations!N127*$B$13+calculations!N128*$B$14+calculations!N129*$B$15*INDEX(input_data!$L:$L,MATCH("all.in.cs2.cmt.dry.---",input_data!$A:$A,0))),0)+IFERROR(calculations!N133/calculations!N132*((calculations!N153+calculations!N264)*$B$11+calculations!N154*$B$12+calculations!N155*$B$13+calculations!N156*$B$14+calculations!N157*$B$15*INDEX(input_data!$L:$L,MATCH("all.in.cs2.frt.amc.---",input_data!$A:$A,0))),0)+IFERROR(calculations!N161/calculations!N160*((calculations!N181+calculations!N269)*$B$11+calculations!N182*$B$12+calculations!N183*$B$13+calculations!N184*$B$14+calculations!N185*$B$15*INDEX(input_data!$L:$L,MATCH("all.in.cs2.frt.ure.---",input_data!$A:$A,0))),0)+IFERROR(calculations!N189/calculations!N188*((calculations!N209+calculations!N274)*$B$11+calculations!N210*$B$12+calculations!N211*$B$13+calculations!N212*$B$14+calculations!N213*$B$15*INDEX(input_data!$L:$L,MATCH("all.in.cs2.frt.nit.---",input_data!$A:$A,0))),0)+IFERROR(calculations!N217/calculations!N216*((calculations!N237+calculations!N279)*$B$11+calculations!N238*$B$12+calculations!N239*$B$13+calculations!N240*$B$14+calculations!N241*$B$15*INDEX(input_data!$L:$L,MATCH("all.in.cs2.alu.prp.---",input_data!$A:$A,0))),0)),0)</f>
        <v>0</v>
      </c>
      <c r="F28" s="23" t="n">
        <f aca="false">IFERROR((IFERROR(calculations!O21*calculations!O248,0)+IFERROR(calculations!O49*calculations!O253,0)+IFERROR(calculations!O77*calculations!O258,0)+IFERROR(calculations!O105*calculations!O263,0)+IFERROR(calculations!O133*calculations!O268,0)+IFERROR(calculations!O161*calculations!O273,0)+IFERROR(calculations!O189*calculations!O278,0)+IFERROR(calculations!O217*calculations!O283,0))/(IFERROR(calculations!O21/calculations!O20*((calculations!O41+calculations!O244)*$B$11+calculations!O42*$B$12+calculations!O43*$B$13+calculations!O44*$B$14+calculations!O45*$B$15*INDEX(input_data!$L:$L,MATCH("all.in.cs2.stl.drg.---",input_data!$A:$A,0))),0)+IFERROR(calculations!O49/calculations!O48*((calculations!O69+calculations!O249)*$B$11+calculations!O70*$B$12+calculations!O71*$B$13+calculations!O72*$B$14+calculations!O73*$B$15*INDEX(input_data!$L:$L,MATCH("all.in.cs2.stl.scr.---",input_data!$A:$A,0))),0)+IFERROR(calculations!O77/calculations!O76*((calculations!O97+calculations!O254)*$B$11+calculations!O98*$B$12+calculations!O99*$B$13+calculations!O100*$B$14+calculations!O101*$B$15*INDEX(input_data!$L:$L,MATCH("all.in.cs2.stl.bof.---",input_data!$A:$A,0))),0)+IFERROR(calculations!O105/calculations!O104*((calculations!O125+calculations!O259)*$B$11+calculations!O126*$B$12+calculations!O127*$B$13+calculations!O128*$B$14+calculations!O129*$B$15*INDEX(input_data!$L:$L,MATCH("all.in.cs2.cmt.dry.---",input_data!$A:$A,0))),0)+IFERROR(calculations!O133/calculations!O132*((calculations!O153+calculations!O264)*$B$11+calculations!O154*$B$12+calculations!O155*$B$13+calculations!O156*$B$14+calculations!O157*$B$15*INDEX(input_data!$L:$L,MATCH("all.in.cs2.frt.amc.---",input_data!$A:$A,0))),0)+IFERROR(calculations!O161/calculations!O160*((calculations!O181+calculations!O269)*$B$11+calculations!O182*$B$12+calculations!O183*$B$13+calculations!O184*$B$14+calculations!O185*$B$15*INDEX(input_data!$L:$L,MATCH("all.in.cs2.frt.ure.---",input_data!$A:$A,0))),0)+IFERROR(calculations!O189/calculations!O188*((calculations!O209+calculations!O274)*$B$11+calculations!O210*$B$12+calculations!O211*$B$13+calculations!O212*$B$14+calculations!O213*$B$15*INDEX(input_data!$L:$L,MATCH("all.in.cs2.frt.nit.---",input_data!$A:$A,0))),0)+IFERROR(calculations!O217/calculations!O216*((calculations!O237+calculations!O279)*$B$11+calculations!O238*$B$12+calculations!O239*$B$13+calculations!O240*$B$14+calculations!O241*$B$15*INDEX(input_data!$L:$L,MATCH("all.in.cs2.alu.prp.---",input_data!$A:$A,0))),0)),0)</f>
        <v>58.952710391527</v>
      </c>
      <c r="G28" s="23" t="n">
        <f aca="false">IFERROR((IFERROR(calculations!P21*calculations!P248,0)+IFERROR(calculations!P49*calculations!P253,0)+IFERROR(calculations!P77*calculations!P258,0)+IFERROR(calculations!P105*calculations!P263,0)+IFERROR(calculations!P133*calculations!P268,0)+IFERROR(calculations!P161*calculations!P273,0)+IFERROR(calculations!P189*calculations!P278,0)+IFERROR(calculations!P217*calculations!P283,0))/(IFERROR(calculations!P21/calculations!P20*((calculations!P41+calculations!P244)*$B$11+calculations!P42*$B$12+calculations!P43*$B$13+calculations!P44*$B$14+calculations!P45*$B$15*INDEX(input_data!$L:$L,MATCH("all.in.cs2.stl.drg.---",input_data!$A:$A,0))),0)+IFERROR(calculations!P49/calculations!P48*((calculations!P69+calculations!P249)*$B$11+calculations!P70*$B$12+calculations!P71*$B$13+calculations!P72*$B$14+calculations!P73*$B$15*INDEX(input_data!$L:$L,MATCH("all.in.cs2.stl.scr.---",input_data!$A:$A,0))),0)+IFERROR(calculations!P77/calculations!P76*((calculations!P97+calculations!P254)*$B$11+calculations!P98*$B$12+calculations!P99*$B$13+calculations!P100*$B$14+calculations!P101*$B$15*INDEX(input_data!$L:$L,MATCH("all.in.cs2.stl.bof.---",input_data!$A:$A,0))),0)+IFERROR(calculations!P105/calculations!P104*((calculations!P125+calculations!P259)*$B$11+calculations!P126*$B$12+calculations!P127*$B$13+calculations!P128*$B$14+calculations!P129*$B$15*INDEX(input_data!$L:$L,MATCH("all.in.cs2.cmt.dry.---",input_data!$A:$A,0))),0)+IFERROR(calculations!P133/calculations!P132*((calculations!P153+calculations!P264)*$B$11+calculations!P154*$B$12+calculations!P155*$B$13+calculations!P156*$B$14+calculations!P157*$B$15*INDEX(input_data!$L:$L,MATCH("all.in.cs2.frt.amc.---",input_data!$A:$A,0))),0)+IFERROR(calculations!P161/calculations!P160*((calculations!P181+calculations!P269)*$B$11+calculations!P182*$B$12+calculations!P183*$B$13+calculations!P184*$B$14+calculations!P185*$B$15*INDEX(input_data!$L:$L,MATCH("all.in.cs2.frt.ure.---",input_data!$A:$A,0))),0)+IFERROR(calculations!P189/calculations!P188*((calculations!P209+calculations!P274)*$B$11+calculations!P210*$B$12+calculations!P211*$B$13+calculations!P212*$B$14+calculations!P213*$B$15*INDEX(input_data!$L:$L,MATCH("all.in.cs2.frt.nit.---",input_data!$A:$A,0))),0)+IFERROR(calculations!P217/calculations!P216*((calculations!P237+calculations!P279)*$B$11+calculations!P238*$B$12+calculations!P239*$B$13+calculations!P240*$B$14+calculations!P241*$B$15*INDEX(input_data!$L:$L,MATCH("all.in.cs2.alu.prp.---",input_data!$A:$A,0))),0)),0)</f>
        <v>63.2428897242982</v>
      </c>
      <c r="H28" s="23" t="n">
        <f aca="false">IFERROR((IFERROR(calculations!Q21*calculations!Q248,0)+IFERROR(calculations!Q49*calculations!Q253,0)+IFERROR(calculations!Q77*calculations!Q258,0)+IFERROR(calculations!Q105*calculations!Q263,0)+IFERROR(calculations!Q133*calculations!Q268,0)+IFERROR(calculations!Q161*calculations!Q273,0)+IFERROR(calculations!Q189*calculations!Q278,0)+IFERROR(calculations!Q217*calculations!Q283,0))/(IFERROR(calculations!Q21/calculations!Q20*((calculations!Q41+calculations!Q244)*$B$11+calculations!Q42*$B$12+calculations!Q43*$B$13+calculations!Q44*$B$14+calculations!Q45*$B$15*INDEX(input_data!$L:$L,MATCH("all.in.cs2.stl.drg.---",input_data!$A:$A,0))),0)+IFERROR(calculations!Q49/calculations!Q48*((calculations!Q69+calculations!Q249)*$B$11+calculations!Q70*$B$12+calculations!Q71*$B$13+calculations!Q72*$B$14+calculations!Q73*$B$15*INDEX(input_data!$L:$L,MATCH("all.in.cs2.stl.scr.---",input_data!$A:$A,0))),0)+IFERROR(calculations!Q77/calculations!Q76*((calculations!Q97+calculations!Q254)*$B$11+calculations!Q98*$B$12+calculations!Q99*$B$13+calculations!Q100*$B$14+calculations!Q101*$B$15*INDEX(input_data!$L:$L,MATCH("all.in.cs2.stl.bof.---",input_data!$A:$A,0))),0)+IFERROR(calculations!Q105/calculations!Q104*((calculations!Q125+calculations!Q259)*$B$11+calculations!Q126*$B$12+calculations!Q127*$B$13+calculations!Q128*$B$14+calculations!Q129*$B$15*INDEX(input_data!$L:$L,MATCH("all.in.cs2.cmt.dry.---",input_data!$A:$A,0))),0)+IFERROR(calculations!Q133/calculations!Q132*((calculations!Q153+calculations!Q264)*$B$11+calculations!Q154*$B$12+calculations!Q155*$B$13+calculations!Q156*$B$14+calculations!Q157*$B$15*INDEX(input_data!$L:$L,MATCH("all.in.cs2.frt.amc.---",input_data!$A:$A,0))),0)+IFERROR(calculations!Q161/calculations!Q160*((calculations!Q181+calculations!Q269)*$B$11+calculations!Q182*$B$12+calculations!Q183*$B$13+calculations!Q184*$B$14+calculations!Q185*$B$15*INDEX(input_data!$L:$L,MATCH("all.in.cs2.frt.ure.---",input_data!$A:$A,0))),0)+IFERROR(calculations!Q189/calculations!Q188*((calculations!Q209+calculations!Q274)*$B$11+calculations!Q210*$B$12+calculations!Q211*$B$13+calculations!Q212*$B$14+calculations!Q213*$B$15*INDEX(input_data!$L:$L,MATCH("all.in.cs2.frt.nit.---",input_data!$A:$A,0))),0)+IFERROR(calculations!Q217/calculations!Q216*((calculations!Q237+calculations!Q279)*$B$11+calculations!Q238*$B$12+calculations!Q239*$B$13+calculations!Q240*$B$14+calculations!Q241*$B$15*INDEX(input_data!$L:$L,MATCH("all.in.cs2.alu.prp.---",input_data!$A:$A,0))),0)),0)</f>
        <v>68.9109105497232</v>
      </c>
      <c r="I28" s="23" t="n">
        <f aca="false">IFERROR((IFERROR(calculations!R21*calculations!R248,0)+IFERROR(calculations!R49*calculations!R253,0)+IFERROR(calculations!R77*calculations!R258,0)+IFERROR(calculations!R105*calculations!R263,0)+IFERROR(calculations!R133*calculations!R268,0)+IFERROR(calculations!R161*calculations!R273,0)+IFERROR(calculations!R189*calculations!R278,0)+IFERROR(calculations!R217*calculations!R283,0))/(IFERROR(calculations!R21/calculations!R20*((calculations!R41+calculations!R244)*$B$11+calculations!R42*$B$12+calculations!R43*$B$13+calculations!R44*$B$14+calculations!R45*$B$15*INDEX(input_data!$L:$L,MATCH("all.in.cs2.stl.drg.---",input_data!$A:$A,0))),0)+IFERROR(calculations!R49/calculations!R48*((calculations!R69+calculations!R249)*$B$11+calculations!R70*$B$12+calculations!R71*$B$13+calculations!R72*$B$14+calculations!R73*$B$15*INDEX(input_data!$L:$L,MATCH("all.in.cs2.stl.scr.---",input_data!$A:$A,0))),0)+IFERROR(calculations!R77/calculations!R76*((calculations!R97+calculations!R254)*$B$11+calculations!R98*$B$12+calculations!R99*$B$13+calculations!R100*$B$14+calculations!R101*$B$15*INDEX(input_data!$L:$L,MATCH("all.in.cs2.stl.bof.---",input_data!$A:$A,0))),0)+IFERROR(calculations!R105/calculations!R104*((calculations!R125+calculations!R259)*$B$11+calculations!R126*$B$12+calculations!R127*$B$13+calculations!R128*$B$14+calculations!R129*$B$15*INDEX(input_data!$L:$L,MATCH("all.in.cs2.cmt.dry.---",input_data!$A:$A,0))),0)+IFERROR(calculations!R133/calculations!R132*((calculations!R153+calculations!R264)*$B$11+calculations!R154*$B$12+calculations!R155*$B$13+calculations!R156*$B$14+calculations!R157*$B$15*INDEX(input_data!$L:$L,MATCH("all.in.cs2.frt.amc.---",input_data!$A:$A,0))),0)+IFERROR(calculations!R161/calculations!R160*((calculations!R181+calculations!R269)*$B$11+calculations!R182*$B$12+calculations!R183*$B$13+calculations!R184*$B$14+calculations!R185*$B$15*INDEX(input_data!$L:$L,MATCH("all.in.cs2.frt.ure.---",input_data!$A:$A,0))),0)+IFERROR(calculations!R189/calculations!R188*((calculations!R209+calculations!R274)*$B$11+calculations!R210*$B$12+calculations!R211*$B$13+calculations!R212*$B$14+calculations!R213*$B$15*INDEX(input_data!$L:$L,MATCH("all.in.cs2.frt.nit.---",input_data!$A:$A,0))),0)+IFERROR(calculations!R217/calculations!R216*((calculations!R237+calculations!R279)*$B$11+calculations!R238*$B$12+calculations!R239*$B$13+calculations!R240*$B$14+calculations!R241*$B$15*INDEX(input_data!$L:$L,MATCH("all.in.cs2.alu.prp.---",input_data!$A:$A,0))),0)),0)</f>
        <v>75.3166030908559</v>
      </c>
      <c r="J28" s="23" t="n">
        <f aca="false">IFERROR((IFERROR(calculations!S21*calculations!S248,0)+IFERROR(calculations!S49*calculations!S253,0)+IFERROR(calculations!S77*calculations!S258,0)+IFERROR(calculations!S105*calculations!S263,0)+IFERROR(calculations!S133*calculations!S268,0)+IFERROR(calculations!S161*calculations!S273,0)+IFERROR(calculations!S189*calculations!S278,0)+IFERROR(calculations!S217*calculations!S283,0))/(IFERROR(calculations!S21/calculations!S20*((calculations!S41+calculations!S244)*$B$11+calculations!S42*$B$12+calculations!S43*$B$13+calculations!S44*$B$14+calculations!S45*$B$15*INDEX(input_data!$L:$L,MATCH("all.in.cs2.stl.drg.---",input_data!$A:$A,0))),0)+IFERROR(calculations!S49/calculations!S48*((calculations!S69+calculations!S249)*$B$11+calculations!S70*$B$12+calculations!S71*$B$13+calculations!S72*$B$14+calculations!S73*$B$15*INDEX(input_data!$L:$L,MATCH("all.in.cs2.stl.scr.---",input_data!$A:$A,0))),0)+IFERROR(calculations!S77/calculations!S76*((calculations!S97+calculations!S254)*$B$11+calculations!S98*$B$12+calculations!S99*$B$13+calculations!S100*$B$14+calculations!S101*$B$15*INDEX(input_data!$L:$L,MATCH("all.in.cs2.stl.bof.---",input_data!$A:$A,0))),0)+IFERROR(calculations!S105/calculations!S104*((calculations!S125+calculations!S259)*$B$11+calculations!S126*$B$12+calculations!S127*$B$13+calculations!S128*$B$14+calculations!S129*$B$15*INDEX(input_data!$L:$L,MATCH("all.in.cs2.cmt.dry.---",input_data!$A:$A,0))),0)+IFERROR(calculations!S133/calculations!S132*((calculations!S153+calculations!S264)*$B$11+calculations!S154*$B$12+calculations!S155*$B$13+calculations!S156*$B$14+calculations!S157*$B$15*INDEX(input_data!$L:$L,MATCH("all.in.cs2.frt.amc.---",input_data!$A:$A,0))),0)+IFERROR(calculations!S161/calculations!S160*((calculations!S181+calculations!S269)*$B$11+calculations!S182*$B$12+calculations!S183*$B$13+calculations!S184*$B$14+calculations!S185*$B$15*INDEX(input_data!$L:$L,MATCH("all.in.cs2.frt.ure.---",input_data!$A:$A,0))),0)+IFERROR(calculations!S189/calculations!S188*((calculations!S209+calculations!S274)*$B$11+calculations!S210*$B$12+calculations!S211*$B$13+calculations!S212*$B$14+calculations!S213*$B$15*INDEX(input_data!$L:$L,MATCH("all.in.cs2.frt.nit.---",input_data!$A:$A,0))),0)+IFERROR(calculations!S217/calculations!S216*((calculations!S237+calculations!S279)*$B$11+calculations!S238*$B$12+calculations!S239*$B$13+calculations!S240*$B$14+calculations!S241*$B$15*INDEX(input_data!$L:$L,MATCH("all.in.cs2.alu.prp.---",input_data!$A:$A,0))),0)),0)</f>
        <v>94.2472656753062</v>
      </c>
      <c r="K28" s="23" t="n">
        <f aca="false">IFERROR((IFERROR(calculations!T21*calculations!T248,0)+IFERROR(calculations!T49*calculations!T253,0)+IFERROR(calculations!T77*calculations!T258,0)+IFERROR(calculations!T105*calculations!T263,0)+IFERROR(calculations!T133*calculations!T268,0)+IFERROR(calculations!T161*calculations!T273,0)+IFERROR(calculations!T189*calculations!T278,0)+IFERROR(calculations!T217*calculations!T283,0))/(IFERROR(calculations!T21/calculations!T20*((calculations!T41+calculations!T244)*$B$11+calculations!T42*$B$12+calculations!T43*$B$13+calculations!T44*$B$14+calculations!T45*$B$15*INDEX(input_data!$L:$L,MATCH("all.in.cs2.stl.drg.---",input_data!$A:$A,0))),0)+IFERROR(calculations!T49/calculations!T48*((calculations!T69+calculations!T249)*$B$11+calculations!T70*$B$12+calculations!T71*$B$13+calculations!T72*$B$14+calculations!T73*$B$15*INDEX(input_data!$L:$L,MATCH("all.in.cs2.stl.scr.---",input_data!$A:$A,0))),0)+IFERROR(calculations!T77/calculations!T76*((calculations!T97+calculations!T254)*$B$11+calculations!T98*$B$12+calculations!T99*$B$13+calculations!T100*$B$14+calculations!T101*$B$15*INDEX(input_data!$L:$L,MATCH("all.in.cs2.stl.bof.---",input_data!$A:$A,0))),0)+IFERROR(calculations!T105/calculations!T104*((calculations!T125+calculations!T259)*$B$11+calculations!T126*$B$12+calculations!T127*$B$13+calculations!T128*$B$14+calculations!T129*$B$15*INDEX(input_data!$L:$L,MATCH("all.in.cs2.cmt.dry.---",input_data!$A:$A,0))),0)+IFERROR(calculations!T133/calculations!T132*((calculations!T153+calculations!T264)*$B$11+calculations!T154*$B$12+calculations!T155*$B$13+calculations!T156*$B$14+calculations!T157*$B$15*INDEX(input_data!$L:$L,MATCH("all.in.cs2.frt.amc.---",input_data!$A:$A,0))),0)+IFERROR(calculations!T161/calculations!T160*((calculations!T181+calculations!T269)*$B$11+calculations!T182*$B$12+calculations!T183*$B$13+calculations!T184*$B$14+calculations!T185*$B$15*INDEX(input_data!$L:$L,MATCH("all.in.cs2.frt.ure.---",input_data!$A:$A,0))),0)+IFERROR(calculations!T189/calculations!T188*((calculations!T209+calculations!T274)*$B$11+calculations!T210*$B$12+calculations!T211*$B$13+calculations!T212*$B$14+calculations!T213*$B$15*INDEX(input_data!$L:$L,MATCH("all.in.cs2.frt.nit.---",input_data!$A:$A,0))),0)+IFERROR(calculations!T217/calculations!T216*((calculations!T237+calculations!T279)*$B$11+calculations!T238*$B$12+calculations!T239*$B$13+calculations!T240*$B$14+calculations!T241*$B$15*INDEX(input_data!$L:$L,MATCH("all.in.cs2.alu.prp.---",input_data!$A:$A,0))),0)),0)</f>
        <v>106.598717774298</v>
      </c>
      <c r="L28" s="23" t="n">
        <f aca="false">IFERROR((IFERROR(calculations!U21*calculations!U248,0)+IFERROR(calculations!U49*calculations!U253,0)+IFERROR(calculations!U77*calculations!U258,0)+IFERROR(calculations!U105*calculations!U263,0)+IFERROR(calculations!U133*calculations!U268,0)+IFERROR(calculations!U161*calculations!U273,0)+IFERROR(calculations!U189*calculations!U278,0)+IFERROR(calculations!U217*calculations!U283,0))/(IFERROR(calculations!U21/calculations!U20*((calculations!U41+calculations!U244)*$B$11+calculations!U42*$B$12+calculations!U43*$B$13+calculations!U44*$B$14+calculations!U45*$B$15*INDEX(input_data!$L:$L,MATCH("all.in.cs2.stl.drg.---",input_data!$A:$A,0))),0)+IFERROR(calculations!U49/calculations!U48*((calculations!U69+calculations!U249)*$B$11+calculations!U70*$B$12+calculations!U71*$B$13+calculations!U72*$B$14+calculations!U73*$B$15*INDEX(input_data!$L:$L,MATCH("all.in.cs2.stl.scr.---",input_data!$A:$A,0))),0)+IFERROR(calculations!U77/calculations!U76*((calculations!U97+calculations!U254)*$B$11+calculations!U98*$B$12+calculations!U99*$B$13+calculations!U100*$B$14+calculations!U101*$B$15*INDEX(input_data!$L:$L,MATCH("all.in.cs2.stl.bof.---",input_data!$A:$A,0))),0)+IFERROR(calculations!U105/calculations!U104*((calculations!U125+calculations!U259)*$B$11+calculations!U126*$B$12+calculations!U127*$B$13+calculations!U128*$B$14+calculations!U129*$B$15*INDEX(input_data!$L:$L,MATCH("all.in.cs2.cmt.dry.---",input_data!$A:$A,0))),0)+IFERROR(calculations!U133/calculations!U132*((calculations!U153+calculations!U264)*$B$11+calculations!U154*$B$12+calculations!U155*$B$13+calculations!U156*$B$14+calculations!U157*$B$15*INDEX(input_data!$L:$L,MATCH("all.in.cs2.frt.amc.---",input_data!$A:$A,0))),0)+IFERROR(calculations!U161/calculations!U160*((calculations!U181+calculations!U269)*$B$11+calculations!U182*$B$12+calculations!U183*$B$13+calculations!U184*$B$14+calculations!U185*$B$15*INDEX(input_data!$L:$L,MATCH("all.in.cs2.frt.ure.---",input_data!$A:$A,0))),0)+IFERROR(calculations!U189/calculations!U188*((calculations!U209+calculations!U274)*$B$11+calculations!U210*$B$12+calculations!U211*$B$13+calculations!U212*$B$14+calculations!U213*$B$15*INDEX(input_data!$L:$L,MATCH("all.in.cs2.frt.nit.---",input_data!$A:$A,0))),0)+IFERROR(calculations!U217/calculations!U216*((calculations!U237+calculations!U279)*$B$11+calculations!U238*$B$12+calculations!U239*$B$13+calculations!U240*$B$14+calculations!U241*$B$15*INDEX(input_data!$L:$L,MATCH("all.in.cs2.alu.prp.---",input_data!$A:$A,0))),0)),0)</f>
        <v>119.58105253161</v>
      </c>
      <c r="M28" s="23" t="n">
        <f aca="false">IFERROR((IFERROR(calculations!V21*calculations!V248,0)+IFERROR(calculations!V49*calculations!V253,0)+IFERROR(calculations!V77*calculations!V258,0)+IFERROR(calculations!V105*calculations!V263,0)+IFERROR(calculations!V133*calculations!V268,0)+IFERROR(calculations!V161*calculations!V273,0)+IFERROR(calculations!V189*calculations!V278,0)+IFERROR(calculations!V217*calculations!V283,0))/(IFERROR(calculations!V21/calculations!V20*((calculations!V41+calculations!V244)*$B$11+calculations!V42*$B$12+calculations!V43*$B$13+calculations!V44*$B$14+calculations!V45*$B$15*INDEX(input_data!$L:$L,MATCH("all.in.cs2.stl.drg.---",input_data!$A:$A,0))),0)+IFERROR(calculations!V49/calculations!V48*((calculations!V69+calculations!V249)*$B$11+calculations!V70*$B$12+calculations!V71*$B$13+calculations!V72*$B$14+calculations!V73*$B$15*INDEX(input_data!$L:$L,MATCH("all.in.cs2.stl.scr.---",input_data!$A:$A,0))),0)+IFERROR(calculations!V77/calculations!V76*((calculations!V97+calculations!V254)*$B$11+calculations!V98*$B$12+calculations!V99*$B$13+calculations!V100*$B$14+calculations!V101*$B$15*INDEX(input_data!$L:$L,MATCH("all.in.cs2.stl.bof.---",input_data!$A:$A,0))),0)+IFERROR(calculations!V105/calculations!V104*((calculations!V125+calculations!V259)*$B$11+calculations!V126*$B$12+calculations!V127*$B$13+calculations!V128*$B$14+calculations!V129*$B$15*INDEX(input_data!$L:$L,MATCH("all.in.cs2.cmt.dry.---",input_data!$A:$A,0))),0)+IFERROR(calculations!V133/calculations!V132*((calculations!V153+calculations!V264)*$B$11+calculations!V154*$B$12+calculations!V155*$B$13+calculations!V156*$B$14+calculations!V157*$B$15*INDEX(input_data!$L:$L,MATCH("all.in.cs2.frt.amc.---",input_data!$A:$A,0))),0)+IFERROR(calculations!V161/calculations!V160*((calculations!V181+calculations!V269)*$B$11+calculations!V182*$B$12+calculations!V183*$B$13+calculations!V184*$B$14+calculations!V185*$B$15*INDEX(input_data!$L:$L,MATCH("all.in.cs2.frt.ure.---",input_data!$A:$A,0))),0)+IFERROR(calculations!V189/calculations!V188*((calculations!V209+calculations!V274)*$B$11+calculations!V210*$B$12+calculations!V211*$B$13+calculations!V212*$B$14+calculations!V213*$B$15*INDEX(input_data!$L:$L,MATCH("all.in.cs2.frt.nit.---",input_data!$A:$A,0))),0)+IFERROR(calculations!V217/calculations!V216*((calculations!V237+calculations!V279)*$B$11+calculations!V238*$B$12+calculations!V239*$B$13+calculations!V240*$B$14+calculations!V241*$B$15*INDEX(input_data!$L:$L,MATCH("all.in.cs2.alu.prp.---",input_data!$A:$A,0))),0)),0)</f>
        <v>133.187632645185</v>
      </c>
      <c r="N28" s="23" t="n">
        <f aca="false">IFERROR((IFERROR(calculations!W21*calculations!W248,0)+IFERROR(calculations!W49*calculations!W253,0)+IFERROR(calculations!W77*calculations!W258,0)+IFERROR(calculations!W105*calculations!W263,0)+IFERROR(calculations!W133*calculations!W268,0)+IFERROR(calculations!W161*calculations!W273,0)+IFERROR(calculations!W189*calculations!W278,0)+IFERROR(calculations!W217*calculations!W283,0))/(IFERROR(calculations!W21/calculations!W20*((calculations!W41+calculations!W244)*$B$11+calculations!W42*$B$12+calculations!W43*$B$13+calculations!W44*$B$14+calculations!W45*$B$15*INDEX(input_data!$L:$L,MATCH("all.in.cs2.stl.drg.---",input_data!$A:$A,0))),0)+IFERROR(calculations!W49/calculations!W48*((calculations!W69+calculations!W249)*$B$11+calculations!W70*$B$12+calculations!W71*$B$13+calculations!W72*$B$14+calculations!W73*$B$15*INDEX(input_data!$L:$L,MATCH("all.in.cs2.stl.scr.---",input_data!$A:$A,0))),0)+IFERROR(calculations!W77/calculations!W76*((calculations!W97+calculations!W254)*$B$11+calculations!W98*$B$12+calculations!W99*$B$13+calculations!W100*$B$14+calculations!W101*$B$15*INDEX(input_data!$L:$L,MATCH("all.in.cs2.stl.bof.---",input_data!$A:$A,0))),0)+IFERROR(calculations!W105/calculations!W104*((calculations!W125+calculations!W259)*$B$11+calculations!W126*$B$12+calculations!W127*$B$13+calculations!W128*$B$14+calculations!W129*$B$15*INDEX(input_data!$L:$L,MATCH("all.in.cs2.cmt.dry.---",input_data!$A:$A,0))),0)+IFERROR(calculations!W133/calculations!W132*((calculations!W153+calculations!W264)*$B$11+calculations!W154*$B$12+calculations!W155*$B$13+calculations!W156*$B$14+calculations!W157*$B$15*INDEX(input_data!$L:$L,MATCH("all.in.cs2.frt.amc.---",input_data!$A:$A,0))),0)+IFERROR(calculations!W161/calculations!W160*((calculations!W181+calculations!W269)*$B$11+calculations!W182*$B$12+calculations!W183*$B$13+calculations!W184*$B$14+calculations!W185*$B$15*INDEX(input_data!$L:$L,MATCH("all.in.cs2.frt.ure.---",input_data!$A:$A,0))),0)+IFERROR(calculations!W189/calculations!W188*((calculations!W209+calculations!W274)*$B$11+calculations!W210*$B$12+calculations!W211*$B$13+calculations!W212*$B$14+calculations!W213*$B$15*INDEX(input_data!$L:$L,MATCH("all.in.cs2.frt.nit.---",input_data!$A:$A,0))),0)+IFERROR(calculations!W217/calculations!W216*((calculations!W237+calculations!W279)*$B$11+calculations!W238*$B$12+calculations!W239*$B$13+calculations!W240*$B$14+calculations!W241*$B$15*INDEX(input_data!$L:$L,MATCH("all.in.cs2.alu.prp.---",input_data!$A:$A,0))),0)),0)</f>
        <v>148.5</v>
      </c>
      <c r="O28" s="23" t="n">
        <f aca="false">IFERROR((IFERROR(calculations!X21*calculations!X248,0)+IFERROR(calculations!X49*calculations!X253,0)+IFERROR(calculations!X77*calculations!X258,0)+IFERROR(calculations!X105*calculations!X263,0)+IFERROR(calculations!X133*calculations!X268,0)+IFERROR(calculations!X161*calculations!X273,0)+IFERROR(calculations!X189*calculations!X278,0)+IFERROR(calculations!X217*calculations!X283,0))/(IFERROR(calculations!X21/calculations!X20*((calculations!X41+calculations!X244)*$B$11+calculations!X42*$B$12+calculations!X43*$B$13+calculations!X44*$B$14+calculations!X45*$B$15*INDEX(input_data!$L:$L,MATCH("all.in.cs2.stl.drg.---",input_data!$A:$A,0))),0)+IFERROR(calculations!X49/calculations!X48*((calculations!X69+calculations!X249)*$B$11+calculations!X70*$B$12+calculations!X71*$B$13+calculations!X72*$B$14+calculations!X73*$B$15*INDEX(input_data!$L:$L,MATCH("all.in.cs2.stl.scr.---",input_data!$A:$A,0))),0)+IFERROR(calculations!X77/calculations!X76*((calculations!X97+calculations!X254)*$B$11+calculations!X98*$B$12+calculations!X99*$B$13+calculations!X100*$B$14+calculations!X101*$B$15*INDEX(input_data!$L:$L,MATCH("all.in.cs2.stl.bof.---",input_data!$A:$A,0))),0)+IFERROR(calculations!X105/calculations!X104*((calculations!X125+calculations!X259)*$B$11+calculations!X126*$B$12+calculations!X127*$B$13+calculations!X128*$B$14+calculations!X129*$B$15*INDEX(input_data!$L:$L,MATCH("all.in.cs2.cmt.dry.---",input_data!$A:$A,0))),0)+IFERROR(calculations!X133/calculations!X132*((calculations!X153+calculations!X264)*$B$11+calculations!X154*$B$12+calculations!X155*$B$13+calculations!X156*$B$14+calculations!X157*$B$15*INDEX(input_data!$L:$L,MATCH("all.in.cs2.frt.amc.---",input_data!$A:$A,0))),0)+IFERROR(calculations!X161/calculations!X160*((calculations!X181+calculations!X269)*$B$11+calculations!X182*$B$12+calculations!X183*$B$13+calculations!X184*$B$14+calculations!X185*$B$15*INDEX(input_data!$L:$L,MATCH("all.in.cs2.frt.ure.---",input_data!$A:$A,0))),0)+IFERROR(calculations!X189/calculations!X188*((calculations!X209+calculations!X274)*$B$11+calculations!X210*$B$12+calculations!X211*$B$13+calculations!X212*$B$14+calculations!X213*$B$15*INDEX(input_data!$L:$L,MATCH("all.in.cs2.frt.nit.---",input_data!$A:$A,0))),0)+IFERROR(calculations!X217/calculations!X216*((calculations!X237+calculations!X279)*$B$11+calculations!X238*$B$12+calculations!X239*$B$13+calculations!X240*$B$14+calculations!X241*$B$15*INDEX(input_data!$L:$L,MATCH("all.in.cs2.alu.prp.---",input_data!$A:$A,0))),0)),0)</f>
        <v>154</v>
      </c>
    </row>
    <row r="29" customFormat="false" ht="18" hidden="false" customHeight="true" outlineLevel="0" collapsed="false">
      <c r="A29" s="5" t="s">
        <v>58</v>
      </c>
      <c r="B29" s="19" t="s">
        <v>57</v>
      </c>
      <c r="C29" s="20"/>
      <c r="D29" s="24" t="n">
        <f aca="false">D28</f>
        <v>0</v>
      </c>
      <c r="E29" s="24" t="n">
        <f aca="false">E28</f>
        <v>0</v>
      </c>
      <c r="F29" s="24" t="n">
        <f aca="false">F28</f>
        <v>58.952710391527</v>
      </c>
      <c r="G29" s="24" t="n">
        <f aca="false">G28</f>
        <v>63.2428897242982</v>
      </c>
      <c r="H29" s="24" t="n">
        <f aca="false">H28</f>
        <v>68.9109105497232</v>
      </c>
      <c r="I29" s="24" t="n">
        <f aca="false">I28</f>
        <v>75.3166030908559</v>
      </c>
      <c r="J29" s="24" t="n">
        <f aca="false">J28</f>
        <v>94.2472656753062</v>
      </c>
      <c r="K29" s="24" t="n">
        <f aca="false">K28</f>
        <v>106.598717774298</v>
      </c>
      <c r="L29" s="24" t="n">
        <f aca="false">L28</f>
        <v>119.58105253161</v>
      </c>
      <c r="M29" s="24" t="n">
        <f aca="false">M28</f>
        <v>133.187632645185</v>
      </c>
      <c r="N29" s="24" t="n">
        <f aca="false">N28</f>
        <v>148.5</v>
      </c>
      <c r="O29" s="24" t="n">
        <f aca="false">O28</f>
        <v>154</v>
      </c>
    </row>
    <row r="31" customFormat="false" ht="18" hidden="false" customHeight="true" outlineLevel="0" collapsed="false">
      <c r="A31" s="4" t="s">
        <v>59</v>
      </c>
      <c r="B31" s="4"/>
      <c r="C31" s="4"/>
      <c r="D31" s="4"/>
      <c r="E31" s="4"/>
      <c r="F31" s="4"/>
      <c r="G31" s="4"/>
      <c r="H31" s="4"/>
      <c r="I31" s="4"/>
      <c r="J31" s="4"/>
      <c r="K31" s="4"/>
      <c r="L31" s="4"/>
      <c r="M31" s="4"/>
      <c r="N31" s="4"/>
      <c r="O31" s="4"/>
    </row>
    <row r="32" customFormat="false" ht="21.75" hidden="false" customHeight="true" outlineLevel="0" collapsed="false">
      <c r="A32" s="25" t="s">
        <v>38</v>
      </c>
      <c r="B32" s="25" t="s">
        <v>39</v>
      </c>
      <c r="C32" s="18"/>
      <c r="D32" s="17" t="s">
        <v>40</v>
      </c>
      <c r="E32" s="17" t="s">
        <v>41</v>
      </c>
      <c r="F32" s="17" t="s">
        <v>42</v>
      </c>
      <c r="G32" s="17" t="s">
        <v>43</v>
      </c>
      <c r="H32" s="17" t="s">
        <v>44</v>
      </c>
      <c r="I32" s="17" t="s">
        <v>45</v>
      </c>
      <c r="J32" s="17" t="s">
        <v>46</v>
      </c>
      <c r="K32" s="17" t="s">
        <v>47</v>
      </c>
      <c r="L32" s="17" t="s">
        <v>48</v>
      </c>
      <c r="M32" s="17" t="s">
        <v>49</v>
      </c>
      <c r="N32" s="17" t="s">
        <v>50</v>
      </c>
      <c r="O32" s="17" t="s">
        <v>51</v>
      </c>
    </row>
    <row r="33" customFormat="false" ht="15.75" hidden="false" customHeight="true" outlineLevel="0" collapsed="false">
      <c r="A33" s="5" t="s">
        <v>60</v>
      </c>
      <c r="B33" s="19" t="s">
        <v>61</v>
      </c>
      <c r="C33" s="20"/>
      <c r="D33" s="26" t="n">
        <f aca="false">IFERROR(calculations!M21*calculations!M248,0)+IFERROR(calculations!M49*calculations!M253,0)+IFERROR(calculations!M77*calculations!M258,0)+IFERROR(calculations!M105*calculations!M263,0)+IFERROR(calculations!M133*calculations!M268,0)+IFERROR(calculations!M161*calculations!M273,0)+IFERROR(calculations!M189*calculations!M278,0)+IFERROR(calculations!M217*calculations!M283,0)</f>
        <v>0</v>
      </c>
      <c r="E33" s="26" t="n">
        <f aca="false">IFERROR(calculations!N21*calculations!N248,0)+IFERROR(calculations!N49*calculations!N253,0)+IFERROR(calculations!N77*calculations!N258,0)+IFERROR(calculations!N105*calculations!N263,0)+IFERROR(calculations!N133*calculations!N268,0)+IFERROR(calculations!N161*calculations!N273,0)+IFERROR(calculations!N189*calculations!N278,0)+IFERROR(calculations!N217*calculations!N283,0)</f>
        <v>0</v>
      </c>
      <c r="F33" s="26" t="n">
        <f aca="false">IFERROR(calculations!O21*calculations!O248,0)+IFERROR(calculations!O49*calculations!O253,0)+IFERROR(calculations!O77*calculations!O258,0)+IFERROR(calculations!O105*calculations!O263,0)+IFERROR(calculations!O133*calculations!O268,0)+IFERROR(calculations!O161*calculations!O273,0)+IFERROR(calculations!O189*calculations!O278,0)+IFERROR(calculations!O217*calculations!O283,0)</f>
        <v>197.067488997581</v>
      </c>
      <c r="G33" s="26" t="n">
        <f aca="false">IFERROR(calculations!P21*calculations!P248,0)+IFERROR(calculations!P49*calculations!P253,0)+IFERROR(calculations!P77*calculations!P258,0)+IFERROR(calculations!P105*calculations!P263,0)+IFERROR(calculations!P133*calculations!P268,0)+IFERROR(calculations!P161*calculations!P273,0)+IFERROR(calculations!P189*calculations!P278,0)+IFERROR(calculations!P217*calculations!P283,0)</f>
        <v>220.859030204563</v>
      </c>
      <c r="H33" s="26" t="n">
        <f aca="false">IFERROR(calculations!Q21*calculations!Q248,0)+IFERROR(calculations!Q49*calculations!Q253,0)+IFERROR(calculations!Q77*calculations!Q258,0)+IFERROR(calculations!Q105*calculations!Q263,0)+IFERROR(calculations!Q133*calculations!Q268,0)+IFERROR(calculations!Q161*calculations!Q273,0)+IFERROR(calculations!Q189*calculations!Q278,0)+IFERROR(calculations!Q217*calculations!Q283,0)</f>
        <v>251.448904699839</v>
      </c>
      <c r="I33" s="26" t="n">
        <f aca="false">IFERROR(calculations!R21*calculations!R248,0)+IFERROR(calculations!R49*calculations!R253,0)+IFERROR(calculations!R77*calculations!R258,0)+IFERROR(calculations!R105*calculations!R263,0)+IFERROR(calculations!R133*calculations!R268,0)+IFERROR(calculations!R161*calculations!R273,0)+IFERROR(calculations!R189*calculations!R278,0)+IFERROR(calculations!R217*calculations!R283,0)</f>
        <v>287.194540971049</v>
      </c>
      <c r="J33" s="26" t="n">
        <f aca="false">IFERROR(calculations!S21*calculations!S248,0)+IFERROR(calculations!S49*calculations!S253,0)+IFERROR(calculations!S77*calculations!S258,0)+IFERROR(calculations!S105*calculations!S263,0)+IFERROR(calculations!S133*calculations!S268,0)+IFERROR(calculations!S161*calculations!S273,0)+IFERROR(calculations!S189*calculations!S278,0)+IFERROR(calculations!S217*calculations!S283,0)</f>
        <v>375.614742566214</v>
      </c>
      <c r="K33" s="26" t="n">
        <f aca="false">IFERROR(calculations!T21*calculations!T248,0)+IFERROR(calculations!T49*calculations!T253,0)+IFERROR(calculations!T77*calculations!T258,0)+IFERROR(calculations!T105*calculations!T263,0)+IFERROR(calculations!T133*calculations!T268,0)+IFERROR(calculations!T161*calculations!T273,0)+IFERROR(calculations!T189*calculations!T278,0)+IFERROR(calculations!T217*calculations!T283,0)</f>
        <v>444.09747039756</v>
      </c>
      <c r="L33" s="26" t="n">
        <f aca="false">IFERROR(calculations!U21*calculations!U248,0)+IFERROR(calculations!U49*calculations!U253,0)+IFERROR(calculations!U77*calculations!U258,0)+IFERROR(calculations!U105*calculations!U263,0)+IFERROR(calculations!U133*calculations!U268,0)+IFERROR(calculations!U161*calculations!U273,0)+IFERROR(calculations!U189*calculations!U278,0)+IFERROR(calculations!U217*calculations!U283,0)</f>
        <v>520.840178998723</v>
      </c>
      <c r="M33" s="26" t="n">
        <f aca="false">IFERROR(calculations!V21*calculations!V248,0)+IFERROR(calculations!V49*calculations!V253,0)+IFERROR(calculations!V77*calculations!V258,0)+IFERROR(calculations!V105*calculations!V263,0)+IFERROR(calculations!V133*calculations!V268,0)+IFERROR(calculations!V161*calculations!V273,0)+IFERROR(calculations!V189*calculations!V278,0)+IFERROR(calculations!V217*calculations!V283,0)</f>
        <v>606.574901214444</v>
      </c>
      <c r="N33" s="26" t="n">
        <f aca="false">IFERROR(calculations!W21*calculations!W248,0)+IFERROR(calculations!W49*calculations!W253,0)+IFERROR(calculations!W77*calculations!W258,0)+IFERROR(calculations!W105*calculations!W263,0)+IFERROR(calculations!W133*calculations!W268,0)+IFERROR(calculations!W161*calculations!W273,0)+IFERROR(calculations!W189*calculations!W278,0)+IFERROR(calculations!W217*calculations!W283,0)</f>
        <v>707.273439937512</v>
      </c>
      <c r="O33" s="26" t="n">
        <f aca="false">IFERROR(calculations!X21*calculations!X248,0)+IFERROR(calculations!X49*calculations!X253,0)+IFERROR(calculations!X77*calculations!X258,0)+IFERROR(calculations!X105*calculations!X263,0)+IFERROR(calculations!X133*calculations!X268,0)+IFERROR(calculations!X161*calculations!X273,0)+IFERROR(calculations!X189*calculations!X278,0)+IFERROR(calculations!X217*calculations!X283,0)</f>
        <v>767.155123740666</v>
      </c>
    </row>
    <row r="34" customFormat="false" ht="18" hidden="false" customHeight="true" outlineLevel="0" collapsed="false">
      <c r="A34" s="16" t="s">
        <v>62</v>
      </c>
      <c r="B34" s="27" t="s">
        <v>61</v>
      </c>
      <c r="C34" s="28"/>
      <c r="D34" s="29" t="n">
        <f aca="false">IFERROR((calculations!M21/calculations!M20)*((calculations!M41+calculations!M244)*$B$11+calculations!M42*$B$12+calculations!M43*$B$13+calculations!M44*$B$14+calculations!M45*$B$15)*D29,0)+IFERROR((calculations!M49/calculations!M48)*((calculations!M69+calculations!M249)*$B$11+calculations!M70*$B$12+calculations!M71*$B$13+calculations!M72*$B$14+calculations!M73*$B$15)*D29,0)+IFERROR((calculations!M77/calculations!M76)*((calculations!M97+calculations!M254)*$B$11+calculations!M98*$B$12+calculations!M99*$B$13+calculations!M100*$B$14+calculations!M101*$B$15)*D29,0)+IFERROR((calculations!M105/calculations!M104)*((calculations!M125+calculations!M259)*$B$11+calculations!M126*$B$12+calculations!M127*$B$13+calculations!M128*$B$14+calculations!M129*$B$15)*D29,0)+IFERROR((calculations!M133/calculations!M132)*((calculations!M153+calculations!M264)*$B$11+calculations!M154*$B$12+calculations!M155*$B$13+calculations!M156*$B$14+calculations!M157*$B$15)*D29,0)+IFERROR((calculations!M161/calculations!M160)*((calculations!M181+calculations!M269)*$B$11+calculations!M182*$B$12+calculations!M183*$B$13+calculations!M184*$B$14+calculations!M185*$B$15)*D29,0)+IFERROR((calculations!M189/calculations!M188)*((calculations!M209+calculations!M274)*$B$11+calculations!M210*$B$12+calculations!M211*$B$13+calculations!M212*$B$14+calculations!M213*$B$15)*D29,0)+IFERROR((calculations!M217/calculations!M216)*((calculations!M237+calculations!M279)*$B$11+calculations!M238*$B$12+calculations!M239*$B$13+calculations!M240*$B$14+calculations!M241*$B$15)*D29,0)</f>
        <v>0</v>
      </c>
      <c r="E34" s="29" t="n">
        <f aca="false">IFERROR((calculations!N21/calculations!N20)*((calculations!N41+calculations!N244)*$B$11+calculations!N42*$B$12+calculations!N43*$B$13+calculations!N44*$B$14+calculations!N45*$B$15)*E29,0)+IFERROR((calculations!N49/calculations!N48)*((calculations!N69+calculations!N249)*$B$11+calculations!N70*$B$12+calculations!N71*$B$13+calculations!N72*$B$14+calculations!N73*$B$15)*E29,0)+IFERROR((calculations!N77/calculations!N76)*((calculations!N97+calculations!N254)*$B$11+calculations!N98*$B$12+calculations!N99*$B$13+calculations!N100*$B$14+calculations!N101*$B$15)*E29,0)+IFERROR((calculations!N105/calculations!N104)*((calculations!N125+calculations!N259)*$B$11+calculations!N126*$B$12+calculations!N127*$B$13+calculations!N128*$B$14+calculations!N129*$B$15)*E29,0)+IFERROR((calculations!N133/calculations!N132)*((calculations!N153+calculations!N264)*$B$11+calculations!N154*$B$12+calculations!N155*$B$13+calculations!N156*$B$14+calculations!N157*$B$15)*E29,0)+IFERROR((calculations!N161/calculations!N160)*((calculations!N181+calculations!N269)*$B$11+calculations!N182*$B$12+calculations!N183*$B$13+calculations!N184*$B$14+calculations!N185*$B$15)*E29,0)+IFERROR((calculations!N189/calculations!N188)*((calculations!N209+calculations!N274)*$B$11+calculations!N210*$B$12+calculations!N211*$B$13+calculations!N212*$B$14+calculations!N213*$B$15)*E29,0)+IFERROR((calculations!N217/calculations!N216)*((calculations!N237+calculations!N279)*$B$11+calculations!N238*$B$12+calculations!N239*$B$13+calculations!N240*$B$14+calculations!N241*$B$15)*E29,0)</f>
        <v>0</v>
      </c>
      <c r="F34" s="29" t="n">
        <f aca="false">IFERROR((calculations!O21/calculations!O20)*((calculations!O41+calculations!O244)*$B$11+calculations!O42*$B$12+calculations!O43*$B$13+calculations!O44*$B$14+calculations!O45*$B$15)*F29,0)+IFERROR((calculations!O49/calculations!O48)*((calculations!O69+calculations!O249)*$B$11+calculations!O70*$B$12+calculations!O71*$B$13+calculations!O72*$B$14+calculations!O73*$B$15)*F29,0)+IFERROR((calculations!O77/calculations!O76)*((calculations!O97+calculations!O254)*$B$11+calculations!O98*$B$12+calculations!O99*$B$13+calculations!O100*$B$14+calculations!O101*$B$15)*F29,0)+IFERROR((calculations!O105/calculations!O104)*((calculations!O125+calculations!O259)*$B$11+calculations!O126*$B$12+calculations!O127*$B$13+calculations!O128*$B$14+calculations!O129*$B$15)*F29,0)+IFERROR((calculations!O133/calculations!O132)*((calculations!O153+calculations!O264)*$B$11+calculations!O154*$B$12+calculations!O155*$B$13+calculations!O156*$B$14+calculations!O157*$B$15)*F29,0)+IFERROR((calculations!O161/calculations!O160)*((calculations!O181+calculations!O269)*$B$11+calculations!O182*$B$12+calculations!O183*$B$13+calculations!O184*$B$14+calculations!O185*$B$15)*F29,0)+IFERROR((calculations!O189/calculations!O188)*((calculations!O209+calculations!O274)*$B$11+calculations!O210*$B$12+calculations!O211*$B$13+calculations!O212*$B$14+calculations!O213*$B$15)*F29,0)+IFERROR((calculations!O217/calculations!O216)*((calculations!O237+calculations!O279)*$B$11+calculations!O238*$B$12+calculations!O239*$B$13+calculations!O240*$B$14+calculations!O241*$B$15)*F29,0)</f>
        <v>259.309869772438</v>
      </c>
      <c r="G34" s="29" t="n">
        <f aca="false">IFERROR((calculations!P21/calculations!P20)*((calculations!P41+calculations!P244)*$B$11+calculations!P42*$B$12+calculations!P43*$B$13+calculations!P44*$B$14+calculations!P45*$B$15)*G29,0)+IFERROR((calculations!P49/calculations!P48)*((calculations!P69+calculations!P249)*$B$11+calculations!P70*$B$12+calculations!P71*$B$13+calculations!P72*$B$14+calculations!P73*$B$15)*G29,0)+IFERROR((calculations!P77/calculations!P76)*((calculations!P97+calculations!P254)*$B$11+calculations!P98*$B$12+calculations!P99*$B$13+calculations!P100*$B$14+calculations!P101*$B$15)*G29,0)+IFERROR((calculations!P105/calculations!P104)*((calculations!P125+calculations!P259)*$B$11+calculations!P126*$B$12+calculations!P127*$B$13+calculations!P128*$B$14+calculations!P129*$B$15)*G29,0)+IFERROR((calculations!P133/calculations!P132)*((calculations!P153+calculations!P264)*$B$11+calculations!P154*$B$12+calculations!P155*$B$13+calculations!P156*$B$14+calculations!P157*$B$15)*G29,0)+IFERROR((calculations!P161/calculations!P160)*((calculations!P181+calculations!P269)*$B$11+calculations!P182*$B$12+calculations!P183*$B$13+calculations!P184*$B$14+calculations!P185*$B$15)*G29,0)+IFERROR((calculations!P189/calculations!P188)*((calculations!P209+calculations!P274)*$B$11+calculations!P210*$B$12+calculations!P211*$B$13+calculations!P212*$B$14+calculations!P213*$B$15)*G29,0)+IFERROR((calculations!P217/calculations!P216)*((calculations!P237+calculations!P279)*$B$11+calculations!P238*$B$12+calculations!P239*$B$13+calculations!P240*$B$14+calculations!P241*$B$15)*G29,0)</f>
        <v>289.372851056653</v>
      </c>
      <c r="H34" s="29" t="n">
        <f aca="false">IFERROR((calculations!Q21/calculations!Q20)*((calculations!Q41+calculations!Q244)*$B$11+calculations!Q42*$B$12+calculations!Q43*$B$13+calculations!Q44*$B$14+calculations!Q45*$B$15)*H29,0)+IFERROR((calculations!Q49/calculations!Q48)*((calculations!Q69+calculations!Q249)*$B$11+calculations!Q70*$B$12+calculations!Q71*$B$13+calculations!Q72*$B$14+calculations!Q73*$B$15)*H29,0)+IFERROR((calculations!Q77/calculations!Q76)*((calculations!Q97+calculations!Q254)*$B$11+calculations!Q98*$B$12+calculations!Q99*$B$13+calculations!Q100*$B$14+calculations!Q101*$B$15)*H29,0)+IFERROR((calculations!Q105/calculations!Q104)*((calculations!Q125+calculations!Q259)*$B$11+calculations!Q126*$B$12+calculations!Q127*$B$13+calculations!Q128*$B$14+calculations!Q129*$B$15)*H29,0)+IFERROR((calculations!Q133/calculations!Q132)*((calculations!Q153+calculations!Q264)*$B$11+calculations!Q154*$B$12+calculations!Q155*$B$13+calculations!Q156*$B$14+calculations!Q157*$B$15)*H29,0)+IFERROR((calculations!Q161/calculations!Q160)*((calculations!Q181+calculations!Q269)*$B$11+calculations!Q182*$B$12+calculations!Q183*$B$13+calculations!Q184*$B$14+calculations!Q185*$B$15)*H29,0)+IFERROR((calculations!Q189/calculations!Q188)*((calculations!Q209+calculations!Q274)*$B$11+calculations!Q210*$B$12+calculations!Q211*$B$13+calculations!Q212*$B$14+calculations!Q213*$B$15)*H29,0)+IFERROR((calculations!Q217/calculations!Q216)*((calculations!Q237+calculations!Q279)*$B$11+calculations!Q238*$B$12+calculations!Q239*$B$13+calculations!Q240*$B$14+calculations!Q241*$B$15)*H29,0)</f>
        <v>328.019325735893</v>
      </c>
      <c r="I34" s="29" t="n">
        <f aca="false">IFERROR((calculations!R21/calculations!R20)*((calculations!R41+calculations!R244)*$B$11+calculations!R42*$B$12+calculations!R43*$B$13+calculations!R44*$B$14+calculations!R45*$B$15)*I29,0)+IFERROR((calculations!R49/calculations!R48)*((calculations!R69+calculations!R249)*$B$11+calculations!R70*$B$12+calculations!R71*$B$13+calculations!R72*$B$14+calculations!R73*$B$15)*I29,0)+IFERROR((calculations!R77/calculations!R76)*((calculations!R97+calculations!R254)*$B$11+calculations!R98*$B$12+calculations!R99*$B$13+calculations!R100*$B$14+calculations!R101*$B$15)*I29,0)+IFERROR((calculations!R105/calculations!R104)*((calculations!R125+calculations!R259)*$B$11+calculations!R126*$B$12+calculations!R127*$B$13+calculations!R128*$B$14+calculations!R129*$B$15)*I29,0)+IFERROR((calculations!R133/calculations!R132)*((calculations!R153+calculations!R264)*$B$11+calculations!R154*$B$12+calculations!R155*$B$13+calculations!R156*$B$14+calculations!R157*$B$15)*I29,0)+IFERROR((calculations!R161/calculations!R160)*((calculations!R181+calculations!R269)*$B$11+calculations!R182*$B$12+calculations!R183*$B$13+calculations!R184*$B$14+calculations!R185*$B$15)*I29,0)+IFERROR((calculations!R189/calculations!R188)*((calculations!R209+calculations!R274)*$B$11+calculations!R210*$B$12+calculations!R211*$B$13+calculations!R212*$B$14+calculations!R213*$B$15)*I29,0)+IFERROR((calculations!R217/calculations!R216)*((calculations!R237+calculations!R279)*$B$11+calculations!R238*$B$12+calculations!R239*$B$13+calculations!R240*$B$14+calculations!R241*$B$15)*I29,0)</f>
        <v>372.994042942696</v>
      </c>
      <c r="J34" s="29" t="n">
        <f aca="false">IFERROR((calculations!S21/calculations!S20)*((calculations!S41+calculations!S244)*$B$11+calculations!S42*$B$12+calculations!S43*$B$13+calculations!S44*$B$14+calculations!S45*$B$15)*J29,0)+IFERROR((calculations!S49/calculations!S48)*((calculations!S69+calculations!S249)*$B$11+calculations!S70*$B$12+calculations!S71*$B$13+calculations!S72*$B$14+calculations!S73*$B$15)*J29,0)+IFERROR((calculations!S77/calculations!S76)*((calculations!S97+calculations!S254)*$B$11+calculations!S98*$B$12+calculations!S99*$B$13+calculations!S100*$B$14+calculations!S101*$B$15)*J29,0)+IFERROR((calculations!S105/calculations!S104)*((calculations!S125+calculations!S259)*$B$11+calculations!S126*$B$12+calculations!S127*$B$13+calculations!S128*$B$14+calculations!S129*$B$15)*J29,0)+IFERROR((calculations!S133/calculations!S132)*((calculations!S153+calculations!S264)*$B$11+calculations!S154*$B$12+calculations!S155*$B$13+calculations!S156*$B$14+calculations!S157*$B$15)*J29,0)+IFERROR((calculations!S161/calculations!S160)*((calculations!S181+calculations!S269)*$B$11+calculations!S182*$B$12+calculations!S183*$B$13+calculations!S184*$B$14+calculations!S185*$B$15)*J29,0)+IFERROR((calculations!S189/calculations!S188)*((calculations!S209+calculations!S274)*$B$11+calculations!S210*$B$12+calculations!S211*$B$13+calculations!S212*$B$14+calculations!S213*$B$15)*J29,0)+IFERROR((calculations!S217/calculations!S216)*((calculations!S237+calculations!S279)*$B$11+calculations!S238*$B$12+calculations!S239*$B$13+calculations!S240*$B$14+calculations!S241*$B$15)*J29,0)</f>
        <v>485.639298248334</v>
      </c>
      <c r="K34" s="29" t="n">
        <f aca="false">IFERROR((calculations!T21/calculations!T20)*((calculations!T41+calculations!T244)*$B$11+calculations!T42*$B$12+calculations!T43*$B$13+calculations!T44*$B$14+calculations!T45*$B$15)*K29,0)+IFERROR((calculations!T49/calculations!T48)*((calculations!T69+calculations!T249)*$B$11+calculations!T70*$B$12+calculations!T71*$B$13+calculations!T72*$B$14+calculations!T73*$B$15)*K29,0)+IFERROR((calculations!T77/calculations!T76)*((calculations!T97+calculations!T254)*$B$11+calculations!T98*$B$12+calculations!T99*$B$13+calculations!T100*$B$14+calculations!T101*$B$15)*K29,0)+IFERROR((calculations!T105/calculations!T104)*((calculations!T125+calculations!T259)*$B$11+calculations!T126*$B$12+calculations!T127*$B$13+calculations!T128*$B$14+calculations!T129*$B$15)*K29,0)+IFERROR((calculations!T133/calculations!T132)*((calculations!T153+calculations!T264)*$B$11+calculations!T154*$B$12+calculations!T155*$B$13+calculations!T156*$B$14+calculations!T157*$B$15)*K29,0)+IFERROR((calculations!T161/calculations!T160)*((calculations!T181+calculations!T269)*$B$11+calculations!T182*$B$12+calculations!T183*$B$13+calculations!T184*$B$14+calculations!T185*$B$15)*K29,0)+IFERROR((calculations!T189/calculations!T188)*((calculations!T209+calculations!T274)*$B$11+calculations!T210*$B$12+calculations!T211*$B$13+calculations!T212*$B$14+calculations!T213*$B$15)*K29,0)+IFERROR((calculations!T217/calculations!T216)*((calculations!T237+calculations!T279)*$B$11+calculations!T238*$B$12+calculations!T239*$B$13+calculations!T240*$B$14+calculations!T241*$B$15)*K29,0)</f>
        <v>571.564041482718</v>
      </c>
      <c r="L34" s="29" t="n">
        <f aca="false">IFERROR((calculations!U21/calculations!U20)*((calculations!U41+calculations!U244)*$B$11+calculations!U42*$B$12+calculations!U43*$B$13+calculations!U44*$B$14+calculations!U45*$B$15)*L29,0)+IFERROR((calculations!U49/calculations!U48)*((calculations!U69+calculations!U249)*$B$11+calculations!U70*$B$12+calculations!U71*$B$13+calculations!U72*$B$14+calculations!U73*$B$15)*L29,0)+IFERROR((calculations!U77/calculations!U76)*((calculations!U97+calculations!U254)*$B$11+calculations!U98*$B$12+calculations!U99*$B$13+calculations!U100*$B$14+calculations!U101*$B$15)*L29,0)+IFERROR((calculations!U105/calculations!U104)*((calculations!U125+calculations!U259)*$B$11+calculations!U126*$B$12+calculations!U127*$B$13+calculations!U128*$B$14+calculations!U129*$B$15)*L29,0)+IFERROR((calculations!U133/calculations!U132)*((calculations!U153+calculations!U264)*$B$11+calculations!U154*$B$12+calculations!U155*$B$13+calculations!U156*$B$14+calculations!U157*$B$15)*L29,0)+IFERROR((calculations!U161/calculations!U160)*((calculations!U181+calculations!U269)*$B$11+calculations!U182*$B$12+calculations!U183*$B$13+calculations!U184*$B$14+calculations!U185*$B$15)*L29,0)+IFERROR((calculations!U189/calculations!U188)*((calculations!U209+calculations!U274)*$B$11+calculations!U210*$B$12+calculations!U211*$B$13+calculations!U212*$B$14+calculations!U213*$B$15)*L29,0)+IFERROR((calculations!U217/calculations!U216)*((calculations!U237+calculations!U279)*$B$11+calculations!U238*$B$12+calculations!U239*$B$13+calculations!U240*$B$14+calculations!U241*$B$15)*L29,0)</f>
        <v>667.232050535304</v>
      </c>
      <c r="M34" s="29" t="n">
        <f aca="false">IFERROR((calculations!V21/calculations!V20)*((calculations!V41+calculations!V244)*$B$11+calculations!V42*$B$12+calculations!V43*$B$13+calculations!V44*$B$14+calculations!V45*$B$15)*M29,0)+IFERROR((calculations!V49/calculations!V48)*((calculations!V69+calculations!V249)*$B$11+calculations!V70*$B$12+calculations!V71*$B$13+calculations!V72*$B$14+calculations!V73*$B$15)*M29,0)+IFERROR((calculations!V77/calculations!V76)*((calculations!V97+calculations!V254)*$B$11+calculations!V98*$B$12+calculations!V99*$B$13+calculations!V100*$B$14+calculations!V101*$B$15)*M29,0)+IFERROR((calculations!V105/calculations!V104)*((calculations!V125+calculations!V259)*$B$11+calculations!V126*$B$12+calculations!V127*$B$13+calculations!V128*$B$14+calculations!V129*$B$15)*M29,0)+IFERROR((calculations!V133/calculations!V132)*((calculations!V153+calculations!V264)*$B$11+calculations!V154*$B$12+calculations!V155*$B$13+calculations!V156*$B$14+calculations!V157*$B$15)*M29,0)+IFERROR((calculations!V161/calculations!V160)*((calculations!V181+calculations!V269)*$B$11+calculations!V182*$B$12+calculations!V183*$B$13+calculations!V184*$B$14+calculations!V185*$B$15)*M29,0)+IFERROR((calculations!V189/calculations!V188)*((calculations!V209+calculations!V274)*$B$11+calculations!V210*$B$12+calculations!V211*$B$13+calculations!V212*$B$14+calculations!V213*$B$15)*M29,0)+IFERROR((calculations!V217/calculations!V216)*((calculations!V237+calculations!V279)*$B$11+calculations!V238*$B$12+calculations!V239*$B$13+calculations!V240*$B$14+calculations!V241*$B$15)*M29,0)</f>
        <v>773.416770769277</v>
      </c>
      <c r="N34" s="29" t="n">
        <f aca="false">IFERROR((calculations!W21/calculations!W20)*((calculations!W41+calculations!W244)*$B$11+calculations!W42*$B$12+calculations!W43*$B$13+calculations!W44*$B$14+calculations!W45*$B$15)*N29,0)+IFERROR((calculations!W49/calculations!W48)*((calculations!W69+calculations!W249)*$B$11+calculations!W70*$B$12+calculations!W71*$B$13+calculations!W72*$B$14+calculations!W73*$B$15)*N29,0)+IFERROR((calculations!W77/calculations!W76)*((calculations!W97+calculations!W254)*$B$11+calculations!W98*$B$12+calculations!W99*$B$13+calculations!W100*$B$14+calculations!W101*$B$15)*N29,0)+IFERROR((calculations!W105/calculations!W104)*((calculations!W125+calculations!W259)*$B$11+calculations!W126*$B$12+calculations!W127*$B$13+calculations!W128*$B$14+calculations!W129*$B$15)*N29,0)+IFERROR((calculations!W133/calculations!W132)*((calculations!W153+calculations!W264)*$B$11+calculations!W154*$B$12+calculations!W155*$B$13+calculations!W156*$B$14+calculations!W157*$B$15)*N29,0)+IFERROR((calculations!W161/calculations!W160)*((calculations!W181+calculations!W269)*$B$11+calculations!W182*$B$12+calculations!W183*$B$13+calculations!W184*$B$14+calculations!W185*$B$15)*N29,0)+IFERROR((calculations!W189/calculations!W188)*((calculations!W209+calculations!W274)*$B$11+calculations!W210*$B$12+calculations!W211*$B$13+calculations!W212*$B$14+calculations!W213*$B$15)*N29,0)+IFERROR((calculations!W217/calculations!W216)*((calculations!W237+calculations!W279)*$B$11+calculations!W238*$B$12+calculations!W239*$B$13+calculations!W240*$B$14+calculations!W241*$B$15)*N29,0)</f>
        <v>897.521028020674</v>
      </c>
      <c r="O34" s="29" t="n">
        <f aca="false">IFERROR((calculations!X21/calculations!X20)*((calculations!X41+calculations!X244)*$B$11+calculations!X42*$B$12+calculations!X43*$B$13+calculations!X44*$B$14+calculations!X45*$B$15)*O29,0)+IFERROR((calculations!X49/calculations!X48)*((calculations!X69+calculations!X249)*$B$11+calculations!X70*$B$12+calculations!X71*$B$13+calculations!X72*$B$14+calculations!X73*$B$15)*O29,0)+IFERROR((calculations!X77/calculations!X76)*((calculations!X97+calculations!X254)*$B$11+calculations!X98*$B$12+calculations!X99*$B$13+calculations!X100*$B$14+calculations!X101*$B$15)*O29,0)+IFERROR((calculations!X105/calculations!X104)*((calculations!X125+calculations!X259)*$B$11+calculations!X126*$B$12+calculations!X127*$B$13+calculations!X128*$B$14+calculations!X129*$B$15)*O29,0)+IFERROR((calculations!X133/calculations!X132)*((calculations!X153+calculations!X264)*$B$11+calculations!X154*$B$12+calculations!X155*$B$13+calculations!X156*$B$14+calculations!X157*$B$15)*O29,0)+IFERROR((calculations!X161/calculations!X160)*((calculations!X181+calculations!X269)*$B$11+calculations!X182*$B$12+calculations!X183*$B$13+calculations!X184*$B$14+calculations!X185*$B$15)*O29,0)+IFERROR((calculations!X189/calculations!X188)*((calculations!X209+calculations!X274)*$B$11+calculations!X210*$B$12+calculations!X211*$B$13+calculations!X212*$B$14+calculations!X213*$B$15)*O29,0)+IFERROR((calculations!X217/calculations!X216)*((calculations!X237+calculations!X279)*$B$11+calculations!X238*$B$12+calculations!X239*$B$13+calculations!X240*$B$14+calculations!X241*$B$15)*O29,0)</f>
        <v>968.814239852863</v>
      </c>
    </row>
    <row r="35" customFormat="false" ht="15.75" hidden="false" customHeight="true" outlineLevel="0" collapsed="false">
      <c r="A35" s="30" t="s">
        <v>63</v>
      </c>
      <c r="B35" s="27" t="s">
        <v>61</v>
      </c>
      <c r="C35" s="28"/>
      <c r="D35" s="29" t="n">
        <f aca="false">IFERROR((calculations!M21/calculations!M20)*((calculations!M41+calculations!M244)*$B$11+calculations!M42*$B$12+calculations!M43*$B$13+calculations!M44*$B$14+calculations!M45*$B$15*INDEX(input_data!$L:$L,MATCH("all.in.cs2.stl.drg.---",input_data!$A:$A,0)))*D29,0)+IFERROR((calculations!M49/calculations!M48)*((calculations!M69+calculations!M249)*$B$11+calculations!M70*$B$12+calculations!M71*$B$13+calculations!M72*$B$14+calculations!M73*$B$15*INDEX(input_data!$L:$L,MATCH("all.in.cs2.stl.scr.---",input_data!$A:$A,0)))*D29,0)+IFERROR((calculations!M77/calculations!M76)*((calculations!M97+calculations!M254)*$B$11+calculations!M98*$B$12+calculations!M99*$B$13+calculations!M100*$B$14+calculations!M101*$B$15*INDEX(input_data!$L:$L,MATCH("all.in.cs2.stl.bof.---",input_data!$A:$A,0)))*D29,0)+IFERROR((calculations!M105/calculations!M104)*((calculations!M125+calculations!M259)*$B$11+calculations!M126*$B$12+calculations!M127*$B$13+calculations!M128*$B$14+calculations!M129*$B$15*INDEX(input_data!$L:$L,MATCH("all.in.cs2.cmt.dry.---",input_data!$A:$A,0)))*D29,0)+IFERROR((calculations!M133/calculations!M132)*((calculations!M153+calculations!M264)*$B$11+calculations!M154*$B$12+calculations!M155*$B$13+calculations!M156*$B$14+calculations!M157*$B$15*INDEX(input_data!$L:$L,MATCH("all.in.cs2.frt.amc.---",input_data!$A:$A,0)))*D29,0)+IFERROR((calculations!M161/calculations!M160)*((calculations!M181+calculations!M269)*$B$11+calculations!M182*$B$12+calculations!M183*$B$13+calculations!M184*$B$14+calculations!M185*$B$15*INDEX(input_data!$L:$L,MATCH("all.in.cs2.frt.ure.---",input_data!$A:$A,0)))*D29,0)+IFERROR((calculations!M189/calculations!M188)*((calculations!M209+calculations!M274)*$B$11+calculations!M210*$B$12+calculations!M211*$B$13+calculations!M212*$B$14+calculations!M213*$B$15*INDEX(input_data!$L:$L,MATCH("all.in.cs2.frt.nit.---",input_data!$A:$A,0)))*D29,0)+IFERROR((calculations!M217/calculations!M216)*((calculations!M237+calculations!M279)*$B$11+calculations!M238*$B$12+calculations!M239*$B$13+calculations!M240*$B$14+calculations!M241*$B$15*INDEX(input_data!$L:$L,MATCH("all.in.cs2.alu.prp.---",input_data!$A:$A,0)))*D29,0)</f>
        <v>0</v>
      </c>
      <c r="E35" s="29" t="n">
        <f aca="false">IFERROR((calculations!N21/calculations!N20)*((calculations!N41+calculations!N244)*$B$11+calculations!N42*$B$12+calculations!N43*$B$13+calculations!N44*$B$14+calculations!N45*$B$15*INDEX(input_data!$L:$L,MATCH("all.in.cs2.stl.drg.---",input_data!$A:$A,0)))*E29,0)+IFERROR((calculations!N49/calculations!N48)*((calculations!N69+calculations!N249)*$B$11+calculations!N70*$B$12+calculations!N71*$B$13+calculations!N72*$B$14+calculations!N73*$B$15*INDEX(input_data!$L:$L,MATCH("all.in.cs2.stl.scr.---",input_data!$A:$A,0)))*E29,0)+IFERROR((calculations!N77/calculations!N76)*((calculations!N97+calculations!N254)*$B$11+calculations!N98*$B$12+calculations!N99*$B$13+calculations!N100*$B$14+calculations!N101*$B$15*INDEX(input_data!$L:$L,MATCH("all.in.cs2.stl.bof.---",input_data!$A:$A,0)))*E29,0)+IFERROR((calculations!N105/calculations!N104)*((calculations!N125+calculations!N259)*$B$11+calculations!N126*$B$12+calculations!N127*$B$13+calculations!N128*$B$14+calculations!N129*$B$15*INDEX(input_data!$L:$L,MATCH("all.in.cs2.cmt.dry.---",input_data!$A:$A,0)))*E29,0)+IFERROR((calculations!N133/calculations!N132)*((calculations!N153+calculations!N264)*$B$11+calculations!N154*$B$12+calculations!N155*$B$13+calculations!N156*$B$14+calculations!N157*$B$15*INDEX(input_data!$L:$L,MATCH("all.in.cs2.frt.amc.---",input_data!$A:$A,0)))*E29,0)+IFERROR((calculations!N161/calculations!N160)*((calculations!N181+calculations!N269)*$B$11+calculations!N182*$B$12+calculations!N183*$B$13+calculations!N184*$B$14+calculations!N185*$B$15*INDEX(input_data!$L:$L,MATCH("all.in.cs2.frt.ure.---",input_data!$A:$A,0)))*E29,0)+IFERROR((calculations!N189/calculations!N188)*((calculations!N209+calculations!N274)*$B$11+calculations!N210*$B$12+calculations!N211*$B$13+calculations!N212*$B$14+calculations!N213*$B$15*INDEX(input_data!$L:$L,MATCH("all.in.cs2.frt.nit.---",input_data!$A:$A,0)))*E29,0)+IFERROR((calculations!N217/calculations!N216)*((calculations!N237+calculations!N279)*$B$11+calculations!N238*$B$12+calculations!N239*$B$13+calculations!N240*$B$14+calculations!N241*$B$15*INDEX(input_data!$L:$L,MATCH("all.in.cs2.alu.prp.---",input_data!$A:$A,0)))*E29,0)</f>
        <v>0</v>
      </c>
      <c r="F35" s="29" t="n">
        <f aca="false">IFERROR((calculations!O21/calculations!O20)*((calculations!O41+calculations!O244)*$B$11+calculations!O42*$B$12+calculations!O43*$B$13+calculations!O44*$B$14+calculations!O45*$B$15*INDEX(input_data!$L:$L,MATCH("all.in.cs2.stl.drg.---",input_data!$A:$A,0)))*F29,0)+IFERROR((calculations!O49/calculations!O48)*((calculations!O69+calculations!O249)*$B$11+calculations!O70*$B$12+calculations!O71*$B$13+calculations!O72*$B$14+calculations!O73*$B$15*INDEX(input_data!$L:$L,MATCH("all.in.cs2.stl.scr.---",input_data!$A:$A,0)))*F29,0)+IFERROR((calculations!O77/calculations!O76)*((calculations!O97+calculations!O254)*$B$11+calculations!O98*$B$12+calculations!O99*$B$13+calculations!O100*$B$14+calculations!O101*$B$15*INDEX(input_data!$L:$L,MATCH("all.in.cs2.stl.bof.---",input_data!$A:$A,0)))*F29,0)+IFERROR((calculations!O105/calculations!O104)*((calculations!O125+calculations!O259)*$B$11+calculations!O126*$B$12+calculations!O127*$B$13+calculations!O128*$B$14+calculations!O129*$B$15*INDEX(input_data!$L:$L,MATCH("all.in.cs2.cmt.dry.---",input_data!$A:$A,0)))*F29,0)+IFERROR((calculations!O133/calculations!O132)*((calculations!O153+calculations!O264)*$B$11+calculations!O154*$B$12+calculations!O155*$B$13+calculations!O156*$B$14+calculations!O157*$B$15*INDEX(input_data!$L:$L,MATCH("all.in.cs2.frt.amc.---",input_data!$A:$A,0)))*F29,0)+IFERROR((calculations!O161/calculations!O160)*((calculations!O181+calculations!O269)*$B$11+calculations!O182*$B$12+calculations!O183*$B$13+calculations!O184*$B$14+calculations!O185*$B$15*INDEX(input_data!$L:$L,MATCH("all.in.cs2.frt.ure.---",input_data!$A:$A,0)))*F29,0)+IFERROR((calculations!O189/calculations!O188)*((calculations!O209+calculations!O274)*$B$11+calculations!O210*$B$12+calculations!O211*$B$13+calculations!O212*$B$14+calculations!O213*$B$15*INDEX(input_data!$L:$L,MATCH("all.in.cs2.frt.nit.---",input_data!$A:$A,0)))*F29,0)+IFERROR((calculations!O217/calculations!O216)*((calculations!O237+calculations!O279)*$B$11+calculations!O238*$B$12+calculations!O239*$B$13+calculations!O240*$B$14+calculations!O241*$B$15*INDEX(input_data!$L:$L,MATCH("all.in.cs2.alu.prp.---",input_data!$A:$A,0)))*F29,0)</f>
        <v>197.067488997581</v>
      </c>
      <c r="G35" s="29" t="n">
        <f aca="false">IFERROR((calculations!P21/calculations!P20)*((calculations!P41+calculations!P244)*$B$11+calculations!P42*$B$12+calculations!P43*$B$13+calculations!P44*$B$14+calculations!P45*$B$15*INDEX(input_data!$L:$L,MATCH("all.in.cs2.stl.drg.---",input_data!$A:$A,0)))*G29,0)+IFERROR((calculations!P49/calculations!P48)*((calculations!P69+calculations!P249)*$B$11+calculations!P70*$B$12+calculations!P71*$B$13+calculations!P72*$B$14+calculations!P73*$B$15*INDEX(input_data!$L:$L,MATCH("all.in.cs2.stl.scr.---",input_data!$A:$A,0)))*G29,0)+IFERROR((calculations!P77/calculations!P76)*((calculations!P97+calculations!P254)*$B$11+calculations!P98*$B$12+calculations!P99*$B$13+calculations!P100*$B$14+calculations!P101*$B$15*INDEX(input_data!$L:$L,MATCH("all.in.cs2.stl.bof.---",input_data!$A:$A,0)))*G29,0)+IFERROR((calculations!P105/calculations!P104)*((calculations!P125+calculations!P259)*$B$11+calculations!P126*$B$12+calculations!P127*$B$13+calculations!P128*$B$14+calculations!P129*$B$15*INDEX(input_data!$L:$L,MATCH("all.in.cs2.cmt.dry.---",input_data!$A:$A,0)))*G29,0)+IFERROR((calculations!P133/calculations!P132)*((calculations!P153+calculations!P264)*$B$11+calculations!P154*$B$12+calculations!P155*$B$13+calculations!P156*$B$14+calculations!P157*$B$15*INDEX(input_data!$L:$L,MATCH("all.in.cs2.frt.amc.---",input_data!$A:$A,0)))*G29,0)+IFERROR((calculations!P161/calculations!P160)*((calculations!P181+calculations!P269)*$B$11+calculations!P182*$B$12+calculations!P183*$B$13+calculations!P184*$B$14+calculations!P185*$B$15*INDEX(input_data!$L:$L,MATCH("all.in.cs2.frt.ure.---",input_data!$A:$A,0)))*G29,0)+IFERROR((calculations!P189/calculations!P188)*((calculations!P209+calculations!P274)*$B$11+calculations!P210*$B$12+calculations!P211*$B$13+calculations!P212*$B$14+calculations!P213*$B$15*INDEX(input_data!$L:$L,MATCH("all.in.cs2.frt.nit.---",input_data!$A:$A,0)))*G29,0)+IFERROR((calculations!P217/calculations!P216)*((calculations!P237+calculations!P279)*$B$11+calculations!P238*$B$12+calculations!P239*$B$13+calculations!P240*$B$14+calculations!P241*$B$15*INDEX(input_data!$L:$L,MATCH("all.in.cs2.alu.prp.---",input_data!$A:$A,0)))*G29,0)</f>
        <v>220.859030204563</v>
      </c>
      <c r="H35" s="29" t="n">
        <f aca="false">IFERROR((calculations!Q21/calculations!Q20)*((calculations!Q41+calculations!Q244)*$B$11+calculations!Q42*$B$12+calculations!Q43*$B$13+calculations!Q44*$B$14+calculations!Q45*$B$15*INDEX(input_data!$L:$L,MATCH("all.in.cs2.stl.drg.---",input_data!$A:$A,0)))*H29,0)+IFERROR((calculations!Q49/calculations!Q48)*((calculations!Q69+calculations!Q249)*$B$11+calculations!Q70*$B$12+calculations!Q71*$B$13+calculations!Q72*$B$14+calculations!Q73*$B$15*INDEX(input_data!$L:$L,MATCH("all.in.cs2.stl.scr.---",input_data!$A:$A,0)))*H29,0)+IFERROR((calculations!Q77/calculations!Q76)*((calculations!Q97+calculations!Q254)*$B$11+calculations!Q98*$B$12+calculations!Q99*$B$13+calculations!Q100*$B$14+calculations!Q101*$B$15*INDEX(input_data!$L:$L,MATCH("all.in.cs2.stl.bof.---",input_data!$A:$A,0)))*H29,0)+IFERROR((calculations!Q105/calculations!Q104)*((calculations!Q125+calculations!Q259)*$B$11+calculations!Q126*$B$12+calculations!Q127*$B$13+calculations!Q128*$B$14+calculations!Q129*$B$15*INDEX(input_data!$L:$L,MATCH("all.in.cs2.cmt.dry.---",input_data!$A:$A,0)))*H29,0)+IFERROR((calculations!Q133/calculations!Q132)*((calculations!Q153+calculations!Q264)*$B$11+calculations!Q154*$B$12+calculations!Q155*$B$13+calculations!Q156*$B$14+calculations!Q157*$B$15*INDEX(input_data!$L:$L,MATCH("all.in.cs2.frt.amc.---",input_data!$A:$A,0)))*H29,0)+IFERROR((calculations!Q161/calculations!Q160)*((calculations!Q181+calculations!Q269)*$B$11+calculations!Q182*$B$12+calculations!Q183*$B$13+calculations!Q184*$B$14+calculations!Q185*$B$15*INDEX(input_data!$L:$L,MATCH("all.in.cs2.frt.ure.---",input_data!$A:$A,0)))*H29,0)+IFERROR((calculations!Q189/calculations!Q188)*((calculations!Q209+calculations!Q274)*$B$11+calculations!Q210*$B$12+calculations!Q211*$B$13+calculations!Q212*$B$14+calculations!Q213*$B$15*INDEX(input_data!$L:$L,MATCH("all.in.cs2.frt.nit.---",input_data!$A:$A,0)))*H29,0)+IFERROR((calculations!Q217/calculations!Q216)*((calculations!Q237+calculations!Q279)*$B$11+calculations!Q238*$B$12+calculations!Q239*$B$13+calculations!Q240*$B$14+calculations!Q241*$B$15*INDEX(input_data!$L:$L,MATCH("all.in.cs2.alu.prp.---",input_data!$A:$A,0)))*H29,0)</f>
        <v>251.448904699839</v>
      </c>
      <c r="I35" s="29" t="n">
        <f aca="false">IFERROR((calculations!R21/calculations!R20)*((calculations!R41+calculations!R244)*$B$11+calculations!R42*$B$12+calculations!R43*$B$13+calculations!R44*$B$14+calculations!R45*$B$15*INDEX(input_data!$L:$L,MATCH("all.in.cs2.stl.drg.---",input_data!$A:$A,0)))*I29,0)+IFERROR((calculations!R49/calculations!R48)*((calculations!R69+calculations!R249)*$B$11+calculations!R70*$B$12+calculations!R71*$B$13+calculations!R72*$B$14+calculations!R73*$B$15*INDEX(input_data!$L:$L,MATCH("all.in.cs2.stl.scr.---",input_data!$A:$A,0)))*I29,0)+IFERROR((calculations!R77/calculations!R76)*((calculations!R97+calculations!R254)*$B$11+calculations!R98*$B$12+calculations!R99*$B$13+calculations!R100*$B$14+calculations!R101*$B$15*INDEX(input_data!$L:$L,MATCH("all.in.cs2.stl.bof.---",input_data!$A:$A,0)))*I29,0)+IFERROR((calculations!R105/calculations!R104)*((calculations!R125+calculations!R259)*$B$11+calculations!R126*$B$12+calculations!R127*$B$13+calculations!R128*$B$14+calculations!R129*$B$15*INDEX(input_data!$L:$L,MATCH("all.in.cs2.cmt.dry.---",input_data!$A:$A,0)))*I29,0)+IFERROR((calculations!R133/calculations!R132)*((calculations!R153+calculations!R264)*$B$11+calculations!R154*$B$12+calculations!R155*$B$13+calculations!R156*$B$14+calculations!R157*$B$15*INDEX(input_data!$L:$L,MATCH("all.in.cs2.frt.amc.---",input_data!$A:$A,0)))*I29,0)+IFERROR((calculations!R161/calculations!R160)*((calculations!R181+calculations!R269)*$B$11+calculations!R182*$B$12+calculations!R183*$B$13+calculations!R184*$B$14+calculations!R185*$B$15*INDEX(input_data!$L:$L,MATCH("all.in.cs2.frt.ure.---",input_data!$A:$A,0)))*I29,0)+IFERROR((calculations!R189/calculations!R188)*((calculations!R209+calculations!R274)*$B$11+calculations!R210*$B$12+calculations!R211*$B$13+calculations!R212*$B$14+calculations!R213*$B$15*INDEX(input_data!$L:$L,MATCH("all.in.cs2.frt.nit.---",input_data!$A:$A,0)))*I29,0)+IFERROR((calculations!R217/calculations!R216)*((calculations!R237+calculations!R279)*$B$11+calculations!R238*$B$12+calculations!R239*$B$13+calculations!R240*$B$14+calculations!R241*$B$15*INDEX(input_data!$L:$L,MATCH("all.in.cs2.alu.prp.---",input_data!$A:$A,0)))*I29,0)</f>
        <v>287.194540971048</v>
      </c>
      <c r="J35" s="29" t="n">
        <f aca="false">IFERROR((calculations!S21/calculations!S20)*((calculations!S41+calculations!S244)*$B$11+calculations!S42*$B$12+calculations!S43*$B$13+calculations!S44*$B$14+calculations!S45*$B$15*INDEX(input_data!$L:$L,MATCH("all.in.cs2.stl.drg.---",input_data!$A:$A,0)))*J29,0)+IFERROR((calculations!S49/calculations!S48)*((calculations!S69+calculations!S249)*$B$11+calculations!S70*$B$12+calculations!S71*$B$13+calculations!S72*$B$14+calculations!S73*$B$15*INDEX(input_data!$L:$L,MATCH("all.in.cs2.stl.scr.---",input_data!$A:$A,0)))*J29,0)+IFERROR((calculations!S77/calculations!S76)*((calculations!S97+calculations!S254)*$B$11+calculations!S98*$B$12+calculations!S99*$B$13+calculations!S100*$B$14+calculations!S101*$B$15*INDEX(input_data!$L:$L,MATCH("all.in.cs2.stl.bof.---",input_data!$A:$A,0)))*J29,0)+IFERROR((calculations!S105/calculations!S104)*((calculations!S125+calculations!S259)*$B$11+calculations!S126*$B$12+calculations!S127*$B$13+calculations!S128*$B$14+calculations!S129*$B$15*INDEX(input_data!$L:$L,MATCH("all.in.cs2.cmt.dry.---",input_data!$A:$A,0)))*J29,0)+IFERROR((calculations!S133/calculations!S132)*((calculations!S153+calculations!S264)*$B$11+calculations!S154*$B$12+calculations!S155*$B$13+calculations!S156*$B$14+calculations!S157*$B$15*INDEX(input_data!$L:$L,MATCH("all.in.cs2.frt.amc.---",input_data!$A:$A,0)))*J29,0)+IFERROR((calculations!S161/calculations!S160)*((calculations!S181+calculations!S269)*$B$11+calculations!S182*$B$12+calculations!S183*$B$13+calculations!S184*$B$14+calculations!S185*$B$15*INDEX(input_data!$L:$L,MATCH("all.in.cs2.frt.ure.---",input_data!$A:$A,0)))*J29,0)+IFERROR((calculations!S189/calculations!S188)*((calculations!S209+calculations!S274)*$B$11+calculations!S210*$B$12+calculations!S211*$B$13+calculations!S212*$B$14+calculations!S213*$B$15*INDEX(input_data!$L:$L,MATCH("all.in.cs2.frt.nit.---",input_data!$A:$A,0)))*J29,0)+IFERROR((calculations!S217/calculations!S216)*((calculations!S237+calculations!S279)*$B$11+calculations!S238*$B$12+calculations!S239*$B$13+calculations!S240*$B$14+calculations!S241*$B$15*INDEX(input_data!$L:$L,MATCH("all.in.cs2.alu.prp.---",input_data!$A:$A,0)))*J29,0)</f>
        <v>375.614742566214</v>
      </c>
      <c r="K35" s="29" t="n">
        <f aca="false">IFERROR((calculations!T21/calculations!T20)*((calculations!T41+calculations!T244)*$B$11+calculations!T42*$B$12+calculations!T43*$B$13+calculations!T44*$B$14+calculations!T45*$B$15*INDEX(input_data!$L:$L,MATCH("all.in.cs2.stl.drg.---",input_data!$A:$A,0)))*K29,0)+IFERROR((calculations!T49/calculations!T48)*((calculations!T69+calculations!T249)*$B$11+calculations!T70*$B$12+calculations!T71*$B$13+calculations!T72*$B$14+calculations!T73*$B$15*INDEX(input_data!$L:$L,MATCH("all.in.cs2.stl.scr.---",input_data!$A:$A,0)))*K29,0)+IFERROR((calculations!T77/calculations!T76)*((calculations!T97+calculations!T254)*$B$11+calculations!T98*$B$12+calculations!T99*$B$13+calculations!T100*$B$14+calculations!T101*$B$15*INDEX(input_data!$L:$L,MATCH("all.in.cs2.stl.bof.---",input_data!$A:$A,0)))*K29,0)+IFERROR((calculations!T105/calculations!T104)*((calculations!T125+calculations!T259)*$B$11+calculations!T126*$B$12+calculations!T127*$B$13+calculations!T128*$B$14+calculations!T129*$B$15*INDEX(input_data!$L:$L,MATCH("all.in.cs2.cmt.dry.---",input_data!$A:$A,0)))*K29,0)+IFERROR((calculations!T133/calculations!T132)*((calculations!T153+calculations!T264)*$B$11+calculations!T154*$B$12+calculations!T155*$B$13+calculations!T156*$B$14+calculations!T157*$B$15*INDEX(input_data!$L:$L,MATCH("all.in.cs2.frt.amc.---",input_data!$A:$A,0)))*K29,0)+IFERROR((calculations!T161/calculations!T160)*((calculations!T181+calculations!T269)*$B$11+calculations!T182*$B$12+calculations!T183*$B$13+calculations!T184*$B$14+calculations!T185*$B$15*INDEX(input_data!$L:$L,MATCH("all.in.cs2.frt.ure.---",input_data!$A:$A,0)))*K29,0)+IFERROR((calculations!T189/calculations!T188)*((calculations!T209+calculations!T274)*$B$11+calculations!T210*$B$12+calculations!T211*$B$13+calculations!T212*$B$14+calculations!T213*$B$15*INDEX(input_data!$L:$L,MATCH("all.in.cs2.frt.nit.---",input_data!$A:$A,0)))*K29,0)+IFERROR((calculations!T217/calculations!T216)*((calculations!T237+calculations!T279)*$B$11+calculations!T238*$B$12+calculations!T239*$B$13+calculations!T240*$B$14+calculations!T241*$B$15*INDEX(input_data!$L:$L,MATCH("all.in.cs2.alu.prp.---",input_data!$A:$A,0)))*K29,0)</f>
        <v>444.09747039756</v>
      </c>
      <c r="L35" s="29" t="n">
        <f aca="false">IFERROR((calculations!U21/calculations!U20)*((calculations!U41+calculations!U244)*$B$11+calculations!U42*$B$12+calculations!U43*$B$13+calculations!U44*$B$14+calculations!U45*$B$15*INDEX(input_data!$L:$L,MATCH("all.in.cs2.stl.drg.---",input_data!$A:$A,0)))*L29,0)+IFERROR((calculations!U49/calculations!U48)*((calculations!U69+calculations!U249)*$B$11+calculations!U70*$B$12+calculations!U71*$B$13+calculations!U72*$B$14+calculations!U73*$B$15*INDEX(input_data!$L:$L,MATCH("all.in.cs2.stl.scr.---",input_data!$A:$A,0)))*L29,0)+IFERROR((calculations!U77/calculations!U76)*((calculations!U97+calculations!U254)*$B$11+calculations!U98*$B$12+calculations!U99*$B$13+calculations!U100*$B$14+calculations!U101*$B$15*INDEX(input_data!$L:$L,MATCH("all.in.cs2.stl.bof.---",input_data!$A:$A,0)))*L29,0)+IFERROR((calculations!U105/calculations!U104)*((calculations!U125+calculations!U259)*$B$11+calculations!U126*$B$12+calculations!U127*$B$13+calculations!U128*$B$14+calculations!U129*$B$15*INDEX(input_data!$L:$L,MATCH("all.in.cs2.cmt.dry.---",input_data!$A:$A,0)))*L29,0)+IFERROR((calculations!U133/calculations!U132)*((calculations!U153+calculations!U264)*$B$11+calculations!U154*$B$12+calculations!U155*$B$13+calculations!U156*$B$14+calculations!U157*$B$15*INDEX(input_data!$L:$L,MATCH("all.in.cs2.frt.amc.---",input_data!$A:$A,0)))*L29,0)+IFERROR((calculations!U161/calculations!U160)*((calculations!U181+calculations!U269)*$B$11+calculations!U182*$B$12+calculations!U183*$B$13+calculations!U184*$B$14+calculations!U185*$B$15*INDEX(input_data!$L:$L,MATCH("all.in.cs2.frt.ure.---",input_data!$A:$A,0)))*L29,0)+IFERROR((calculations!U189/calculations!U188)*((calculations!U209+calculations!U274)*$B$11+calculations!U210*$B$12+calculations!U211*$B$13+calculations!U212*$B$14+calculations!U213*$B$15*INDEX(input_data!$L:$L,MATCH("all.in.cs2.frt.nit.---",input_data!$A:$A,0)))*L29,0)+IFERROR((calculations!U217/calculations!U216)*((calculations!U237+calculations!U279)*$B$11+calculations!U238*$B$12+calculations!U239*$B$13+calculations!U240*$B$14+calculations!U241*$B$15*INDEX(input_data!$L:$L,MATCH("all.in.cs2.alu.prp.---",input_data!$A:$A,0)))*L29,0)</f>
        <v>520.840178998722</v>
      </c>
      <c r="M35" s="29" t="n">
        <f aca="false">IFERROR((calculations!V21/calculations!V20)*((calculations!V41+calculations!V244)*$B$11+calculations!V42*$B$12+calculations!V43*$B$13+calculations!V44*$B$14+calculations!V45*$B$15*INDEX(input_data!$L:$L,MATCH("all.in.cs2.stl.drg.---",input_data!$A:$A,0)))*M29,0)+IFERROR((calculations!V49/calculations!V48)*((calculations!V69+calculations!V249)*$B$11+calculations!V70*$B$12+calculations!V71*$B$13+calculations!V72*$B$14+calculations!V73*$B$15*INDEX(input_data!$L:$L,MATCH("all.in.cs2.stl.scr.---",input_data!$A:$A,0)))*M29,0)+IFERROR((calculations!V77/calculations!V76)*((calculations!V97+calculations!V254)*$B$11+calculations!V98*$B$12+calculations!V99*$B$13+calculations!V100*$B$14+calculations!V101*$B$15*INDEX(input_data!$L:$L,MATCH("all.in.cs2.stl.bof.---",input_data!$A:$A,0)))*M29,0)+IFERROR((calculations!V105/calculations!V104)*((calculations!V125+calculations!V259)*$B$11+calculations!V126*$B$12+calculations!V127*$B$13+calculations!V128*$B$14+calculations!V129*$B$15*INDEX(input_data!$L:$L,MATCH("all.in.cs2.cmt.dry.---",input_data!$A:$A,0)))*M29,0)+IFERROR((calculations!V133/calculations!V132)*((calculations!V153+calculations!V264)*$B$11+calculations!V154*$B$12+calculations!V155*$B$13+calculations!V156*$B$14+calculations!V157*$B$15*INDEX(input_data!$L:$L,MATCH("all.in.cs2.frt.amc.---",input_data!$A:$A,0)))*M29,0)+IFERROR((calculations!V161/calculations!V160)*((calculations!V181+calculations!V269)*$B$11+calculations!V182*$B$12+calculations!V183*$B$13+calculations!V184*$B$14+calculations!V185*$B$15*INDEX(input_data!$L:$L,MATCH("all.in.cs2.frt.ure.---",input_data!$A:$A,0)))*M29,0)+IFERROR((calculations!V189/calculations!V188)*((calculations!V209+calculations!V274)*$B$11+calculations!V210*$B$12+calculations!V211*$B$13+calculations!V212*$B$14+calculations!V213*$B$15*INDEX(input_data!$L:$L,MATCH("all.in.cs2.frt.nit.---",input_data!$A:$A,0)))*M29,0)+IFERROR((calculations!V217/calculations!V216)*((calculations!V237+calculations!V279)*$B$11+calculations!V238*$B$12+calculations!V239*$B$13+calculations!V240*$B$14+calculations!V241*$B$15*INDEX(input_data!$L:$L,MATCH("all.in.cs2.alu.prp.---",input_data!$A:$A,0)))*M29,0)</f>
        <v>606.574901214444</v>
      </c>
      <c r="N35" s="29" t="n">
        <f aca="false">IFERROR((calculations!W21/calculations!W20)*((calculations!W41+calculations!W244)*$B$11+calculations!W42*$B$12+calculations!W43*$B$13+calculations!W44*$B$14+calculations!W45*$B$15*INDEX(input_data!$L:$L,MATCH("all.in.cs2.stl.drg.---",input_data!$A:$A,0)))*N29,0)+IFERROR((calculations!W49/calculations!W48)*((calculations!W69+calculations!W249)*$B$11+calculations!W70*$B$12+calculations!W71*$B$13+calculations!W72*$B$14+calculations!W73*$B$15*INDEX(input_data!$L:$L,MATCH("all.in.cs2.stl.scr.---",input_data!$A:$A,0)))*N29,0)+IFERROR((calculations!W77/calculations!W76)*((calculations!W97+calculations!W254)*$B$11+calculations!W98*$B$12+calculations!W99*$B$13+calculations!W100*$B$14+calculations!W101*$B$15*INDEX(input_data!$L:$L,MATCH("all.in.cs2.stl.bof.---",input_data!$A:$A,0)))*N29,0)+IFERROR((calculations!W105/calculations!W104)*((calculations!W125+calculations!W259)*$B$11+calculations!W126*$B$12+calculations!W127*$B$13+calculations!W128*$B$14+calculations!W129*$B$15*INDEX(input_data!$L:$L,MATCH("all.in.cs2.cmt.dry.---",input_data!$A:$A,0)))*N29,0)+IFERROR((calculations!W133/calculations!W132)*((calculations!W153+calculations!W264)*$B$11+calculations!W154*$B$12+calculations!W155*$B$13+calculations!W156*$B$14+calculations!W157*$B$15*INDEX(input_data!$L:$L,MATCH("all.in.cs2.frt.amc.---",input_data!$A:$A,0)))*N29,0)+IFERROR((calculations!W161/calculations!W160)*((calculations!W181+calculations!W269)*$B$11+calculations!W182*$B$12+calculations!W183*$B$13+calculations!W184*$B$14+calculations!W185*$B$15*INDEX(input_data!$L:$L,MATCH("all.in.cs2.frt.ure.---",input_data!$A:$A,0)))*N29,0)+IFERROR((calculations!W189/calculations!W188)*((calculations!W209+calculations!W274)*$B$11+calculations!W210*$B$12+calculations!W211*$B$13+calculations!W212*$B$14+calculations!W213*$B$15*INDEX(input_data!$L:$L,MATCH("all.in.cs2.frt.nit.---",input_data!$A:$A,0)))*N29,0)+IFERROR((calculations!W217/calculations!W216)*((calculations!W237+calculations!W279)*$B$11+calculations!W238*$B$12+calculations!W239*$B$13+calculations!W240*$B$14+calculations!W241*$B$15*INDEX(input_data!$L:$L,MATCH("all.in.cs2.alu.prp.---",input_data!$A:$A,0)))*N29,0)</f>
        <v>707.273439937512</v>
      </c>
      <c r="O35" s="29" t="n">
        <f aca="false">IFERROR((calculations!X21/calculations!X20)*((calculations!X41+calculations!X244)*$B$11+calculations!X42*$B$12+calculations!X43*$B$13+calculations!X44*$B$14+calculations!X45*$B$15*INDEX(input_data!$L:$L,MATCH("all.in.cs2.stl.drg.---",input_data!$A:$A,0)))*O29,0)+IFERROR((calculations!X49/calculations!X48)*((calculations!X69+calculations!X249)*$B$11+calculations!X70*$B$12+calculations!X71*$B$13+calculations!X72*$B$14+calculations!X73*$B$15*INDEX(input_data!$L:$L,MATCH("all.in.cs2.stl.scr.---",input_data!$A:$A,0)))*O29,0)+IFERROR((calculations!X77/calculations!X76)*((calculations!X97+calculations!X254)*$B$11+calculations!X98*$B$12+calculations!X99*$B$13+calculations!X100*$B$14+calculations!X101*$B$15*INDEX(input_data!$L:$L,MATCH("all.in.cs2.stl.bof.---",input_data!$A:$A,0)))*O29,0)+IFERROR((calculations!X105/calculations!X104)*((calculations!X125+calculations!X259)*$B$11+calculations!X126*$B$12+calculations!X127*$B$13+calculations!X128*$B$14+calculations!X129*$B$15*INDEX(input_data!$L:$L,MATCH("all.in.cs2.cmt.dry.---",input_data!$A:$A,0)))*O29,0)+IFERROR((calculations!X133/calculations!X132)*((calculations!X153+calculations!X264)*$B$11+calculations!X154*$B$12+calculations!X155*$B$13+calculations!X156*$B$14+calculations!X157*$B$15*INDEX(input_data!$L:$L,MATCH("all.in.cs2.frt.amc.---",input_data!$A:$A,0)))*O29,0)+IFERROR((calculations!X161/calculations!X160)*((calculations!X181+calculations!X269)*$B$11+calculations!X182*$B$12+calculations!X183*$B$13+calculations!X184*$B$14+calculations!X185*$B$15*INDEX(input_data!$L:$L,MATCH("all.in.cs2.frt.ure.---",input_data!$A:$A,0)))*O29,0)+IFERROR((calculations!X189/calculations!X188)*((calculations!X209+calculations!X274)*$B$11+calculations!X210*$B$12+calculations!X211*$B$13+calculations!X212*$B$14+calculations!X213*$B$15*INDEX(input_data!$L:$L,MATCH("all.in.cs2.frt.nit.---",input_data!$A:$A,0)))*O29,0)+IFERROR((calculations!X217/calculations!X216)*((calculations!X237+calculations!X279)*$B$11+calculations!X238*$B$12+calculations!X239*$B$13+calculations!X240*$B$14+calculations!X241*$B$15*INDEX(input_data!$L:$L,MATCH("all.in.cs2.alu.prp.---",input_data!$A:$A,0)))*O29,0)</f>
        <v>767.155123740666</v>
      </c>
    </row>
    <row r="36" customFormat="false" ht="18" hidden="false" customHeight="true" outlineLevel="0" collapsed="false">
      <c r="A36" s="16" t="s">
        <v>64</v>
      </c>
      <c r="B36" s="27" t="s">
        <v>61</v>
      </c>
      <c r="C36" s="28"/>
      <c r="D36" s="29" t="n">
        <f aca="false">MAX(D33-D35,0)</f>
        <v>0</v>
      </c>
      <c r="E36" s="29" t="n">
        <f aca="false">MAX(E33-E35,0)</f>
        <v>0</v>
      </c>
      <c r="F36" s="29" t="n">
        <f aca="false">MAX(F33-F35,0)</f>
        <v>0</v>
      </c>
      <c r="G36" s="29" t="n">
        <f aca="false">MAX(G33-G35,0)</f>
        <v>0</v>
      </c>
      <c r="H36" s="29" t="n">
        <f aca="false">MAX(H33-H35,0)</f>
        <v>0</v>
      </c>
      <c r="I36" s="29" t="n">
        <f aca="false">MAX(I33-I35,0)</f>
        <v>0</v>
      </c>
      <c r="J36" s="29" t="n">
        <f aca="false">MAX(J33-J35,0)</f>
        <v>0</v>
      </c>
      <c r="K36" s="29" t="n">
        <f aca="false">MAX(K33-K35,0)</f>
        <v>0</v>
      </c>
      <c r="L36" s="29" t="n">
        <f aca="false">MAX(L33-L35,0)</f>
        <v>0</v>
      </c>
      <c r="M36" s="29" t="n">
        <f aca="false">MAX(M33-M35,0)</f>
        <v>0</v>
      </c>
      <c r="N36" s="29" t="n">
        <f aca="false">MAX(N33-N35,0)</f>
        <v>0</v>
      </c>
      <c r="O36" s="29" t="n">
        <f aca="false">MAX(O33-O35,0)</f>
        <v>0</v>
      </c>
    </row>
    <row r="37" customFormat="false" ht="18" hidden="false" customHeight="true" outlineLevel="0" collapsed="false">
      <c r="A37" s="16" t="s">
        <v>65</v>
      </c>
      <c r="B37" s="27" t="s">
        <v>61</v>
      </c>
      <c r="C37" s="28"/>
      <c r="D37" s="29" t="n">
        <f aca="false">IFERROR((calculations!M22/calculations!M20)*((calculations!M41+calculations!M244)*$B$11+calculations!M42*$B$12+calculations!M43*$B$13+calculations!M44*$B$14+calculations!M45*$B$15)*D29,0)+IFERROR((calculations!M50/calculations!M48)*((calculations!M69+calculations!M249)*$B$11+calculations!M70*$B$12+calculations!M71*$B$13+calculations!M72*$B$14+calculations!M73*$B$15)*D29,0)+IFERROR((calculations!M78/calculations!M76)*((calculations!M97+calculations!M254)*$B$11+calculations!M98*$B$12+calculations!M99*$B$13+calculations!M100*$B$14+calculations!M101*$B$15)*D29,0)+IFERROR((calculations!M106/calculations!M104)*((calculations!M125+calculations!M259)*$B$11+calculations!M126*$B$12+calculations!M127*$B$13+calculations!M128*$B$14+calculations!M129*$B$15)*D29,0)+IFERROR((calculations!M134/calculations!M132)*((calculations!M153+calculations!M264)*$B$11+calculations!M154*$B$12+calculations!M155*$B$13+calculations!M156*$B$14+calculations!M157*$B$15)*D29,0)+IFERROR((calculations!M162/calculations!M160)*((calculations!M181+calculations!M269)*$B$11+calculations!M182*$B$12+calculations!M183*$B$13+calculations!M184*$B$14+calculations!M185*$B$15)*D29,0)+IFERROR((calculations!M190/calculations!M188)*((calculations!M209+calculations!M274)*$B$11+calculations!M210*$B$12+calculations!M211*$B$13+calculations!M212*$B$14+calculations!M213*$B$15)*D29,0)+IFERROR((calculations!M218/calculations!M216)*((calculations!M237+calculations!M279)*$B$11+calculations!M238*$B$12+calculations!M239*$B$13+calculations!M240*$B$14+calculations!M241*$B$15)*D29,0)</f>
        <v>0</v>
      </c>
      <c r="E37" s="29" t="n">
        <f aca="false">IFERROR((calculations!N22/calculations!N20)*((calculations!N41+calculations!N244)*$B$11+calculations!N42*$B$12+calculations!N43*$B$13+calculations!N44*$B$14+calculations!N45*$B$15)*E29,0)+IFERROR((calculations!N50/calculations!N48)*((calculations!N69+calculations!N249)*$B$11+calculations!N70*$B$12+calculations!N71*$B$13+calculations!N72*$B$14+calculations!N73*$B$15)*E29,0)+IFERROR((calculations!N78/calculations!N76)*((calculations!N97+calculations!N254)*$B$11+calculations!N98*$B$12+calculations!N99*$B$13+calculations!N100*$B$14+calculations!N101*$B$15)*E29,0)+IFERROR((calculations!N106/calculations!N104)*((calculations!N125+calculations!N259)*$B$11+calculations!N126*$B$12+calculations!N127*$B$13+calculations!N128*$B$14+calculations!N129*$B$15)*E29,0)+IFERROR((calculations!N134/calculations!N132)*((calculations!N153+calculations!N264)*$B$11+calculations!N154*$B$12+calculations!N155*$B$13+calculations!N156*$B$14+calculations!N157*$B$15)*E29,0)+IFERROR((calculations!N162/calculations!N160)*((calculations!N181+calculations!N269)*$B$11+calculations!N182*$B$12+calculations!N183*$B$13+calculations!N184*$B$14+calculations!N185*$B$15)*E29,0)+IFERROR((calculations!N190/calculations!N188)*((calculations!N209+calculations!N274)*$B$11+calculations!N210*$B$12+calculations!N211*$B$13+calculations!N212*$B$14+calculations!N213*$B$15)*E29,0)+IFERROR((calculations!N218/calculations!N216)*((calculations!N237+calculations!N279)*$B$11+calculations!N238*$B$12+calculations!N239*$B$13+calculations!N240*$B$14+calculations!N241*$B$15)*E29,0)</f>
        <v>0</v>
      </c>
      <c r="F37" s="29" t="n">
        <f aca="false">IFERROR((calculations!O22/calculations!O20)*((calculations!O41+calculations!O244)*$B$11+calculations!O42*$B$12+calculations!O43*$B$13+calculations!O44*$B$14+calculations!O45*$B$15)*F29,0)+IFERROR((calculations!O50/calculations!O48)*((calculations!O69+calculations!O249)*$B$11+calculations!O70*$B$12+calculations!O71*$B$13+calculations!O72*$B$14+calculations!O73*$B$15)*F29,0)+IFERROR((calculations!O78/calculations!O76)*((calculations!O97+calculations!O254)*$B$11+calculations!O98*$B$12+calculations!O99*$B$13+calculations!O100*$B$14+calculations!O101*$B$15)*F29,0)+IFERROR((calculations!O106/calculations!O104)*((calculations!O125+calculations!O259)*$B$11+calculations!O126*$B$12+calculations!O127*$B$13+calculations!O128*$B$14+calculations!O129*$B$15)*F29,0)+IFERROR((calculations!O134/calculations!O132)*((calculations!O153+calculations!O264)*$B$11+calculations!O154*$B$12+calculations!O155*$B$13+calculations!O156*$B$14+calculations!O157*$B$15)*F29,0)+IFERROR((calculations!O162/calculations!O160)*((calculations!O181+calculations!O269)*$B$11+calculations!O182*$B$12+calculations!O183*$B$13+calculations!O184*$B$14+calculations!O185*$B$15)*F29,0)+IFERROR((calculations!O190/calculations!O188)*((calculations!O209+calculations!O274)*$B$11+calculations!O210*$B$12+calculations!O211*$B$13+calculations!O212*$B$14+calculations!O213*$B$15)*F29,0)+IFERROR((calculations!O218/calculations!O216)*((calculations!O237+calculations!O279)*$B$11+calculations!O238*$B$12+calculations!O239*$B$13+calculations!O240*$B$14+calculations!O241*$B$15)*F29,0)</f>
        <v>388.112907585905</v>
      </c>
      <c r="G37" s="29" t="n">
        <f aca="false">IFERROR((calculations!P22/calculations!P20)*((calculations!P41+calculations!P244)*$B$11+calculations!P42*$B$12+calculations!P43*$B$13+calculations!P44*$B$14+calculations!P45*$B$15)*G29,0)+IFERROR((calculations!P50/calculations!P48)*((calculations!P69+calculations!P249)*$B$11+calculations!P70*$B$12+calculations!P71*$B$13+calculations!P72*$B$14+calculations!P73*$B$15)*G29,0)+IFERROR((calculations!P78/calculations!P76)*((calculations!P97+calculations!P254)*$B$11+calculations!P98*$B$12+calculations!P99*$B$13+calculations!P100*$B$14+calculations!P101*$B$15)*G29,0)+IFERROR((calculations!P106/calculations!P104)*((calculations!P125+calculations!P259)*$B$11+calculations!P126*$B$12+calculations!P127*$B$13+calculations!P128*$B$14+calculations!P129*$B$15)*G29,0)+IFERROR((calculations!P134/calculations!P132)*((calculations!P153+calculations!P264)*$B$11+calculations!P154*$B$12+calculations!P155*$B$13+calculations!P156*$B$14+calculations!P157*$B$15)*G29,0)+IFERROR((calculations!P162/calculations!P160)*((calculations!P181+calculations!P269)*$B$11+calculations!P182*$B$12+calculations!P183*$B$13+calculations!P184*$B$14+calculations!P185*$B$15)*G29,0)+IFERROR((calculations!P190/calculations!P188)*((calculations!P209+calculations!P274)*$B$11+calculations!P210*$B$12+calculations!P211*$B$13+calculations!P212*$B$14+calculations!P213*$B$15)*G29,0)+IFERROR((calculations!P218/calculations!P216)*((calculations!P237+calculations!P279)*$B$11+calculations!P238*$B$12+calculations!P239*$B$13+calculations!P240*$B$14+calculations!P241*$B$15)*G29,0)</f>
        <v>433.838513432188</v>
      </c>
      <c r="H37" s="29" t="n">
        <f aca="false">IFERROR((calculations!Q22/calculations!Q20)*((calculations!Q41+calculations!Q244)*$B$11+calculations!Q42*$B$12+calculations!Q43*$B$13+calculations!Q44*$B$14+calculations!Q45*$B$15)*H29,0)+IFERROR((calculations!Q50/calculations!Q48)*((calculations!Q69+calculations!Q249)*$B$11+calculations!Q70*$B$12+calculations!Q71*$B$13+calculations!Q72*$B$14+calculations!Q73*$B$15)*H29,0)+IFERROR((calculations!Q78/calculations!Q76)*((calculations!Q97+calculations!Q254)*$B$11+calculations!Q98*$B$12+calculations!Q99*$B$13+calculations!Q100*$B$14+calculations!Q101*$B$15)*H29,0)+IFERROR((calculations!Q106/calculations!Q104)*((calculations!Q125+calculations!Q259)*$B$11+calculations!Q126*$B$12+calculations!Q127*$B$13+calculations!Q128*$B$14+calculations!Q129*$B$15)*H29,0)+IFERROR((calculations!Q134/calculations!Q132)*((calculations!Q153+calculations!Q264)*$B$11+calculations!Q154*$B$12+calculations!Q155*$B$13+calculations!Q156*$B$14+calculations!Q157*$B$15)*H29,0)+IFERROR((calculations!Q162/calculations!Q160)*((calculations!Q181+calculations!Q269)*$B$11+calculations!Q182*$B$12+calculations!Q183*$B$13+calculations!Q184*$B$14+calculations!Q185*$B$15)*H29,0)+IFERROR((calculations!Q190/calculations!Q188)*((calculations!Q209+calculations!Q274)*$B$11+calculations!Q210*$B$12+calculations!Q211*$B$13+calculations!Q212*$B$14+calculations!Q213*$B$15)*H29,0)+IFERROR((calculations!Q218/calculations!Q216)*((calculations!Q237+calculations!Q279)*$B$11+calculations!Q238*$B$12+calculations!Q239*$B$13+calculations!Q240*$B$14+calculations!Q241*$B$15)*H29,0)</f>
        <v>492.598714735121</v>
      </c>
      <c r="I37" s="29" t="n">
        <f aca="false">IFERROR((calculations!R22/calculations!R20)*((calculations!R41+calculations!R244)*$B$11+calculations!R42*$B$12+calculations!R43*$B$13+calculations!R44*$B$14+calculations!R45*$B$15)*I29,0)+IFERROR((calculations!R50/calculations!R48)*((calculations!R69+calculations!R249)*$B$11+calculations!R70*$B$12+calculations!R71*$B$13+calculations!R72*$B$14+calculations!R73*$B$15)*I29,0)+IFERROR((calculations!R78/calculations!R76)*((calculations!R97+calculations!R254)*$B$11+calculations!R98*$B$12+calculations!R99*$B$13+calculations!R100*$B$14+calculations!R101*$B$15)*I29,0)+IFERROR((calculations!R106/calculations!R104)*((calculations!R125+calculations!R259)*$B$11+calculations!R126*$B$12+calculations!R127*$B$13+calculations!R128*$B$14+calculations!R129*$B$15)*I29,0)+IFERROR((calculations!R134/calculations!R132)*((calculations!R153+calculations!R264)*$B$11+calculations!R154*$B$12+calculations!R155*$B$13+calculations!R156*$B$14+calculations!R157*$B$15)*I29,0)+IFERROR((calculations!R162/calculations!R160)*((calculations!R181+calculations!R269)*$B$11+calculations!R182*$B$12+calculations!R183*$B$13+calculations!R184*$B$14+calculations!R185*$B$15)*I29,0)+IFERROR((calculations!R190/calculations!R188)*((calculations!R209+calculations!R274)*$B$11+calculations!R210*$B$12+calculations!R211*$B$13+calculations!R212*$B$14+calculations!R213*$B$15)*I29,0)+IFERROR((calculations!R218/calculations!R216)*((calculations!R237+calculations!R279)*$B$11+calculations!R238*$B$12+calculations!R239*$B$13+calculations!R240*$B$14+calculations!R241*$B$15)*I29,0)</f>
        <v>561.062805857127</v>
      </c>
      <c r="J37" s="29" t="n">
        <f aca="false">IFERROR((calculations!S22/calculations!S20)*((calculations!S41+calculations!S244)*$B$11+calculations!S42*$B$12+calculations!S43*$B$13+calculations!S44*$B$14+calculations!S45*$B$15)*J29,0)+IFERROR((calculations!S50/calculations!S48)*((calculations!S69+calculations!S249)*$B$11+calculations!S70*$B$12+calculations!S71*$B$13+calculations!S72*$B$14+calculations!S73*$B$15)*J29,0)+IFERROR((calculations!S78/calculations!S76)*((calculations!S97+calculations!S254)*$B$11+calculations!S98*$B$12+calculations!S99*$B$13+calculations!S100*$B$14+calculations!S101*$B$15)*J29,0)+IFERROR((calculations!S106/calculations!S104)*((calculations!S125+calculations!S259)*$B$11+calculations!S126*$B$12+calculations!S127*$B$13+calculations!S128*$B$14+calculations!S129*$B$15)*J29,0)+IFERROR((calculations!S134/calculations!S132)*((calculations!S153+calculations!S264)*$B$11+calculations!S154*$B$12+calculations!S155*$B$13+calculations!S156*$B$14+calculations!S157*$B$15)*J29,0)+IFERROR((calculations!S162/calculations!S160)*((calculations!S181+calculations!S269)*$B$11+calculations!S182*$B$12+calculations!S183*$B$13+calculations!S184*$B$14+calculations!S185*$B$15)*J29,0)+IFERROR((calculations!S190/calculations!S188)*((calculations!S209+calculations!S274)*$B$11+calculations!S210*$B$12+calculations!S211*$B$13+calculations!S212*$B$14+calculations!S213*$B$15)*J29,0)+IFERROR((calculations!S218/calculations!S216)*((calculations!S237+calculations!S279)*$B$11+calculations!S238*$B$12+calculations!S239*$B$13+calculations!S240*$B$14+calculations!S241*$B$15)*J29,0)</f>
        <v>731.697116785512</v>
      </c>
      <c r="K37" s="29" t="n">
        <f aca="false">IFERROR((calculations!T22/calculations!T20)*((calculations!T41+calculations!T244)*$B$11+calculations!T42*$B$12+calculations!T43*$B$13+calculations!T44*$B$14+calculations!T45*$B$15)*K29,0)+IFERROR((calculations!T50/calculations!T48)*((calculations!T69+calculations!T249)*$B$11+calculations!T70*$B$12+calculations!T71*$B$13+calculations!T72*$B$14+calculations!T73*$B$15)*K29,0)+IFERROR((calculations!T78/calculations!T76)*((calculations!T97+calculations!T254)*$B$11+calculations!T98*$B$12+calculations!T99*$B$13+calculations!T100*$B$14+calculations!T101*$B$15)*K29,0)+IFERROR((calculations!T106/calculations!T104)*((calculations!T125+calculations!T259)*$B$11+calculations!T126*$B$12+calculations!T127*$B$13+calculations!T128*$B$14+calculations!T129*$B$15)*K29,0)+IFERROR((calculations!T134/calculations!T132)*((calculations!T153+calculations!T264)*$B$11+calculations!T154*$B$12+calculations!T155*$B$13+calculations!T156*$B$14+calculations!T157*$B$15)*K29,0)+IFERROR((calculations!T162/calculations!T160)*((calculations!T181+calculations!T269)*$B$11+calculations!T182*$B$12+calculations!T183*$B$13+calculations!T184*$B$14+calculations!T185*$B$15)*K29,0)+IFERROR((calculations!T190/calculations!T188)*((calculations!T209+calculations!T274)*$B$11+calculations!T210*$B$12+calculations!T211*$B$13+calculations!T212*$B$14+calculations!T213*$B$15)*K29,0)+IFERROR((calculations!T218/calculations!T216)*((calculations!T237+calculations!T279)*$B$11+calculations!T238*$B$12+calculations!T239*$B$13+calculations!T240*$B$14+calculations!T241*$B$15)*K29,0)</f>
        <v>862.546534586072</v>
      </c>
      <c r="L37" s="29" t="n">
        <f aca="false">IFERROR((calculations!U22/calculations!U20)*((calculations!U41+calculations!U244)*$B$11+calculations!U42*$B$12+calculations!U43*$B$13+calculations!U44*$B$14+calculations!U45*$B$15)*L29,0)+IFERROR((calculations!U50/calculations!U48)*((calculations!U69+calculations!U249)*$B$11+calculations!U70*$B$12+calculations!U71*$B$13+calculations!U72*$B$14+calculations!U73*$B$15)*L29,0)+IFERROR((calculations!U78/calculations!U76)*((calculations!U97+calculations!U254)*$B$11+calculations!U98*$B$12+calculations!U99*$B$13+calculations!U100*$B$14+calculations!U101*$B$15)*L29,0)+IFERROR((calculations!U106/calculations!U104)*((calculations!U125+calculations!U259)*$B$11+calculations!U126*$B$12+calculations!U127*$B$13+calculations!U128*$B$14+calculations!U129*$B$15)*L29,0)+IFERROR((calculations!U134/calculations!U132)*((calculations!U153+calculations!U264)*$B$11+calculations!U154*$B$12+calculations!U155*$B$13+calculations!U156*$B$14+calculations!U157*$B$15)*L29,0)+IFERROR((calculations!U162/calculations!U160)*((calculations!U181+calculations!U269)*$B$11+calculations!U182*$B$12+calculations!U183*$B$13+calculations!U184*$B$14+calculations!U185*$B$15)*L29,0)+IFERROR((calculations!U190/calculations!U188)*((calculations!U209+calculations!U274)*$B$11+calculations!U210*$B$12+calculations!U211*$B$13+calculations!U212*$B$14+calculations!U213*$B$15)*L29,0)+IFERROR((calculations!U218/calculations!U216)*((calculations!U237+calculations!U279)*$B$11+calculations!U238*$B$12+calculations!U239*$B$13+calculations!U240*$B$14+calculations!U241*$B$15)*L29,0)</f>
        <v>1008.52533668724</v>
      </c>
      <c r="M37" s="29" t="n">
        <f aca="false">IFERROR((calculations!V22/calculations!V20)*((calculations!V41+calculations!V244)*$B$11+calculations!V42*$B$12+calculations!V43*$B$13+calculations!V44*$B$14+calculations!V45*$B$15)*M29,0)+IFERROR((calculations!V50/calculations!V48)*((calculations!V69+calculations!V249)*$B$11+calculations!V70*$B$12+calculations!V71*$B$13+calculations!V72*$B$14+calculations!V73*$B$15)*M29,0)+IFERROR((calculations!V78/calculations!V76)*((calculations!V97+calculations!V254)*$B$11+calculations!V98*$B$12+calculations!V99*$B$13+calculations!V100*$B$14+calculations!V101*$B$15)*M29,0)+IFERROR((calculations!V106/calculations!V104)*((calculations!V125+calculations!V259)*$B$11+calculations!V126*$B$12+calculations!V127*$B$13+calculations!V128*$B$14+calculations!V129*$B$15)*M29,0)+IFERROR((calculations!V134/calculations!V132)*((calculations!V153+calculations!V264)*$B$11+calculations!V154*$B$12+calculations!V155*$B$13+calculations!V156*$B$14+calculations!V157*$B$15)*M29,0)+IFERROR((calculations!V162/calculations!V160)*((calculations!V181+calculations!V269)*$B$11+calculations!V182*$B$12+calculations!V183*$B$13+calculations!V184*$B$14+calculations!V185*$B$15)*M29,0)+IFERROR((calculations!V190/calculations!V188)*((calculations!V209+calculations!V274)*$B$11+calculations!V210*$B$12+calculations!V211*$B$13+calculations!V212*$B$14+calculations!V213*$B$15)*M29,0)+IFERROR((calculations!V218/calculations!V216)*((calculations!V237+calculations!V279)*$B$11+calculations!V238*$B$12+calculations!V239*$B$13+calculations!V240*$B$14+calculations!V241*$B$15)*M29,0)</f>
        <v>1170.86796874357</v>
      </c>
      <c r="N37" s="29" t="n">
        <f aca="false">IFERROR((calculations!W22/calculations!W20)*((calculations!W41+calculations!W244)*$B$11+calculations!W42*$B$12+calculations!W43*$B$13+calculations!W44*$B$14+calculations!W45*$B$15)*N29,0)+IFERROR((calculations!W50/calculations!W48)*((calculations!W69+calculations!W249)*$B$11+calculations!W70*$B$12+calculations!W71*$B$13+calculations!W72*$B$14+calculations!W73*$B$15)*N29,0)+IFERROR((calculations!W78/calculations!W76)*((calculations!W97+calculations!W254)*$B$11+calculations!W98*$B$12+calculations!W99*$B$13+calculations!W100*$B$14+calculations!W101*$B$15)*N29,0)+IFERROR((calculations!W106/calculations!W104)*((calculations!W125+calculations!W259)*$B$11+calculations!W126*$B$12+calculations!W127*$B$13+calculations!W128*$B$14+calculations!W129*$B$15)*N29,0)+IFERROR((calculations!W134/calculations!W132)*((calculations!W153+calculations!W264)*$B$11+calculations!W154*$B$12+calculations!W155*$B$13+calculations!W156*$B$14+calculations!W157*$B$15)*N29,0)+IFERROR((calculations!W162/calculations!W160)*((calculations!W181+calculations!W269)*$B$11+calculations!W182*$B$12+calculations!W183*$B$13+calculations!W184*$B$14+calculations!W185*$B$15)*N29,0)+IFERROR((calculations!W190/calculations!W188)*((calculations!W209+calculations!W274)*$B$11+calculations!W210*$B$12+calculations!W211*$B$13+calculations!W212*$B$14+calculations!W213*$B$15)*N29,0)+IFERROR((calculations!W218/calculations!W216)*((calculations!W237+calculations!W279)*$B$11+calculations!W238*$B$12+calculations!W239*$B$13+calculations!W240*$B$14+calculations!W241*$B$15)*N29,0)</f>
        <v>1360.86654367838</v>
      </c>
      <c r="O37" s="29" t="n">
        <f aca="false">IFERROR((calculations!X22/calculations!X20)*((calculations!X41+calculations!X244)*$B$11+calculations!X42*$B$12+calculations!X43*$B$13+calculations!X44*$B$14+calculations!X45*$B$15)*O29,0)+IFERROR((calculations!X50/calculations!X48)*((calculations!X69+calculations!X249)*$B$11+calculations!X70*$B$12+calculations!X71*$B$13+calculations!X72*$B$14+calculations!X73*$B$15)*O29,0)+IFERROR((calculations!X78/calculations!X76)*((calculations!X97+calculations!X254)*$B$11+calculations!X98*$B$12+calculations!X99*$B$13+calculations!X100*$B$14+calculations!X101*$B$15)*O29,0)+IFERROR((calculations!X106/calculations!X104)*((calculations!X125+calculations!X259)*$B$11+calculations!X126*$B$12+calculations!X127*$B$13+calculations!X128*$B$14+calculations!X129*$B$15)*O29,0)+IFERROR((calculations!X134/calculations!X132)*((calculations!X153+calculations!X264)*$B$11+calculations!X154*$B$12+calculations!X155*$B$13+calculations!X156*$B$14+calculations!X157*$B$15)*O29,0)+IFERROR((calculations!X162/calculations!X160)*((calculations!X181+calculations!X269)*$B$11+calculations!X182*$B$12+calculations!X183*$B$13+calculations!X184*$B$14+calculations!X185*$B$15)*O29,0)+IFERROR((calculations!X190/calculations!X188)*((calculations!X209+calculations!X274)*$B$11+calculations!X210*$B$12+calculations!X211*$B$13+calculations!X212*$B$14+calculations!X213*$B$15)*O29,0)+IFERROR((calculations!X218/calculations!X216)*((calculations!X237+calculations!X279)*$B$11+calculations!X238*$B$12+calculations!X239*$B$13+calculations!X240*$B$14+calculations!X241*$B$15)*O29,0)</f>
        <v>1471.22844575111</v>
      </c>
    </row>
    <row r="38" customFormat="false" ht="18" hidden="false" customHeight="true" outlineLevel="0" collapsed="false">
      <c r="A38" s="16" t="s">
        <v>66</v>
      </c>
      <c r="B38" s="27" t="s">
        <v>61</v>
      </c>
      <c r="C38" s="28"/>
      <c r="D38" s="29" t="n">
        <f aca="false">IFERROR((1-$B$22)*(calculations!M23/calculations!M20)*((calculations!M41+calculations!M244)*$B$11+calculations!M42*$B$12+calculations!M43*$B$13+calculations!M44*$B$14+calculations!M45*$B$15)*D29,0)+IFERROR((1-$B$22)*(calculations!M51/calculations!M48)*((calculations!M69+calculations!M249)*$B$11+calculations!M70*$B$12+calculations!M71*$B$13+calculations!M72*$B$14+calculations!M73*$B$15)*D29,0)+IFERROR((1-$B$22)*(calculations!M79/calculations!M76)*((calculations!M97+calculations!M254)*$B$11+calculations!M98*$B$12+calculations!M99*$B$13+calculations!M100*$B$14+calculations!M101*$B$15)*D29,0)+IFERROR((1-$B$22)*(calculations!M107/calculations!M104)*((calculations!M125+calculations!M259)*$B$11+calculations!M126*$B$12+calculations!M127*$B$13+calculations!M128*$B$14+calculations!M129*$B$15)*D29,0)+IFERROR((1-$B$22)*(calculations!M135/calculations!M132)*((calculations!M153+calculations!M264)*$B$11+calculations!M154*$B$12+calculations!M155*$B$13+calculations!M156*$B$14+calculations!M157*$B$15)*D29,0)+IFERROR((1-$B$22)*(calculations!M163/calculations!M160)*((calculations!M181+calculations!M269)*$B$11+calculations!M182*$B$12+calculations!M183*$B$13+calculations!M184*$B$14+calculations!M185*$B$15)*D29,0)+IFERROR((1-$B$22)*(calculations!M191/calculations!M188)*((calculations!M209+calculations!M274)*$B$11+calculations!M210*$B$12+calculations!M211*$B$13+calculations!M212*$B$14+calculations!M213*$B$15)*D29,0)+IFERROR((1-$B$22)*(calculations!M219/calculations!M216)*((calculations!M237+calculations!M279)*$B$11+calculations!M238*$B$12+calculations!M239*$B$13+calculations!M240*$B$14+calculations!M241*$B$15)*D29,0)</f>
        <v>0</v>
      </c>
      <c r="E38" s="29" t="n">
        <f aca="false">IFERROR((1-$B$22)*(calculations!N23/calculations!N20)*((calculations!N41+calculations!N244)*$B$11+calculations!N42*$B$12+calculations!N43*$B$13+calculations!N44*$B$14+calculations!N45*$B$15)*E29,0)+IFERROR((1-$B$22)*(calculations!N51/calculations!N48)*((calculations!N69+calculations!N249)*$B$11+calculations!N70*$B$12+calculations!N71*$B$13+calculations!N72*$B$14+calculations!N73*$B$15)*E29,0)+IFERROR((1-$B$22)*(calculations!N79/calculations!N76)*((calculations!N97+calculations!N254)*$B$11+calculations!N98*$B$12+calculations!N99*$B$13+calculations!N100*$B$14+calculations!N101*$B$15)*E29,0)+IFERROR((1-$B$22)*(calculations!N107/calculations!N104)*((calculations!N125+calculations!N259)*$B$11+calculations!N126*$B$12+calculations!N127*$B$13+calculations!N128*$B$14+calculations!N129*$B$15)*E29,0)+IFERROR((1-$B$22)*(calculations!N135/calculations!N132)*((calculations!N153+calculations!N264)*$B$11+calculations!N154*$B$12+calculations!N155*$B$13+calculations!N156*$B$14+calculations!N157*$B$15)*E29,0)+IFERROR((1-$B$22)*(calculations!N163/calculations!N160)*((calculations!N181+calculations!N269)*$B$11+calculations!N182*$B$12+calculations!N183*$B$13+calculations!N184*$B$14+calculations!N185*$B$15)*E29,0)+IFERROR((1-$B$22)*(calculations!N191/calculations!N188)*((calculations!N209+calculations!N274)*$B$11+calculations!N210*$B$12+calculations!N211*$B$13+calculations!N212*$B$14+calculations!N213*$B$15)*E29,0)+IFERROR((1-$B$22)*(calculations!N219/calculations!N216)*((calculations!N237+calculations!N279)*$B$11+calculations!N238*$B$12+calculations!N239*$B$13+calculations!N240*$B$14+calculations!N241*$B$15)*E29,0)</f>
        <v>0</v>
      </c>
      <c r="F38" s="29" t="n">
        <f aca="false">IFERROR((1-$B$22)*(calculations!O23/calculations!O20)*((calculations!O41+calculations!O244)*$B$11+calculations!O42*$B$12+calculations!O43*$B$13+calculations!O44*$B$14+calculations!O45*$B$15)*F29,0)+IFERROR((1-$B$22)*(calculations!O51/calculations!O48)*((calculations!O69+calculations!O249)*$B$11+calculations!O70*$B$12+calculations!O71*$B$13+calculations!O72*$B$14+calculations!O73*$B$15)*F29,0)+IFERROR((1-$B$22)*(calculations!O79/calculations!O76)*((calculations!O97+calculations!O254)*$B$11+calculations!O98*$B$12+calculations!O99*$B$13+calculations!O100*$B$14+calculations!O101*$B$15)*F29,0)+IFERROR((1-$B$22)*(calculations!O107/calculations!O104)*((calculations!O125+calculations!O259)*$B$11+calculations!O126*$B$12+calculations!O127*$B$13+calculations!O128*$B$14+calculations!O129*$B$15)*F29,0)+IFERROR((1-$B$22)*(calculations!O135/calculations!O132)*((calculations!O153+calculations!O264)*$B$11+calculations!O154*$B$12+calculations!O155*$B$13+calculations!O156*$B$14+calculations!O157*$B$15)*F29,0)+IFERROR((1-$B$22)*(calculations!O163/calculations!O160)*((calculations!O181+calculations!O269)*$B$11+calculations!O182*$B$12+calculations!O183*$B$13+calculations!O184*$B$14+calculations!O185*$B$15)*F29,0)+IFERROR((1-$B$22)*(calculations!O191/calculations!O188)*((calculations!O209+calculations!O274)*$B$11+calculations!O210*$B$12+calculations!O211*$B$13+calculations!O212*$B$14+calculations!O213*$B$15)*F29,0)+IFERROR((1-$B$22)*(calculations!O219/calculations!O216)*((calculations!O237+calculations!O279)*$B$11+calculations!O238*$B$12+calculations!O239*$B$13+calculations!O240*$B$14+calculations!O241*$B$15)*F29,0)</f>
        <v>3612.38514522229</v>
      </c>
      <c r="G38" s="29" t="n">
        <f aca="false">IFERROR((1-$B$22)*(calculations!P23/calculations!P20)*((calculations!P41+calculations!P244)*$B$11+calculations!P42*$B$12+calculations!P43*$B$13+calculations!P44*$B$14+calculations!P45*$B$15)*G29,0)+IFERROR((1-$B$22)*(calculations!P51/calculations!P48)*((calculations!P69+calculations!P249)*$B$11+calculations!P70*$B$12+calculations!P71*$B$13+calculations!P72*$B$14+calculations!P73*$B$15)*G29,0)+IFERROR((1-$B$22)*(calculations!P79/calculations!P76)*((calculations!P97+calculations!P254)*$B$11+calculations!P98*$B$12+calculations!P99*$B$13+calculations!P100*$B$14+calculations!P101*$B$15)*G29,0)+IFERROR((1-$B$22)*(calculations!P107/calculations!P104)*((calculations!P125+calculations!P259)*$B$11+calculations!P126*$B$12+calculations!P127*$B$13+calculations!P128*$B$14+calculations!P129*$B$15)*G29,0)+IFERROR((1-$B$22)*(calculations!P135/calculations!P132)*((calculations!P153+calculations!P264)*$B$11+calculations!P154*$B$12+calculations!P155*$B$13+calculations!P156*$B$14+calculations!P157*$B$15)*G29,0)+IFERROR((1-$B$22)*(calculations!P163/calculations!P160)*((calculations!P181+calculations!P269)*$B$11+calculations!P182*$B$12+calculations!P183*$B$13+calculations!P184*$B$14+calculations!P185*$B$15)*G29,0)+IFERROR((1-$B$22)*(calculations!P191/calculations!P188)*((calculations!P209+calculations!P274)*$B$11+calculations!P210*$B$12+calculations!P211*$B$13+calculations!P212*$B$14+calculations!P213*$B$15)*G29,0)+IFERROR((1-$B$22)*(calculations!P219/calculations!P216)*((calculations!P237+calculations!P279)*$B$11+calculations!P238*$B$12+calculations!P239*$B$13+calculations!P240*$B$14+calculations!P241*$B$15)*G29,0)</f>
        <v>4050.63637604275</v>
      </c>
      <c r="H38" s="29" t="n">
        <f aca="false">IFERROR((1-$B$22)*(calculations!Q23/calculations!Q20)*((calculations!Q41+calculations!Q244)*$B$11+calculations!Q42*$B$12+calculations!Q43*$B$13+calculations!Q44*$B$14+calculations!Q45*$B$15)*H29,0)+IFERROR((1-$B$22)*(calculations!Q51/calculations!Q48)*((calculations!Q69+calculations!Q249)*$B$11+calculations!Q70*$B$12+calculations!Q71*$B$13+calculations!Q72*$B$14+calculations!Q73*$B$15)*H29,0)+IFERROR((1-$B$22)*(calculations!Q79/calculations!Q76)*((calculations!Q97+calculations!Q254)*$B$11+calculations!Q98*$B$12+calculations!Q99*$B$13+calculations!Q100*$B$14+calculations!Q101*$B$15)*H29,0)+IFERROR((1-$B$22)*(calculations!Q107/calculations!Q104)*((calculations!Q125+calculations!Q259)*$B$11+calculations!Q126*$B$12+calculations!Q127*$B$13+calculations!Q128*$B$14+calculations!Q129*$B$15)*H29,0)+IFERROR((1-$B$22)*(calculations!Q135/calculations!Q132)*((calculations!Q153+calculations!Q264)*$B$11+calculations!Q154*$B$12+calculations!Q155*$B$13+calculations!Q156*$B$14+calculations!Q157*$B$15)*H29,0)+IFERROR((1-$B$22)*(calculations!Q163/calculations!Q160)*((calculations!Q181+calculations!Q269)*$B$11+calculations!Q182*$B$12+calculations!Q183*$B$13+calculations!Q184*$B$14+calculations!Q185*$B$15)*H29,0)+IFERROR((1-$B$22)*(calculations!Q191/calculations!Q188)*((calculations!Q209+calculations!Q274)*$B$11+calculations!Q210*$B$12+calculations!Q211*$B$13+calculations!Q212*$B$14+calculations!Q213*$B$15)*H29,0)+IFERROR((1-$B$22)*(calculations!Q219/calculations!Q216)*((calculations!Q237+calculations!Q279)*$B$11+calculations!Q238*$B$12+calculations!Q239*$B$13+calculations!Q240*$B$14+calculations!Q241*$B$15)*H29,0)</f>
        <v>4613.54030303261</v>
      </c>
      <c r="I38" s="29" t="n">
        <f aca="false">IFERROR((1-$B$22)*(calculations!R23/calculations!R20)*((calculations!R41+calculations!R244)*$B$11+calculations!R42*$B$12+calculations!R43*$B$13+calculations!R44*$B$14+calculations!R45*$B$15)*I29,0)+IFERROR((1-$B$22)*(calculations!R51/calculations!R48)*((calculations!R69+calculations!R249)*$B$11+calculations!R70*$B$12+calculations!R71*$B$13+calculations!R72*$B$14+calculations!R73*$B$15)*I29,0)+IFERROR((1-$B$22)*(calculations!R79/calculations!R76)*((calculations!R97+calculations!R254)*$B$11+calculations!R98*$B$12+calculations!R99*$B$13+calculations!R100*$B$14+calculations!R101*$B$15)*I29,0)+IFERROR((1-$B$22)*(calculations!R107/calculations!R104)*((calculations!R125+calculations!R259)*$B$11+calculations!R126*$B$12+calculations!R127*$B$13+calculations!R128*$B$14+calculations!R129*$B$15)*I29,0)+IFERROR((1-$B$22)*(calculations!R135/calculations!R132)*((calculations!R153+calculations!R264)*$B$11+calculations!R154*$B$12+calculations!R155*$B$13+calculations!R156*$B$14+calculations!R157*$B$15)*I29,0)+IFERROR((1-$B$22)*(calculations!R163/calculations!R160)*((calculations!R181+calculations!R269)*$B$11+calculations!R182*$B$12+calculations!R183*$B$13+calculations!R184*$B$14+calculations!R185*$B$15)*I29,0)+IFERROR((1-$B$22)*(calculations!R191/calculations!R188)*((calculations!R209+calculations!R274)*$B$11+calculations!R210*$B$12+calculations!R211*$B$13+calculations!R212*$B$14+calculations!R213*$B$15)*I29,0)+IFERROR((1-$B$22)*(calculations!R219/calculations!R216)*((calculations!R237+calculations!R279)*$B$11+calculations!R238*$B$12+calculations!R239*$B$13+calculations!R240*$B$14+calculations!R241*$B$15)*I29,0)</f>
        <v>5270.90423301471</v>
      </c>
      <c r="J38" s="29" t="n">
        <f aca="false">IFERROR((1-$B$22)*(calculations!S23/calculations!S20)*((calculations!S41+calculations!S244)*$B$11+calculations!S42*$B$12+calculations!S43*$B$13+calculations!S44*$B$14+calculations!S45*$B$15)*J29,0)+IFERROR((1-$B$22)*(calculations!S51/calculations!S48)*((calculations!S69+calculations!S249)*$B$11+calculations!S70*$B$12+calculations!S71*$B$13+calculations!S72*$B$14+calculations!S73*$B$15)*J29,0)+IFERROR((1-$B$22)*(calculations!S79/calculations!S76)*((calculations!S97+calculations!S254)*$B$11+calculations!S98*$B$12+calculations!S99*$B$13+calculations!S100*$B$14+calculations!S101*$B$15)*J29,0)+IFERROR((1-$B$22)*(calculations!S107/calculations!S104)*((calculations!S125+calculations!S259)*$B$11+calculations!S126*$B$12+calculations!S127*$B$13+calculations!S128*$B$14+calculations!S129*$B$15)*J29,0)+IFERROR((1-$B$22)*(calculations!S135/calculations!S132)*((calculations!S153+calculations!S264)*$B$11+calculations!S154*$B$12+calculations!S155*$B$13+calculations!S156*$B$14+calculations!S157*$B$15)*J29,0)+IFERROR((1-$B$22)*(calculations!S163/calculations!S160)*((calculations!S181+calculations!S269)*$B$11+calculations!S182*$B$12+calculations!S183*$B$13+calculations!S184*$B$14+calculations!S185*$B$15)*J29,0)+IFERROR((1-$B$22)*(calculations!S191/calculations!S188)*((calculations!S209+calculations!S274)*$B$11+calculations!S210*$B$12+calculations!S211*$B$13+calculations!S212*$B$14+calculations!S213*$B$15)*J29,0)+IFERROR((1-$B$22)*(calculations!S219/calculations!S216)*((calculations!S237+calculations!S279)*$B$11+calculations!S238*$B$12+calculations!S239*$B$13+calculations!S240*$B$14+calculations!S241*$B$15)*J29,0)</f>
        <v>6894.84209665329</v>
      </c>
      <c r="K38" s="29" t="n">
        <f aca="false">IFERROR((1-$B$22)*(calculations!T23/calculations!T20)*((calculations!T41+calculations!T244)*$B$11+calculations!T42*$B$12+calculations!T43*$B$13+calculations!T44*$B$14+calculations!T45*$B$15)*K29,0)+IFERROR((1-$B$22)*(calculations!T51/calculations!T48)*((calculations!T69+calculations!T249)*$B$11+calculations!T70*$B$12+calculations!T71*$B$13+calculations!T72*$B$14+calculations!T73*$B$15)*K29,0)+IFERROR((1-$B$22)*(calculations!T79/calculations!T76)*((calculations!T97+calculations!T254)*$B$11+calculations!T98*$B$12+calculations!T99*$B$13+calculations!T100*$B$14+calculations!T101*$B$15)*K29,0)+IFERROR((1-$B$22)*(calculations!T107/calculations!T104)*((calculations!T125+calculations!T259)*$B$11+calculations!T126*$B$12+calculations!T127*$B$13+calculations!T128*$B$14+calculations!T129*$B$15)*K29,0)+IFERROR((1-$B$22)*(calculations!T135/calculations!T132)*((calculations!T153+calculations!T264)*$B$11+calculations!T154*$B$12+calculations!T155*$B$13+calculations!T156*$B$14+calculations!T157*$B$15)*K29,0)+IFERROR((1-$B$22)*(calculations!T163/calculations!T160)*((calculations!T181+calculations!T269)*$B$11+calculations!T182*$B$12+calculations!T183*$B$13+calculations!T184*$B$14+calculations!T185*$B$15)*K29,0)+IFERROR((1-$B$22)*(calculations!T191/calculations!T188)*((calculations!T209+calculations!T274)*$B$11+calculations!T210*$B$12+calculations!T211*$B$13+calculations!T212*$B$14+calculations!T213*$B$15)*K29,0)+IFERROR((1-$B$22)*(calculations!T219/calculations!T216)*((calculations!T237+calculations!T279)*$B$11+calculations!T238*$B$12+calculations!T239*$B$13+calculations!T240*$B$14+calculations!T241*$B$15)*K29,0)</f>
        <v>8152.32727449979</v>
      </c>
      <c r="L38" s="29" t="n">
        <f aca="false">IFERROR((1-$B$22)*(calculations!U23/calculations!U20)*((calculations!U41+calculations!U244)*$B$11+calculations!U42*$B$12+calculations!U43*$B$13+calculations!U44*$B$14+calculations!U45*$B$15)*L29,0)+IFERROR((1-$B$22)*(calculations!U51/calculations!U48)*((calculations!U69+calculations!U249)*$B$11+calculations!U70*$B$12+calculations!U71*$B$13+calculations!U72*$B$14+calculations!U73*$B$15)*L29,0)+IFERROR((1-$B$22)*(calculations!U79/calculations!U76)*((calculations!U97+calculations!U254)*$B$11+calculations!U98*$B$12+calculations!U99*$B$13+calculations!U100*$B$14+calculations!U101*$B$15)*L29,0)+IFERROR((1-$B$22)*(calculations!U107/calculations!U104)*((calculations!U125+calculations!U259)*$B$11+calculations!U126*$B$12+calculations!U127*$B$13+calculations!U128*$B$14+calculations!U129*$B$15)*L29,0)+IFERROR((1-$B$22)*(calculations!U135/calculations!U132)*((calculations!U153+calculations!U264)*$B$11+calculations!U154*$B$12+calculations!U155*$B$13+calculations!U156*$B$14+calculations!U157*$B$15)*L29,0)+IFERROR((1-$B$22)*(calculations!U163/calculations!U160)*((calculations!U181+calculations!U269)*$B$11+calculations!U182*$B$12+calculations!U183*$B$13+calculations!U184*$B$14+calculations!U185*$B$15)*L29,0)+IFERROR((1-$B$22)*(calculations!U191/calculations!U188)*((calculations!U209+calculations!U274)*$B$11+calculations!U210*$B$12+calculations!U211*$B$13+calculations!U212*$B$14+calculations!U213*$B$15)*L29,0)+IFERROR((1-$B$22)*(calculations!U219/calculations!U216)*((calculations!U237+calculations!U279)*$B$11+calculations!U238*$B$12+calculations!U239*$B$13+calculations!U240*$B$14+calculations!U241*$B$15)*L29,0)</f>
        <v>9560.45931357877</v>
      </c>
      <c r="M38" s="29" t="n">
        <f aca="false">IFERROR((1-$B$22)*(calculations!V23/calculations!V20)*((calculations!V41+calculations!V244)*$B$11+calculations!V42*$B$12+calculations!V43*$B$13+calculations!V44*$B$14+calculations!V45*$B$15)*M29,0)+IFERROR((1-$B$22)*(calculations!V51/calculations!V48)*((calculations!V69+calculations!V249)*$B$11+calculations!V70*$B$12+calculations!V71*$B$13+calculations!V72*$B$14+calculations!V73*$B$15)*M29,0)+IFERROR((1-$B$22)*(calculations!V79/calculations!V76)*((calculations!V97+calculations!V254)*$B$11+calculations!V98*$B$12+calculations!V99*$B$13+calculations!V100*$B$14+calculations!V101*$B$15)*M29,0)+IFERROR((1-$B$22)*(calculations!V107/calculations!V104)*((calculations!V125+calculations!V259)*$B$11+calculations!V126*$B$12+calculations!V127*$B$13+calculations!V128*$B$14+calculations!V129*$B$15)*M29,0)+IFERROR((1-$B$22)*(calculations!V135/calculations!V132)*((calculations!V153+calculations!V264)*$B$11+calculations!V154*$B$12+calculations!V155*$B$13+calculations!V156*$B$14+calculations!V157*$B$15)*M29,0)+IFERROR((1-$B$22)*(calculations!V163/calculations!V160)*((calculations!V181+calculations!V269)*$B$11+calculations!V182*$B$12+calculations!V183*$B$13+calculations!V184*$B$14+calculations!V185*$B$15)*M29,0)+IFERROR((1-$B$22)*(calculations!V191/calculations!V188)*((calculations!V209+calculations!V274)*$B$11+calculations!V210*$B$12+calculations!V211*$B$13+calculations!V212*$B$14+calculations!V213*$B$15)*M29,0)+IFERROR((1-$B$22)*(calculations!V219/calculations!V216)*((calculations!V237+calculations!V279)*$B$11+calculations!V238*$B$12+calculations!V239*$B$13+calculations!V240*$B$14+calculations!V241*$B$15)*M29,0)</f>
        <v>11132.1629362192</v>
      </c>
      <c r="N38" s="29" t="n">
        <f aca="false">IFERROR((1-$B$22)*(calculations!W23/calculations!W20)*((calculations!W41+calculations!W244)*$B$11+calculations!W42*$B$12+calculations!W43*$B$13+calculations!W44*$B$14+calculations!W45*$B$15)*N29,0)+IFERROR((1-$B$22)*(calculations!W51/calculations!W48)*((calculations!W69+calculations!W249)*$B$11+calculations!W70*$B$12+calculations!W71*$B$13+calculations!W72*$B$14+calculations!W73*$B$15)*N29,0)+IFERROR((1-$B$22)*(calculations!W79/calculations!W76)*((calculations!W97+calculations!W254)*$B$11+calculations!W98*$B$12+calculations!W99*$B$13+calculations!W100*$B$14+calculations!W101*$B$15)*N29,0)+IFERROR((1-$B$22)*(calculations!W107/calculations!W104)*((calculations!W125+calculations!W259)*$B$11+calculations!W126*$B$12+calculations!W127*$B$13+calculations!W128*$B$14+calculations!W129*$B$15)*N29,0)+IFERROR((1-$B$22)*(calculations!W135/calculations!W132)*((calculations!W153+calculations!W264)*$B$11+calculations!W154*$B$12+calculations!W155*$B$13+calculations!W156*$B$14+calculations!W157*$B$15)*N29,0)+IFERROR((1-$B$22)*(calculations!W163/calculations!W160)*((calculations!W181+calculations!W269)*$B$11+calculations!W182*$B$12+calculations!W183*$B$13+calculations!W184*$B$14+calculations!W185*$B$15)*N29,0)+IFERROR((1-$B$22)*(calculations!W191/calculations!W188)*((calculations!W209+calculations!W274)*$B$11+calculations!W210*$B$12+calculations!W211*$B$13+calculations!W212*$B$14+calculations!W213*$B$15)*N29,0)+IFERROR((1-$B$22)*(calculations!W219/calculations!W216)*((calculations!W237+calculations!W279)*$B$11+calculations!W238*$B$12+calculations!W239*$B$13+calculations!W240*$B$14+calculations!W241*$B$15)*N29,0)</f>
        <v>12976.3841844279</v>
      </c>
      <c r="O38" s="29" t="n">
        <f aca="false">IFERROR((1-$B$22)*(calculations!X23/calculations!X20)*((calculations!X41+calculations!X244)*$B$11+calculations!X42*$B$12+calculations!X43*$B$13+calculations!X44*$B$14+calculations!X45*$B$15)*O29,0)+IFERROR((1-$B$22)*(calculations!X51/calculations!X48)*((calculations!X69+calculations!X249)*$B$11+calculations!X70*$B$12+calculations!X71*$B$13+calculations!X72*$B$14+calculations!X73*$B$15)*O29,0)+IFERROR((1-$B$22)*(calculations!X79/calculations!X76)*((calculations!X97+calculations!X254)*$B$11+calculations!X98*$B$12+calculations!X99*$B$13+calculations!X100*$B$14+calculations!X101*$B$15)*O29,0)+IFERROR((1-$B$22)*(calculations!X107/calculations!X104)*((calculations!X125+calculations!X259)*$B$11+calculations!X126*$B$12+calculations!X127*$B$13+calculations!X128*$B$14+calculations!X129*$B$15)*O29,0)+IFERROR((1-$B$22)*(calculations!X135/calculations!X132)*((calculations!X153+calculations!X264)*$B$11+calculations!X154*$B$12+calculations!X155*$B$13+calculations!X156*$B$14+calculations!X157*$B$15)*O29,0)+IFERROR((1-$B$22)*(calculations!X163/calculations!X160)*((calculations!X181+calculations!X269)*$B$11+calculations!X182*$B$12+calculations!X183*$B$13+calculations!X184*$B$14+calculations!X185*$B$15)*O29,0)+IFERROR((1-$B$22)*(calculations!X191/calculations!X188)*((calculations!X209+calculations!X274)*$B$11+calculations!X210*$B$12+calculations!X211*$B$13+calculations!X212*$B$14+calculations!X213*$B$15)*O29,0)+IFERROR((1-$B$22)*(calculations!X219/calculations!X216)*((calculations!X237+calculations!X279)*$B$11+calculations!X238*$B$12+calculations!X239*$B$13+calculations!X240*$B$14+calculations!X241*$B$15)*O29,0)</f>
        <v>14069.2737120503</v>
      </c>
    </row>
    <row r="39" customFormat="false" ht="18" hidden="false" customHeight="true" outlineLevel="0" collapsed="false">
      <c r="A39" s="31" t="s">
        <v>67</v>
      </c>
      <c r="B39" s="32" t="s">
        <v>61</v>
      </c>
      <c r="C39" s="33"/>
      <c r="D39" s="21" t="n">
        <f aca="false">D34+D37+D38</f>
        <v>0</v>
      </c>
      <c r="E39" s="21" t="n">
        <f aca="false">E34+E37+E38</f>
        <v>0</v>
      </c>
      <c r="F39" s="21" t="n">
        <f aca="false">F34+F37+F38</f>
        <v>4259.80792258064</v>
      </c>
      <c r="G39" s="21" t="n">
        <f aca="false">G34+G37+G38</f>
        <v>4773.84774053159</v>
      </c>
      <c r="H39" s="21" t="n">
        <f aca="false">H34+H37+H38</f>
        <v>5434.15834350362</v>
      </c>
      <c r="I39" s="21" t="n">
        <f aca="false">I34+I37+I38</f>
        <v>6204.96108181453</v>
      </c>
      <c r="J39" s="21" t="n">
        <f aca="false">J34+J37+J38</f>
        <v>8112.17851168714</v>
      </c>
      <c r="K39" s="21" t="n">
        <f aca="false">K34+K37+K38</f>
        <v>9586.43785056859</v>
      </c>
      <c r="L39" s="21" t="n">
        <f aca="false">L34+L37+L38</f>
        <v>11236.2167008013</v>
      </c>
      <c r="M39" s="21" t="n">
        <f aca="false">M34+M37+M38</f>
        <v>13076.4476757321</v>
      </c>
      <c r="N39" s="21" t="n">
        <f aca="false">N34+N37+N38</f>
        <v>15234.7717561269</v>
      </c>
      <c r="O39" s="21" t="n">
        <f aca="false">O34+O37+O38</f>
        <v>16509.3163976543</v>
      </c>
    </row>
    <row r="40" customFormat="false" ht="18" hidden="false" customHeight="true" outlineLevel="0" collapsed="false">
      <c r="A40" s="34" t="s">
        <v>68</v>
      </c>
      <c r="B40" s="35" t="s">
        <v>61</v>
      </c>
      <c r="C40" s="36"/>
      <c r="D40" s="37" t="n">
        <f aca="false">D39+D36</f>
        <v>0</v>
      </c>
      <c r="E40" s="37" t="n">
        <f aca="false">E39+E36</f>
        <v>0</v>
      </c>
      <c r="F40" s="37" t="n">
        <f aca="false">F39+F36</f>
        <v>4259.80792258064</v>
      </c>
      <c r="G40" s="37" t="n">
        <f aca="false">G39+G36</f>
        <v>4773.84774053159</v>
      </c>
      <c r="H40" s="37" t="n">
        <f aca="false">H39+H36</f>
        <v>5434.15834350362</v>
      </c>
      <c r="I40" s="37" t="n">
        <f aca="false">I39+I36</f>
        <v>6204.96108181453</v>
      </c>
      <c r="J40" s="37" t="n">
        <f aca="false">J39+J36</f>
        <v>8112.17851168714</v>
      </c>
      <c r="K40" s="37" t="n">
        <f aca="false">K39+K36</f>
        <v>9586.43785056859</v>
      </c>
      <c r="L40" s="37" t="n">
        <f aca="false">L39+L36</f>
        <v>11236.2167008013</v>
      </c>
      <c r="M40" s="37" t="n">
        <f aca="false">M39+M36</f>
        <v>13076.4476757321</v>
      </c>
      <c r="N40" s="37" t="n">
        <f aca="false">N39+N36</f>
        <v>15234.7717561269</v>
      </c>
      <c r="O40" s="37" t="n">
        <f aca="false">O39+O36</f>
        <v>16509.3163976543</v>
      </c>
    </row>
    <row r="42" customFormat="false" ht="18" hidden="false" customHeight="true" outlineLevel="0" collapsed="false">
      <c r="A42" s="4" t="s">
        <v>69</v>
      </c>
      <c r="B42" s="4"/>
      <c r="C42" s="4"/>
      <c r="D42" s="4"/>
      <c r="E42" s="4"/>
      <c r="F42" s="4"/>
      <c r="G42" s="4"/>
      <c r="H42" s="4"/>
      <c r="I42" s="4"/>
      <c r="J42" s="4"/>
      <c r="K42" s="4"/>
      <c r="L42" s="4"/>
      <c r="M42" s="4"/>
      <c r="N42" s="4"/>
      <c r="O42" s="4"/>
    </row>
    <row r="43" customFormat="false" ht="30" hidden="false" customHeight="true" outlineLevel="0" collapsed="false">
      <c r="A43" s="17" t="s">
        <v>70</v>
      </c>
      <c r="B43" s="17" t="s">
        <v>71</v>
      </c>
      <c r="C43" s="17" t="s">
        <v>72</v>
      </c>
      <c r="D43" s="17" t="s">
        <v>73</v>
      </c>
      <c r="E43" s="17" t="s">
        <v>74</v>
      </c>
      <c r="F43" s="17" t="s">
        <v>75</v>
      </c>
      <c r="G43" s="17" t="s">
        <v>76</v>
      </c>
      <c r="H43" s="17" t="s">
        <v>77</v>
      </c>
      <c r="I43" s="17" t="s">
        <v>78</v>
      </c>
      <c r="J43" s="17" t="s">
        <v>79</v>
      </c>
      <c r="K43" s="17" t="s">
        <v>80</v>
      </c>
    </row>
    <row r="44" customFormat="false" ht="18" hidden="false" customHeight="true" outlineLevel="0" collapsed="false">
      <c r="A44" s="38" t="s">
        <v>81</v>
      </c>
      <c r="B44" s="39" t="n">
        <f aca="false">INDEX(input_data!$L:$L,MATCH("all.in.ppx.stl.drg.---",input_data!$A:$A,0))</f>
        <v>750</v>
      </c>
      <c r="C44" s="40" t="n">
        <f aca="false">INDEX(calculations!$M:$X,248,$P$6)</f>
        <v>179.1537275</v>
      </c>
      <c r="D44" s="40" t="n">
        <f aca="false">IFERROR(((INDEX(calculations!$M:$X,41,$P$6)+INDEX(calculations!$M:$X,244,$P$6))*$B$11+INDEX(calculations!$M:$X,42,$P$6)*$B$12+INDEX(calculations!$M:$X,43,$P$6)*$B$13+INDEX(calculations!$M:$X,44,$P$6)*$B$14+INDEX(calculations!$M:$X,45,$P$6)*$B$15)/INDEX(calculations!$M:$X,20,$P$6),0)*INDEX($D$29:$O$29,$P$6)</f>
        <v>186.275008243959</v>
      </c>
      <c r="E44" s="23" t="n">
        <f aca="false">MAX(C44,D44)</f>
        <v>186.275008243959</v>
      </c>
      <c r="F44" s="23" t="n">
        <f aca="false">D44</f>
        <v>186.275008243959</v>
      </c>
      <c r="G44" s="23" t="n">
        <f aca="false">(1-$B$22)*D44</f>
        <v>186.275008243959</v>
      </c>
      <c r="H44" s="23" t="n">
        <f aca="false">$B$7*E44</f>
        <v>130.392505770771</v>
      </c>
      <c r="I44" s="23" t="n">
        <f aca="false">$B$7*F44</f>
        <v>130.392505770771</v>
      </c>
      <c r="J44" s="40" t="n">
        <f aca="false">(1-$B$7)*E44</f>
        <v>55.8825024731877</v>
      </c>
      <c r="K44" s="40" t="n">
        <f aca="false">(1-$B$7)*F44</f>
        <v>55.8825024731877</v>
      </c>
    </row>
    <row r="45" customFormat="false" ht="18" hidden="false" customHeight="true" outlineLevel="0" collapsed="false">
      <c r="A45" s="38" t="s">
        <v>82</v>
      </c>
      <c r="B45" s="39" t="n">
        <f aca="false">INDEX(input_data!$L:$L,MATCH("all.in.ppx.stl.scr.---",input_data!$A:$A,0))</f>
        <v>680</v>
      </c>
      <c r="C45" s="40" t="n">
        <f aca="false">INDEX(calculations!$M:$X,253,$P$6)</f>
        <v>14.925735</v>
      </c>
      <c r="D45" s="40" t="n">
        <f aca="false">IFERROR(((INDEX(calculations!$M:$X,69,$P$6)+INDEX(calculations!$M:$X,249,$P$6))*$B$11+INDEX(calculations!$M:$X,70,$P$6)*$B$12+INDEX(calculations!$M:$X,71,$P$6)*$B$13+INDEX(calculations!$M:$X,72,$P$6)*$B$14+INDEX(calculations!$M:$X,73,$P$6)*$B$15)/INDEX(calculations!$M:$X,48,$P$6),0)*INDEX($D$29:$O$29,$P$6)</f>
        <v>67.6290104306295</v>
      </c>
      <c r="E45" s="23" t="n">
        <f aca="false">MAX(C45,D45)</f>
        <v>67.6290104306295</v>
      </c>
      <c r="F45" s="23" t="n">
        <f aca="false">D45</f>
        <v>67.6290104306295</v>
      </c>
      <c r="G45" s="23" t="n">
        <f aca="false">(1-$B$22)*D45</f>
        <v>67.6290104306295</v>
      </c>
      <c r="H45" s="23" t="n">
        <f aca="false">$B$7*E45</f>
        <v>47.3403073014406</v>
      </c>
      <c r="I45" s="23" t="n">
        <f aca="false">$B$7*F45</f>
        <v>47.3403073014406</v>
      </c>
      <c r="J45" s="40" t="n">
        <f aca="false">(1-$B$7)*E45</f>
        <v>20.2887031291889</v>
      </c>
      <c r="K45" s="40" t="n">
        <f aca="false">(1-$B$7)*F45</f>
        <v>20.2887031291889</v>
      </c>
    </row>
    <row r="46" customFormat="false" ht="18" hidden="false" customHeight="true" outlineLevel="0" collapsed="false">
      <c r="A46" s="38" t="s">
        <v>83</v>
      </c>
      <c r="B46" s="39" t="n">
        <f aca="false">INDEX(input_data!$L:$L,MATCH("all.in.ppx.stl.bof.---",input_data!$A:$A,0))</f>
        <v>620</v>
      </c>
      <c r="C46" s="40" t="n">
        <f aca="false">INDEX(calculations!$M:$X,258,$P$6)</f>
        <v>0</v>
      </c>
      <c r="D46" s="40" t="n">
        <f aca="false">IFERROR(((INDEX(calculations!$M:$X,97,$P$6)+INDEX(calculations!$M:$X,254,$P$6))*$B$11+INDEX(calculations!$M:$X,98,$P$6)*$B$12+INDEX(calculations!$M:$X,99,$P$6)*$B$13+INDEX(calculations!$M:$X,100,$P$6)*$B$14+INDEX(calculations!$M:$X,101,$P$6)*$B$15)/INDEX(calculations!$M:$X,76,$P$6),0)*INDEX($D$29:$O$29,$P$6)</f>
        <v>0</v>
      </c>
      <c r="E46" s="23" t="n">
        <f aca="false">MAX(C46,D46)</f>
        <v>0</v>
      </c>
      <c r="F46" s="23" t="n">
        <f aca="false">D46</f>
        <v>0</v>
      </c>
      <c r="G46" s="23" t="n">
        <f aca="false">(1-$B$22)*D46</f>
        <v>0</v>
      </c>
      <c r="H46" s="23" t="n">
        <f aca="false">$B$7*E46</f>
        <v>0</v>
      </c>
      <c r="I46" s="23" t="n">
        <f aca="false">$B$7*F46</f>
        <v>0</v>
      </c>
      <c r="J46" s="40" t="n">
        <f aca="false">(1-$B$7)*E46</f>
        <v>0</v>
      </c>
      <c r="K46" s="40" t="n">
        <f aca="false">(1-$B$7)*F46</f>
        <v>0</v>
      </c>
    </row>
    <row r="47" customFormat="false" ht="18" hidden="false" customHeight="true" outlineLevel="0" collapsed="false">
      <c r="A47" s="38" t="s">
        <v>84</v>
      </c>
      <c r="B47" s="39" t="n">
        <f aca="false">INDEX(input_data!$L:$L,MATCH("all.in.ppx.cmt.dry.---",input_data!$A:$A,0))</f>
        <v>110</v>
      </c>
      <c r="C47" s="40" t="n">
        <f aca="false">INDEX(calculations!$M:$X,263,$P$6)</f>
        <v>64.20634</v>
      </c>
      <c r="D47" s="40" t="n">
        <f aca="false">IFERROR(((INDEX(calculations!$M:$X,125,$P$6)+INDEX(calculations!$M:$X,259,$P$6))*$B$11+INDEX(calculations!$M:$X,126,$P$6)*$B$12+INDEX(calculations!$M:$X,127,$P$6)*$B$13+INDEX(calculations!$M:$X,128,$P$6)*$B$14+INDEX(calculations!$M:$X,129,$P$6)*$B$15)/INDEX(calculations!$M:$X,104,$P$6),0)*INDEX($D$29:$O$29,$P$6)</f>
        <v>80.1620118201317</v>
      </c>
      <c r="E47" s="23" t="n">
        <f aca="false">MAX(C47,D47)</f>
        <v>80.1620118201317</v>
      </c>
      <c r="F47" s="23" t="n">
        <f aca="false">D47</f>
        <v>80.1620118201317</v>
      </c>
      <c r="G47" s="23" t="n">
        <f aca="false">(1-$B$22)*D47</f>
        <v>80.1620118201317</v>
      </c>
      <c r="H47" s="23" t="n">
        <f aca="false">$B$7*E47</f>
        <v>56.1134082740922</v>
      </c>
      <c r="I47" s="23" t="n">
        <f aca="false">$B$7*F47</f>
        <v>56.1134082740922</v>
      </c>
      <c r="J47" s="40" t="n">
        <f aca="false">(1-$B$7)*E47</f>
        <v>24.0486035460395</v>
      </c>
      <c r="K47" s="40" t="n">
        <f aca="false">(1-$B$7)*F47</f>
        <v>24.0486035460395</v>
      </c>
    </row>
    <row r="48" customFormat="false" ht="18" hidden="false" customHeight="true" outlineLevel="0" collapsed="false">
      <c r="A48" s="38" t="s">
        <v>85</v>
      </c>
      <c r="B48" s="39" t="n">
        <f aca="false">INDEX(input_data!$L:$L,MATCH("all.in.ppx.frt.amc.---",input_data!$A:$A,0))</f>
        <v>450</v>
      </c>
      <c r="C48" s="40" t="n">
        <f aca="false">INDEX(calculations!$M:$X,268,$P$6)</f>
        <v>161.068655</v>
      </c>
      <c r="D48" s="40" t="n">
        <f aca="false">IFERROR(((INDEX(calculations!$M:$X,153,$P$6)+INDEX(calculations!$M:$X,264,$P$6))*$B$11+INDEX(calculations!$M:$X,154,$P$6)*$B$12+INDEX(calculations!$M:$X,155,$P$6)*$B$13+INDEX(calculations!$M:$X,156,$P$6)*$B$14+INDEX(calculations!$M:$X,157,$P$6)*$B$15)/INDEX(calculations!$M:$X,132,$P$6),0)*INDEX($D$29:$O$29,$P$6)</f>
        <v>193.876050220672</v>
      </c>
      <c r="E48" s="23" t="n">
        <f aca="false">MAX(C48,D48)</f>
        <v>193.876050220672</v>
      </c>
      <c r="F48" s="23" t="n">
        <f aca="false">D48</f>
        <v>193.876050220672</v>
      </c>
      <c r="G48" s="23" t="n">
        <f aca="false">(1-$B$22)*D48</f>
        <v>193.876050220672</v>
      </c>
      <c r="H48" s="23" t="n">
        <f aca="false">$B$7*E48</f>
        <v>135.713235154471</v>
      </c>
      <c r="I48" s="23" t="n">
        <f aca="false">$B$7*F48</f>
        <v>135.713235154471</v>
      </c>
      <c r="J48" s="40" t="n">
        <f aca="false">(1-$B$7)*E48</f>
        <v>58.1628150662017</v>
      </c>
      <c r="K48" s="40" t="n">
        <f aca="false">(1-$B$7)*F48</f>
        <v>58.1628150662017</v>
      </c>
    </row>
    <row r="49" customFormat="false" ht="18" hidden="false" customHeight="true" outlineLevel="0" collapsed="false">
      <c r="A49" s="38" t="s">
        <v>86</v>
      </c>
      <c r="B49" s="39" t="n">
        <f aca="false">INDEX(input_data!$L:$L,MATCH("all.in.ppx.frt.ure.---",input_data!$A:$A,0))</f>
        <v>380</v>
      </c>
      <c r="C49" s="40" t="n">
        <f aca="false">INDEX(calculations!$M:$X,273,$P$6)</f>
        <v>19.4029748</v>
      </c>
      <c r="D49" s="40" t="n">
        <f aca="false">IFERROR(((INDEX(calculations!$M:$X,181,$P$6)+INDEX(calculations!$M:$X,269,$P$6))*$B$11+INDEX(calculations!$M:$X,182,$P$6)*$B$12+INDEX(calculations!$M:$X,183,$P$6)*$B$13+INDEX(calculations!$M:$X,184,$P$6)*$B$14+INDEX(calculations!$M:$X,185,$P$6)*$B$15)/INDEX(calculations!$M:$X,160,$P$6),0)*INDEX($D$29:$O$29,$P$6)</f>
        <v>58.2366295246786</v>
      </c>
      <c r="E49" s="23" t="n">
        <f aca="false">MAX(C49,D49)</f>
        <v>58.2366295246786</v>
      </c>
      <c r="F49" s="23" t="n">
        <f aca="false">D49</f>
        <v>58.2366295246786</v>
      </c>
      <c r="G49" s="23" t="n">
        <f aca="false">(1-$B$22)*D49</f>
        <v>58.2366295246786</v>
      </c>
      <c r="H49" s="23" t="n">
        <f aca="false">$B$7*E49</f>
        <v>40.765640667275</v>
      </c>
      <c r="I49" s="23" t="n">
        <f aca="false">$B$7*F49</f>
        <v>40.765640667275</v>
      </c>
      <c r="J49" s="40" t="n">
        <f aca="false">(1-$B$7)*E49</f>
        <v>17.4709888574036</v>
      </c>
      <c r="K49" s="40" t="n">
        <f aca="false">(1-$B$7)*F49</f>
        <v>17.4709888574036</v>
      </c>
    </row>
    <row r="50" customFormat="false" ht="18" hidden="false" customHeight="true" outlineLevel="0" collapsed="false">
      <c r="A50" s="38" t="s">
        <v>87</v>
      </c>
      <c r="B50" s="39" t="n">
        <f aca="false">INDEX(input_data!$L:$L,MATCH("all.in.ppx.frt.nit.---",input_data!$A:$A,0))</f>
        <v>320</v>
      </c>
      <c r="C50" s="40" t="n">
        <f aca="false">INDEX(calculations!$M:$X,278,$P$6)</f>
        <v>366.3812922</v>
      </c>
      <c r="D50" s="40" t="n">
        <f aca="false">IFERROR(((INDEX(calculations!$M:$X,209,$P$6)+INDEX(calculations!$M:$X,274,$P$6))*$B$11+INDEX(calculations!$M:$X,210,$P$6)*$B$12+INDEX(calculations!$M:$X,211,$P$6)*$B$13+INDEX(calculations!$M:$X,212,$P$6)*$B$14+INDEX(calculations!$M:$X,213,$P$6)*$B$15)/INDEX(calculations!$M:$X,188,$P$6),0)*INDEX($D$29:$O$29,$P$6)</f>
        <v>287.626142720088</v>
      </c>
      <c r="E50" s="23" t="n">
        <f aca="false">MAX(C50,D50)</f>
        <v>366.3812922</v>
      </c>
      <c r="F50" s="23" t="n">
        <f aca="false">D50</f>
        <v>287.626142720088</v>
      </c>
      <c r="G50" s="23" t="n">
        <f aca="false">(1-$B$22)*D50</f>
        <v>287.626142720088</v>
      </c>
      <c r="H50" s="23" t="n">
        <f aca="false">$B$7*E50</f>
        <v>256.46690454</v>
      </c>
      <c r="I50" s="23" t="n">
        <f aca="false">$B$7*F50</f>
        <v>201.338299904062</v>
      </c>
      <c r="J50" s="40" t="n">
        <f aca="false">(1-$B$7)*E50</f>
        <v>109.91438766</v>
      </c>
      <c r="K50" s="40" t="n">
        <f aca="false">(1-$B$7)*F50</f>
        <v>86.2878428160265</v>
      </c>
    </row>
    <row r="51" customFormat="false" ht="18" hidden="false" customHeight="true" outlineLevel="0" collapsed="false">
      <c r="A51" s="38" t="s">
        <v>88</v>
      </c>
      <c r="B51" s="39" t="n">
        <f aca="false">INDEX(input_data!$L:$L,MATCH("all.in.ppx.alu.prp.---",input_data!$A:$A,0))</f>
        <v>2400</v>
      </c>
      <c r="C51" s="40" t="n">
        <f aca="false">INDEX(calculations!$M:$X,283,$P$6)</f>
        <v>199.7884075</v>
      </c>
      <c r="D51" s="40" t="n">
        <f aca="false">IFERROR(((INDEX(calculations!$M:$X,237,$P$6)+INDEX(calculations!$M:$X,279,$P$6))*$B$11+INDEX(calculations!$M:$X,238,$P$6)*$B$12+INDEX(calculations!$M:$X,239,$P$6)*$B$13+INDEX(calculations!$M:$X,240,$P$6)*$B$14+INDEX(calculations!$M:$X,241,$P$6)*$B$15)/INDEX(calculations!$M:$X,216,$P$6),0)*INDEX($D$29:$O$29,$P$6)</f>
        <v>830.525754583934</v>
      </c>
      <c r="E51" s="23" t="n">
        <f aca="false">MAX(C51,D51)</f>
        <v>830.525754583934</v>
      </c>
      <c r="F51" s="23" t="n">
        <f aca="false">D51</f>
        <v>830.525754583934</v>
      </c>
      <c r="G51" s="23" t="n">
        <f aca="false">(1-$B$22)*D51</f>
        <v>830.525754583934</v>
      </c>
      <c r="H51" s="23" t="n">
        <f aca="false">$B$7*E51</f>
        <v>581.368028208754</v>
      </c>
      <c r="I51" s="23" t="n">
        <f aca="false">$B$7*F51</f>
        <v>581.368028208754</v>
      </c>
      <c r="J51" s="40" t="n">
        <f aca="false">(1-$B$7)*E51</f>
        <v>249.15772637518</v>
      </c>
      <c r="K51" s="40" t="n">
        <f aca="false">(1-$B$7)*F51</f>
        <v>249.15772637518</v>
      </c>
    </row>
    <row r="53" customFormat="false" ht="49.5" hidden="false" customHeight="true" outlineLevel="0" collapsed="false">
      <c r="A53" s="41" t="s">
        <v>89</v>
      </c>
      <c r="B53" s="41"/>
      <c r="C53" s="41"/>
      <c r="D53" s="41"/>
      <c r="E53" s="41"/>
      <c r="F53" s="41"/>
      <c r="G53" s="41"/>
      <c r="H53" s="41"/>
      <c r="I53" s="41"/>
      <c r="J53" s="41"/>
      <c r="K53" s="41"/>
    </row>
    <row r="55" customFormat="false" ht="18" hidden="false" customHeight="true" outlineLevel="0" collapsed="false">
      <c r="A55" s="42" t="s">
        <v>90</v>
      </c>
      <c r="B55" s="42"/>
      <c r="C55" s="42"/>
      <c r="D55" s="42"/>
      <c r="E55" s="42"/>
      <c r="F55" s="42"/>
      <c r="G55" s="42"/>
      <c r="H55" s="42"/>
      <c r="I55" s="42"/>
      <c r="J55" s="42"/>
      <c r="K55" s="42"/>
      <c r="L55" s="42"/>
      <c r="M55" s="42"/>
      <c r="N55" s="42"/>
      <c r="O55" s="42"/>
      <c r="P55" s="43"/>
    </row>
    <row r="56" customFormat="false" ht="15.75" hidden="false" customHeight="true" outlineLevel="0" collapsed="false">
      <c r="A56" s="44" t="s">
        <v>91</v>
      </c>
      <c r="B56" s="44"/>
      <c r="C56" s="44"/>
      <c r="D56" s="44"/>
      <c r="E56" s="44"/>
      <c r="F56" s="44"/>
      <c r="G56" s="44"/>
      <c r="H56" s="44"/>
      <c r="I56" s="44"/>
      <c r="J56" s="44"/>
      <c r="K56" s="44"/>
      <c r="L56" s="44"/>
      <c r="M56" s="44"/>
      <c r="N56" s="44"/>
      <c r="O56" s="44"/>
      <c r="P56" s="43"/>
    </row>
    <row r="57" customFormat="false" ht="18" hidden="false" customHeight="true" outlineLevel="0" collapsed="false">
      <c r="A57" s="45" t="s">
        <v>92</v>
      </c>
      <c r="B57" s="45" t="s">
        <v>93</v>
      </c>
      <c r="C57" s="45" t="s">
        <v>94</v>
      </c>
      <c r="D57" s="45" t="s">
        <v>95</v>
      </c>
      <c r="E57" s="46"/>
      <c r="F57" s="46"/>
      <c r="G57" s="46"/>
      <c r="H57" s="46"/>
      <c r="I57" s="46"/>
      <c r="J57" s="46"/>
      <c r="K57" s="46"/>
      <c r="L57" s="46"/>
      <c r="M57" s="46"/>
      <c r="N57" s="46"/>
      <c r="O57" s="46"/>
      <c r="P57" s="43"/>
    </row>
    <row r="58" customFormat="false" ht="13.5" hidden="false" customHeight="true" outlineLevel="0" collapsed="false">
      <c r="A58" s="47" t="s">
        <v>96</v>
      </c>
      <c r="B58" s="48" t="s">
        <v>97</v>
      </c>
      <c r="C58" s="49" t="n">
        <f aca="false">INDEX(input_data!$L:$L,MATCH("all.in.eff.---.---.coa",input_data!$A:$A,0))</f>
        <v>96.1</v>
      </c>
      <c r="D58" s="50" t="s">
        <v>98</v>
      </c>
      <c r="E58" s="46"/>
      <c r="F58" s="46"/>
      <c r="G58" s="46"/>
      <c r="H58" s="46"/>
      <c r="I58" s="46"/>
      <c r="J58" s="46"/>
      <c r="K58" s="46"/>
      <c r="L58" s="46"/>
      <c r="M58" s="46"/>
      <c r="N58" s="46"/>
      <c r="O58" s="46"/>
      <c r="P58" s="43"/>
    </row>
    <row r="59" customFormat="false" ht="13.5" hidden="false" customHeight="true" outlineLevel="0" collapsed="false">
      <c r="A59" s="47" t="s">
        <v>99</v>
      </c>
      <c r="B59" s="48" t="s">
        <v>100</v>
      </c>
      <c r="C59" s="49" t="n">
        <f aca="false">INDEX(input_data!$L:$L,MATCH("all.in.eff.---.---.nga",input_data!$A:$A,0))</f>
        <v>56.1</v>
      </c>
      <c r="D59" s="50" t="s">
        <v>98</v>
      </c>
      <c r="E59" s="46"/>
      <c r="F59" s="46"/>
      <c r="G59" s="46"/>
      <c r="H59" s="46"/>
      <c r="I59" s="46"/>
      <c r="J59" s="46"/>
      <c r="K59" s="46"/>
      <c r="L59" s="46"/>
      <c r="M59" s="46"/>
      <c r="N59" s="46"/>
      <c r="O59" s="46"/>
      <c r="P59" s="43"/>
    </row>
    <row r="60" customFormat="false" ht="13.5" hidden="false" customHeight="true" outlineLevel="0" collapsed="false">
      <c r="A60" s="47" t="s">
        <v>101</v>
      </c>
      <c r="B60" s="48" t="s">
        <v>102</v>
      </c>
      <c r="C60" s="49" t="n">
        <f aca="false">INDEX(input_data!$L:$L,MATCH("all.in.eff.---.---.gso",input_data!$A:$A,0))</f>
        <v>69.3</v>
      </c>
      <c r="D60" s="50" t="s">
        <v>98</v>
      </c>
      <c r="E60" s="46"/>
      <c r="F60" s="46"/>
      <c r="G60" s="46"/>
      <c r="H60" s="46"/>
      <c r="I60" s="46"/>
      <c r="J60" s="46"/>
      <c r="K60" s="46"/>
      <c r="L60" s="46"/>
      <c r="M60" s="46"/>
      <c r="N60" s="46"/>
      <c r="O60" s="46"/>
      <c r="P60" s="43"/>
    </row>
    <row r="61" customFormat="false" ht="13.5" hidden="false" customHeight="true" outlineLevel="0" collapsed="false">
      <c r="A61" s="47" t="s">
        <v>103</v>
      </c>
      <c r="B61" s="48" t="s">
        <v>104</v>
      </c>
      <c r="C61" s="49" t="n">
        <f aca="false">INDEX(input_data!$L:$L,MATCH("all.in.eff.---.---.die",input_data!$A:$A,0))</f>
        <v>74.1</v>
      </c>
      <c r="D61" s="50" t="s">
        <v>98</v>
      </c>
      <c r="E61" s="46"/>
      <c r="F61" s="46"/>
      <c r="G61" s="46"/>
      <c r="H61" s="46"/>
      <c r="I61" s="46"/>
      <c r="J61" s="46"/>
      <c r="K61" s="46"/>
      <c r="L61" s="46"/>
      <c r="M61" s="46"/>
      <c r="N61" s="46"/>
      <c r="O61" s="46"/>
      <c r="P61" s="43"/>
    </row>
    <row r="62" customFormat="false" ht="13.5" hidden="false" customHeight="true" outlineLevel="0" collapsed="false">
      <c r="A62" s="47" t="s">
        <v>105</v>
      </c>
      <c r="B62" s="48" t="s">
        <v>106</v>
      </c>
      <c r="C62" s="49" t="n">
        <f aca="false">INDEX(input_data!$L:$L,MATCH("all.in.eff.---.---.ker",input_data!$A:$A,0))</f>
        <v>71.9</v>
      </c>
      <c r="D62" s="50" t="s">
        <v>98</v>
      </c>
      <c r="E62" s="46"/>
      <c r="F62" s="46"/>
      <c r="G62" s="46"/>
      <c r="H62" s="46"/>
      <c r="I62" s="46"/>
      <c r="J62" s="46"/>
      <c r="K62" s="46"/>
      <c r="L62" s="46"/>
      <c r="M62" s="46"/>
      <c r="N62" s="46"/>
      <c r="O62" s="46"/>
      <c r="P62" s="43"/>
    </row>
    <row r="63" customFormat="false" ht="13.5" hidden="false" customHeight="true" outlineLevel="0" collapsed="false">
      <c r="A63" s="47" t="s">
        <v>107</v>
      </c>
      <c r="B63" s="48" t="s">
        <v>108</v>
      </c>
      <c r="C63" s="49" t="n">
        <f aca="false">INDEX(input_data!$L:$L,MATCH("all.in.eff.---.---.lpg",input_data!$A:$A,0))</f>
        <v>63.1</v>
      </c>
      <c r="D63" s="50" t="s">
        <v>98</v>
      </c>
      <c r="E63" s="46"/>
      <c r="F63" s="46"/>
      <c r="G63" s="46"/>
      <c r="H63" s="46"/>
      <c r="I63" s="46"/>
      <c r="J63" s="46"/>
      <c r="K63" s="46"/>
      <c r="L63" s="46"/>
      <c r="M63" s="46"/>
      <c r="N63" s="46"/>
      <c r="O63" s="46"/>
      <c r="P63" s="43"/>
    </row>
    <row r="64" customFormat="false" ht="13.5" hidden="false" customHeight="true" outlineLevel="0" collapsed="false">
      <c r="A64" s="47" t="s">
        <v>109</v>
      </c>
      <c r="B64" s="48" t="s">
        <v>110</v>
      </c>
      <c r="C64" s="49" t="n">
        <f aca="false">INDEX(input_data!$L:$L,MATCH("all.in.eff.---.---.bio",input_data!$A:$A,0))</f>
        <v>0</v>
      </c>
      <c r="D64" s="50" t="s">
        <v>98</v>
      </c>
      <c r="E64" s="46"/>
      <c r="F64" s="46"/>
      <c r="G64" s="46"/>
      <c r="H64" s="46"/>
      <c r="I64" s="46"/>
      <c r="J64" s="46"/>
      <c r="K64" s="46"/>
      <c r="L64" s="46"/>
      <c r="M64" s="46"/>
      <c r="N64" s="46"/>
      <c r="O64" s="46"/>
      <c r="P64" s="43"/>
    </row>
    <row r="65" customFormat="false" ht="13.5" hidden="false" customHeight="true" outlineLevel="0" collapsed="false">
      <c r="A65" s="47" t="s">
        <v>111</v>
      </c>
      <c r="B65" s="48" t="s">
        <v>112</v>
      </c>
      <c r="C65" s="49" t="n">
        <f aca="false">INDEX(input_data!$L:$L,MATCH("all.in.eff.---.---.ren",input_data!$A:$A,0))</f>
        <v>0</v>
      </c>
      <c r="D65" s="50" t="s">
        <v>98</v>
      </c>
      <c r="E65" s="46"/>
      <c r="F65" s="46"/>
      <c r="G65" s="46"/>
      <c r="H65" s="46"/>
      <c r="I65" s="46"/>
      <c r="J65" s="46"/>
      <c r="K65" s="46"/>
      <c r="L65" s="46"/>
      <c r="M65" s="46"/>
      <c r="N65" s="46"/>
      <c r="O65" s="46"/>
      <c r="P65" s="43"/>
    </row>
    <row r="66" customFormat="false" ht="13.5" hidden="false" customHeight="true" outlineLevel="0" collapsed="false">
      <c r="A66" s="46"/>
      <c r="B66" s="46"/>
      <c r="C66" s="46"/>
      <c r="D66" s="46"/>
      <c r="E66" s="46"/>
      <c r="F66" s="46"/>
      <c r="G66" s="46"/>
      <c r="H66" s="46"/>
      <c r="I66" s="46"/>
      <c r="J66" s="46"/>
      <c r="K66" s="46"/>
      <c r="L66" s="46"/>
      <c r="M66" s="46"/>
      <c r="N66" s="46"/>
      <c r="O66" s="46"/>
      <c r="P66" s="43"/>
    </row>
    <row r="67" customFormat="false" ht="27.75" hidden="false" customHeight="true" outlineLevel="0" collapsed="false">
      <c r="A67" s="44" t="s">
        <v>113</v>
      </c>
      <c r="B67" s="44"/>
      <c r="C67" s="44"/>
      <c r="D67" s="44"/>
      <c r="E67" s="44"/>
      <c r="F67" s="44"/>
      <c r="G67" s="44"/>
      <c r="H67" s="44"/>
      <c r="I67" s="44"/>
      <c r="J67" s="44"/>
      <c r="K67" s="44"/>
      <c r="L67" s="44"/>
      <c r="M67" s="44"/>
      <c r="N67" s="44"/>
      <c r="O67" s="44"/>
      <c r="P67" s="43"/>
    </row>
    <row r="68" customFormat="false" ht="48" hidden="false" customHeight="true" outlineLevel="0" collapsed="false">
      <c r="A68" s="51" t="s">
        <v>70</v>
      </c>
      <c r="B68" s="51" t="s">
        <v>114</v>
      </c>
      <c r="C68" s="51" t="s">
        <v>115</v>
      </c>
      <c r="D68" s="51" t="s">
        <v>116</v>
      </c>
      <c r="E68" s="51" t="s">
        <v>117</v>
      </c>
      <c r="F68" s="51" t="s">
        <v>118</v>
      </c>
      <c r="G68" s="51" t="s">
        <v>119</v>
      </c>
      <c r="H68" s="51" t="s">
        <v>120</v>
      </c>
      <c r="I68" s="51" t="s">
        <v>121</v>
      </c>
      <c r="J68" s="51" t="s">
        <v>122</v>
      </c>
      <c r="K68" s="51" t="s">
        <v>123</v>
      </c>
      <c r="L68" s="51" t="s">
        <v>124</v>
      </c>
      <c r="M68" s="51" t="s">
        <v>125</v>
      </c>
      <c r="N68" s="51" t="s">
        <v>126</v>
      </c>
      <c r="O68" s="51" t="s">
        <v>127</v>
      </c>
      <c r="P68" s="43"/>
    </row>
    <row r="69" customFormat="false" ht="15.75" hidden="false" customHeight="true" outlineLevel="0" collapsed="false">
      <c r="A69" s="52" t="s">
        <v>128</v>
      </c>
      <c r="B69" s="53" t="s">
        <v>129</v>
      </c>
      <c r="C69" s="54" t="n">
        <f aca="false">IFERROR(INDEX(calculations!$M:$X,41,$P$6)/INDEX(calculations!$M:$X,20,$P$6),0)</f>
        <v>0.31755</v>
      </c>
      <c r="D69" s="54" t="n">
        <f aca="false">IFERROR(INDEX(calculations!$M:$X,42,$P$6)/INDEX(calculations!$M:$X,20,$P$6),0)</f>
        <v>1.3464</v>
      </c>
      <c r="E69" s="54" t="n">
        <f aca="false">IFERROR(INDEX(calculations!$M:$X,43,$P$6)/INDEX(calculations!$M:$X,20,$P$6),0)</f>
        <v>0</v>
      </c>
      <c r="F69" s="54" t="n">
        <f aca="false">IFERROR(INDEX(calculations!$M:$X,44,$P$6)/INDEX(calculations!$M:$X,20,$P$6),0)</f>
        <v>0</v>
      </c>
      <c r="G69" s="54" t="n">
        <f aca="false">IFERROR(INDEX(calculations!$M:$X,45,$P$6)/INDEX(calculations!$M:$X,20,$P$6),0)</f>
        <v>0.3125</v>
      </c>
      <c r="H69" s="54" t="n">
        <f aca="false">IFERROR(INDEX(calculations!$M:$X,244,$P$6)/INDEX(calculations!$M:$X,20,$P$6),0)</f>
        <v>0</v>
      </c>
      <c r="I69" s="55" t="s">
        <v>130</v>
      </c>
      <c r="J69" s="54" t="n">
        <f aca="false">IFERROR(INDEX(calculations!$M:$X,246,$P$6),0)</f>
        <v>1.97645</v>
      </c>
      <c r="K69" s="54" t="n">
        <f aca="false">IFERROR(INDEX(calculations!$M:$X,247,$P$6),0)</f>
        <v>1.66395</v>
      </c>
      <c r="L69" s="56" t="n">
        <f aca="false">INDEX(input_data!$L:$L,MATCH("all.in.bnk.stl.drg.---",input_data!$A:$A,0))</f>
        <v>0.481</v>
      </c>
      <c r="M69" s="56" t="n">
        <f aca="false">INDEX(input_data!$L:$L,MATCH("all.in.dfv.stl.drg.---",input_data!$A:$A,0))</f>
        <v>0.5772</v>
      </c>
      <c r="N69" s="57" t="n">
        <f aca="false">MAX(K69-L69,0)</f>
        <v>1.18295</v>
      </c>
      <c r="O69" s="50" t="s">
        <v>131</v>
      </c>
      <c r="P69" s="43"/>
    </row>
    <row r="70" customFormat="false" ht="15.75" hidden="false" customHeight="true" outlineLevel="0" collapsed="false">
      <c r="A70" s="58" t="s">
        <v>132</v>
      </c>
      <c r="B70" s="59" t="s">
        <v>129</v>
      </c>
      <c r="C70" s="60" t="n">
        <f aca="false">IFERROR(INDEX(calculations!$M:$X,69,$P$6)/INDEX(calculations!$M:$X,48,$P$6),0)</f>
        <v>0.15507</v>
      </c>
      <c r="D70" s="60" t="n">
        <f aca="false">IFERROR(INDEX(calculations!$M:$X,70,$P$6)/INDEX(calculations!$M:$X,48,$P$6),0)</f>
        <v>0</v>
      </c>
      <c r="E70" s="60" t="n">
        <f aca="false">IFERROR(INDEX(calculations!$M:$X,71,$P$6)/INDEX(calculations!$M:$X,48,$P$6),0)</f>
        <v>0</v>
      </c>
      <c r="F70" s="60" t="n">
        <f aca="false">IFERROR(INDEX(calculations!$M:$X,72,$P$6)/INDEX(calculations!$M:$X,48,$P$6),0)</f>
        <v>0</v>
      </c>
      <c r="G70" s="60" t="n">
        <f aca="false">IFERROR(INDEX(calculations!$M:$X,73,$P$6)/INDEX(calculations!$M:$X,48,$P$6),0)</f>
        <v>0.5625</v>
      </c>
      <c r="H70" s="60" t="n">
        <f aca="false">IFERROR(INDEX(calculations!$M:$X,249,$P$6)/INDEX(calculations!$M:$X,48,$P$6),0)</f>
        <v>0</v>
      </c>
      <c r="I70" s="55" t="s">
        <v>130</v>
      </c>
      <c r="J70" s="54" t="n">
        <f aca="false">IFERROR(INDEX(calculations!$M:$X,251,$P$6),0)</f>
        <v>0.71757</v>
      </c>
      <c r="K70" s="54" t="n">
        <f aca="false">IFERROR(INDEX(calculations!$M:$X,252,$P$6),0)</f>
        <v>0.15507</v>
      </c>
      <c r="L70" s="56" t="n">
        <f aca="false">INDEX(input_data!$L:$L,MATCH("all.in.bnk.stl.scr.---",input_data!$A:$A,0))</f>
        <v>0.072</v>
      </c>
      <c r="M70" s="56" t="n">
        <f aca="false">INDEX(input_data!$L:$L,MATCH("all.in.dfv.stl.scr.---",input_data!$A:$A,0))</f>
        <v>0.0864</v>
      </c>
      <c r="N70" s="57" t="n">
        <f aca="false">MAX(K70-L70,0)</f>
        <v>0.08307</v>
      </c>
      <c r="O70" s="50" t="s">
        <v>133</v>
      </c>
      <c r="P70" s="43"/>
    </row>
    <row r="71" customFormat="false" ht="15.75" hidden="false" customHeight="true" outlineLevel="0" collapsed="false">
      <c r="A71" s="52" t="s">
        <v>134</v>
      </c>
      <c r="B71" s="53" t="s">
        <v>129</v>
      </c>
      <c r="C71" s="54" t="n">
        <f aca="false">IFERROR(INDEX(calculations!$M:$X,97,$P$6)/INDEX(calculations!$M:$X,76,$P$6),0)</f>
        <v>0</v>
      </c>
      <c r="D71" s="54" t="n">
        <f aca="false">IFERROR(INDEX(calculations!$M:$X,98,$P$6)/INDEX(calculations!$M:$X,76,$P$6),0)</f>
        <v>0</v>
      </c>
      <c r="E71" s="54" t="n">
        <f aca="false">IFERROR(INDEX(calculations!$M:$X,99,$P$6)/INDEX(calculations!$M:$X,76,$P$6),0)</f>
        <v>0</v>
      </c>
      <c r="F71" s="54" t="n">
        <f aca="false">IFERROR(INDEX(calculations!$M:$X,100,$P$6)/INDEX(calculations!$M:$X,76,$P$6),0)</f>
        <v>0</v>
      </c>
      <c r="G71" s="54" t="n">
        <f aca="false">IFERROR(INDEX(calculations!$M:$X,101,$P$6)/INDEX(calculations!$M:$X,76,$P$6),0)</f>
        <v>0</v>
      </c>
      <c r="H71" s="54" t="n">
        <f aca="false">IFERROR(INDEX(calculations!$M:$X,254,$P$6)/INDEX(calculations!$M:$X,76,$P$6),0)</f>
        <v>0</v>
      </c>
      <c r="I71" s="55" t="s">
        <v>130</v>
      </c>
      <c r="J71" s="54" t="n">
        <f aca="false">IFERROR(INDEX(calculations!$M:$X,256,$P$6),0)</f>
        <v>0</v>
      </c>
      <c r="K71" s="54" t="n">
        <f aca="false">IFERROR(INDEX(calculations!$M:$X,257,$P$6),0)</f>
        <v>0</v>
      </c>
      <c r="L71" s="56" t="n">
        <f aca="false">INDEX(input_data!$L:$L,MATCH("all.in.bnk.stl.bof.---",input_data!$A:$A,0))</f>
        <v>1.37</v>
      </c>
      <c r="M71" s="56" t="n">
        <f aca="false">INDEX(input_data!$L:$L,MATCH("all.in.dfv.stl.bof.---",input_data!$A:$A,0))</f>
        <v>1.644</v>
      </c>
      <c r="N71" s="57" t="n">
        <f aca="false">MAX(K71-L71,0)</f>
        <v>0</v>
      </c>
      <c r="O71" s="50" t="s">
        <v>135</v>
      </c>
      <c r="P71" s="43"/>
    </row>
    <row r="72" customFormat="false" ht="15.75" hidden="false" customHeight="true" outlineLevel="0" collapsed="false">
      <c r="A72" s="58" t="s">
        <v>136</v>
      </c>
      <c r="B72" s="59" t="s">
        <v>129</v>
      </c>
      <c r="C72" s="60" t="n">
        <f aca="false">IFERROR(INDEX(calculations!$M:$X,125,$P$6)/INDEX(calculations!$M:$X,104,$P$6),0)</f>
        <v>0.2683</v>
      </c>
      <c r="D72" s="60" t="n">
        <f aca="false">IFERROR(INDEX(calculations!$M:$X,126,$P$6)/INDEX(calculations!$M:$X,104,$P$6),0)</f>
        <v>0</v>
      </c>
      <c r="E72" s="60" t="n">
        <f aca="false">IFERROR(INDEX(calculations!$M:$X,127,$P$6)/INDEX(calculations!$M:$X,104,$P$6),0)</f>
        <v>0.526</v>
      </c>
      <c r="F72" s="60" t="n">
        <f aca="false">IFERROR(INDEX(calculations!$M:$X,128,$P$6)/INDEX(calculations!$M:$X,104,$P$6),0)</f>
        <v>0</v>
      </c>
      <c r="G72" s="60" t="n">
        <f aca="false">IFERROR(INDEX(calculations!$M:$X,129,$P$6)/INDEX(calculations!$M:$X,104,$P$6),0)</f>
        <v>0.05625</v>
      </c>
      <c r="H72" s="60" t="n">
        <f aca="false">IFERROR(INDEX(calculations!$M:$X,259,$P$6)/INDEX(calculations!$M:$X,104,$P$6),0)</f>
        <v>0</v>
      </c>
      <c r="I72" s="61" t="s">
        <v>137</v>
      </c>
      <c r="J72" s="54" t="n">
        <f aca="false">IFERROR(INDEX(calculations!$M:$X,261,$P$6),0)</f>
        <v>0.85055</v>
      </c>
      <c r="K72" s="54" t="n">
        <f aca="false">IFERROR(INDEX(calculations!$M:$X,262,$P$6),0)</f>
        <v>0.85055</v>
      </c>
      <c r="L72" s="56" t="n">
        <f aca="false">INDEX(input_data!$L:$L,MATCH("all.in.bnk.cmt.dry.---",input_data!$A:$A,0))</f>
        <v>0.666</v>
      </c>
      <c r="M72" s="56" t="n">
        <f aca="false">INDEX(input_data!$L:$L,MATCH("all.in.dfv.cmt.dry.---",input_data!$A:$A,0))</f>
        <v>0.7992</v>
      </c>
      <c r="N72" s="57" t="n">
        <f aca="false">MAX(K72-L72,0)</f>
        <v>0.18455</v>
      </c>
      <c r="O72" s="50" t="s">
        <v>138</v>
      </c>
      <c r="P72" s="43"/>
    </row>
    <row r="73" customFormat="false" ht="15.75" hidden="false" customHeight="true" outlineLevel="0" collapsed="false">
      <c r="A73" s="52" t="s">
        <v>139</v>
      </c>
      <c r="B73" s="53" t="s">
        <v>129</v>
      </c>
      <c r="C73" s="54" t="n">
        <f aca="false">IFERROR(INDEX(calculations!$M:$X,153,$P$6)/INDEX(calculations!$M:$X,132,$P$6),0)</f>
        <v>0.6732</v>
      </c>
      <c r="D73" s="54" t="n">
        <f aca="false">IFERROR(INDEX(calculations!$M:$X,154,$P$6)/INDEX(calculations!$M:$X,132,$P$6),0)</f>
        <v>1.3464</v>
      </c>
      <c r="E73" s="54" t="n">
        <f aca="false">IFERROR(INDEX(calculations!$M:$X,155,$P$6)/INDEX(calculations!$M:$X,132,$P$6),0)</f>
        <v>0</v>
      </c>
      <c r="F73" s="54" t="n">
        <f aca="false">IFERROR(INDEX(calculations!$M:$X,156,$P$6)/INDEX(calculations!$M:$X,132,$P$6),0)</f>
        <v>0</v>
      </c>
      <c r="G73" s="54" t="n">
        <f aca="false">IFERROR(INDEX(calculations!$M:$X,157,$P$6)/INDEX(calculations!$M:$X,132,$P$6),0)</f>
        <v>0.0375</v>
      </c>
      <c r="H73" s="54" t="n">
        <f aca="false">IFERROR(INDEX(calculations!$M:$X,264,$P$6)/INDEX(calculations!$M:$X,132,$P$6),0)</f>
        <v>0</v>
      </c>
      <c r="I73" s="61" t="s">
        <v>137</v>
      </c>
      <c r="J73" s="54" t="n">
        <f aca="false">IFERROR(INDEX(calculations!$M:$X,266,$P$6),0)</f>
        <v>2.0571</v>
      </c>
      <c r="K73" s="54" t="n">
        <f aca="false">IFERROR(INDEX(calculations!$M:$X,267,$P$6),0)</f>
        <v>2.0571</v>
      </c>
      <c r="L73" s="56" t="n">
        <f aca="false">INDEX(input_data!$L:$L,MATCH("all.in.bnk.frt.amc.---",input_data!$A:$A,0))</f>
        <v>1.522</v>
      </c>
      <c r="M73" s="56" t="n">
        <f aca="false">INDEX(input_data!$L:$L,MATCH("all.in.dfv.frt.amc.---",input_data!$A:$A,0))</f>
        <v>1.8264</v>
      </c>
      <c r="N73" s="57" t="n">
        <f aca="false">MAX(K73-L73,0)</f>
        <v>0.5351</v>
      </c>
      <c r="O73" s="50" t="s">
        <v>140</v>
      </c>
      <c r="P73" s="43"/>
    </row>
    <row r="74" customFormat="false" ht="15.75" hidden="false" customHeight="true" outlineLevel="0" collapsed="false">
      <c r="A74" s="58" t="s">
        <v>141</v>
      </c>
      <c r="B74" s="59" t="s">
        <v>129</v>
      </c>
      <c r="C74" s="60" t="n">
        <f aca="false">IFERROR(INDEX(calculations!$M:$X,181,$P$6)/INDEX(calculations!$M:$X,160,$P$6),0)</f>
        <v>0.1683</v>
      </c>
      <c r="D74" s="60" t="n">
        <f aca="false">IFERROR(INDEX(calculations!$M:$X,182,$P$6)/INDEX(calculations!$M:$X,160,$P$6),0)</f>
        <v>0</v>
      </c>
      <c r="E74" s="60" t="n">
        <f aca="false">IFERROR(INDEX(calculations!$M:$X,183,$P$6)/INDEX(calculations!$M:$X,160,$P$6),0)</f>
        <v>-0.733</v>
      </c>
      <c r="F74" s="60" t="n">
        <f aca="false">IFERROR(INDEX(calculations!$M:$X,184,$P$6)/INDEX(calculations!$M:$X,160,$P$6),0)</f>
        <v>0</v>
      </c>
      <c r="G74" s="60" t="n">
        <f aca="false">IFERROR(INDEX(calculations!$M:$X,185,$P$6)/INDEX(calculations!$M:$X,160,$P$6),0)</f>
        <v>0.0375</v>
      </c>
      <c r="H74" s="60" t="n">
        <f aca="false">IFERROR(INDEX(calculations!$M:$X,269,$P$6)/INDEX(calculations!$M:$X,160,$P$6),0)</f>
        <v>1.1451132</v>
      </c>
      <c r="I74" s="61" t="s">
        <v>137</v>
      </c>
      <c r="J74" s="54" t="n">
        <f aca="false">IFERROR(INDEX(calculations!$M:$X,271,$P$6),0)</f>
        <v>0.6179132</v>
      </c>
      <c r="K74" s="54" t="n">
        <f aca="false">IFERROR(INDEX(calculations!$M:$X,272,$P$6),0)</f>
        <v>0.6179132</v>
      </c>
      <c r="L74" s="56" t="n">
        <f aca="false">INDEX(input_data!$L:$L,MATCH("all.in.bnk.frt.ure.---",input_data!$A:$A,0))</f>
        <v>0.902</v>
      </c>
      <c r="M74" s="56" t="n">
        <f aca="false">INDEX(input_data!$L:$L,MATCH("all.in.dfv.frt.ure.---",input_data!$A:$A,0))</f>
        <v>1.0824</v>
      </c>
      <c r="N74" s="57" t="n">
        <f aca="false">MAX(K74-L74,0)</f>
        <v>0</v>
      </c>
      <c r="O74" s="50" t="s">
        <v>142</v>
      </c>
      <c r="P74" s="43"/>
    </row>
    <row r="75" customFormat="false" ht="15.75" hidden="false" customHeight="true" outlineLevel="0" collapsed="false">
      <c r="A75" s="52" t="s">
        <v>143</v>
      </c>
      <c r="B75" s="53" t="s">
        <v>129</v>
      </c>
      <c r="C75" s="54" t="n">
        <f aca="false">IFERROR(INDEX(calculations!$M:$X,209,$P$6)/INDEX(calculations!$M:$X,188,$P$6),0)</f>
        <v>0.08415</v>
      </c>
      <c r="D75" s="54" t="n">
        <f aca="false">IFERROR(INDEX(calculations!$M:$X,210,$P$6)/INDEX(calculations!$M:$X,188,$P$6),0)</f>
        <v>0</v>
      </c>
      <c r="E75" s="54" t="n">
        <f aca="false">IFERROR(INDEX(calculations!$M:$X,211,$P$6)/INDEX(calculations!$M:$X,188,$P$6),0)</f>
        <v>0</v>
      </c>
      <c r="F75" s="54" t="n">
        <f aca="false">IFERROR(INDEX(calculations!$M:$X,212,$P$6)/INDEX(calculations!$M:$X,188,$P$6),0)</f>
        <v>2.5</v>
      </c>
      <c r="G75" s="54" t="n">
        <f aca="false">IFERROR(INDEX(calculations!$M:$X,213,$P$6)/INDEX(calculations!$M:$X,188,$P$6),0)</f>
        <v>0.0375</v>
      </c>
      <c r="H75" s="54" t="n">
        <f aca="false">IFERROR(INDEX(calculations!$M:$X,274,$P$6)/INDEX(calculations!$M:$X,188,$P$6),0)</f>
        <v>0.4301748</v>
      </c>
      <c r="I75" s="61" t="s">
        <v>137</v>
      </c>
      <c r="J75" s="54" t="n">
        <f aca="false">IFERROR(INDEX(calculations!$M:$X,276,$P$6),0)</f>
        <v>3.0518248</v>
      </c>
      <c r="K75" s="54" t="n">
        <f aca="false">IFERROR(INDEX(calculations!$M:$X,277,$P$6),0)</f>
        <v>3.0518248</v>
      </c>
      <c r="L75" s="56" t="n">
        <f aca="false">INDEX(input_data!$L:$L,MATCH("all.in.bnk.frt.nit.---",input_data!$A:$A,0))</f>
        <v>0.302</v>
      </c>
      <c r="M75" s="56" t="n">
        <f aca="false">INDEX(input_data!$L:$L,MATCH("all.in.dfv.frt.nit.---",input_data!$A:$A,0))</f>
        <v>0.3624</v>
      </c>
      <c r="N75" s="57" t="n">
        <f aca="false">MAX(K75-L75,0)</f>
        <v>2.7498248</v>
      </c>
      <c r="O75" s="50" t="s">
        <v>144</v>
      </c>
      <c r="P75" s="43"/>
    </row>
    <row r="76" customFormat="false" ht="15.75" hidden="false" customHeight="true" outlineLevel="0" collapsed="false">
      <c r="A76" s="58" t="s">
        <v>145</v>
      </c>
      <c r="B76" s="59" t="s">
        <v>129</v>
      </c>
      <c r="C76" s="60" t="n">
        <f aca="false">IFERROR(INDEX(calculations!$M:$X,237,$P$6)/INDEX(calculations!$M:$X,216,$P$6),0)</f>
        <v>0.1122</v>
      </c>
      <c r="D76" s="60" t="n">
        <f aca="false">IFERROR(INDEX(calculations!$M:$X,238,$P$6)/INDEX(calculations!$M:$X,216,$P$6),0)</f>
        <v>0</v>
      </c>
      <c r="E76" s="60" t="n">
        <f aca="false">IFERROR(INDEX(calculations!$M:$X,239,$P$6)/INDEX(calculations!$M:$X,216,$P$6),0)</f>
        <v>1.5</v>
      </c>
      <c r="F76" s="60" t="n">
        <f aca="false">IFERROR(INDEX(calculations!$M:$X,240,$P$6)/INDEX(calculations!$M:$X,216,$P$6),0)</f>
        <v>0.7</v>
      </c>
      <c r="G76" s="60" t="n">
        <f aca="false">IFERROR(INDEX(calculations!$M:$X,241,$P$6)/INDEX(calculations!$M:$X,216,$P$6),0)</f>
        <v>6.5</v>
      </c>
      <c r="H76" s="60" t="n">
        <f aca="false">IFERROR(INDEX(calculations!$M:$X,279,$P$6)/INDEX(calculations!$M:$X,216,$P$6),0)</f>
        <v>0</v>
      </c>
      <c r="I76" s="55" t="s">
        <v>130</v>
      </c>
      <c r="J76" s="54" t="n">
        <f aca="false">IFERROR(INDEX(calculations!$M:$X,281,$P$6),0)</f>
        <v>8.8122</v>
      </c>
      <c r="K76" s="54" t="n">
        <f aca="false">IFERROR(INDEX(calculations!$M:$X,282,$P$6),0)</f>
        <v>2.3122</v>
      </c>
      <c r="L76" s="56" t="n">
        <f aca="false">INDEX(input_data!$L:$L,MATCH("all.in.bnk.alu.prp.---",input_data!$A:$A,0))</f>
        <v>1.423</v>
      </c>
      <c r="M76" s="56" t="n">
        <f aca="false">INDEX(input_data!$L:$L,MATCH("all.in.dfv.alu.prp.---",input_data!$A:$A,0))</f>
        <v>1.7076</v>
      </c>
      <c r="N76" s="57" t="n">
        <f aca="false">MAX(K76-L76,0)</f>
        <v>0.8892</v>
      </c>
      <c r="O76" s="50" t="s">
        <v>146</v>
      </c>
      <c r="P76" s="43"/>
    </row>
    <row r="77" customFormat="false" ht="15.75" hidden="false" customHeight="true" outlineLevel="0" collapsed="false">
      <c r="A77" s="52" t="s">
        <v>147</v>
      </c>
      <c r="B77" s="47" t="s">
        <v>129</v>
      </c>
      <c r="C77" s="54" t="n">
        <f aca="false">IFERROR(INDEX(calculations!$M:$X,307,$P$6)/INDEX(calculations!$M:$X,286,$P$6),0)</f>
        <v>0.1722</v>
      </c>
      <c r="D77" s="54" t="n">
        <f aca="false">IFERROR(INDEX(calculations!$M:$X,308,$P$6)/INDEX(calculations!$M:$X,286,$P$6),0)</f>
        <v>0.6727</v>
      </c>
      <c r="E77" s="54" t="n">
        <f aca="false">IFERROR(INDEX(calculations!$M:$X,309,$P$6)/INDEX(calculations!$M:$X,286,$P$6),0)</f>
        <v>0</v>
      </c>
      <c r="F77" s="54" t="n">
        <f aca="false">IFERROR(INDEX(calculations!$M:$X,310,$P$6)/INDEX(calculations!$M:$X,286,$P$6),0)</f>
        <v>0</v>
      </c>
      <c r="G77" s="54" t="n">
        <f aca="false">IFERROR(INDEX(calculations!$M:$X,311,$P$6)/INDEX(calculations!$M:$X,286,$P$6),0)</f>
        <v>0.4375</v>
      </c>
      <c r="H77" s="54" t="n">
        <f aca="false">IFERROR(INDEX(calculations!$M:$X,312,$P$6)/INDEX(calculations!$M:$X,286,$P$6),0)</f>
        <v>0</v>
      </c>
      <c r="I77" s="55" t="s">
        <v>130</v>
      </c>
      <c r="J77" s="54" t="n">
        <f aca="false">IFERROR(INDEX(calculations!$M:$X,314,$P$6),0)</f>
        <v>1.2824</v>
      </c>
      <c r="K77" s="54" t="n">
        <f aca="false">IFERROR(INDEX(calculations!$M:$X,315,$P$6),0)</f>
        <v>0.8449</v>
      </c>
      <c r="L77" s="56" t="n">
        <f aca="false">INDEX(input_data!$L:$L,MATCH("all.in.bnk.stl.oth.---",input_data!$A:$A,0))</f>
        <v>1.222</v>
      </c>
      <c r="M77" s="56" t="n">
        <f aca="false">INDEX(input_data!$L:$L,MATCH("all.in.dfv.stl.oth.---",input_data!$A:$A,0))</f>
        <v>1.4664</v>
      </c>
      <c r="N77" s="57" t="n">
        <f aca="false">MAX(K77-L77,0)</f>
        <v>0</v>
      </c>
      <c r="O77" s="50" t="s">
        <v>148</v>
      </c>
      <c r="P77" s="43"/>
    </row>
    <row r="78" customFormat="false" ht="15.75" hidden="false" customHeight="true" outlineLevel="0" collapsed="false">
      <c r="A78" s="58" t="s">
        <v>149</v>
      </c>
      <c r="B78" s="62" t="s">
        <v>150</v>
      </c>
      <c r="C78" s="60" t="n">
        <f aca="false">IFERROR(INDEX(calculations!$M:$X,339,$P$6)/INDEX(calculations!$M:$X,318,$P$6),0)</f>
        <v>0.2805</v>
      </c>
      <c r="D78" s="60" t="n">
        <f aca="false">IFERROR(INDEX(calculations!$M:$X,340,$P$6)/INDEX(calculations!$M:$X,318,$P$6),0)</f>
        <v>0</v>
      </c>
      <c r="E78" s="60" t="n">
        <f aca="false">IFERROR(INDEX(calculations!$M:$X,341,$P$6)/INDEX(calculations!$M:$X,318,$P$6),0)</f>
        <v>0</v>
      </c>
      <c r="F78" s="60" t="n">
        <f aca="false">IFERROR(INDEX(calculations!$M:$X,342,$P$6)/INDEX(calculations!$M:$X,318,$P$6),0)</f>
        <v>0</v>
      </c>
      <c r="G78" s="60" t="n">
        <f aca="false">IFERROR(INDEX(calculations!$M:$X,343,$P$6)/INDEX(calculations!$M:$X,318,$P$6),0)</f>
        <v>0.0375</v>
      </c>
      <c r="H78" s="60" t="n">
        <f aca="false">IFERROR(INDEX(calculations!$M:$X,344,$P$6)/INDEX(calculations!$M:$X,318,$P$6),0)</f>
        <v>0</v>
      </c>
      <c r="I78" s="61" t="s">
        <v>137</v>
      </c>
      <c r="J78" s="54" t="n">
        <f aca="false">IFERROR(INDEX(calculations!$M:$X,346,$P$6),0)</f>
        <v>0.318</v>
      </c>
      <c r="K78" s="54" t="n">
        <f aca="false">IFERROR(INDEX(calculations!$M:$X,347,$P$6),0)</f>
        <v>0.318</v>
      </c>
      <c r="L78" s="56" t="n">
        <f aca="false">INDEX(input_data!$L:$L,MATCH("all.in.bnk.frt.otn.---",input_data!$A:$A,0))</f>
        <v>2.82</v>
      </c>
      <c r="M78" s="56" t="n">
        <f aca="false">INDEX(input_data!$L:$L,MATCH("all.in.dfv.frt.otn.---",input_data!$A:$A,0))</f>
        <v>3.384</v>
      </c>
      <c r="N78" s="57" t="n">
        <f aca="false">MAX(K78-L78,0)</f>
        <v>0</v>
      </c>
      <c r="O78" s="50" t="s">
        <v>151</v>
      </c>
      <c r="P78" s="43"/>
    </row>
    <row r="79" customFormat="false" ht="13.5" hidden="false" customHeight="true" outlineLevel="0" collapsed="false">
      <c r="A79" s="46"/>
      <c r="B79" s="46"/>
      <c r="C79" s="46"/>
      <c r="D79" s="46"/>
      <c r="E79" s="46"/>
      <c r="F79" s="46"/>
      <c r="G79" s="46"/>
      <c r="H79" s="46"/>
      <c r="I79" s="46"/>
      <c r="J79" s="46"/>
      <c r="K79" s="46"/>
      <c r="L79" s="46"/>
      <c r="M79" s="46"/>
      <c r="N79" s="46"/>
      <c r="O79" s="46"/>
      <c r="P79" s="43"/>
    </row>
    <row r="80" customFormat="false" ht="54" hidden="false" customHeight="true" outlineLevel="0" collapsed="false">
      <c r="A80" s="63" t="s">
        <v>152</v>
      </c>
      <c r="B80" s="63"/>
      <c r="C80" s="63"/>
      <c r="D80" s="63"/>
      <c r="E80" s="63"/>
      <c r="F80" s="63"/>
      <c r="G80" s="63"/>
      <c r="H80" s="63"/>
      <c r="I80" s="63"/>
      <c r="J80" s="63"/>
      <c r="K80" s="63"/>
      <c r="L80" s="63"/>
      <c r="M80" s="63"/>
      <c r="N80" s="63"/>
      <c r="O80" s="63"/>
    </row>
    <row r="81" customFormat="false" ht="21.75" hidden="false" customHeight="true" outlineLevel="0" collapsed="false">
      <c r="A81" s="17" t="s">
        <v>70</v>
      </c>
      <c r="B81" s="17" t="s">
        <v>153</v>
      </c>
      <c r="C81" s="18"/>
      <c r="D81" s="17" t="s">
        <v>40</v>
      </c>
      <c r="E81" s="17" t="s">
        <v>41</v>
      </c>
      <c r="F81" s="17" t="s">
        <v>42</v>
      </c>
      <c r="G81" s="17" t="s">
        <v>43</v>
      </c>
      <c r="H81" s="17" t="s">
        <v>44</v>
      </c>
      <c r="I81" s="17" t="s">
        <v>45</v>
      </c>
      <c r="J81" s="17" t="s">
        <v>46</v>
      </c>
      <c r="K81" s="17" t="s">
        <v>47</v>
      </c>
      <c r="L81" s="17" t="s">
        <v>48</v>
      </c>
      <c r="M81" s="17" t="s">
        <v>49</v>
      </c>
      <c r="N81" s="17" t="s">
        <v>50</v>
      </c>
      <c r="O81" s="17" t="s">
        <v>51</v>
      </c>
    </row>
    <row r="82" customFormat="false" ht="13.5" hidden="false" customHeight="true" outlineLevel="0" collapsed="false">
      <c r="A82" s="5" t="s">
        <v>154</v>
      </c>
      <c r="B82" s="11" t="s">
        <v>155</v>
      </c>
      <c r="C82" s="20"/>
      <c r="D82" s="64" t="n">
        <f aca="false">calculations!M246</f>
        <v>2.01811666666667</v>
      </c>
      <c r="E82" s="64" t="n">
        <f aca="false">calculations!N246</f>
        <v>2.01117222222222</v>
      </c>
      <c r="F82" s="64" t="n">
        <f aca="false">calculations!O246</f>
        <v>2.00422777777778</v>
      </c>
      <c r="G82" s="64" t="n">
        <f aca="false">calculations!P246</f>
        <v>1.99728333333333</v>
      </c>
      <c r="H82" s="64" t="n">
        <f aca="false">calculations!Q246</f>
        <v>1.99033888888889</v>
      </c>
      <c r="I82" s="64" t="n">
        <f aca="false">calculations!R246</f>
        <v>1.98339444444444</v>
      </c>
      <c r="J82" s="64" t="n">
        <f aca="false">calculations!S246</f>
        <v>1.97645</v>
      </c>
      <c r="K82" s="64" t="n">
        <f aca="false">calculations!T246</f>
        <v>1.96950555555556</v>
      </c>
      <c r="L82" s="64" t="n">
        <f aca="false">calculations!U246</f>
        <v>1.96256111111111</v>
      </c>
      <c r="M82" s="64" t="n">
        <f aca="false">calculations!V246</f>
        <v>1.95561666666667</v>
      </c>
      <c r="N82" s="64" t="n">
        <f aca="false">calculations!W246</f>
        <v>1.94867222222222</v>
      </c>
      <c r="O82" s="64" t="n">
        <f aca="false">calculations!X246</f>
        <v>1.94172777777778</v>
      </c>
    </row>
    <row r="83" customFormat="false" ht="13.5" hidden="false" customHeight="true" outlineLevel="0" collapsed="false">
      <c r="A83" s="20"/>
      <c r="B83" s="11" t="s">
        <v>156</v>
      </c>
      <c r="C83" s="20"/>
      <c r="D83" s="65" t="n">
        <f aca="false">calculations!M247</f>
        <v>1.66395</v>
      </c>
      <c r="E83" s="65" t="n">
        <f aca="false">calculations!N247</f>
        <v>1.66395</v>
      </c>
      <c r="F83" s="65" t="n">
        <f aca="false">calculations!O247</f>
        <v>1.66395</v>
      </c>
      <c r="G83" s="65" t="n">
        <f aca="false">calculations!P247</f>
        <v>1.66395</v>
      </c>
      <c r="H83" s="65" t="n">
        <f aca="false">calculations!Q247</f>
        <v>1.66395</v>
      </c>
      <c r="I83" s="65" t="n">
        <f aca="false">calculations!R247</f>
        <v>1.66395</v>
      </c>
      <c r="J83" s="65" t="n">
        <f aca="false">calculations!S247</f>
        <v>1.66395</v>
      </c>
      <c r="K83" s="65" t="n">
        <f aca="false">calculations!T247</f>
        <v>1.66395</v>
      </c>
      <c r="L83" s="65" t="n">
        <f aca="false">calculations!U247</f>
        <v>1.66395</v>
      </c>
      <c r="M83" s="65" t="n">
        <f aca="false">calculations!V247</f>
        <v>1.66395</v>
      </c>
      <c r="N83" s="65" t="n">
        <f aca="false">calculations!W247</f>
        <v>1.66395</v>
      </c>
      <c r="O83" s="65" t="n">
        <f aca="false">calculations!X247</f>
        <v>1.66395</v>
      </c>
    </row>
    <row r="84" customFormat="false" ht="13.5" hidden="false" customHeight="true" outlineLevel="0" collapsed="false">
      <c r="A84" s="5" t="s">
        <v>157</v>
      </c>
      <c r="B84" s="11" t="s">
        <v>155</v>
      </c>
      <c r="C84" s="20"/>
      <c r="D84" s="64" t="n">
        <f aca="false">calculations!M251</f>
        <v>0.79257</v>
      </c>
      <c r="E84" s="64" t="n">
        <f aca="false">calculations!N251</f>
        <v>0.78007</v>
      </c>
      <c r="F84" s="64" t="n">
        <f aca="false">calculations!O251</f>
        <v>0.76757</v>
      </c>
      <c r="G84" s="64" t="n">
        <f aca="false">calculations!P251</f>
        <v>0.75507</v>
      </c>
      <c r="H84" s="64" t="n">
        <f aca="false">calculations!Q251</f>
        <v>0.74257</v>
      </c>
      <c r="I84" s="64" t="n">
        <f aca="false">calculations!R251</f>
        <v>0.73007</v>
      </c>
      <c r="J84" s="64" t="n">
        <f aca="false">calculations!S251</f>
        <v>0.71757</v>
      </c>
      <c r="K84" s="64" t="n">
        <f aca="false">calculations!T251</f>
        <v>0.70507</v>
      </c>
      <c r="L84" s="64" t="n">
        <f aca="false">calculations!U251</f>
        <v>0.69257</v>
      </c>
      <c r="M84" s="64" t="n">
        <f aca="false">calculations!V251</f>
        <v>0.68007</v>
      </c>
      <c r="N84" s="64" t="n">
        <f aca="false">calculations!W251</f>
        <v>0.66757</v>
      </c>
      <c r="O84" s="64" t="n">
        <f aca="false">calculations!X251</f>
        <v>0.65507</v>
      </c>
    </row>
    <row r="85" customFormat="false" ht="13.5" hidden="false" customHeight="true" outlineLevel="0" collapsed="false">
      <c r="A85" s="20"/>
      <c r="B85" s="11" t="s">
        <v>156</v>
      </c>
      <c r="C85" s="20"/>
      <c r="D85" s="65" t="n">
        <f aca="false">calculations!M252</f>
        <v>0.15507</v>
      </c>
      <c r="E85" s="65" t="n">
        <f aca="false">calculations!N252</f>
        <v>0.15507</v>
      </c>
      <c r="F85" s="65" t="n">
        <f aca="false">calculations!O252</f>
        <v>0.15507</v>
      </c>
      <c r="G85" s="65" t="n">
        <f aca="false">calculations!P252</f>
        <v>0.15507</v>
      </c>
      <c r="H85" s="65" t="n">
        <f aca="false">calculations!Q252</f>
        <v>0.15507</v>
      </c>
      <c r="I85" s="65" t="n">
        <f aca="false">calculations!R252</f>
        <v>0.15507</v>
      </c>
      <c r="J85" s="65" t="n">
        <f aca="false">calculations!S252</f>
        <v>0.15507</v>
      </c>
      <c r="K85" s="65" t="n">
        <f aca="false">calculations!T252</f>
        <v>0.15507</v>
      </c>
      <c r="L85" s="65" t="n">
        <f aca="false">calculations!U252</f>
        <v>0.15507</v>
      </c>
      <c r="M85" s="65" t="n">
        <f aca="false">calculations!V252</f>
        <v>0.15507</v>
      </c>
      <c r="N85" s="65" t="n">
        <f aca="false">calculations!W252</f>
        <v>0.15507</v>
      </c>
      <c r="O85" s="65" t="n">
        <f aca="false">calculations!X252</f>
        <v>0.15507</v>
      </c>
    </row>
    <row r="86" customFormat="false" ht="13.5" hidden="false" customHeight="true" outlineLevel="0" collapsed="false">
      <c r="A86" s="5" t="s">
        <v>158</v>
      </c>
      <c r="B86" s="11" t="s">
        <v>155</v>
      </c>
      <c r="C86" s="20"/>
      <c r="D86" s="64" t="n">
        <f aca="false">calculations!M256</f>
        <v>0</v>
      </c>
      <c r="E86" s="64" t="n">
        <f aca="false">calculations!N256</f>
        <v>0</v>
      </c>
      <c r="F86" s="64" t="n">
        <f aca="false">calculations!O256</f>
        <v>0</v>
      </c>
      <c r="G86" s="64" t="n">
        <f aca="false">calculations!P256</f>
        <v>0</v>
      </c>
      <c r="H86" s="64" t="n">
        <f aca="false">calculations!Q256</f>
        <v>0</v>
      </c>
      <c r="I86" s="64" t="n">
        <f aca="false">calculations!R256</f>
        <v>0</v>
      </c>
      <c r="J86" s="64" t="n">
        <f aca="false">calculations!S256</f>
        <v>0</v>
      </c>
      <c r="K86" s="64" t="n">
        <f aca="false">calculations!T256</f>
        <v>0</v>
      </c>
      <c r="L86" s="64" t="n">
        <f aca="false">calculations!U256</f>
        <v>0</v>
      </c>
      <c r="M86" s="64" t="n">
        <f aca="false">calculations!V256</f>
        <v>0</v>
      </c>
      <c r="N86" s="64" t="n">
        <f aca="false">calculations!W256</f>
        <v>0</v>
      </c>
      <c r="O86" s="64" t="n">
        <f aca="false">calculations!X256</f>
        <v>0</v>
      </c>
    </row>
    <row r="87" customFormat="false" ht="13.5" hidden="false" customHeight="true" outlineLevel="0" collapsed="false">
      <c r="A87" s="20"/>
      <c r="B87" s="11" t="s">
        <v>156</v>
      </c>
      <c r="C87" s="20"/>
      <c r="D87" s="65" t="n">
        <f aca="false">calculations!M257</f>
        <v>0</v>
      </c>
      <c r="E87" s="65" t="n">
        <f aca="false">calculations!N257</f>
        <v>0</v>
      </c>
      <c r="F87" s="65" t="n">
        <f aca="false">calculations!O257</f>
        <v>0</v>
      </c>
      <c r="G87" s="65" t="n">
        <f aca="false">calculations!P257</f>
        <v>0</v>
      </c>
      <c r="H87" s="65" t="n">
        <f aca="false">calculations!Q257</f>
        <v>0</v>
      </c>
      <c r="I87" s="65" t="n">
        <f aca="false">calculations!R257</f>
        <v>0</v>
      </c>
      <c r="J87" s="65" t="n">
        <f aca="false">calculations!S257</f>
        <v>0</v>
      </c>
      <c r="K87" s="65" t="n">
        <f aca="false">calculations!T257</f>
        <v>0</v>
      </c>
      <c r="L87" s="65" t="n">
        <f aca="false">calculations!U257</f>
        <v>0</v>
      </c>
      <c r="M87" s="65" t="n">
        <f aca="false">calculations!V257</f>
        <v>0</v>
      </c>
      <c r="N87" s="65" t="n">
        <f aca="false">calculations!W257</f>
        <v>0</v>
      </c>
      <c r="O87" s="65" t="n">
        <f aca="false">calculations!X257</f>
        <v>0</v>
      </c>
    </row>
    <row r="88" customFormat="false" ht="13.5" hidden="false" customHeight="true" outlineLevel="0" collapsed="false">
      <c r="A88" s="5" t="s">
        <v>28</v>
      </c>
      <c r="B88" s="11" t="s">
        <v>155</v>
      </c>
      <c r="C88" s="20"/>
      <c r="D88" s="64" t="n">
        <f aca="false">calculations!M261</f>
        <v>0.85805</v>
      </c>
      <c r="E88" s="64" t="n">
        <f aca="false">calculations!N261</f>
        <v>0.8568</v>
      </c>
      <c r="F88" s="64" t="n">
        <f aca="false">calculations!O261</f>
        <v>0.85555</v>
      </c>
      <c r="G88" s="64" t="n">
        <f aca="false">calculations!P261</f>
        <v>0.8543</v>
      </c>
      <c r="H88" s="64" t="n">
        <f aca="false">calculations!Q261</f>
        <v>0.85305</v>
      </c>
      <c r="I88" s="64" t="n">
        <f aca="false">calculations!R261</f>
        <v>0.8518</v>
      </c>
      <c r="J88" s="64" t="n">
        <f aca="false">calculations!S261</f>
        <v>0.85055</v>
      </c>
      <c r="K88" s="64" t="n">
        <f aca="false">calculations!T261</f>
        <v>0.8493</v>
      </c>
      <c r="L88" s="64" t="n">
        <f aca="false">calculations!U261</f>
        <v>0.84805</v>
      </c>
      <c r="M88" s="64" t="n">
        <f aca="false">calculations!V261</f>
        <v>0.8468</v>
      </c>
      <c r="N88" s="64" t="n">
        <f aca="false">calculations!W261</f>
        <v>0.84555</v>
      </c>
      <c r="O88" s="64" t="n">
        <f aca="false">calculations!X261</f>
        <v>0.8443</v>
      </c>
    </row>
    <row r="89" customFormat="false" ht="13.5" hidden="false" customHeight="true" outlineLevel="0" collapsed="false">
      <c r="A89" s="20"/>
      <c r="B89" s="11" t="s">
        <v>156</v>
      </c>
      <c r="C89" s="20"/>
      <c r="D89" s="65" t="n">
        <f aca="false">calculations!M262</f>
        <v>0.85805</v>
      </c>
      <c r="E89" s="65" t="n">
        <f aca="false">calculations!N262</f>
        <v>0.8568</v>
      </c>
      <c r="F89" s="65" t="n">
        <f aca="false">calculations!O262</f>
        <v>0.85555</v>
      </c>
      <c r="G89" s="65" t="n">
        <f aca="false">calculations!P262</f>
        <v>0.8543</v>
      </c>
      <c r="H89" s="65" t="n">
        <f aca="false">calculations!Q262</f>
        <v>0.85305</v>
      </c>
      <c r="I89" s="65" t="n">
        <f aca="false">calculations!R262</f>
        <v>0.8518</v>
      </c>
      <c r="J89" s="65" t="n">
        <f aca="false">calculations!S262</f>
        <v>0.85055</v>
      </c>
      <c r="K89" s="65" t="n">
        <f aca="false">calculations!T262</f>
        <v>0.8493</v>
      </c>
      <c r="L89" s="65" t="n">
        <f aca="false">calculations!U262</f>
        <v>0.84805</v>
      </c>
      <c r="M89" s="65" t="n">
        <f aca="false">calculations!V262</f>
        <v>0.8468</v>
      </c>
      <c r="N89" s="65" t="n">
        <f aca="false">calculations!W262</f>
        <v>0.84555</v>
      </c>
      <c r="O89" s="65" t="n">
        <f aca="false">calculations!X262</f>
        <v>0.8443</v>
      </c>
    </row>
    <row r="90" customFormat="false" ht="13.5" hidden="false" customHeight="true" outlineLevel="0" collapsed="false">
      <c r="A90" s="5" t="s">
        <v>159</v>
      </c>
      <c r="B90" s="11" t="s">
        <v>155</v>
      </c>
      <c r="C90" s="20"/>
      <c r="D90" s="64" t="n">
        <f aca="false">calculations!M266</f>
        <v>2.0621</v>
      </c>
      <c r="E90" s="64" t="n">
        <f aca="false">calculations!N266</f>
        <v>2.06126666666667</v>
      </c>
      <c r="F90" s="64" t="n">
        <f aca="false">calculations!O266</f>
        <v>2.06043333333333</v>
      </c>
      <c r="G90" s="64" t="n">
        <f aca="false">calculations!P266</f>
        <v>2.0596</v>
      </c>
      <c r="H90" s="64" t="n">
        <f aca="false">calculations!Q266</f>
        <v>2.05876666666667</v>
      </c>
      <c r="I90" s="64" t="n">
        <f aca="false">calculations!R266</f>
        <v>2.05793333333333</v>
      </c>
      <c r="J90" s="64" t="n">
        <f aca="false">calculations!S266</f>
        <v>2.0571</v>
      </c>
      <c r="K90" s="64" t="n">
        <f aca="false">calculations!T266</f>
        <v>2.05626666666667</v>
      </c>
      <c r="L90" s="64" t="n">
        <f aca="false">calculations!U266</f>
        <v>2.05543333333333</v>
      </c>
      <c r="M90" s="64" t="n">
        <f aca="false">calculations!V266</f>
        <v>2.0546</v>
      </c>
      <c r="N90" s="64" t="n">
        <f aca="false">calculations!W266</f>
        <v>2.05376666666667</v>
      </c>
      <c r="O90" s="64" t="n">
        <f aca="false">calculations!X266</f>
        <v>2.05293333333333</v>
      </c>
    </row>
    <row r="91" customFormat="false" ht="13.5" hidden="false" customHeight="true" outlineLevel="0" collapsed="false">
      <c r="A91" s="20"/>
      <c r="B91" s="11" t="s">
        <v>156</v>
      </c>
      <c r="C91" s="20"/>
      <c r="D91" s="65" t="n">
        <f aca="false">calculations!M267</f>
        <v>2.0621</v>
      </c>
      <c r="E91" s="65" t="n">
        <f aca="false">calculations!N267</f>
        <v>2.06126666666667</v>
      </c>
      <c r="F91" s="65" t="n">
        <f aca="false">calculations!O267</f>
        <v>2.06043333333333</v>
      </c>
      <c r="G91" s="65" t="n">
        <f aca="false">calculations!P267</f>
        <v>2.0596</v>
      </c>
      <c r="H91" s="65" t="n">
        <f aca="false">calculations!Q267</f>
        <v>2.05876666666667</v>
      </c>
      <c r="I91" s="65" t="n">
        <f aca="false">calculations!R267</f>
        <v>2.05793333333333</v>
      </c>
      <c r="J91" s="65" t="n">
        <f aca="false">calculations!S267</f>
        <v>2.0571</v>
      </c>
      <c r="K91" s="65" t="n">
        <f aca="false">calculations!T267</f>
        <v>2.05626666666667</v>
      </c>
      <c r="L91" s="65" t="n">
        <f aca="false">calculations!U267</f>
        <v>2.05543333333333</v>
      </c>
      <c r="M91" s="65" t="n">
        <f aca="false">calculations!V267</f>
        <v>2.0546</v>
      </c>
      <c r="N91" s="65" t="n">
        <f aca="false">calculations!W267</f>
        <v>2.05376666666667</v>
      </c>
      <c r="O91" s="65" t="n">
        <f aca="false">calculations!X267</f>
        <v>2.05293333333333</v>
      </c>
    </row>
    <row r="92" customFormat="false" ht="13.5" hidden="false" customHeight="true" outlineLevel="0" collapsed="false">
      <c r="A92" s="5" t="s">
        <v>30</v>
      </c>
      <c r="B92" s="11" t="s">
        <v>155</v>
      </c>
      <c r="C92" s="20"/>
      <c r="D92" s="64" t="n">
        <f aca="false">calculations!M271</f>
        <v>0.6229132</v>
      </c>
      <c r="E92" s="64" t="n">
        <f aca="false">calculations!N271</f>
        <v>0.622079866666667</v>
      </c>
      <c r="F92" s="64" t="n">
        <f aca="false">calculations!O271</f>
        <v>0.621246533333333</v>
      </c>
      <c r="G92" s="64" t="n">
        <f aca="false">calculations!P271</f>
        <v>0.6204132</v>
      </c>
      <c r="H92" s="64" t="n">
        <f aca="false">calculations!Q271</f>
        <v>0.619579866666667</v>
      </c>
      <c r="I92" s="64" t="n">
        <f aca="false">calculations!R271</f>
        <v>0.618746533333333</v>
      </c>
      <c r="J92" s="64" t="n">
        <f aca="false">calculations!S271</f>
        <v>0.6179132</v>
      </c>
      <c r="K92" s="64" t="n">
        <f aca="false">calculations!T271</f>
        <v>0.617079866666667</v>
      </c>
      <c r="L92" s="64" t="n">
        <f aca="false">calculations!U271</f>
        <v>0.616246533333334</v>
      </c>
      <c r="M92" s="64" t="n">
        <f aca="false">calculations!V271</f>
        <v>0.6154132</v>
      </c>
      <c r="N92" s="64" t="n">
        <f aca="false">calculations!W271</f>
        <v>0.614579866666667</v>
      </c>
      <c r="O92" s="64" t="n">
        <f aca="false">calculations!X271</f>
        <v>0.613746533333333</v>
      </c>
    </row>
    <row r="93" customFormat="false" ht="13.5" hidden="false" customHeight="true" outlineLevel="0" collapsed="false">
      <c r="A93" s="20"/>
      <c r="B93" s="11" t="s">
        <v>156</v>
      </c>
      <c r="C93" s="20"/>
      <c r="D93" s="65" t="n">
        <f aca="false">calculations!M272</f>
        <v>0.6229132</v>
      </c>
      <c r="E93" s="65" t="n">
        <f aca="false">calculations!N272</f>
        <v>0.622079866666667</v>
      </c>
      <c r="F93" s="65" t="n">
        <f aca="false">calculations!O272</f>
        <v>0.621246533333333</v>
      </c>
      <c r="G93" s="65" t="n">
        <f aca="false">calculations!P272</f>
        <v>0.6204132</v>
      </c>
      <c r="H93" s="65" t="n">
        <f aca="false">calculations!Q272</f>
        <v>0.619579866666667</v>
      </c>
      <c r="I93" s="65" t="n">
        <f aca="false">calculations!R272</f>
        <v>0.618746533333333</v>
      </c>
      <c r="J93" s="65" t="n">
        <f aca="false">calculations!S272</f>
        <v>0.6179132</v>
      </c>
      <c r="K93" s="65" t="n">
        <f aca="false">calculations!T272</f>
        <v>0.617079866666667</v>
      </c>
      <c r="L93" s="65" t="n">
        <f aca="false">calculations!U272</f>
        <v>0.616246533333334</v>
      </c>
      <c r="M93" s="65" t="n">
        <f aca="false">calculations!V272</f>
        <v>0.6154132</v>
      </c>
      <c r="N93" s="65" t="n">
        <f aca="false">calculations!W272</f>
        <v>0.614579866666667</v>
      </c>
      <c r="O93" s="65" t="n">
        <f aca="false">calculations!X272</f>
        <v>0.613746533333333</v>
      </c>
    </row>
    <row r="94" customFormat="false" ht="13.5" hidden="false" customHeight="true" outlineLevel="0" collapsed="false">
      <c r="A94" s="5" t="s">
        <v>160</v>
      </c>
      <c r="B94" s="11" t="s">
        <v>155</v>
      </c>
      <c r="C94" s="20"/>
      <c r="D94" s="64" t="n">
        <f aca="false">calculations!M276</f>
        <v>3.0568248</v>
      </c>
      <c r="E94" s="64" t="n">
        <f aca="false">calculations!N276</f>
        <v>3.05599146666667</v>
      </c>
      <c r="F94" s="64" t="n">
        <f aca="false">calculations!O276</f>
        <v>3.05515813333333</v>
      </c>
      <c r="G94" s="64" t="n">
        <f aca="false">calculations!P276</f>
        <v>3.0543248</v>
      </c>
      <c r="H94" s="64" t="n">
        <f aca="false">calculations!Q276</f>
        <v>3.05349146666667</v>
      </c>
      <c r="I94" s="64" t="n">
        <f aca="false">calculations!R276</f>
        <v>3.05265813333333</v>
      </c>
      <c r="J94" s="64" t="n">
        <f aca="false">calculations!S276</f>
        <v>3.0518248</v>
      </c>
      <c r="K94" s="64" t="n">
        <f aca="false">calculations!T276</f>
        <v>3.05099146666667</v>
      </c>
      <c r="L94" s="64" t="n">
        <f aca="false">calculations!U276</f>
        <v>3.05015813333333</v>
      </c>
      <c r="M94" s="64" t="n">
        <f aca="false">calculations!V276</f>
        <v>3.0493248</v>
      </c>
      <c r="N94" s="64" t="n">
        <f aca="false">calculations!W276</f>
        <v>3.04849146666667</v>
      </c>
      <c r="O94" s="64" t="n">
        <f aca="false">calculations!X276</f>
        <v>3.04765813333333</v>
      </c>
    </row>
    <row r="95" customFormat="false" ht="13.5" hidden="false" customHeight="true" outlineLevel="0" collapsed="false">
      <c r="A95" s="20"/>
      <c r="B95" s="11" t="s">
        <v>156</v>
      </c>
      <c r="C95" s="20"/>
      <c r="D95" s="65" t="n">
        <f aca="false">calculations!M277</f>
        <v>3.0568248</v>
      </c>
      <c r="E95" s="65" t="n">
        <f aca="false">calculations!N277</f>
        <v>3.05599146666667</v>
      </c>
      <c r="F95" s="65" t="n">
        <f aca="false">calculations!O277</f>
        <v>3.05515813333333</v>
      </c>
      <c r="G95" s="65" t="n">
        <f aca="false">calculations!P277</f>
        <v>3.0543248</v>
      </c>
      <c r="H95" s="65" t="n">
        <f aca="false">calculations!Q277</f>
        <v>3.05349146666667</v>
      </c>
      <c r="I95" s="65" t="n">
        <f aca="false">calculations!R277</f>
        <v>3.05265813333333</v>
      </c>
      <c r="J95" s="65" t="n">
        <f aca="false">calculations!S277</f>
        <v>3.0518248</v>
      </c>
      <c r="K95" s="65" t="n">
        <f aca="false">calculations!T277</f>
        <v>3.05099146666667</v>
      </c>
      <c r="L95" s="65" t="n">
        <f aca="false">calculations!U277</f>
        <v>3.05015813333333</v>
      </c>
      <c r="M95" s="65" t="n">
        <f aca="false">calculations!V277</f>
        <v>3.0493248</v>
      </c>
      <c r="N95" s="65" t="n">
        <f aca="false">calculations!W277</f>
        <v>3.04849146666667</v>
      </c>
      <c r="O95" s="65" t="n">
        <f aca="false">calculations!X277</f>
        <v>3.04765813333333</v>
      </c>
    </row>
    <row r="96" customFormat="false" ht="13.5" hidden="false" customHeight="true" outlineLevel="0" collapsed="false">
      <c r="A96" s="5" t="s">
        <v>161</v>
      </c>
      <c r="B96" s="11" t="s">
        <v>155</v>
      </c>
      <c r="C96" s="20"/>
      <c r="D96" s="64" t="n">
        <f aca="false">calculations!M281</f>
        <v>9.67886666666667</v>
      </c>
      <c r="E96" s="64" t="n">
        <f aca="false">calculations!N281</f>
        <v>9.53442222222222</v>
      </c>
      <c r="F96" s="64" t="n">
        <f aca="false">calculations!O281</f>
        <v>9.38997777777778</v>
      </c>
      <c r="G96" s="64" t="n">
        <f aca="false">calculations!P281</f>
        <v>9.24553333333333</v>
      </c>
      <c r="H96" s="64" t="n">
        <f aca="false">calculations!Q281</f>
        <v>9.10108888888889</v>
      </c>
      <c r="I96" s="64" t="n">
        <f aca="false">calculations!R281</f>
        <v>8.95664444444445</v>
      </c>
      <c r="J96" s="64" t="n">
        <f aca="false">calculations!S281</f>
        <v>8.8122</v>
      </c>
      <c r="K96" s="64" t="n">
        <f aca="false">calculations!T281</f>
        <v>8.66775555555556</v>
      </c>
      <c r="L96" s="64" t="n">
        <f aca="false">calculations!U281</f>
        <v>8.52331111111111</v>
      </c>
      <c r="M96" s="64" t="n">
        <f aca="false">calculations!V281</f>
        <v>8.37886666666667</v>
      </c>
      <c r="N96" s="64" t="n">
        <f aca="false">calculations!W281</f>
        <v>8.23442222222222</v>
      </c>
      <c r="O96" s="64" t="n">
        <f aca="false">calculations!X281</f>
        <v>8.08997777777778</v>
      </c>
    </row>
    <row r="97" customFormat="false" ht="13.5" hidden="false" customHeight="true" outlineLevel="0" collapsed="false">
      <c r="A97" s="20"/>
      <c r="B97" s="11" t="s">
        <v>156</v>
      </c>
      <c r="C97" s="20"/>
      <c r="D97" s="65" t="n">
        <f aca="false">calculations!M282</f>
        <v>2.3122</v>
      </c>
      <c r="E97" s="65" t="n">
        <f aca="false">calculations!N282</f>
        <v>2.3122</v>
      </c>
      <c r="F97" s="65" t="n">
        <f aca="false">calculations!O282</f>
        <v>2.3122</v>
      </c>
      <c r="G97" s="65" t="n">
        <f aca="false">calculations!P282</f>
        <v>2.3122</v>
      </c>
      <c r="H97" s="65" t="n">
        <f aca="false">calculations!Q282</f>
        <v>2.3122</v>
      </c>
      <c r="I97" s="65" t="n">
        <f aca="false">calculations!R282</f>
        <v>2.3122</v>
      </c>
      <c r="J97" s="65" t="n">
        <f aca="false">calculations!S282</f>
        <v>2.3122</v>
      </c>
      <c r="K97" s="65" t="n">
        <f aca="false">calculations!T282</f>
        <v>2.3122</v>
      </c>
      <c r="L97" s="65" t="n">
        <f aca="false">calculations!U282</f>
        <v>2.3122</v>
      </c>
      <c r="M97" s="65" t="n">
        <f aca="false">calculations!V282</f>
        <v>2.3122</v>
      </c>
      <c r="N97" s="65" t="n">
        <f aca="false">calculations!W282</f>
        <v>2.3122</v>
      </c>
      <c r="O97" s="65" t="n">
        <f aca="false">calculations!X282</f>
        <v>2.3122</v>
      </c>
    </row>
    <row r="99" customFormat="false" ht="18" hidden="false" customHeight="true" outlineLevel="0" collapsed="false">
      <c r="A99" s="4" t="s">
        <v>162</v>
      </c>
      <c r="B99" s="4"/>
      <c r="C99" s="4"/>
      <c r="D99" s="4"/>
      <c r="E99" s="4"/>
      <c r="F99" s="4"/>
      <c r="G99" s="4"/>
      <c r="H99" s="4"/>
      <c r="I99" s="4"/>
      <c r="J99" s="4"/>
      <c r="K99" s="4"/>
      <c r="L99" s="4"/>
      <c r="M99" s="4"/>
      <c r="N99" s="4"/>
      <c r="O99" s="4"/>
    </row>
    <row r="100" customFormat="false" ht="60" hidden="false" customHeight="true" outlineLevel="0" collapsed="false">
      <c r="A100" s="41" t="s">
        <v>163</v>
      </c>
      <c r="B100" s="41"/>
      <c r="C100" s="41"/>
      <c r="D100" s="41"/>
      <c r="E100" s="41"/>
      <c r="F100" s="41"/>
      <c r="G100" s="41"/>
      <c r="H100" s="41"/>
      <c r="I100" s="41"/>
      <c r="J100" s="41"/>
      <c r="K100" s="41"/>
      <c r="L100" s="41"/>
      <c r="M100" s="41"/>
      <c r="N100" s="41"/>
      <c r="O100" s="41"/>
    </row>
    <row r="102" customFormat="false" ht="42" hidden="false" customHeight="true" outlineLevel="0" collapsed="false">
      <c r="A102" s="17" t="s">
        <v>70</v>
      </c>
      <c r="B102" s="17" t="s">
        <v>164</v>
      </c>
      <c r="C102" s="17" t="s">
        <v>165</v>
      </c>
      <c r="D102" s="17" t="s">
        <v>166</v>
      </c>
      <c r="E102" s="17" t="s">
        <v>167</v>
      </c>
      <c r="F102" s="17" t="s">
        <v>168</v>
      </c>
      <c r="G102" s="17" t="s">
        <v>169</v>
      </c>
      <c r="H102" s="17" t="s">
        <v>170</v>
      </c>
    </row>
    <row r="103" customFormat="false" ht="13.5" hidden="false" customHeight="true" outlineLevel="0" collapsed="false">
      <c r="A103" s="66" t="s">
        <v>154</v>
      </c>
      <c r="B103" s="67" t="n">
        <f aca="false">INDEX(input_data!$L:$L,MATCH("all.in.nh3.stl.drg.---",input_data!$A:$A,0))</f>
        <v>0</v>
      </c>
      <c r="C103" s="68" t="n">
        <f aca="false">IFERROR((INDEX(calculations!$M:$X,153,$P$6)+INDEX(calculations!$M:$X,154,$P$6)+INDEX(calculations!$M:$X,155,$P$6)+INDEX(calculations!$M:$X,156,$P$6))/INDEX(calculations!$M:$X,132,$P$6),0)</f>
        <v>2.0196</v>
      </c>
      <c r="D103" s="69" t="n">
        <f aca="false">IFERROR(INDEX(calculations!$M:$X,157,$P$6)/INDEX(calculations!$M:$X,132,$P$6),0)</f>
        <v>0.0375</v>
      </c>
      <c r="E103" s="64" t="n">
        <f aca="false">IFERROR(INDEX(calculations!$M:$X,244,$P$6)/INDEX(calculations!$M:$X,20,$P$6),0)</f>
        <v>0</v>
      </c>
      <c r="F103" s="64" t="n">
        <f aca="false">IFERROR((INDEX(calculations!$M:$X,41,$P$6)+INDEX(calculations!$M:$X,42,$P$6)+INDEX(calculations!$M:$X,43,$P$6)+INDEX(calculations!$M:$X,44,$P$6))/INDEX(calculations!$M:$X,20,$P$6),0)</f>
        <v>1.66395</v>
      </c>
      <c r="G103" s="64" t="n">
        <f aca="false">IFERROR(INDEX(calculations!$M:$X,45,$P$6)/INDEX(calculations!$M:$X,20,$P$6),0)</f>
        <v>0.3125</v>
      </c>
      <c r="H103" s="68" t="n">
        <f aca="false">IFERROR(INDEX(calculations!$M:$X,245,$P$6)/INDEX(calculations!$M:$X,20,$P$6),0)</f>
        <v>1.97645</v>
      </c>
    </row>
    <row r="104" customFormat="false" ht="13.5" hidden="false" customHeight="true" outlineLevel="0" collapsed="false">
      <c r="A104" s="66" t="s">
        <v>157</v>
      </c>
      <c r="B104" s="67" t="n">
        <f aca="false">INDEX(input_data!$L:$L,MATCH("all.in.nh3.stl.scr.---",input_data!$A:$A,0))</f>
        <v>0</v>
      </c>
      <c r="C104" s="68" t="n">
        <f aca="false">IFERROR((INDEX(calculations!$M:$X,153,$P$6)+INDEX(calculations!$M:$X,154,$P$6)+INDEX(calculations!$M:$X,155,$P$6)+INDEX(calculations!$M:$X,156,$P$6))/INDEX(calculations!$M:$X,132,$P$6),0)</f>
        <v>2.0196</v>
      </c>
      <c r="D104" s="69" t="n">
        <f aca="false">IFERROR(INDEX(calculations!$M:$X,157,$P$6)/INDEX(calculations!$M:$X,132,$P$6),0)</f>
        <v>0.0375</v>
      </c>
      <c r="E104" s="64" t="n">
        <f aca="false">IFERROR(INDEX(calculations!$M:$X,249,$P$6)/INDEX(calculations!$M:$X,48,$P$6),0)</f>
        <v>0</v>
      </c>
      <c r="F104" s="64" t="n">
        <f aca="false">IFERROR((INDEX(calculations!$M:$X,69,$P$6)+INDEX(calculations!$M:$X,70,$P$6)+INDEX(calculations!$M:$X,71,$P$6)+INDEX(calculations!$M:$X,72,$P$6))/INDEX(calculations!$M:$X,48,$P$6),0)</f>
        <v>0.15507</v>
      </c>
      <c r="G104" s="64" t="n">
        <f aca="false">IFERROR(INDEX(calculations!$M:$X,73,$P$6)/INDEX(calculations!$M:$X,48,$P$6),0)</f>
        <v>0.5625</v>
      </c>
      <c r="H104" s="68" t="n">
        <f aca="false">IFERROR(INDEX(calculations!$M:$X,250,$P$6)/INDEX(calculations!$M:$X,48,$P$6),0)</f>
        <v>0.71757</v>
      </c>
    </row>
    <row r="105" customFormat="false" ht="13.5" hidden="false" customHeight="true" outlineLevel="0" collapsed="false">
      <c r="A105" s="66" t="s">
        <v>158</v>
      </c>
      <c r="B105" s="67" t="n">
        <f aca="false">INDEX(input_data!$L:$L,MATCH("all.in.nh3.stl.bof.---",input_data!$A:$A,0))</f>
        <v>0</v>
      </c>
      <c r="C105" s="68" t="n">
        <f aca="false">IFERROR((INDEX(calculations!$M:$X,153,$P$6)+INDEX(calculations!$M:$X,154,$P$6)+INDEX(calculations!$M:$X,155,$P$6)+INDEX(calculations!$M:$X,156,$P$6))/INDEX(calculations!$M:$X,132,$P$6),0)</f>
        <v>2.0196</v>
      </c>
      <c r="D105" s="69" t="n">
        <f aca="false">IFERROR(INDEX(calculations!$M:$X,157,$P$6)/INDEX(calculations!$M:$X,132,$P$6),0)</f>
        <v>0.0375</v>
      </c>
      <c r="E105" s="64" t="n">
        <f aca="false">IFERROR(INDEX(calculations!$M:$X,254,$P$6)/INDEX(calculations!$M:$X,76,$P$6),0)</f>
        <v>0</v>
      </c>
      <c r="F105" s="64" t="n">
        <f aca="false">IFERROR((INDEX(calculations!$M:$X,97,$P$6)+INDEX(calculations!$M:$X,98,$P$6)+INDEX(calculations!$M:$X,99,$P$6)+INDEX(calculations!$M:$X,100,$P$6))/INDEX(calculations!$M:$X,76,$P$6),0)</f>
        <v>0</v>
      </c>
      <c r="G105" s="64" t="n">
        <f aca="false">IFERROR(INDEX(calculations!$M:$X,101,$P$6)/INDEX(calculations!$M:$X,76,$P$6),0)</f>
        <v>0</v>
      </c>
      <c r="H105" s="68" t="n">
        <f aca="false">IFERROR(INDEX(calculations!$M:$X,255,$P$6)/INDEX(calculations!$M:$X,76,$P$6),0)</f>
        <v>0</v>
      </c>
    </row>
    <row r="106" customFormat="false" ht="13.5" hidden="false" customHeight="true" outlineLevel="0" collapsed="false">
      <c r="A106" s="66" t="s">
        <v>28</v>
      </c>
      <c r="B106" s="67" t="n">
        <f aca="false">INDEX(input_data!$L:$L,MATCH("all.in.nh3.cmt.dry.---",input_data!$A:$A,0))</f>
        <v>0</v>
      </c>
      <c r="C106" s="68" t="n">
        <f aca="false">IFERROR((INDEX(calculations!$M:$X,153,$P$6)+INDEX(calculations!$M:$X,154,$P$6)+INDEX(calculations!$M:$X,155,$P$6)+INDEX(calculations!$M:$X,156,$P$6))/INDEX(calculations!$M:$X,132,$P$6),0)</f>
        <v>2.0196</v>
      </c>
      <c r="D106" s="69" t="n">
        <f aca="false">IFERROR(INDEX(calculations!$M:$X,157,$P$6)/INDEX(calculations!$M:$X,132,$P$6),0)</f>
        <v>0.0375</v>
      </c>
      <c r="E106" s="64" t="n">
        <f aca="false">IFERROR(INDEX(calculations!$M:$X,259,$P$6)/INDEX(calculations!$M:$X,104,$P$6),0)</f>
        <v>0</v>
      </c>
      <c r="F106" s="64" t="n">
        <f aca="false">IFERROR((INDEX(calculations!$M:$X,125,$P$6)+INDEX(calculations!$M:$X,126,$P$6)+INDEX(calculations!$M:$X,127,$P$6)+INDEX(calculations!$M:$X,128,$P$6))/INDEX(calculations!$M:$X,104,$P$6),0)</f>
        <v>0.7943</v>
      </c>
      <c r="G106" s="64" t="n">
        <f aca="false">IFERROR(INDEX(calculations!$M:$X,129,$P$6)/INDEX(calculations!$M:$X,104,$P$6),0)</f>
        <v>0.05625</v>
      </c>
      <c r="H106" s="68" t="n">
        <f aca="false">IFERROR(INDEX(calculations!$M:$X,260,$P$6)/INDEX(calculations!$M:$X,104,$P$6),0)</f>
        <v>0.85055</v>
      </c>
    </row>
    <row r="107" customFormat="false" ht="13.5" hidden="false" customHeight="true" outlineLevel="0" collapsed="false">
      <c r="A107" s="66" t="s">
        <v>159</v>
      </c>
      <c r="B107" s="67" t="n">
        <f aca="false">INDEX(input_data!$L:$L,MATCH("all.in.nh3.frt.amc.---",input_data!$A:$A,0))</f>
        <v>0</v>
      </c>
      <c r="C107" s="68" t="n">
        <f aca="false">IFERROR((INDEX(calculations!$M:$X,153,$P$6)+INDEX(calculations!$M:$X,154,$P$6)+INDEX(calculations!$M:$X,155,$P$6)+INDEX(calculations!$M:$X,156,$P$6))/INDEX(calculations!$M:$X,132,$P$6),0)</f>
        <v>2.0196</v>
      </c>
      <c r="D107" s="69" t="n">
        <f aca="false">IFERROR(INDEX(calculations!$M:$X,157,$P$6)/INDEX(calculations!$M:$X,132,$P$6),0)</f>
        <v>0.0375</v>
      </c>
      <c r="E107" s="64" t="n">
        <f aca="false">IFERROR(INDEX(calculations!$M:$X,264,$P$6)/INDEX(calculations!$M:$X,132,$P$6),0)</f>
        <v>0</v>
      </c>
      <c r="F107" s="64" t="n">
        <f aca="false">IFERROR((INDEX(calculations!$M:$X,153,$P$6)+INDEX(calculations!$M:$X,154,$P$6)+INDEX(calculations!$M:$X,155,$P$6)+INDEX(calculations!$M:$X,156,$P$6))/INDEX(calculations!$M:$X,132,$P$6),0)</f>
        <v>2.0196</v>
      </c>
      <c r="G107" s="64" t="n">
        <f aca="false">IFERROR(INDEX(calculations!$M:$X,157,$P$6)/INDEX(calculations!$M:$X,132,$P$6),0)</f>
        <v>0.0375</v>
      </c>
      <c r="H107" s="68" t="n">
        <f aca="false">IFERROR(INDEX(calculations!$M:$X,265,$P$6)/INDEX(calculations!$M:$X,132,$P$6),0)</f>
        <v>2.0571</v>
      </c>
    </row>
    <row r="108" customFormat="false" ht="13.5" hidden="false" customHeight="true" outlineLevel="0" collapsed="false">
      <c r="A108" s="66" t="s">
        <v>30</v>
      </c>
      <c r="B108" s="67" t="n">
        <f aca="false">INDEX(input_data!$L:$L,MATCH("all.in.nh3.frt.ure.---",input_data!$A:$A,0))</f>
        <v>0.567</v>
      </c>
      <c r="C108" s="68" t="n">
        <f aca="false">IFERROR((INDEX(calculations!$M:$X,153,$P$6)+INDEX(calculations!$M:$X,154,$P$6)+INDEX(calculations!$M:$X,155,$P$6)+INDEX(calculations!$M:$X,156,$P$6))/INDEX(calculations!$M:$X,132,$P$6),0)</f>
        <v>2.0196</v>
      </c>
      <c r="D108" s="69" t="n">
        <f aca="false">IFERROR(INDEX(calculations!$M:$X,157,$P$6)/INDEX(calculations!$M:$X,132,$P$6),0)</f>
        <v>0.0375</v>
      </c>
      <c r="E108" s="64" t="n">
        <f aca="false">IFERROR(INDEX(calculations!$M:$X,269,$P$6)/INDEX(calculations!$M:$X,160,$P$6),0)</f>
        <v>1.1451132</v>
      </c>
      <c r="F108" s="64" t="n">
        <f aca="false">IFERROR((INDEX(calculations!$M:$X,181,$P$6)+INDEX(calculations!$M:$X,182,$P$6)+INDEX(calculations!$M:$X,183,$P$6)+INDEX(calculations!$M:$X,184,$P$6))/INDEX(calculations!$M:$X,160,$P$6),0)</f>
        <v>-0.5647</v>
      </c>
      <c r="G108" s="64" t="n">
        <f aca="false">IFERROR(INDEX(calculations!$M:$X,185,$P$6)/INDEX(calculations!$M:$X,160,$P$6),0)</f>
        <v>0.0375</v>
      </c>
      <c r="H108" s="68" t="n">
        <f aca="false">IFERROR(INDEX(calculations!$M:$X,270,$P$6)/INDEX(calculations!$M:$X,160,$P$6),0)</f>
        <v>0.6179132</v>
      </c>
    </row>
    <row r="109" customFormat="false" ht="13.5" hidden="false" customHeight="true" outlineLevel="0" collapsed="false">
      <c r="A109" s="66" t="s">
        <v>160</v>
      </c>
      <c r="B109" s="67" t="n">
        <f aca="false">INDEX(input_data!$L:$L,MATCH("all.in.nh3.frt.nit.---",input_data!$A:$A,0))</f>
        <v>0.213</v>
      </c>
      <c r="C109" s="68" t="n">
        <f aca="false">IFERROR((INDEX(calculations!$M:$X,153,$P$6)+INDEX(calculations!$M:$X,154,$P$6)+INDEX(calculations!$M:$X,155,$P$6)+INDEX(calculations!$M:$X,156,$P$6))/INDEX(calculations!$M:$X,132,$P$6),0)</f>
        <v>2.0196</v>
      </c>
      <c r="D109" s="69" t="n">
        <f aca="false">IFERROR(INDEX(calculations!$M:$X,157,$P$6)/INDEX(calculations!$M:$X,132,$P$6),0)</f>
        <v>0.0375</v>
      </c>
      <c r="E109" s="64" t="n">
        <f aca="false">IFERROR(INDEX(calculations!$M:$X,274,$P$6)/INDEX(calculations!$M:$X,188,$P$6),0)</f>
        <v>0.4301748</v>
      </c>
      <c r="F109" s="64" t="n">
        <f aca="false">IFERROR((INDEX(calculations!$M:$X,209,$P$6)+INDEX(calculations!$M:$X,210,$P$6)+INDEX(calculations!$M:$X,211,$P$6)+INDEX(calculations!$M:$X,212,$P$6))/INDEX(calculations!$M:$X,188,$P$6),0)</f>
        <v>2.58415</v>
      </c>
      <c r="G109" s="64" t="n">
        <f aca="false">IFERROR(INDEX(calculations!$M:$X,213,$P$6)/INDEX(calculations!$M:$X,188,$P$6),0)</f>
        <v>0.0375</v>
      </c>
      <c r="H109" s="68" t="n">
        <f aca="false">IFERROR(INDEX(calculations!$M:$X,275,$P$6)/INDEX(calculations!$M:$X,188,$P$6),0)</f>
        <v>3.0518248</v>
      </c>
    </row>
    <row r="110" customFormat="false" ht="13.5" hidden="false" customHeight="true" outlineLevel="0" collapsed="false">
      <c r="A110" s="66" t="s">
        <v>161</v>
      </c>
      <c r="B110" s="67" t="n">
        <f aca="false">INDEX(input_data!$L:$L,MATCH("all.in.nh3.alu.prp.---",input_data!$A:$A,0))</f>
        <v>0</v>
      </c>
      <c r="C110" s="68" t="n">
        <f aca="false">IFERROR((INDEX(calculations!$M:$X,153,$P$6)+INDEX(calculations!$M:$X,154,$P$6)+INDEX(calculations!$M:$X,155,$P$6)+INDEX(calculations!$M:$X,156,$P$6))/INDEX(calculations!$M:$X,132,$P$6),0)</f>
        <v>2.0196</v>
      </c>
      <c r="D110" s="69" t="n">
        <f aca="false">IFERROR(INDEX(calculations!$M:$X,157,$P$6)/INDEX(calculations!$M:$X,132,$P$6),0)</f>
        <v>0.0375</v>
      </c>
      <c r="E110" s="64" t="n">
        <f aca="false">IFERROR(INDEX(calculations!$M:$X,279,$P$6)/INDEX(calculations!$M:$X,216,$P$6),0)</f>
        <v>0</v>
      </c>
      <c r="F110" s="64" t="n">
        <f aca="false">IFERROR((INDEX(calculations!$M:$X,237,$P$6)+INDEX(calculations!$M:$X,238,$P$6)+INDEX(calculations!$M:$X,239,$P$6)+INDEX(calculations!$M:$X,240,$P$6))/INDEX(calculations!$M:$X,216,$P$6),0)</f>
        <v>2.3122</v>
      </c>
      <c r="G110" s="64" t="n">
        <f aca="false">IFERROR(INDEX(calculations!$M:$X,241,$P$6)/INDEX(calculations!$M:$X,216,$P$6),0)</f>
        <v>6.5</v>
      </c>
      <c r="H110" s="68" t="n">
        <f aca="false">IFERROR(INDEX(calculations!$M:$X,280,$P$6)/INDEX(calculations!$M:$X,216,$P$6),0)</f>
        <v>8.8122</v>
      </c>
    </row>
    <row r="112" customFormat="false" ht="48" hidden="false" customHeight="true" outlineLevel="0" collapsed="false">
      <c r="A112" s="41" t="s">
        <v>171</v>
      </c>
      <c r="B112" s="41"/>
      <c r="C112" s="41"/>
      <c r="D112" s="41"/>
      <c r="E112" s="41"/>
      <c r="F112" s="41"/>
      <c r="G112" s="41"/>
      <c r="H112" s="41"/>
      <c r="I112" s="41"/>
      <c r="J112" s="41"/>
      <c r="K112" s="41"/>
    </row>
    <row r="114" customFormat="false" ht="18" hidden="false" customHeight="true" outlineLevel="0" collapsed="false">
      <c r="A114" s="70" t="s">
        <v>172</v>
      </c>
      <c r="B114" s="70"/>
      <c r="C114" s="70"/>
      <c r="D114" s="70"/>
      <c r="E114" s="70"/>
      <c r="F114" s="70"/>
      <c r="G114" s="70"/>
      <c r="H114" s="70"/>
      <c r="I114" s="70"/>
      <c r="J114" s="70"/>
      <c r="K114" s="70"/>
      <c r="L114" s="70"/>
      <c r="M114" s="70"/>
      <c r="N114" s="70"/>
      <c r="O114" s="70"/>
    </row>
    <row r="115" customFormat="false" ht="21.75" hidden="false" customHeight="true" outlineLevel="0" collapsed="false">
      <c r="A115" s="17" t="s">
        <v>173</v>
      </c>
      <c r="B115" s="17" t="s">
        <v>70</v>
      </c>
      <c r="C115" s="17" t="s">
        <v>174</v>
      </c>
      <c r="D115" s="17" t="s">
        <v>175</v>
      </c>
      <c r="E115" s="17" t="s">
        <v>176</v>
      </c>
      <c r="F115" s="17"/>
      <c r="G115" s="17"/>
      <c r="H115" s="17"/>
      <c r="I115" s="17"/>
      <c r="J115" s="17"/>
      <c r="K115" s="17"/>
      <c r="L115" s="17"/>
      <c r="M115" s="17"/>
      <c r="N115" s="17"/>
      <c r="O115" s="17"/>
    </row>
    <row r="116" customFormat="false" ht="18" hidden="false" customHeight="true" outlineLevel="0" collapsed="false">
      <c r="A116" s="71" t="s">
        <v>177</v>
      </c>
      <c r="B116" s="66" t="s">
        <v>154</v>
      </c>
      <c r="C116" s="72" t="s">
        <v>178</v>
      </c>
      <c r="D116" s="73" t="s">
        <v>179</v>
      </c>
      <c r="E116" s="73" t="s">
        <v>180</v>
      </c>
      <c r="F116" s="73"/>
      <c r="G116" s="73"/>
      <c r="H116" s="73"/>
      <c r="I116" s="73"/>
      <c r="J116" s="73"/>
      <c r="K116" s="73"/>
      <c r="L116" s="73"/>
      <c r="M116" s="73"/>
      <c r="N116" s="73"/>
      <c r="O116" s="73"/>
    </row>
    <row r="117" customFormat="false" ht="18" hidden="false" customHeight="true" outlineLevel="0" collapsed="false">
      <c r="A117" s="71" t="s">
        <v>181</v>
      </c>
      <c r="B117" s="66" t="s">
        <v>157</v>
      </c>
      <c r="C117" s="72" t="s">
        <v>178</v>
      </c>
      <c r="D117" s="73" t="s">
        <v>182</v>
      </c>
      <c r="E117" s="73" t="s">
        <v>180</v>
      </c>
      <c r="F117" s="73"/>
      <c r="G117" s="73"/>
      <c r="H117" s="73"/>
      <c r="I117" s="73"/>
      <c r="J117" s="73"/>
      <c r="K117" s="73"/>
      <c r="L117" s="73"/>
      <c r="M117" s="73"/>
      <c r="N117" s="73"/>
      <c r="O117" s="73"/>
    </row>
    <row r="118" customFormat="false" ht="18" hidden="false" customHeight="true" outlineLevel="0" collapsed="false">
      <c r="A118" s="71" t="s">
        <v>183</v>
      </c>
      <c r="B118" s="66" t="s">
        <v>158</v>
      </c>
      <c r="C118" s="72" t="s">
        <v>178</v>
      </c>
      <c r="D118" s="73" t="s">
        <v>184</v>
      </c>
      <c r="E118" s="73" t="s">
        <v>180</v>
      </c>
      <c r="F118" s="73"/>
      <c r="G118" s="73"/>
      <c r="H118" s="73"/>
      <c r="I118" s="73"/>
      <c r="J118" s="73"/>
      <c r="K118" s="73"/>
      <c r="L118" s="73"/>
      <c r="M118" s="73"/>
      <c r="N118" s="73"/>
      <c r="O118" s="73"/>
    </row>
    <row r="119" customFormat="false" ht="18" hidden="false" customHeight="true" outlineLevel="0" collapsed="false">
      <c r="A119" s="71" t="s">
        <v>185</v>
      </c>
      <c r="B119" s="66" t="s">
        <v>28</v>
      </c>
      <c r="C119" s="72" t="s">
        <v>186</v>
      </c>
      <c r="D119" s="73" t="s">
        <v>187</v>
      </c>
      <c r="E119" s="73" t="s">
        <v>188</v>
      </c>
      <c r="F119" s="73"/>
      <c r="G119" s="73"/>
      <c r="H119" s="73"/>
      <c r="I119" s="73"/>
      <c r="J119" s="73"/>
      <c r="K119" s="73"/>
      <c r="L119" s="73"/>
      <c r="M119" s="73"/>
      <c r="N119" s="73"/>
      <c r="O119" s="73"/>
    </row>
    <row r="120" customFormat="false" ht="18" hidden="false" customHeight="true" outlineLevel="0" collapsed="false">
      <c r="A120" s="71" t="s">
        <v>189</v>
      </c>
      <c r="B120" s="66" t="s">
        <v>159</v>
      </c>
      <c r="C120" s="72" t="s">
        <v>140</v>
      </c>
      <c r="D120" s="73" t="s">
        <v>190</v>
      </c>
      <c r="E120" s="73" t="s">
        <v>191</v>
      </c>
      <c r="F120" s="73"/>
      <c r="G120" s="73"/>
      <c r="H120" s="73"/>
      <c r="I120" s="73"/>
      <c r="J120" s="73"/>
      <c r="K120" s="73"/>
      <c r="L120" s="73"/>
      <c r="M120" s="73"/>
      <c r="N120" s="73"/>
      <c r="O120" s="73"/>
    </row>
    <row r="121" customFormat="false" ht="18" hidden="false" customHeight="true" outlineLevel="0" collapsed="false">
      <c r="A121" s="71" t="s">
        <v>192</v>
      </c>
      <c r="B121" s="66" t="s">
        <v>30</v>
      </c>
      <c r="C121" s="72" t="s">
        <v>142</v>
      </c>
      <c r="D121" s="73" t="s">
        <v>190</v>
      </c>
      <c r="E121" s="73" t="s">
        <v>193</v>
      </c>
      <c r="F121" s="73"/>
      <c r="G121" s="73"/>
      <c r="H121" s="73"/>
      <c r="I121" s="73"/>
      <c r="J121" s="73"/>
      <c r="K121" s="73"/>
      <c r="L121" s="73"/>
      <c r="M121" s="73"/>
      <c r="N121" s="73"/>
      <c r="O121" s="73"/>
    </row>
    <row r="122" customFormat="false" ht="18" hidden="false" customHeight="true" outlineLevel="0" collapsed="false">
      <c r="A122" s="71" t="s">
        <v>194</v>
      </c>
      <c r="B122" s="66" t="s">
        <v>160</v>
      </c>
      <c r="C122" s="72" t="s">
        <v>144</v>
      </c>
      <c r="D122" s="73" t="s">
        <v>190</v>
      </c>
      <c r="E122" s="73" t="s">
        <v>195</v>
      </c>
      <c r="F122" s="73"/>
      <c r="G122" s="73"/>
      <c r="H122" s="73"/>
      <c r="I122" s="73"/>
      <c r="J122" s="73"/>
      <c r="K122" s="73"/>
      <c r="L122" s="73"/>
      <c r="M122" s="73"/>
      <c r="N122" s="73"/>
      <c r="O122" s="73"/>
    </row>
    <row r="123" customFormat="false" ht="18" hidden="false" customHeight="true" outlineLevel="0" collapsed="false">
      <c r="A123" s="71" t="s">
        <v>196</v>
      </c>
      <c r="B123" s="66" t="s">
        <v>161</v>
      </c>
      <c r="C123" s="72" t="s">
        <v>197</v>
      </c>
      <c r="D123" s="73" t="s">
        <v>198</v>
      </c>
      <c r="E123" s="73" t="s">
        <v>199</v>
      </c>
      <c r="F123" s="73"/>
      <c r="G123" s="73"/>
      <c r="H123" s="73"/>
      <c r="I123" s="73"/>
      <c r="J123" s="73"/>
      <c r="K123" s="73"/>
      <c r="L123" s="73"/>
      <c r="M123" s="73"/>
      <c r="N123" s="73"/>
      <c r="O123" s="73"/>
    </row>
    <row r="124" customFormat="false" ht="30" hidden="false" customHeight="true" outlineLevel="0" collapsed="false">
      <c r="A124" s="73" t="s">
        <v>200</v>
      </c>
    </row>
    <row r="125" customFormat="false" ht="30" hidden="false" customHeight="true" outlineLevel="0" collapsed="false">
      <c r="A125" s="74" t="s">
        <v>201</v>
      </c>
      <c r="B125" s="74"/>
      <c r="C125" s="74"/>
      <c r="D125" s="74"/>
      <c r="E125" s="74"/>
      <c r="F125" s="74"/>
      <c r="G125" s="74"/>
      <c r="H125" s="74"/>
      <c r="I125" s="74"/>
      <c r="J125" s="74"/>
      <c r="K125" s="74"/>
      <c r="L125" s="74"/>
      <c r="M125" s="74"/>
      <c r="N125" s="74"/>
      <c r="O125" s="74"/>
    </row>
  </sheetData>
  <mergeCells count="37">
    <mergeCell ref="A1:O1"/>
    <mergeCell ref="A2:O2"/>
    <mergeCell ref="A4:O4"/>
    <mergeCell ref="D5:O5"/>
    <mergeCell ref="D6:O6"/>
    <mergeCell ref="D7:O7"/>
    <mergeCell ref="A9:O9"/>
    <mergeCell ref="A10:O10"/>
    <mergeCell ref="D11:O11"/>
    <mergeCell ref="D12:O12"/>
    <mergeCell ref="D13:O13"/>
    <mergeCell ref="D14:O14"/>
    <mergeCell ref="D15:O15"/>
    <mergeCell ref="A17:O17"/>
    <mergeCell ref="D22:O22"/>
    <mergeCell ref="A24:O24"/>
    <mergeCell ref="A31:O31"/>
    <mergeCell ref="A42:O42"/>
    <mergeCell ref="A53:K53"/>
    <mergeCell ref="A55:O55"/>
    <mergeCell ref="A56:O56"/>
    <mergeCell ref="A67:O67"/>
    <mergeCell ref="A80:O80"/>
    <mergeCell ref="A99:O99"/>
    <mergeCell ref="A100:O100"/>
    <mergeCell ref="A112:K112"/>
    <mergeCell ref="A114:O114"/>
    <mergeCell ref="E115:O115"/>
    <mergeCell ref="E116:O116"/>
    <mergeCell ref="E117:O117"/>
    <mergeCell ref="E118:O118"/>
    <mergeCell ref="E119:O119"/>
    <mergeCell ref="E120:O120"/>
    <mergeCell ref="E121:O121"/>
    <mergeCell ref="E122:O122"/>
    <mergeCell ref="E123:O123"/>
    <mergeCell ref="A125:O125"/>
  </mergeCells>
  <dataValidations count="17">
    <dataValidation allowBlank="false" errorStyle="stop" operator="between" showDropDown="false" showErrorMessage="false" showInputMessage="false" sqref="B5" type="list">
      <formula1>"egy,alb,uzb,aze,ind"</formula1>
      <formula2>0</formula2>
    </dataValidation>
    <dataValidation allowBlank="false" errorStyle="stop" operator="between" showDropDown="false" showErrorMessage="false" showInputMessage="false" sqref="B6" type="list">
      <formula1>"2024,2025,2026,2027,2028,2029,2030,2031,2032,2033,2034,2035"</formula1>
      <formula2>0</formula2>
    </dataValidation>
    <dataValidation allowBlank="false" errorStyle="stop" operator="between" showDropDown="false" showErrorMessage="false" showInputMessage="false" sqref="B7" type="list">
      <formula1>"0,0.1,0.2,0.3,0.4,0.5,0.6,0.7,0.8,0.9,1.0"</formula1>
      <formula2>0</formula2>
    </dataValidation>
    <dataValidation allowBlank="false" errorStyle="stop" operator="between" showDropDown="false" showErrorMessage="false" showInputMessage="false" sqref="B11" type="list">
      <formula1>"0,1"</formula1>
      <formula2>0</formula2>
    </dataValidation>
    <dataValidation allowBlank="false" errorStyle="stop" operator="between" showDropDown="false" showErrorMessage="false" showInputMessage="false" sqref="B12" type="list">
      <formula1>"0,1"</formula1>
      <formula2>0</formula2>
    </dataValidation>
    <dataValidation allowBlank="false" errorStyle="stop" operator="between" showDropDown="false" showErrorMessage="false" showInputMessage="false" sqref="B13" type="list">
      <formula1>"0,1"</formula1>
      <formula2>0</formula2>
    </dataValidation>
    <dataValidation allowBlank="false" errorStyle="stop" operator="between" showDropDown="false" showErrorMessage="false" showInputMessage="false" sqref="B14" type="list">
      <formula1>"0,1"</formula1>
      <formula2>0</formula2>
    </dataValidation>
    <dataValidation allowBlank="false" errorStyle="stop" operator="between" showDropDown="false" showErrorMessage="false" showInputMessage="false" sqref="B15" type="list">
      <formula1>"0,1"</formula1>
      <formula2>0</formula2>
    </dataValidation>
    <dataValidation allowBlank="false" errorStyle="stop" operator="between" showDropDown="false" showErrorMessage="false" showInputMessage="false" sqref="B19" type="list">
      <formula1>"0,1"</formula1>
      <formula2>0</formula2>
    </dataValidation>
    <dataValidation allowBlank="false" errorStyle="stop" operator="between" showDropDown="false" showErrorMessage="false" showInputMessage="false" sqref="C19" type="list">
      <formula1>"0,1"</formula1>
      <formula2>0</formula2>
    </dataValidation>
    <dataValidation allowBlank="false" errorStyle="stop" operator="between" showDropDown="false" showErrorMessage="false" showInputMessage="false" sqref="D19" type="list">
      <formula1>"0,1"</formula1>
      <formula2>0</formula2>
    </dataValidation>
    <dataValidation allowBlank="false" errorStyle="stop" operator="between" showDropDown="false" showErrorMessage="false" showInputMessage="false" sqref="E19" type="list">
      <formula1>"0,1"</formula1>
      <formula2>0</formula2>
    </dataValidation>
    <dataValidation allowBlank="false" errorStyle="stop" operator="between" showDropDown="false" showErrorMessage="false" showInputMessage="false" sqref="F19" type="list">
      <formula1>"0,1"</formula1>
      <formula2>0</formula2>
    </dataValidation>
    <dataValidation allowBlank="false" errorStyle="stop" operator="between" showDropDown="false" showErrorMessage="false" showInputMessage="false" sqref="G19" type="list">
      <formula1>"0,1"</formula1>
      <formula2>0</formula2>
    </dataValidation>
    <dataValidation allowBlank="false" errorStyle="stop" operator="between" showDropDown="false" showErrorMessage="false" showInputMessage="false" sqref="H19" type="list">
      <formula1>"0,1"</formula1>
      <formula2>0</formula2>
    </dataValidation>
    <dataValidation allowBlank="false" errorStyle="stop" operator="between" showDropDown="false" showErrorMessage="false" showInputMessage="false" sqref="I19" type="list">
      <formula1>"0,1"</formula1>
      <formula2>0</formula2>
    </dataValidation>
    <dataValidation allowBlank="false" errorStyle="stop" operator="between" showDropDown="false" showErrorMessage="false" showInputMessage="false" sqref="B22"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90"/>
  </cols>
  <sheetData>
    <row r="1" customFormat="false" ht="27.75" hidden="false" customHeight="true" outlineLevel="0" collapsed="false">
      <c r="A1" s="2" t="s">
        <v>202</v>
      </c>
      <c r="B1" s="2"/>
      <c r="C1" s="2"/>
    </row>
    <row r="2" customFormat="false" ht="18" hidden="false" customHeight="true" outlineLevel="0" collapsed="false">
      <c r="A2" s="3" t="s">
        <v>203</v>
      </c>
      <c r="B2" s="3"/>
      <c r="C2" s="3"/>
    </row>
    <row r="4" customFormat="false" ht="21.75" hidden="false" customHeight="true" outlineLevel="0" collapsed="false">
      <c r="A4" s="70" t="s">
        <v>204</v>
      </c>
      <c r="B4" s="70"/>
      <c r="C4" s="70"/>
    </row>
    <row r="6" customFormat="false" ht="55.5" hidden="false" customHeight="true" outlineLevel="0" collapsed="false">
      <c r="B6" s="75" t="s">
        <v>205</v>
      </c>
      <c r="C6" s="76" t="s">
        <v>206</v>
      </c>
    </row>
    <row r="7" customFormat="false" ht="42" hidden="false" customHeight="true" outlineLevel="0" collapsed="false">
      <c r="B7" s="75" t="s">
        <v>207</v>
      </c>
      <c r="C7" s="76" t="s">
        <v>208</v>
      </c>
    </row>
    <row r="8" customFormat="false" ht="42" hidden="false" customHeight="true" outlineLevel="0" collapsed="false">
      <c r="B8" s="75" t="s">
        <v>209</v>
      </c>
      <c r="C8" s="76" t="s">
        <v>210</v>
      </c>
    </row>
    <row r="9" customFormat="false" ht="69.75" hidden="false" customHeight="true" outlineLevel="0" collapsed="false">
      <c r="B9" s="75" t="s">
        <v>211</v>
      </c>
      <c r="C9" s="76" t="s">
        <v>212</v>
      </c>
    </row>
    <row r="11" customFormat="false" ht="21.75" hidden="false" customHeight="true" outlineLevel="0" collapsed="false">
      <c r="A11" s="70" t="s">
        <v>213</v>
      </c>
      <c r="B11" s="70"/>
      <c r="C11" s="70"/>
    </row>
    <row r="13" customFormat="false" ht="84" hidden="false" customHeight="true" outlineLevel="0" collapsed="false">
      <c r="B13" s="75" t="s">
        <v>214</v>
      </c>
      <c r="C13" s="76" t="s">
        <v>215</v>
      </c>
    </row>
    <row r="14" customFormat="false" ht="69.75" hidden="false" customHeight="true" outlineLevel="0" collapsed="false">
      <c r="B14" s="75" t="s">
        <v>216</v>
      </c>
      <c r="C14" s="76" t="s">
        <v>217</v>
      </c>
    </row>
    <row r="15" customFormat="false" ht="84" hidden="false" customHeight="true" outlineLevel="0" collapsed="false">
      <c r="B15" s="75" t="s">
        <v>218</v>
      </c>
      <c r="C15" s="76" t="s">
        <v>219</v>
      </c>
    </row>
    <row r="17" customFormat="false" ht="21.75" hidden="false" customHeight="true" outlineLevel="0" collapsed="false">
      <c r="A17" s="70" t="s">
        <v>220</v>
      </c>
      <c r="B17" s="70"/>
      <c r="C17" s="70"/>
    </row>
    <row r="19" customFormat="false" ht="27.75" hidden="false" customHeight="true" outlineLevel="0" collapsed="false">
      <c r="B19" s="75" t="s">
        <v>221</v>
      </c>
      <c r="C19" s="76" t="s">
        <v>222</v>
      </c>
    </row>
    <row r="20" customFormat="false" ht="18" hidden="false" customHeight="true" outlineLevel="0" collapsed="false">
      <c r="B20" s="75" t="s">
        <v>223</v>
      </c>
      <c r="C20" s="76" t="s">
        <v>224</v>
      </c>
    </row>
    <row r="21" customFormat="false" ht="18" hidden="false" customHeight="true" outlineLevel="0" collapsed="false">
      <c r="B21" s="75" t="s">
        <v>225</v>
      </c>
      <c r="C21" s="76" t="s">
        <v>226</v>
      </c>
    </row>
    <row r="22" customFormat="false" ht="18" hidden="false" customHeight="true" outlineLevel="0" collapsed="false">
      <c r="B22" s="75" t="s">
        <v>227</v>
      </c>
      <c r="C22" s="76" t="s">
        <v>228</v>
      </c>
    </row>
    <row r="23" customFormat="false" ht="18" hidden="false" customHeight="true" outlineLevel="0" collapsed="false">
      <c r="B23" s="75" t="s">
        <v>229</v>
      </c>
      <c r="C23" s="76" t="s">
        <v>230</v>
      </c>
    </row>
    <row r="24" customFormat="false" ht="27.75" hidden="false" customHeight="true" outlineLevel="0" collapsed="false">
      <c r="B24" s="75" t="s">
        <v>231</v>
      </c>
      <c r="C24" s="76" t="s">
        <v>232</v>
      </c>
    </row>
    <row r="25" customFormat="false" ht="18" hidden="false" customHeight="true" outlineLevel="0" collapsed="false">
      <c r="B25" s="75" t="s">
        <v>233</v>
      </c>
      <c r="C25" s="76" t="s">
        <v>234</v>
      </c>
    </row>
    <row r="27" customFormat="false" ht="21.75" hidden="false" customHeight="true" outlineLevel="0" collapsed="false">
      <c r="A27" s="70" t="s">
        <v>235</v>
      </c>
      <c r="B27" s="70"/>
      <c r="C27" s="70"/>
    </row>
    <row r="29" customFormat="false" ht="18" hidden="false" customHeight="true" outlineLevel="0" collapsed="false">
      <c r="B29" s="75" t="s">
        <v>236</v>
      </c>
      <c r="C29" s="76" t="s">
        <v>237</v>
      </c>
    </row>
    <row r="30" customFormat="false" ht="18" hidden="false" customHeight="true" outlineLevel="0" collapsed="false">
      <c r="B30" s="75" t="s">
        <v>238</v>
      </c>
      <c r="C30" s="76" t="s">
        <v>239</v>
      </c>
    </row>
    <row r="31" customFormat="false" ht="18" hidden="false" customHeight="true" outlineLevel="0" collapsed="false">
      <c r="B31" s="75" t="s">
        <v>240</v>
      </c>
      <c r="C31" s="76" t="s">
        <v>241</v>
      </c>
    </row>
    <row r="32" customFormat="false" ht="27.75" hidden="false" customHeight="true" outlineLevel="0" collapsed="false">
      <c r="B32" s="75" t="s">
        <v>242</v>
      </c>
      <c r="C32" s="76" t="s">
        <v>243</v>
      </c>
    </row>
    <row r="33" customFormat="false" ht="18" hidden="false" customHeight="true" outlineLevel="0" collapsed="false">
      <c r="B33" s="75" t="s">
        <v>244</v>
      </c>
      <c r="C33" s="76" t="s">
        <v>245</v>
      </c>
    </row>
    <row r="34" customFormat="false" ht="18" hidden="false" customHeight="true" outlineLevel="0" collapsed="false">
      <c r="B34" s="75" t="s">
        <v>246</v>
      </c>
      <c r="C34" s="76" t="s">
        <v>247</v>
      </c>
    </row>
    <row r="35" customFormat="false" ht="27.75" hidden="false" customHeight="true" outlineLevel="0" collapsed="false">
      <c r="B35" s="75" t="s">
        <v>248</v>
      </c>
      <c r="C35" s="76" t="s">
        <v>249</v>
      </c>
    </row>
    <row r="37" customFormat="false" ht="21.75" hidden="false" customHeight="true" outlineLevel="0" collapsed="false">
      <c r="A37" s="70" t="s">
        <v>250</v>
      </c>
      <c r="B37" s="70"/>
      <c r="C37" s="70"/>
    </row>
    <row r="39" customFormat="false" ht="18" hidden="false" customHeight="true" outlineLevel="0" collapsed="false">
      <c r="B39" s="75" t="s">
        <v>251</v>
      </c>
      <c r="C39" s="76" t="s">
        <v>252</v>
      </c>
    </row>
    <row r="40" customFormat="false" ht="18" hidden="false" customHeight="true" outlineLevel="0" collapsed="false">
      <c r="B40" s="75" t="s">
        <v>253</v>
      </c>
      <c r="C40" s="76" t="s">
        <v>254</v>
      </c>
    </row>
    <row r="41" customFormat="false" ht="42" hidden="false" customHeight="true" outlineLevel="0" collapsed="false">
      <c r="B41" s="75" t="s">
        <v>255</v>
      </c>
      <c r="C41" s="76" t="s">
        <v>256</v>
      </c>
    </row>
    <row r="42" customFormat="false" ht="27.75" hidden="false" customHeight="true" outlineLevel="0" collapsed="false">
      <c r="B42" s="75" t="s">
        <v>257</v>
      </c>
      <c r="C42" s="76" t="s">
        <v>258</v>
      </c>
    </row>
    <row r="44" customFormat="false" ht="21.75" hidden="false" customHeight="true" outlineLevel="0" collapsed="false">
      <c r="A44" s="70" t="s">
        <v>259</v>
      </c>
      <c r="B44" s="70"/>
      <c r="C44" s="70"/>
    </row>
    <row r="46" customFormat="false" ht="55.5" hidden="false" customHeight="true" outlineLevel="0" collapsed="false">
      <c r="B46" s="75" t="s">
        <v>260</v>
      </c>
      <c r="C46" s="76" t="s">
        <v>261</v>
      </c>
    </row>
    <row r="47" customFormat="false" ht="27.75" hidden="false" customHeight="true" outlineLevel="0" collapsed="false">
      <c r="B47" s="75" t="s">
        <v>262</v>
      </c>
      <c r="C47" s="76" t="s">
        <v>263</v>
      </c>
    </row>
    <row r="48" customFormat="false" ht="27.75" hidden="false" customHeight="true" outlineLevel="0" collapsed="false">
      <c r="B48" s="75" t="s">
        <v>264</v>
      </c>
      <c r="C48" s="76" t="s">
        <v>265</v>
      </c>
    </row>
    <row r="49" customFormat="false" ht="42" hidden="false" customHeight="true" outlineLevel="0" collapsed="false">
      <c r="B49" s="75" t="s">
        <v>266</v>
      </c>
      <c r="C49" s="76" t="s">
        <v>267</v>
      </c>
    </row>
    <row r="50" customFormat="false" ht="27.75" hidden="false" customHeight="true" outlineLevel="0" collapsed="false">
      <c r="B50" s="75" t="s">
        <v>268</v>
      </c>
      <c r="C50" s="76" t="s">
        <v>269</v>
      </c>
    </row>
    <row r="51" customFormat="false" ht="27.75" hidden="false" customHeight="true" outlineLevel="0" collapsed="false">
      <c r="B51" s="75" t="s">
        <v>270</v>
      </c>
      <c r="C51" s="76" t="s">
        <v>271</v>
      </c>
    </row>
    <row r="53" customFormat="false" ht="21.75" hidden="false" customHeight="true" outlineLevel="0" collapsed="false">
      <c r="A53" s="70" t="s">
        <v>272</v>
      </c>
      <c r="B53" s="70"/>
      <c r="C53" s="70"/>
    </row>
    <row r="55" customFormat="false" ht="27.75" hidden="false" customHeight="true" outlineLevel="0" collapsed="false">
      <c r="B55" s="75" t="s">
        <v>273</v>
      </c>
      <c r="C55" s="76" t="s">
        <v>274</v>
      </c>
    </row>
    <row r="56" customFormat="false" ht="18" hidden="false" customHeight="true" outlineLevel="0" collapsed="false">
      <c r="B56" s="75" t="s">
        <v>275</v>
      </c>
      <c r="C56" s="76" t="s">
        <v>276</v>
      </c>
    </row>
    <row r="57" customFormat="false" ht="18" hidden="false" customHeight="true" outlineLevel="0" collapsed="false">
      <c r="B57" s="75" t="s">
        <v>277</v>
      </c>
      <c r="C57" s="76" t="s">
        <v>278</v>
      </c>
    </row>
    <row r="58" customFormat="false" ht="18" hidden="false" customHeight="true" outlineLevel="0" collapsed="false">
      <c r="B58" s="75" t="s">
        <v>279</v>
      </c>
      <c r="C58" s="76" t="s">
        <v>280</v>
      </c>
    </row>
    <row r="59" customFormat="false" ht="18" hidden="false" customHeight="true" outlineLevel="0" collapsed="false">
      <c r="B59" s="75" t="s">
        <v>281</v>
      </c>
      <c r="C59" s="76" t="s">
        <v>282</v>
      </c>
    </row>
    <row r="60" customFormat="false" ht="18" hidden="false" customHeight="true" outlineLevel="0" collapsed="false">
      <c r="B60" s="75" t="s">
        <v>283</v>
      </c>
      <c r="C60" s="76" t="s">
        <v>284</v>
      </c>
    </row>
  </sheetData>
  <mergeCells count="9">
    <mergeCell ref="A1:C1"/>
    <mergeCell ref="A2:C2"/>
    <mergeCell ref="A4:C4"/>
    <mergeCell ref="A11:C11"/>
    <mergeCell ref="A17:C17"/>
    <mergeCell ref="A27:C27"/>
    <mergeCell ref="A37:C37"/>
    <mergeCell ref="A44:C44"/>
    <mergeCell ref="A53:C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6"/>
    <col collapsed="false" customWidth="true" hidden="false" outlineLevel="0" max="3" min="3" style="1" width="25"/>
    <col collapsed="false" customWidth="true" hidden="false" outlineLevel="0" max="4" min="4" style="1" width="10"/>
    <col collapsed="false" customWidth="true" hidden="false" outlineLevel="0" max="6" min="5" style="1" width="14"/>
    <col collapsed="false" customWidth="true" hidden="false" outlineLevel="0" max="7" min="7" style="1" width="20"/>
    <col collapsed="false" customWidth="true" hidden="false" outlineLevel="0" max="8" min="8" style="1" width="22"/>
  </cols>
  <sheetData>
    <row r="1" customFormat="false" ht="27.75" hidden="false" customHeight="true" outlineLevel="0" collapsed="false">
      <c r="B1" s="77" t="s">
        <v>285</v>
      </c>
      <c r="C1" s="77"/>
    </row>
    <row r="3" customFormat="false" ht="18" hidden="false" customHeight="true" outlineLevel="0" collapsed="false">
      <c r="A3" s="42" t="s">
        <v>286</v>
      </c>
      <c r="B3" s="42"/>
      <c r="C3" s="42"/>
    </row>
    <row r="5" customFormat="false" ht="181.5" hidden="false" customHeight="true" outlineLevel="0" collapsed="false">
      <c r="B5" s="78" t="s">
        <v>287</v>
      </c>
      <c r="C5" s="78" t="s">
        <v>288</v>
      </c>
    </row>
    <row r="6" customFormat="false" ht="168" hidden="false" customHeight="true" outlineLevel="0" collapsed="false">
      <c r="B6" s="78" t="s">
        <v>289</v>
      </c>
      <c r="C6" s="78" t="s">
        <v>290</v>
      </c>
    </row>
    <row r="7" customFormat="false" ht="111.75" hidden="false" customHeight="true" outlineLevel="0" collapsed="false">
      <c r="B7" s="78" t="s">
        <v>291</v>
      </c>
      <c r="C7" s="78" t="s">
        <v>292</v>
      </c>
    </row>
    <row r="8" customFormat="false" ht="97.5" hidden="false" customHeight="true" outlineLevel="0" collapsed="false">
      <c r="B8" s="78" t="s">
        <v>293</v>
      </c>
      <c r="C8" s="78" t="s">
        <v>294</v>
      </c>
    </row>
    <row r="10" customFormat="false" ht="18" hidden="false" customHeight="true" outlineLevel="0" collapsed="false">
      <c r="A10" s="42" t="s">
        <v>295</v>
      </c>
      <c r="B10" s="42"/>
      <c r="C10" s="42"/>
    </row>
    <row r="12" customFormat="false" ht="55.5" hidden="false" customHeight="true" outlineLevel="0" collapsed="false">
      <c r="B12" s="78" t="s">
        <v>296</v>
      </c>
      <c r="C12" s="78" t="s">
        <v>297</v>
      </c>
    </row>
    <row r="13" customFormat="false" ht="84" hidden="false" customHeight="true" outlineLevel="0" collapsed="false">
      <c r="B13" s="78" t="s">
        <v>298</v>
      </c>
      <c r="C13" s="78" t="s">
        <v>299</v>
      </c>
    </row>
    <row r="15" customFormat="false" ht="18" hidden="false" customHeight="true" outlineLevel="0" collapsed="false">
      <c r="A15" s="42" t="s">
        <v>300</v>
      </c>
      <c r="B15" s="42"/>
      <c r="C15" s="42"/>
    </row>
    <row r="17" customFormat="false" ht="42" hidden="false" customHeight="true" outlineLevel="0" collapsed="false">
      <c r="B17" s="78" t="s">
        <v>296</v>
      </c>
      <c r="C17" s="78" t="s">
        <v>301</v>
      </c>
    </row>
    <row r="18" customFormat="false" ht="84" hidden="false" customHeight="true" outlineLevel="0" collapsed="false">
      <c r="B18" s="78" t="s">
        <v>302</v>
      </c>
      <c r="C18" s="78" t="s">
        <v>303</v>
      </c>
    </row>
    <row r="19" customFormat="false" ht="69.75" hidden="false" customHeight="true" outlineLevel="0" collapsed="false">
      <c r="B19" s="78" t="s">
        <v>304</v>
      </c>
      <c r="C19" s="78" t="s">
        <v>305</v>
      </c>
    </row>
    <row r="21" customFormat="false" ht="36" hidden="false" customHeight="true" outlineLevel="0" collapsed="false">
      <c r="B21" s="45" t="s">
        <v>174</v>
      </c>
      <c r="C21" s="45" t="s">
        <v>306</v>
      </c>
      <c r="D21" s="45" t="s">
        <v>307</v>
      </c>
      <c r="E21" s="51" t="s">
        <v>308</v>
      </c>
      <c r="F21" s="51" t="s">
        <v>309</v>
      </c>
      <c r="G21" s="45" t="s">
        <v>310</v>
      </c>
      <c r="H21" s="45" t="s">
        <v>311</v>
      </c>
    </row>
    <row r="22" customFormat="false" ht="13.5" hidden="false" customHeight="true" outlineLevel="0" collapsed="false">
      <c r="B22" s="79" t="s">
        <v>312</v>
      </c>
      <c r="C22" s="80" t="s">
        <v>313</v>
      </c>
      <c r="D22" s="79" t="s">
        <v>190</v>
      </c>
      <c r="E22" s="81" t="n">
        <v>0.666</v>
      </c>
      <c r="F22" s="81" t="n">
        <v>0.666</v>
      </c>
      <c r="G22" s="82" t="s">
        <v>314</v>
      </c>
      <c r="H22" s="83" t="s">
        <v>315</v>
      </c>
    </row>
    <row r="23" customFormat="false" ht="13.5" hidden="false" customHeight="true" outlineLevel="0" collapsed="false">
      <c r="B23" s="84" t="s">
        <v>186</v>
      </c>
      <c r="C23" s="85" t="s">
        <v>188</v>
      </c>
      <c r="D23" s="84" t="s">
        <v>316</v>
      </c>
      <c r="E23" s="86" t="n">
        <v>0.666</v>
      </c>
      <c r="F23" s="86" t="n">
        <v>0.666</v>
      </c>
      <c r="G23" s="48" t="s">
        <v>185</v>
      </c>
      <c r="H23" s="87" t="s">
        <v>317</v>
      </c>
    </row>
    <row r="24" customFormat="false" ht="13.5" hidden="false" customHeight="true" outlineLevel="0" collapsed="false">
      <c r="B24" s="79" t="s">
        <v>186</v>
      </c>
      <c r="C24" s="80" t="s">
        <v>318</v>
      </c>
      <c r="D24" s="79" t="s">
        <v>319</v>
      </c>
      <c r="E24" s="81" t="n">
        <v>0.859</v>
      </c>
      <c r="F24" s="81" t="n">
        <v>0.859</v>
      </c>
      <c r="G24" s="82" t="s">
        <v>320</v>
      </c>
      <c r="H24" s="83" t="s">
        <v>321</v>
      </c>
    </row>
    <row r="25" customFormat="false" ht="13.5" hidden="false" customHeight="true" outlineLevel="0" collapsed="false">
      <c r="B25" s="84" t="s">
        <v>322</v>
      </c>
      <c r="C25" s="85" t="s">
        <v>323</v>
      </c>
      <c r="D25" s="84" t="s">
        <v>316</v>
      </c>
      <c r="E25" s="86" t="n">
        <v>0.666</v>
      </c>
      <c r="F25" s="86" t="n">
        <v>0.666</v>
      </c>
      <c r="G25" s="48" t="s">
        <v>314</v>
      </c>
      <c r="H25" s="87"/>
    </row>
    <row r="26" customFormat="false" ht="13.5" hidden="false" customHeight="true" outlineLevel="0" collapsed="false">
      <c r="B26" s="79" t="s">
        <v>324</v>
      </c>
      <c r="C26" s="80" t="s">
        <v>325</v>
      </c>
      <c r="D26" s="79" t="s">
        <v>316</v>
      </c>
      <c r="E26" s="81" t="n">
        <v>0.666</v>
      </c>
      <c r="F26" s="81" t="n">
        <v>0.666</v>
      </c>
      <c r="G26" s="82" t="s">
        <v>314</v>
      </c>
      <c r="H26" s="83"/>
    </row>
    <row r="27" customFormat="false" ht="13.5" hidden="false" customHeight="true" outlineLevel="0" collapsed="false">
      <c r="B27" s="84" t="s">
        <v>178</v>
      </c>
      <c r="C27" s="85" t="s">
        <v>326</v>
      </c>
      <c r="D27" s="84" t="s">
        <v>327</v>
      </c>
      <c r="E27" s="86" t="n">
        <v>1.37</v>
      </c>
      <c r="F27" s="86" t="n">
        <v>1.37</v>
      </c>
      <c r="G27" s="48" t="s">
        <v>183</v>
      </c>
      <c r="H27" s="87" t="s">
        <v>328</v>
      </c>
    </row>
    <row r="28" customFormat="false" ht="13.5" hidden="false" customHeight="true" outlineLevel="0" collapsed="false">
      <c r="B28" s="79" t="s">
        <v>178</v>
      </c>
      <c r="C28" s="80" t="s">
        <v>326</v>
      </c>
      <c r="D28" s="79" t="s">
        <v>329</v>
      </c>
      <c r="E28" s="81" t="n">
        <v>0.481</v>
      </c>
      <c r="F28" s="81" t="n">
        <v>0.481</v>
      </c>
      <c r="G28" s="82" t="s">
        <v>177</v>
      </c>
      <c r="H28" s="83" t="s">
        <v>330</v>
      </c>
    </row>
    <row r="29" customFormat="false" ht="13.5" hidden="false" customHeight="true" outlineLevel="0" collapsed="false">
      <c r="B29" s="84" t="s">
        <v>178</v>
      </c>
      <c r="C29" s="85" t="s">
        <v>326</v>
      </c>
      <c r="D29" s="84" t="s">
        <v>331</v>
      </c>
      <c r="E29" s="86" t="n">
        <v>0.072</v>
      </c>
      <c r="F29" s="86" t="n">
        <v>0.072</v>
      </c>
      <c r="G29" s="48" t="s">
        <v>181</v>
      </c>
      <c r="H29" s="87" t="s">
        <v>332</v>
      </c>
    </row>
    <row r="30" customFormat="false" ht="13.5" hidden="false" customHeight="true" outlineLevel="0" collapsed="false">
      <c r="B30" s="79" t="s">
        <v>333</v>
      </c>
      <c r="C30" s="80" t="s">
        <v>334</v>
      </c>
      <c r="D30" s="79" t="s">
        <v>327</v>
      </c>
      <c r="E30" s="81" t="n">
        <v>1.37</v>
      </c>
      <c r="F30" s="81" t="n">
        <v>1.37</v>
      </c>
      <c r="G30" s="82" t="s">
        <v>183</v>
      </c>
      <c r="H30" s="83"/>
    </row>
    <row r="31" customFormat="false" ht="13.5" hidden="false" customHeight="true" outlineLevel="0" collapsed="false">
      <c r="B31" s="84" t="s">
        <v>333</v>
      </c>
      <c r="C31" s="85" t="s">
        <v>334</v>
      </c>
      <c r="D31" s="84" t="s">
        <v>329</v>
      </c>
      <c r="E31" s="86" t="n">
        <v>0.481</v>
      </c>
      <c r="F31" s="86" t="n">
        <v>0.481</v>
      </c>
      <c r="G31" s="48" t="s">
        <v>177</v>
      </c>
      <c r="H31" s="87"/>
    </row>
    <row r="32" customFormat="false" ht="13.5" hidden="false" customHeight="true" outlineLevel="0" collapsed="false">
      <c r="B32" s="79" t="s">
        <v>333</v>
      </c>
      <c r="C32" s="80" t="s">
        <v>334</v>
      </c>
      <c r="D32" s="79" t="s">
        <v>331</v>
      </c>
      <c r="E32" s="81" t="n">
        <v>0.072</v>
      </c>
      <c r="F32" s="81" t="n">
        <v>0.072</v>
      </c>
      <c r="G32" s="82" t="s">
        <v>181</v>
      </c>
      <c r="H32" s="83"/>
    </row>
    <row r="33" customFormat="false" ht="13.5" hidden="false" customHeight="true" outlineLevel="0" collapsed="false">
      <c r="B33" s="84" t="s">
        <v>335</v>
      </c>
      <c r="C33" s="85" t="s">
        <v>336</v>
      </c>
      <c r="D33" s="84" t="s">
        <v>190</v>
      </c>
      <c r="E33" s="86" t="n">
        <v>1.9</v>
      </c>
      <c r="F33" s="86" t="n">
        <v>1.9</v>
      </c>
      <c r="G33" s="48" t="s">
        <v>337</v>
      </c>
      <c r="H33" s="87" t="s">
        <v>338</v>
      </c>
    </row>
    <row r="34" customFormat="false" ht="13.5" hidden="false" customHeight="true" outlineLevel="0" collapsed="false">
      <c r="B34" s="79" t="s">
        <v>339</v>
      </c>
      <c r="C34" s="80" t="s">
        <v>340</v>
      </c>
      <c r="D34" s="79" t="s">
        <v>190</v>
      </c>
      <c r="E34" s="81" t="n">
        <v>1.44</v>
      </c>
      <c r="F34" s="81" t="n">
        <v>1.44</v>
      </c>
      <c r="G34" s="82" t="s">
        <v>337</v>
      </c>
      <c r="H34" s="83"/>
    </row>
    <row r="35" customFormat="false" ht="13.5" hidden="false" customHeight="true" outlineLevel="0" collapsed="false">
      <c r="B35" s="84" t="s">
        <v>341</v>
      </c>
      <c r="C35" s="85" t="s">
        <v>342</v>
      </c>
      <c r="D35" s="84" t="s">
        <v>190</v>
      </c>
      <c r="E35" s="86" t="n">
        <v>3</v>
      </c>
      <c r="F35" s="86" t="n">
        <v>3</v>
      </c>
      <c r="G35" s="48" t="s">
        <v>337</v>
      </c>
      <c r="H35" s="87" t="s">
        <v>343</v>
      </c>
    </row>
    <row r="36" customFormat="false" ht="13.5" hidden="false" customHeight="true" outlineLevel="0" collapsed="false">
      <c r="B36" s="79" t="s">
        <v>344</v>
      </c>
      <c r="C36" s="80" t="s">
        <v>345</v>
      </c>
      <c r="D36" s="79" t="s">
        <v>190</v>
      </c>
      <c r="E36" s="81" t="n">
        <v>5.5</v>
      </c>
      <c r="F36" s="81" t="n">
        <v>5.5</v>
      </c>
      <c r="G36" s="82" t="s">
        <v>337</v>
      </c>
      <c r="H36" s="83" t="s">
        <v>346</v>
      </c>
    </row>
    <row r="37" customFormat="false" ht="13.5" hidden="false" customHeight="true" outlineLevel="0" collapsed="false">
      <c r="B37" s="84" t="s">
        <v>347</v>
      </c>
      <c r="C37" s="85" t="s">
        <v>348</v>
      </c>
      <c r="D37" s="84" t="s">
        <v>190</v>
      </c>
      <c r="E37" s="86" t="n">
        <v>0.481</v>
      </c>
      <c r="F37" s="86" t="n">
        <v>0.481</v>
      </c>
      <c r="G37" s="48" t="s">
        <v>349</v>
      </c>
      <c r="H37" s="87" t="s">
        <v>350</v>
      </c>
    </row>
    <row r="38" customFormat="false" ht="13.5" hidden="false" customHeight="true" outlineLevel="0" collapsed="false">
      <c r="B38" s="79" t="s">
        <v>140</v>
      </c>
      <c r="C38" s="80" t="s">
        <v>191</v>
      </c>
      <c r="D38" s="79" t="s">
        <v>190</v>
      </c>
      <c r="E38" s="81" t="n">
        <v>1.522</v>
      </c>
      <c r="F38" s="81" t="n">
        <v>1.522</v>
      </c>
      <c r="G38" s="82" t="s">
        <v>189</v>
      </c>
      <c r="H38" s="83"/>
    </row>
    <row r="39" customFormat="false" ht="13.5" hidden="false" customHeight="true" outlineLevel="0" collapsed="false">
      <c r="B39" s="84" t="s">
        <v>351</v>
      </c>
      <c r="C39" s="85" t="s">
        <v>352</v>
      </c>
      <c r="D39" s="84" t="s">
        <v>190</v>
      </c>
      <c r="E39" s="86" t="n">
        <v>1.522</v>
      </c>
      <c r="F39" s="86" t="n">
        <v>1.522</v>
      </c>
      <c r="G39" s="48" t="s">
        <v>353</v>
      </c>
      <c r="H39" s="87"/>
    </row>
    <row r="40" customFormat="false" ht="13.5" hidden="false" customHeight="true" outlineLevel="0" collapsed="false">
      <c r="B40" s="79" t="s">
        <v>142</v>
      </c>
      <c r="C40" s="80" t="s">
        <v>354</v>
      </c>
      <c r="D40" s="79" t="s">
        <v>190</v>
      </c>
      <c r="E40" s="81" t="n">
        <v>0.053</v>
      </c>
      <c r="F40" s="81" t="n">
        <v>0.902</v>
      </c>
      <c r="G40" s="82" t="s">
        <v>192</v>
      </c>
      <c r="H40" s="83" t="s">
        <v>355</v>
      </c>
    </row>
    <row r="41" customFormat="false" ht="13.5" hidden="false" customHeight="true" outlineLevel="0" collapsed="false">
      <c r="B41" s="84" t="s">
        <v>144</v>
      </c>
      <c r="C41" s="85" t="s">
        <v>356</v>
      </c>
      <c r="D41" s="84" t="s">
        <v>190</v>
      </c>
      <c r="E41" s="86" t="n">
        <v>0.302</v>
      </c>
      <c r="F41" s="86" t="n">
        <v>0.302</v>
      </c>
      <c r="G41" s="48" t="s">
        <v>194</v>
      </c>
      <c r="H41" s="87"/>
    </row>
    <row r="42" customFormat="false" ht="13.5" hidden="false" customHeight="true" outlineLevel="0" collapsed="false">
      <c r="B42" s="79" t="s">
        <v>357</v>
      </c>
      <c r="C42" s="80" t="s">
        <v>358</v>
      </c>
      <c r="D42" s="79" t="s">
        <v>190</v>
      </c>
      <c r="E42" s="81" t="n">
        <v>0.4</v>
      </c>
      <c r="F42" s="81" t="n">
        <v>0.46</v>
      </c>
      <c r="G42" s="82" t="s">
        <v>359</v>
      </c>
      <c r="H42" s="83" t="s">
        <v>360</v>
      </c>
    </row>
    <row r="43" customFormat="false" ht="13.5" hidden="false" customHeight="true" outlineLevel="0" collapsed="false">
      <c r="B43" s="84" t="s">
        <v>361</v>
      </c>
      <c r="C43" s="85" t="s">
        <v>362</v>
      </c>
      <c r="D43" s="84" t="s">
        <v>190</v>
      </c>
      <c r="E43" s="86" t="n">
        <v>0.84</v>
      </c>
      <c r="F43" s="86" t="n">
        <v>0.9</v>
      </c>
      <c r="G43" s="48" t="s">
        <v>359</v>
      </c>
      <c r="H43" s="87" t="s">
        <v>363</v>
      </c>
    </row>
    <row r="44" customFormat="false" ht="13.5" hidden="false" customHeight="true" outlineLevel="0" collapsed="false">
      <c r="B44" s="79" t="s">
        <v>364</v>
      </c>
      <c r="C44" s="80" t="s">
        <v>365</v>
      </c>
      <c r="D44" s="79" t="s">
        <v>190</v>
      </c>
      <c r="E44" s="81" t="n">
        <v>0.45</v>
      </c>
      <c r="F44" s="81" t="n">
        <v>0.5</v>
      </c>
      <c r="G44" s="82" t="s">
        <v>359</v>
      </c>
      <c r="H44" s="83" t="s">
        <v>366</v>
      </c>
    </row>
    <row r="45" customFormat="false" ht="13.5" hidden="false" customHeight="true" outlineLevel="0" collapsed="false">
      <c r="B45" s="84" t="s">
        <v>197</v>
      </c>
      <c r="C45" s="85" t="s">
        <v>367</v>
      </c>
      <c r="D45" s="84" t="s">
        <v>368</v>
      </c>
      <c r="E45" s="86" t="n">
        <v>1.423</v>
      </c>
      <c r="F45" s="86" t="n">
        <v>1.423</v>
      </c>
      <c r="G45" s="48" t="s">
        <v>196</v>
      </c>
      <c r="H45" s="87" t="s">
        <v>161</v>
      </c>
    </row>
    <row r="46" customFormat="false" ht="13.5" hidden="false" customHeight="true" outlineLevel="0" collapsed="false">
      <c r="B46" s="79" t="s">
        <v>369</v>
      </c>
      <c r="C46" s="80" t="s">
        <v>370</v>
      </c>
      <c r="D46" s="79" t="s">
        <v>371</v>
      </c>
      <c r="E46" s="81" t="n">
        <v>0.091</v>
      </c>
      <c r="F46" s="81" t="n">
        <v>0.091</v>
      </c>
      <c r="G46" s="82" t="s">
        <v>372</v>
      </c>
      <c r="H46" s="83" t="s">
        <v>373</v>
      </c>
    </row>
    <row r="47" customFormat="false" ht="13.5" hidden="false" customHeight="true" outlineLevel="0" collapsed="false">
      <c r="B47" s="84" t="s">
        <v>374</v>
      </c>
      <c r="C47" s="85" t="s">
        <v>375</v>
      </c>
      <c r="D47" s="84" t="s">
        <v>368</v>
      </c>
      <c r="E47" s="86" t="n">
        <v>1.479</v>
      </c>
      <c r="F47" s="86" t="n">
        <v>1.479</v>
      </c>
      <c r="G47" s="48" t="s">
        <v>376</v>
      </c>
      <c r="H47" s="87" t="s">
        <v>377</v>
      </c>
    </row>
    <row r="48" customFormat="false" ht="13.5" hidden="false" customHeight="true" outlineLevel="0" collapsed="false">
      <c r="B48" s="79" t="s">
        <v>378</v>
      </c>
      <c r="C48" s="80" t="s">
        <v>379</v>
      </c>
      <c r="D48" s="79" t="s">
        <v>368</v>
      </c>
      <c r="E48" s="81" t="n">
        <v>1.479</v>
      </c>
      <c r="F48" s="81" t="n">
        <v>1.479</v>
      </c>
      <c r="G48" s="82" t="s">
        <v>376</v>
      </c>
      <c r="H48" s="83"/>
    </row>
    <row r="49" customFormat="false" ht="13.5" hidden="false" customHeight="true" outlineLevel="0" collapsed="false">
      <c r="B49" s="84" t="s">
        <v>380</v>
      </c>
      <c r="C49" s="85" t="s">
        <v>381</v>
      </c>
      <c r="D49" s="84" t="s">
        <v>368</v>
      </c>
      <c r="E49" s="86" t="n">
        <v>1.479</v>
      </c>
      <c r="F49" s="86" t="n">
        <v>1.479</v>
      </c>
      <c r="G49" s="48" t="s">
        <v>376</v>
      </c>
      <c r="H49" s="87"/>
    </row>
    <row r="50" customFormat="false" ht="13.5" hidden="false" customHeight="true" outlineLevel="0" collapsed="false">
      <c r="B50" s="79" t="s">
        <v>382</v>
      </c>
      <c r="C50" s="80" t="s">
        <v>383</v>
      </c>
      <c r="D50" s="79" t="s">
        <v>190</v>
      </c>
      <c r="E50" s="81" t="n">
        <v>0</v>
      </c>
      <c r="F50" s="81" t="n">
        <v>0</v>
      </c>
      <c r="G50" s="82" t="s">
        <v>320</v>
      </c>
      <c r="H50" s="83" t="s">
        <v>384</v>
      </c>
    </row>
    <row r="52" customFormat="false" ht="181.5" hidden="false" customHeight="true" outlineLevel="0" collapsed="false">
      <c r="B52" s="78" t="s">
        <v>385</v>
      </c>
      <c r="C52" s="78" t="s">
        <v>386</v>
      </c>
    </row>
  </sheetData>
  <mergeCells count="4">
    <mergeCell ref="B1:C1"/>
    <mergeCell ref="A3:C3"/>
    <mergeCell ref="A10:C10"/>
    <mergeCell ref="A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24"/>
    <col collapsed="false" customWidth="true" hidden="false" outlineLevel="0" max="4" min="4" style="1" width="18"/>
    <col collapsed="false" customWidth="true" hidden="false" outlineLevel="0" max="6" min="5" style="1" width="12"/>
    <col collapsed="false" customWidth="true" hidden="false" outlineLevel="0" max="7" min="7" style="1" width="14"/>
    <col collapsed="false" customWidth="true" hidden="false" outlineLevel="0" max="8" min="8" style="1" width="12"/>
    <col collapsed="false" customWidth="true" hidden="false" outlineLevel="0" max="9" min="9" style="1" width="16"/>
    <col collapsed="false" customWidth="true" hidden="false" outlineLevel="0" max="11" min="10" style="1" width="14"/>
    <col collapsed="false" customWidth="true" hidden="false" outlineLevel="0" max="12" min="12" style="1" width="30"/>
  </cols>
  <sheetData>
    <row r="1" customFormat="false" ht="27.75" hidden="false" customHeight="true" outlineLevel="0" collapsed="false">
      <c r="B1" s="77" t="s">
        <v>387</v>
      </c>
      <c r="C1" s="77"/>
      <c r="D1" s="77"/>
      <c r="E1" s="77"/>
      <c r="F1" s="77"/>
      <c r="G1" s="77"/>
      <c r="H1" s="77"/>
      <c r="I1" s="77"/>
      <c r="J1" s="77"/>
      <c r="K1" s="77"/>
      <c r="L1" s="77"/>
    </row>
    <row r="2" customFormat="false" ht="42" hidden="false" customHeight="true" outlineLevel="0" collapsed="false">
      <c r="B2" s="88" t="s">
        <v>388</v>
      </c>
      <c r="C2" s="88"/>
      <c r="D2" s="88"/>
      <c r="E2" s="88"/>
      <c r="F2" s="88"/>
      <c r="G2" s="88"/>
      <c r="H2" s="88"/>
      <c r="I2" s="88"/>
      <c r="J2" s="88"/>
      <c r="K2" s="88"/>
      <c r="L2" s="88"/>
    </row>
    <row r="4" customFormat="false" ht="18" hidden="false" customHeight="true" outlineLevel="0" collapsed="false">
      <c r="A4" s="42" t="s">
        <v>389</v>
      </c>
      <c r="B4" s="42"/>
      <c r="C4" s="42"/>
      <c r="D4" s="42"/>
      <c r="E4" s="42"/>
      <c r="F4" s="42"/>
      <c r="G4" s="42"/>
      <c r="H4" s="42"/>
      <c r="I4" s="42"/>
      <c r="J4" s="42"/>
      <c r="K4" s="42"/>
      <c r="L4" s="42"/>
    </row>
    <row r="5" customFormat="false" ht="42" hidden="false" customHeight="true" outlineLevel="0" collapsed="false">
      <c r="A5" s="51" t="s">
        <v>390</v>
      </c>
      <c r="B5" s="51" t="s">
        <v>391</v>
      </c>
      <c r="C5" s="51" t="s">
        <v>392</v>
      </c>
      <c r="D5" s="51" t="s">
        <v>393</v>
      </c>
      <c r="E5" s="51" t="s">
        <v>394</v>
      </c>
      <c r="F5" s="51" t="s">
        <v>395</v>
      </c>
      <c r="G5" s="51" t="s">
        <v>396</v>
      </c>
      <c r="H5" s="51" t="s">
        <v>397</v>
      </c>
      <c r="I5" s="51" t="s">
        <v>398</v>
      </c>
      <c r="J5" s="51" t="s">
        <v>399</v>
      </c>
      <c r="K5" s="51" t="s">
        <v>400</v>
      </c>
      <c r="L5" s="51" t="s">
        <v>401</v>
      </c>
    </row>
    <row r="6" customFormat="false" ht="36" hidden="false" customHeight="true" outlineLevel="0" collapsed="false">
      <c r="A6" s="47" t="n">
        <v>1</v>
      </c>
      <c r="B6" s="48" t="s">
        <v>402</v>
      </c>
      <c r="C6" s="48" t="s">
        <v>403</v>
      </c>
      <c r="D6" s="48" t="s">
        <v>404</v>
      </c>
      <c r="E6" s="89" t="s">
        <v>177</v>
      </c>
      <c r="F6" s="50" t="s">
        <v>405</v>
      </c>
      <c r="G6" s="90" t="n">
        <v>3.2</v>
      </c>
      <c r="H6" s="90" t="n">
        <v>3.2</v>
      </c>
      <c r="I6" s="50" t="s">
        <v>406</v>
      </c>
      <c r="J6" s="47" t="s">
        <v>407</v>
      </c>
      <c r="K6" s="47" t="s">
        <v>408</v>
      </c>
      <c r="L6" s="50" t="s">
        <v>409</v>
      </c>
    </row>
    <row r="7" customFormat="false" ht="36" hidden="false" customHeight="true" outlineLevel="0" collapsed="false">
      <c r="A7" s="62" t="n">
        <v>2</v>
      </c>
      <c r="B7" s="91" t="s">
        <v>410</v>
      </c>
      <c r="C7" s="91" t="s">
        <v>411</v>
      </c>
      <c r="D7" s="91" t="s">
        <v>412</v>
      </c>
      <c r="E7" s="92" t="s">
        <v>177</v>
      </c>
      <c r="F7" s="93" t="s">
        <v>413</v>
      </c>
      <c r="G7" s="94" t="n">
        <v>2</v>
      </c>
      <c r="H7" s="94" t="n">
        <v>1.8</v>
      </c>
      <c r="I7" s="93" t="s">
        <v>414</v>
      </c>
      <c r="J7" s="62" t="s">
        <v>415</v>
      </c>
      <c r="K7" s="62" t="s">
        <v>416</v>
      </c>
      <c r="L7" s="93" t="s">
        <v>417</v>
      </c>
    </row>
    <row r="8" customFormat="false" ht="36" hidden="false" customHeight="true" outlineLevel="0" collapsed="false">
      <c r="A8" s="47" t="n">
        <v>3</v>
      </c>
      <c r="B8" s="48" t="s">
        <v>418</v>
      </c>
      <c r="C8" s="48" t="s">
        <v>419</v>
      </c>
      <c r="D8" s="48" t="s">
        <v>420</v>
      </c>
      <c r="E8" s="89" t="s">
        <v>177</v>
      </c>
      <c r="F8" s="50" t="s">
        <v>421</v>
      </c>
      <c r="G8" s="90" t="n">
        <v>1</v>
      </c>
      <c r="H8" s="90" t="n">
        <v>0.9</v>
      </c>
      <c r="I8" s="50" t="s">
        <v>422</v>
      </c>
      <c r="J8" s="47" t="s">
        <v>423</v>
      </c>
      <c r="K8" s="47" t="s">
        <v>416</v>
      </c>
      <c r="L8" s="50" t="s">
        <v>424</v>
      </c>
    </row>
    <row r="9" customFormat="false" ht="36" hidden="false" customHeight="true" outlineLevel="0" collapsed="false">
      <c r="A9" s="62" t="n">
        <v>4</v>
      </c>
      <c r="B9" s="91" t="s">
        <v>425</v>
      </c>
      <c r="C9" s="91" t="s">
        <v>426</v>
      </c>
      <c r="D9" s="91" t="s">
        <v>427</v>
      </c>
      <c r="E9" s="92" t="s">
        <v>177</v>
      </c>
      <c r="F9" s="93" t="s">
        <v>428</v>
      </c>
      <c r="G9" s="94" t="n">
        <v>2</v>
      </c>
      <c r="H9" s="94" t="n">
        <v>1.5</v>
      </c>
      <c r="I9" s="93" t="s">
        <v>429</v>
      </c>
      <c r="J9" s="62" t="s">
        <v>415</v>
      </c>
      <c r="K9" s="62" t="s">
        <v>416</v>
      </c>
      <c r="L9" s="93" t="s">
        <v>430</v>
      </c>
    </row>
    <row r="10" customFormat="false" ht="27.75" hidden="false" customHeight="true" outlineLevel="0" collapsed="false">
      <c r="A10" s="47" t="n">
        <v>5</v>
      </c>
      <c r="B10" s="48" t="s">
        <v>431</v>
      </c>
      <c r="C10" s="48" t="s">
        <v>432</v>
      </c>
      <c r="D10" s="48" t="s">
        <v>433</v>
      </c>
      <c r="E10" s="89" t="s">
        <v>181</v>
      </c>
      <c r="F10" s="50" t="s">
        <v>434</v>
      </c>
      <c r="G10" s="90" t="n">
        <v>0.8</v>
      </c>
      <c r="H10" s="90" t="n">
        <v>0.7</v>
      </c>
      <c r="I10" s="50" t="s">
        <v>435</v>
      </c>
      <c r="J10" s="47" t="s">
        <v>436</v>
      </c>
      <c r="K10" s="47" t="s">
        <v>437</v>
      </c>
      <c r="L10" s="50" t="s">
        <v>438</v>
      </c>
    </row>
    <row r="11" customFormat="false" ht="36" hidden="false" customHeight="true" outlineLevel="0" collapsed="false">
      <c r="A11" s="62" t="n">
        <v>6</v>
      </c>
      <c r="B11" s="91" t="s">
        <v>439</v>
      </c>
      <c r="C11" s="91" t="s">
        <v>440</v>
      </c>
      <c r="D11" s="91" t="s">
        <v>441</v>
      </c>
      <c r="E11" s="92" t="s">
        <v>183</v>
      </c>
      <c r="F11" s="93" t="s">
        <v>442</v>
      </c>
      <c r="G11" s="94" t="n">
        <v>0</v>
      </c>
      <c r="H11" s="94" t="n">
        <v>0</v>
      </c>
      <c r="I11" s="93" t="s">
        <v>443</v>
      </c>
      <c r="J11" s="62" t="s">
        <v>444</v>
      </c>
      <c r="K11" s="62" t="s">
        <v>445</v>
      </c>
      <c r="L11" s="93" t="s">
        <v>446</v>
      </c>
    </row>
    <row r="13" customFormat="false" ht="18" hidden="false" customHeight="true" outlineLevel="0" collapsed="false">
      <c r="A13" s="42" t="s">
        <v>447</v>
      </c>
      <c r="B13" s="42"/>
      <c r="C13" s="42"/>
      <c r="D13" s="42"/>
      <c r="E13" s="42"/>
      <c r="F13" s="42"/>
      <c r="G13" s="42"/>
      <c r="H13" s="42"/>
      <c r="I13" s="42"/>
      <c r="J13" s="42"/>
      <c r="K13" s="42"/>
      <c r="L13" s="42"/>
    </row>
    <row r="14" customFormat="false" ht="42" hidden="false" customHeight="true" outlineLevel="0" collapsed="false">
      <c r="A14" s="51" t="s">
        <v>390</v>
      </c>
      <c r="B14" s="51" t="s">
        <v>448</v>
      </c>
      <c r="C14" s="51" t="s">
        <v>392</v>
      </c>
      <c r="D14" s="51" t="s">
        <v>393</v>
      </c>
      <c r="E14" s="51" t="s">
        <v>449</v>
      </c>
      <c r="F14" s="51" t="s">
        <v>450</v>
      </c>
      <c r="G14" s="51" t="s">
        <v>451</v>
      </c>
      <c r="H14" s="51" t="s">
        <v>452</v>
      </c>
      <c r="I14" s="51" t="s">
        <v>453</v>
      </c>
      <c r="J14" s="51" t="s">
        <v>454</v>
      </c>
      <c r="K14" s="51" t="s">
        <v>455</v>
      </c>
      <c r="L14" s="51" t="s">
        <v>311</v>
      </c>
    </row>
    <row r="15" customFormat="false" ht="24" hidden="false" customHeight="true" outlineLevel="0" collapsed="false">
      <c r="A15" s="47" t="n">
        <v>1</v>
      </c>
      <c r="B15" s="48" t="s">
        <v>456</v>
      </c>
      <c r="C15" s="48" t="s">
        <v>457</v>
      </c>
      <c r="D15" s="48" t="s">
        <v>458</v>
      </c>
      <c r="E15" s="48" t="s">
        <v>459</v>
      </c>
      <c r="F15" s="95" t="n">
        <v>10.6</v>
      </c>
      <c r="G15" s="95" t="n">
        <v>9</v>
      </c>
      <c r="H15" s="50" t="s">
        <v>460</v>
      </c>
      <c r="I15" s="47" t="s">
        <v>461</v>
      </c>
      <c r="J15" s="47" t="s">
        <v>462</v>
      </c>
      <c r="K15" s="50" t="s">
        <v>463</v>
      </c>
      <c r="L15" s="50" t="s">
        <v>464</v>
      </c>
    </row>
    <row r="16" customFormat="false" ht="24" hidden="false" customHeight="true" outlineLevel="0" collapsed="false">
      <c r="A16" s="62" t="n">
        <v>2</v>
      </c>
      <c r="B16" s="91" t="s">
        <v>465</v>
      </c>
      <c r="C16" s="91" t="s">
        <v>466</v>
      </c>
      <c r="D16" s="91" t="s">
        <v>467</v>
      </c>
      <c r="E16" s="91" t="s">
        <v>459</v>
      </c>
      <c r="F16" s="96" t="n">
        <v>5.7</v>
      </c>
      <c r="G16" s="96" t="n">
        <v>4.8</v>
      </c>
      <c r="H16" s="93" t="s">
        <v>468</v>
      </c>
      <c r="I16" s="62" t="s">
        <v>469</v>
      </c>
      <c r="J16" s="62" t="s">
        <v>462</v>
      </c>
      <c r="K16" s="93" t="s">
        <v>470</v>
      </c>
      <c r="L16" s="93" t="s">
        <v>471</v>
      </c>
    </row>
    <row r="17" customFormat="false" ht="24" hidden="false" customHeight="true" outlineLevel="0" collapsed="false">
      <c r="A17" s="47" t="n">
        <v>3</v>
      </c>
      <c r="B17" s="48" t="s">
        <v>472</v>
      </c>
      <c r="C17" s="48" t="s">
        <v>473</v>
      </c>
      <c r="D17" s="48" t="s">
        <v>474</v>
      </c>
      <c r="E17" s="48" t="s">
        <v>459</v>
      </c>
      <c r="F17" s="95" t="n">
        <v>4.1</v>
      </c>
      <c r="G17" s="95" t="n">
        <v>3.5</v>
      </c>
      <c r="H17" s="50" t="s">
        <v>475</v>
      </c>
      <c r="I17" s="47" t="s">
        <v>476</v>
      </c>
      <c r="J17" s="47" t="s">
        <v>462</v>
      </c>
      <c r="K17" s="50" t="s">
        <v>477</v>
      </c>
      <c r="L17" s="50" t="s">
        <v>478</v>
      </c>
    </row>
    <row r="18" customFormat="false" ht="24" hidden="false" customHeight="true" outlineLevel="0" collapsed="false">
      <c r="A18" s="62" t="n">
        <v>4</v>
      </c>
      <c r="B18" s="91" t="s">
        <v>479</v>
      </c>
      <c r="C18" s="91" t="s">
        <v>480</v>
      </c>
      <c r="D18" s="91" t="s">
        <v>481</v>
      </c>
      <c r="E18" s="91" t="s">
        <v>482</v>
      </c>
      <c r="F18" s="96" t="n">
        <v>3.5</v>
      </c>
      <c r="G18" s="96" t="n">
        <v>2.8</v>
      </c>
      <c r="H18" s="93" t="s">
        <v>483</v>
      </c>
      <c r="I18" s="62" t="s">
        <v>484</v>
      </c>
      <c r="J18" s="62" t="s">
        <v>462</v>
      </c>
      <c r="K18" s="93" t="s">
        <v>477</v>
      </c>
      <c r="L18" s="93" t="s">
        <v>485</v>
      </c>
    </row>
    <row r="19" customFormat="false" ht="24" hidden="false" customHeight="true" outlineLevel="0" collapsed="false">
      <c r="A19" s="47" t="n">
        <v>5</v>
      </c>
      <c r="B19" s="48" t="s">
        <v>486</v>
      </c>
      <c r="C19" s="48" t="s">
        <v>487</v>
      </c>
      <c r="D19" s="48" t="s">
        <v>488</v>
      </c>
      <c r="E19" s="48" t="s">
        <v>459</v>
      </c>
      <c r="F19" s="95" t="n">
        <v>3.5</v>
      </c>
      <c r="G19" s="95" t="n">
        <v>3.2</v>
      </c>
      <c r="H19" s="50" t="s">
        <v>489</v>
      </c>
      <c r="I19" s="47" t="s">
        <v>490</v>
      </c>
      <c r="J19" s="47" t="s">
        <v>462</v>
      </c>
      <c r="K19" s="50" t="s">
        <v>491</v>
      </c>
      <c r="L19" s="50" t="s">
        <v>492</v>
      </c>
    </row>
    <row r="20" customFormat="false" ht="24" hidden="false" customHeight="true" outlineLevel="0" collapsed="false">
      <c r="A20" s="62" t="n">
        <v>6</v>
      </c>
      <c r="B20" s="91" t="s">
        <v>493</v>
      </c>
      <c r="C20" s="91" t="s">
        <v>494</v>
      </c>
      <c r="D20" s="91" t="s">
        <v>495</v>
      </c>
      <c r="E20" s="91" t="s">
        <v>459</v>
      </c>
      <c r="F20" s="96" t="n">
        <v>3.3</v>
      </c>
      <c r="G20" s="96" t="n">
        <v>2.9</v>
      </c>
      <c r="H20" s="93" t="s">
        <v>496</v>
      </c>
      <c r="I20" s="62" t="s">
        <v>497</v>
      </c>
      <c r="J20" s="62" t="s">
        <v>462</v>
      </c>
      <c r="K20" s="93" t="s">
        <v>498</v>
      </c>
      <c r="L20" s="93" t="s">
        <v>499</v>
      </c>
    </row>
    <row r="21" customFormat="false" ht="24" hidden="false" customHeight="true" outlineLevel="0" collapsed="false">
      <c r="A21" s="47" t="n">
        <v>7</v>
      </c>
      <c r="B21" s="48" t="s">
        <v>500</v>
      </c>
      <c r="C21" s="48" t="s">
        <v>501</v>
      </c>
      <c r="D21" s="48" t="s">
        <v>502</v>
      </c>
      <c r="E21" s="48" t="s">
        <v>459</v>
      </c>
      <c r="F21" s="95" t="n">
        <v>3.5</v>
      </c>
      <c r="G21" s="95" t="n">
        <v>3</v>
      </c>
      <c r="H21" s="50" t="s">
        <v>483</v>
      </c>
      <c r="I21" s="47" t="s">
        <v>476</v>
      </c>
      <c r="J21" s="47" t="s">
        <v>462</v>
      </c>
      <c r="K21" s="50" t="s">
        <v>503</v>
      </c>
      <c r="L21" s="50" t="s">
        <v>504</v>
      </c>
    </row>
    <row r="22" customFormat="false" ht="24" hidden="false" customHeight="true" outlineLevel="0" collapsed="false">
      <c r="A22" s="62" t="n">
        <v>8</v>
      </c>
      <c r="B22" s="91" t="s">
        <v>505</v>
      </c>
      <c r="C22" s="91" t="s">
        <v>501</v>
      </c>
      <c r="D22" s="91" t="s">
        <v>506</v>
      </c>
      <c r="E22" s="91" t="s">
        <v>459</v>
      </c>
      <c r="F22" s="96" t="n">
        <v>3</v>
      </c>
      <c r="G22" s="96" t="n">
        <v>2.6</v>
      </c>
      <c r="H22" s="93" t="s">
        <v>483</v>
      </c>
      <c r="I22" s="62" t="s">
        <v>507</v>
      </c>
      <c r="J22" s="62" t="s">
        <v>462</v>
      </c>
      <c r="K22" s="93" t="s">
        <v>508</v>
      </c>
      <c r="L22" s="93"/>
    </row>
    <row r="23" customFormat="false" ht="24" hidden="false" customHeight="true" outlineLevel="0" collapsed="false">
      <c r="A23" s="47" t="n">
        <v>9</v>
      </c>
      <c r="B23" s="48" t="s">
        <v>509</v>
      </c>
      <c r="C23" s="48" t="s">
        <v>510</v>
      </c>
      <c r="D23" s="48" t="s">
        <v>511</v>
      </c>
      <c r="E23" s="48" t="s">
        <v>459</v>
      </c>
      <c r="F23" s="95" t="n">
        <v>2.5</v>
      </c>
      <c r="G23" s="95" t="n">
        <v>2.2</v>
      </c>
      <c r="H23" s="50" t="s">
        <v>512</v>
      </c>
      <c r="I23" s="47" t="s">
        <v>497</v>
      </c>
      <c r="J23" s="47" t="s">
        <v>462</v>
      </c>
      <c r="K23" s="50" t="s">
        <v>513</v>
      </c>
      <c r="L23" s="50"/>
    </row>
    <row r="24" customFormat="false" ht="24" hidden="false" customHeight="true" outlineLevel="0" collapsed="false">
      <c r="A24" s="62" t="n">
        <v>10</v>
      </c>
      <c r="B24" s="91" t="s">
        <v>514</v>
      </c>
      <c r="C24" s="91" t="s">
        <v>515</v>
      </c>
      <c r="D24" s="91" t="s">
        <v>516</v>
      </c>
      <c r="E24" s="91" t="s">
        <v>459</v>
      </c>
      <c r="F24" s="96" t="n">
        <v>1.6</v>
      </c>
      <c r="G24" s="96" t="n">
        <v>1.4</v>
      </c>
      <c r="H24" s="93" t="s">
        <v>517</v>
      </c>
      <c r="I24" s="62" t="s">
        <v>518</v>
      </c>
      <c r="J24" s="62" t="s">
        <v>462</v>
      </c>
      <c r="K24" s="93" t="s">
        <v>515</v>
      </c>
      <c r="L24" s="93" t="s">
        <v>519</v>
      </c>
    </row>
    <row r="25" customFormat="false" ht="24" hidden="false" customHeight="true" outlineLevel="0" collapsed="false">
      <c r="A25" s="47" t="n">
        <v>11</v>
      </c>
      <c r="B25" s="48" t="s">
        <v>520</v>
      </c>
      <c r="C25" s="48" t="s">
        <v>515</v>
      </c>
      <c r="D25" s="48" t="s">
        <v>521</v>
      </c>
      <c r="E25" s="48" t="s">
        <v>459</v>
      </c>
      <c r="F25" s="95" t="n">
        <v>1.3</v>
      </c>
      <c r="G25" s="95" t="n">
        <v>1.1</v>
      </c>
      <c r="H25" s="50" t="s">
        <v>483</v>
      </c>
      <c r="I25" s="47" t="s">
        <v>490</v>
      </c>
      <c r="J25" s="47" t="s">
        <v>462</v>
      </c>
      <c r="K25" s="50" t="s">
        <v>515</v>
      </c>
      <c r="L25" s="50"/>
    </row>
    <row r="26" customFormat="false" ht="24" hidden="false" customHeight="true" outlineLevel="0" collapsed="false">
      <c r="A26" s="62" t="n">
        <v>12</v>
      </c>
      <c r="B26" s="91" t="s">
        <v>522</v>
      </c>
      <c r="C26" s="91" t="s">
        <v>523</v>
      </c>
      <c r="D26" s="91" t="s">
        <v>524</v>
      </c>
      <c r="E26" s="91" t="s">
        <v>459</v>
      </c>
      <c r="F26" s="96" t="n">
        <v>2</v>
      </c>
      <c r="G26" s="96" t="n">
        <v>1.7</v>
      </c>
      <c r="H26" s="93" t="s">
        <v>525</v>
      </c>
      <c r="I26" s="62" t="s">
        <v>526</v>
      </c>
      <c r="J26" s="62" t="s">
        <v>462</v>
      </c>
      <c r="K26" s="93" t="s">
        <v>527</v>
      </c>
      <c r="L26" s="93"/>
    </row>
    <row r="27" customFormat="false" ht="24" hidden="false" customHeight="true" outlineLevel="0" collapsed="false">
      <c r="A27" s="47" t="n">
        <v>13</v>
      </c>
      <c r="B27" s="48" t="s">
        <v>528</v>
      </c>
      <c r="C27" s="48" t="s">
        <v>529</v>
      </c>
      <c r="D27" s="48" t="s">
        <v>530</v>
      </c>
      <c r="E27" s="48" t="s">
        <v>459</v>
      </c>
      <c r="F27" s="95" t="n">
        <v>1.6</v>
      </c>
      <c r="G27" s="95" t="n">
        <v>1.3</v>
      </c>
      <c r="H27" s="50" t="s">
        <v>483</v>
      </c>
      <c r="I27" s="47" t="s">
        <v>507</v>
      </c>
      <c r="J27" s="47" t="s">
        <v>462</v>
      </c>
      <c r="K27" s="50" t="s">
        <v>531</v>
      </c>
      <c r="L27" s="50"/>
    </row>
    <row r="28" customFormat="false" ht="24" hidden="false" customHeight="true" outlineLevel="0" collapsed="false">
      <c r="A28" s="62" t="n">
        <v>14</v>
      </c>
      <c r="B28" s="91" t="s">
        <v>532</v>
      </c>
      <c r="C28" s="91" t="s">
        <v>508</v>
      </c>
      <c r="D28" s="91" t="s">
        <v>533</v>
      </c>
      <c r="E28" s="91" t="s">
        <v>459</v>
      </c>
      <c r="F28" s="96" t="n">
        <v>2</v>
      </c>
      <c r="G28" s="96" t="n">
        <v>1.7</v>
      </c>
      <c r="H28" s="93" t="s">
        <v>483</v>
      </c>
      <c r="I28" s="62" t="s">
        <v>507</v>
      </c>
      <c r="J28" s="62" t="s">
        <v>462</v>
      </c>
      <c r="K28" s="93" t="s">
        <v>508</v>
      </c>
      <c r="L28" s="93"/>
    </row>
    <row r="29" customFormat="false" ht="24" hidden="false" customHeight="true" outlineLevel="0" collapsed="false">
      <c r="A29" s="47" t="n">
        <v>15</v>
      </c>
      <c r="B29" s="48" t="s">
        <v>534</v>
      </c>
      <c r="C29" s="48" t="s">
        <v>501</v>
      </c>
      <c r="D29" s="48" t="s">
        <v>535</v>
      </c>
      <c r="E29" s="48" t="s">
        <v>536</v>
      </c>
      <c r="F29" s="95" t="n">
        <v>0.6</v>
      </c>
      <c r="G29" s="95" t="n">
        <v>0.5</v>
      </c>
      <c r="H29" s="50" t="s">
        <v>537</v>
      </c>
      <c r="I29" s="47" t="s">
        <v>538</v>
      </c>
      <c r="J29" s="47" t="s">
        <v>462</v>
      </c>
      <c r="K29" s="50" t="s">
        <v>508</v>
      </c>
      <c r="L29" s="50" t="s">
        <v>539</v>
      </c>
    </row>
    <row r="31" customFormat="false" ht="18" hidden="false" customHeight="true" outlineLevel="0" collapsed="false">
      <c r="A31" s="42" t="s">
        <v>540</v>
      </c>
      <c r="B31" s="42"/>
      <c r="C31" s="42"/>
      <c r="D31" s="42"/>
      <c r="E31" s="42"/>
      <c r="F31" s="42"/>
      <c r="G31" s="42"/>
      <c r="H31" s="42"/>
      <c r="I31" s="42"/>
      <c r="J31" s="42"/>
      <c r="K31" s="42"/>
      <c r="L31" s="42"/>
    </row>
    <row r="32" customFormat="false" ht="42" hidden="false" customHeight="true" outlineLevel="0" collapsed="false">
      <c r="A32" s="51" t="s">
        <v>390</v>
      </c>
      <c r="B32" s="51" t="s">
        <v>541</v>
      </c>
      <c r="C32" s="51" t="s">
        <v>542</v>
      </c>
      <c r="D32" s="51" t="s">
        <v>393</v>
      </c>
      <c r="E32" s="51" t="s">
        <v>207</v>
      </c>
      <c r="F32" s="51" t="s">
        <v>543</v>
      </c>
      <c r="G32" s="51" t="s">
        <v>544</v>
      </c>
      <c r="H32" s="51" t="s">
        <v>545</v>
      </c>
      <c r="I32" s="51" t="s">
        <v>546</v>
      </c>
      <c r="J32" s="51" t="s">
        <v>547</v>
      </c>
      <c r="K32" s="51" t="s">
        <v>548</v>
      </c>
      <c r="L32" s="51" t="s">
        <v>401</v>
      </c>
    </row>
    <row r="33" customFormat="false" ht="60" hidden="false" customHeight="true" outlineLevel="0" collapsed="false">
      <c r="A33" s="47" t="n">
        <v>1</v>
      </c>
      <c r="B33" s="48" t="s">
        <v>549</v>
      </c>
      <c r="C33" s="48" t="s">
        <v>550</v>
      </c>
      <c r="D33" s="50" t="s">
        <v>551</v>
      </c>
      <c r="E33" s="50" t="s">
        <v>552</v>
      </c>
      <c r="F33" s="47" t="n">
        <v>600</v>
      </c>
      <c r="G33" s="47" t="n">
        <v>1000</v>
      </c>
      <c r="H33" s="47" t="s">
        <v>553</v>
      </c>
      <c r="I33" s="50" t="s">
        <v>554</v>
      </c>
      <c r="J33" s="50" t="s">
        <v>555</v>
      </c>
      <c r="K33" s="50" t="s">
        <v>556</v>
      </c>
      <c r="L33" s="50" t="s">
        <v>557</v>
      </c>
    </row>
    <row r="34" customFormat="false" ht="27.75" hidden="false" customHeight="true" outlineLevel="0" collapsed="false">
      <c r="A34" s="62" t="n">
        <v>2</v>
      </c>
      <c r="B34" s="91" t="s">
        <v>558</v>
      </c>
      <c r="C34" s="91" t="s">
        <v>559</v>
      </c>
      <c r="D34" s="93" t="s">
        <v>560</v>
      </c>
      <c r="E34" s="93" t="s">
        <v>561</v>
      </c>
      <c r="F34" s="62" t="n">
        <v>390</v>
      </c>
      <c r="G34" s="62" t="n">
        <v>650</v>
      </c>
      <c r="H34" s="62" t="s">
        <v>190</v>
      </c>
      <c r="I34" s="93" t="s">
        <v>562</v>
      </c>
      <c r="J34" s="93" t="s">
        <v>563</v>
      </c>
      <c r="K34" s="93" t="s">
        <v>564</v>
      </c>
      <c r="L34" s="93" t="s">
        <v>565</v>
      </c>
    </row>
    <row r="35" customFormat="false" ht="36" hidden="false" customHeight="true" outlineLevel="0" collapsed="false">
      <c r="A35" s="47" t="n">
        <v>3</v>
      </c>
      <c r="B35" s="48" t="s">
        <v>566</v>
      </c>
      <c r="C35" s="48" t="s">
        <v>567</v>
      </c>
      <c r="D35" s="50" t="s">
        <v>568</v>
      </c>
      <c r="E35" s="50" t="s">
        <v>569</v>
      </c>
      <c r="F35" s="47" t="n">
        <v>750</v>
      </c>
      <c r="G35" s="47" t="s">
        <v>190</v>
      </c>
      <c r="H35" s="47" t="s">
        <v>190</v>
      </c>
      <c r="I35" s="50" t="s">
        <v>570</v>
      </c>
      <c r="J35" s="50" t="s">
        <v>571</v>
      </c>
      <c r="K35" s="50" t="s">
        <v>572</v>
      </c>
      <c r="L35" s="50" t="s">
        <v>573</v>
      </c>
    </row>
    <row r="36" customFormat="false" ht="27.75" hidden="false" customHeight="true" outlineLevel="0" collapsed="false">
      <c r="A36" s="62" t="n">
        <v>4</v>
      </c>
      <c r="B36" s="91" t="s">
        <v>574</v>
      </c>
      <c r="C36" s="91" t="s">
        <v>575</v>
      </c>
      <c r="D36" s="93" t="s">
        <v>458</v>
      </c>
      <c r="E36" s="93" t="s">
        <v>561</v>
      </c>
      <c r="F36" s="62" t="n">
        <v>330</v>
      </c>
      <c r="G36" s="62" t="n">
        <v>500</v>
      </c>
      <c r="H36" s="62" t="s">
        <v>190</v>
      </c>
      <c r="I36" s="93" t="s">
        <v>576</v>
      </c>
      <c r="J36" s="93" t="s">
        <v>577</v>
      </c>
      <c r="K36" s="93" t="s">
        <v>578</v>
      </c>
      <c r="L36" s="93" t="s">
        <v>579</v>
      </c>
    </row>
    <row r="37" customFormat="false" ht="60" hidden="false" customHeight="true" outlineLevel="0" collapsed="false">
      <c r="A37" s="47" t="n">
        <v>5</v>
      </c>
      <c r="B37" s="48" t="s">
        <v>580</v>
      </c>
      <c r="C37" s="48" t="s">
        <v>581</v>
      </c>
      <c r="D37" s="50" t="s">
        <v>582</v>
      </c>
      <c r="E37" s="50" t="s">
        <v>583</v>
      </c>
      <c r="F37" s="47" t="n">
        <v>120</v>
      </c>
      <c r="G37" s="47" t="s">
        <v>190</v>
      </c>
      <c r="H37" s="47" t="s">
        <v>584</v>
      </c>
      <c r="I37" s="50" t="s">
        <v>585</v>
      </c>
      <c r="J37" s="50" t="s">
        <v>586</v>
      </c>
      <c r="K37" s="50" t="s">
        <v>587</v>
      </c>
      <c r="L37" s="50" t="s">
        <v>588</v>
      </c>
    </row>
    <row r="38" customFormat="false" ht="27.75" hidden="false" customHeight="true" outlineLevel="0" collapsed="false">
      <c r="A38" s="62" t="n">
        <v>6</v>
      </c>
      <c r="B38" s="91" t="s">
        <v>589</v>
      </c>
      <c r="C38" s="91" t="s">
        <v>590</v>
      </c>
      <c r="D38" s="93" t="s">
        <v>441</v>
      </c>
      <c r="E38" s="93" t="s">
        <v>591</v>
      </c>
      <c r="F38" s="62" t="n">
        <v>150</v>
      </c>
      <c r="G38" s="62" t="s">
        <v>190</v>
      </c>
      <c r="H38" s="62" t="s">
        <v>592</v>
      </c>
      <c r="I38" s="93" t="s">
        <v>593</v>
      </c>
      <c r="J38" s="93" t="s">
        <v>483</v>
      </c>
      <c r="K38" s="93" t="s">
        <v>594</v>
      </c>
      <c r="L38" s="93" t="s">
        <v>595</v>
      </c>
    </row>
    <row r="39" customFormat="false" ht="27.75" hidden="false" customHeight="true" outlineLevel="0" collapsed="false">
      <c r="A39" s="47" t="n">
        <v>7</v>
      </c>
      <c r="B39" s="48" t="s">
        <v>596</v>
      </c>
      <c r="C39" s="48" t="s">
        <v>597</v>
      </c>
      <c r="D39" s="50" t="s">
        <v>516</v>
      </c>
      <c r="E39" s="50" t="s">
        <v>561</v>
      </c>
      <c r="F39" s="47" t="n">
        <v>300</v>
      </c>
      <c r="G39" s="47" t="n">
        <v>500</v>
      </c>
      <c r="H39" s="47" t="s">
        <v>190</v>
      </c>
      <c r="I39" s="50" t="s">
        <v>598</v>
      </c>
      <c r="J39" s="50" t="s">
        <v>599</v>
      </c>
      <c r="K39" s="50" t="s">
        <v>600</v>
      </c>
      <c r="L39" s="50" t="s">
        <v>601</v>
      </c>
    </row>
    <row r="40" customFormat="false" ht="36" hidden="false" customHeight="true" outlineLevel="0" collapsed="false">
      <c r="A40" s="62" t="n">
        <v>8</v>
      </c>
      <c r="B40" s="91" t="s">
        <v>602</v>
      </c>
      <c r="C40" s="91" t="s">
        <v>603</v>
      </c>
      <c r="D40" s="93" t="s">
        <v>604</v>
      </c>
      <c r="E40" s="93" t="s">
        <v>605</v>
      </c>
      <c r="F40" s="62" t="n">
        <v>440</v>
      </c>
      <c r="G40" s="62" t="n">
        <v>380</v>
      </c>
      <c r="H40" s="62" t="s">
        <v>606</v>
      </c>
      <c r="I40" s="93" t="s">
        <v>607</v>
      </c>
      <c r="J40" s="93" t="s">
        <v>608</v>
      </c>
      <c r="K40" s="93" t="s">
        <v>609</v>
      </c>
      <c r="L40" s="93" t="s">
        <v>610</v>
      </c>
    </row>
    <row r="42" customFormat="false" ht="18" hidden="false" customHeight="true" outlineLevel="0" collapsed="false">
      <c r="A42" s="42" t="s">
        <v>611</v>
      </c>
      <c r="B42" s="42"/>
      <c r="C42" s="42"/>
      <c r="D42" s="42"/>
      <c r="E42" s="42"/>
      <c r="F42" s="42"/>
      <c r="G42" s="42"/>
      <c r="H42" s="42"/>
      <c r="I42" s="42"/>
      <c r="J42" s="42"/>
      <c r="K42" s="42"/>
      <c r="L42" s="42"/>
    </row>
    <row r="43" customFormat="false" ht="36" hidden="false" customHeight="true" outlineLevel="0" collapsed="false">
      <c r="A43" s="51" t="s">
        <v>390</v>
      </c>
      <c r="B43" s="51" t="s">
        <v>612</v>
      </c>
      <c r="C43" s="51" t="s">
        <v>613</v>
      </c>
      <c r="D43" s="51" t="s">
        <v>393</v>
      </c>
      <c r="E43" s="51" t="s">
        <v>614</v>
      </c>
      <c r="F43" s="51" t="s">
        <v>615</v>
      </c>
      <c r="G43" s="51" t="s">
        <v>616</v>
      </c>
      <c r="H43" s="51" t="s">
        <v>547</v>
      </c>
      <c r="I43" s="51" t="s">
        <v>617</v>
      </c>
      <c r="J43" s="51" t="s">
        <v>454</v>
      </c>
      <c r="K43" s="51" t="s">
        <v>618</v>
      </c>
      <c r="L43" s="51" t="s">
        <v>401</v>
      </c>
    </row>
    <row r="44" customFormat="false" ht="132" hidden="false" customHeight="true" outlineLevel="0" collapsed="false">
      <c r="A44" s="47" t="n">
        <v>1</v>
      </c>
      <c r="B44" s="48" t="s">
        <v>619</v>
      </c>
      <c r="C44" s="48" t="s">
        <v>620</v>
      </c>
      <c r="D44" s="48" t="s">
        <v>621</v>
      </c>
      <c r="E44" s="50" t="s">
        <v>622</v>
      </c>
      <c r="F44" s="97" t="n">
        <v>320</v>
      </c>
      <c r="G44" s="97" t="n">
        <v>285</v>
      </c>
      <c r="H44" s="50" t="s">
        <v>623</v>
      </c>
      <c r="I44" s="50" t="s">
        <v>624</v>
      </c>
      <c r="J44" s="50" t="s">
        <v>625</v>
      </c>
      <c r="K44" s="50" t="s">
        <v>626</v>
      </c>
      <c r="L44" s="50" t="s">
        <v>627</v>
      </c>
    </row>
    <row r="45" customFormat="false" ht="84" hidden="false" customHeight="true" outlineLevel="0" collapsed="false">
      <c r="A45" s="62" t="n">
        <v>2</v>
      </c>
      <c r="B45" s="91" t="s">
        <v>628</v>
      </c>
      <c r="C45" s="91" t="s">
        <v>629</v>
      </c>
      <c r="D45" s="91" t="s">
        <v>621</v>
      </c>
      <c r="E45" s="93" t="s">
        <v>630</v>
      </c>
      <c r="F45" s="98" t="n">
        <v>300</v>
      </c>
      <c r="G45" s="98" t="n">
        <v>0</v>
      </c>
      <c r="H45" s="93" t="s">
        <v>631</v>
      </c>
      <c r="I45" s="93" t="s">
        <v>632</v>
      </c>
      <c r="J45" s="93" t="s">
        <v>633</v>
      </c>
      <c r="K45" s="93" t="s">
        <v>634</v>
      </c>
      <c r="L45" s="93" t="s">
        <v>635</v>
      </c>
    </row>
    <row r="47" customFormat="false" ht="180" hidden="false" customHeight="true" outlineLevel="0" collapsed="false">
      <c r="B47" s="99" t="s">
        <v>636</v>
      </c>
      <c r="C47" s="99"/>
      <c r="D47" s="99"/>
      <c r="E47" s="99"/>
      <c r="F47" s="99"/>
      <c r="G47" s="99"/>
      <c r="H47" s="99"/>
      <c r="I47" s="99"/>
      <c r="J47" s="99"/>
      <c r="K47" s="99"/>
      <c r="L47" s="99"/>
    </row>
  </sheetData>
  <mergeCells count="7">
    <mergeCell ref="B1:L1"/>
    <mergeCell ref="B2:L2"/>
    <mergeCell ref="A4:L4"/>
    <mergeCell ref="A13:L13"/>
    <mergeCell ref="A31:L31"/>
    <mergeCell ref="A42:L42"/>
    <mergeCell ref="B47:L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3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7" min="2" style="1" width="6"/>
    <col collapsed="false" customWidth="true" hidden="false" outlineLevel="0" max="8" min="8" style="1" width="36"/>
    <col collapsed="false" customWidth="true" hidden="false" outlineLevel="0" max="9" min="9" style="1" width="10"/>
    <col collapsed="false" customWidth="true" hidden="false" outlineLevel="0" max="10" min="10" style="1" width="40"/>
    <col collapsed="false" customWidth="true" hidden="false" outlineLevel="0" max="11" min="11" style="1" width="22"/>
    <col collapsed="false" customWidth="true" hidden="false" outlineLevel="0" max="12" min="12" style="1" width="12"/>
    <col collapsed="false" customWidth="true" hidden="false" outlineLevel="0" max="24" min="13" style="1" width="10"/>
  </cols>
  <sheetData>
    <row r="1" customFormat="false" ht="27.75" hidden="false" customHeight="true" outlineLevel="0" collapsed="false">
      <c r="A1" s="2" t="s">
        <v>637</v>
      </c>
      <c r="B1" s="2"/>
      <c r="C1" s="2"/>
      <c r="D1" s="2"/>
      <c r="E1" s="2"/>
      <c r="F1" s="2"/>
      <c r="G1" s="2"/>
      <c r="H1" s="2"/>
      <c r="I1" s="2"/>
      <c r="J1" s="2"/>
      <c r="K1" s="2"/>
      <c r="L1" s="2"/>
      <c r="M1" s="2"/>
      <c r="N1" s="2"/>
      <c r="O1" s="2"/>
      <c r="P1" s="2"/>
      <c r="Q1" s="2"/>
      <c r="R1" s="2"/>
      <c r="S1" s="2"/>
      <c r="T1" s="2"/>
      <c r="U1" s="2"/>
      <c r="V1" s="2"/>
      <c r="W1" s="2"/>
      <c r="X1" s="2"/>
    </row>
    <row r="2" customFormat="false" ht="18" hidden="false" customHeight="true" outlineLevel="0" collapsed="false">
      <c r="A2" s="3" t="s">
        <v>638</v>
      </c>
      <c r="B2" s="3"/>
      <c r="C2" s="3"/>
      <c r="D2" s="3"/>
      <c r="E2" s="3"/>
      <c r="F2" s="3"/>
      <c r="G2" s="3"/>
      <c r="H2" s="3"/>
      <c r="I2" s="3"/>
      <c r="J2" s="3"/>
      <c r="K2" s="3"/>
      <c r="L2" s="3"/>
      <c r="M2" s="3"/>
      <c r="N2" s="3"/>
      <c r="O2" s="3"/>
      <c r="P2" s="3"/>
      <c r="Q2" s="3"/>
      <c r="R2" s="3"/>
      <c r="S2" s="3"/>
      <c r="T2" s="3"/>
      <c r="U2" s="3"/>
      <c r="V2" s="3"/>
      <c r="W2" s="3"/>
      <c r="X2" s="3"/>
    </row>
    <row r="3" customFormat="false" ht="21.75" hidden="false" customHeight="true" outlineLevel="0" collapsed="false">
      <c r="A3" s="17" t="s">
        <v>639</v>
      </c>
      <c r="B3" s="17" t="s">
        <v>640</v>
      </c>
      <c r="C3" s="17" t="s">
        <v>641</v>
      </c>
      <c r="D3" s="17" t="s">
        <v>642</v>
      </c>
      <c r="E3" s="17" t="s">
        <v>643</v>
      </c>
      <c r="F3" s="17" t="s">
        <v>644</v>
      </c>
      <c r="G3" s="17" t="s">
        <v>645</v>
      </c>
      <c r="H3" s="17" t="s">
        <v>646</v>
      </c>
      <c r="I3" s="17" t="s">
        <v>39</v>
      </c>
      <c r="J3" s="17" t="s">
        <v>647</v>
      </c>
      <c r="K3" s="17" t="s">
        <v>648</v>
      </c>
      <c r="L3" s="17" t="s">
        <v>649</v>
      </c>
      <c r="M3" s="17" t="s">
        <v>40</v>
      </c>
      <c r="N3" s="17" t="s">
        <v>41</v>
      </c>
      <c r="O3" s="17" t="s">
        <v>42</v>
      </c>
      <c r="P3" s="17" t="s">
        <v>43</v>
      </c>
      <c r="Q3" s="17" t="s">
        <v>44</v>
      </c>
      <c r="R3" s="17" t="s">
        <v>45</v>
      </c>
      <c r="S3" s="17" t="s">
        <v>46</v>
      </c>
      <c r="T3" s="17" t="s">
        <v>47</v>
      </c>
      <c r="U3" s="17" t="s">
        <v>48</v>
      </c>
      <c r="V3" s="17" t="s">
        <v>49</v>
      </c>
      <c r="W3" s="17" t="s">
        <v>50</v>
      </c>
      <c r="X3" s="17" t="s">
        <v>51</v>
      </c>
    </row>
    <row r="5" customFormat="false" ht="21.75" hidden="false" customHeight="true" outlineLevel="0" collapsed="false">
      <c r="A5" s="70" t="s">
        <v>650</v>
      </c>
      <c r="B5" s="70"/>
      <c r="C5" s="70"/>
      <c r="D5" s="70"/>
      <c r="E5" s="70"/>
      <c r="F5" s="70"/>
      <c r="G5" s="70"/>
      <c r="H5" s="70"/>
      <c r="I5" s="70"/>
      <c r="J5" s="70"/>
      <c r="K5" s="70"/>
      <c r="L5" s="70"/>
      <c r="M5" s="70"/>
      <c r="N5" s="70"/>
      <c r="O5" s="70"/>
      <c r="P5" s="70"/>
      <c r="Q5" s="70"/>
      <c r="R5" s="70"/>
      <c r="S5" s="70"/>
      <c r="T5" s="70"/>
      <c r="U5" s="70"/>
      <c r="V5" s="70"/>
      <c r="W5" s="70"/>
      <c r="X5" s="70"/>
    </row>
    <row r="6" customFormat="false" ht="15" hidden="false" customHeight="true" outlineLevel="0" collapsed="false">
      <c r="A6" s="73" t="s">
        <v>651</v>
      </c>
      <c r="B6" s="73" t="s">
        <v>652</v>
      </c>
      <c r="C6" s="73" t="s">
        <v>653</v>
      </c>
      <c r="D6" s="73" t="s">
        <v>654</v>
      </c>
      <c r="E6" s="73" t="s">
        <v>655</v>
      </c>
      <c r="F6" s="73" t="s">
        <v>655</v>
      </c>
      <c r="G6" s="73" t="s">
        <v>655</v>
      </c>
      <c r="H6" s="73" t="s">
        <v>656</v>
      </c>
      <c r="I6" s="73" t="s">
        <v>53</v>
      </c>
      <c r="J6" s="73" t="s">
        <v>657</v>
      </c>
      <c r="K6" s="73" t="s">
        <v>658</v>
      </c>
      <c r="M6" s="100" t="n">
        <v>85</v>
      </c>
      <c r="N6" s="100" t="n">
        <v>90</v>
      </c>
      <c r="O6" s="100" t="n">
        <v>100</v>
      </c>
      <c r="P6" s="100" t="n">
        <v>105</v>
      </c>
      <c r="Q6" s="100" t="n">
        <v>110</v>
      </c>
      <c r="R6" s="100" t="n">
        <v>110</v>
      </c>
      <c r="S6" s="100" t="n">
        <v>115</v>
      </c>
      <c r="T6" s="100" t="n">
        <v>120</v>
      </c>
      <c r="U6" s="100" t="n">
        <v>125</v>
      </c>
      <c r="V6" s="100" t="n">
        <v>130</v>
      </c>
      <c r="W6" s="100" t="n">
        <v>135</v>
      </c>
      <c r="X6" s="100" t="n">
        <v>140</v>
      </c>
    </row>
    <row r="7" customFormat="false" ht="15" hidden="false" customHeight="true" outlineLevel="0" collapsed="false">
      <c r="A7" s="73" t="s">
        <v>659</v>
      </c>
      <c r="B7" s="73" t="s">
        <v>652</v>
      </c>
      <c r="C7" s="73" t="s">
        <v>653</v>
      </c>
      <c r="D7" s="73" t="s">
        <v>660</v>
      </c>
      <c r="E7" s="73" t="s">
        <v>655</v>
      </c>
      <c r="F7" s="73" t="s">
        <v>655</v>
      </c>
      <c r="G7" s="73" t="s">
        <v>655</v>
      </c>
      <c r="H7" s="73" t="s">
        <v>661</v>
      </c>
      <c r="I7" s="73" t="s">
        <v>55</v>
      </c>
      <c r="J7" s="73" t="s">
        <v>662</v>
      </c>
      <c r="K7" s="73" t="s">
        <v>663</v>
      </c>
      <c r="M7" s="101" t="n">
        <v>0</v>
      </c>
      <c r="N7" s="101" t="n">
        <v>0</v>
      </c>
      <c r="O7" s="101" t="n">
        <v>0.025</v>
      </c>
      <c r="P7" s="101" t="n">
        <v>0.05</v>
      </c>
      <c r="Q7" s="101" t="n">
        <v>0.1</v>
      </c>
      <c r="R7" s="101" t="n">
        <v>0.225</v>
      </c>
      <c r="S7" s="101" t="n">
        <v>0.485</v>
      </c>
      <c r="T7" s="101" t="n">
        <v>0.61</v>
      </c>
      <c r="U7" s="101" t="n">
        <v>0.735</v>
      </c>
      <c r="V7" s="101" t="n">
        <v>0.86</v>
      </c>
      <c r="W7" s="101" t="n">
        <v>1</v>
      </c>
      <c r="X7" s="101" t="n">
        <v>1</v>
      </c>
    </row>
    <row r="8" customFormat="false" ht="15" hidden="false" customHeight="true" outlineLevel="0" collapsed="false">
      <c r="A8" s="73" t="s">
        <v>664</v>
      </c>
      <c r="B8" s="73" t="s">
        <v>652</v>
      </c>
      <c r="C8" s="73" t="s">
        <v>653</v>
      </c>
      <c r="D8" s="73" t="s">
        <v>665</v>
      </c>
      <c r="E8" s="73" t="s">
        <v>655</v>
      </c>
      <c r="F8" s="73" t="s">
        <v>655</v>
      </c>
      <c r="G8" s="73" t="s">
        <v>655</v>
      </c>
      <c r="H8" s="73" t="s">
        <v>666</v>
      </c>
      <c r="I8" s="73" t="s">
        <v>667</v>
      </c>
      <c r="J8" s="73" t="s">
        <v>668</v>
      </c>
      <c r="K8" s="73"/>
      <c r="M8" s="102" t="n">
        <v>0</v>
      </c>
      <c r="N8" s="102" t="n">
        <v>0</v>
      </c>
      <c r="O8" s="102" t="n">
        <v>1</v>
      </c>
      <c r="P8" s="102" t="n">
        <v>1</v>
      </c>
      <c r="Q8" s="102" t="n">
        <v>1</v>
      </c>
      <c r="R8" s="102" t="n">
        <v>1</v>
      </c>
      <c r="S8" s="102" t="n">
        <v>1</v>
      </c>
      <c r="T8" s="102" t="n">
        <v>1</v>
      </c>
      <c r="U8" s="102" t="n">
        <v>1</v>
      </c>
      <c r="V8" s="102" t="n">
        <v>1</v>
      </c>
      <c r="W8" s="102" t="n">
        <v>1</v>
      </c>
      <c r="X8" s="102" t="n">
        <v>1</v>
      </c>
    </row>
    <row r="9" customFormat="false" ht="15" hidden="false" customHeight="true" outlineLevel="0" collapsed="false">
      <c r="A9" s="73" t="s">
        <v>669</v>
      </c>
      <c r="B9" s="73" t="s">
        <v>652</v>
      </c>
      <c r="C9" s="73" t="s">
        <v>653</v>
      </c>
      <c r="D9" s="73" t="s">
        <v>670</v>
      </c>
      <c r="E9" s="73" t="s">
        <v>655</v>
      </c>
      <c r="F9" s="73" t="s">
        <v>655</v>
      </c>
      <c r="G9" s="73" t="s">
        <v>655</v>
      </c>
      <c r="H9" s="73" t="s">
        <v>671</v>
      </c>
      <c r="I9" s="73" t="s">
        <v>672</v>
      </c>
      <c r="J9" s="73" t="s">
        <v>673</v>
      </c>
      <c r="K9" s="73"/>
      <c r="M9" s="103" t="n">
        <v>1.1</v>
      </c>
      <c r="N9" s="103" t="n">
        <v>1.1</v>
      </c>
      <c r="O9" s="103" t="n">
        <v>1.1</v>
      </c>
      <c r="P9" s="103" t="n">
        <v>1.1</v>
      </c>
      <c r="Q9" s="103" t="n">
        <v>1.1</v>
      </c>
      <c r="R9" s="103" t="n">
        <v>1.1</v>
      </c>
      <c r="S9" s="103" t="n">
        <v>1.1</v>
      </c>
      <c r="T9" s="103" t="n">
        <v>1.1</v>
      </c>
      <c r="U9" s="103" t="n">
        <v>1.1</v>
      </c>
      <c r="V9" s="103" t="n">
        <v>1.1</v>
      </c>
      <c r="W9" s="103" t="n">
        <v>1.1</v>
      </c>
      <c r="X9" s="103" t="n">
        <v>1.1</v>
      </c>
    </row>
    <row r="11" customFormat="false" ht="21.75" hidden="false" customHeight="true" outlineLevel="0" collapsed="false">
      <c r="A11" s="70" t="s">
        <v>674</v>
      </c>
      <c r="B11" s="70"/>
      <c r="C11" s="70"/>
      <c r="D11" s="70"/>
      <c r="E11" s="70"/>
      <c r="F11" s="70"/>
      <c r="G11" s="70"/>
      <c r="H11" s="70"/>
      <c r="I11" s="70"/>
      <c r="J11" s="70"/>
      <c r="K11" s="70"/>
      <c r="L11" s="70"/>
      <c r="M11" s="70"/>
      <c r="N11" s="70"/>
      <c r="O11" s="70"/>
      <c r="P11" s="70"/>
      <c r="Q11" s="70"/>
      <c r="R11" s="70"/>
      <c r="S11" s="70"/>
      <c r="T11" s="70"/>
      <c r="U11" s="70"/>
      <c r="V11" s="70"/>
      <c r="W11" s="70"/>
      <c r="X11" s="70"/>
    </row>
    <row r="12" customFormat="false" ht="15" hidden="false" customHeight="true" outlineLevel="0" collapsed="false">
      <c r="A12" s="73" t="s">
        <v>675</v>
      </c>
      <c r="B12" s="73" t="s">
        <v>652</v>
      </c>
      <c r="C12" s="73" t="s">
        <v>653</v>
      </c>
      <c r="D12" s="73" t="s">
        <v>676</v>
      </c>
      <c r="E12" s="73" t="s">
        <v>655</v>
      </c>
      <c r="F12" s="73" t="s">
        <v>655</v>
      </c>
      <c r="G12" s="73" t="s">
        <v>96</v>
      </c>
      <c r="H12" s="73" t="s">
        <v>677</v>
      </c>
      <c r="I12" s="73" t="s">
        <v>678</v>
      </c>
      <c r="J12" s="73" t="s">
        <v>679</v>
      </c>
      <c r="K12" s="73" t="s">
        <v>680</v>
      </c>
      <c r="L12" s="100" t="n">
        <v>96.1</v>
      </c>
    </row>
    <row r="13" customFormat="false" ht="15" hidden="false" customHeight="true" outlineLevel="0" collapsed="false">
      <c r="A13" s="73" t="s">
        <v>681</v>
      </c>
      <c r="B13" s="73" t="s">
        <v>652</v>
      </c>
      <c r="C13" s="73" t="s">
        <v>653</v>
      </c>
      <c r="D13" s="73" t="s">
        <v>676</v>
      </c>
      <c r="E13" s="73" t="s">
        <v>655</v>
      </c>
      <c r="F13" s="73" t="s">
        <v>655</v>
      </c>
      <c r="G13" s="73" t="s">
        <v>99</v>
      </c>
      <c r="H13" s="73" t="s">
        <v>682</v>
      </c>
      <c r="I13" s="73" t="s">
        <v>678</v>
      </c>
      <c r="J13" s="73" t="s">
        <v>683</v>
      </c>
      <c r="K13" s="73" t="s">
        <v>680</v>
      </c>
      <c r="L13" s="100" t="n">
        <v>56.1</v>
      </c>
    </row>
    <row r="14" customFormat="false" ht="15" hidden="false" customHeight="true" outlineLevel="0" collapsed="false">
      <c r="A14" s="73" t="s">
        <v>684</v>
      </c>
      <c r="B14" s="73" t="s">
        <v>652</v>
      </c>
      <c r="C14" s="73" t="s">
        <v>653</v>
      </c>
      <c r="D14" s="73" t="s">
        <v>676</v>
      </c>
      <c r="E14" s="73" t="s">
        <v>655</v>
      </c>
      <c r="F14" s="73" t="s">
        <v>655</v>
      </c>
      <c r="G14" s="73" t="s">
        <v>101</v>
      </c>
      <c r="H14" s="73" t="s">
        <v>685</v>
      </c>
      <c r="I14" s="73" t="s">
        <v>678</v>
      </c>
      <c r="J14" s="73" t="s">
        <v>686</v>
      </c>
      <c r="K14" s="73" t="s">
        <v>680</v>
      </c>
      <c r="L14" s="100" t="n">
        <v>69.3</v>
      </c>
    </row>
    <row r="15" customFormat="false" ht="15" hidden="false" customHeight="true" outlineLevel="0" collapsed="false">
      <c r="A15" s="73" t="s">
        <v>687</v>
      </c>
      <c r="B15" s="73" t="s">
        <v>652</v>
      </c>
      <c r="C15" s="73" t="s">
        <v>653</v>
      </c>
      <c r="D15" s="73" t="s">
        <v>676</v>
      </c>
      <c r="E15" s="73" t="s">
        <v>655</v>
      </c>
      <c r="F15" s="73" t="s">
        <v>655</v>
      </c>
      <c r="G15" s="73" t="s">
        <v>103</v>
      </c>
      <c r="H15" s="73" t="s">
        <v>688</v>
      </c>
      <c r="I15" s="73" t="s">
        <v>678</v>
      </c>
      <c r="J15" s="73" t="s">
        <v>689</v>
      </c>
      <c r="K15" s="73" t="s">
        <v>680</v>
      </c>
      <c r="L15" s="100" t="n">
        <v>74.1</v>
      </c>
    </row>
    <row r="16" customFormat="false" ht="15" hidden="false" customHeight="true" outlineLevel="0" collapsed="false">
      <c r="A16" s="73" t="s">
        <v>690</v>
      </c>
      <c r="B16" s="73" t="s">
        <v>652</v>
      </c>
      <c r="C16" s="73" t="s">
        <v>653</v>
      </c>
      <c r="D16" s="73" t="s">
        <v>676</v>
      </c>
      <c r="E16" s="73" t="s">
        <v>655</v>
      </c>
      <c r="F16" s="73" t="s">
        <v>655</v>
      </c>
      <c r="G16" s="73" t="s">
        <v>105</v>
      </c>
      <c r="H16" s="73" t="s">
        <v>691</v>
      </c>
      <c r="I16" s="73" t="s">
        <v>678</v>
      </c>
      <c r="J16" s="73" t="s">
        <v>692</v>
      </c>
      <c r="K16" s="73" t="s">
        <v>680</v>
      </c>
      <c r="L16" s="100" t="n">
        <v>71.9</v>
      </c>
    </row>
    <row r="17" customFormat="false" ht="15" hidden="false" customHeight="true" outlineLevel="0" collapsed="false">
      <c r="A17" s="73" t="s">
        <v>693</v>
      </c>
      <c r="B17" s="73" t="s">
        <v>652</v>
      </c>
      <c r="C17" s="73" t="s">
        <v>653</v>
      </c>
      <c r="D17" s="73" t="s">
        <v>676</v>
      </c>
      <c r="E17" s="73" t="s">
        <v>655</v>
      </c>
      <c r="F17" s="73" t="s">
        <v>655</v>
      </c>
      <c r="G17" s="73" t="s">
        <v>107</v>
      </c>
      <c r="H17" s="73" t="s">
        <v>694</v>
      </c>
      <c r="I17" s="73" t="s">
        <v>678</v>
      </c>
      <c r="J17" s="73" t="s">
        <v>695</v>
      </c>
      <c r="K17" s="73" t="s">
        <v>680</v>
      </c>
      <c r="L17" s="100" t="n">
        <v>63.1</v>
      </c>
    </row>
    <row r="18" customFormat="false" ht="15" hidden="false" customHeight="true" outlineLevel="0" collapsed="false">
      <c r="A18" s="73" t="s">
        <v>696</v>
      </c>
      <c r="B18" s="73" t="s">
        <v>652</v>
      </c>
      <c r="C18" s="73" t="s">
        <v>653</v>
      </c>
      <c r="D18" s="73" t="s">
        <v>676</v>
      </c>
      <c r="E18" s="73" t="s">
        <v>655</v>
      </c>
      <c r="F18" s="73" t="s">
        <v>655</v>
      </c>
      <c r="G18" s="73" t="s">
        <v>109</v>
      </c>
      <c r="H18" s="73" t="s">
        <v>697</v>
      </c>
      <c r="I18" s="73" t="s">
        <v>678</v>
      </c>
      <c r="J18" s="73" t="s">
        <v>698</v>
      </c>
      <c r="K18" s="73" t="s">
        <v>680</v>
      </c>
      <c r="L18" s="100" t="n">
        <v>0</v>
      </c>
    </row>
    <row r="19" customFormat="false" ht="15" hidden="false" customHeight="true" outlineLevel="0" collapsed="false">
      <c r="A19" s="73" t="s">
        <v>699</v>
      </c>
      <c r="B19" s="73" t="s">
        <v>652</v>
      </c>
      <c r="C19" s="73" t="s">
        <v>653</v>
      </c>
      <c r="D19" s="73" t="s">
        <v>676</v>
      </c>
      <c r="E19" s="73" t="s">
        <v>655</v>
      </c>
      <c r="F19" s="73" t="s">
        <v>655</v>
      </c>
      <c r="G19" s="73" t="s">
        <v>111</v>
      </c>
      <c r="H19" s="73" t="s">
        <v>700</v>
      </c>
      <c r="I19" s="73" t="s">
        <v>678</v>
      </c>
      <c r="J19" s="73" t="s">
        <v>701</v>
      </c>
      <c r="K19" s="73" t="s">
        <v>680</v>
      </c>
      <c r="L19" s="100" t="n">
        <v>0</v>
      </c>
    </row>
    <row r="21" customFormat="false" ht="21.75" hidden="false" customHeight="true" outlineLevel="0" collapsed="false">
      <c r="A21" s="70" t="s">
        <v>702</v>
      </c>
      <c r="B21" s="70"/>
      <c r="C21" s="70"/>
      <c r="D21" s="70"/>
      <c r="E21" s="70"/>
      <c r="F21" s="70"/>
      <c r="G21" s="70"/>
      <c r="H21" s="70"/>
      <c r="I21" s="70"/>
      <c r="J21" s="70"/>
      <c r="K21" s="70"/>
      <c r="L21" s="70"/>
      <c r="M21" s="70"/>
      <c r="N21" s="70"/>
      <c r="O21" s="70"/>
      <c r="P21" s="70"/>
      <c r="Q21" s="70"/>
      <c r="R21" s="70"/>
      <c r="S21" s="70"/>
      <c r="T21" s="70"/>
      <c r="U21" s="70"/>
      <c r="V21" s="70"/>
      <c r="W21" s="70"/>
      <c r="X21" s="70"/>
    </row>
    <row r="22" customFormat="false" ht="15" hidden="false" customHeight="true" outlineLevel="0" collapsed="false">
      <c r="A22" s="73" t="s">
        <v>703</v>
      </c>
      <c r="B22" s="73" t="s">
        <v>652</v>
      </c>
      <c r="C22" s="73" t="s">
        <v>653</v>
      </c>
      <c r="D22" s="73" t="s">
        <v>704</v>
      </c>
      <c r="E22" s="73" t="s">
        <v>705</v>
      </c>
      <c r="F22" s="73" t="s">
        <v>706</v>
      </c>
      <c r="G22" s="73" t="s">
        <v>655</v>
      </c>
      <c r="H22" s="73" t="s">
        <v>707</v>
      </c>
      <c r="I22" s="73" t="s">
        <v>708</v>
      </c>
      <c r="J22" s="73" t="s">
        <v>709</v>
      </c>
      <c r="K22" s="73" t="s">
        <v>710</v>
      </c>
      <c r="L22" s="104" t="n">
        <v>0.481</v>
      </c>
    </row>
    <row r="23" customFormat="false" ht="15" hidden="false" customHeight="true" outlineLevel="0" collapsed="false">
      <c r="A23" s="73" t="s">
        <v>711</v>
      </c>
      <c r="B23" s="73" t="s">
        <v>652</v>
      </c>
      <c r="C23" s="73" t="s">
        <v>653</v>
      </c>
      <c r="D23" s="73" t="s">
        <v>712</v>
      </c>
      <c r="E23" s="73" t="s">
        <v>705</v>
      </c>
      <c r="F23" s="73" t="s">
        <v>706</v>
      </c>
      <c r="G23" s="73" t="s">
        <v>655</v>
      </c>
      <c r="H23" s="73" t="s">
        <v>713</v>
      </c>
      <c r="I23" s="73" t="s">
        <v>708</v>
      </c>
      <c r="J23" s="73" t="s">
        <v>714</v>
      </c>
      <c r="K23" s="73" t="s">
        <v>710</v>
      </c>
      <c r="L23" s="104" t="n">
        <v>0.5772</v>
      </c>
    </row>
    <row r="24" customFormat="false" ht="15" hidden="false" customHeight="true" outlineLevel="0" collapsed="false">
      <c r="A24" s="73" t="s">
        <v>715</v>
      </c>
      <c r="B24" s="73" t="s">
        <v>652</v>
      </c>
      <c r="C24" s="73" t="s">
        <v>653</v>
      </c>
      <c r="D24" s="73" t="s">
        <v>716</v>
      </c>
      <c r="E24" s="73" t="s">
        <v>705</v>
      </c>
      <c r="F24" s="73" t="s">
        <v>706</v>
      </c>
      <c r="G24" s="73" t="s">
        <v>655</v>
      </c>
      <c r="H24" s="73" t="s">
        <v>717</v>
      </c>
      <c r="I24" s="73" t="s">
        <v>718</v>
      </c>
      <c r="J24" s="73" t="s">
        <v>719</v>
      </c>
      <c r="K24" s="73" t="s">
        <v>720</v>
      </c>
      <c r="L24" s="100" t="n">
        <v>750</v>
      </c>
    </row>
    <row r="25" customFormat="false" ht="15" hidden="false" customHeight="true" outlineLevel="0" collapsed="false">
      <c r="A25" s="73" t="s">
        <v>721</v>
      </c>
      <c r="B25" s="73" t="s">
        <v>652</v>
      </c>
      <c r="C25" s="73" t="s">
        <v>653</v>
      </c>
      <c r="D25" s="73" t="s">
        <v>722</v>
      </c>
      <c r="E25" s="73" t="s">
        <v>705</v>
      </c>
      <c r="F25" s="73" t="s">
        <v>706</v>
      </c>
      <c r="G25" s="73" t="s">
        <v>655</v>
      </c>
      <c r="H25" s="73" t="s">
        <v>723</v>
      </c>
      <c r="I25" s="73" t="s">
        <v>667</v>
      </c>
      <c r="J25" s="73" t="s">
        <v>724</v>
      </c>
      <c r="K25" s="73" t="s">
        <v>725</v>
      </c>
      <c r="L25" s="102" t="n">
        <v>0</v>
      </c>
    </row>
    <row r="26" customFormat="false" ht="15" hidden="false" customHeight="true" outlineLevel="0" collapsed="false">
      <c r="A26" s="73" t="s">
        <v>726</v>
      </c>
      <c r="B26" s="73" t="s">
        <v>652</v>
      </c>
      <c r="C26" s="73" t="s">
        <v>653</v>
      </c>
      <c r="D26" s="73" t="s">
        <v>727</v>
      </c>
      <c r="E26" s="73" t="s">
        <v>705</v>
      </c>
      <c r="F26" s="73" t="s">
        <v>706</v>
      </c>
      <c r="G26" s="73" t="s">
        <v>655</v>
      </c>
      <c r="H26" s="73" t="s">
        <v>728</v>
      </c>
      <c r="I26" s="73" t="s">
        <v>729</v>
      </c>
      <c r="J26" s="73" t="s">
        <v>730</v>
      </c>
      <c r="K26" s="73" t="s">
        <v>731</v>
      </c>
      <c r="L26" s="103" t="n">
        <v>0</v>
      </c>
    </row>
    <row r="27" customFormat="false" ht="15" hidden="false" customHeight="true" outlineLevel="0" collapsed="false">
      <c r="A27" s="73" t="s">
        <v>732</v>
      </c>
      <c r="B27" s="73" t="s">
        <v>652</v>
      </c>
      <c r="C27" s="73" t="s">
        <v>653</v>
      </c>
      <c r="D27" s="73" t="s">
        <v>704</v>
      </c>
      <c r="E27" s="73" t="s">
        <v>705</v>
      </c>
      <c r="F27" s="73" t="s">
        <v>733</v>
      </c>
      <c r="G27" s="73" t="s">
        <v>655</v>
      </c>
      <c r="H27" s="73" t="s">
        <v>734</v>
      </c>
      <c r="I27" s="73" t="s">
        <v>708</v>
      </c>
      <c r="J27" s="73" t="s">
        <v>709</v>
      </c>
      <c r="K27" s="73" t="s">
        <v>710</v>
      </c>
      <c r="L27" s="104" t="n">
        <v>0.072</v>
      </c>
    </row>
    <row r="28" customFormat="false" ht="15" hidden="false" customHeight="true" outlineLevel="0" collapsed="false">
      <c r="A28" s="73" t="s">
        <v>735</v>
      </c>
      <c r="B28" s="73" t="s">
        <v>652</v>
      </c>
      <c r="C28" s="73" t="s">
        <v>653</v>
      </c>
      <c r="D28" s="73" t="s">
        <v>712</v>
      </c>
      <c r="E28" s="73" t="s">
        <v>705</v>
      </c>
      <c r="F28" s="73" t="s">
        <v>733</v>
      </c>
      <c r="G28" s="73" t="s">
        <v>655</v>
      </c>
      <c r="H28" s="73" t="s">
        <v>736</v>
      </c>
      <c r="I28" s="73" t="s">
        <v>708</v>
      </c>
      <c r="J28" s="73" t="s">
        <v>714</v>
      </c>
      <c r="K28" s="73" t="s">
        <v>710</v>
      </c>
      <c r="L28" s="104" t="n">
        <v>0.0864</v>
      </c>
    </row>
    <row r="29" customFormat="false" ht="15" hidden="false" customHeight="true" outlineLevel="0" collapsed="false">
      <c r="A29" s="73" t="s">
        <v>737</v>
      </c>
      <c r="B29" s="73" t="s">
        <v>652</v>
      </c>
      <c r="C29" s="73" t="s">
        <v>653</v>
      </c>
      <c r="D29" s="73" t="s">
        <v>716</v>
      </c>
      <c r="E29" s="73" t="s">
        <v>705</v>
      </c>
      <c r="F29" s="73" t="s">
        <v>733</v>
      </c>
      <c r="G29" s="73" t="s">
        <v>655</v>
      </c>
      <c r="H29" s="73" t="s">
        <v>738</v>
      </c>
      <c r="I29" s="73" t="s">
        <v>718</v>
      </c>
      <c r="J29" s="73" t="s">
        <v>719</v>
      </c>
      <c r="K29" s="73" t="s">
        <v>720</v>
      </c>
      <c r="L29" s="100" t="n">
        <v>680</v>
      </c>
    </row>
    <row r="30" customFormat="false" ht="15" hidden="false" customHeight="true" outlineLevel="0" collapsed="false">
      <c r="A30" s="73" t="s">
        <v>739</v>
      </c>
      <c r="B30" s="73" t="s">
        <v>652</v>
      </c>
      <c r="C30" s="73" t="s">
        <v>653</v>
      </c>
      <c r="D30" s="73" t="s">
        <v>722</v>
      </c>
      <c r="E30" s="73" t="s">
        <v>705</v>
      </c>
      <c r="F30" s="73" t="s">
        <v>733</v>
      </c>
      <c r="G30" s="73" t="s">
        <v>655</v>
      </c>
      <c r="H30" s="73" t="s">
        <v>740</v>
      </c>
      <c r="I30" s="73" t="s">
        <v>667</v>
      </c>
      <c r="J30" s="73" t="s">
        <v>724</v>
      </c>
      <c r="K30" s="73" t="s">
        <v>725</v>
      </c>
      <c r="L30" s="102" t="n">
        <v>0</v>
      </c>
    </row>
    <row r="31" customFormat="false" ht="15" hidden="false" customHeight="true" outlineLevel="0" collapsed="false">
      <c r="A31" s="73" t="s">
        <v>741</v>
      </c>
      <c r="B31" s="73" t="s">
        <v>652</v>
      </c>
      <c r="C31" s="73" t="s">
        <v>653</v>
      </c>
      <c r="D31" s="73" t="s">
        <v>727</v>
      </c>
      <c r="E31" s="73" t="s">
        <v>705</v>
      </c>
      <c r="F31" s="73" t="s">
        <v>733</v>
      </c>
      <c r="G31" s="73" t="s">
        <v>655</v>
      </c>
      <c r="H31" s="73" t="s">
        <v>742</v>
      </c>
      <c r="I31" s="73" t="s">
        <v>729</v>
      </c>
      <c r="J31" s="73" t="s">
        <v>730</v>
      </c>
      <c r="K31" s="73" t="s">
        <v>731</v>
      </c>
      <c r="L31" s="103" t="n">
        <v>0</v>
      </c>
    </row>
    <row r="32" customFormat="false" ht="15" hidden="false" customHeight="true" outlineLevel="0" collapsed="false">
      <c r="A32" s="73" t="s">
        <v>743</v>
      </c>
      <c r="B32" s="73" t="s">
        <v>652</v>
      </c>
      <c r="C32" s="73" t="s">
        <v>653</v>
      </c>
      <c r="D32" s="73" t="s">
        <v>704</v>
      </c>
      <c r="E32" s="73" t="s">
        <v>705</v>
      </c>
      <c r="F32" s="73" t="s">
        <v>744</v>
      </c>
      <c r="G32" s="73" t="s">
        <v>655</v>
      </c>
      <c r="H32" s="73" t="s">
        <v>745</v>
      </c>
      <c r="I32" s="73" t="s">
        <v>708</v>
      </c>
      <c r="J32" s="73" t="s">
        <v>709</v>
      </c>
      <c r="K32" s="73" t="s">
        <v>710</v>
      </c>
      <c r="L32" s="104" t="n">
        <v>1.37</v>
      </c>
    </row>
    <row r="33" customFormat="false" ht="15" hidden="false" customHeight="true" outlineLevel="0" collapsed="false">
      <c r="A33" s="73" t="s">
        <v>746</v>
      </c>
      <c r="B33" s="73" t="s">
        <v>652</v>
      </c>
      <c r="C33" s="73" t="s">
        <v>653</v>
      </c>
      <c r="D33" s="73" t="s">
        <v>712</v>
      </c>
      <c r="E33" s="73" t="s">
        <v>705</v>
      </c>
      <c r="F33" s="73" t="s">
        <v>744</v>
      </c>
      <c r="G33" s="73" t="s">
        <v>655</v>
      </c>
      <c r="H33" s="73" t="s">
        <v>747</v>
      </c>
      <c r="I33" s="73" t="s">
        <v>708</v>
      </c>
      <c r="J33" s="73" t="s">
        <v>714</v>
      </c>
      <c r="K33" s="73" t="s">
        <v>710</v>
      </c>
      <c r="L33" s="104" t="n">
        <v>1.644</v>
      </c>
    </row>
    <row r="34" customFormat="false" ht="15" hidden="false" customHeight="true" outlineLevel="0" collapsed="false">
      <c r="A34" s="73" t="s">
        <v>748</v>
      </c>
      <c r="B34" s="73" t="s">
        <v>652</v>
      </c>
      <c r="C34" s="73" t="s">
        <v>653</v>
      </c>
      <c r="D34" s="73" t="s">
        <v>716</v>
      </c>
      <c r="E34" s="73" t="s">
        <v>705</v>
      </c>
      <c r="F34" s="73" t="s">
        <v>744</v>
      </c>
      <c r="G34" s="73" t="s">
        <v>655</v>
      </c>
      <c r="H34" s="73" t="s">
        <v>749</v>
      </c>
      <c r="I34" s="73" t="s">
        <v>718</v>
      </c>
      <c r="J34" s="73" t="s">
        <v>719</v>
      </c>
      <c r="K34" s="73" t="s">
        <v>720</v>
      </c>
      <c r="L34" s="100" t="n">
        <v>620</v>
      </c>
    </row>
    <row r="35" customFormat="false" ht="15" hidden="false" customHeight="true" outlineLevel="0" collapsed="false">
      <c r="A35" s="73" t="s">
        <v>750</v>
      </c>
      <c r="B35" s="73" t="s">
        <v>652</v>
      </c>
      <c r="C35" s="73" t="s">
        <v>653</v>
      </c>
      <c r="D35" s="73" t="s">
        <v>722</v>
      </c>
      <c r="E35" s="73" t="s">
        <v>705</v>
      </c>
      <c r="F35" s="73" t="s">
        <v>744</v>
      </c>
      <c r="G35" s="73" t="s">
        <v>655</v>
      </c>
      <c r="H35" s="73" t="s">
        <v>751</v>
      </c>
      <c r="I35" s="73" t="s">
        <v>667</v>
      </c>
      <c r="J35" s="73" t="s">
        <v>724</v>
      </c>
      <c r="K35" s="73" t="s">
        <v>725</v>
      </c>
      <c r="L35" s="102" t="n">
        <v>0</v>
      </c>
    </row>
    <row r="36" customFormat="false" ht="15" hidden="false" customHeight="true" outlineLevel="0" collapsed="false">
      <c r="A36" s="73" t="s">
        <v>752</v>
      </c>
      <c r="B36" s="73" t="s">
        <v>652</v>
      </c>
      <c r="C36" s="73" t="s">
        <v>653</v>
      </c>
      <c r="D36" s="73" t="s">
        <v>727</v>
      </c>
      <c r="E36" s="73" t="s">
        <v>705</v>
      </c>
      <c r="F36" s="73" t="s">
        <v>744</v>
      </c>
      <c r="G36" s="73" t="s">
        <v>655</v>
      </c>
      <c r="H36" s="73" t="s">
        <v>753</v>
      </c>
      <c r="I36" s="73" t="s">
        <v>729</v>
      </c>
      <c r="J36" s="73" t="s">
        <v>730</v>
      </c>
      <c r="K36" s="73" t="s">
        <v>731</v>
      </c>
      <c r="L36" s="103" t="n">
        <v>0</v>
      </c>
    </row>
    <row r="37" customFormat="false" ht="15" hidden="false" customHeight="true" outlineLevel="0" collapsed="false">
      <c r="A37" s="73" t="s">
        <v>754</v>
      </c>
      <c r="B37" s="73" t="s">
        <v>652</v>
      </c>
      <c r="C37" s="73" t="s">
        <v>653</v>
      </c>
      <c r="D37" s="73" t="s">
        <v>704</v>
      </c>
      <c r="E37" s="73" t="s">
        <v>755</v>
      </c>
      <c r="F37" s="73" t="s">
        <v>756</v>
      </c>
      <c r="G37" s="73" t="s">
        <v>655</v>
      </c>
      <c r="H37" s="73" t="s">
        <v>757</v>
      </c>
      <c r="I37" s="73" t="s">
        <v>708</v>
      </c>
      <c r="J37" s="73" t="s">
        <v>709</v>
      </c>
      <c r="K37" s="73" t="s">
        <v>710</v>
      </c>
      <c r="L37" s="104" t="n">
        <v>0.666</v>
      </c>
    </row>
    <row r="38" customFormat="false" ht="15" hidden="false" customHeight="true" outlineLevel="0" collapsed="false">
      <c r="A38" s="73" t="s">
        <v>758</v>
      </c>
      <c r="B38" s="73" t="s">
        <v>652</v>
      </c>
      <c r="C38" s="73" t="s">
        <v>653</v>
      </c>
      <c r="D38" s="73" t="s">
        <v>712</v>
      </c>
      <c r="E38" s="73" t="s">
        <v>755</v>
      </c>
      <c r="F38" s="73" t="s">
        <v>756</v>
      </c>
      <c r="G38" s="73" t="s">
        <v>655</v>
      </c>
      <c r="H38" s="73" t="s">
        <v>759</v>
      </c>
      <c r="I38" s="73" t="s">
        <v>708</v>
      </c>
      <c r="J38" s="73" t="s">
        <v>714</v>
      </c>
      <c r="K38" s="73" t="s">
        <v>710</v>
      </c>
      <c r="L38" s="104" t="n">
        <v>0.7992</v>
      </c>
    </row>
    <row r="39" customFormat="false" ht="15" hidden="false" customHeight="true" outlineLevel="0" collapsed="false">
      <c r="A39" s="73" t="s">
        <v>760</v>
      </c>
      <c r="B39" s="73" t="s">
        <v>652</v>
      </c>
      <c r="C39" s="73" t="s">
        <v>653</v>
      </c>
      <c r="D39" s="73" t="s">
        <v>716</v>
      </c>
      <c r="E39" s="73" t="s">
        <v>755</v>
      </c>
      <c r="F39" s="73" t="s">
        <v>756</v>
      </c>
      <c r="G39" s="73" t="s">
        <v>655</v>
      </c>
      <c r="H39" s="73" t="s">
        <v>761</v>
      </c>
      <c r="I39" s="73" t="s">
        <v>718</v>
      </c>
      <c r="J39" s="73" t="s">
        <v>719</v>
      </c>
      <c r="K39" s="73" t="s">
        <v>720</v>
      </c>
      <c r="L39" s="100" t="n">
        <v>110</v>
      </c>
    </row>
    <row r="40" customFormat="false" ht="15" hidden="false" customHeight="true" outlineLevel="0" collapsed="false">
      <c r="A40" s="73" t="s">
        <v>762</v>
      </c>
      <c r="B40" s="73" t="s">
        <v>652</v>
      </c>
      <c r="C40" s="73" t="s">
        <v>653</v>
      </c>
      <c r="D40" s="73" t="s">
        <v>722</v>
      </c>
      <c r="E40" s="73" t="s">
        <v>755</v>
      </c>
      <c r="F40" s="73" t="s">
        <v>756</v>
      </c>
      <c r="G40" s="73" t="s">
        <v>655</v>
      </c>
      <c r="H40" s="73" t="s">
        <v>763</v>
      </c>
      <c r="I40" s="73" t="s">
        <v>667</v>
      </c>
      <c r="J40" s="73" t="s">
        <v>724</v>
      </c>
      <c r="K40" s="73" t="s">
        <v>725</v>
      </c>
      <c r="L40" s="102" t="n">
        <v>1</v>
      </c>
    </row>
    <row r="41" customFormat="false" ht="15" hidden="false" customHeight="true" outlineLevel="0" collapsed="false">
      <c r="A41" s="73" t="s">
        <v>764</v>
      </c>
      <c r="B41" s="73" t="s">
        <v>652</v>
      </c>
      <c r="C41" s="73" t="s">
        <v>653</v>
      </c>
      <c r="D41" s="73" t="s">
        <v>727</v>
      </c>
      <c r="E41" s="73" t="s">
        <v>755</v>
      </c>
      <c r="F41" s="73" t="s">
        <v>756</v>
      </c>
      <c r="G41" s="73" t="s">
        <v>655</v>
      </c>
      <c r="H41" s="73" t="s">
        <v>765</v>
      </c>
      <c r="I41" s="73" t="s">
        <v>729</v>
      </c>
      <c r="J41" s="73" t="s">
        <v>730</v>
      </c>
      <c r="K41" s="73" t="s">
        <v>731</v>
      </c>
      <c r="L41" s="103" t="n">
        <v>0</v>
      </c>
    </row>
    <row r="42" customFormat="false" ht="15" hidden="false" customHeight="true" outlineLevel="0" collapsed="false">
      <c r="A42" s="73" t="s">
        <v>766</v>
      </c>
      <c r="B42" s="73" t="s">
        <v>652</v>
      </c>
      <c r="C42" s="73" t="s">
        <v>653</v>
      </c>
      <c r="D42" s="73" t="s">
        <v>704</v>
      </c>
      <c r="E42" s="73" t="s">
        <v>767</v>
      </c>
      <c r="F42" s="73" t="s">
        <v>768</v>
      </c>
      <c r="G42" s="73" t="s">
        <v>655</v>
      </c>
      <c r="H42" s="73" t="s">
        <v>769</v>
      </c>
      <c r="I42" s="73" t="s">
        <v>708</v>
      </c>
      <c r="J42" s="73" t="s">
        <v>709</v>
      </c>
      <c r="K42" s="73" t="s">
        <v>710</v>
      </c>
      <c r="L42" s="104" t="n">
        <v>1.522</v>
      </c>
    </row>
    <row r="43" customFormat="false" ht="15" hidden="false" customHeight="true" outlineLevel="0" collapsed="false">
      <c r="A43" s="73" t="s">
        <v>770</v>
      </c>
      <c r="B43" s="73" t="s">
        <v>652</v>
      </c>
      <c r="C43" s="73" t="s">
        <v>653</v>
      </c>
      <c r="D43" s="73" t="s">
        <v>712</v>
      </c>
      <c r="E43" s="73" t="s">
        <v>767</v>
      </c>
      <c r="F43" s="73" t="s">
        <v>768</v>
      </c>
      <c r="G43" s="73" t="s">
        <v>655</v>
      </c>
      <c r="H43" s="73" t="s">
        <v>771</v>
      </c>
      <c r="I43" s="73" t="s">
        <v>708</v>
      </c>
      <c r="J43" s="73" t="s">
        <v>714</v>
      </c>
      <c r="K43" s="73" t="s">
        <v>710</v>
      </c>
      <c r="L43" s="104" t="n">
        <v>1.8264</v>
      </c>
    </row>
    <row r="44" customFormat="false" ht="15" hidden="false" customHeight="true" outlineLevel="0" collapsed="false">
      <c r="A44" s="73" t="s">
        <v>772</v>
      </c>
      <c r="B44" s="73" t="s">
        <v>652</v>
      </c>
      <c r="C44" s="73" t="s">
        <v>653</v>
      </c>
      <c r="D44" s="73" t="s">
        <v>716</v>
      </c>
      <c r="E44" s="73" t="s">
        <v>767</v>
      </c>
      <c r="F44" s="73" t="s">
        <v>768</v>
      </c>
      <c r="G44" s="73" t="s">
        <v>655</v>
      </c>
      <c r="H44" s="73" t="s">
        <v>773</v>
      </c>
      <c r="I44" s="73" t="s">
        <v>718</v>
      </c>
      <c r="J44" s="73" t="s">
        <v>719</v>
      </c>
      <c r="K44" s="73" t="s">
        <v>720</v>
      </c>
      <c r="L44" s="100" t="n">
        <v>450</v>
      </c>
    </row>
    <row r="45" customFormat="false" ht="15" hidden="false" customHeight="true" outlineLevel="0" collapsed="false">
      <c r="A45" s="73" t="s">
        <v>774</v>
      </c>
      <c r="B45" s="73" t="s">
        <v>652</v>
      </c>
      <c r="C45" s="73" t="s">
        <v>653</v>
      </c>
      <c r="D45" s="73" t="s">
        <v>722</v>
      </c>
      <c r="E45" s="73" t="s">
        <v>767</v>
      </c>
      <c r="F45" s="73" t="s">
        <v>768</v>
      </c>
      <c r="G45" s="73" t="s">
        <v>655</v>
      </c>
      <c r="H45" s="73" t="s">
        <v>775</v>
      </c>
      <c r="I45" s="73" t="s">
        <v>667</v>
      </c>
      <c r="J45" s="73" t="s">
        <v>724</v>
      </c>
      <c r="K45" s="73" t="s">
        <v>725</v>
      </c>
      <c r="L45" s="102" t="n">
        <v>1</v>
      </c>
    </row>
    <row r="46" customFormat="false" ht="15" hidden="false" customHeight="true" outlineLevel="0" collapsed="false">
      <c r="A46" s="73" t="s">
        <v>776</v>
      </c>
      <c r="B46" s="73" t="s">
        <v>652</v>
      </c>
      <c r="C46" s="73" t="s">
        <v>653</v>
      </c>
      <c r="D46" s="73" t="s">
        <v>727</v>
      </c>
      <c r="E46" s="73" t="s">
        <v>767</v>
      </c>
      <c r="F46" s="73" t="s">
        <v>768</v>
      </c>
      <c r="G46" s="73" t="s">
        <v>655</v>
      </c>
      <c r="H46" s="73" t="s">
        <v>777</v>
      </c>
      <c r="I46" s="73" t="s">
        <v>729</v>
      </c>
      <c r="J46" s="73" t="s">
        <v>730</v>
      </c>
      <c r="K46" s="73" t="s">
        <v>731</v>
      </c>
      <c r="L46" s="103" t="n">
        <v>0</v>
      </c>
    </row>
    <row r="47" customFormat="false" ht="15" hidden="false" customHeight="true" outlineLevel="0" collapsed="false">
      <c r="A47" s="73" t="s">
        <v>778</v>
      </c>
      <c r="B47" s="73" t="s">
        <v>652</v>
      </c>
      <c r="C47" s="73" t="s">
        <v>653</v>
      </c>
      <c r="D47" s="73" t="s">
        <v>704</v>
      </c>
      <c r="E47" s="73" t="s">
        <v>767</v>
      </c>
      <c r="F47" s="73" t="s">
        <v>779</v>
      </c>
      <c r="G47" s="73" t="s">
        <v>655</v>
      </c>
      <c r="H47" s="73" t="s">
        <v>780</v>
      </c>
      <c r="I47" s="73" t="s">
        <v>708</v>
      </c>
      <c r="J47" s="73" t="s">
        <v>709</v>
      </c>
      <c r="K47" s="73" t="s">
        <v>710</v>
      </c>
      <c r="L47" s="104" t="n">
        <v>0.902</v>
      </c>
    </row>
    <row r="48" customFormat="false" ht="15" hidden="false" customHeight="true" outlineLevel="0" collapsed="false">
      <c r="A48" s="73" t="s">
        <v>781</v>
      </c>
      <c r="B48" s="73" t="s">
        <v>652</v>
      </c>
      <c r="C48" s="73" t="s">
        <v>653</v>
      </c>
      <c r="D48" s="73" t="s">
        <v>712</v>
      </c>
      <c r="E48" s="73" t="s">
        <v>767</v>
      </c>
      <c r="F48" s="73" t="s">
        <v>779</v>
      </c>
      <c r="G48" s="73" t="s">
        <v>655</v>
      </c>
      <c r="H48" s="73" t="s">
        <v>782</v>
      </c>
      <c r="I48" s="73" t="s">
        <v>708</v>
      </c>
      <c r="J48" s="73" t="s">
        <v>714</v>
      </c>
      <c r="K48" s="73" t="s">
        <v>710</v>
      </c>
      <c r="L48" s="104" t="n">
        <v>1.0824</v>
      </c>
    </row>
    <row r="49" customFormat="false" ht="15" hidden="false" customHeight="true" outlineLevel="0" collapsed="false">
      <c r="A49" s="73" t="s">
        <v>783</v>
      </c>
      <c r="B49" s="73" t="s">
        <v>652</v>
      </c>
      <c r="C49" s="73" t="s">
        <v>653</v>
      </c>
      <c r="D49" s="73" t="s">
        <v>716</v>
      </c>
      <c r="E49" s="73" t="s">
        <v>767</v>
      </c>
      <c r="F49" s="73" t="s">
        <v>779</v>
      </c>
      <c r="G49" s="73" t="s">
        <v>655</v>
      </c>
      <c r="H49" s="73" t="s">
        <v>784</v>
      </c>
      <c r="I49" s="73" t="s">
        <v>718</v>
      </c>
      <c r="J49" s="73" t="s">
        <v>719</v>
      </c>
      <c r="K49" s="73" t="s">
        <v>720</v>
      </c>
      <c r="L49" s="100" t="n">
        <v>380</v>
      </c>
    </row>
    <row r="50" customFormat="false" ht="15" hidden="false" customHeight="true" outlineLevel="0" collapsed="false">
      <c r="A50" s="73" t="s">
        <v>785</v>
      </c>
      <c r="B50" s="73" t="s">
        <v>652</v>
      </c>
      <c r="C50" s="73" t="s">
        <v>653</v>
      </c>
      <c r="D50" s="73" t="s">
        <v>722</v>
      </c>
      <c r="E50" s="73" t="s">
        <v>767</v>
      </c>
      <c r="F50" s="73" t="s">
        <v>779</v>
      </c>
      <c r="G50" s="73" t="s">
        <v>655</v>
      </c>
      <c r="H50" s="73" t="s">
        <v>786</v>
      </c>
      <c r="I50" s="73" t="s">
        <v>667</v>
      </c>
      <c r="J50" s="73" t="s">
        <v>724</v>
      </c>
      <c r="K50" s="73" t="s">
        <v>725</v>
      </c>
      <c r="L50" s="102" t="n">
        <v>1</v>
      </c>
    </row>
    <row r="51" customFormat="false" ht="15" hidden="false" customHeight="true" outlineLevel="0" collapsed="false">
      <c r="A51" s="73" t="s">
        <v>787</v>
      </c>
      <c r="B51" s="73" t="s">
        <v>652</v>
      </c>
      <c r="C51" s="73" t="s">
        <v>653</v>
      </c>
      <c r="D51" s="73" t="s">
        <v>727</v>
      </c>
      <c r="E51" s="73" t="s">
        <v>767</v>
      </c>
      <c r="F51" s="73" t="s">
        <v>779</v>
      </c>
      <c r="G51" s="73" t="s">
        <v>655</v>
      </c>
      <c r="H51" s="73" t="s">
        <v>788</v>
      </c>
      <c r="I51" s="73" t="s">
        <v>729</v>
      </c>
      <c r="J51" s="73" t="s">
        <v>730</v>
      </c>
      <c r="K51" s="73" t="s">
        <v>731</v>
      </c>
      <c r="L51" s="103" t="n">
        <v>0.567</v>
      </c>
    </row>
    <row r="52" customFormat="false" ht="15" hidden="false" customHeight="true" outlineLevel="0" collapsed="false">
      <c r="A52" s="73" t="s">
        <v>789</v>
      </c>
      <c r="B52" s="73" t="s">
        <v>652</v>
      </c>
      <c r="C52" s="73" t="s">
        <v>653</v>
      </c>
      <c r="D52" s="73" t="s">
        <v>704</v>
      </c>
      <c r="E52" s="73" t="s">
        <v>767</v>
      </c>
      <c r="F52" s="73" t="s">
        <v>790</v>
      </c>
      <c r="G52" s="73" t="s">
        <v>655</v>
      </c>
      <c r="H52" s="73" t="s">
        <v>791</v>
      </c>
      <c r="I52" s="73" t="s">
        <v>708</v>
      </c>
      <c r="J52" s="73" t="s">
        <v>709</v>
      </c>
      <c r="K52" s="73" t="s">
        <v>710</v>
      </c>
      <c r="L52" s="104" t="n">
        <v>0.302</v>
      </c>
    </row>
    <row r="53" customFormat="false" ht="15" hidden="false" customHeight="true" outlineLevel="0" collapsed="false">
      <c r="A53" s="73" t="s">
        <v>792</v>
      </c>
      <c r="B53" s="73" t="s">
        <v>652</v>
      </c>
      <c r="C53" s="73" t="s">
        <v>653</v>
      </c>
      <c r="D53" s="73" t="s">
        <v>712</v>
      </c>
      <c r="E53" s="73" t="s">
        <v>767</v>
      </c>
      <c r="F53" s="73" t="s">
        <v>790</v>
      </c>
      <c r="G53" s="73" t="s">
        <v>655</v>
      </c>
      <c r="H53" s="73" t="s">
        <v>793</v>
      </c>
      <c r="I53" s="73" t="s">
        <v>708</v>
      </c>
      <c r="J53" s="73" t="s">
        <v>714</v>
      </c>
      <c r="K53" s="73" t="s">
        <v>710</v>
      </c>
      <c r="L53" s="104" t="n">
        <v>0.3624</v>
      </c>
    </row>
    <row r="54" customFormat="false" ht="15" hidden="false" customHeight="true" outlineLevel="0" collapsed="false">
      <c r="A54" s="73" t="s">
        <v>794</v>
      </c>
      <c r="B54" s="73" t="s">
        <v>652</v>
      </c>
      <c r="C54" s="73" t="s">
        <v>653</v>
      </c>
      <c r="D54" s="73" t="s">
        <v>716</v>
      </c>
      <c r="E54" s="73" t="s">
        <v>767</v>
      </c>
      <c r="F54" s="73" t="s">
        <v>790</v>
      </c>
      <c r="G54" s="73" t="s">
        <v>655</v>
      </c>
      <c r="H54" s="73" t="s">
        <v>795</v>
      </c>
      <c r="I54" s="73" t="s">
        <v>718</v>
      </c>
      <c r="J54" s="73" t="s">
        <v>719</v>
      </c>
      <c r="K54" s="73" t="s">
        <v>720</v>
      </c>
      <c r="L54" s="100" t="n">
        <v>320</v>
      </c>
    </row>
    <row r="55" customFormat="false" ht="15" hidden="false" customHeight="true" outlineLevel="0" collapsed="false">
      <c r="A55" s="73" t="s">
        <v>796</v>
      </c>
      <c r="B55" s="73" t="s">
        <v>652</v>
      </c>
      <c r="C55" s="73" t="s">
        <v>653</v>
      </c>
      <c r="D55" s="73" t="s">
        <v>722</v>
      </c>
      <c r="E55" s="73" t="s">
        <v>767</v>
      </c>
      <c r="F55" s="73" t="s">
        <v>790</v>
      </c>
      <c r="G55" s="73" t="s">
        <v>655</v>
      </c>
      <c r="H55" s="73" t="s">
        <v>797</v>
      </c>
      <c r="I55" s="73" t="s">
        <v>667</v>
      </c>
      <c r="J55" s="73" t="s">
        <v>724</v>
      </c>
      <c r="K55" s="73" t="s">
        <v>725</v>
      </c>
      <c r="L55" s="102" t="n">
        <v>1</v>
      </c>
    </row>
    <row r="56" customFormat="false" ht="15" hidden="false" customHeight="true" outlineLevel="0" collapsed="false">
      <c r="A56" s="73" t="s">
        <v>798</v>
      </c>
      <c r="B56" s="73" t="s">
        <v>652</v>
      </c>
      <c r="C56" s="73" t="s">
        <v>653</v>
      </c>
      <c r="D56" s="73" t="s">
        <v>727</v>
      </c>
      <c r="E56" s="73" t="s">
        <v>767</v>
      </c>
      <c r="F56" s="73" t="s">
        <v>790</v>
      </c>
      <c r="G56" s="73" t="s">
        <v>655</v>
      </c>
      <c r="H56" s="73" t="s">
        <v>799</v>
      </c>
      <c r="I56" s="73" t="s">
        <v>729</v>
      </c>
      <c r="J56" s="73" t="s">
        <v>730</v>
      </c>
      <c r="K56" s="73" t="s">
        <v>731</v>
      </c>
      <c r="L56" s="103" t="n">
        <v>0.213</v>
      </c>
    </row>
    <row r="57" customFormat="false" ht="15" hidden="false" customHeight="true" outlineLevel="0" collapsed="false">
      <c r="A57" s="73" t="s">
        <v>800</v>
      </c>
      <c r="B57" s="73" t="s">
        <v>652</v>
      </c>
      <c r="C57" s="73" t="s">
        <v>653</v>
      </c>
      <c r="D57" s="73" t="s">
        <v>704</v>
      </c>
      <c r="E57" s="73" t="s">
        <v>801</v>
      </c>
      <c r="F57" s="73" t="s">
        <v>802</v>
      </c>
      <c r="G57" s="73" t="s">
        <v>655</v>
      </c>
      <c r="H57" s="73" t="s">
        <v>803</v>
      </c>
      <c r="I57" s="73" t="s">
        <v>708</v>
      </c>
      <c r="J57" s="73" t="s">
        <v>709</v>
      </c>
      <c r="K57" s="73" t="s">
        <v>710</v>
      </c>
      <c r="L57" s="104" t="n">
        <v>1.423</v>
      </c>
    </row>
    <row r="58" customFormat="false" ht="15" hidden="false" customHeight="true" outlineLevel="0" collapsed="false">
      <c r="A58" s="73" t="s">
        <v>804</v>
      </c>
      <c r="B58" s="73" t="s">
        <v>652</v>
      </c>
      <c r="C58" s="73" t="s">
        <v>653</v>
      </c>
      <c r="D58" s="73" t="s">
        <v>712</v>
      </c>
      <c r="E58" s="73" t="s">
        <v>801</v>
      </c>
      <c r="F58" s="73" t="s">
        <v>802</v>
      </c>
      <c r="G58" s="73" t="s">
        <v>655</v>
      </c>
      <c r="H58" s="73" t="s">
        <v>805</v>
      </c>
      <c r="I58" s="73" t="s">
        <v>708</v>
      </c>
      <c r="J58" s="73" t="s">
        <v>714</v>
      </c>
      <c r="K58" s="73" t="s">
        <v>710</v>
      </c>
      <c r="L58" s="104" t="n">
        <v>1.7076</v>
      </c>
    </row>
    <row r="59" customFormat="false" ht="15" hidden="false" customHeight="true" outlineLevel="0" collapsed="false">
      <c r="A59" s="73" t="s">
        <v>806</v>
      </c>
      <c r="B59" s="73" t="s">
        <v>652</v>
      </c>
      <c r="C59" s="73" t="s">
        <v>653</v>
      </c>
      <c r="D59" s="73" t="s">
        <v>716</v>
      </c>
      <c r="E59" s="73" t="s">
        <v>801</v>
      </c>
      <c r="F59" s="73" t="s">
        <v>802</v>
      </c>
      <c r="G59" s="73" t="s">
        <v>655</v>
      </c>
      <c r="H59" s="73" t="s">
        <v>807</v>
      </c>
      <c r="I59" s="73" t="s">
        <v>718</v>
      </c>
      <c r="J59" s="73" t="s">
        <v>719</v>
      </c>
      <c r="K59" s="73" t="s">
        <v>720</v>
      </c>
      <c r="L59" s="100" t="n">
        <v>2400</v>
      </c>
    </row>
    <row r="60" customFormat="false" ht="15" hidden="false" customHeight="true" outlineLevel="0" collapsed="false">
      <c r="A60" s="73" t="s">
        <v>808</v>
      </c>
      <c r="B60" s="73" t="s">
        <v>652</v>
      </c>
      <c r="C60" s="73" t="s">
        <v>653</v>
      </c>
      <c r="D60" s="73" t="s">
        <v>722</v>
      </c>
      <c r="E60" s="73" t="s">
        <v>801</v>
      </c>
      <c r="F60" s="73" t="s">
        <v>802</v>
      </c>
      <c r="G60" s="73" t="s">
        <v>655</v>
      </c>
      <c r="H60" s="73" t="s">
        <v>809</v>
      </c>
      <c r="I60" s="73" t="s">
        <v>667</v>
      </c>
      <c r="J60" s="73" t="s">
        <v>724</v>
      </c>
      <c r="K60" s="73" t="s">
        <v>725</v>
      </c>
      <c r="L60" s="102" t="n">
        <v>0</v>
      </c>
    </row>
    <row r="61" customFormat="false" ht="15" hidden="false" customHeight="true" outlineLevel="0" collapsed="false">
      <c r="A61" s="73" t="s">
        <v>810</v>
      </c>
      <c r="B61" s="73" t="s">
        <v>652</v>
      </c>
      <c r="C61" s="73" t="s">
        <v>653</v>
      </c>
      <c r="D61" s="73" t="s">
        <v>727</v>
      </c>
      <c r="E61" s="73" t="s">
        <v>801</v>
      </c>
      <c r="F61" s="73" t="s">
        <v>802</v>
      </c>
      <c r="G61" s="73" t="s">
        <v>655</v>
      </c>
      <c r="H61" s="73" t="s">
        <v>811</v>
      </c>
      <c r="I61" s="73" t="s">
        <v>729</v>
      </c>
      <c r="J61" s="73" t="s">
        <v>730</v>
      </c>
      <c r="K61" s="73" t="s">
        <v>731</v>
      </c>
      <c r="L61" s="103" t="n">
        <v>0</v>
      </c>
    </row>
    <row r="63" customFormat="false" ht="21.75" hidden="false" customHeight="true" outlineLevel="0" collapsed="false">
      <c r="A63" s="70" t="s">
        <v>812</v>
      </c>
      <c r="B63" s="70"/>
      <c r="C63" s="70"/>
      <c r="D63" s="70"/>
      <c r="E63" s="70"/>
      <c r="F63" s="70"/>
      <c r="G63" s="70"/>
      <c r="H63" s="70"/>
      <c r="I63" s="70"/>
      <c r="J63" s="70"/>
      <c r="K63" s="70"/>
      <c r="L63" s="70"/>
      <c r="M63" s="70"/>
      <c r="N63" s="70"/>
      <c r="O63" s="70"/>
      <c r="P63" s="70"/>
      <c r="Q63" s="70"/>
      <c r="R63" s="70"/>
      <c r="S63" s="70"/>
      <c r="T63" s="70"/>
      <c r="U63" s="70"/>
      <c r="V63" s="70"/>
      <c r="W63" s="70"/>
      <c r="X63" s="70"/>
    </row>
    <row r="64" customFormat="false" ht="15" hidden="false" customHeight="true" outlineLevel="0" collapsed="false">
      <c r="A64" s="73" t="s">
        <v>813</v>
      </c>
      <c r="B64" s="73" t="s">
        <v>652</v>
      </c>
      <c r="C64" s="73" t="s">
        <v>653</v>
      </c>
      <c r="D64" s="73" t="s">
        <v>814</v>
      </c>
      <c r="E64" s="73" t="s">
        <v>705</v>
      </c>
      <c r="F64" s="73" t="s">
        <v>706</v>
      </c>
      <c r="G64" s="73" t="s">
        <v>655</v>
      </c>
      <c r="H64" s="73" t="s">
        <v>815</v>
      </c>
      <c r="I64" s="73" t="s">
        <v>667</v>
      </c>
      <c r="J64" s="73" t="s">
        <v>816</v>
      </c>
      <c r="K64" s="73" t="s">
        <v>817</v>
      </c>
      <c r="L64" s="105" t="n">
        <f aca="false">dashboard!B19</f>
        <v>1</v>
      </c>
    </row>
    <row r="65" customFormat="false" ht="15" hidden="false" customHeight="true" outlineLevel="0" collapsed="false">
      <c r="A65" s="73" t="s">
        <v>818</v>
      </c>
      <c r="B65" s="73" t="s">
        <v>652</v>
      </c>
      <c r="C65" s="73" t="s">
        <v>653</v>
      </c>
      <c r="D65" s="73" t="s">
        <v>814</v>
      </c>
      <c r="E65" s="73" t="s">
        <v>705</v>
      </c>
      <c r="F65" s="73" t="s">
        <v>733</v>
      </c>
      <c r="G65" s="73" t="s">
        <v>655</v>
      </c>
      <c r="H65" s="73" t="s">
        <v>819</v>
      </c>
      <c r="I65" s="73" t="s">
        <v>667</v>
      </c>
      <c r="J65" s="73" t="s">
        <v>816</v>
      </c>
      <c r="K65" s="73" t="s">
        <v>817</v>
      </c>
      <c r="L65" s="105" t="n">
        <f aca="false">dashboard!C19</f>
        <v>1</v>
      </c>
    </row>
    <row r="66" customFormat="false" ht="15" hidden="false" customHeight="true" outlineLevel="0" collapsed="false">
      <c r="A66" s="73" t="s">
        <v>820</v>
      </c>
      <c r="B66" s="73" t="s">
        <v>652</v>
      </c>
      <c r="C66" s="73" t="s">
        <v>653</v>
      </c>
      <c r="D66" s="73" t="s">
        <v>814</v>
      </c>
      <c r="E66" s="73" t="s">
        <v>705</v>
      </c>
      <c r="F66" s="73" t="s">
        <v>744</v>
      </c>
      <c r="G66" s="73" t="s">
        <v>655</v>
      </c>
      <c r="H66" s="73" t="s">
        <v>821</v>
      </c>
      <c r="I66" s="73" t="s">
        <v>667</v>
      </c>
      <c r="J66" s="73" t="s">
        <v>816</v>
      </c>
      <c r="K66" s="73" t="s">
        <v>817</v>
      </c>
      <c r="L66" s="105" t="n">
        <f aca="false">dashboard!D19</f>
        <v>1</v>
      </c>
    </row>
    <row r="67" customFormat="false" ht="15" hidden="false" customHeight="true" outlineLevel="0" collapsed="false">
      <c r="A67" s="73" t="s">
        <v>822</v>
      </c>
      <c r="B67" s="73" t="s">
        <v>652</v>
      </c>
      <c r="C67" s="73" t="s">
        <v>653</v>
      </c>
      <c r="D67" s="73" t="s">
        <v>814</v>
      </c>
      <c r="E67" s="73" t="s">
        <v>755</v>
      </c>
      <c r="F67" s="73" t="s">
        <v>756</v>
      </c>
      <c r="G67" s="73" t="s">
        <v>655</v>
      </c>
      <c r="H67" s="73" t="s">
        <v>823</v>
      </c>
      <c r="I67" s="73" t="s">
        <v>667</v>
      </c>
      <c r="J67" s="73" t="s">
        <v>816</v>
      </c>
      <c r="K67" s="73" t="s">
        <v>817</v>
      </c>
      <c r="L67" s="105" t="n">
        <f aca="false">dashboard!E19</f>
        <v>1</v>
      </c>
    </row>
    <row r="68" customFormat="false" ht="15" hidden="false" customHeight="true" outlineLevel="0" collapsed="false">
      <c r="A68" s="73" t="s">
        <v>824</v>
      </c>
      <c r="B68" s="73" t="s">
        <v>652</v>
      </c>
      <c r="C68" s="73" t="s">
        <v>653</v>
      </c>
      <c r="D68" s="73" t="s">
        <v>814</v>
      </c>
      <c r="E68" s="73" t="s">
        <v>767</v>
      </c>
      <c r="F68" s="73" t="s">
        <v>768</v>
      </c>
      <c r="G68" s="73" t="s">
        <v>655</v>
      </c>
      <c r="H68" s="73" t="s">
        <v>825</v>
      </c>
      <c r="I68" s="73" t="s">
        <v>667</v>
      </c>
      <c r="J68" s="73" t="s">
        <v>816</v>
      </c>
      <c r="K68" s="73" t="s">
        <v>817</v>
      </c>
      <c r="L68" s="105" t="n">
        <f aca="false">dashboard!F19</f>
        <v>1</v>
      </c>
    </row>
    <row r="69" customFormat="false" ht="15" hidden="false" customHeight="true" outlineLevel="0" collapsed="false">
      <c r="A69" s="73" t="s">
        <v>826</v>
      </c>
      <c r="B69" s="73" t="s">
        <v>652</v>
      </c>
      <c r="C69" s="73" t="s">
        <v>653</v>
      </c>
      <c r="D69" s="73" t="s">
        <v>814</v>
      </c>
      <c r="E69" s="73" t="s">
        <v>767</v>
      </c>
      <c r="F69" s="73" t="s">
        <v>779</v>
      </c>
      <c r="G69" s="73" t="s">
        <v>655</v>
      </c>
      <c r="H69" s="73" t="s">
        <v>827</v>
      </c>
      <c r="I69" s="73" t="s">
        <v>667</v>
      </c>
      <c r="J69" s="73" t="s">
        <v>816</v>
      </c>
      <c r="K69" s="73" t="s">
        <v>817</v>
      </c>
      <c r="L69" s="105" t="n">
        <f aca="false">dashboard!G19</f>
        <v>1</v>
      </c>
    </row>
    <row r="70" customFormat="false" ht="15" hidden="false" customHeight="true" outlineLevel="0" collapsed="false">
      <c r="A70" s="73" t="s">
        <v>828</v>
      </c>
      <c r="B70" s="73" t="s">
        <v>652</v>
      </c>
      <c r="C70" s="73" t="s">
        <v>653</v>
      </c>
      <c r="D70" s="73" t="s">
        <v>814</v>
      </c>
      <c r="E70" s="73" t="s">
        <v>767</v>
      </c>
      <c r="F70" s="73" t="s">
        <v>790</v>
      </c>
      <c r="G70" s="73" t="s">
        <v>655</v>
      </c>
      <c r="H70" s="73" t="s">
        <v>829</v>
      </c>
      <c r="I70" s="73" t="s">
        <v>667</v>
      </c>
      <c r="J70" s="73" t="s">
        <v>816</v>
      </c>
      <c r="K70" s="73" t="s">
        <v>817</v>
      </c>
      <c r="L70" s="105" t="n">
        <f aca="false">dashboard!H19</f>
        <v>1</v>
      </c>
    </row>
    <row r="71" customFormat="false" ht="15" hidden="false" customHeight="true" outlineLevel="0" collapsed="false">
      <c r="A71" s="73" t="s">
        <v>830</v>
      </c>
      <c r="B71" s="73" t="s">
        <v>652</v>
      </c>
      <c r="C71" s="73" t="s">
        <v>653</v>
      </c>
      <c r="D71" s="73" t="s">
        <v>814</v>
      </c>
      <c r="E71" s="73" t="s">
        <v>801</v>
      </c>
      <c r="F71" s="73" t="s">
        <v>802</v>
      </c>
      <c r="G71" s="73" t="s">
        <v>655</v>
      </c>
      <c r="H71" s="73" t="s">
        <v>831</v>
      </c>
      <c r="I71" s="73" t="s">
        <v>667</v>
      </c>
      <c r="J71" s="73" t="s">
        <v>816</v>
      </c>
      <c r="K71" s="73" t="s">
        <v>817</v>
      </c>
      <c r="L71" s="105" t="n">
        <f aca="false">dashboard!I19</f>
        <v>1</v>
      </c>
    </row>
    <row r="73" customFormat="false" ht="21.75" hidden="false" customHeight="true" outlineLevel="0" collapsed="false">
      <c r="A73" s="70" t="s">
        <v>832</v>
      </c>
      <c r="B73" s="70"/>
      <c r="C73" s="70"/>
      <c r="D73" s="70"/>
      <c r="E73" s="70"/>
      <c r="F73" s="70"/>
      <c r="G73" s="70"/>
      <c r="H73" s="70"/>
      <c r="I73" s="70"/>
      <c r="J73" s="70"/>
      <c r="K73" s="70"/>
      <c r="L73" s="70"/>
      <c r="M73" s="70"/>
      <c r="N73" s="70"/>
      <c r="O73" s="70"/>
      <c r="P73" s="70"/>
      <c r="Q73" s="70"/>
      <c r="R73" s="70"/>
      <c r="S73" s="70"/>
      <c r="T73" s="70"/>
      <c r="U73" s="70"/>
      <c r="V73" s="70"/>
      <c r="W73" s="70"/>
      <c r="X73" s="70"/>
    </row>
    <row r="74" customFormat="false" ht="15" hidden="false" customHeight="true" outlineLevel="0" collapsed="false">
      <c r="A74" s="73" t="s">
        <v>833</v>
      </c>
      <c r="B74" s="73" t="s">
        <v>4</v>
      </c>
      <c r="C74" s="73" t="s">
        <v>653</v>
      </c>
      <c r="D74" s="73" t="s">
        <v>834</v>
      </c>
      <c r="E74" s="73" t="s">
        <v>655</v>
      </c>
      <c r="F74" s="73" t="s">
        <v>655</v>
      </c>
      <c r="G74" s="73" t="s">
        <v>655</v>
      </c>
      <c r="H74" s="73" t="s">
        <v>835</v>
      </c>
      <c r="I74" s="73" t="s">
        <v>836</v>
      </c>
      <c r="J74" s="73" t="s">
        <v>837</v>
      </c>
      <c r="K74" s="73" t="s">
        <v>838</v>
      </c>
      <c r="L74" s="101" t="n">
        <v>0.055</v>
      </c>
    </row>
    <row r="75" customFormat="false" ht="15" hidden="false" customHeight="true" outlineLevel="0" collapsed="false">
      <c r="A75" s="73" t="s">
        <v>839</v>
      </c>
      <c r="B75" s="73" t="s">
        <v>4</v>
      </c>
      <c r="C75" s="73" t="s">
        <v>653</v>
      </c>
      <c r="D75" s="73" t="s">
        <v>840</v>
      </c>
      <c r="E75" s="73" t="s">
        <v>655</v>
      </c>
      <c r="F75" s="73" t="s">
        <v>655</v>
      </c>
      <c r="G75" s="73" t="s">
        <v>655</v>
      </c>
      <c r="H75" s="73" t="s">
        <v>841</v>
      </c>
      <c r="I75" s="73" t="s">
        <v>842</v>
      </c>
      <c r="J75" s="73" t="s">
        <v>843</v>
      </c>
      <c r="K75" s="73" t="s">
        <v>844</v>
      </c>
      <c r="L75" s="106"/>
      <c r="M75" s="103" t="n">
        <v>0.51</v>
      </c>
      <c r="N75" s="103" t="n">
        <v>0.5</v>
      </c>
      <c r="O75" s="103" t="n">
        <v>0.49</v>
      </c>
      <c r="P75" s="103" t="n">
        <v>0.48</v>
      </c>
      <c r="Q75" s="103" t="n">
        <v>0.47</v>
      </c>
      <c r="R75" s="103" t="n">
        <v>0.46</v>
      </c>
      <c r="S75" s="103" t="n">
        <v>0.45</v>
      </c>
      <c r="T75" s="103" t="n">
        <v>0.44</v>
      </c>
      <c r="U75" s="103" t="n">
        <v>0.43</v>
      </c>
      <c r="V75" s="103" t="n">
        <v>0.42</v>
      </c>
      <c r="W75" s="103" t="n">
        <v>0.41</v>
      </c>
      <c r="X75" s="103" t="n">
        <v>0.4</v>
      </c>
    </row>
    <row r="76" customFormat="false" ht="15" hidden="false" customHeight="true" outlineLevel="0" collapsed="false">
      <c r="A76" s="73" t="s">
        <v>845</v>
      </c>
      <c r="B76" s="73" t="s">
        <v>846</v>
      </c>
      <c r="C76" s="73" t="s">
        <v>653</v>
      </c>
      <c r="D76" s="73" t="s">
        <v>834</v>
      </c>
      <c r="E76" s="73" t="s">
        <v>655</v>
      </c>
      <c r="F76" s="73" t="s">
        <v>655</v>
      </c>
      <c r="G76" s="73" t="s">
        <v>655</v>
      </c>
      <c r="H76" s="73" t="s">
        <v>847</v>
      </c>
      <c r="I76" s="73" t="s">
        <v>836</v>
      </c>
      <c r="J76" s="73" t="s">
        <v>837</v>
      </c>
      <c r="K76" s="73" t="s">
        <v>838</v>
      </c>
      <c r="L76" s="101" t="n">
        <v>0.038</v>
      </c>
    </row>
    <row r="77" customFormat="false" ht="15" hidden="false" customHeight="true" outlineLevel="0" collapsed="false">
      <c r="A77" s="73" t="s">
        <v>848</v>
      </c>
      <c r="B77" s="73" t="s">
        <v>846</v>
      </c>
      <c r="C77" s="73" t="s">
        <v>653</v>
      </c>
      <c r="D77" s="73" t="s">
        <v>840</v>
      </c>
      <c r="E77" s="73" t="s">
        <v>655</v>
      </c>
      <c r="F77" s="73" t="s">
        <v>655</v>
      </c>
      <c r="G77" s="73" t="s">
        <v>655</v>
      </c>
      <c r="H77" s="73" t="s">
        <v>849</v>
      </c>
      <c r="I77" s="73" t="s">
        <v>842</v>
      </c>
      <c r="J77" s="73" t="s">
        <v>843</v>
      </c>
      <c r="K77" s="73" t="s">
        <v>844</v>
      </c>
      <c r="L77" s="106"/>
      <c r="M77" s="103" t="n">
        <v>0.045</v>
      </c>
      <c r="N77" s="103" t="n">
        <v>0.0441</v>
      </c>
      <c r="O77" s="103" t="n">
        <v>0.0432</v>
      </c>
      <c r="P77" s="103" t="n">
        <v>0.0423</v>
      </c>
      <c r="Q77" s="103" t="n">
        <v>0.0414</v>
      </c>
      <c r="R77" s="103" t="n">
        <v>0.0405</v>
      </c>
      <c r="S77" s="103" t="n">
        <v>0.0395</v>
      </c>
      <c r="T77" s="103" t="n">
        <v>0.0386</v>
      </c>
      <c r="U77" s="103" t="n">
        <v>0.0377</v>
      </c>
      <c r="V77" s="103" t="n">
        <v>0.0368</v>
      </c>
      <c r="W77" s="103" t="n">
        <v>0.0359</v>
      </c>
      <c r="X77" s="103" t="n">
        <v>0.035</v>
      </c>
    </row>
    <row r="78" customFormat="false" ht="15" hidden="false" customHeight="true" outlineLevel="0" collapsed="false">
      <c r="A78" s="73" t="s">
        <v>850</v>
      </c>
      <c r="B78" s="73" t="s">
        <v>851</v>
      </c>
      <c r="C78" s="73" t="s">
        <v>653</v>
      </c>
      <c r="D78" s="73" t="s">
        <v>834</v>
      </c>
      <c r="E78" s="73" t="s">
        <v>655</v>
      </c>
      <c r="F78" s="73" t="s">
        <v>655</v>
      </c>
      <c r="G78" s="73" t="s">
        <v>655</v>
      </c>
      <c r="H78" s="73" t="s">
        <v>852</v>
      </c>
      <c r="I78" s="73" t="s">
        <v>836</v>
      </c>
      <c r="J78" s="73" t="s">
        <v>837</v>
      </c>
      <c r="K78" s="73" t="s">
        <v>838</v>
      </c>
      <c r="L78" s="101" t="n">
        <v>0.055</v>
      </c>
    </row>
    <row r="79" customFormat="false" ht="15" hidden="false" customHeight="true" outlineLevel="0" collapsed="false">
      <c r="A79" s="73" t="s">
        <v>853</v>
      </c>
      <c r="B79" s="73" t="s">
        <v>851</v>
      </c>
      <c r="C79" s="73" t="s">
        <v>653</v>
      </c>
      <c r="D79" s="73" t="s">
        <v>840</v>
      </c>
      <c r="E79" s="73" t="s">
        <v>655</v>
      </c>
      <c r="F79" s="73" t="s">
        <v>655</v>
      </c>
      <c r="G79" s="73" t="s">
        <v>655</v>
      </c>
      <c r="H79" s="73" t="s">
        <v>854</v>
      </c>
      <c r="I79" s="73" t="s">
        <v>842</v>
      </c>
      <c r="J79" s="73" t="s">
        <v>843</v>
      </c>
      <c r="K79" s="73" t="s">
        <v>844</v>
      </c>
      <c r="L79" s="106"/>
      <c r="M79" s="103" t="n">
        <v>0.54</v>
      </c>
      <c r="N79" s="103" t="n">
        <v>0.5291</v>
      </c>
      <c r="O79" s="103" t="n">
        <v>0.5182</v>
      </c>
      <c r="P79" s="103" t="n">
        <v>0.5073</v>
      </c>
      <c r="Q79" s="103" t="n">
        <v>0.4964</v>
      </c>
      <c r="R79" s="103" t="n">
        <v>0.4855</v>
      </c>
      <c r="S79" s="103" t="n">
        <v>0.4745</v>
      </c>
      <c r="T79" s="103" t="n">
        <v>0.4636</v>
      </c>
      <c r="U79" s="103" t="n">
        <v>0.4527</v>
      </c>
      <c r="V79" s="103" t="n">
        <v>0.4418</v>
      </c>
      <c r="W79" s="103" t="n">
        <v>0.4309</v>
      </c>
      <c r="X79" s="103" t="n">
        <v>0.42</v>
      </c>
    </row>
    <row r="80" customFormat="false" ht="15" hidden="false" customHeight="true" outlineLevel="0" collapsed="false">
      <c r="A80" s="73" t="s">
        <v>855</v>
      </c>
      <c r="B80" s="73" t="s">
        <v>856</v>
      </c>
      <c r="C80" s="73" t="s">
        <v>653</v>
      </c>
      <c r="D80" s="73" t="s">
        <v>834</v>
      </c>
      <c r="E80" s="73" t="s">
        <v>655</v>
      </c>
      <c r="F80" s="73" t="s">
        <v>655</v>
      </c>
      <c r="G80" s="73" t="s">
        <v>655</v>
      </c>
      <c r="H80" s="73" t="s">
        <v>857</v>
      </c>
      <c r="I80" s="73" t="s">
        <v>836</v>
      </c>
      <c r="J80" s="73" t="s">
        <v>837</v>
      </c>
      <c r="K80" s="73" t="s">
        <v>838</v>
      </c>
      <c r="L80" s="101" t="n">
        <v>0.025</v>
      </c>
    </row>
    <row r="81" customFormat="false" ht="15" hidden="false" customHeight="true" outlineLevel="0" collapsed="false">
      <c r="A81" s="73" t="s">
        <v>858</v>
      </c>
      <c r="B81" s="73" t="s">
        <v>856</v>
      </c>
      <c r="C81" s="73" t="s">
        <v>653</v>
      </c>
      <c r="D81" s="73" t="s">
        <v>840</v>
      </c>
      <c r="E81" s="73" t="s">
        <v>655</v>
      </c>
      <c r="F81" s="73" t="s">
        <v>655</v>
      </c>
      <c r="G81" s="73" t="s">
        <v>655</v>
      </c>
      <c r="H81" s="73" t="s">
        <v>859</v>
      </c>
      <c r="I81" s="73" t="s">
        <v>842</v>
      </c>
      <c r="J81" s="73" t="s">
        <v>843</v>
      </c>
      <c r="K81" s="73" t="s">
        <v>844</v>
      </c>
      <c r="L81" s="106"/>
      <c r="M81" s="103" t="n">
        <v>0.46</v>
      </c>
      <c r="N81" s="103" t="n">
        <v>0.4518</v>
      </c>
      <c r="O81" s="103" t="n">
        <v>0.4436</v>
      </c>
      <c r="P81" s="103" t="n">
        <v>0.4355</v>
      </c>
      <c r="Q81" s="103" t="n">
        <v>0.4273</v>
      </c>
      <c r="R81" s="103" t="n">
        <v>0.4191</v>
      </c>
      <c r="S81" s="103" t="n">
        <v>0.4109</v>
      </c>
      <c r="T81" s="103" t="n">
        <v>0.4027</v>
      </c>
      <c r="U81" s="103" t="n">
        <v>0.3945</v>
      </c>
      <c r="V81" s="103" t="n">
        <v>0.3864</v>
      </c>
      <c r="W81" s="103" t="n">
        <v>0.3782</v>
      </c>
      <c r="X81" s="103" t="n">
        <v>0.37</v>
      </c>
    </row>
    <row r="82" customFormat="false" ht="15" hidden="false" customHeight="true" outlineLevel="0" collapsed="false">
      <c r="A82" s="73" t="s">
        <v>860</v>
      </c>
      <c r="B82" s="73" t="s">
        <v>861</v>
      </c>
      <c r="C82" s="73" t="s">
        <v>653</v>
      </c>
      <c r="D82" s="73" t="s">
        <v>834</v>
      </c>
      <c r="E82" s="73" t="s">
        <v>655</v>
      </c>
      <c r="F82" s="73" t="s">
        <v>655</v>
      </c>
      <c r="G82" s="73" t="s">
        <v>655</v>
      </c>
      <c r="H82" s="73" t="s">
        <v>862</v>
      </c>
      <c r="I82" s="73" t="s">
        <v>836</v>
      </c>
      <c r="J82" s="73" t="s">
        <v>837</v>
      </c>
      <c r="K82" s="73" t="s">
        <v>838</v>
      </c>
      <c r="L82" s="101" t="n">
        <v>0.063</v>
      </c>
    </row>
    <row r="83" customFormat="false" ht="15" hidden="false" customHeight="true" outlineLevel="0" collapsed="false">
      <c r="A83" s="73" t="s">
        <v>863</v>
      </c>
      <c r="B83" s="73" t="s">
        <v>861</v>
      </c>
      <c r="C83" s="73" t="s">
        <v>653</v>
      </c>
      <c r="D83" s="73" t="s">
        <v>840</v>
      </c>
      <c r="E83" s="73" t="s">
        <v>655</v>
      </c>
      <c r="F83" s="73" t="s">
        <v>655</v>
      </c>
      <c r="G83" s="73" t="s">
        <v>655</v>
      </c>
      <c r="H83" s="73" t="s">
        <v>864</v>
      </c>
      <c r="I83" s="73" t="s">
        <v>842</v>
      </c>
      <c r="J83" s="73" t="s">
        <v>843</v>
      </c>
      <c r="K83" s="73" t="s">
        <v>844</v>
      </c>
      <c r="L83" s="106"/>
      <c r="M83" s="103" t="n">
        <v>0.713</v>
      </c>
      <c r="N83" s="103" t="n">
        <v>0.6936</v>
      </c>
      <c r="O83" s="103" t="n">
        <v>0.6743</v>
      </c>
      <c r="P83" s="103" t="n">
        <v>0.6549</v>
      </c>
      <c r="Q83" s="103" t="n">
        <v>0.6355</v>
      </c>
      <c r="R83" s="103" t="n">
        <v>0.6162</v>
      </c>
      <c r="S83" s="103" t="n">
        <v>0.5968</v>
      </c>
      <c r="T83" s="103" t="n">
        <v>0.5775</v>
      </c>
      <c r="U83" s="103" t="n">
        <v>0.5581</v>
      </c>
      <c r="V83" s="103" t="n">
        <v>0.5387</v>
      </c>
      <c r="W83" s="103" t="n">
        <v>0.5194</v>
      </c>
      <c r="X83" s="103" t="n">
        <v>0.5</v>
      </c>
    </row>
    <row r="85" customFormat="false" ht="21.75" hidden="false" customHeight="true" outlineLevel="0" collapsed="false">
      <c r="A85" s="70" t="s">
        <v>865</v>
      </c>
      <c r="B85" s="70"/>
      <c r="C85" s="70"/>
      <c r="D85" s="70"/>
      <c r="E85" s="70"/>
      <c r="F85" s="70"/>
      <c r="G85" s="70"/>
      <c r="H85" s="70"/>
      <c r="I85" s="70"/>
      <c r="J85" s="70"/>
      <c r="K85" s="70"/>
      <c r="L85" s="70"/>
      <c r="M85" s="70"/>
      <c r="N85" s="70"/>
      <c r="O85" s="70"/>
      <c r="P85" s="70"/>
      <c r="Q85" s="70"/>
      <c r="R85" s="70"/>
      <c r="S85" s="70"/>
      <c r="T85" s="70"/>
      <c r="U85" s="70"/>
      <c r="V85" s="70"/>
      <c r="W85" s="70"/>
      <c r="X85" s="70"/>
    </row>
    <row r="86" customFormat="false" ht="15" hidden="false" customHeight="true" outlineLevel="0" collapsed="false">
      <c r="A86" s="73" t="s">
        <v>866</v>
      </c>
      <c r="B86" s="73" t="s">
        <v>4</v>
      </c>
      <c r="C86" s="73" t="s">
        <v>653</v>
      </c>
      <c r="D86" s="73" t="s">
        <v>867</v>
      </c>
      <c r="E86" s="73" t="s">
        <v>705</v>
      </c>
      <c r="F86" s="73" t="s">
        <v>706</v>
      </c>
      <c r="G86" s="73" t="s">
        <v>655</v>
      </c>
      <c r="H86" s="73" t="s">
        <v>868</v>
      </c>
      <c r="I86" s="73" t="s">
        <v>869</v>
      </c>
      <c r="J86" s="73" t="s">
        <v>870</v>
      </c>
      <c r="K86" s="73" t="s">
        <v>871</v>
      </c>
      <c r="L86" s="107" t="n">
        <v>5.1</v>
      </c>
    </row>
    <row r="87" customFormat="false" ht="15" hidden="false" customHeight="true" outlineLevel="0" collapsed="false">
      <c r="A87" s="73" t="s">
        <v>872</v>
      </c>
      <c r="B87" s="73" t="s">
        <v>4</v>
      </c>
      <c r="C87" s="73" t="s">
        <v>653</v>
      </c>
      <c r="D87" s="73" t="s">
        <v>873</v>
      </c>
      <c r="E87" s="73" t="s">
        <v>705</v>
      </c>
      <c r="F87" s="73" t="s">
        <v>706</v>
      </c>
      <c r="G87" s="73" t="s">
        <v>655</v>
      </c>
      <c r="H87" s="73" t="s">
        <v>874</v>
      </c>
      <c r="I87" s="73" t="s">
        <v>875</v>
      </c>
      <c r="J87" s="73" t="s">
        <v>876</v>
      </c>
      <c r="K87" s="73"/>
      <c r="L87" s="104" t="n">
        <v>1</v>
      </c>
    </row>
    <row r="88" customFormat="false" ht="15" hidden="false" customHeight="true" outlineLevel="0" collapsed="false">
      <c r="A88" s="73" t="s">
        <v>877</v>
      </c>
      <c r="B88" s="73" t="s">
        <v>4</v>
      </c>
      <c r="C88" s="73" t="s">
        <v>653</v>
      </c>
      <c r="D88" s="73" t="s">
        <v>878</v>
      </c>
      <c r="E88" s="73" t="s">
        <v>705</v>
      </c>
      <c r="F88" s="73" t="s">
        <v>706</v>
      </c>
      <c r="G88" s="73" t="s">
        <v>655</v>
      </c>
      <c r="H88" s="73" t="s">
        <v>879</v>
      </c>
      <c r="I88" s="73" t="s">
        <v>880</v>
      </c>
      <c r="J88" s="73" t="s">
        <v>881</v>
      </c>
      <c r="K88" s="73"/>
      <c r="L88" s="104" t="n">
        <v>0.4</v>
      </c>
    </row>
    <row r="89" customFormat="false" ht="15" hidden="false" customHeight="true" outlineLevel="0" collapsed="false">
      <c r="A89" s="73" t="s">
        <v>882</v>
      </c>
      <c r="B89" s="73" t="s">
        <v>4</v>
      </c>
      <c r="C89" s="73" t="s">
        <v>653</v>
      </c>
      <c r="D89" s="73" t="s">
        <v>883</v>
      </c>
      <c r="E89" s="73" t="s">
        <v>705</v>
      </c>
      <c r="F89" s="73" t="s">
        <v>706</v>
      </c>
      <c r="G89" s="73" t="s">
        <v>655</v>
      </c>
      <c r="H89" s="73" t="s">
        <v>884</v>
      </c>
      <c r="I89" s="73" t="s">
        <v>880</v>
      </c>
      <c r="J89" s="73" t="s">
        <v>885</v>
      </c>
      <c r="K89" s="73"/>
      <c r="L89" s="104" t="n">
        <v>0.18</v>
      </c>
    </row>
    <row r="90" customFormat="false" ht="15" hidden="false" customHeight="true" outlineLevel="0" collapsed="false">
      <c r="A90" s="73" t="s">
        <v>886</v>
      </c>
      <c r="B90" s="73" t="s">
        <v>4</v>
      </c>
      <c r="C90" s="73" t="s">
        <v>653</v>
      </c>
      <c r="D90" s="73" t="s">
        <v>887</v>
      </c>
      <c r="E90" s="73" t="s">
        <v>705</v>
      </c>
      <c r="F90" s="73" t="s">
        <v>706</v>
      </c>
      <c r="G90" s="73" t="s">
        <v>655</v>
      </c>
      <c r="H90" s="73" t="s">
        <v>888</v>
      </c>
      <c r="I90" s="73" t="s">
        <v>880</v>
      </c>
      <c r="J90" s="73" t="s">
        <v>889</v>
      </c>
      <c r="K90" s="73"/>
      <c r="L90" s="104" t="n">
        <v>0.05</v>
      </c>
    </row>
    <row r="91" customFormat="false" ht="15" hidden="false" customHeight="true" outlineLevel="0" collapsed="false">
      <c r="A91" s="73" t="s">
        <v>890</v>
      </c>
      <c r="B91" s="73" t="s">
        <v>4</v>
      </c>
      <c r="C91" s="73" t="s">
        <v>653</v>
      </c>
      <c r="D91" s="73" t="s">
        <v>891</v>
      </c>
      <c r="E91" s="73" t="s">
        <v>705</v>
      </c>
      <c r="F91" s="73" t="s">
        <v>706</v>
      </c>
      <c r="G91" s="73" t="s">
        <v>96</v>
      </c>
      <c r="H91" s="73" t="s">
        <v>892</v>
      </c>
      <c r="I91" s="73" t="s">
        <v>893</v>
      </c>
      <c r="J91" s="73" t="s">
        <v>894</v>
      </c>
      <c r="K91" s="73" t="s">
        <v>895</v>
      </c>
      <c r="L91" s="103" t="n">
        <v>0</v>
      </c>
    </row>
    <row r="92" customFormat="false" ht="15" hidden="false" customHeight="true" outlineLevel="0" collapsed="false">
      <c r="A92" s="73" t="s">
        <v>896</v>
      </c>
      <c r="B92" s="73" t="s">
        <v>4</v>
      </c>
      <c r="C92" s="73" t="s">
        <v>653</v>
      </c>
      <c r="D92" s="73" t="s">
        <v>891</v>
      </c>
      <c r="E92" s="73" t="s">
        <v>705</v>
      </c>
      <c r="F92" s="73" t="s">
        <v>706</v>
      </c>
      <c r="G92" s="73" t="s">
        <v>99</v>
      </c>
      <c r="H92" s="73" t="s">
        <v>897</v>
      </c>
      <c r="I92" s="73" t="s">
        <v>893</v>
      </c>
      <c r="J92" s="73" t="s">
        <v>898</v>
      </c>
      <c r="K92" s="73" t="s">
        <v>895</v>
      </c>
      <c r="L92" s="103" t="n">
        <v>5</v>
      </c>
    </row>
    <row r="93" customFormat="false" ht="15" hidden="false" customHeight="true" outlineLevel="0" collapsed="false">
      <c r="A93" s="73" t="s">
        <v>899</v>
      </c>
      <c r="B93" s="73" t="s">
        <v>4</v>
      </c>
      <c r="C93" s="73" t="s">
        <v>653</v>
      </c>
      <c r="D93" s="73" t="s">
        <v>891</v>
      </c>
      <c r="E93" s="73" t="s">
        <v>705</v>
      </c>
      <c r="F93" s="73" t="s">
        <v>706</v>
      </c>
      <c r="G93" s="73" t="s">
        <v>101</v>
      </c>
      <c r="H93" s="73" t="s">
        <v>900</v>
      </c>
      <c r="I93" s="73" t="s">
        <v>893</v>
      </c>
      <c r="J93" s="73" t="s">
        <v>901</v>
      </c>
      <c r="K93" s="73" t="s">
        <v>895</v>
      </c>
      <c r="L93" s="103" t="n">
        <v>0</v>
      </c>
    </row>
    <row r="94" customFormat="false" ht="15" hidden="false" customHeight="true" outlineLevel="0" collapsed="false">
      <c r="A94" s="73" t="s">
        <v>902</v>
      </c>
      <c r="B94" s="73" t="s">
        <v>4</v>
      </c>
      <c r="C94" s="73" t="s">
        <v>653</v>
      </c>
      <c r="D94" s="73" t="s">
        <v>891</v>
      </c>
      <c r="E94" s="73" t="s">
        <v>705</v>
      </c>
      <c r="F94" s="73" t="s">
        <v>706</v>
      </c>
      <c r="G94" s="73" t="s">
        <v>103</v>
      </c>
      <c r="H94" s="73" t="s">
        <v>903</v>
      </c>
      <c r="I94" s="73" t="s">
        <v>893</v>
      </c>
      <c r="J94" s="73" t="s">
        <v>904</v>
      </c>
      <c r="K94" s="73" t="s">
        <v>895</v>
      </c>
      <c r="L94" s="103" t="n">
        <v>0.5</v>
      </c>
    </row>
    <row r="95" customFormat="false" ht="15" hidden="false" customHeight="true" outlineLevel="0" collapsed="false">
      <c r="A95" s="73" t="s">
        <v>905</v>
      </c>
      <c r="B95" s="73" t="s">
        <v>4</v>
      </c>
      <c r="C95" s="73" t="s">
        <v>653</v>
      </c>
      <c r="D95" s="73" t="s">
        <v>891</v>
      </c>
      <c r="E95" s="73" t="s">
        <v>705</v>
      </c>
      <c r="F95" s="73" t="s">
        <v>706</v>
      </c>
      <c r="G95" s="73" t="s">
        <v>105</v>
      </c>
      <c r="H95" s="73" t="s">
        <v>906</v>
      </c>
      <c r="I95" s="73" t="s">
        <v>893</v>
      </c>
      <c r="J95" s="73" t="s">
        <v>907</v>
      </c>
      <c r="K95" s="73" t="s">
        <v>895</v>
      </c>
      <c r="L95" s="103" t="n">
        <v>0</v>
      </c>
    </row>
    <row r="96" customFormat="false" ht="15" hidden="false" customHeight="true" outlineLevel="0" collapsed="false">
      <c r="A96" s="73" t="s">
        <v>908</v>
      </c>
      <c r="B96" s="73" t="s">
        <v>4</v>
      </c>
      <c r="C96" s="73" t="s">
        <v>653</v>
      </c>
      <c r="D96" s="73" t="s">
        <v>891</v>
      </c>
      <c r="E96" s="73" t="s">
        <v>705</v>
      </c>
      <c r="F96" s="73" t="s">
        <v>706</v>
      </c>
      <c r="G96" s="73" t="s">
        <v>107</v>
      </c>
      <c r="H96" s="73" t="s">
        <v>909</v>
      </c>
      <c r="I96" s="73" t="s">
        <v>893</v>
      </c>
      <c r="J96" s="73" t="s">
        <v>910</v>
      </c>
      <c r="K96" s="73" t="s">
        <v>895</v>
      </c>
      <c r="L96" s="103" t="n">
        <v>0</v>
      </c>
    </row>
    <row r="97" customFormat="false" ht="15" hidden="false" customHeight="true" outlineLevel="0" collapsed="false">
      <c r="A97" s="73" t="s">
        <v>911</v>
      </c>
      <c r="B97" s="73" t="s">
        <v>4</v>
      </c>
      <c r="C97" s="73" t="s">
        <v>653</v>
      </c>
      <c r="D97" s="73" t="s">
        <v>891</v>
      </c>
      <c r="E97" s="73" t="s">
        <v>705</v>
      </c>
      <c r="F97" s="73" t="s">
        <v>706</v>
      </c>
      <c r="G97" s="73" t="s">
        <v>109</v>
      </c>
      <c r="H97" s="73" t="s">
        <v>912</v>
      </c>
      <c r="I97" s="73" t="s">
        <v>893</v>
      </c>
      <c r="J97" s="73" t="s">
        <v>913</v>
      </c>
      <c r="K97" s="73" t="s">
        <v>895</v>
      </c>
      <c r="L97" s="103" t="n">
        <v>0</v>
      </c>
    </row>
    <row r="98" customFormat="false" ht="15" hidden="false" customHeight="true" outlineLevel="0" collapsed="false">
      <c r="A98" s="73" t="s">
        <v>914</v>
      </c>
      <c r="B98" s="73" t="s">
        <v>4</v>
      </c>
      <c r="C98" s="73" t="s">
        <v>653</v>
      </c>
      <c r="D98" s="73" t="s">
        <v>891</v>
      </c>
      <c r="E98" s="73" t="s">
        <v>705</v>
      </c>
      <c r="F98" s="73" t="s">
        <v>706</v>
      </c>
      <c r="G98" s="73" t="s">
        <v>111</v>
      </c>
      <c r="H98" s="73" t="s">
        <v>915</v>
      </c>
      <c r="I98" s="73" t="s">
        <v>893</v>
      </c>
      <c r="J98" s="73" t="s">
        <v>916</v>
      </c>
      <c r="K98" s="73" t="s">
        <v>895</v>
      </c>
      <c r="L98" s="103" t="n">
        <v>0</v>
      </c>
    </row>
    <row r="99" customFormat="false" ht="15" hidden="false" customHeight="true" outlineLevel="0" collapsed="false">
      <c r="A99" s="73" t="s">
        <v>917</v>
      </c>
      <c r="B99" s="73" t="s">
        <v>4</v>
      </c>
      <c r="C99" s="73" t="s">
        <v>653</v>
      </c>
      <c r="D99" s="73" t="s">
        <v>918</v>
      </c>
      <c r="E99" s="73" t="s">
        <v>705</v>
      </c>
      <c r="F99" s="73" t="s">
        <v>706</v>
      </c>
      <c r="G99" s="73" t="s">
        <v>96</v>
      </c>
      <c r="H99" s="73" t="s">
        <v>919</v>
      </c>
      <c r="I99" s="73" t="s">
        <v>893</v>
      </c>
      <c r="J99" s="73" t="s">
        <v>920</v>
      </c>
      <c r="K99" s="73" t="s">
        <v>895</v>
      </c>
      <c r="L99" s="103" t="n">
        <v>0</v>
      </c>
    </row>
    <row r="100" customFormat="false" ht="15" hidden="false" customHeight="true" outlineLevel="0" collapsed="false">
      <c r="A100" s="73" t="s">
        <v>921</v>
      </c>
      <c r="B100" s="73" t="s">
        <v>4</v>
      </c>
      <c r="C100" s="73" t="s">
        <v>653</v>
      </c>
      <c r="D100" s="73" t="s">
        <v>918</v>
      </c>
      <c r="E100" s="73" t="s">
        <v>705</v>
      </c>
      <c r="F100" s="73" t="s">
        <v>706</v>
      </c>
      <c r="G100" s="73" t="s">
        <v>99</v>
      </c>
      <c r="H100" s="73" t="s">
        <v>922</v>
      </c>
      <c r="I100" s="73" t="s">
        <v>893</v>
      </c>
      <c r="J100" s="73" t="s">
        <v>923</v>
      </c>
      <c r="K100" s="73" t="s">
        <v>895</v>
      </c>
      <c r="L100" s="103" t="n">
        <v>24</v>
      </c>
    </row>
    <row r="101" customFormat="false" ht="15" hidden="false" customHeight="true" outlineLevel="0" collapsed="false">
      <c r="A101" s="73" t="s">
        <v>924</v>
      </c>
      <c r="B101" s="73" t="s">
        <v>4</v>
      </c>
      <c r="C101" s="73" t="s">
        <v>653</v>
      </c>
      <c r="D101" s="73" t="s">
        <v>918</v>
      </c>
      <c r="E101" s="73" t="s">
        <v>705</v>
      </c>
      <c r="F101" s="73" t="s">
        <v>706</v>
      </c>
      <c r="G101" s="73" t="s">
        <v>101</v>
      </c>
      <c r="H101" s="73" t="s">
        <v>925</v>
      </c>
      <c r="I101" s="73" t="s">
        <v>893</v>
      </c>
      <c r="J101" s="73" t="s">
        <v>926</v>
      </c>
      <c r="K101" s="73" t="s">
        <v>895</v>
      </c>
      <c r="L101" s="103" t="n">
        <v>0</v>
      </c>
    </row>
    <row r="102" customFormat="false" ht="15" hidden="false" customHeight="true" outlineLevel="0" collapsed="false">
      <c r="A102" s="73" t="s">
        <v>927</v>
      </c>
      <c r="B102" s="73" t="s">
        <v>4</v>
      </c>
      <c r="C102" s="73" t="s">
        <v>653</v>
      </c>
      <c r="D102" s="73" t="s">
        <v>918</v>
      </c>
      <c r="E102" s="73" t="s">
        <v>705</v>
      </c>
      <c r="F102" s="73" t="s">
        <v>706</v>
      </c>
      <c r="G102" s="73" t="s">
        <v>103</v>
      </c>
      <c r="H102" s="73" t="s">
        <v>928</v>
      </c>
      <c r="I102" s="73" t="s">
        <v>893</v>
      </c>
      <c r="J102" s="73" t="s">
        <v>929</v>
      </c>
      <c r="K102" s="73" t="s">
        <v>895</v>
      </c>
      <c r="L102" s="103" t="n">
        <v>0</v>
      </c>
    </row>
    <row r="103" customFormat="false" ht="15" hidden="false" customHeight="true" outlineLevel="0" collapsed="false">
      <c r="A103" s="73" t="s">
        <v>930</v>
      </c>
      <c r="B103" s="73" t="s">
        <v>4</v>
      </c>
      <c r="C103" s="73" t="s">
        <v>653</v>
      </c>
      <c r="D103" s="73" t="s">
        <v>918</v>
      </c>
      <c r="E103" s="73" t="s">
        <v>705</v>
      </c>
      <c r="F103" s="73" t="s">
        <v>706</v>
      </c>
      <c r="G103" s="73" t="s">
        <v>105</v>
      </c>
      <c r="H103" s="73" t="s">
        <v>931</v>
      </c>
      <c r="I103" s="73" t="s">
        <v>893</v>
      </c>
      <c r="J103" s="73" t="s">
        <v>932</v>
      </c>
      <c r="K103" s="73" t="s">
        <v>895</v>
      </c>
      <c r="L103" s="103" t="n">
        <v>0</v>
      </c>
    </row>
    <row r="104" customFormat="false" ht="15" hidden="false" customHeight="true" outlineLevel="0" collapsed="false">
      <c r="A104" s="73" t="s">
        <v>933</v>
      </c>
      <c r="B104" s="73" t="s">
        <v>4</v>
      </c>
      <c r="C104" s="73" t="s">
        <v>653</v>
      </c>
      <c r="D104" s="73" t="s">
        <v>918</v>
      </c>
      <c r="E104" s="73" t="s">
        <v>705</v>
      </c>
      <c r="F104" s="73" t="s">
        <v>706</v>
      </c>
      <c r="G104" s="73" t="s">
        <v>107</v>
      </c>
      <c r="H104" s="73" t="s">
        <v>934</v>
      </c>
      <c r="I104" s="73" t="s">
        <v>893</v>
      </c>
      <c r="J104" s="73" t="s">
        <v>935</v>
      </c>
      <c r="K104" s="73" t="s">
        <v>895</v>
      </c>
      <c r="L104" s="103" t="n">
        <v>0</v>
      </c>
    </row>
    <row r="105" customFormat="false" ht="15" hidden="false" customHeight="true" outlineLevel="0" collapsed="false">
      <c r="A105" s="73" t="s">
        <v>936</v>
      </c>
      <c r="B105" s="73" t="s">
        <v>4</v>
      </c>
      <c r="C105" s="73" t="s">
        <v>653</v>
      </c>
      <c r="D105" s="73" t="s">
        <v>918</v>
      </c>
      <c r="E105" s="73" t="s">
        <v>705</v>
      </c>
      <c r="F105" s="73" t="s">
        <v>706</v>
      </c>
      <c r="G105" s="73" t="s">
        <v>109</v>
      </c>
      <c r="H105" s="73" t="s">
        <v>937</v>
      </c>
      <c r="I105" s="73" t="s">
        <v>893</v>
      </c>
      <c r="J105" s="73" t="s">
        <v>938</v>
      </c>
      <c r="K105" s="73" t="s">
        <v>895</v>
      </c>
      <c r="L105" s="103" t="n">
        <v>0</v>
      </c>
    </row>
    <row r="106" customFormat="false" ht="15" hidden="false" customHeight="true" outlineLevel="0" collapsed="false">
      <c r="A106" s="73" t="s">
        <v>939</v>
      </c>
      <c r="B106" s="73" t="s">
        <v>4</v>
      </c>
      <c r="C106" s="73" t="s">
        <v>653</v>
      </c>
      <c r="D106" s="73" t="s">
        <v>918</v>
      </c>
      <c r="E106" s="73" t="s">
        <v>705</v>
      </c>
      <c r="F106" s="73" t="s">
        <v>706</v>
      </c>
      <c r="G106" s="73" t="s">
        <v>111</v>
      </c>
      <c r="H106" s="73" t="s">
        <v>940</v>
      </c>
      <c r="I106" s="73" t="s">
        <v>893</v>
      </c>
      <c r="J106" s="73" t="s">
        <v>941</v>
      </c>
      <c r="K106" s="73" t="s">
        <v>895</v>
      </c>
      <c r="L106" s="103" t="n">
        <v>0</v>
      </c>
    </row>
    <row r="107" customFormat="false" ht="15" hidden="false" customHeight="true" outlineLevel="0" collapsed="false">
      <c r="A107" s="73" t="s">
        <v>942</v>
      </c>
      <c r="B107" s="73" t="s">
        <v>4</v>
      </c>
      <c r="C107" s="73" t="s">
        <v>653</v>
      </c>
      <c r="D107" s="73" t="s">
        <v>943</v>
      </c>
      <c r="E107" s="73" t="s">
        <v>705</v>
      </c>
      <c r="F107" s="73" t="s">
        <v>706</v>
      </c>
      <c r="G107" s="73" t="s">
        <v>944</v>
      </c>
      <c r="H107" s="73" t="s">
        <v>945</v>
      </c>
      <c r="I107" s="73" t="s">
        <v>893</v>
      </c>
      <c r="J107" s="73" t="s">
        <v>946</v>
      </c>
      <c r="K107" s="73"/>
      <c r="L107" s="103" t="n">
        <v>2.5</v>
      </c>
    </row>
    <row r="108" customFormat="false" ht="15" hidden="false" customHeight="true" outlineLevel="0" collapsed="false">
      <c r="A108" s="73" t="s">
        <v>947</v>
      </c>
      <c r="B108" s="73" t="s">
        <v>4</v>
      </c>
      <c r="C108" s="73" t="s">
        <v>653</v>
      </c>
      <c r="D108" s="73" t="s">
        <v>948</v>
      </c>
      <c r="E108" s="73" t="s">
        <v>705</v>
      </c>
      <c r="F108" s="73" t="s">
        <v>706</v>
      </c>
      <c r="G108" s="73" t="s">
        <v>655</v>
      </c>
      <c r="H108" s="73" t="s">
        <v>949</v>
      </c>
      <c r="I108" s="73" t="s">
        <v>708</v>
      </c>
      <c r="J108" s="73" t="s">
        <v>950</v>
      </c>
      <c r="K108" s="73" t="s">
        <v>951</v>
      </c>
      <c r="L108" s="103" t="n">
        <v>0</v>
      </c>
    </row>
    <row r="109" customFormat="false" ht="15" hidden="false" customHeight="true" outlineLevel="0" collapsed="false">
      <c r="A109" s="73" t="s">
        <v>952</v>
      </c>
      <c r="B109" s="73" t="s">
        <v>4</v>
      </c>
      <c r="C109" s="73" t="s">
        <v>653</v>
      </c>
      <c r="D109" s="73" t="s">
        <v>953</v>
      </c>
      <c r="E109" s="73" t="s">
        <v>705</v>
      </c>
      <c r="F109" s="73" t="s">
        <v>706</v>
      </c>
      <c r="G109" s="73" t="s">
        <v>655</v>
      </c>
      <c r="H109" s="73" t="s">
        <v>954</v>
      </c>
      <c r="I109" s="73" t="s">
        <v>955</v>
      </c>
      <c r="J109" s="73" t="s">
        <v>956</v>
      </c>
      <c r="K109" s="73" t="s">
        <v>951</v>
      </c>
      <c r="L109" s="103" t="n">
        <v>0</v>
      </c>
    </row>
    <row r="110" customFormat="false" ht="15" hidden="false" customHeight="true" outlineLevel="0" collapsed="false">
      <c r="A110" s="73" t="s">
        <v>957</v>
      </c>
      <c r="B110" s="73" t="s">
        <v>4</v>
      </c>
      <c r="C110" s="73" t="s">
        <v>653</v>
      </c>
      <c r="D110" s="73" t="s">
        <v>867</v>
      </c>
      <c r="E110" s="73" t="s">
        <v>705</v>
      </c>
      <c r="F110" s="73" t="s">
        <v>733</v>
      </c>
      <c r="G110" s="73" t="s">
        <v>655</v>
      </c>
      <c r="H110" s="73" t="s">
        <v>958</v>
      </c>
      <c r="I110" s="73" t="s">
        <v>869</v>
      </c>
      <c r="J110" s="73" t="s">
        <v>959</v>
      </c>
      <c r="K110" s="73" t="s">
        <v>871</v>
      </c>
      <c r="L110" s="107" t="n">
        <v>4.58</v>
      </c>
    </row>
    <row r="111" customFormat="false" ht="15" hidden="false" customHeight="true" outlineLevel="0" collapsed="false">
      <c r="A111" s="73" t="s">
        <v>960</v>
      </c>
      <c r="B111" s="73" t="s">
        <v>4</v>
      </c>
      <c r="C111" s="73" t="s">
        <v>653</v>
      </c>
      <c r="D111" s="73" t="s">
        <v>873</v>
      </c>
      <c r="E111" s="73" t="s">
        <v>705</v>
      </c>
      <c r="F111" s="73" t="s">
        <v>733</v>
      </c>
      <c r="G111" s="73" t="s">
        <v>655</v>
      </c>
      <c r="H111" s="73" t="s">
        <v>961</v>
      </c>
      <c r="I111" s="73" t="s">
        <v>875</v>
      </c>
      <c r="J111" s="73" t="s">
        <v>876</v>
      </c>
      <c r="K111" s="73"/>
      <c r="L111" s="104" t="n">
        <v>0.8</v>
      </c>
    </row>
    <row r="112" customFormat="false" ht="15" hidden="false" customHeight="true" outlineLevel="0" collapsed="false">
      <c r="A112" s="73" t="s">
        <v>962</v>
      </c>
      <c r="B112" s="73" t="s">
        <v>4</v>
      </c>
      <c r="C112" s="73" t="s">
        <v>653</v>
      </c>
      <c r="D112" s="73" t="s">
        <v>878</v>
      </c>
      <c r="E112" s="73" t="s">
        <v>705</v>
      </c>
      <c r="F112" s="73" t="s">
        <v>733</v>
      </c>
      <c r="G112" s="73" t="s">
        <v>655</v>
      </c>
      <c r="H112" s="73" t="s">
        <v>963</v>
      </c>
      <c r="I112" s="73" t="s">
        <v>880</v>
      </c>
      <c r="J112" s="73" t="s">
        <v>881</v>
      </c>
      <c r="K112" s="73"/>
      <c r="L112" s="104" t="n">
        <v>0.3</v>
      </c>
    </row>
    <row r="113" customFormat="false" ht="15" hidden="false" customHeight="true" outlineLevel="0" collapsed="false">
      <c r="A113" s="73" t="s">
        <v>964</v>
      </c>
      <c r="B113" s="73" t="s">
        <v>4</v>
      </c>
      <c r="C113" s="73" t="s">
        <v>653</v>
      </c>
      <c r="D113" s="73" t="s">
        <v>883</v>
      </c>
      <c r="E113" s="73" t="s">
        <v>705</v>
      </c>
      <c r="F113" s="73" t="s">
        <v>733</v>
      </c>
      <c r="G113" s="73" t="s">
        <v>655</v>
      </c>
      <c r="H113" s="73" t="s">
        <v>965</v>
      </c>
      <c r="I113" s="73" t="s">
        <v>880</v>
      </c>
      <c r="J113" s="73" t="s">
        <v>885</v>
      </c>
      <c r="K113" s="73"/>
      <c r="L113" s="104" t="n">
        <v>0.1</v>
      </c>
    </row>
    <row r="114" customFormat="false" ht="15" hidden="false" customHeight="true" outlineLevel="0" collapsed="false">
      <c r="A114" s="73" t="s">
        <v>966</v>
      </c>
      <c r="B114" s="73" t="s">
        <v>4</v>
      </c>
      <c r="C114" s="73" t="s">
        <v>653</v>
      </c>
      <c r="D114" s="73" t="s">
        <v>887</v>
      </c>
      <c r="E114" s="73" t="s">
        <v>705</v>
      </c>
      <c r="F114" s="73" t="s">
        <v>733</v>
      </c>
      <c r="G114" s="73" t="s">
        <v>655</v>
      </c>
      <c r="H114" s="73" t="s">
        <v>967</v>
      </c>
      <c r="I114" s="73" t="s">
        <v>880</v>
      </c>
      <c r="J114" s="73" t="s">
        <v>889</v>
      </c>
      <c r="K114" s="73"/>
      <c r="L114" s="104" t="n">
        <v>0.1</v>
      </c>
    </row>
    <row r="115" customFormat="false" ht="15" hidden="false" customHeight="true" outlineLevel="0" collapsed="false">
      <c r="A115" s="73" t="s">
        <v>968</v>
      </c>
      <c r="B115" s="73" t="s">
        <v>4</v>
      </c>
      <c r="C115" s="73" t="s">
        <v>653</v>
      </c>
      <c r="D115" s="73" t="s">
        <v>891</v>
      </c>
      <c r="E115" s="73" t="s">
        <v>705</v>
      </c>
      <c r="F115" s="73" t="s">
        <v>733</v>
      </c>
      <c r="G115" s="73" t="s">
        <v>96</v>
      </c>
      <c r="H115" s="73" t="s">
        <v>969</v>
      </c>
      <c r="I115" s="73" t="s">
        <v>893</v>
      </c>
      <c r="J115" s="73" t="s">
        <v>894</v>
      </c>
      <c r="K115" s="73" t="s">
        <v>895</v>
      </c>
      <c r="L115" s="103" t="n">
        <v>0</v>
      </c>
    </row>
    <row r="116" customFormat="false" ht="15" hidden="false" customHeight="true" outlineLevel="0" collapsed="false">
      <c r="A116" s="73" t="s">
        <v>970</v>
      </c>
      <c r="B116" s="73" t="s">
        <v>4</v>
      </c>
      <c r="C116" s="73" t="s">
        <v>653</v>
      </c>
      <c r="D116" s="73" t="s">
        <v>891</v>
      </c>
      <c r="E116" s="73" t="s">
        <v>705</v>
      </c>
      <c r="F116" s="73" t="s">
        <v>733</v>
      </c>
      <c r="G116" s="73" t="s">
        <v>99</v>
      </c>
      <c r="H116" s="73" t="s">
        <v>971</v>
      </c>
      <c r="I116" s="73" t="s">
        <v>893</v>
      </c>
      <c r="J116" s="73" t="s">
        <v>898</v>
      </c>
      <c r="K116" s="73" t="s">
        <v>895</v>
      </c>
      <c r="L116" s="103" t="n">
        <v>2.5</v>
      </c>
    </row>
    <row r="117" customFormat="false" ht="15" hidden="false" customHeight="true" outlineLevel="0" collapsed="false">
      <c r="A117" s="73" t="s">
        <v>972</v>
      </c>
      <c r="B117" s="73" t="s">
        <v>4</v>
      </c>
      <c r="C117" s="73" t="s">
        <v>653</v>
      </c>
      <c r="D117" s="73" t="s">
        <v>891</v>
      </c>
      <c r="E117" s="73" t="s">
        <v>705</v>
      </c>
      <c r="F117" s="73" t="s">
        <v>733</v>
      </c>
      <c r="G117" s="73" t="s">
        <v>101</v>
      </c>
      <c r="H117" s="73" t="s">
        <v>973</v>
      </c>
      <c r="I117" s="73" t="s">
        <v>893</v>
      </c>
      <c r="J117" s="73" t="s">
        <v>901</v>
      </c>
      <c r="K117" s="73" t="s">
        <v>895</v>
      </c>
      <c r="L117" s="103" t="n">
        <v>0</v>
      </c>
    </row>
    <row r="118" customFormat="false" ht="15" hidden="false" customHeight="true" outlineLevel="0" collapsed="false">
      <c r="A118" s="73" t="s">
        <v>974</v>
      </c>
      <c r="B118" s="73" t="s">
        <v>4</v>
      </c>
      <c r="C118" s="73" t="s">
        <v>653</v>
      </c>
      <c r="D118" s="73" t="s">
        <v>891</v>
      </c>
      <c r="E118" s="73" t="s">
        <v>705</v>
      </c>
      <c r="F118" s="73" t="s">
        <v>733</v>
      </c>
      <c r="G118" s="73" t="s">
        <v>103</v>
      </c>
      <c r="H118" s="73" t="s">
        <v>975</v>
      </c>
      <c r="I118" s="73" t="s">
        <v>893</v>
      </c>
      <c r="J118" s="73" t="s">
        <v>904</v>
      </c>
      <c r="K118" s="73" t="s">
        <v>895</v>
      </c>
      <c r="L118" s="103" t="n">
        <v>0.2</v>
      </c>
    </row>
    <row r="119" customFormat="false" ht="15" hidden="false" customHeight="true" outlineLevel="0" collapsed="false">
      <c r="A119" s="73" t="s">
        <v>976</v>
      </c>
      <c r="B119" s="73" t="s">
        <v>4</v>
      </c>
      <c r="C119" s="73" t="s">
        <v>653</v>
      </c>
      <c r="D119" s="73" t="s">
        <v>891</v>
      </c>
      <c r="E119" s="73" t="s">
        <v>705</v>
      </c>
      <c r="F119" s="73" t="s">
        <v>733</v>
      </c>
      <c r="G119" s="73" t="s">
        <v>105</v>
      </c>
      <c r="H119" s="73" t="s">
        <v>977</v>
      </c>
      <c r="I119" s="73" t="s">
        <v>893</v>
      </c>
      <c r="J119" s="73" t="s">
        <v>907</v>
      </c>
      <c r="K119" s="73" t="s">
        <v>895</v>
      </c>
      <c r="L119" s="103" t="n">
        <v>0</v>
      </c>
    </row>
    <row r="120" customFormat="false" ht="15" hidden="false" customHeight="true" outlineLevel="0" collapsed="false">
      <c r="A120" s="73" t="s">
        <v>978</v>
      </c>
      <c r="B120" s="73" t="s">
        <v>4</v>
      </c>
      <c r="C120" s="73" t="s">
        <v>653</v>
      </c>
      <c r="D120" s="73" t="s">
        <v>891</v>
      </c>
      <c r="E120" s="73" t="s">
        <v>705</v>
      </c>
      <c r="F120" s="73" t="s">
        <v>733</v>
      </c>
      <c r="G120" s="73" t="s">
        <v>107</v>
      </c>
      <c r="H120" s="73" t="s">
        <v>979</v>
      </c>
      <c r="I120" s="73" t="s">
        <v>893</v>
      </c>
      <c r="J120" s="73" t="s">
        <v>910</v>
      </c>
      <c r="K120" s="73" t="s">
        <v>895</v>
      </c>
      <c r="L120" s="103" t="n">
        <v>0</v>
      </c>
    </row>
    <row r="121" customFormat="false" ht="15" hidden="false" customHeight="true" outlineLevel="0" collapsed="false">
      <c r="A121" s="73" t="s">
        <v>980</v>
      </c>
      <c r="B121" s="73" t="s">
        <v>4</v>
      </c>
      <c r="C121" s="73" t="s">
        <v>653</v>
      </c>
      <c r="D121" s="73" t="s">
        <v>891</v>
      </c>
      <c r="E121" s="73" t="s">
        <v>705</v>
      </c>
      <c r="F121" s="73" t="s">
        <v>733</v>
      </c>
      <c r="G121" s="73" t="s">
        <v>109</v>
      </c>
      <c r="H121" s="73" t="s">
        <v>981</v>
      </c>
      <c r="I121" s="73" t="s">
        <v>893</v>
      </c>
      <c r="J121" s="73" t="s">
        <v>913</v>
      </c>
      <c r="K121" s="73" t="s">
        <v>895</v>
      </c>
      <c r="L121" s="103" t="n">
        <v>0</v>
      </c>
    </row>
    <row r="122" customFormat="false" ht="15" hidden="false" customHeight="true" outlineLevel="0" collapsed="false">
      <c r="A122" s="73" t="s">
        <v>982</v>
      </c>
      <c r="B122" s="73" t="s">
        <v>4</v>
      </c>
      <c r="C122" s="73" t="s">
        <v>653</v>
      </c>
      <c r="D122" s="73" t="s">
        <v>891</v>
      </c>
      <c r="E122" s="73" t="s">
        <v>705</v>
      </c>
      <c r="F122" s="73" t="s">
        <v>733</v>
      </c>
      <c r="G122" s="73" t="s">
        <v>111</v>
      </c>
      <c r="H122" s="73" t="s">
        <v>983</v>
      </c>
      <c r="I122" s="73" t="s">
        <v>893</v>
      </c>
      <c r="J122" s="73" t="s">
        <v>916</v>
      </c>
      <c r="K122" s="73" t="s">
        <v>895</v>
      </c>
      <c r="L122" s="103" t="n">
        <v>0</v>
      </c>
    </row>
    <row r="123" customFormat="false" ht="15" hidden="false" customHeight="true" outlineLevel="0" collapsed="false">
      <c r="A123" s="73" t="s">
        <v>984</v>
      </c>
      <c r="B123" s="73" t="s">
        <v>4</v>
      </c>
      <c r="C123" s="73" t="s">
        <v>653</v>
      </c>
      <c r="D123" s="73" t="s">
        <v>918</v>
      </c>
      <c r="E123" s="73" t="s">
        <v>705</v>
      </c>
      <c r="F123" s="73" t="s">
        <v>733</v>
      </c>
      <c r="G123" s="73" t="s">
        <v>96</v>
      </c>
      <c r="H123" s="73" t="s">
        <v>985</v>
      </c>
      <c r="I123" s="73" t="s">
        <v>893</v>
      </c>
      <c r="J123" s="73" t="s">
        <v>920</v>
      </c>
      <c r="K123" s="73" t="s">
        <v>895</v>
      </c>
      <c r="L123" s="103" t="n">
        <v>0</v>
      </c>
    </row>
    <row r="124" customFormat="false" ht="15" hidden="false" customHeight="true" outlineLevel="0" collapsed="false">
      <c r="A124" s="73" t="s">
        <v>986</v>
      </c>
      <c r="B124" s="73" t="s">
        <v>4</v>
      </c>
      <c r="C124" s="73" t="s">
        <v>653</v>
      </c>
      <c r="D124" s="73" t="s">
        <v>918</v>
      </c>
      <c r="E124" s="73" t="s">
        <v>705</v>
      </c>
      <c r="F124" s="73" t="s">
        <v>733</v>
      </c>
      <c r="G124" s="73" t="s">
        <v>99</v>
      </c>
      <c r="H124" s="73" t="s">
        <v>987</v>
      </c>
      <c r="I124" s="73" t="s">
        <v>893</v>
      </c>
      <c r="J124" s="73" t="s">
        <v>923</v>
      </c>
      <c r="K124" s="73" t="s">
        <v>895</v>
      </c>
      <c r="L124" s="103" t="n">
        <v>0</v>
      </c>
    </row>
    <row r="125" customFormat="false" ht="15" hidden="false" customHeight="true" outlineLevel="0" collapsed="false">
      <c r="A125" s="73" t="s">
        <v>988</v>
      </c>
      <c r="B125" s="73" t="s">
        <v>4</v>
      </c>
      <c r="C125" s="73" t="s">
        <v>653</v>
      </c>
      <c r="D125" s="73" t="s">
        <v>918</v>
      </c>
      <c r="E125" s="73" t="s">
        <v>705</v>
      </c>
      <c r="F125" s="73" t="s">
        <v>733</v>
      </c>
      <c r="G125" s="73" t="s">
        <v>101</v>
      </c>
      <c r="H125" s="73" t="s">
        <v>989</v>
      </c>
      <c r="I125" s="73" t="s">
        <v>893</v>
      </c>
      <c r="J125" s="73" t="s">
        <v>926</v>
      </c>
      <c r="K125" s="73" t="s">
        <v>895</v>
      </c>
      <c r="L125" s="103" t="n">
        <v>0</v>
      </c>
    </row>
    <row r="126" customFormat="false" ht="15" hidden="false" customHeight="true" outlineLevel="0" collapsed="false">
      <c r="A126" s="73" t="s">
        <v>990</v>
      </c>
      <c r="B126" s="73" t="s">
        <v>4</v>
      </c>
      <c r="C126" s="73" t="s">
        <v>653</v>
      </c>
      <c r="D126" s="73" t="s">
        <v>918</v>
      </c>
      <c r="E126" s="73" t="s">
        <v>705</v>
      </c>
      <c r="F126" s="73" t="s">
        <v>733</v>
      </c>
      <c r="G126" s="73" t="s">
        <v>103</v>
      </c>
      <c r="H126" s="73" t="s">
        <v>991</v>
      </c>
      <c r="I126" s="73" t="s">
        <v>893</v>
      </c>
      <c r="J126" s="73" t="s">
        <v>929</v>
      </c>
      <c r="K126" s="73" t="s">
        <v>895</v>
      </c>
      <c r="L126" s="103" t="n">
        <v>0</v>
      </c>
    </row>
    <row r="127" customFormat="false" ht="15" hidden="false" customHeight="true" outlineLevel="0" collapsed="false">
      <c r="A127" s="73" t="s">
        <v>992</v>
      </c>
      <c r="B127" s="73" t="s">
        <v>4</v>
      </c>
      <c r="C127" s="73" t="s">
        <v>653</v>
      </c>
      <c r="D127" s="73" t="s">
        <v>918</v>
      </c>
      <c r="E127" s="73" t="s">
        <v>705</v>
      </c>
      <c r="F127" s="73" t="s">
        <v>733</v>
      </c>
      <c r="G127" s="73" t="s">
        <v>105</v>
      </c>
      <c r="H127" s="73" t="s">
        <v>993</v>
      </c>
      <c r="I127" s="73" t="s">
        <v>893</v>
      </c>
      <c r="J127" s="73" t="s">
        <v>932</v>
      </c>
      <c r="K127" s="73" t="s">
        <v>895</v>
      </c>
      <c r="L127" s="103" t="n">
        <v>0</v>
      </c>
    </row>
    <row r="128" customFormat="false" ht="15" hidden="false" customHeight="true" outlineLevel="0" collapsed="false">
      <c r="A128" s="73" t="s">
        <v>994</v>
      </c>
      <c r="B128" s="73" t="s">
        <v>4</v>
      </c>
      <c r="C128" s="73" t="s">
        <v>653</v>
      </c>
      <c r="D128" s="73" t="s">
        <v>918</v>
      </c>
      <c r="E128" s="73" t="s">
        <v>705</v>
      </c>
      <c r="F128" s="73" t="s">
        <v>733</v>
      </c>
      <c r="G128" s="73" t="s">
        <v>107</v>
      </c>
      <c r="H128" s="73" t="s">
        <v>995</v>
      </c>
      <c r="I128" s="73" t="s">
        <v>893</v>
      </c>
      <c r="J128" s="73" t="s">
        <v>935</v>
      </c>
      <c r="K128" s="73" t="s">
        <v>895</v>
      </c>
      <c r="L128" s="103" t="n">
        <v>0</v>
      </c>
    </row>
    <row r="129" customFormat="false" ht="15" hidden="false" customHeight="true" outlineLevel="0" collapsed="false">
      <c r="A129" s="73" t="s">
        <v>996</v>
      </c>
      <c r="B129" s="73" t="s">
        <v>4</v>
      </c>
      <c r="C129" s="73" t="s">
        <v>653</v>
      </c>
      <c r="D129" s="73" t="s">
        <v>918</v>
      </c>
      <c r="E129" s="73" t="s">
        <v>705</v>
      </c>
      <c r="F129" s="73" t="s">
        <v>733</v>
      </c>
      <c r="G129" s="73" t="s">
        <v>109</v>
      </c>
      <c r="H129" s="73" t="s">
        <v>997</v>
      </c>
      <c r="I129" s="73" t="s">
        <v>893</v>
      </c>
      <c r="J129" s="73" t="s">
        <v>938</v>
      </c>
      <c r="K129" s="73" t="s">
        <v>895</v>
      </c>
      <c r="L129" s="103" t="n">
        <v>0</v>
      </c>
    </row>
    <row r="130" customFormat="false" ht="15" hidden="false" customHeight="true" outlineLevel="0" collapsed="false">
      <c r="A130" s="73" t="s">
        <v>998</v>
      </c>
      <c r="B130" s="73" t="s">
        <v>4</v>
      </c>
      <c r="C130" s="73" t="s">
        <v>653</v>
      </c>
      <c r="D130" s="73" t="s">
        <v>918</v>
      </c>
      <c r="E130" s="73" t="s">
        <v>705</v>
      </c>
      <c r="F130" s="73" t="s">
        <v>733</v>
      </c>
      <c r="G130" s="73" t="s">
        <v>111</v>
      </c>
      <c r="H130" s="73" t="s">
        <v>999</v>
      </c>
      <c r="I130" s="73" t="s">
        <v>893</v>
      </c>
      <c r="J130" s="73" t="s">
        <v>941</v>
      </c>
      <c r="K130" s="73" t="s">
        <v>895</v>
      </c>
      <c r="L130" s="103" t="n">
        <v>0</v>
      </c>
    </row>
    <row r="131" customFormat="false" ht="15" hidden="false" customHeight="true" outlineLevel="0" collapsed="false">
      <c r="A131" s="73" t="s">
        <v>1000</v>
      </c>
      <c r="B131" s="73" t="s">
        <v>4</v>
      </c>
      <c r="C131" s="73" t="s">
        <v>653</v>
      </c>
      <c r="D131" s="73" t="s">
        <v>943</v>
      </c>
      <c r="E131" s="73" t="s">
        <v>705</v>
      </c>
      <c r="F131" s="73" t="s">
        <v>733</v>
      </c>
      <c r="G131" s="73" t="s">
        <v>944</v>
      </c>
      <c r="H131" s="73" t="s">
        <v>1001</v>
      </c>
      <c r="I131" s="73" t="s">
        <v>893</v>
      </c>
      <c r="J131" s="73" t="s">
        <v>946</v>
      </c>
      <c r="K131" s="73"/>
      <c r="L131" s="103" t="n">
        <v>4.5</v>
      </c>
    </row>
    <row r="132" customFormat="false" ht="15" hidden="false" customHeight="true" outlineLevel="0" collapsed="false">
      <c r="A132" s="73" t="s">
        <v>1002</v>
      </c>
      <c r="B132" s="73" t="s">
        <v>4</v>
      </c>
      <c r="C132" s="73" t="s">
        <v>653</v>
      </c>
      <c r="D132" s="73" t="s">
        <v>948</v>
      </c>
      <c r="E132" s="73" t="s">
        <v>705</v>
      </c>
      <c r="F132" s="73" t="s">
        <v>733</v>
      </c>
      <c r="G132" s="73" t="s">
        <v>655</v>
      </c>
      <c r="H132" s="73" t="s">
        <v>1003</v>
      </c>
      <c r="I132" s="73" t="s">
        <v>708</v>
      </c>
      <c r="J132" s="73" t="s">
        <v>950</v>
      </c>
      <c r="K132" s="73" t="s">
        <v>951</v>
      </c>
      <c r="L132" s="103" t="n">
        <v>0</v>
      </c>
    </row>
    <row r="133" customFormat="false" ht="15" hidden="false" customHeight="true" outlineLevel="0" collapsed="false">
      <c r="A133" s="73" t="s">
        <v>1004</v>
      </c>
      <c r="B133" s="73" t="s">
        <v>4</v>
      </c>
      <c r="C133" s="73" t="s">
        <v>653</v>
      </c>
      <c r="D133" s="73" t="s">
        <v>953</v>
      </c>
      <c r="E133" s="73" t="s">
        <v>705</v>
      </c>
      <c r="F133" s="73" t="s">
        <v>733</v>
      </c>
      <c r="G133" s="73" t="s">
        <v>655</v>
      </c>
      <c r="H133" s="73" t="s">
        <v>1005</v>
      </c>
      <c r="I133" s="73" t="s">
        <v>955</v>
      </c>
      <c r="J133" s="73" t="s">
        <v>956</v>
      </c>
      <c r="K133" s="73" t="s">
        <v>951</v>
      </c>
      <c r="L133" s="103" t="n">
        <v>0</v>
      </c>
    </row>
    <row r="134" customFormat="false" ht="15" hidden="false" customHeight="true" outlineLevel="0" collapsed="false">
      <c r="A134" s="73" t="s">
        <v>1006</v>
      </c>
      <c r="B134" s="73" t="s">
        <v>4</v>
      </c>
      <c r="C134" s="73" t="s">
        <v>653</v>
      </c>
      <c r="D134" s="73" t="s">
        <v>867</v>
      </c>
      <c r="E134" s="73" t="s">
        <v>705</v>
      </c>
      <c r="F134" s="73" t="s">
        <v>744</v>
      </c>
      <c r="G134" s="73" t="s">
        <v>655</v>
      </c>
      <c r="H134" s="73" t="s">
        <v>1007</v>
      </c>
      <c r="I134" s="73" t="s">
        <v>869</v>
      </c>
      <c r="J134" s="73" t="s">
        <v>1008</v>
      </c>
      <c r="K134" s="73" t="s">
        <v>871</v>
      </c>
      <c r="L134" s="107" t="n">
        <v>0</v>
      </c>
    </row>
    <row r="135" customFormat="false" ht="15" hidden="false" customHeight="true" outlineLevel="0" collapsed="false">
      <c r="A135" s="73" t="s">
        <v>1009</v>
      </c>
      <c r="B135" s="73" t="s">
        <v>4</v>
      </c>
      <c r="C135" s="73" t="s">
        <v>653</v>
      </c>
      <c r="D135" s="73" t="s">
        <v>873</v>
      </c>
      <c r="E135" s="73" t="s">
        <v>705</v>
      </c>
      <c r="F135" s="73" t="s">
        <v>744</v>
      </c>
      <c r="G135" s="73" t="s">
        <v>655</v>
      </c>
      <c r="H135" s="73" t="s">
        <v>1010</v>
      </c>
      <c r="I135" s="73" t="s">
        <v>875</v>
      </c>
      <c r="J135" s="73" t="s">
        <v>876</v>
      </c>
      <c r="K135" s="73"/>
      <c r="L135" s="104" t="n">
        <v>1</v>
      </c>
    </row>
    <row r="136" customFormat="false" ht="15" hidden="false" customHeight="true" outlineLevel="0" collapsed="false">
      <c r="A136" s="73" t="s">
        <v>1011</v>
      </c>
      <c r="B136" s="73" t="s">
        <v>4</v>
      </c>
      <c r="C136" s="73" t="s">
        <v>653</v>
      </c>
      <c r="D136" s="73" t="s">
        <v>878</v>
      </c>
      <c r="E136" s="73" t="s">
        <v>705</v>
      </c>
      <c r="F136" s="73" t="s">
        <v>744</v>
      </c>
      <c r="G136" s="73" t="s">
        <v>655</v>
      </c>
      <c r="H136" s="73" t="s">
        <v>1012</v>
      </c>
      <c r="I136" s="73" t="s">
        <v>880</v>
      </c>
      <c r="J136" s="73" t="s">
        <v>881</v>
      </c>
      <c r="K136" s="73"/>
      <c r="L136" s="104" t="n">
        <v>0.2</v>
      </c>
    </row>
    <row r="137" customFormat="false" ht="15" hidden="false" customHeight="true" outlineLevel="0" collapsed="false">
      <c r="A137" s="73" t="s">
        <v>1013</v>
      </c>
      <c r="B137" s="73" t="s">
        <v>4</v>
      </c>
      <c r="C137" s="73" t="s">
        <v>653</v>
      </c>
      <c r="D137" s="73" t="s">
        <v>883</v>
      </c>
      <c r="E137" s="73" t="s">
        <v>705</v>
      </c>
      <c r="F137" s="73" t="s">
        <v>744</v>
      </c>
      <c r="G137" s="73" t="s">
        <v>655</v>
      </c>
      <c r="H137" s="73" t="s">
        <v>1014</v>
      </c>
      <c r="I137" s="73" t="s">
        <v>880</v>
      </c>
      <c r="J137" s="73" t="s">
        <v>885</v>
      </c>
      <c r="K137" s="73"/>
      <c r="L137" s="104" t="n">
        <v>0.1</v>
      </c>
    </row>
    <row r="138" customFormat="false" ht="15" hidden="false" customHeight="true" outlineLevel="0" collapsed="false">
      <c r="A138" s="73" t="s">
        <v>1015</v>
      </c>
      <c r="B138" s="73" t="s">
        <v>4</v>
      </c>
      <c r="C138" s="73" t="s">
        <v>653</v>
      </c>
      <c r="D138" s="73" t="s">
        <v>887</v>
      </c>
      <c r="E138" s="73" t="s">
        <v>705</v>
      </c>
      <c r="F138" s="73" t="s">
        <v>744</v>
      </c>
      <c r="G138" s="73" t="s">
        <v>655</v>
      </c>
      <c r="H138" s="73" t="s">
        <v>1016</v>
      </c>
      <c r="I138" s="73" t="s">
        <v>880</v>
      </c>
      <c r="J138" s="73" t="s">
        <v>889</v>
      </c>
      <c r="K138" s="73"/>
      <c r="L138" s="104" t="n">
        <v>0.05</v>
      </c>
    </row>
    <row r="139" customFormat="false" ht="15" hidden="false" customHeight="true" outlineLevel="0" collapsed="false">
      <c r="A139" s="73" t="s">
        <v>1017</v>
      </c>
      <c r="B139" s="73" t="s">
        <v>4</v>
      </c>
      <c r="C139" s="73" t="s">
        <v>653</v>
      </c>
      <c r="D139" s="73" t="s">
        <v>891</v>
      </c>
      <c r="E139" s="73" t="s">
        <v>705</v>
      </c>
      <c r="F139" s="73" t="s">
        <v>744</v>
      </c>
      <c r="G139" s="73" t="s">
        <v>96</v>
      </c>
      <c r="H139" s="73" t="s">
        <v>1018</v>
      </c>
      <c r="I139" s="73" t="s">
        <v>893</v>
      </c>
      <c r="J139" s="73" t="s">
        <v>894</v>
      </c>
      <c r="K139" s="73" t="s">
        <v>895</v>
      </c>
      <c r="L139" s="103" t="n">
        <v>4</v>
      </c>
    </row>
    <row r="140" customFormat="false" ht="15" hidden="false" customHeight="true" outlineLevel="0" collapsed="false">
      <c r="A140" s="73" t="s">
        <v>1019</v>
      </c>
      <c r="B140" s="73" t="s">
        <v>4</v>
      </c>
      <c r="C140" s="73" t="s">
        <v>653</v>
      </c>
      <c r="D140" s="73" t="s">
        <v>891</v>
      </c>
      <c r="E140" s="73" t="s">
        <v>705</v>
      </c>
      <c r="F140" s="73" t="s">
        <v>744</v>
      </c>
      <c r="G140" s="73" t="s">
        <v>99</v>
      </c>
      <c r="H140" s="73" t="s">
        <v>1020</v>
      </c>
      <c r="I140" s="73" t="s">
        <v>893</v>
      </c>
      <c r="J140" s="73" t="s">
        <v>898</v>
      </c>
      <c r="K140" s="73" t="s">
        <v>895</v>
      </c>
      <c r="L140" s="103" t="n">
        <v>0.5</v>
      </c>
    </row>
    <row r="141" customFormat="false" ht="15" hidden="false" customHeight="true" outlineLevel="0" collapsed="false">
      <c r="A141" s="73" t="s">
        <v>1021</v>
      </c>
      <c r="B141" s="73" t="s">
        <v>4</v>
      </c>
      <c r="C141" s="73" t="s">
        <v>653</v>
      </c>
      <c r="D141" s="73" t="s">
        <v>891</v>
      </c>
      <c r="E141" s="73" t="s">
        <v>705</v>
      </c>
      <c r="F141" s="73" t="s">
        <v>744</v>
      </c>
      <c r="G141" s="73" t="s">
        <v>101</v>
      </c>
      <c r="H141" s="73" t="s">
        <v>1022</v>
      </c>
      <c r="I141" s="73" t="s">
        <v>893</v>
      </c>
      <c r="J141" s="73" t="s">
        <v>901</v>
      </c>
      <c r="K141" s="73" t="s">
        <v>895</v>
      </c>
      <c r="L141" s="103" t="n">
        <v>0</v>
      </c>
    </row>
    <row r="142" customFormat="false" ht="15" hidden="false" customHeight="true" outlineLevel="0" collapsed="false">
      <c r="A142" s="73" t="s">
        <v>1023</v>
      </c>
      <c r="B142" s="73" t="s">
        <v>4</v>
      </c>
      <c r="C142" s="73" t="s">
        <v>653</v>
      </c>
      <c r="D142" s="73" t="s">
        <v>891</v>
      </c>
      <c r="E142" s="73" t="s">
        <v>705</v>
      </c>
      <c r="F142" s="73" t="s">
        <v>744</v>
      </c>
      <c r="G142" s="73" t="s">
        <v>103</v>
      </c>
      <c r="H142" s="73" t="s">
        <v>1024</v>
      </c>
      <c r="I142" s="73" t="s">
        <v>893</v>
      </c>
      <c r="J142" s="73" t="s">
        <v>904</v>
      </c>
      <c r="K142" s="73" t="s">
        <v>895</v>
      </c>
      <c r="L142" s="103" t="n">
        <v>0.2</v>
      </c>
    </row>
    <row r="143" customFormat="false" ht="15" hidden="false" customHeight="true" outlineLevel="0" collapsed="false">
      <c r="A143" s="73" t="s">
        <v>1025</v>
      </c>
      <c r="B143" s="73" t="s">
        <v>4</v>
      </c>
      <c r="C143" s="73" t="s">
        <v>653</v>
      </c>
      <c r="D143" s="73" t="s">
        <v>891</v>
      </c>
      <c r="E143" s="73" t="s">
        <v>705</v>
      </c>
      <c r="F143" s="73" t="s">
        <v>744</v>
      </c>
      <c r="G143" s="73" t="s">
        <v>105</v>
      </c>
      <c r="H143" s="73" t="s">
        <v>1026</v>
      </c>
      <c r="I143" s="73" t="s">
        <v>893</v>
      </c>
      <c r="J143" s="73" t="s">
        <v>907</v>
      </c>
      <c r="K143" s="73" t="s">
        <v>895</v>
      </c>
      <c r="L143" s="103" t="n">
        <v>0</v>
      </c>
    </row>
    <row r="144" customFormat="false" ht="15" hidden="false" customHeight="true" outlineLevel="0" collapsed="false">
      <c r="A144" s="73" t="s">
        <v>1027</v>
      </c>
      <c r="B144" s="73" t="s">
        <v>4</v>
      </c>
      <c r="C144" s="73" t="s">
        <v>653</v>
      </c>
      <c r="D144" s="73" t="s">
        <v>891</v>
      </c>
      <c r="E144" s="73" t="s">
        <v>705</v>
      </c>
      <c r="F144" s="73" t="s">
        <v>744</v>
      </c>
      <c r="G144" s="73" t="s">
        <v>107</v>
      </c>
      <c r="H144" s="73" t="s">
        <v>1028</v>
      </c>
      <c r="I144" s="73" t="s">
        <v>893</v>
      </c>
      <c r="J144" s="73" t="s">
        <v>910</v>
      </c>
      <c r="K144" s="73" t="s">
        <v>895</v>
      </c>
      <c r="L144" s="103" t="n">
        <v>0</v>
      </c>
    </row>
    <row r="145" customFormat="false" ht="15" hidden="false" customHeight="true" outlineLevel="0" collapsed="false">
      <c r="A145" s="73" t="s">
        <v>1029</v>
      </c>
      <c r="B145" s="73" t="s">
        <v>4</v>
      </c>
      <c r="C145" s="73" t="s">
        <v>653</v>
      </c>
      <c r="D145" s="73" t="s">
        <v>891</v>
      </c>
      <c r="E145" s="73" t="s">
        <v>705</v>
      </c>
      <c r="F145" s="73" t="s">
        <v>744</v>
      </c>
      <c r="G145" s="73" t="s">
        <v>109</v>
      </c>
      <c r="H145" s="73" t="s">
        <v>1030</v>
      </c>
      <c r="I145" s="73" t="s">
        <v>893</v>
      </c>
      <c r="J145" s="73" t="s">
        <v>913</v>
      </c>
      <c r="K145" s="73" t="s">
        <v>895</v>
      </c>
      <c r="L145" s="103" t="n">
        <v>0</v>
      </c>
    </row>
    <row r="146" customFormat="false" ht="15" hidden="false" customHeight="true" outlineLevel="0" collapsed="false">
      <c r="A146" s="73" t="s">
        <v>1031</v>
      </c>
      <c r="B146" s="73" t="s">
        <v>4</v>
      </c>
      <c r="C146" s="73" t="s">
        <v>653</v>
      </c>
      <c r="D146" s="73" t="s">
        <v>891</v>
      </c>
      <c r="E146" s="73" t="s">
        <v>705</v>
      </c>
      <c r="F146" s="73" t="s">
        <v>744</v>
      </c>
      <c r="G146" s="73" t="s">
        <v>111</v>
      </c>
      <c r="H146" s="73" t="s">
        <v>1032</v>
      </c>
      <c r="I146" s="73" t="s">
        <v>893</v>
      </c>
      <c r="J146" s="73" t="s">
        <v>916</v>
      </c>
      <c r="K146" s="73" t="s">
        <v>895</v>
      </c>
      <c r="L146" s="103" t="n">
        <v>0</v>
      </c>
    </row>
    <row r="147" customFormat="false" ht="15" hidden="false" customHeight="true" outlineLevel="0" collapsed="false">
      <c r="A147" s="73" t="s">
        <v>1033</v>
      </c>
      <c r="B147" s="73" t="s">
        <v>4</v>
      </c>
      <c r="C147" s="73" t="s">
        <v>653</v>
      </c>
      <c r="D147" s="73" t="s">
        <v>918</v>
      </c>
      <c r="E147" s="73" t="s">
        <v>705</v>
      </c>
      <c r="F147" s="73" t="s">
        <v>744</v>
      </c>
      <c r="G147" s="73" t="s">
        <v>96</v>
      </c>
      <c r="H147" s="73" t="s">
        <v>1034</v>
      </c>
      <c r="I147" s="73" t="s">
        <v>893</v>
      </c>
      <c r="J147" s="73" t="s">
        <v>920</v>
      </c>
      <c r="K147" s="73" t="s">
        <v>895</v>
      </c>
      <c r="L147" s="103" t="n">
        <v>16</v>
      </c>
    </row>
    <row r="148" customFormat="false" ht="15" hidden="false" customHeight="true" outlineLevel="0" collapsed="false">
      <c r="A148" s="73" t="s">
        <v>1035</v>
      </c>
      <c r="B148" s="73" t="s">
        <v>4</v>
      </c>
      <c r="C148" s="73" t="s">
        <v>653</v>
      </c>
      <c r="D148" s="73" t="s">
        <v>918</v>
      </c>
      <c r="E148" s="73" t="s">
        <v>705</v>
      </c>
      <c r="F148" s="73" t="s">
        <v>744</v>
      </c>
      <c r="G148" s="73" t="s">
        <v>99</v>
      </c>
      <c r="H148" s="73" t="s">
        <v>1036</v>
      </c>
      <c r="I148" s="73" t="s">
        <v>893</v>
      </c>
      <c r="J148" s="73" t="s">
        <v>923</v>
      </c>
      <c r="K148" s="73" t="s">
        <v>895</v>
      </c>
      <c r="L148" s="103" t="n">
        <v>0</v>
      </c>
    </row>
    <row r="149" customFormat="false" ht="15" hidden="false" customHeight="true" outlineLevel="0" collapsed="false">
      <c r="A149" s="73" t="s">
        <v>1037</v>
      </c>
      <c r="B149" s="73" t="s">
        <v>4</v>
      </c>
      <c r="C149" s="73" t="s">
        <v>653</v>
      </c>
      <c r="D149" s="73" t="s">
        <v>918</v>
      </c>
      <c r="E149" s="73" t="s">
        <v>705</v>
      </c>
      <c r="F149" s="73" t="s">
        <v>744</v>
      </c>
      <c r="G149" s="73" t="s">
        <v>101</v>
      </c>
      <c r="H149" s="73" t="s">
        <v>1038</v>
      </c>
      <c r="I149" s="73" t="s">
        <v>893</v>
      </c>
      <c r="J149" s="73" t="s">
        <v>926</v>
      </c>
      <c r="K149" s="73" t="s">
        <v>895</v>
      </c>
      <c r="L149" s="103" t="n">
        <v>0</v>
      </c>
    </row>
    <row r="150" customFormat="false" ht="15" hidden="false" customHeight="true" outlineLevel="0" collapsed="false">
      <c r="A150" s="73" t="s">
        <v>1039</v>
      </c>
      <c r="B150" s="73" t="s">
        <v>4</v>
      </c>
      <c r="C150" s="73" t="s">
        <v>653</v>
      </c>
      <c r="D150" s="73" t="s">
        <v>918</v>
      </c>
      <c r="E150" s="73" t="s">
        <v>705</v>
      </c>
      <c r="F150" s="73" t="s">
        <v>744</v>
      </c>
      <c r="G150" s="73" t="s">
        <v>103</v>
      </c>
      <c r="H150" s="73" t="s">
        <v>1040</v>
      </c>
      <c r="I150" s="73" t="s">
        <v>893</v>
      </c>
      <c r="J150" s="73" t="s">
        <v>929</v>
      </c>
      <c r="K150" s="73" t="s">
        <v>895</v>
      </c>
      <c r="L150" s="103" t="n">
        <v>0</v>
      </c>
    </row>
    <row r="151" customFormat="false" ht="15" hidden="false" customHeight="true" outlineLevel="0" collapsed="false">
      <c r="A151" s="73" t="s">
        <v>1041</v>
      </c>
      <c r="B151" s="73" t="s">
        <v>4</v>
      </c>
      <c r="C151" s="73" t="s">
        <v>653</v>
      </c>
      <c r="D151" s="73" t="s">
        <v>918</v>
      </c>
      <c r="E151" s="73" t="s">
        <v>705</v>
      </c>
      <c r="F151" s="73" t="s">
        <v>744</v>
      </c>
      <c r="G151" s="73" t="s">
        <v>105</v>
      </c>
      <c r="H151" s="73" t="s">
        <v>1042</v>
      </c>
      <c r="I151" s="73" t="s">
        <v>893</v>
      </c>
      <c r="J151" s="73" t="s">
        <v>932</v>
      </c>
      <c r="K151" s="73" t="s">
        <v>895</v>
      </c>
      <c r="L151" s="103" t="n">
        <v>0</v>
      </c>
    </row>
    <row r="152" customFormat="false" ht="15" hidden="false" customHeight="true" outlineLevel="0" collapsed="false">
      <c r="A152" s="73" t="s">
        <v>1043</v>
      </c>
      <c r="B152" s="73" t="s">
        <v>4</v>
      </c>
      <c r="C152" s="73" t="s">
        <v>653</v>
      </c>
      <c r="D152" s="73" t="s">
        <v>918</v>
      </c>
      <c r="E152" s="73" t="s">
        <v>705</v>
      </c>
      <c r="F152" s="73" t="s">
        <v>744</v>
      </c>
      <c r="G152" s="73" t="s">
        <v>107</v>
      </c>
      <c r="H152" s="73" t="s">
        <v>1044</v>
      </c>
      <c r="I152" s="73" t="s">
        <v>893</v>
      </c>
      <c r="J152" s="73" t="s">
        <v>935</v>
      </c>
      <c r="K152" s="73" t="s">
        <v>895</v>
      </c>
      <c r="L152" s="103" t="n">
        <v>0</v>
      </c>
    </row>
    <row r="153" customFormat="false" ht="15" hidden="false" customHeight="true" outlineLevel="0" collapsed="false">
      <c r="A153" s="73" t="s">
        <v>1045</v>
      </c>
      <c r="B153" s="73" t="s">
        <v>4</v>
      </c>
      <c r="C153" s="73" t="s">
        <v>653</v>
      </c>
      <c r="D153" s="73" t="s">
        <v>918</v>
      </c>
      <c r="E153" s="73" t="s">
        <v>705</v>
      </c>
      <c r="F153" s="73" t="s">
        <v>744</v>
      </c>
      <c r="G153" s="73" t="s">
        <v>109</v>
      </c>
      <c r="H153" s="73" t="s">
        <v>1046</v>
      </c>
      <c r="I153" s="73" t="s">
        <v>893</v>
      </c>
      <c r="J153" s="73" t="s">
        <v>938</v>
      </c>
      <c r="K153" s="73" t="s">
        <v>895</v>
      </c>
      <c r="L153" s="103" t="n">
        <v>0</v>
      </c>
    </row>
    <row r="154" customFormat="false" ht="15" hidden="false" customHeight="true" outlineLevel="0" collapsed="false">
      <c r="A154" s="73" t="s">
        <v>1047</v>
      </c>
      <c r="B154" s="73" t="s">
        <v>4</v>
      </c>
      <c r="C154" s="73" t="s">
        <v>653</v>
      </c>
      <c r="D154" s="73" t="s">
        <v>918</v>
      </c>
      <c r="E154" s="73" t="s">
        <v>705</v>
      </c>
      <c r="F154" s="73" t="s">
        <v>744</v>
      </c>
      <c r="G154" s="73" t="s">
        <v>111</v>
      </c>
      <c r="H154" s="73" t="s">
        <v>1048</v>
      </c>
      <c r="I154" s="73" t="s">
        <v>893</v>
      </c>
      <c r="J154" s="73" t="s">
        <v>941</v>
      </c>
      <c r="K154" s="73" t="s">
        <v>895</v>
      </c>
      <c r="L154" s="103" t="n">
        <v>0</v>
      </c>
    </row>
    <row r="155" customFormat="false" ht="15" hidden="false" customHeight="true" outlineLevel="0" collapsed="false">
      <c r="A155" s="73" t="s">
        <v>1049</v>
      </c>
      <c r="B155" s="73" t="s">
        <v>4</v>
      </c>
      <c r="C155" s="73" t="s">
        <v>653</v>
      </c>
      <c r="D155" s="73" t="s">
        <v>943</v>
      </c>
      <c r="E155" s="73" t="s">
        <v>705</v>
      </c>
      <c r="F155" s="73" t="s">
        <v>744</v>
      </c>
      <c r="G155" s="73" t="s">
        <v>944</v>
      </c>
      <c r="H155" s="73" t="s">
        <v>1050</v>
      </c>
      <c r="I155" s="73" t="s">
        <v>893</v>
      </c>
      <c r="J155" s="73" t="s">
        <v>946</v>
      </c>
      <c r="K155" s="73"/>
      <c r="L155" s="103" t="n">
        <v>1.5</v>
      </c>
    </row>
    <row r="156" customFormat="false" ht="15" hidden="false" customHeight="true" outlineLevel="0" collapsed="false">
      <c r="A156" s="73" t="s">
        <v>1051</v>
      </c>
      <c r="B156" s="73" t="s">
        <v>4</v>
      </c>
      <c r="C156" s="73" t="s">
        <v>653</v>
      </c>
      <c r="D156" s="73" t="s">
        <v>948</v>
      </c>
      <c r="E156" s="73" t="s">
        <v>705</v>
      </c>
      <c r="F156" s="73" t="s">
        <v>744</v>
      </c>
      <c r="G156" s="73" t="s">
        <v>655</v>
      </c>
      <c r="H156" s="73" t="s">
        <v>1052</v>
      </c>
      <c r="I156" s="73" t="s">
        <v>708</v>
      </c>
      <c r="J156" s="73" t="s">
        <v>950</v>
      </c>
      <c r="K156" s="73" t="s">
        <v>951</v>
      </c>
      <c r="L156" s="103" t="n">
        <v>0.2</v>
      </c>
    </row>
    <row r="157" customFormat="false" ht="15" hidden="false" customHeight="true" outlineLevel="0" collapsed="false">
      <c r="A157" s="73" t="s">
        <v>1053</v>
      </c>
      <c r="B157" s="73" t="s">
        <v>4</v>
      </c>
      <c r="C157" s="73" t="s">
        <v>653</v>
      </c>
      <c r="D157" s="73" t="s">
        <v>953</v>
      </c>
      <c r="E157" s="73" t="s">
        <v>705</v>
      </c>
      <c r="F157" s="73" t="s">
        <v>744</v>
      </c>
      <c r="G157" s="73" t="s">
        <v>655</v>
      </c>
      <c r="H157" s="73" t="s">
        <v>1054</v>
      </c>
      <c r="I157" s="73" t="s">
        <v>955</v>
      </c>
      <c r="J157" s="73" t="s">
        <v>956</v>
      </c>
      <c r="K157" s="73" t="s">
        <v>951</v>
      </c>
      <c r="L157" s="103" t="n">
        <v>0</v>
      </c>
    </row>
    <row r="158" customFormat="false" ht="15" hidden="false" customHeight="true" outlineLevel="0" collapsed="false">
      <c r="A158" s="73" t="s">
        <v>1055</v>
      </c>
      <c r="B158" s="73" t="s">
        <v>4</v>
      </c>
      <c r="C158" s="73" t="s">
        <v>653</v>
      </c>
      <c r="D158" s="73" t="s">
        <v>867</v>
      </c>
      <c r="E158" s="73" t="s">
        <v>755</v>
      </c>
      <c r="F158" s="73" t="s">
        <v>756</v>
      </c>
      <c r="G158" s="73" t="s">
        <v>655</v>
      </c>
      <c r="H158" s="73" t="s">
        <v>1056</v>
      </c>
      <c r="I158" s="73" t="s">
        <v>869</v>
      </c>
      <c r="J158" s="73" t="s">
        <v>1057</v>
      </c>
      <c r="K158" s="73" t="s">
        <v>871</v>
      </c>
      <c r="L158" s="107" t="n">
        <v>50</v>
      </c>
    </row>
    <row r="159" customFormat="false" ht="15" hidden="false" customHeight="true" outlineLevel="0" collapsed="false">
      <c r="A159" s="73" t="s">
        <v>1058</v>
      </c>
      <c r="B159" s="73" t="s">
        <v>4</v>
      </c>
      <c r="C159" s="73" t="s">
        <v>653</v>
      </c>
      <c r="D159" s="73" t="s">
        <v>873</v>
      </c>
      <c r="E159" s="73" t="s">
        <v>755</v>
      </c>
      <c r="F159" s="73" t="s">
        <v>756</v>
      </c>
      <c r="G159" s="73" t="s">
        <v>655</v>
      </c>
      <c r="H159" s="73" t="s">
        <v>1059</v>
      </c>
      <c r="I159" s="73" t="s">
        <v>875</v>
      </c>
      <c r="J159" s="73" t="s">
        <v>876</v>
      </c>
      <c r="K159" s="73"/>
      <c r="L159" s="104" t="n">
        <v>0.9</v>
      </c>
    </row>
    <row r="160" customFormat="false" ht="15" hidden="false" customHeight="true" outlineLevel="0" collapsed="false">
      <c r="A160" s="73" t="s">
        <v>1060</v>
      </c>
      <c r="B160" s="73" t="s">
        <v>4</v>
      </c>
      <c r="C160" s="73" t="s">
        <v>653</v>
      </c>
      <c r="D160" s="73" t="s">
        <v>878</v>
      </c>
      <c r="E160" s="73" t="s">
        <v>755</v>
      </c>
      <c r="F160" s="73" t="s">
        <v>756</v>
      </c>
      <c r="G160" s="73" t="s">
        <v>655</v>
      </c>
      <c r="H160" s="73" t="s">
        <v>1061</v>
      </c>
      <c r="I160" s="73" t="s">
        <v>880</v>
      </c>
      <c r="J160" s="73" t="s">
        <v>881</v>
      </c>
      <c r="K160" s="73"/>
      <c r="L160" s="104" t="n">
        <v>0.05</v>
      </c>
    </row>
    <row r="161" customFormat="false" ht="15" hidden="false" customHeight="true" outlineLevel="0" collapsed="false">
      <c r="A161" s="73" t="s">
        <v>1062</v>
      </c>
      <c r="B161" s="73" t="s">
        <v>4</v>
      </c>
      <c r="C161" s="73" t="s">
        <v>653</v>
      </c>
      <c r="D161" s="73" t="s">
        <v>883</v>
      </c>
      <c r="E161" s="73" t="s">
        <v>755</v>
      </c>
      <c r="F161" s="73" t="s">
        <v>756</v>
      </c>
      <c r="G161" s="73" t="s">
        <v>655</v>
      </c>
      <c r="H161" s="73" t="s">
        <v>1063</v>
      </c>
      <c r="I161" s="73" t="s">
        <v>880</v>
      </c>
      <c r="J161" s="73" t="s">
        <v>885</v>
      </c>
      <c r="K161" s="73"/>
      <c r="L161" s="104" t="n">
        <v>0.01</v>
      </c>
    </row>
    <row r="162" customFormat="false" ht="15" hidden="false" customHeight="true" outlineLevel="0" collapsed="false">
      <c r="A162" s="73" t="s">
        <v>1064</v>
      </c>
      <c r="B162" s="73" t="s">
        <v>4</v>
      </c>
      <c r="C162" s="73" t="s">
        <v>653</v>
      </c>
      <c r="D162" s="73" t="s">
        <v>887</v>
      </c>
      <c r="E162" s="73" t="s">
        <v>755</v>
      </c>
      <c r="F162" s="73" t="s">
        <v>756</v>
      </c>
      <c r="G162" s="73" t="s">
        <v>655</v>
      </c>
      <c r="H162" s="73" t="s">
        <v>1065</v>
      </c>
      <c r="I162" s="73" t="s">
        <v>880</v>
      </c>
      <c r="J162" s="73" t="s">
        <v>889</v>
      </c>
      <c r="K162" s="73"/>
      <c r="L162" s="104" t="n">
        <v>0.02</v>
      </c>
    </row>
    <row r="163" customFormat="false" ht="15" hidden="false" customHeight="true" outlineLevel="0" collapsed="false">
      <c r="A163" s="73" t="s">
        <v>1066</v>
      </c>
      <c r="B163" s="73" t="s">
        <v>4</v>
      </c>
      <c r="C163" s="73" t="s">
        <v>653</v>
      </c>
      <c r="D163" s="73" t="s">
        <v>891</v>
      </c>
      <c r="E163" s="73" t="s">
        <v>755</v>
      </c>
      <c r="F163" s="73" t="s">
        <v>756</v>
      </c>
      <c r="G163" s="73" t="s">
        <v>96</v>
      </c>
      <c r="H163" s="73" t="s">
        <v>1067</v>
      </c>
      <c r="I163" s="73" t="s">
        <v>893</v>
      </c>
      <c r="J163" s="73" t="s">
        <v>894</v>
      </c>
      <c r="K163" s="73" t="s">
        <v>895</v>
      </c>
      <c r="L163" s="103" t="n">
        <v>2.5</v>
      </c>
    </row>
    <row r="164" customFormat="false" ht="15" hidden="false" customHeight="true" outlineLevel="0" collapsed="false">
      <c r="A164" s="73" t="s">
        <v>1068</v>
      </c>
      <c r="B164" s="73" t="s">
        <v>4</v>
      </c>
      <c r="C164" s="73" t="s">
        <v>653</v>
      </c>
      <c r="D164" s="73" t="s">
        <v>891</v>
      </c>
      <c r="E164" s="73" t="s">
        <v>755</v>
      </c>
      <c r="F164" s="73" t="s">
        <v>756</v>
      </c>
      <c r="G164" s="73" t="s">
        <v>99</v>
      </c>
      <c r="H164" s="73" t="s">
        <v>1069</v>
      </c>
      <c r="I164" s="73" t="s">
        <v>893</v>
      </c>
      <c r="J164" s="73" t="s">
        <v>898</v>
      </c>
      <c r="K164" s="73" t="s">
        <v>895</v>
      </c>
      <c r="L164" s="103" t="n">
        <v>0.5</v>
      </c>
    </row>
    <row r="165" customFormat="false" ht="15" hidden="false" customHeight="true" outlineLevel="0" collapsed="false">
      <c r="A165" s="73" t="s">
        <v>1070</v>
      </c>
      <c r="B165" s="73" t="s">
        <v>4</v>
      </c>
      <c r="C165" s="73" t="s">
        <v>653</v>
      </c>
      <c r="D165" s="73" t="s">
        <v>891</v>
      </c>
      <c r="E165" s="73" t="s">
        <v>755</v>
      </c>
      <c r="F165" s="73" t="s">
        <v>756</v>
      </c>
      <c r="G165" s="73" t="s">
        <v>101</v>
      </c>
      <c r="H165" s="73" t="s">
        <v>1071</v>
      </c>
      <c r="I165" s="73" t="s">
        <v>893</v>
      </c>
      <c r="J165" s="73" t="s">
        <v>901</v>
      </c>
      <c r="K165" s="73" t="s">
        <v>895</v>
      </c>
      <c r="L165" s="103" t="n">
        <v>0</v>
      </c>
    </row>
    <row r="166" customFormat="false" ht="15" hidden="false" customHeight="true" outlineLevel="0" collapsed="false">
      <c r="A166" s="73" t="s">
        <v>1072</v>
      </c>
      <c r="B166" s="73" t="s">
        <v>4</v>
      </c>
      <c r="C166" s="73" t="s">
        <v>653</v>
      </c>
      <c r="D166" s="73" t="s">
        <v>891</v>
      </c>
      <c r="E166" s="73" t="s">
        <v>755</v>
      </c>
      <c r="F166" s="73" t="s">
        <v>756</v>
      </c>
      <c r="G166" s="73" t="s">
        <v>103</v>
      </c>
      <c r="H166" s="73" t="s">
        <v>1073</v>
      </c>
      <c r="I166" s="73" t="s">
        <v>893</v>
      </c>
      <c r="J166" s="73" t="s">
        <v>904</v>
      </c>
      <c r="K166" s="73" t="s">
        <v>895</v>
      </c>
      <c r="L166" s="103" t="n">
        <v>0</v>
      </c>
    </row>
    <row r="167" customFormat="false" ht="15" hidden="false" customHeight="true" outlineLevel="0" collapsed="false">
      <c r="A167" s="73" t="s">
        <v>1074</v>
      </c>
      <c r="B167" s="73" t="s">
        <v>4</v>
      </c>
      <c r="C167" s="73" t="s">
        <v>653</v>
      </c>
      <c r="D167" s="73" t="s">
        <v>891</v>
      </c>
      <c r="E167" s="73" t="s">
        <v>755</v>
      </c>
      <c r="F167" s="73" t="s">
        <v>756</v>
      </c>
      <c r="G167" s="73" t="s">
        <v>105</v>
      </c>
      <c r="H167" s="73" t="s">
        <v>1075</v>
      </c>
      <c r="I167" s="73" t="s">
        <v>893</v>
      </c>
      <c r="J167" s="73" t="s">
        <v>907</v>
      </c>
      <c r="K167" s="73" t="s">
        <v>895</v>
      </c>
      <c r="L167" s="103" t="n">
        <v>0</v>
      </c>
    </row>
    <row r="168" customFormat="false" ht="15" hidden="false" customHeight="true" outlineLevel="0" collapsed="false">
      <c r="A168" s="73" t="s">
        <v>1076</v>
      </c>
      <c r="B168" s="73" t="s">
        <v>4</v>
      </c>
      <c r="C168" s="73" t="s">
        <v>653</v>
      </c>
      <c r="D168" s="73" t="s">
        <v>891</v>
      </c>
      <c r="E168" s="73" t="s">
        <v>755</v>
      </c>
      <c r="F168" s="73" t="s">
        <v>756</v>
      </c>
      <c r="G168" s="73" t="s">
        <v>107</v>
      </c>
      <c r="H168" s="73" t="s">
        <v>1077</v>
      </c>
      <c r="I168" s="73" t="s">
        <v>893</v>
      </c>
      <c r="J168" s="73" t="s">
        <v>910</v>
      </c>
      <c r="K168" s="73" t="s">
        <v>895</v>
      </c>
      <c r="L168" s="103" t="n">
        <v>0</v>
      </c>
    </row>
    <row r="169" customFormat="false" ht="15" hidden="false" customHeight="true" outlineLevel="0" collapsed="false">
      <c r="A169" s="73" t="s">
        <v>1078</v>
      </c>
      <c r="B169" s="73" t="s">
        <v>4</v>
      </c>
      <c r="C169" s="73" t="s">
        <v>653</v>
      </c>
      <c r="D169" s="73" t="s">
        <v>891</v>
      </c>
      <c r="E169" s="73" t="s">
        <v>755</v>
      </c>
      <c r="F169" s="73" t="s">
        <v>756</v>
      </c>
      <c r="G169" s="73" t="s">
        <v>109</v>
      </c>
      <c r="H169" s="73" t="s">
        <v>1079</v>
      </c>
      <c r="I169" s="73" t="s">
        <v>893</v>
      </c>
      <c r="J169" s="73" t="s">
        <v>913</v>
      </c>
      <c r="K169" s="73" t="s">
        <v>895</v>
      </c>
      <c r="L169" s="103" t="n">
        <v>0</v>
      </c>
    </row>
    <row r="170" customFormat="false" ht="15" hidden="false" customHeight="true" outlineLevel="0" collapsed="false">
      <c r="A170" s="73" t="s">
        <v>1080</v>
      </c>
      <c r="B170" s="73" t="s">
        <v>4</v>
      </c>
      <c r="C170" s="73" t="s">
        <v>653</v>
      </c>
      <c r="D170" s="73" t="s">
        <v>891</v>
      </c>
      <c r="E170" s="73" t="s">
        <v>755</v>
      </c>
      <c r="F170" s="73" t="s">
        <v>756</v>
      </c>
      <c r="G170" s="73" t="s">
        <v>111</v>
      </c>
      <c r="H170" s="73" t="s">
        <v>1081</v>
      </c>
      <c r="I170" s="73" t="s">
        <v>893</v>
      </c>
      <c r="J170" s="73" t="s">
        <v>916</v>
      </c>
      <c r="K170" s="73" t="s">
        <v>895</v>
      </c>
      <c r="L170" s="103" t="n">
        <v>0</v>
      </c>
    </row>
    <row r="171" customFormat="false" ht="15" hidden="false" customHeight="true" outlineLevel="0" collapsed="false">
      <c r="A171" s="73" t="s">
        <v>1082</v>
      </c>
      <c r="B171" s="73" t="s">
        <v>4</v>
      </c>
      <c r="C171" s="73" t="s">
        <v>653</v>
      </c>
      <c r="D171" s="73" t="s">
        <v>918</v>
      </c>
      <c r="E171" s="73" t="s">
        <v>755</v>
      </c>
      <c r="F171" s="73" t="s">
        <v>756</v>
      </c>
      <c r="G171" s="73" t="s">
        <v>96</v>
      </c>
      <c r="H171" s="73" t="s">
        <v>1083</v>
      </c>
      <c r="I171" s="73" t="s">
        <v>893</v>
      </c>
      <c r="J171" s="73" t="s">
        <v>920</v>
      </c>
      <c r="K171" s="73" t="s">
        <v>895</v>
      </c>
      <c r="L171" s="103" t="n">
        <v>0</v>
      </c>
    </row>
    <row r="172" customFormat="false" ht="15" hidden="false" customHeight="true" outlineLevel="0" collapsed="false">
      <c r="A172" s="73" t="s">
        <v>1084</v>
      </c>
      <c r="B172" s="73" t="s">
        <v>4</v>
      </c>
      <c r="C172" s="73" t="s">
        <v>653</v>
      </c>
      <c r="D172" s="73" t="s">
        <v>918</v>
      </c>
      <c r="E172" s="73" t="s">
        <v>755</v>
      </c>
      <c r="F172" s="73" t="s">
        <v>756</v>
      </c>
      <c r="G172" s="73" t="s">
        <v>99</v>
      </c>
      <c r="H172" s="73" t="s">
        <v>1085</v>
      </c>
      <c r="I172" s="73" t="s">
        <v>893</v>
      </c>
      <c r="J172" s="73" t="s">
        <v>923</v>
      </c>
      <c r="K172" s="73" t="s">
        <v>895</v>
      </c>
      <c r="L172" s="103" t="n">
        <v>0</v>
      </c>
    </row>
    <row r="173" customFormat="false" ht="15" hidden="false" customHeight="true" outlineLevel="0" collapsed="false">
      <c r="A173" s="73" t="s">
        <v>1086</v>
      </c>
      <c r="B173" s="73" t="s">
        <v>4</v>
      </c>
      <c r="C173" s="73" t="s">
        <v>653</v>
      </c>
      <c r="D173" s="73" t="s">
        <v>918</v>
      </c>
      <c r="E173" s="73" t="s">
        <v>755</v>
      </c>
      <c r="F173" s="73" t="s">
        <v>756</v>
      </c>
      <c r="G173" s="73" t="s">
        <v>101</v>
      </c>
      <c r="H173" s="73" t="s">
        <v>1087</v>
      </c>
      <c r="I173" s="73" t="s">
        <v>893</v>
      </c>
      <c r="J173" s="73" t="s">
        <v>926</v>
      </c>
      <c r="K173" s="73" t="s">
        <v>895</v>
      </c>
      <c r="L173" s="103" t="n">
        <v>0</v>
      </c>
    </row>
    <row r="174" customFormat="false" ht="15" hidden="false" customHeight="true" outlineLevel="0" collapsed="false">
      <c r="A174" s="73" t="s">
        <v>1088</v>
      </c>
      <c r="B174" s="73" t="s">
        <v>4</v>
      </c>
      <c r="C174" s="73" t="s">
        <v>653</v>
      </c>
      <c r="D174" s="73" t="s">
        <v>918</v>
      </c>
      <c r="E174" s="73" t="s">
        <v>755</v>
      </c>
      <c r="F174" s="73" t="s">
        <v>756</v>
      </c>
      <c r="G174" s="73" t="s">
        <v>103</v>
      </c>
      <c r="H174" s="73" t="s">
        <v>1089</v>
      </c>
      <c r="I174" s="73" t="s">
        <v>893</v>
      </c>
      <c r="J174" s="73" t="s">
        <v>929</v>
      </c>
      <c r="K174" s="73" t="s">
        <v>895</v>
      </c>
      <c r="L174" s="103" t="n">
        <v>0</v>
      </c>
    </row>
    <row r="175" customFormat="false" ht="15" hidden="false" customHeight="true" outlineLevel="0" collapsed="false">
      <c r="A175" s="73" t="s">
        <v>1090</v>
      </c>
      <c r="B175" s="73" t="s">
        <v>4</v>
      </c>
      <c r="C175" s="73" t="s">
        <v>653</v>
      </c>
      <c r="D175" s="73" t="s">
        <v>918</v>
      </c>
      <c r="E175" s="73" t="s">
        <v>755</v>
      </c>
      <c r="F175" s="73" t="s">
        <v>756</v>
      </c>
      <c r="G175" s="73" t="s">
        <v>105</v>
      </c>
      <c r="H175" s="73" t="s">
        <v>1091</v>
      </c>
      <c r="I175" s="73" t="s">
        <v>893</v>
      </c>
      <c r="J175" s="73" t="s">
        <v>932</v>
      </c>
      <c r="K175" s="73" t="s">
        <v>895</v>
      </c>
      <c r="L175" s="103" t="n">
        <v>0</v>
      </c>
    </row>
    <row r="176" customFormat="false" ht="15" hidden="false" customHeight="true" outlineLevel="0" collapsed="false">
      <c r="A176" s="73" t="s">
        <v>1092</v>
      </c>
      <c r="B176" s="73" t="s">
        <v>4</v>
      </c>
      <c r="C176" s="73" t="s">
        <v>653</v>
      </c>
      <c r="D176" s="73" t="s">
        <v>918</v>
      </c>
      <c r="E176" s="73" t="s">
        <v>755</v>
      </c>
      <c r="F176" s="73" t="s">
        <v>756</v>
      </c>
      <c r="G176" s="73" t="s">
        <v>107</v>
      </c>
      <c r="H176" s="73" t="s">
        <v>1093</v>
      </c>
      <c r="I176" s="73" t="s">
        <v>893</v>
      </c>
      <c r="J176" s="73" t="s">
        <v>935</v>
      </c>
      <c r="K176" s="73" t="s">
        <v>895</v>
      </c>
      <c r="L176" s="103" t="n">
        <v>0</v>
      </c>
    </row>
    <row r="177" customFormat="false" ht="15" hidden="false" customHeight="true" outlineLevel="0" collapsed="false">
      <c r="A177" s="73" t="s">
        <v>1094</v>
      </c>
      <c r="B177" s="73" t="s">
        <v>4</v>
      </c>
      <c r="C177" s="73" t="s">
        <v>653</v>
      </c>
      <c r="D177" s="73" t="s">
        <v>918</v>
      </c>
      <c r="E177" s="73" t="s">
        <v>755</v>
      </c>
      <c r="F177" s="73" t="s">
        <v>756</v>
      </c>
      <c r="G177" s="73" t="s">
        <v>109</v>
      </c>
      <c r="H177" s="73" t="s">
        <v>1095</v>
      </c>
      <c r="I177" s="73" t="s">
        <v>893</v>
      </c>
      <c r="J177" s="73" t="s">
        <v>938</v>
      </c>
      <c r="K177" s="73" t="s">
        <v>895</v>
      </c>
      <c r="L177" s="103" t="n">
        <v>0</v>
      </c>
    </row>
    <row r="178" customFormat="false" ht="15" hidden="false" customHeight="true" outlineLevel="0" collapsed="false">
      <c r="A178" s="73" t="s">
        <v>1096</v>
      </c>
      <c r="B178" s="73" t="s">
        <v>4</v>
      </c>
      <c r="C178" s="73" t="s">
        <v>653</v>
      </c>
      <c r="D178" s="73" t="s">
        <v>918</v>
      </c>
      <c r="E178" s="73" t="s">
        <v>755</v>
      </c>
      <c r="F178" s="73" t="s">
        <v>756</v>
      </c>
      <c r="G178" s="73" t="s">
        <v>111</v>
      </c>
      <c r="H178" s="73" t="s">
        <v>1097</v>
      </c>
      <c r="I178" s="73" t="s">
        <v>893</v>
      </c>
      <c r="J178" s="73" t="s">
        <v>941</v>
      </c>
      <c r="K178" s="73" t="s">
        <v>895</v>
      </c>
      <c r="L178" s="103" t="n">
        <v>0</v>
      </c>
    </row>
    <row r="179" customFormat="false" ht="15" hidden="false" customHeight="true" outlineLevel="0" collapsed="false">
      <c r="A179" s="73" t="s">
        <v>1098</v>
      </c>
      <c r="B179" s="73" t="s">
        <v>4</v>
      </c>
      <c r="C179" s="73" t="s">
        <v>653</v>
      </c>
      <c r="D179" s="73" t="s">
        <v>943</v>
      </c>
      <c r="E179" s="73" t="s">
        <v>755</v>
      </c>
      <c r="F179" s="73" t="s">
        <v>756</v>
      </c>
      <c r="G179" s="73" t="s">
        <v>944</v>
      </c>
      <c r="H179" s="73" t="s">
        <v>1099</v>
      </c>
      <c r="I179" s="73" t="s">
        <v>893</v>
      </c>
      <c r="J179" s="73" t="s">
        <v>946</v>
      </c>
      <c r="K179" s="73"/>
      <c r="L179" s="103" t="n">
        <v>0.45</v>
      </c>
    </row>
    <row r="180" customFormat="false" ht="15" hidden="false" customHeight="true" outlineLevel="0" collapsed="false">
      <c r="A180" s="73" t="s">
        <v>1100</v>
      </c>
      <c r="B180" s="73" t="s">
        <v>4</v>
      </c>
      <c r="C180" s="73" t="s">
        <v>653</v>
      </c>
      <c r="D180" s="73" t="s">
        <v>948</v>
      </c>
      <c r="E180" s="73" t="s">
        <v>755</v>
      </c>
      <c r="F180" s="73" t="s">
        <v>756</v>
      </c>
      <c r="G180" s="73" t="s">
        <v>655</v>
      </c>
      <c r="H180" s="73" t="s">
        <v>1101</v>
      </c>
      <c r="I180" s="73" t="s">
        <v>708</v>
      </c>
      <c r="J180" s="73" t="s">
        <v>950</v>
      </c>
      <c r="K180" s="73" t="s">
        <v>951</v>
      </c>
      <c r="L180" s="103" t="n">
        <v>0.526</v>
      </c>
    </row>
    <row r="181" customFormat="false" ht="15" hidden="false" customHeight="true" outlineLevel="0" collapsed="false">
      <c r="A181" s="73" t="s">
        <v>1102</v>
      </c>
      <c r="B181" s="73" t="s">
        <v>4</v>
      </c>
      <c r="C181" s="73" t="s">
        <v>653</v>
      </c>
      <c r="D181" s="73" t="s">
        <v>953</v>
      </c>
      <c r="E181" s="73" t="s">
        <v>755</v>
      </c>
      <c r="F181" s="73" t="s">
        <v>756</v>
      </c>
      <c r="G181" s="73" t="s">
        <v>655</v>
      </c>
      <c r="H181" s="73" t="s">
        <v>1103</v>
      </c>
      <c r="I181" s="73" t="s">
        <v>955</v>
      </c>
      <c r="J181" s="73" t="s">
        <v>956</v>
      </c>
      <c r="K181" s="73" t="s">
        <v>951</v>
      </c>
      <c r="L181" s="103" t="n">
        <v>0</v>
      </c>
    </row>
    <row r="182" customFormat="false" ht="15" hidden="false" customHeight="true" outlineLevel="0" collapsed="false">
      <c r="A182" s="73" t="s">
        <v>1104</v>
      </c>
      <c r="B182" s="73" t="s">
        <v>4</v>
      </c>
      <c r="C182" s="73" t="s">
        <v>653</v>
      </c>
      <c r="D182" s="73" t="s">
        <v>867</v>
      </c>
      <c r="E182" s="73" t="s">
        <v>767</v>
      </c>
      <c r="F182" s="73" t="s">
        <v>768</v>
      </c>
      <c r="G182" s="73" t="s">
        <v>655</v>
      </c>
      <c r="H182" s="73" t="s">
        <v>1105</v>
      </c>
      <c r="I182" s="73" t="s">
        <v>869</v>
      </c>
      <c r="J182" s="73" t="s">
        <v>1106</v>
      </c>
      <c r="K182" s="73" t="s">
        <v>871</v>
      </c>
      <c r="L182" s="107" t="n">
        <v>1.2</v>
      </c>
    </row>
    <row r="183" customFormat="false" ht="15" hidden="false" customHeight="true" outlineLevel="0" collapsed="false">
      <c r="A183" s="73" t="s">
        <v>1107</v>
      </c>
      <c r="B183" s="73" t="s">
        <v>4</v>
      </c>
      <c r="C183" s="73" t="s">
        <v>653</v>
      </c>
      <c r="D183" s="73" t="s">
        <v>873</v>
      </c>
      <c r="E183" s="73" t="s">
        <v>767</v>
      </c>
      <c r="F183" s="73" t="s">
        <v>768</v>
      </c>
      <c r="G183" s="73" t="s">
        <v>655</v>
      </c>
      <c r="H183" s="73" t="s">
        <v>1108</v>
      </c>
      <c r="I183" s="73" t="s">
        <v>875</v>
      </c>
      <c r="J183" s="73" t="s">
        <v>876</v>
      </c>
      <c r="K183" s="73"/>
      <c r="L183" s="104" t="n">
        <v>0.5</v>
      </c>
    </row>
    <row r="184" customFormat="false" ht="15" hidden="false" customHeight="true" outlineLevel="0" collapsed="false">
      <c r="A184" s="73" t="s">
        <v>1109</v>
      </c>
      <c r="B184" s="73" t="s">
        <v>4</v>
      </c>
      <c r="C184" s="73" t="s">
        <v>653</v>
      </c>
      <c r="D184" s="73" t="s">
        <v>878</v>
      </c>
      <c r="E184" s="73" t="s">
        <v>767</v>
      </c>
      <c r="F184" s="73" t="s">
        <v>768</v>
      </c>
      <c r="G184" s="73" t="s">
        <v>655</v>
      </c>
      <c r="H184" s="73" t="s">
        <v>1110</v>
      </c>
      <c r="I184" s="73" t="s">
        <v>880</v>
      </c>
      <c r="J184" s="73" t="s">
        <v>881</v>
      </c>
      <c r="K184" s="73"/>
      <c r="L184" s="104" t="n">
        <v>0.4</v>
      </c>
    </row>
    <row r="185" customFormat="false" ht="15" hidden="false" customHeight="true" outlineLevel="0" collapsed="false">
      <c r="A185" s="73" t="s">
        <v>1111</v>
      </c>
      <c r="B185" s="73" t="s">
        <v>4</v>
      </c>
      <c r="C185" s="73" t="s">
        <v>653</v>
      </c>
      <c r="D185" s="73" t="s">
        <v>883</v>
      </c>
      <c r="E185" s="73" t="s">
        <v>767</v>
      </c>
      <c r="F185" s="73" t="s">
        <v>768</v>
      </c>
      <c r="G185" s="73" t="s">
        <v>655</v>
      </c>
      <c r="H185" s="73" t="s">
        <v>1112</v>
      </c>
      <c r="I185" s="73" t="s">
        <v>880</v>
      </c>
      <c r="J185" s="73" t="s">
        <v>885</v>
      </c>
      <c r="K185" s="73"/>
      <c r="L185" s="104" t="n">
        <v>0.2</v>
      </c>
    </row>
    <row r="186" customFormat="false" ht="15" hidden="false" customHeight="true" outlineLevel="0" collapsed="false">
      <c r="A186" s="73" t="s">
        <v>1113</v>
      </c>
      <c r="B186" s="73" t="s">
        <v>4</v>
      </c>
      <c r="C186" s="73" t="s">
        <v>653</v>
      </c>
      <c r="D186" s="73" t="s">
        <v>887</v>
      </c>
      <c r="E186" s="73" t="s">
        <v>767</v>
      </c>
      <c r="F186" s="73" t="s">
        <v>768</v>
      </c>
      <c r="G186" s="73" t="s">
        <v>655</v>
      </c>
      <c r="H186" s="73" t="s">
        <v>1114</v>
      </c>
      <c r="I186" s="73" t="s">
        <v>880</v>
      </c>
      <c r="J186" s="73" t="s">
        <v>889</v>
      </c>
      <c r="K186" s="73"/>
      <c r="L186" s="104" t="n">
        <v>0.05</v>
      </c>
    </row>
    <row r="187" customFormat="false" ht="15" hidden="false" customHeight="true" outlineLevel="0" collapsed="false">
      <c r="A187" s="73" t="s">
        <v>1115</v>
      </c>
      <c r="B187" s="73" t="s">
        <v>4</v>
      </c>
      <c r="C187" s="73" t="s">
        <v>653</v>
      </c>
      <c r="D187" s="73" t="s">
        <v>891</v>
      </c>
      <c r="E187" s="73" t="s">
        <v>767</v>
      </c>
      <c r="F187" s="73" t="s">
        <v>768</v>
      </c>
      <c r="G187" s="73" t="s">
        <v>96</v>
      </c>
      <c r="H187" s="73" t="s">
        <v>1116</v>
      </c>
      <c r="I187" s="73" t="s">
        <v>893</v>
      </c>
      <c r="J187" s="73" t="s">
        <v>894</v>
      </c>
      <c r="K187" s="73" t="s">
        <v>895</v>
      </c>
      <c r="L187" s="103" t="n">
        <v>0</v>
      </c>
    </row>
    <row r="188" customFormat="false" ht="15" hidden="false" customHeight="true" outlineLevel="0" collapsed="false">
      <c r="A188" s="73" t="s">
        <v>1117</v>
      </c>
      <c r="B188" s="73" t="s">
        <v>4</v>
      </c>
      <c r="C188" s="73" t="s">
        <v>653</v>
      </c>
      <c r="D188" s="73" t="s">
        <v>891</v>
      </c>
      <c r="E188" s="73" t="s">
        <v>767</v>
      </c>
      <c r="F188" s="73" t="s">
        <v>768</v>
      </c>
      <c r="G188" s="73" t="s">
        <v>99</v>
      </c>
      <c r="H188" s="73" t="s">
        <v>1118</v>
      </c>
      <c r="I188" s="73" t="s">
        <v>893</v>
      </c>
      <c r="J188" s="73" t="s">
        <v>898</v>
      </c>
      <c r="K188" s="73" t="s">
        <v>895</v>
      </c>
      <c r="L188" s="103" t="n">
        <v>12</v>
      </c>
    </row>
    <row r="189" customFormat="false" ht="15" hidden="false" customHeight="true" outlineLevel="0" collapsed="false">
      <c r="A189" s="73" t="s">
        <v>1119</v>
      </c>
      <c r="B189" s="73" t="s">
        <v>4</v>
      </c>
      <c r="C189" s="73" t="s">
        <v>653</v>
      </c>
      <c r="D189" s="73" t="s">
        <v>891</v>
      </c>
      <c r="E189" s="73" t="s">
        <v>767</v>
      </c>
      <c r="F189" s="73" t="s">
        <v>768</v>
      </c>
      <c r="G189" s="73" t="s">
        <v>101</v>
      </c>
      <c r="H189" s="73" t="s">
        <v>1120</v>
      </c>
      <c r="I189" s="73" t="s">
        <v>893</v>
      </c>
      <c r="J189" s="73" t="s">
        <v>901</v>
      </c>
      <c r="K189" s="73" t="s">
        <v>895</v>
      </c>
      <c r="L189" s="103" t="n">
        <v>0</v>
      </c>
    </row>
    <row r="190" customFormat="false" ht="15" hidden="false" customHeight="true" outlineLevel="0" collapsed="false">
      <c r="A190" s="73" t="s">
        <v>1121</v>
      </c>
      <c r="B190" s="73" t="s">
        <v>4</v>
      </c>
      <c r="C190" s="73" t="s">
        <v>653</v>
      </c>
      <c r="D190" s="73" t="s">
        <v>891</v>
      </c>
      <c r="E190" s="73" t="s">
        <v>767</v>
      </c>
      <c r="F190" s="73" t="s">
        <v>768</v>
      </c>
      <c r="G190" s="73" t="s">
        <v>103</v>
      </c>
      <c r="H190" s="73" t="s">
        <v>1122</v>
      </c>
      <c r="I190" s="73" t="s">
        <v>893</v>
      </c>
      <c r="J190" s="73" t="s">
        <v>904</v>
      </c>
      <c r="K190" s="73" t="s">
        <v>895</v>
      </c>
      <c r="L190" s="103" t="n">
        <v>0</v>
      </c>
    </row>
    <row r="191" customFormat="false" ht="15" hidden="false" customHeight="true" outlineLevel="0" collapsed="false">
      <c r="A191" s="73" t="s">
        <v>1123</v>
      </c>
      <c r="B191" s="73" t="s">
        <v>4</v>
      </c>
      <c r="C191" s="73" t="s">
        <v>653</v>
      </c>
      <c r="D191" s="73" t="s">
        <v>891</v>
      </c>
      <c r="E191" s="73" t="s">
        <v>767</v>
      </c>
      <c r="F191" s="73" t="s">
        <v>768</v>
      </c>
      <c r="G191" s="73" t="s">
        <v>105</v>
      </c>
      <c r="H191" s="73" t="s">
        <v>1124</v>
      </c>
      <c r="I191" s="73" t="s">
        <v>893</v>
      </c>
      <c r="J191" s="73" t="s">
        <v>907</v>
      </c>
      <c r="K191" s="73" t="s">
        <v>895</v>
      </c>
      <c r="L191" s="103" t="n">
        <v>0</v>
      </c>
    </row>
    <row r="192" customFormat="false" ht="15" hidden="false" customHeight="true" outlineLevel="0" collapsed="false">
      <c r="A192" s="73" t="s">
        <v>1125</v>
      </c>
      <c r="B192" s="73" t="s">
        <v>4</v>
      </c>
      <c r="C192" s="73" t="s">
        <v>653</v>
      </c>
      <c r="D192" s="73" t="s">
        <v>891</v>
      </c>
      <c r="E192" s="73" t="s">
        <v>767</v>
      </c>
      <c r="F192" s="73" t="s">
        <v>768</v>
      </c>
      <c r="G192" s="73" t="s">
        <v>107</v>
      </c>
      <c r="H192" s="73" t="s">
        <v>1126</v>
      </c>
      <c r="I192" s="73" t="s">
        <v>893</v>
      </c>
      <c r="J192" s="73" t="s">
        <v>910</v>
      </c>
      <c r="K192" s="73" t="s">
        <v>895</v>
      </c>
      <c r="L192" s="103" t="n">
        <v>0</v>
      </c>
    </row>
    <row r="193" customFormat="false" ht="15" hidden="false" customHeight="true" outlineLevel="0" collapsed="false">
      <c r="A193" s="73" t="s">
        <v>1127</v>
      </c>
      <c r="B193" s="73" t="s">
        <v>4</v>
      </c>
      <c r="C193" s="73" t="s">
        <v>653</v>
      </c>
      <c r="D193" s="73" t="s">
        <v>891</v>
      </c>
      <c r="E193" s="73" t="s">
        <v>767</v>
      </c>
      <c r="F193" s="73" t="s">
        <v>768</v>
      </c>
      <c r="G193" s="73" t="s">
        <v>109</v>
      </c>
      <c r="H193" s="73" t="s">
        <v>1128</v>
      </c>
      <c r="I193" s="73" t="s">
        <v>893</v>
      </c>
      <c r="J193" s="73" t="s">
        <v>913</v>
      </c>
      <c r="K193" s="73" t="s">
        <v>895</v>
      </c>
      <c r="L193" s="103" t="n">
        <v>0</v>
      </c>
    </row>
    <row r="194" customFormat="false" ht="15" hidden="false" customHeight="true" outlineLevel="0" collapsed="false">
      <c r="A194" s="73" t="s">
        <v>1129</v>
      </c>
      <c r="B194" s="73" t="s">
        <v>4</v>
      </c>
      <c r="C194" s="73" t="s">
        <v>653</v>
      </c>
      <c r="D194" s="73" t="s">
        <v>891</v>
      </c>
      <c r="E194" s="73" t="s">
        <v>767</v>
      </c>
      <c r="F194" s="73" t="s">
        <v>768</v>
      </c>
      <c r="G194" s="73" t="s">
        <v>111</v>
      </c>
      <c r="H194" s="73" t="s">
        <v>1130</v>
      </c>
      <c r="I194" s="73" t="s">
        <v>893</v>
      </c>
      <c r="J194" s="73" t="s">
        <v>916</v>
      </c>
      <c r="K194" s="73" t="s">
        <v>895</v>
      </c>
      <c r="L194" s="103" t="n">
        <v>0</v>
      </c>
    </row>
    <row r="195" customFormat="false" ht="15" hidden="false" customHeight="true" outlineLevel="0" collapsed="false">
      <c r="A195" s="73" t="s">
        <v>1131</v>
      </c>
      <c r="B195" s="73" t="s">
        <v>4</v>
      </c>
      <c r="C195" s="73" t="s">
        <v>653</v>
      </c>
      <c r="D195" s="73" t="s">
        <v>918</v>
      </c>
      <c r="E195" s="73" t="s">
        <v>767</v>
      </c>
      <c r="F195" s="73" t="s">
        <v>768</v>
      </c>
      <c r="G195" s="73" t="s">
        <v>96</v>
      </c>
      <c r="H195" s="73" t="s">
        <v>1132</v>
      </c>
      <c r="I195" s="73" t="s">
        <v>893</v>
      </c>
      <c r="J195" s="73" t="s">
        <v>920</v>
      </c>
      <c r="K195" s="73" t="s">
        <v>895</v>
      </c>
      <c r="L195" s="103" t="n">
        <v>0</v>
      </c>
    </row>
    <row r="196" customFormat="false" ht="15" hidden="false" customHeight="true" outlineLevel="0" collapsed="false">
      <c r="A196" s="73" t="s">
        <v>1133</v>
      </c>
      <c r="B196" s="73" t="s">
        <v>4</v>
      </c>
      <c r="C196" s="73" t="s">
        <v>653</v>
      </c>
      <c r="D196" s="73" t="s">
        <v>918</v>
      </c>
      <c r="E196" s="73" t="s">
        <v>767</v>
      </c>
      <c r="F196" s="73" t="s">
        <v>768</v>
      </c>
      <c r="G196" s="73" t="s">
        <v>99</v>
      </c>
      <c r="H196" s="73" t="s">
        <v>1134</v>
      </c>
      <c r="I196" s="73" t="s">
        <v>893</v>
      </c>
      <c r="J196" s="73" t="s">
        <v>923</v>
      </c>
      <c r="K196" s="73" t="s">
        <v>895</v>
      </c>
      <c r="L196" s="103" t="n">
        <v>24</v>
      </c>
    </row>
    <row r="197" customFormat="false" ht="15" hidden="false" customHeight="true" outlineLevel="0" collapsed="false">
      <c r="A197" s="73" t="s">
        <v>1135</v>
      </c>
      <c r="B197" s="73" t="s">
        <v>4</v>
      </c>
      <c r="C197" s="73" t="s">
        <v>653</v>
      </c>
      <c r="D197" s="73" t="s">
        <v>918</v>
      </c>
      <c r="E197" s="73" t="s">
        <v>767</v>
      </c>
      <c r="F197" s="73" t="s">
        <v>768</v>
      </c>
      <c r="G197" s="73" t="s">
        <v>101</v>
      </c>
      <c r="H197" s="73" t="s">
        <v>1136</v>
      </c>
      <c r="I197" s="73" t="s">
        <v>893</v>
      </c>
      <c r="J197" s="73" t="s">
        <v>926</v>
      </c>
      <c r="K197" s="73" t="s">
        <v>895</v>
      </c>
      <c r="L197" s="103" t="n">
        <v>0</v>
      </c>
    </row>
    <row r="198" customFormat="false" ht="15" hidden="false" customHeight="true" outlineLevel="0" collapsed="false">
      <c r="A198" s="73" t="s">
        <v>1137</v>
      </c>
      <c r="B198" s="73" t="s">
        <v>4</v>
      </c>
      <c r="C198" s="73" t="s">
        <v>653</v>
      </c>
      <c r="D198" s="73" t="s">
        <v>918</v>
      </c>
      <c r="E198" s="73" t="s">
        <v>767</v>
      </c>
      <c r="F198" s="73" t="s">
        <v>768</v>
      </c>
      <c r="G198" s="73" t="s">
        <v>103</v>
      </c>
      <c r="H198" s="73" t="s">
        <v>1138</v>
      </c>
      <c r="I198" s="73" t="s">
        <v>893</v>
      </c>
      <c r="J198" s="73" t="s">
        <v>929</v>
      </c>
      <c r="K198" s="73" t="s">
        <v>895</v>
      </c>
      <c r="L198" s="103" t="n">
        <v>0</v>
      </c>
    </row>
    <row r="199" customFormat="false" ht="15" hidden="false" customHeight="true" outlineLevel="0" collapsed="false">
      <c r="A199" s="73" t="s">
        <v>1139</v>
      </c>
      <c r="B199" s="73" t="s">
        <v>4</v>
      </c>
      <c r="C199" s="73" t="s">
        <v>653</v>
      </c>
      <c r="D199" s="73" t="s">
        <v>918</v>
      </c>
      <c r="E199" s="73" t="s">
        <v>767</v>
      </c>
      <c r="F199" s="73" t="s">
        <v>768</v>
      </c>
      <c r="G199" s="73" t="s">
        <v>105</v>
      </c>
      <c r="H199" s="73" t="s">
        <v>1140</v>
      </c>
      <c r="I199" s="73" t="s">
        <v>893</v>
      </c>
      <c r="J199" s="73" t="s">
        <v>932</v>
      </c>
      <c r="K199" s="73" t="s">
        <v>895</v>
      </c>
      <c r="L199" s="103" t="n">
        <v>0</v>
      </c>
    </row>
    <row r="200" customFormat="false" ht="15" hidden="false" customHeight="true" outlineLevel="0" collapsed="false">
      <c r="A200" s="73" t="s">
        <v>1141</v>
      </c>
      <c r="B200" s="73" t="s">
        <v>4</v>
      </c>
      <c r="C200" s="73" t="s">
        <v>653</v>
      </c>
      <c r="D200" s="73" t="s">
        <v>918</v>
      </c>
      <c r="E200" s="73" t="s">
        <v>767</v>
      </c>
      <c r="F200" s="73" t="s">
        <v>768</v>
      </c>
      <c r="G200" s="73" t="s">
        <v>107</v>
      </c>
      <c r="H200" s="73" t="s">
        <v>1142</v>
      </c>
      <c r="I200" s="73" t="s">
        <v>893</v>
      </c>
      <c r="J200" s="73" t="s">
        <v>935</v>
      </c>
      <c r="K200" s="73" t="s">
        <v>895</v>
      </c>
      <c r="L200" s="103" t="n">
        <v>0</v>
      </c>
    </row>
    <row r="201" customFormat="false" ht="15" hidden="false" customHeight="true" outlineLevel="0" collapsed="false">
      <c r="A201" s="73" t="s">
        <v>1143</v>
      </c>
      <c r="B201" s="73" t="s">
        <v>4</v>
      </c>
      <c r="C201" s="73" t="s">
        <v>653</v>
      </c>
      <c r="D201" s="73" t="s">
        <v>918</v>
      </c>
      <c r="E201" s="73" t="s">
        <v>767</v>
      </c>
      <c r="F201" s="73" t="s">
        <v>768</v>
      </c>
      <c r="G201" s="73" t="s">
        <v>109</v>
      </c>
      <c r="H201" s="73" t="s">
        <v>1144</v>
      </c>
      <c r="I201" s="73" t="s">
        <v>893</v>
      </c>
      <c r="J201" s="73" t="s">
        <v>938</v>
      </c>
      <c r="K201" s="73" t="s">
        <v>895</v>
      </c>
      <c r="L201" s="103" t="n">
        <v>0</v>
      </c>
    </row>
    <row r="202" customFormat="false" ht="15" hidden="false" customHeight="true" outlineLevel="0" collapsed="false">
      <c r="A202" s="73" t="s">
        <v>1145</v>
      </c>
      <c r="B202" s="73" t="s">
        <v>4</v>
      </c>
      <c r="C202" s="73" t="s">
        <v>653</v>
      </c>
      <c r="D202" s="73" t="s">
        <v>918</v>
      </c>
      <c r="E202" s="73" t="s">
        <v>767</v>
      </c>
      <c r="F202" s="73" t="s">
        <v>768</v>
      </c>
      <c r="G202" s="73" t="s">
        <v>111</v>
      </c>
      <c r="H202" s="73" t="s">
        <v>1146</v>
      </c>
      <c r="I202" s="73" t="s">
        <v>893</v>
      </c>
      <c r="J202" s="73" t="s">
        <v>941</v>
      </c>
      <c r="K202" s="73" t="s">
        <v>895</v>
      </c>
      <c r="L202" s="103" t="n">
        <v>0</v>
      </c>
    </row>
    <row r="203" customFormat="false" ht="15" hidden="false" customHeight="true" outlineLevel="0" collapsed="false">
      <c r="A203" s="73" t="s">
        <v>1147</v>
      </c>
      <c r="B203" s="73" t="s">
        <v>4</v>
      </c>
      <c r="C203" s="73" t="s">
        <v>653</v>
      </c>
      <c r="D203" s="73" t="s">
        <v>943</v>
      </c>
      <c r="E203" s="73" t="s">
        <v>767</v>
      </c>
      <c r="F203" s="73" t="s">
        <v>768</v>
      </c>
      <c r="G203" s="73" t="s">
        <v>944</v>
      </c>
      <c r="H203" s="73" t="s">
        <v>1148</v>
      </c>
      <c r="I203" s="73" t="s">
        <v>893</v>
      </c>
      <c r="J203" s="73" t="s">
        <v>946</v>
      </c>
      <c r="K203" s="73"/>
      <c r="L203" s="103" t="n">
        <v>0.3</v>
      </c>
    </row>
    <row r="204" customFormat="false" ht="15" hidden="false" customHeight="true" outlineLevel="0" collapsed="false">
      <c r="A204" s="73" t="s">
        <v>1149</v>
      </c>
      <c r="B204" s="73" t="s">
        <v>4</v>
      </c>
      <c r="C204" s="73" t="s">
        <v>653</v>
      </c>
      <c r="D204" s="73" t="s">
        <v>948</v>
      </c>
      <c r="E204" s="73" t="s">
        <v>767</v>
      </c>
      <c r="F204" s="73" t="s">
        <v>768</v>
      </c>
      <c r="G204" s="73" t="s">
        <v>655</v>
      </c>
      <c r="H204" s="73" t="s">
        <v>1150</v>
      </c>
      <c r="I204" s="73" t="s">
        <v>708</v>
      </c>
      <c r="J204" s="73" t="s">
        <v>950</v>
      </c>
      <c r="K204" s="73" t="s">
        <v>951</v>
      </c>
      <c r="L204" s="103" t="n">
        <v>0</v>
      </c>
    </row>
    <row r="205" customFormat="false" ht="15" hidden="false" customHeight="true" outlineLevel="0" collapsed="false">
      <c r="A205" s="73" t="s">
        <v>1151</v>
      </c>
      <c r="B205" s="73" t="s">
        <v>4</v>
      </c>
      <c r="C205" s="73" t="s">
        <v>653</v>
      </c>
      <c r="D205" s="73" t="s">
        <v>953</v>
      </c>
      <c r="E205" s="73" t="s">
        <v>767</v>
      </c>
      <c r="F205" s="73" t="s">
        <v>768</v>
      </c>
      <c r="G205" s="73" t="s">
        <v>655</v>
      </c>
      <c r="H205" s="73" t="s">
        <v>1152</v>
      </c>
      <c r="I205" s="73" t="s">
        <v>955</v>
      </c>
      <c r="J205" s="73" t="s">
        <v>956</v>
      </c>
      <c r="K205" s="73" t="s">
        <v>951</v>
      </c>
      <c r="L205" s="103" t="n">
        <v>0</v>
      </c>
    </row>
    <row r="206" customFormat="false" ht="15" hidden="false" customHeight="true" outlineLevel="0" collapsed="false">
      <c r="A206" s="73" t="s">
        <v>1153</v>
      </c>
      <c r="B206" s="73" t="s">
        <v>4</v>
      </c>
      <c r="C206" s="73" t="s">
        <v>653</v>
      </c>
      <c r="D206" s="73" t="s">
        <v>867</v>
      </c>
      <c r="E206" s="73" t="s">
        <v>767</v>
      </c>
      <c r="F206" s="73" t="s">
        <v>779</v>
      </c>
      <c r="G206" s="73" t="s">
        <v>655</v>
      </c>
      <c r="H206" s="73" t="s">
        <v>1154</v>
      </c>
      <c r="I206" s="73" t="s">
        <v>869</v>
      </c>
      <c r="J206" s="73" t="s">
        <v>1155</v>
      </c>
      <c r="K206" s="73" t="s">
        <v>871</v>
      </c>
      <c r="L206" s="107" t="n">
        <v>1.4</v>
      </c>
    </row>
    <row r="207" customFormat="false" ht="15" hidden="false" customHeight="true" outlineLevel="0" collapsed="false">
      <c r="A207" s="73" t="s">
        <v>1156</v>
      </c>
      <c r="B207" s="73" t="s">
        <v>4</v>
      </c>
      <c r="C207" s="73" t="s">
        <v>653</v>
      </c>
      <c r="D207" s="73" t="s">
        <v>873</v>
      </c>
      <c r="E207" s="73" t="s">
        <v>767</v>
      </c>
      <c r="F207" s="73" t="s">
        <v>779</v>
      </c>
      <c r="G207" s="73" t="s">
        <v>655</v>
      </c>
      <c r="H207" s="73" t="s">
        <v>1157</v>
      </c>
      <c r="I207" s="73" t="s">
        <v>875</v>
      </c>
      <c r="J207" s="73" t="s">
        <v>876</v>
      </c>
      <c r="K207" s="73"/>
      <c r="L207" s="104" t="n">
        <v>0.5</v>
      </c>
    </row>
    <row r="208" customFormat="false" ht="15" hidden="false" customHeight="true" outlineLevel="0" collapsed="false">
      <c r="A208" s="73" t="s">
        <v>1158</v>
      </c>
      <c r="B208" s="73" t="s">
        <v>4</v>
      </c>
      <c r="C208" s="73" t="s">
        <v>653</v>
      </c>
      <c r="D208" s="73" t="s">
        <v>878</v>
      </c>
      <c r="E208" s="73" t="s">
        <v>767</v>
      </c>
      <c r="F208" s="73" t="s">
        <v>779</v>
      </c>
      <c r="G208" s="73" t="s">
        <v>655</v>
      </c>
      <c r="H208" s="73" t="s">
        <v>1159</v>
      </c>
      <c r="I208" s="73" t="s">
        <v>880</v>
      </c>
      <c r="J208" s="73" t="s">
        <v>881</v>
      </c>
      <c r="K208" s="73"/>
      <c r="L208" s="104" t="n">
        <v>0.4</v>
      </c>
    </row>
    <row r="209" customFormat="false" ht="15" hidden="false" customHeight="true" outlineLevel="0" collapsed="false">
      <c r="A209" s="73" t="s">
        <v>1160</v>
      </c>
      <c r="B209" s="73" t="s">
        <v>4</v>
      </c>
      <c r="C209" s="73" t="s">
        <v>653</v>
      </c>
      <c r="D209" s="73" t="s">
        <v>883</v>
      </c>
      <c r="E209" s="73" t="s">
        <v>767</v>
      </c>
      <c r="F209" s="73" t="s">
        <v>779</v>
      </c>
      <c r="G209" s="73" t="s">
        <v>655</v>
      </c>
      <c r="H209" s="73" t="s">
        <v>1161</v>
      </c>
      <c r="I209" s="73" t="s">
        <v>880</v>
      </c>
      <c r="J209" s="73" t="s">
        <v>885</v>
      </c>
      <c r="K209" s="73"/>
      <c r="L209" s="104" t="n">
        <v>0.22</v>
      </c>
    </row>
    <row r="210" customFormat="false" ht="15" hidden="false" customHeight="true" outlineLevel="0" collapsed="false">
      <c r="A210" s="73" t="s">
        <v>1162</v>
      </c>
      <c r="B210" s="73" t="s">
        <v>4</v>
      </c>
      <c r="C210" s="73" t="s">
        <v>653</v>
      </c>
      <c r="D210" s="73" t="s">
        <v>887</v>
      </c>
      <c r="E210" s="73" t="s">
        <v>767</v>
      </c>
      <c r="F210" s="73" t="s">
        <v>779</v>
      </c>
      <c r="G210" s="73" t="s">
        <v>655</v>
      </c>
      <c r="H210" s="73" t="s">
        <v>1163</v>
      </c>
      <c r="I210" s="73" t="s">
        <v>880</v>
      </c>
      <c r="J210" s="73" t="s">
        <v>889</v>
      </c>
      <c r="K210" s="73"/>
      <c r="L210" s="104" t="n">
        <v>0.05</v>
      </c>
    </row>
    <row r="211" customFormat="false" ht="15" hidden="false" customHeight="true" outlineLevel="0" collapsed="false">
      <c r="A211" s="73" t="s">
        <v>1164</v>
      </c>
      <c r="B211" s="73" t="s">
        <v>4</v>
      </c>
      <c r="C211" s="73" t="s">
        <v>653</v>
      </c>
      <c r="D211" s="73" t="s">
        <v>891</v>
      </c>
      <c r="E211" s="73" t="s">
        <v>767</v>
      </c>
      <c r="F211" s="73" t="s">
        <v>779</v>
      </c>
      <c r="G211" s="73" t="s">
        <v>96</v>
      </c>
      <c r="H211" s="73" t="s">
        <v>1165</v>
      </c>
      <c r="I211" s="73" t="s">
        <v>893</v>
      </c>
      <c r="J211" s="73" t="s">
        <v>894</v>
      </c>
      <c r="K211" s="73" t="s">
        <v>895</v>
      </c>
      <c r="L211" s="103" t="n">
        <v>0</v>
      </c>
    </row>
    <row r="212" customFormat="false" ht="15" hidden="false" customHeight="true" outlineLevel="0" collapsed="false">
      <c r="A212" s="73" t="s">
        <v>1166</v>
      </c>
      <c r="B212" s="73" t="s">
        <v>4</v>
      </c>
      <c r="C212" s="73" t="s">
        <v>653</v>
      </c>
      <c r="D212" s="73" t="s">
        <v>891</v>
      </c>
      <c r="E212" s="73" t="s">
        <v>767</v>
      </c>
      <c r="F212" s="73" t="s">
        <v>779</v>
      </c>
      <c r="G212" s="73" t="s">
        <v>99</v>
      </c>
      <c r="H212" s="73" t="s">
        <v>1167</v>
      </c>
      <c r="I212" s="73" t="s">
        <v>893</v>
      </c>
      <c r="J212" s="73" t="s">
        <v>898</v>
      </c>
      <c r="K212" s="73" t="s">
        <v>895</v>
      </c>
      <c r="L212" s="103" t="n">
        <v>3</v>
      </c>
    </row>
    <row r="213" customFormat="false" ht="15" hidden="false" customHeight="true" outlineLevel="0" collapsed="false">
      <c r="A213" s="73" t="s">
        <v>1168</v>
      </c>
      <c r="B213" s="73" t="s">
        <v>4</v>
      </c>
      <c r="C213" s="73" t="s">
        <v>653</v>
      </c>
      <c r="D213" s="73" t="s">
        <v>891</v>
      </c>
      <c r="E213" s="73" t="s">
        <v>767</v>
      </c>
      <c r="F213" s="73" t="s">
        <v>779</v>
      </c>
      <c r="G213" s="73" t="s">
        <v>101</v>
      </c>
      <c r="H213" s="73" t="s">
        <v>1169</v>
      </c>
      <c r="I213" s="73" t="s">
        <v>893</v>
      </c>
      <c r="J213" s="73" t="s">
        <v>901</v>
      </c>
      <c r="K213" s="73" t="s">
        <v>895</v>
      </c>
      <c r="L213" s="103" t="n">
        <v>0</v>
      </c>
    </row>
    <row r="214" customFormat="false" ht="15" hidden="false" customHeight="true" outlineLevel="0" collapsed="false">
      <c r="A214" s="73" t="s">
        <v>1170</v>
      </c>
      <c r="B214" s="73" t="s">
        <v>4</v>
      </c>
      <c r="C214" s="73" t="s">
        <v>653</v>
      </c>
      <c r="D214" s="73" t="s">
        <v>891</v>
      </c>
      <c r="E214" s="73" t="s">
        <v>767</v>
      </c>
      <c r="F214" s="73" t="s">
        <v>779</v>
      </c>
      <c r="G214" s="73" t="s">
        <v>103</v>
      </c>
      <c r="H214" s="73" t="s">
        <v>1171</v>
      </c>
      <c r="I214" s="73" t="s">
        <v>893</v>
      </c>
      <c r="J214" s="73" t="s">
        <v>904</v>
      </c>
      <c r="K214" s="73" t="s">
        <v>895</v>
      </c>
      <c r="L214" s="103" t="n">
        <v>0</v>
      </c>
    </row>
    <row r="215" customFormat="false" ht="15" hidden="false" customHeight="true" outlineLevel="0" collapsed="false">
      <c r="A215" s="73" t="s">
        <v>1172</v>
      </c>
      <c r="B215" s="73" t="s">
        <v>4</v>
      </c>
      <c r="C215" s="73" t="s">
        <v>653</v>
      </c>
      <c r="D215" s="73" t="s">
        <v>891</v>
      </c>
      <c r="E215" s="73" t="s">
        <v>767</v>
      </c>
      <c r="F215" s="73" t="s">
        <v>779</v>
      </c>
      <c r="G215" s="73" t="s">
        <v>105</v>
      </c>
      <c r="H215" s="73" t="s">
        <v>1173</v>
      </c>
      <c r="I215" s="73" t="s">
        <v>893</v>
      </c>
      <c r="J215" s="73" t="s">
        <v>907</v>
      </c>
      <c r="K215" s="73" t="s">
        <v>895</v>
      </c>
      <c r="L215" s="103" t="n">
        <v>0</v>
      </c>
    </row>
    <row r="216" customFormat="false" ht="15" hidden="false" customHeight="true" outlineLevel="0" collapsed="false">
      <c r="A216" s="73" t="s">
        <v>1174</v>
      </c>
      <c r="B216" s="73" t="s">
        <v>4</v>
      </c>
      <c r="C216" s="73" t="s">
        <v>653</v>
      </c>
      <c r="D216" s="73" t="s">
        <v>891</v>
      </c>
      <c r="E216" s="73" t="s">
        <v>767</v>
      </c>
      <c r="F216" s="73" t="s">
        <v>779</v>
      </c>
      <c r="G216" s="73" t="s">
        <v>107</v>
      </c>
      <c r="H216" s="73" t="s">
        <v>1175</v>
      </c>
      <c r="I216" s="73" t="s">
        <v>893</v>
      </c>
      <c r="J216" s="73" t="s">
        <v>910</v>
      </c>
      <c r="K216" s="73" t="s">
        <v>895</v>
      </c>
      <c r="L216" s="103" t="n">
        <v>0</v>
      </c>
    </row>
    <row r="217" customFormat="false" ht="15" hidden="false" customHeight="true" outlineLevel="0" collapsed="false">
      <c r="A217" s="73" t="s">
        <v>1176</v>
      </c>
      <c r="B217" s="73" t="s">
        <v>4</v>
      </c>
      <c r="C217" s="73" t="s">
        <v>653</v>
      </c>
      <c r="D217" s="73" t="s">
        <v>891</v>
      </c>
      <c r="E217" s="73" t="s">
        <v>767</v>
      </c>
      <c r="F217" s="73" t="s">
        <v>779</v>
      </c>
      <c r="G217" s="73" t="s">
        <v>109</v>
      </c>
      <c r="H217" s="73" t="s">
        <v>1177</v>
      </c>
      <c r="I217" s="73" t="s">
        <v>893</v>
      </c>
      <c r="J217" s="73" t="s">
        <v>913</v>
      </c>
      <c r="K217" s="73" t="s">
        <v>895</v>
      </c>
      <c r="L217" s="103" t="n">
        <v>0</v>
      </c>
    </row>
    <row r="218" customFormat="false" ht="15" hidden="false" customHeight="true" outlineLevel="0" collapsed="false">
      <c r="A218" s="73" t="s">
        <v>1178</v>
      </c>
      <c r="B218" s="73" t="s">
        <v>4</v>
      </c>
      <c r="C218" s="73" t="s">
        <v>653</v>
      </c>
      <c r="D218" s="73" t="s">
        <v>891</v>
      </c>
      <c r="E218" s="73" t="s">
        <v>767</v>
      </c>
      <c r="F218" s="73" t="s">
        <v>779</v>
      </c>
      <c r="G218" s="73" t="s">
        <v>111</v>
      </c>
      <c r="H218" s="73" t="s">
        <v>1179</v>
      </c>
      <c r="I218" s="73" t="s">
        <v>893</v>
      </c>
      <c r="J218" s="73" t="s">
        <v>916</v>
      </c>
      <c r="K218" s="73" t="s">
        <v>895</v>
      </c>
      <c r="L218" s="103" t="n">
        <v>0</v>
      </c>
    </row>
    <row r="219" customFormat="false" ht="15" hidden="false" customHeight="true" outlineLevel="0" collapsed="false">
      <c r="A219" s="73" t="s">
        <v>1180</v>
      </c>
      <c r="B219" s="73" t="s">
        <v>4</v>
      </c>
      <c r="C219" s="73" t="s">
        <v>653</v>
      </c>
      <c r="D219" s="73" t="s">
        <v>918</v>
      </c>
      <c r="E219" s="73" t="s">
        <v>767</v>
      </c>
      <c r="F219" s="73" t="s">
        <v>779</v>
      </c>
      <c r="G219" s="73" t="s">
        <v>96</v>
      </c>
      <c r="H219" s="73" t="s">
        <v>1181</v>
      </c>
      <c r="I219" s="73" t="s">
        <v>893</v>
      </c>
      <c r="J219" s="73" t="s">
        <v>920</v>
      </c>
      <c r="K219" s="73" t="s">
        <v>895</v>
      </c>
      <c r="L219" s="103" t="n">
        <v>0</v>
      </c>
    </row>
    <row r="220" customFormat="false" ht="15" hidden="false" customHeight="true" outlineLevel="0" collapsed="false">
      <c r="A220" s="73" t="s">
        <v>1182</v>
      </c>
      <c r="B220" s="73" t="s">
        <v>4</v>
      </c>
      <c r="C220" s="73" t="s">
        <v>653</v>
      </c>
      <c r="D220" s="73" t="s">
        <v>918</v>
      </c>
      <c r="E220" s="73" t="s">
        <v>767</v>
      </c>
      <c r="F220" s="73" t="s">
        <v>779</v>
      </c>
      <c r="G220" s="73" t="s">
        <v>99</v>
      </c>
      <c r="H220" s="73" t="s">
        <v>1183</v>
      </c>
      <c r="I220" s="73" t="s">
        <v>893</v>
      </c>
      <c r="J220" s="73" t="s">
        <v>923</v>
      </c>
      <c r="K220" s="73" t="s">
        <v>895</v>
      </c>
      <c r="L220" s="103" t="n">
        <v>0</v>
      </c>
    </row>
    <row r="221" customFormat="false" ht="15" hidden="false" customHeight="true" outlineLevel="0" collapsed="false">
      <c r="A221" s="73" t="s">
        <v>1184</v>
      </c>
      <c r="B221" s="73" t="s">
        <v>4</v>
      </c>
      <c r="C221" s="73" t="s">
        <v>653</v>
      </c>
      <c r="D221" s="73" t="s">
        <v>918</v>
      </c>
      <c r="E221" s="73" t="s">
        <v>767</v>
      </c>
      <c r="F221" s="73" t="s">
        <v>779</v>
      </c>
      <c r="G221" s="73" t="s">
        <v>101</v>
      </c>
      <c r="H221" s="73" t="s">
        <v>1185</v>
      </c>
      <c r="I221" s="73" t="s">
        <v>893</v>
      </c>
      <c r="J221" s="73" t="s">
        <v>926</v>
      </c>
      <c r="K221" s="73" t="s">
        <v>895</v>
      </c>
      <c r="L221" s="103" t="n">
        <v>0</v>
      </c>
    </row>
    <row r="222" customFormat="false" ht="15" hidden="false" customHeight="true" outlineLevel="0" collapsed="false">
      <c r="A222" s="73" t="s">
        <v>1186</v>
      </c>
      <c r="B222" s="73" t="s">
        <v>4</v>
      </c>
      <c r="C222" s="73" t="s">
        <v>653</v>
      </c>
      <c r="D222" s="73" t="s">
        <v>918</v>
      </c>
      <c r="E222" s="73" t="s">
        <v>767</v>
      </c>
      <c r="F222" s="73" t="s">
        <v>779</v>
      </c>
      <c r="G222" s="73" t="s">
        <v>103</v>
      </c>
      <c r="H222" s="73" t="s">
        <v>1187</v>
      </c>
      <c r="I222" s="73" t="s">
        <v>893</v>
      </c>
      <c r="J222" s="73" t="s">
        <v>929</v>
      </c>
      <c r="K222" s="73" t="s">
        <v>895</v>
      </c>
      <c r="L222" s="103" t="n">
        <v>0</v>
      </c>
    </row>
    <row r="223" customFormat="false" ht="15" hidden="false" customHeight="true" outlineLevel="0" collapsed="false">
      <c r="A223" s="73" t="s">
        <v>1188</v>
      </c>
      <c r="B223" s="73" t="s">
        <v>4</v>
      </c>
      <c r="C223" s="73" t="s">
        <v>653</v>
      </c>
      <c r="D223" s="73" t="s">
        <v>918</v>
      </c>
      <c r="E223" s="73" t="s">
        <v>767</v>
      </c>
      <c r="F223" s="73" t="s">
        <v>779</v>
      </c>
      <c r="G223" s="73" t="s">
        <v>105</v>
      </c>
      <c r="H223" s="73" t="s">
        <v>1189</v>
      </c>
      <c r="I223" s="73" t="s">
        <v>893</v>
      </c>
      <c r="J223" s="73" t="s">
        <v>932</v>
      </c>
      <c r="K223" s="73" t="s">
        <v>895</v>
      </c>
      <c r="L223" s="103" t="n">
        <v>0</v>
      </c>
    </row>
    <row r="224" customFormat="false" ht="15" hidden="false" customHeight="true" outlineLevel="0" collapsed="false">
      <c r="A224" s="73" t="s">
        <v>1190</v>
      </c>
      <c r="B224" s="73" t="s">
        <v>4</v>
      </c>
      <c r="C224" s="73" t="s">
        <v>653</v>
      </c>
      <c r="D224" s="73" t="s">
        <v>918</v>
      </c>
      <c r="E224" s="73" t="s">
        <v>767</v>
      </c>
      <c r="F224" s="73" t="s">
        <v>779</v>
      </c>
      <c r="G224" s="73" t="s">
        <v>107</v>
      </c>
      <c r="H224" s="73" t="s">
        <v>1191</v>
      </c>
      <c r="I224" s="73" t="s">
        <v>893</v>
      </c>
      <c r="J224" s="73" t="s">
        <v>935</v>
      </c>
      <c r="K224" s="73" t="s">
        <v>895</v>
      </c>
      <c r="L224" s="103" t="n">
        <v>0</v>
      </c>
    </row>
    <row r="225" customFormat="false" ht="15" hidden="false" customHeight="true" outlineLevel="0" collapsed="false">
      <c r="A225" s="73" t="s">
        <v>1192</v>
      </c>
      <c r="B225" s="73" t="s">
        <v>4</v>
      </c>
      <c r="C225" s="73" t="s">
        <v>653</v>
      </c>
      <c r="D225" s="73" t="s">
        <v>918</v>
      </c>
      <c r="E225" s="73" t="s">
        <v>767</v>
      </c>
      <c r="F225" s="73" t="s">
        <v>779</v>
      </c>
      <c r="G225" s="73" t="s">
        <v>109</v>
      </c>
      <c r="H225" s="73" t="s">
        <v>1193</v>
      </c>
      <c r="I225" s="73" t="s">
        <v>893</v>
      </c>
      <c r="J225" s="73" t="s">
        <v>938</v>
      </c>
      <c r="K225" s="73" t="s">
        <v>895</v>
      </c>
      <c r="L225" s="103" t="n">
        <v>0</v>
      </c>
    </row>
    <row r="226" customFormat="false" ht="15" hidden="false" customHeight="true" outlineLevel="0" collapsed="false">
      <c r="A226" s="73" t="s">
        <v>1194</v>
      </c>
      <c r="B226" s="73" t="s">
        <v>4</v>
      </c>
      <c r="C226" s="73" t="s">
        <v>653</v>
      </c>
      <c r="D226" s="73" t="s">
        <v>918</v>
      </c>
      <c r="E226" s="73" t="s">
        <v>767</v>
      </c>
      <c r="F226" s="73" t="s">
        <v>779</v>
      </c>
      <c r="G226" s="73" t="s">
        <v>111</v>
      </c>
      <c r="H226" s="73" t="s">
        <v>1195</v>
      </c>
      <c r="I226" s="73" t="s">
        <v>893</v>
      </c>
      <c r="J226" s="73" t="s">
        <v>941</v>
      </c>
      <c r="K226" s="73" t="s">
        <v>895</v>
      </c>
      <c r="L226" s="103" t="n">
        <v>0</v>
      </c>
    </row>
    <row r="227" customFormat="false" ht="15" hidden="false" customHeight="true" outlineLevel="0" collapsed="false">
      <c r="A227" s="73" t="s">
        <v>1196</v>
      </c>
      <c r="B227" s="73" t="s">
        <v>4</v>
      </c>
      <c r="C227" s="73" t="s">
        <v>653</v>
      </c>
      <c r="D227" s="73" t="s">
        <v>943</v>
      </c>
      <c r="E227" s="73" t="s">
        <v>767</v>
      </c>
      <c r="F227" s="73" t="s">
        <v>779</v>
      </c>
      <c r="G227" s="73" t="s">
        <v>944</v>
      </c>
      <c r="H227" s="73" t="s">
        <v>1197</v>
      </c>
      <c r="I227" s="73" t="s">
        <v>893</v>
      </c>
      <c r="J227" s="73" t="s">
        <v>946</v>
      </c>
      <c r="K227" s="73"/>
      <c r="L227" s="103" t="n">
        <v>0.3</v>
      </c>
    </row>
    <row r="228" customFormat="false" ht="15" hidden="false" customHeight="true" outlineLevel="0" collapsed="false">
      <c r="A228" s="73" t="s">
        <v>1198</v>
      </c>
      <c r="B228" s="73" t="s">
        <v>4</v>
      </c>
      <c r="C228" s="73" t="s">
        <v>653</v>
      </c>
      <c r="D228" s="73" t="s">
        <v>948</v>
      </c>
      <c r="E228" s="73" t="s">
        <v>767</v>
      </c>
      <c r="F228" s="73" t="s">
        <v>779</v>
      </c>
      <c r="G228" s="73" t="s">
        <v>655</v>
      </c>
      <c r="H228" s="73" t="s">
        <v>1199</v>
      </c>
      <c r="I228" s="73" t="s">
        <v>708</v>
      </c>
      <c r="J228" s="73" t="s">
        <v>950</v>
      </c>
      <c r="K228" s="73" t="s">
        <v>951</v>
      </c>
      <c r="L228" s="103" t="n">
        <v>-0.733</v>
      </c>
    </row>
    <row r="229" customFormat="false" ht="15" hidden="false" customHeight="true" outlineLevel="0" collapsed="false">
      <c r="A229" s="73" t="s">
        <v>1200</v>
      </c>
      <c r="B229" s="73" t="s">
        <v>4</v>
      </c>
      <c r="C229" s="73" t="s">
        <v>653</v>
      </c>
      <c r="D229" s="73" t="s">
        <v>953</v>
      </c>
      <c r="E229" s="73" t="s">
        <v>767</v>
      </c>
      <c r="F229" s="73" t="s">
        <v>779</v>
      </c>
      <c r="G229" s="73" t="s">
        <v>655</v>
      </c>
      <c r="H229" s="73" t="s">
        <v>1201</v>
      </c>
      <c r="I229" s="73" t="s">
        <v>955</v>
      </c>
      <c r="J229" s="73" t="s">
        <v>956</v>
      </c>
      <c r="K229" s="73" t="s">
        <v>951</v>
      </c>
      <c r="L229" s="103" t="n">
        <v>0</v>
      </c>
    </row>
    <row r="230" customFormat="false" ht="15" hidden="false" customHeight="true" outlineLevel="0" collapsed="false">
      <c r="A230" s="73" t="s">
        <v>1202</v>
      </c>
      <c r="B230" s="73" t="s">
        <v>4</v>
      </c>
      <c r="C230" s="73" t="s">
        <v>653</v>
      </c>
      <c r="D230" s="73" t="s">
        <v>867</v>
      </c>
      <c r="E230" s="73" t="s">
        <v>767</v>
      </c>
      <c r="F230" s="73" t="s">
        <v>790</v>
      </c>
      <c r="G230" s="73" t="s">
        <v>655</v>
      </c>
      <c r="H230" s="73" t="s">
        <v>1203</v>
      </c>
      <c r="I230" s="73" t="s">
        <v>869</v>
      </c>
      <c r="J230" s="73" t="s">
        <v>1204</v>
      </c>
      <c r="K230" s="73" t="s">
        <v>871</v>
      </c>
      <c r="L230" s="107" t="n">
        <v>0.5</v>
      </c>
    </row>
    <row r="231" customFormat="false" ht="15" hidden="false" customHeight="true" outlineLevel="0" collapsed="false">
      <c r="A231" s="73" t="s">
        <v>1205</v>
      </c>
      <c r="B231" s="73" t="s">
        <v>4</v>
      </c>
      <c r="C231" s="73" t="s">
        <v>653</v>
      </c>
      <c r="D231" s="73" t="s">
        <v>873</v>
      </c>
      <c r="E231" s="73" t="s">
        <v>767</v>
      </c>
      <c r="F231" s="73" t="s">
        <v>790</v>
      </c>
      <c r="G231" s="73" t="s">
        <v>655</v>
      </c>
      <c r="H231" s="73" t="s">
        <v>1206</v>
      </c>
      <c r="I231" s="73" t="s">
        <v>875</v>
      </c>
      <c r="J231" s="73" t="s">
        <v>876</v>
      </c>
      <c r="K231" s="73"/>
      <c r="L231" s="104" t="n">
        <v>0.4</v>
      </c>
    </row>
    <row r="232" customFormat="false" ht="15" hidden="false" customHeight="true" outlineLevel="0" collapsed="false">
      <c r="A232" s="73" t="s">
        <v>1207</v>
      </c>
      <c r="B232" s="73" t="s">
        <v>4</v>
      </c>
      <c r="C232" s="73" t="s">
        <v>653</v>
      </c>
      <c r="D232" s="73" t="s">
        <v>878</v>
      </c>
      <c r="E232" s="73" t="s">
        <v>767</v>
      </c>
      <c r="F232" s="73" t="s">
        <v>790</v>
      </c>
      <c r="G232" s="73" t="s">
        <v>655</v>
      </c>
      <c r="H232" s="73" t="s">
        <v>1208</v>
      </c>
      <c r="I232" s="73" t="s">
        <v>880</v>
      </c>
      <c r="J232" s="73" t="s">
        <v>881</v>
      </c>
      <c r="K232" s="73"/>
      <c r="L232" s="104" t="n">
        <v>0.3</v>
      </c>
    </row>
    <row r="233" customFormat="false" ht="15" hidden="false" customHeight="true" outlineLevel="0" collapsed="false">
      <c r="A233" s="73" t="s">
        <v>1209</v>
      </c>
      <c r="B233" s="73" t="s">
        <v>4</v>
      </c>
      <c r="C233" s="73" t="s">
        <v>653</v>
      </c>
      <c r="D233" s="73" t="s">
        <v>883</v>
      </c>
      <c r="E233" s="73" t="s">
        <v>767</v>
      </c>
      <c r="F233" s="73" t="s">
        <v>790</v>
      </c>
      <c r="G233" s="73" t="s">
        <v>655</v>
      </c>
      <c r="H233" s="73" t="s">
        <v>1210</v>
      </c>
      <c r="I233" s="73" t="s">
        <v>880</v>
      </c>
      <c r="J233" s="73" t="s">
        <v>885</v>
      </c>
      <c r="K233" s="73"/>
      <c r="L233" s="104" t="n">
        <v>0.15</v>
      </c>
    </row>
    <row r="234" customFormat="false" ht="15" hidden="false" customHeight="true" outlineLevel="0" collapsed="false">
      <c r="A234" s="73" t="s">
        <v>1211</v>
      </c>
      <c r="B234" s="73" t="s">
        <v>4</v>
      </c>
      <c r="C234" s="73" t="s">
        <v>653</v>
      </c>
      <c r="D234" s="73" t="s">
        <v>887</v>
      </c>
      <c r="E234" s="73" t="s">
        <v>767</v>
      </c>
      <c r="F234" s="73" t="s">
        <v>790</v>
      </c>
      <c r="G234" s="73" t="s">
        <v>655</v>
      </c>
      <c r="H234" s="73" t="s">
        <v>1212</v>
      </c>
      <c r="I234" s="73" t="s">
        <v>880</v>
      </c>
      <c r="J234" s="73" t="s">
        <v>889</v>
      </c>
      <c r="K234" s="73"/>
      <c r="L234" s="104" t="n">
        <v>0.05</v>
      </c>
    </row>
    <row r="235" customFormat="false" ht="15" hidden="false" customHeight="true" outlineLevel="0" collapsed="false">
      <c r="A235" s="73" t="s">
        <v>1213</v>
      </c>
      <c r="B235" s="73" t="s">
        <v>4</v>
      </c>
      <c r="C235" s="73" t="s">
        <v>653</v>
      </c>
      <c r="D235" s="73" t="s">
        <v>891</v>
      </c>
      <c r="E235" s="73" t="s">
        <v>767</v>
      </c>
      <c r="F235" s="73" t="s">
        <v>790</v>
      </c>
      <c r="G235" s="73" t="s">
        <v>96</v>
      </c>
      <c r="H235" s="73" t="s">
        <v>1214</v>
      </c>
      <c r="I235" s="73" t="s">
        <v>893</v>
      </c>
      <c r="J235" s="73" t="s">
        <v>894</v>
      </c>
      <c r="K235" s="73" t="s">
        <v>895</v>
      </c>
      <c r="L235" s="103" t="n">
        <v>0</v>
      </c>
    </row>
    <row r="236" customFormat="false" ht="15" hidden="false" customHeight="true" outlineLevel="0" collapsed="false">
      <c r="A236" s="73" t="s">
        <v>1215</v>
      </c>
      <c r="B236" s="73" t="s">
        <v>4</v>
      </c>
      <c r="C236" s="73" t="s">
        <v>653</v>
      </c>
      <c r="D236" s="73" t="s">
        <v>891</v>
      </c>
      <c r="E236" s="73" t="s">
        <v>767</v>
      </c>
      <c r="F236" s="73" t="s">
        <v>790</v>
      </c>
      <c r="G236" s="73" t="s">
        <v>99</v>
      </c>
      <c r="H236" s="73" t="s">
        <v>1216</v>
      </c>
      <c r="I236" s="73" t="s">
        <v>893</v>
      </c>
      <c r="J236" s="73" t="s">
        <v>898</v>
      </c>
      <c r="K236" s="73" t="s">
        <v>895</v>
      </c>
      <c r="L236" s="103" t="n">
        <v>1.5</v>
      </c>
    </row>
    <row r="237" customFormat="false" ht="15" hidden="false" customHeight="true" outlineLevel="0" collapsed="false">
      <c r="A237" s="73" t="s">
        <v>1217</v>
      </c>
      <c r="B237" s="73" t="s">
        <v>4</v>
      </c>
      <c r="C237" s="73" t="s">
        <v>653</v>
      </c>
      <c r="D237" s="73" t="s">
        <v>891</v>
      </c>
      <c r="E237" s="73" t="s">
        <v>767</v>
      </c>
      <c r="F237" s="73" t="s">
        <v>790</v>
      </c>
      <c r="G237" s="73" t="s">
        <v>101</v>
      </c>
      <c r="H237" s="73" t="s">
        <v>1218</v>
      </c>
      <c r="I237" s="73" t="s">
        <v>893</v>
      </c>
      <c r="J237" s="73" t="s">
        <v>901</v>
      </c>
      <c r="K237" s="73" t="s">
        <v>895</v>
      </c>
      <c r="L237" s="103" t="n">
        <v>0</v>
      </c>
    </row>
    <row r="238" customFormat="false" ht="15" hidden="false" customHeight="true" outlineLevel="0" collapsed="false">
      <c r="A238" s="73" t="s">
        <v>1219</v>
      </c>
      <c r="B238" s="73" t="s">
        <v>4</v>
      </c>
      <c r="C238" s="73" t="s">
        <v>653</v>
      </c>
      <c r="D238" s="73" t="s">
        <v>891</v>
      </c>
      <c r="E238" s="73" t="s">
        <v>767</v>
      </c>
      <c r="F238" s="73" t="s">
        <v>790</v>
      </c>
      <c r="G238" s="73" t="s">
        <v>103</v>
      </c>
      <c r="H238" s="73" t="s">
        <v>1220</v>
      </c>
      <c r="I238" s="73" t="s">
        <v>893</v>
      </c>
      <c r="J238" s="73" t="s">
        <v>904</v>
      </c>
      <c r="K238" s="73" t="s">
        <v>895</v>
      </c>
      <c r="L238" s="103" t="n">
        <v>0</v>
      </c>
    </row>
    <row r="239" customFormat="false" ht="15" hidden="false" customHeight="true" outlineLevel="0" collapsed="false">
      <c r="A239" s="73" t="s">
        <v>1221</v>
      </c>
      <c r="B239" s="73" t="s">
        <v>4</v>
      </c>
      <c r="C239" s="73" t="s">
        <v>653</v>
      </c>
      <c r="D239" s="73" t="s">
        <v>891</v>
      </c>
      <c r="E239" s="73" t="s">
        <v>767</v>
      </c>
      <c r="F239" s="73" t="s">
        <v>790</v>
      </c>
      <c r="G239" s="73" t="s">
        <v>105</v>
      </c>
      <c r="H239" s="73" t="s">
        <v>1222</v>
      </c>
      <c r="I239" s="73" t="s">
        <v>893</v>
      </c>
      <c r="J239" s="73" t="s">
        <v>907</v>
      </c>
      <c r="K239" s="73" t="s">
        <v>895</v>
      </c>
      <c r="L239" s="103" t="n">
        <v>0</v>
      </c>
    </row>
    <row r="240" customFormat="false" ht="15" hidden="false" customHeight="true" outlineLevel="0" collapsed="false">
      <c r="A240" s="73" t="s">
        <v>1223</v>
      </c>
      <c r="B240" s="73" t="s">
        <v>4</v>
      </c>
      <c r="C240" s="73" t="s">
        <v>653</v>
      </c>
      <c r="D240" s="73" t="s">
        <v>891</v>
      </c>
      <c r="E240" s="73" t="s">
        <v>767</v>
      </c>
      <c r="F240" s="73" t="s">
        <v>790</v>
      </c>
      <c r="G240" s="73" t="s">
        <v>107</v>
      </c>
      <c r="H240" s="73" t="s">
        <v>1224</v>
      </c>
      <c r="I240" s="73" t="s">
        <v>893</v>
      </c>
      <c r="J240" s="73" t="s">
        <v>910</v>
      </c>
      <c r="K240" s="73" t="s">
        <v>895</v>
      </c>
      <c r="L240" s="103" t="n">
        <v>0</v>
      </c>
    </row>
    <row r="241" customFormat="false" ht="15" hidden="false" customHeight="true" outlineLevel="0" collapsed="false">
      <c r="A241" s="73" t="s">
        <v>1225</v>
      </c>
      <c r="B241" s="73" t="s">
        <v>4</v>
      </c>
      <c r="C241" s="73" t="s">
        <v>653</v>
      </c>
      <c r="D241" s="73" t="s">
        <v>891</v>
      </c>
      <c r="E241" s="73" t="s">
        <v>767</v>
      </c>
      <c r="F241" s="73" t="s">
        <v>790</v>
      </c>
      <c r="G241" s="73" t="s">
        <v>109</v>
      </c>
      <c r="H241" s="73" t="s">
        <v>1226</v>
      </c>
      <c r="I241" s="73" t="s">
        <v>893</v>
      </c>
      <c r="J241" s="73" t="s">
        <v>913</v>
      </c>
      <c r="K241" s="73" t="s">
        <v>895</v>
      </c>
      <c r="L241" s="103" t="n">
        <v>0</v>
      </c>
    </row>
    <row r="242" customFormat="false" ht="15" hidden="false" customHeight="true" outlineLevel="0" collapsed="false">
      <c r="A242" s="73" t="s">
        <v>1227</v>
      </c>
      <c r="B242" s="73" t="s">
        <v>4</v>
      </c>
      <c r="C242" s="73" t="s">
        <v>653</v>
      </c>
      <c r="D242" s="73" t="s">
        <v>891</v>
      </c>
      <c r="E242" s="73" t="s">
        <v>767</v>
      </c>
      <c r="F242" s="73" t="s">
        <v>790</v>
      </c>
      <c r="G242" s="73" t="s">
        <v>111</v>
      </c>
      <c r="H242" s="73" t="s">
        <v>1228</v>
      </c>
      <c r="I242" s="73" t="s">
        <v>893</v>
      </c>
      <c r="J242" s="73" t="s">
        <v>916</v>
      </c>
      <c r="K242" s="73" t="s">
        <v>895</v>
      </c>
      <c r="L242" s="103" t="n">
        <v>0</v>
      </c>
    </row>
    <row r="243" customFormat="false" ht="15" hidden="false" customHeight="true" outlineLevel="0" collapsed="false">
      <c r="A243" s="73" t="s">
        <v>1229</v>
      </c>
      <c r="B243" s="73" t="s">
        <v>4</v>
      </c>
      <c r="C243" s="73" t="s">
        <v>653</v>
      </c>
      <c r="D243" s="73" t="s">
        <v>918</v>
      </c>
      <c r="E243" s="73" t="s">
        <v>767</v>
      </c>
      <c r="F243" s="73" t="s">
        <v>790</v>
      </c>
      <c r="G243" s="73" t="s">
        <v>96</v>
      </c>
      <c r="H243" s="73" t="s">
        <v>1230</v>
      </c>
      <c r="I243" s="73" t="s">
        <v>893</v>
      </c>
      <c r="J243" s="73" t="s">
        <v>920</v>
      </c>
      <c r="K243" s="73" t="s">
        <v>895</v>
      </c>
      <c r="L243" s="103" t="n">
        <v>0</v>
      </c>
    </row>
    <row r="244" customFormat="false" ht="15" hidden="false" customHeight="true" outlineLevel="0" collapsed="false">
      <c r="A244" s="73" t="s">
        <v>1231</v>
      </c>
      <c r="B244" s="73" t="s">
        <v>4</v>
      </c>
      <c r="C244" s="73" t="s">
        <v>653</v>
      </c>
      <c r="D244" s="73" t="s">
        <v>918</v>
      </c>
      <c r="E244" s="73" t="s">
        <v>767</v>
      </c>
      <c r="F244" s="73" t="s">
        <v>790</v>
      </c>
      <c r="G244" s="73" t="s">
        <v>99</v>
      </c>
      <c r="H244" s="73" t="s">
        <v>1232</v>
      </c>
      <c r="I244" s="73" t="s">
        <v>893</v>
      </c>
      <c r="J244" s="73" t="s">
        <v>923</v>
      </c>
      <c r="K244" s="73" t="s">
        <v>895</v>
      </c>
      <c r="L244" s="103" t="n">
        <v>0</v>
      </c>
    </row>
    <row r="245" customFormat="false" ht="15" hidden="false" customHeight="true" outlineLevel="0" collapsed="false">
      <c r="A245" s="73" t="s">
        <v>1233</v>
      </c>
      <c r="B245" s="73" t="s">
        <v>4</v>
      </c>
      <c r="C245" s="73" t="s">
        <v>653</v>
      </c>
      <c r="D245" s="73" t="s">
        <v>918</v>
      </c>
      <c r="E245" s="73" t="s">
        <v>767</v>
      </c>
      <c r="F245" s="73" t="s">
        <v>790</v>
      </c>
      <c r="G245" s="73" t="s">
        <v>101</v>
      </c>
      <c r="H245" s="73" t="s">
        <v>1234</v>
      </c>
      <c r="I245" s="73" t="s">
        <v>893</v>
      </c>
      <c r="J245" s="73" t="s">
        <v>926</v>
      </c>
      <c r="K245" s="73" t="s">
        <v>895</v>
      </c>
      <c r="L245" s="103" t="n">
        <v>0</v>
      </c>
    </row>
    <row r="246" customFormat="false" ht="15" hidden="false" customHeight="true" outlineLevel="0" collapsed="false">
      <c r="A246" s="73" t="s">
        <v>1235</v>
      </c>
      <c r="B246" s="73" t="s">
        <v>4</v>
      </c>
      <c r="C246" s="73" t="s">
        <v>653</v>
      </c>
      <c r="D246" s="73" t="s">
        <v>918</v>
      </c>
      <c r="E246" s="73" t="s">
        <v>767</v>
      </c>
      <c r="F246" s="73" t="s">
        <v>790</v>
      </c>
      <c r="G246" s="73" t="s">
        <v>103</v>
      </c>
      <c r="H246" s="73" t="s">
        <v>1236</v>
      </c>
      <c r="I246" s="73" t="s">
        <v>893</v>
      </c>
      <c r="J246" s="73" t="s">
        <v>929</v>
      </c>
      <c r="K246" s="73" t="s">
        <v>895</v>
      </c>
      <c r="L246" s="103" t="n">
        <v>0</v>
      </c>
    </row>
    <row r="247" customFormat="false" ht="15" hidden="false" customHeight="true" outlineLevel="0" collapsed="false">
      <c r="A247" s="73" t="s">
        <v>1237</v>
      </c>
      <c r="B247" s="73" t="s">
        <v>4</v>
      </c>
      <c r="C247" s="73" t="s">
        <v>653</v>
      </c>
      <c r="D247" s="73" t="s">
        <v>918</v>
      </c>
      <c r="E247" s="73" t="s">
        <v>767</v>
      </c>
      <c r="F247" s="73" t="s">
        <v>790</v>
      </c>
      <c r="G247" s="73" t="s">
        <v>105</v>
      </c>
      <c r="H247" s="73" t="s">
        <v>1238</v>
      </c>
      <c r="I247" s="73" t="s">
        <v>893</v>
      </c>
      <c r="J247" s="73" t="s">
        <v>932</v>
      </c>
      <c r="K247" s="73" t="s">
        <v>895</v>
      </c>
      <c r="L247" s="103" t="n">
        <v>0</v>
      </c>
    </row>
    <row r="248" customFormat="false" ht="15" hidden="false" customHeight="true" outlineLevel="0" collapsed="false">
      <c r="A248" s="73" t="s">
        <v>1239</v>
      </c>
      <c r="B248" s="73" t="s">
        <v>4</v>
      </c>
      <c r="C248" s="73" t="s">
        <v>653</v>
      </c>
      <c r="D248" s="73" t="s">
        <v>918</v>
      </c>
      <c r="E248" s="73" t="s">
        <v>767</v>
      </c>
      <c r="F248" s="73" t="s">
        <v>790</v>
      </c>
      <c r="G248" s="73" t="s">
        <v>107</v>
      </c>
      <c r="H248" s="73" t="s">
        <v>1240</v>
      </c>
      <c r="I248" s="73" t="s">
        <v>893</v>
      </c>
      <c r="J248" s="73" t="s">
        <v>935</v>
      </c>
      <c r="K248" s="73" t="s">
        <v>895</v>
      </c>
      <c r="L248" s="103" t="n">
        <v>0</v>
      </c>
    </row>
    <row r="249" customFormat="false" ht="15" hidden="false" customHeight="true" outlineLevel="0" collapsed="false">
      <c r="A249" s="73" t="s">
        <v>1241</v>
      </c>
      <c r="B249" s="73" t="s">
        <v>4</v>
      </c>
      <c r="C249" s="73" t="s">
        <v>653</v>
      </c>
      <c r="D249" s="73" t="s">
        <v>918</v>
      </c>
      <c r="E249" s="73" t="s">
        <v>767</v>
      </c>
      <c r="F249" s="73" t="s">
        <v>790</v>
      </c>
      <c r="G249" s="73" t="s">
        <v>109</v>
      </c>
      <c r="H249" s="73" t="s">
        <v>1242</v>
      </c>
      <c r="I249" s="73" t="s">
        <v>893</v>
      </c>
      <c r="J249" s="73" t="s">
        <v>938</v>
      </c>
      <c r="K249" s="73" t="s">
        <v>895</v>
      </c>
      <c r="L249" s="103" t="n">
        <v>0</v>
      </c>
    </row>
    <row r="250" customFormat="false" ht="15" hidden="false" customHeight="true" outlineLevel="0" collapsed="false">
      <c r="A250" s="73" t="s">
        <v>1243</v>
      </c>
      <c r="B250" s="73" t="s">
        <v>4</v>
      </c>
      <c r="C250" s="73" t="s">
        <v>653</v>
      </c>
      <c r="D250" s="73" t="s">
        <v>918</v>
      </c>
      <c r="E250" s="73" t="s">
        <v>767</v>
      </c>
      <c r="F250" s="73" t="s">
        <v>790</v>
      </c>
      <c r="G250" s="73" t="s">
        <v>111</v>
      </c>
      <c r="H250" s="73" t="s">
        <v>1244</v>
      </c>
      <c r="I250" s="73" t="s">
        <v>893</v>
      </c>
      <c r="J250" s="73" t="s">
        <v>941</v>
      </c>
      <c r="K250" s="73" t="s">
        <v>895</v>
      </c>
      <c r="L250" s="103" t="n">
        <v>0</v>
      </c>
    </row>
    <row r="251" customFormat="false" ht="15" hidden="false" customHeight="true" outlineLevel="0" collapsed="false">
      <c r="A251" s="73" t="s">
        <v>1245</v>
      </c>
      <c r="B251" s="73" t="s">
        <v>4</v>
      </c>
      <c r="C251" s="73" t="s">
        <v>653</v>
      </c>
      <c r="D251" s="73" t="s">
        <v>943</v>
      </c>
      <c r="E251" s="73" t="s">
        <v>767</v>
      </c>
      <c r="F251" s="73" t="s">
        <v>790</v>
      </c>
      <c r="G251" s="73" t="s">
        <v>944</v>
      </c>
      <c r="H251" s="73" t="s">
        <v>1246</v>
      </c>
      <c r="I251" s="73" t="s">
        <v>893</v>
      </c>
      <c r="J251" s="73" t="s">
        <v>946</v>
      </c>
      <c r="K251" s="73"/>
      <c r="L251" s="103" t="n">
        <v>0.3</v>
      </c>
    </row>
    <row r="252" customFormat="false" ht="15" hidden="false" customHeight="true" outlineLevel="0" collapsed="false">
      <c r="A252" s="73" t="s">
        <v>1247</v>
      </c>
      <c r="B252" s="73" t="s">
        <v>4</v>
      </c>
      <c r="C252" s="73" t="s">
        <v>653</v>
      </c>
      <c r="D252" s="73" t="s">
        <v>948</v>
      </c>
      <c r="E252" s="73" t="s">
        <v>767</v>
      </c>
      <c r="F252" s="73" t="s">
        <v>790</v>
      </c>
      <c r="G252" s="73" t="s">
        <v>655</v>
      </c>
      <c r="H252" s="73" t="s">
        <v>1248</v>
      </c>
      <c r="I252" s="73" t="s">
        <v>708</v>
      </c>
      <c r="J252" s="73" t="s">
        <v>950</v>
      </c>
      <c r="K252" s="73" t="s">
        <v>951</v>
      </c>
      <c r="L252" s="103" t="n">
        <v>0</v>
      </c>
    </row>
    <row r="253" customFormat="false" ht="15" hidden="false" customHeight="true" outlineLevel="0" collapsed="false">
      <c r="A253" s="73" t="s">
        <v>1249</v>
      </c>
      <c r="B253" s="73" t="s">
        <v>4</v>
      </c>
      <c r="C253" s="73" t="s">
        <v>653</v>
      </c>
      <c r="D253" s="73" t="s">
        <v>953</v>
      </c>
      <c r="E253" s="73" t="s">
        <v>767</v>
      </c>
      <c r="F253" s="73" t="s">
        <v>790</v>
      </c>
      <c r="G253" s="73" t="s">
        <v>655</v>
      </c>
      <c r="H253" s="73" t="s">
        <v>1250</v>
      </c>
      <c r="I253" s="73" t="s">
        <v>955</v>
      </c>
      <c r="J253" s="73" t="s">
        <v>956</v>
      </c>
      <c r="K253" s="73" t="s">
        <v>951</v>
      </c>
      <c r="L253" s="103" t="n">
        <v>2.5</v>
      </c>
    </row>
    <row r="254" customFormat="false" ht="15" hidden="false" customHeight="true" outlineLevel="0" collapsed="false">
      <c r="A254" s="73" t="s">
        <v>1251</v>
      </c>
      <c r="B254" s="73" t="s">
        <v>4</v>
      </c>
      <c r="C254" s="73" t="s">
        <v>653</v>
      </c>
      <c r="D254" s="73" t="s">
        <v>867</v>
      </c>
      <c r="E254" s="73" t="s">
        <v>801</v>
      </c>
      <c r="F254" s="73" t="s">
        <v>802</v>
      </c>
      <c r="G254" s="73" t="s">
        <v>655</v>
      </c>
      <c r="H254" s="73" t="s">
        <v>1252</v>
      </c>
      <c r="I254" s="73" t="s">
        <v>869</v>
      </c>
      <c r="J254" s="73" t="s">
        <v>1253</v>
      </c>
      <c r="K254" s="73" t="s">
        <v>871</v>
      </c>
      <c r="L254" s="107" t="n">
        <v>0.29</v>
      </c>
    </row>
    <row r="255" customFormat="false" ht="15" hidden="false" customHeight="true" outlineLevel="0" collapsed="false">
      <c r="A255" s="73" t="s">
        <v>1254</v>
      </c>
      <c r="B255" s="73" t="s">
        <v>4</v>
      </c>
      <c r="C255" s="73" t="s">
        <v>653</v>
      </c>
      <c r="D255" s="73" t="s">
        <v>873</v>
      </c>
      <c r="E255" s="73" t="s">
        <v>801</v>
      </c>
      <c r="F255" s="73" t="s">
        <v>802</v>
      </c>
      <c r="G255" s="73" t="s">
        <v>655</v>
      </c>
      <c r="H255" s="73" t="s">
        <v>1255</v>
      </c>
      <c r="I255" s="73" t="s">
        <v>875</v>
      </c>
      <c r="J255" s="73" t="s">
        <v>876</v>
      </c>
      <c r="K255" s="73"/>
      <c r="L255" s="104" t="n">
        <v>0.8</v>
      </c>
    </row>
    <row r="256" customFormat="false" ht="15" hidden="false" customHeight="true" outlineLevel="0" collapsed="false">
      <c r="A256" s="73" t="s">
        <v>1256</v>
      </c>
      <c r="B256" s="73" t="s">
        <v>4</v>
      </c>
      <c r="C256" s="73" t="s">
        <v>653</v>
      </c>
      <c r="D256" s="73" t="s">
        <v>878</v>
      </c>
      <c r="E256" s="73" t="s">
        <v>801</v>
      </c>
      <c r="F256" s="73" t="s">
        <v>802</v>
      </c>
      <c r="G256" s="73" t="s">
        <v>655</v>
      </c>
      <c r="H256" s="73" t="s">
        <v>1257</v>
      </c>
      <c r="I256" s="73" t="s">
        <v>880</v>
      </c>
      <c r="J256" s="73" t="s">
        <v>881</v>
      </c>
      <c r="K256" s="73"/>
      <c r="L256" s="104" t="n">
        <v>0.35</v>
      </c>
    </row>
    <row r="257" customFormat="false" ht="15" hidden="false" customHeight="true" outlineLevel="0" collapsed="false">
      <c r="A257" s="73" t="s">
        <v>1258</v>
      </c>
      <c r="B257" s="73" t="s">
        <v>4</v>
      </c>
      <c r="C257" s="73" t="s">
        <v>653</v>
      </c>
      <c r="D257" s="73" t="s">
        <v>883</v>
      </c>
      <c r="E257" s="73" t="s">
        <v>801</v>
      </c>
      <c r="F257" s="73" t="s">
        <v>802</v>
      </c>
      <c r="G257" s="73" t="s">
        <v>655</v>
      </c>
      <c r="H257" s="73" t="s">
        <v>1259</v>
      </c>
      <c r="I257" s="73" t="s">
        <v>880</v>
      </c>
      <c r="J257" s="73" t="s">
        <v>885</v>
      </c>
      <c r="K257" s="73"/>
      <c r="L257" s="104" t="n">
        <v>0.18</v>
      </c>
    </row>
    <row r="258" customFormat="false" ht="15" hidden="false" customHeight="true" outlineLevel="0" collapsed="false">
      <c r="A258" s="73" t="s">
        <v>1260</v>
      </c>
      <c r="B258" s="73" t="s">
        <v>4</v>
      </c>
      <c r="C258" s="73" t="s">
        <v>653</v>
      </c>
      <c r="D258" s="73" t="s">
        <v>887</v>
      </c>
      <c r="E258" s="73" t="s">
        <v>801</v>
      </c>
      <c r="F258" s="73" t="s">
        <v>802</v>
      </c>
      <c r="G258" s="73" t="s">
        <v>655</v>
      </c>
      <c r="H258" s="73" t="s">
        <v>1261</v>
      </c>
      <c r="I258" s="73" t="s">
        <v>880</v>
      </c>
      <c r="J258" s="73" t="s">
        <v>889</v>
      </c>
      <c r="K258" s="73"/>
      <c r="L258" s="104" t="n">
        <v>0.1</v>
      </c>
    </row>
    <row r="259" customFormat="false" ht="15" hidden="false" customHeight="true" outlineLevel="0" collapsed="false">
      <c r="A259" s="73" t="s">
        <v>1262</v>
      </c>
      <c r="B259" s="73" t="s">
        <v>4</v>
      </c>
      <c r="C259" s="73" t="s">
        <v>653</v>
      </c>
      <c r="D259" s="73" t="s">
        <v>891</v>
      </c>
      <c r="E259" s="73" t="s">
        <v>801</v>
      </c>
      <c r="F259" s="73" t="s">
        <v>802</v>
      </c>
      <c r="G259" s="73" t="s">
        <v>96</v>
      </c>
      <c r="H259" s="73" t="s">
        <v>1263</v>
      </c>
      <c r="I259" s="73" t="s">
        <v>893</v>
      </c>
      <c r="J259" s="73" t="s">
        <v>894</v>
      </c>
      <c r="K259" s="73" t="s">
        <v>895</v>
      </c>
      <c r="L259" s="103" t="n">
        <v>0</v>
      </c>
    </row>
    <row r="260" customFormat="false" ht="15" hidden="false" customHeight="true" outlineLevel="0" collapsed="false">
      <c r="A260" s="73" t="s">
        <v>1264</v>
      </c>
      <c r="B260" s="73" t="s">
        <v>4</v>
      </c>
      <c r="C260" s="73" t="s">
        <v>653</v>
      </c>
      <c r="D260" s="73" t="s">
        <v>891</v>
      </c>
      <c r="E260" s="73" t="s">
        <v>801</v>
      </c>
      <c r="F260" s="73" t="s">
        <v>802</v>
      </c>
      <c r="G260" s="73" t="s">
        <v>99</v>
      </c>
      <c r="H260" s="73" t="s">
        <v>1265</v>
      </c>
      <c r="I260" s="73" t="s">
        <v>893</v>
      </c>
      <c r="J260" s="73" t="s">
        <v>898</v>
      </c>
      <c r="K260" s="73" t="s">
        <v>895</v>
      </c>
      <c r="L260" s="103" t="n">
        <v>2</v>
      </c>
    </row>
    <row r="261" customFormat="false" ht="15" hidden="false" customHeight="true" outlineLevel="0" collapsed="false">
      <c r="A261" s="73" t="s">
        <v>1266</v>
      </c>
      <c r="B261" s="73" t="s">
        <v>4</v>
      </c>
      <c r="C261" s="73" t="s">
        <v>653</v>
      </c>
      <c r="D261" s="73" t="s">
        <v>891</v>
      </c>
      <c r="E261" s="73" t="s">
        <v>801</v>
      </c>
      <c r="F261" s="73" t="s">
        <v>802</v>
      </c>
      <c r="G261" s="73" t="s">
        <v>101</v>
      </c>
      <c r="H261" s="73" t="s">
        <v>1267</v>
      </c>
      <c r="I261" s="73" t="s">
        <v>893</v>
      </c>
      <c r="J261" s="73" t="s">
        <v>901</v>
      </c>
      <c r="K261" s="73" t="s">
        <v>895</v>
      </c>
      <c r="L261" s="103" t="n">
        <v>0</v>
      </c>
    </row>
    <row r="262" customFormat="false" ht="15" hidden="false" customHeight="true" outlineLevel="0" collapsed="false">
      <c r="A262" s="73" t="s">
        <v>1268</v>
      </c>
      <c r="B262" s="73" t="s">
        <v>4</v>
      </c>
      <c r="C262" s="73" t="s">
        <v>653</v>
      </c>
      <c r="D262" s="73" t="s">
        <v>891</v>
      </c>
      <c r="E262" s="73" t="s">
        <v>801</v>
      </c>
      <c r="F262" s="73" t="s">
        <v>802</v>
      </c>
      <c r="G262" s="73" t="s">
        <v>103</v>
      </c>
      <c r="H262" s="73" t="s">
        <v>1269</v>
      </c>
      <c r="I262" s="73" t="s">
        <v>893</v>
      </c>
      <c r="J262" s="73" t="s">
        <v>904</v>
      </c>
      <c r="K262" s="73" t="s">
        <v>895</v>
      </c>
      <c r="L262" s="103" t="n">
        <v>0</v>
      </c>
    </row>
    <row r="263" customFormat="false" ht="15" hidden="false" customHeight="true" outlineLevel="0" collapsed="false">
      <c r="A263" s="73" t="s">
        <v>1270</v>
      </c>
      <c r="B263" s="73" t="s">
        <v>4</v>
      </c>
      <c r="C263" s="73" t="s">
        <v>653</v>
      </c>
      <c r="D263" s="73" t="s">
        <v>891</v>
      </c>
      <c r="E263" s="73" t="s">
        <v>801</v>
      </c>
      <c r="F263" s="73" t="s">
        <v>802</v>
      </c>
      <c r="G263" s="73" t="s">
        <v>105</v>
      </c>
      <c r="H263" s="73" t="s">
        <v>1271</v>
      </c>
      <c r="I263" s="73" t="s">
        <v>893</v>
      </c>
      <c r="J263" s="73" t="s">
        <v>907</v>
      </c>
      <c r="K263" s="73" t="s">
        <v>895</v>
      </c>
      <c r="L263" s="103" t="n">
        <v>0</v>
      </c>
    </row>
    <row r="264" customFormat="false" ht="15" hidden="false" customHeight="true" outlineLevel="0" collapsed="false">
      <c r="A264" s="73" t="s">
        <v>1272</v>
      </c>
      <c r="B264" s="73" t="s">
        <v>4</v>
      </c>
      <c r="C264" s="73" t="s">
        <v>653</v>
      </c>
      <c r="D264" s="73" t="s">
        <v>891</v>
      </c>
      <c r="E264" s="73" t="s">
        <v>801</v>
      </c>
      <c r="F264" s="73" t="s">
        <v>802</v>
      </c>
      <c r="G264" s="73" t="s">
        <v>107</v>
      </c>
      <c r="H264" s="73" t="s">
        <v>1273</v>
      </c>
      <c r="I264" s="73" t="s">
        <v>893</v>
      </c>
      <c r="J264" s="73" t="s">
        <v>910</v>
      </c>
      <c r="K264" s="73" t="s">
        <v>895</v>
      </c>
      <c r="L264" s="103" t="n">
        <v>0</v>
      </c>
    </row>
    <row r="265" customFormat="false" ht="15" hidden="false" customHeight="true" outlineLevel="0" collapsed="false">
      <c r="A265" s="73" t="s">
        <v>1274</v>
      </c>
      <c r="B265" s="73" t="s">
        <v>4</v>
      </c>
      <c r="C265" s="73" t="s">
        <v>653</v>
      </c>
      <c r="D265" s="73" t="s">
        <v>891</v>
      </c>
      <c r="E265" s="73" t="s">
        <v>801</v>
      </c>
      <c r="F265" s="73" t="s">
        <v>802</v>
      </c>
      <c r="G265" s="73" t="s">
        <v>109</v>
      </c>
      <c r="H265" s="73" t="s">
        <v>1275</v>
      </c>
      <c r="I265" s="73" t="s">
        <v>893</v>
      </c>
      <c r="J265" s="73" t="s">
        <v>913</v>
      </c>
      <c r="K265" s="73" t="s">
        <v>895</v>
      </c>
      <c r="L265" s="103" t="n">
        <v>0</v>
      </c>
    </row>
    <row r="266" customFormat="false" ht="15" hidden="false" customHeight="true" outlineLevel="0" collapsed="false">
      <c r="A266" s="73" t="s">
        <v>1276</v>
      </c>
      <c r="B266" s="73" t="s">
        <v>4</v>
      </c>
      <c r="C266" s="73" t="s">
        <v>653</v>
      </c>
      <c r="D266" s="73" t="s">
        <v>891</v>
      </c>
      <c r="E266" s="73" t="s">
        <v>801</v>
      </c>
      <c r="F266" s="73" t="s">
        <v>802</v>
      </c>
      <c r="G266" s="73" t="s">
        <v>111</v>
      </c>
      <c r="H266" s="73" t="s">
        <v>1277</v>
      </c>
      <c r="I266" s="73" t="s">
        <v>893</v>
      </c>
      <c r="J266" s="73" t="s">
        <v>916</v>
      </c>
      <c r="K266" s="73" t="s">
        <v>895</v>
      </c>
      <c r="L266" s="103" t="n">
        <v>0</v>
      </c>
    </row>
    <row r="267" customFormat="false" ht="15" hidden="false" customHeight="true" outlineLevel="0" collapsed="false">
      <c r="A267" s="73" t="s">
        <v>1278</v>
      </c>
      <c r="B267" s="73" t="s">
        <v>4</v>
      </c>
      <c r="C267" s="73" t="s">
        <v>653</v>
      </c>
      <c r="D267" s="73" t="s">
        <v>918</v>
      </c>
      <c r="E267" s="73" t="s">
        <v>801</v>
      </c>
      <c r="F267" s="73" t="s">
        <v>802</v>
      </c>
      <c r="G267" s="73" t="s">
        <v>96</v>
      </c>
      <c r="H267" s="73" t="s">
        <v>1279</v>
      </c>
      <c r="I267" s="73" t="s">
        <v>893</v>
      </c>
      <c r="J267" s="73" t="s">
        <v>920</v>
      </c>
      <c r="K267" s="73" t="s">
        <v>895</v>
      </c>
      <c r="L267" s="103" t="n">
        <v>0</v>
      </c>
    </row>
    <row r="268" customFormat="false" ht="15" hidden="false" customHeight="true" outlineLevel="0" collapsed="false">
      <c r="A268" s="73" t="s">
        <v>1280</v>
      </c>
      <c r="B268" s="73" t="s">
        <v>4</v>
      </c>
      <c r="C268" s="73" t="s">
        <v>653</v>
      </c>
      <c r="D268" s="73" t="s">
        <v>918</v>
      </c>
      <c r="E268" s="73" t="s">
        <v>801</v>
      </c>
      <c r="F268" s="73" t="s">
        <v>802</v>
      </c>
      <c r="G268" s="73" t="s">
        <v>99</v>
      </c>
      <c r="H268" s="73" t="s">
        <v>1281</v>
      </c>
      <c r="I268" s="73" t="s">
        <v>893</v>
      </c>
      <c r="J268" s="73" t="s">
        <v>923</v>
      </c>
      <c r="K268" s="73" t="s">
        <v>895</v>
      </c>
      <c r="L268" s="103" t="n">
        <v>0</v>
      </c>
    </row>
    <row r="269" customFormat="false" ht="15" hidden="false" customHeight="true" outlineLevel="0" collapsed="false">
      <c r="A269" s="73" t="s">
        <v>1282</v>
      </c>
      <c r="B269" s="73" t="s">
        <v>4</v>
      </c>
      <c r="C269" s="73" t="s">
        <v>653</v>
      </c>
      <c r="D269" s="73" t="s">
        <v>918</v>
      </c>
      <c r="E269" s="73" t="s">
        <v>801</v>
      </c>
      <c r="F269" s="73" t="s">
        <v>802</v>
      </c>
      <c r="G269" s="73" t="s">
        <v>101</v>
      </c>
      <c r="H269" s="73" t="s">
        <v>1283</v>
      </c>
      <c r="I269" s="73" t="s">
        <v>893</v>
      </c>
      <c r="J269" s="73" t="s">
        <v>926</v>
      </c>
      <c r="K269" s="73" t="s">
        <v>895</v>
      </c>
      <c r="L269" s="103" t="n">
        <v>0</v>
      </c>
    </row>
    <row r="270" customFormat="false" ht="15" hidden="false" customHeight="true" outlineLevel="0" collapsed="false">
      <c r="A270" s="73" t="s">
        <v>1284</v>
      </c>
      <c r="B270" s="73" t="s">
        <v>4</v>
      </c>
      <c r="C270" s="73" t="s">
        <v>653</v>
      </c>
      <c r="D270" s="73" t="s">
        <v>918</v>
      </c>
      <c r="E270" s="73" t="s">
        <v>801</v>
      </c>
      <c r="F270" s="73" t="s">
        <v>802</v>
      </c>
      <c r="G270" s="73" t="s">
        <v>103</v>
      </c>
      <c r="H270" s="73" t="s">
        <v>1285</v>
      </c>
      <c r="I270" s="73" t="s">
        <v>893</v>
      </c>
      <c r="J270" s="73" t="s">
        <v>929</v>
      </c>
      <c r="K270" s="73" t="s">
        <v>895</v>
      </c>
      <c r="L270" s="103" t="n">
        <v>0</v>
      </c>
    </row>
    <row r="271" customFormat="false" ht="15" hidden="false" customHeight="true" outlineLevel="0" collapsed="false">
      <c r="A271" s="73" t="s">
        <v>1286</v>
      </c>
      <c r="B271" s="73" t="s">
        <v>4</v>
      </c>
      <c r="C271" s="73" t="s">
        <v>653</v>
      </c>
      <c r="D271" s="73" t="s">
        <v>918</v>
      </c>
      <c r="E271" s="73" t="s">
        <v>801</v>
      </c>
      <c r="F271" s="73" t="s">
        <v>802</v>
      </c>
      <c r="G271" s="73" t="s">
        <v>105</v>
      </c>
      <c r="H271" s="73" t="s">
        <v>1287</v>
      </c>
      <c r="I271" s="73" t="s">
        <v>893</v>
      </c>
      <c r="J271" s="73" t="s">
        <v>932</v>
      </c>
      <c r="K271" s="73" t="s">
        <v>895</v>
      </c>
      <c r="L271" s="103" t="n">
        <v>0</v>
      </c>
    </row>
    <row r="272" customFormat="false" ht="15" hidden="false" customHeight="true" outlineLevel="0" collapsed="false">
      <c r="A272" s="73" t="s">
        <v>1288</v>
      </c>
      <c r="B272" s="73" t="s">
        <v>4</v>
      </c>
      <c r="C272" s="73" t="s">
        <v>653</v>
      </c>
      <c r="D272" s="73" t="s">
        <v>918</v>
      </c>
      <c r="E272" s="73" t="s">
        <v>801</v>
      </c>
      <c r="F272" s="73" t="s">
        <v>802</v>
      </c>
      <c r="G272" s="73" t="s">
        <v>107</v>
      </c>
      <c r="H272" s="73" t="s">
        <v>1289</v>
      </c>
      <c r="I272" s="73" t="s">
        <v>893</v>
      </c>
      <c r="J272" s="73" t="s">
        <v>935</v>
      </c>
      <c r="K272" s="73" t="s">
        <v>895</v>
      </c>
      <c r="L272" s="103" t="n">
        <v>0</v>
      </c>
    </row>
    <row r="273" customFormat="false" ht="15" hidden="false" customHeight="true" outlineLevel="0" collapsed="false">
      <c r="A273" s="73" t="s">
        <v>1290</v>
      </c>
      <c r="B273" s="73" t="s">
        <v>4</v>
      </c>
      <c r="C273" s="73" t="s">
        <v>653</v>
      </c>
      <c r="D273" s="73" t="s">
        <v>918</v>
      </c>
      <c r="E273" s="73" t="s">
        <v>801</v>
      </c>
      <c r="F273" s="73" t="s">
        <v>802</v>
      </c>
      <c r="G273" s="73" t="s">
        <v>109</v>
      </c>
      <c r="H273" s="73" t="s">
        <v>1291</v>
      </c>
      <c r="I273" s="73" t="s">
        <v>893</v>
      </c>
      <c r="J273" s="73" t="s">
        <v>938</v>
      </c>
      <c r="K273" s="73" t="s">
        <v>895</v>
      </c>
      <c r="L273" s="103" t="n">
        <v>0</v>
      </c>
    </row>
    <row r="274" customFormat="false" ht="15" hidden="false" customHeight="true" outlineLevel="0" collapsed="false">
      <c r="A274" s="73" t="s">
        <v>1292</v>
      </c>
      <c r="B274" s="73" t="s">
        <v>4</v>
      </c>
      <c r="C274" s="73" t="s">
        <v>653</v>
      </c>
      <c r="D274" s="73" t="s">
        <v>918</v>
      </c>
      <c r="E274" s="73" t="s">
        <v>801</v>
      </c>
      <c r="F274" s="73" t="s">
        <v>802</v>
      </c>
      <c r="G274" s="73" t="s">
        <v>111</v>
      </c>
      <c r="H274" s="73" t="s">
        <v>1293</v>
      </c>
      <c r="I274" s="73" t="s">
        <v>893</v>
      </c>
      <c r="J274" s="73" t="s">
        <v>941</v>
      </c>
      <c r="K274" s="73" t="s">
        <v>895</v>
      </c>
      <c r="L274" s="103" t="n">
        <v>0</v>
      </c>
    </row>
    <row r="275" customFormat="false" ht="15" hidden="false" customHeight="true" outlineLevel="0" collapsed="false">
      <c r="A275" s="73" t="s">
        <v>1294</v>
      </c>
      <c r="B275" s="73" t="s">
        <v>4</v>
      </c>
      <c r="C275" s="73" t="s">
        <v>653</v>
      </c>
      <c r="D275" s="73" t="s">
        <v>943</v>
      </c>
      <c r="E275" s="73" t="s">
        <v>801</v>
      </c>
      <c r="F275" s="73" t="s">
        <v>802</v>
      </c>
      <c r="G275" s="73" t="s">
        <v>944</v>
      </c>
      <c r="H275" s="73" t="s">
        <v>1295</v>
      </c>
      <c r="I275" s="73" t="s">
        <v>893</v>
      </c>
      <c r="J275" s="73" t="s">
        <v>946</v>
      </c>
      <c r="K275" s="73"/>
      <c r="L275" s="103" t="n">
        <v>52</v>
      </c>
    </row>
    <row r="276" customFormat="false" ht="15" hidden="false" customHeight="true" outlineLevel="0" collapsed="false">
      <c r="A276" s="73" t="s">
        <v>1296</v>
      </c>
      <c r="B276" s="73" t="s">
        <v>4</v>
      </c>
      <c r="C276" s="73" t="s">
        <v>653</v>
      </c>
      <c r="D276" s="73" t="s">
        <v>948</v>
      </c>
      <c r="E276" s="73" t="s">
        <v>801</v>
      </c>
      <c r="F276" s="73" t="s">
        <v>802</v>
      </c>
      <c r="G276" s="73" t="s">
        <v>655</v>
      </c>
      <c r="H276" s="73" t="s">
        <v>1297</v>
      </c>
      <c r="I276" s="73" t="s">
        <v>708</v>
      </c>
      <c r="J276" s="73" t="s">
        <v>950</v>
      </c>
      <c r="K276" s="73" t="s">
        <v>951</v>
      </c>
      <c r="L276" s="103" t="n">
        <v>1.5</v>
      </c>
    </row>
    <row r="277" customFormat="false" ht="15" hidden="false" customHeight="true" outlineLevel="0" collapsed="false">
      <c r="A277" s="73" t="s">
        <v>1298</v>
      </c>
      <c r="B277" s="73" t="s">
        <v>4</v>
      </c>
      <c r="C277" s="73" t="s">
        <v>653</v>
      </c>
      <c r="D277" s="73" t="s">
        <v>953</v>
      </c>
      <c r="E277" s="73" t="s">
        <v>801</v>
      </c>
      <c r="F277" s="73" t="s">
        <v>802</v>
      </c>
      <c r="G277" s="73" t="s">
        <v>655</v>
      </c>
      <c r="H277" s="73" t="s">
        <v>1299</v>
      </c>
      <c r="I277" s="73" t="s">
        <v>955</v>
      </c>
      <c r="J277" s="73" t="s">
        <v>956</v>
      </c>
      <c r="K277" s="73" t="s">
        <v>951</v>
      </c>
      <c r="L277" s="103" t="n">
        <v>0.7</v>
      </c>
    </row>
    <row r="279" customFormat="false" ht="21.75" hidden="false" customHeight="true" outlineLevel="0" collapsed="false">
      <c r="A279" s="70" t="s">
        <v>1300</v>
      </c>
      <c r="B279" s="70"/>
      <c r="C279" s="70"/>
      <c r="D279" s="70"/>
      <c r="E279" s="70"/>
      <c r="F279" s="70"/>
      <c r="G279" s="70"/>
      <c r="H279" s="70"/>
      <c r="I279" s="70"/>
      <c r="J279" s="70"/>
      <c r="K279" s="70"/>
      <c r="L279" s="70"/>
      <c r="M279" s="70"/>
      <c r="N279" s="70"/>
      <c r="O279" s="70"/>
      <c r="P279" s="70"/>
      <c r="Q279" s="70"/>
      <c r="R279" s="70"/>
      <c r="S279" s="70"/>
      <c r="T279" s="70"/>
      <c r="U279" s="70"/>
      <c r="V279" s="70"/>
      <c r="W279" s="70"/>
      <c r="X279" s="70"/>
    </row>
    <row r="280" customFormat="false" ht="15" hidden="false" customHeight="true" outlineLevel="0" collapsed="false">
      <c r="A280" s="73" t="s">
        <v>1301</v>
      </c>
      <c r="B280" s="73" t="s">
        <v>846</v>
      </c>
      <c r="C280" s="73" t="s">
        <v>653</v>
      </c>
      <c r="D280" s="73" t="s">
        <v>867</v>
      </c>
      <c r="E280" s="73" t="s">
        <v>705</v>
      </c>
      <c r="F280" s="73" t="s">
        <v>706</v>
      </c>
      <c r="G280" s="73" t="s">
        <v>655</v>
      </c>
      <c r="H280" s="73" t="s">
        <v>1302</v>
      </c>
      <c r="I280" s="73" t="s">
        <v>869</v>
      </c>
      <c r="J280" s="73" t="s">
        <v>870</v>
      </c>
      <c r="K280" s="73" t="s">
        <v>871</v>
      </c>
      <c r="L280" s="107" t="n">
        <v>0</v>
      </c>
    </row>
    <row r="281" customFormat="false" ht="15" hidden="false" customHeight="true" outlineLevel="0" collapsed="false">
      <c r="A281" s="73" t="s">
        <v>1303</v>
      </c>
      <c r="B281" s="73" t="s">
        <v>846</v>
      </c>
      <c r="C281" s="73" t="s">
        <v>653</v>
      </c>
      <c r="D281" s="73" t="s">
        <v>873</v>
      </c>
      <c r="E281" s="73" t="s">
        <v>705</v>
      </c>
      <c r="F281" s="73" t="s">
        <v>706</v>
      </c>
      <c r="G281" s="73" t="s">
        <v>655</v>
      </c>
      <c r="H281" s="73" t="s">
        <v>1304</v>
      </c>
      <c r="I281" s="73" t="s">
        <v>875</v>
      </c>
      <c r="J281" s="73" t="s">
        <v>876</v>
      </c>
      <c r="K281" s="73"/>
      <c r="L281" s="104" t="n">
        <v>1</v>
      </c>
    </row>
    <row r="282" customFormat="false" ht="15" hidden="false" customHeight="true" outlineLevel="0" collapsed="false">
      <c r="A282" s="73" t="s">
        <v>1305</v>
      </c>
      <c r="B282" s="73" t="s">
        <v>846</v>
      </c>
      <c r="C282" s="73" t="s">
        <v>653</v>
      </c>
      <c r="D282" s="73" t="s">
        <v>878</v>
      </c>
      <c r="E282" s="73" t="s">
        <v>705</v>
      </c>
      <c r="F282" s="73" t="s">
        <v>706</v>
      </c>
      <c r="G282" s="73" t="s">
        <v>655</v>
      </c>
      <c r="H282" s="73" t="s">
        <v>1306</v>
      </c>
      <c r="I282" s="73" t="s">
        <v>880</v>
      </c>
      <c r="J282" s="73" t="s">
        <v>881</v>
      </c>
      <c r="K282" s="73"/>
      <c r="L282" s="104" t="n">
        <v>0.2</v>
      </c>
    </row>
    <row r="283" customFormat="false" ht="15" hidden="false" customHeight="true" outlineLevel="0" collapsed="false">
      <c r="A283" s="73" t="s">
        <v>1307</v>
      </c>
      <c r="B283" s="73" t="s">
        <v>846</v>
      </c>
      <c r="C283" s="73" t="s">
        <v>653</v>
      </c>
      <c r="D283" s="73" t="s">
        <v>883</v>
      </c>
      <c r="E283" s="73" t="s">
        <v>705</v>
      </c>
      <c r="F283" s="73" t="s">
        <v>706</v>
      </c>
      <c r="G283" s="73" t="s">
        <v>655</v>
      </c>
      <c r="H283" s="73" t="s">
        <v>1308</v>
      </c>
      <c r="I283" s="73" t="s">
        <v>880</v>
      </c>
      <c r="J283" s="73" t="s">
        <v>885</v>
      </c>
      <c r="K283" s="73"/>
      <c r="L283" s="104" t="n">
        <v>0.1</v>
      </c>
    </row>
    <row r="284" customFormat="false" ht="15" hidden="false" customHeight="true" outlineLevel="0" collapsed="false">
      <c r="A284" s="73" t="s">
        <v>1309</v>
      </c>
      <c r="B284" s="73" t="s">
        <v>846</v>
      </c>
      <c r="C284" s="73" t="s">
        <v>653</v>
      </c>
      <c r="D284" s="73" t="s">
        <v>887</v>
      </c>
      <c r="E284" s="73" t="s">
        <v>705</v>
      </c>
      <c r="F284" s="73" t="s">
        <v>706</v>
      </c>
      <c r="G284" s="73" t="s">
        <v>655</v>
      </c>
      <c r="H284" s="73" t="s">
        <v>1310</v>
      </c>
      <c r="I284" s="73" t="s">
        <v>880</v>
      </c>
      <c r="J284" s="73" t="s">
        <v>889</v>
      </c>
      <c r="K284" s="73"/>
      <c r="L284" s="104" t="n">
        <v>0.05</v>
      </c>
    </row>
    <row r="285" customFormat="false" ht="15" hidden="false" customHeight="true" outlineLevel="0" collapsed="false">
      <c r="A285" s="73" t="s">
        <v>1311</v>
      </c>
      <c r="B285" s="73" t="s">
        <v>846</v>
      </c>
      <c r="C285" s="73" t="s">
        <v>653</v>
      </c>
      <c r="D285" s="73" t="s">
        <v>891</v>
      </c>
      <c r="E285" s="73" t="s">
        <v>705</v>
      </c>
      <c r="F285" s="73" t="s">
        <v>706</v>
      </c>
      <c r="G285" s="73" t="s">
        <v>96</v>
      </c>
      <c r="H285" s="73" t="s">
        <v>1312</v>
      </c>
      <c r="I285" s="73" t="s">
        <v>893</v>
      </c>
      <c r="J285" s="73" t="s">
        <v>894</v>
      </c>
      <c r="K285" s="73" t="s">
        <v>895</v>
      </c>
      <c r="L285" s="103" t="n">
        <v>0</v>
      </c>
    </row>
    <row r="286" customFormat="false" ht="15" hidden="false" customHeight="true" outlineLevel="0" collapsed="false">
      <c r="A286" s="73" t="s">
        <v>1313</v>
      </c>
      <c r="B286" s="73" t="s">
        <v>846</v>
      </c>
      <c r="C286" s="73" t="s">
        <v>653</v>
      </c>
      <c r="D286" s="73" t="s">
        <v>891</v>
      </c>
      <c r="E286" s="73" t="s">
        <v>705</v>
      </c>
      <c r="F286" s="73" t="s">
        <v>706</v>
      </c>
      <c r="G286" s="73" t="s">
        <v>99</v>
      </c>
      <c r="H286" s="73" t="s">
        <v>1314</v>
      </c>
      <c r="I286" s="73" t="s">
        <v>893</v>
      </c>
      <c r="J286" s="73" t="s">
        <v>898</v>
      </c>
      <c r="K286" s="73" t="s">
        <v>895</v>
      </c>
      <c r="L286" s="103" t="n">
        <v>5</v>
      </c>
    </row>
    <row r="287" customFormat="false" ht="15" hidden="false" customHeight="true" outlineLevel="0" collapsed="false">
      <c r="A287" s="73" t="s">
        <v>1315</v>
      </c>
      <c r="B287" s="73" t="s">
        <v>846</v>
      </c>
      <c r="C287" s="73" t="s">
        <v>653</v>
      </c>
      <c r="D287" s="73" t="s">
        <v>891</v>
      </c>
      <c r="E287" s="73" t="s">
        <v>705</v>
      </c>
      <c r="F287" s="73" t="s">
        <v>706</v>
      </c>
      <c r="G287" s="73" t="s">
        <v>101</v>
      </c>
      <c r="H287" s="73" t="s">
        <v>1316</v>
      </c>
      <c r="I287" s="73" t="s">
        <v>893</v>
      </c>
      <c r="J287" s="73" t="s">
        <v>901</v>
      </c>
      <c r="K287" s="73" t="s">
        <v>895</v>
      </c>
      <c r="L287" s="103" t="n">
        <v>0</v>
      </c>
    </row>
    <row r="288" customFormat="false" ht="15" hidden="false" customHeight="true" outlineLevel="0" collapsed="false">
      <c r="A288" s="73" t="s">
        <v>1317</v>
      </c>
      <c r="B288" s="73" t="s">
        <v>846</v>
      </c>
      <c r="C288" s="73" t="s">
        <v>653</v>
      </c>
      <c r="D288" s="73" t="s">
        <v>891</v>
      </c>
      <c r="E288" s="73" t="s">
        <v>705</v>
      </c>
      <c r="F288" s="73" t="s">
        <v>706</v>
      </c>
      <c r="G288" s="73" t="s">
        <v>103</v>
      </c>
      <c r="H288" s="73" t="s">
        <v>1318</v>
      </c>
      <c r="I288" s="73" t="s">
        <v>893</v>
      </c>
      <c r="J288" s="73" t="s">
        <v>904</v>
      </c>
      <c r="K288" s="73" t="s">
        <v>895</v>
      </c>
      <c r="L288" s="103" t="n">
        <v>0</v>
      </c>
    </row>
    <row r="289" customFormat="false" ht="15" hidden="false" customHeight="true" outlineLevel="0" collapsed="false">
      <c r="A289" s="73" t="s">
        <v>1319</v>
      </c>
      <c r="B289" s="73" t="s">
        <v>846</v>
      </c>
      <c r="C289" s="73" t="s">
        <v>653</v>
      </c>
      <c r="D289" s="73" t="s">
        <v>891</v>
      </c>
      <c r="E289" s="73" t="s">
        <v>705</v>
      </c>
      <c r="F289" s="73" t="s">
        <v>706</v>
      </c>
      <c r="G289" s="73" t="s">
        <v>105</v>
      </c>
      <c r="H289" s="73" t="s">
        <v>1320</v>
      </c>
      <c r="I289" s="73" t="s">
        <v>893</v>
      </c>
      <c r="J289" s="73" t="s">
        <v>907</v>
      </c>
      <c r="K289" s="73" t="s">
        <v>895</v>
      </c>
      <c r="L289" s="103" t="n">
        <v>0</v>
      </c>
    </row>
    <row r="290" customFormat="false" ht="15" hidden="false" customHeight="true" outlineLevel="0" collapsed="false">
      <c r="A290" s="73" t="s">
        <v>1321</v>
      </c>
      <c r="B290" s="73" t="s">
        <v>846</v>
      </c>
      <c r="C290" s="73" t="s">
        <v>653</v>
      </c>
      <c r="D290" s="73" t="s">
        <v>891</v>
      </c>
      <c r="E290" s="73" t="s">
        <v>705</v>
      </c>
      <c r="F290" s="73" t="s">
        <v>706</v>
      </c>
      <c r="G290" s="73" t="s">
        <v>107</v>
      </c>
      <c r="H290" s="73" t="s">
        <v>1322</v>
      </c>
      <c r="I290" s="73" t="s">
        <v>893</v>
      </c>
      <c r="J290" s="73" t="s">
        <v>910</v>
      </c>
      <c r="K290" s="73" t="s">
        <v>895</v>
      </c>
      <c r="L290" s="103" t="n">
        <v>0</v>
      </c>
    </row>
    <row r="291" customFormat="false" ht="15" hidden="false" customHeight="true" outlineLevel="0" collapsed="false">
      <c r="A291" s="73" t="s">
        <v>1323</v>
      </c>
      <c r="B291" s="73" t="s">
        <v>846</v>
      </c>
      <c r="C291" s="73" t="s">
        <v>653</v>
      </c>
      <c r="D291" s="73" t="s">
        <v>891</v>
      </c>
      <c r="E291" s="73" t="s">
        <v>705</v>
      </c>
      <c r="F291" s="73" t="s">
        <v>706</v>
      </c>
      <c r="G291" s="73" t="s">
        <v>109</v>
      </c>
      <c r="H291" s="73" t="s">
        <v>1324</v>
      </c>
      <c r="I291" s="73" t="s">
        <v>893</v>
      </c>
      <c r="J291" s="73" t="s">
        <v>913</v>
      </c>
      <c r="K291" s="73" t="s">
        <v>895</v>
      </c>
      <c r="L291" s="103" t="n">
        <v>0</v>
      </c>
    </row>
    <row r="292" customFormat="false" ht="15" hidden="false" customHeight="true" outlineLevel="0" collapsed="false">
      <c r="A292" s="73" t="s">
        <v>1325</v>
      </c>
      <c r="B292" s="73" t="s">
        <v>846</v>
      </c>
      <c r="C292" s="73" t="s">
        <v>653</v>
      </c>
      <c r="D292" s="73" t="s">
        <v>891</v>
      </c>
      <c r="E292" s="73" t="s">
        <v>705</v>
      </c>
      <c r="F292" s="73" t="s">
        <v>706</v>
      </c>
      <c r="G292" s="73" t="s">
        <v>111</v>
      </c>
      <c r="H292" s="73" t="s">
        <v>1326</v>
      </c>
      <c r="I292" s="73" t="s">
        <v>893</v>
      </c>
      <c r="J292" s="73" t="s">
        <v>916</v>
      </c>
      <c r="K292" s="73" t="s">
        <v>895</v>
      </c>
      <c r="L292" s="103" t="n">
        <v>0</v>
      </c>
    </row>
    <row r="293" customFormat="false" ht="15" hidden="false" customHeight="true" outlineLevel="0" collapsed="false">
      <c r="A293" s="73" t="s">
        <v>1327</v>
      </c>
      <c r="B293" s="73" t="s">
        <v>846</v>
      </c>
      <c r="C293" s="73" t="s">
        <v>653</v>
      </c>
      <c r="D293" s="73" t="s">
        <v>918</v>
      </c>
      <c r="E293" s="73" t="s">
        <v>705</v>
      </c>
      <c r="F293" s="73" t="s">
        <v>706</v>
      </c>
      <c r="G293" s="73" t="s">
        <v>96</v>
      </c>
      <c r="H293" s="73" t="s">
        <v>1328</v>
      </c>
      <c r="I293" s="73" t="s">
        <v>893</v>
      </c>
      <c r="J293" s="73" t="s">
        <v>920</v>
      </c>
      <c r="K293" s="73" t="s">
        <v>895</v>
      </c>
      <c r="L293" s="103" t="n">
        <v>0</v>
      </c>
    </row>
    <row r="294" customFormat="false" ht="15" hidden="false" customHeight="true" outlineLevel="0" collapsed="false">
      <c r="A294" s="73" t="s">
        <v>1329</v>
      </c>
      <c r="B294" s="73" t="s">
        <v>846</v>
      </c>
      <c r="C294" s="73" t="s">
        <v>653</v>
      </c>
      <c r="D294" s="73" t="s">
        <v>918</v>
      </c>
      <c r="E294" s="73" t="s">
        <v>705</v>
      </c>
      <c r="F294" s="73" t="s">
        <v>706</v>
      </c>
      <c r="G294" s="73" t="s">
        <v>99</v>
      </c>
      <c r="H294" s="73" t="s">
        <v>1330</v>
      </c>
      <c r="I294" s="73" t="s">
        <v>893</v>
      </c>
      <c r="J294" s="73" t="s">
        <v>923</v>
      </c>
      <c r="K294" s="73" t="s">
        <v>895</v>
      </c>
      <c r="L294" s="103" t="n">
        <v>24</v>
      </c>
    </row>
    <row r="295" customFormat="false" ht="15" hidden="false" customHeight="true" outlineLevel="0" collapsed="false">
      <c r="A295" s="73" t="s">
        <v>1331</v>
      </c>
      <c r="B295" s="73" t="s">
        <v>846</v>
      </c>
      <c r="C295" s="73" t="s">
        <v>653</v>
      </c>
      <c r="D295" s="73" t="s">
        <v>918</v>
      </c>
      <c r="E295" s="73" t="s">
        <v>705</v>
      </c>
      <c r="F295" s="73" t="s">
        <v>706</v>
      </c>
      <c r="G295" s="73" t="s">
        <v>101</v>
      </c>
      <c r="H295" s="73" t="s">
        <v>1332</v>
      </c>
      <c r="I295" s="73" t="s">
        <v>893</v>
      </c>
      <c r="J295" s="73" t="s">
        <v>926</v>
      </c>
      <c r="K295" s="73" t="s">
        <v>895</v>
      </c>
      <c r="L295" s="103" t="n">
        <v>0</v>
      </c>
    </row>
    <row r="296" customFormat="false" ht="15" hidden="false" customHeight="true" outlineLevel="0" collapsed="false">
      <c r="A296" s="73" t="s">
        <v>1333</v>
      </c>
      <c r="B296" s="73" t="s">
        <v>846</v>
      </c>
      <c r="C296" s="73" t="s">
        <v>653</v>
      </c>
      <c r="D296" s="73" t="s">
        <v>918</v>
      </c>
      <c r="E296" s="73" t="s">
        <v>705</v>
      </c>
      <c r="F296" s="73" t="s">
        <v>706</v>
      </c>
      <c r="G296" s="73" t="s">
        <v>103</v>
      </c>
      <c r="H296" s="73" t="s">
        <v>1334</v>
      </c>
      <c r="I296" s="73" t="s">
        <v>893</v>
      </c>
      <c r="J296" s="73" t="s">
        <v>929</v>
      </c>
      <c r="K296" s="73" t="s">
        <v>895</v>
      </c>
      <c r="L296" s="103" t="n">
        <v>0</v>
      </c>
    </row>
    <row r="297" customFormat="false" ht="15" hidden="false" customHeight="true" outlineLevel="0" collapsed="false">
      <c r="A297" s="73" t="s">
        <v>1335</v>
      </c>
      <c r="B297" s="73" t="s">
        <v>846</v>
      </c>
      <c r="C297" s="73" t="s">
        <v>653</v>
      </c>
      <c r="D297" s="73" t="s">
        <v>918</v>
      </c>
      <c r="E297" s="73" t="s">
        <v>705</v>
      </c>
      <c r="F297" s="73" t="s">
        <v>706</v>
      </c>
      <c r="G297" s="73" t="s">
        <v>105</v>
      </c>
      <c r="H297" s="73" t="s">
        <v>1336</v>
      </c>
      <c r="I297" s="73" t="s">
        <v>893</v>
      </c>
      <c r="J297" s="73" t="s">
        <v>932</v>
      </c>
      <c r="K297" s="73" t="s">
        <v>895</v>
      </c>
      <c r="L297" s="103" t="n">
        <v>0</v>
      </c>
    </row>
    <row r="298" customFormat="false" ht="15" hidden="false" customHeight="true" outlineLevel="0" collapsed="false">
      <c r="A298" s="73" t="s">
        <v>1337</v>
      </c>
      <c r="B298" s="73" t="s">
        <v>846</v>
      </c>
      <c r="C298" s="73" t="s">
        <v>653</v>
      </c>
      <c r="D298" s="73" t="s">
        <v>918</v>
      </c>
      <c r="E298" s="73" t="s">
        <v>705</v>
      </c>
      <c r="F298" s="73" t="s">
        <v>706</v>
      </c>
      <c r="G298" s="73" t="s">
        <v>107</v>
      </c>
      <c r="H298" s="73" t="s">
        <v>1338</v>
      </c>
      <c r="I298" s="73" t="s">
        <v>893</v>
      </c>
      <c r="J298" s="73" t="s">
        <v>935</v>
      </c>
      <c r="K298" s="73" t="s">
        <v>895</v>
      </c>
      <c r="L298" s="103" t="n">
        <v>0</v>
      </c>
    </row>
    <row r="299" customFormat="false" ht="15" hidden="false" customHeight="true" outlineLevel="0" collapsed="false">
      <c r="A299" s="73" t="s">
        <v>1339</v>
      </c>
      <c r="B299" s="73" t="s">
        <v>846</v>
      </c>
      <c r="C299" s="73" t="s">
        <v>653</v>
      </c>
      <c r="D299" s="73" t="s">
        <v>918</v>
      </c>
      <c r="E299" s="73" t="s">
        <v>705</v>
      </c>
      <c r="F299" s="73" t="s">
        <v>706</v>
      </c>
      <c r="G299" s="73" t="s">
        <v>109</v>
      </c>
      <c r="H299" s="73" t="s">
        <v>1340</v>
      </c>
      <c r="I299" s="73" t="s">
        <v>893</v>
      </c>
      <c r="J299" s="73" t="s">
        <v>938</v>
      </c>
      <c r="K299" s="73" t="s">
        <v>895</v>
      </c>
      <c r="L299" s="103" t="n">
        <v>0</v>
      </c>
    </row>
    <row r="300" customFormat="false" ht="15" hidden="false" customHeight="true" outlineLevel="0" collapsed="false">
      <c r="A300" s="73" t="s">
        <v>1341</v>
      </c>
      <c r="B300" s="73" t="s">
        <v>846</v>
      </c>
      <c r="C300" s="73" t="s">
        <v>653</v>
      </c>
      <c r="D300" s="73" t="s">
        <v>918</v>
      </c>
      <c r="E300" s="73" t="s">
        <v>705</v>
      </c>
      <c r="F300" s="73" t="s">
        <v>706</v>
      </c>
      <c r="G300" s="73" t="s">
        <v>111</v>
      </c>
      <c r="H300" s="73" t="s">
        <v>1342</v>
      </c>
      <c r="I300" s="73" t="s">
        <v>893</v>
      </c>
      <c r="J300" s="73" t="s">
        <v>941</v>
      </c>
      <c r="K300" s="73" t="s">
        <v>895</v>
      </c>
      <c r="L300" s="103" t="n">
        <v>0</v>
      </c>
    </row>
    <row r="301" customFormat="false" ht="15" hidden="false" customHeight="true" outlineLevel="0" collapsed="false">
      <c r="A301" s="73" t="s">
        <v>1343</v>
      </c>
      <c r="B301" s="73" t="s">
        <v>846</v>
      </c>
      <c r="C301" s="73" t="s">
        <v>653</v>
      </c>
      <c r="D301" s="73" t="s">
        <v>943</v>
      </c>
      <c r="E301" s="73" t="s">
        <v>705</v>
      </c>
      <c r="F301" s="73" t="s">
        <v>706</v>
      </c>
      <c r="G301" s="73" t="s">
        <v>944</v>
      </c>
      <c r="H301" s="73" t="s">
        <v>1344</v>
      </c>
      <c r="I301" s="73" t="s">
        <v>893</v>
      </c>
      <c r="J301" s="73" t="s">
        <v>946</v>
      </c>
      <c r="K301" s="73"/>
      <c r="L301" s="103" t="n">
        <v>2.5</v>
      </c>
    </row>
    <row r="302" customFormat="false" ht="15" hidden="false" customHeight="true" outlineLevel="0" collapsed="false">
      <c r="A302" s="73" t="s">
        <v>1345</v>
      </c>
      <c r="B302" s="73" t="s">
        <v>846</v>
      </c>
      <c r="C302" s="73" t="s">
        <v>653</v>
      </c>
      <c r="D302" s="73" t="s">
        <v>948</v>
      </c>
      <c r="E302" s="73" t="s">
        <v>705</v>
      </c>
      <c r="F302" s="73" t="s">
        <v>706</v>
      </c>
      <c r="G302" s="73" t="s">
        <v>655</v>
      </c>
      <c r="H302" s="73" t="s">
        <v>1346</v>
      </c>
      <c r="I302" s="73" t="s">
        <v>708</v>
      </c>
      <c r="J302" s="73" t="s">
        <v>950</v>
      </c>
      <c r="K302" s="73" t="s">
        <v>951</v>
      </c>
      <c r="L302" s="103" t="n">
        <v>0</v>
      </c>
    </row>
    <row r="303" customFormat="false" ht="15" hidden="false" customHeight="true" outlineLevel="0" collapsed="false">
      <c r="A303" s="73" t="s">
        <v>1347</v>
      </c>
      <c r="B303" s="73" t="s">
        <v>846</v>
      </c>
      <c r="C303" s="73" t="s">
        <v>653</v>
      </c>
      <c r="D303" s="73" t="s">
        <v>953</v>
      </c>
      <c r="E303" s="73" t="s">
        <v>705</v>
      </c>
      <c r="F303" s="73" t="s">
        <v>706</v>
      </c>
      <c r="G303" s="73" t="s">
        <v>655</v>
      </c>
      <c r="H303" s="73" t="s">
        <v>1348</v>
      </c>
      <c r="I303" s="73" t="s">
        <v>955</v>
      </c>
      <c r="J303" s="73" t="s">
        <v>956</v>
      </c>
      <c r="K303" s="73" t="s">
        <v>951</v>
      </c>
      <c r="L303" s="103" t="n">
        <v>0</v>
      </c>
    </row>
    <row r="304" customFormat="false" ht="15" hidden="false" customHeight="true" outlineLevel="0" collapsed="false">
      <c r="A304" s="73" t="s">
        <v>1349</v>
      </c>
      <c r="B304" s="73" t="s">
        <v>846</v>
      </c>
      <c r="C304" s="73" t="s">
        <v>653</v>
      </c>
      <c r="D304" s="73" t="s">
        <v>867</v>
      </c>
      <c r="E304" s="73" t="s">
        <v>705</v>
      </c>
      <c r="F304" s="73" t="s">
        <v>733</v>
      </c>
      <c r="G304" s="73" t="s">
        <v>655</v>
      </c>
      <c r="H304" s="73" t="s">
        <v>1350</v>
      </c>
      <c r="I304" s="73" t="s">
        <v>869</v>
      </c>
      <c r="J304" s="73" t="s">
        <v>959</v>
      </c>
      <c r="K304" s="73" t="s">
        <v>871</v>
      </c>
      <c r="L304" s="107" t="n">
        <v>0.4</v>
      </c>
    </row>
    <row r="305" customFormat="false" ht="15" hidden="false" customHeight="true" outlineLevel="0" collapsed="false">
      <c r="A305" s="73" t="s">
        <v>1351</v>
      </c>
      <c r="B305" s="73" t="s">
        <v>846</v>
      </c>
      <c r="C305" s="73" t="s">
        <v>653</v>
      </c>
      <c r="D305" s="73" t="s">
        <v>873</v>
      </c>
      <c r="E305" s="73" t="s">
        <v>705</v>
      </c>
      <c r="F305" s="73" t="s">
        <v>733</v>
      </c>
      <c r="G305" s="73" t="s">
        <v>655</v>
      </c>
      <c r="H305" s="73" t="s">
        <v>1352</v>
      </c>
      <c r="I305" s="73" t="s">
        <v>875</v>
      </c>
      <c r="J305" s="73" t="s">
        <v>876</v>
      </c>
      <c r="K305" s="73"/>
      <c r="L305" s="104" t="n">
        <v>0.8</v>
      </c>
    </row>
    <row r="306" customFormat="false" ht="15" hidden="false" customHeight="true" outlineLevel="0" collapsed="false">
      <c r="A306" s="73" t="s">
        <v>1353</v>
      </c>
      <c r="B306" s="73" t="s">
        <v>846</v>
      </c>
      <c r="C306" s="73" t="s">
        <v>653</v>
      </c>
      <c r="D306" s="73" t="s">
        <v>878</v>
      </c>
      <c r="E306" s="73" t="s">
        <v>705</v>
      </c>
      <c r="F306" s="73" t="s">
        <v>733</v>
      </c>
      <c r="G306" s="73" t="s">
        <v>655</v>
      </c>
      <c r="H306" s="73" t="s">
        <v>1354</v>
      </c>
      <c r="I306" s="73" t="s">
        <v>880</v>
      </c>
      <c r="J306" s="73" t="s">
        <v>881</v>
      </c>
      <c r="K306" s="73"/>
      <c r="L306" s="104" t="n">
        <v>0.5</v>
      </c>
    </row>
    <row r="307" customFormat="false" ht="15" hidden="false" customHeight="true" outlineLevel="0" collapsed="false">
      <c r="A307" s="73" t="s">
        <v>1355</v>
      </c>
      <c r="B307" s="73" t="s">
        <v>846</v>
      </c>
      <c r="C307" s="73" t="s">
        <v>653</v>
      </c>
      <c r="D307" s="73" t="s">
        <v>883</v>
      </c>
      <c r="E307" s="73" t="s">
        <v>705</v>
      </c>
      <c r="F307" s="73" t="s">
        <v>733</v>
      </c>
      <c r="G307" s="73" t="s">
        <v>655</v>
      </c>
      <c r="H307" s="73" t="s">
        <v>1356</v>
      </c>
      <c r="I307" s="73" t="s">
        <v>880</v>
      </c>
      <c r="J307" s="73" t="s">
        <v>885</v>
      </c>
      <c r="K307" s="73"/>
      <c r="L307" s="104" t="n">
        <v>0.2</v>
      </c>
    </row>
    <row r="308" customFormat="false" ht="15" hidden="false" customHeight="true" outlineLevel="0" collapsed="false">
      <c r="A308" s="73" t="s">
        <v>1357</v>
      </c>
      <c r="B308" s="73" t="s">
        <v>846</v>
      </c>
      <c r="C308" s="73" t="s">
        <v>653</v>
      </c>
      <c r="D308" s="73" t="s">
        <v>887</v>
      </c>
      <c r="E308" s="73" t="s">
        <v>705</v>
      </c>
      <c r="F308" s="73" t="s">
        <v>733</v>
      </c>
      <c r="G308" s="73" t="s">
        <v>655</v>
      </c>
      <c r="H308" s="73" t="s">
        <v>1358</v>
      </c>
      <c r="I308" s="73" t="s">
        <v>880</v>
      </c>
      <c r="J308" s="73" t="s">
        <v>889</v>
      </c>
      <c r="K308" s="73"/>
      <c r="L308" s="104" t="n">
        <v>0.3</v>
      </c>
    </row>
    <row r="309" customFormat="false" ht="15" hidden="false" customHeight="true" outlineLevel="0" collapsed="false">
      <c r="A309" s="73" t="s">
        <v>1359</v>
      </c>
      <c r="B309" s="73" t="s">
        <v>846</v>
      </c>
      <c r="C309" s="73" t="s">
        <v>653</v>
      </c>
      <c r="D309" s="73" t="s">
        <v>891</v>
      </c>
      <c r="E309" s="73" t="s">
        <v>705</v>
      </c>
      <c r="F309" s="73" t="s">
        <v>733</v>
      </c>
      <c r="G309" s="73" t="s">
        <v>96</v>
      </c>
      <c r="H309" s="73" t="s">
        <v>1360</v>
      </c>
      <c r="I309" s="73" t="s">
        <v>893</v>
      </c>
      <c r="J309" s="73" t="s">
        <v>894</v>
      </c>
      <c r="K309" s="73" t="s">
        <v>895</v>
      </c>
      <c r="L309" s="103" t="n">
        <v>0</v>
      </c>
    </row>
    <row r="310" customFormat="false" ht="15" hidden="false" customHeight="true" outlineLevel="0" collapsed="false">
      <c r="A310" s="73" t="s">
        <v>1361</v>
      </c>
      <c r="B310" s="73" t="s">
        <v>846</v>
      </c>
      <c r="C310" s="73" t="s">
        <v>653</v>
      </c>
      <c r="D310" s="73" t="s">
        <v>891</v>
      </c>
      <c r="E310" s="73" t="s">
        <v>705</v>
      </c>
      <c r="F310" s="73" t="s">
        <v>733</v>
      </c>
      <c r="G310" s="73" t="s">
        <v>99</v>
      </c>
      <c r="H310" s="73" t="s">
        <v>1362</v>
      </c>
      <c r="I310" s="73" t="s">
        <v>893</v>
      </c>
      <c r="J310" s="73" t="s">
        <v>898</v>
      </c>
      <c r="K310" s="73" t="s">
        <v>895</v>
      </c>
      <c r="L310" s="103" t="n">
        <v>2.5</v>
      </c>
    </row>
    <row r="311" customFormat="false" ht="15" hidden="false" customHeight="true" outlineLevel="0" collapsed="false">
      <c r="A311" s="73" t="s">
        <v>1363</v>
      </c>
      <c r="B311" s="73" t="s">
        <v>846</v>
      </c>
      <c r="C311" s="73" t="s">
        <v>653</v>
      </c>
      <c r="D311" s="73" t="s">
        <v>891</v>
      </c>
      <c r="E311" s="73" t="s">
        <v>705</v>
      </c>
      <c r="F311" s="73" t="s">
        <v>733</v>
      </c>
      <c r="G311" s="73" t="s">
        <v>101</v>
      </c>
      <c r="H311" s="73" t="s">
        <v>1364</v>
      </c>
      <c r="I311" s="73" t="s">
        <v>893</v>
      </c>
      <c r="J311" s="73" t="s">
        <v>901</v>
      </c>
      <c r="K311" s="73" t="s">
        <v>895</v>
      </c>
      <c r="L311" s="103" t="n">
        <v>0</v>
      </c>
    </row>
    <row r="312" customFormat="false" ht="15" hidden="false" customHeight="true" outlineLevel="0" collapsed="false">
      <c r="A312" s="73" t="s">
        <v>1365</v>
      </c>
      <c r="B312" s="73" t="s">
        <v>846</v>
      </c>
      <c r="C312" s="73" t="s">
        <v>653</v>
      </c>
      <c r="D312" s="73" t="s">
        <v>891</v>
      </c>
      <c r="E312" s="73" t="s">
        <v>705</v>
      </c>
      <c r="F312" s="73" t="s">
        <v>733</v>
      </c>
      <c r="G312" s="73" t="s">
        <v>103</v>
      </c>
      <c r="H312" s="73" t="s">
        <v>1366</v>
      </c>
      <c r="I312" s="73" t="s">
        <v>893</v>
      </c>
      <c r="J312" s="73" t="s">
        <v>904</v>
      </c>
      <c r="K312" s="73" t="s">
        <v>895</v>
      </c>
      <c r="L312" s="103" t="n">
        <v>0</v>
      </c>
    </row>
    <row r="313" customFormat="false" ht="15" hidden="false" customHeight="true" outlineLevel="0" collapsed="false">
      <c r="A313" s="73" t="s">
        <v>1367</v>
      </c>
      <c r="B313" s="73" t="s">
        <v>846</v>
      </c>
      <c r="C313" s="73" t="s">
        <v>653</v>
      </c>
      <c r="D313" s="73" t="s">
        <v>891</v>
      </c>
      <c r="E313" s="73" t="s">
        <v>705</v>
      </c>
      <c r="F313" s="73" t="s">
        <v>733</v>
      </c>
      <c r="G313" s="73" t="s">
        <v>105</v>
      </c>
      <c r="H313" s="73" t="s">
        <v>1368</v>
      </c>
      <c r="I313" s="73" t="s">
        <v>893</v>
      </c>
      <c r="J313" s="73" t="s">
        <v>907</v>
      </c>
      <c r="K313" s="73" t="s">
        <v>895</v>
      </c>
      <c r="L313" s="103" t="n">
        <v>0</v>
      </c>
    </row>
    <row r="314" customFormat="false" ht="15" hidden="false" customHeight="true" outlineLevel="0" collapsed="false">
      <c r="A314" s="73" t="s">
        <v>1369</v>
      </c>
      <c r="B314" s="73" t="s">
        <v>846</v>
      </c>
      <c r="C314" s="73" t="s">
        <v>653</v>
      </c>
      <c r="D314" s="73" t="s">
        <v>891</v>
      </c>
      <c r="E314" s="73" t="s">
        <v>705</v>
      </c>
      <c r="F314" s="73" t="s">
        <v>733</v>
      </c>
      <c r="G314" s="73" t="s">
        <v>107</v>
      </c>
      <c r="H314" s="73" t="s">
        <v>1370</v>
      </c>
      <c r="I314" s="73" t="s">
        <v>893</v>
      </c>
      <c r="J314" s="73" t="s">
        <v>910</v>
      </c>
      <c r="K314" s="73" t="s">
        <v>895</v>
      </c>
      <c r="L314" s="103" t="n">
        <v>0</v>
      </c>
    </row>
    <row r="315" customFormat="false" ht="15" hidden="false" customHeight="true" outlineLevel="0" collapsed="false">
      <c r="A315" s="73" t="s">
        <v>1371</v>
      </c>
      <c r="B315" s="73" t="s">
        <v>846</v>
      </c>
      <c r="C315" s="73" t="s">
        <v>653</v>
      </c>
      <c r="D315" s="73" t="s">
        <v>891</v>
      </c>
      <c r="E315" s="73" t="s">
        <v>705</v>
      </c>
      <c r="F315" s="73" t="s">
        <v>733</v>
      </c>
      <c r="G315" s="73" t="s">
        <v>109</v>
      </c>
      <c r="H315" s="73" t="s">
        <v>1372</v>
      </c>
      <c r="I315" s="73" t="s">
        <v>893</v>
      </c>
      <c r="J315" s="73" t="s">
        <v>913</v>
      </c>
      <c r="K315" s="73" t="s">
        <v>895</v>
      </c>
      <c r="L315" s="103" t="n">
        <v>0</v>
      </c>
    </row>
    <row r="316" customFormat="false" ht="15" hidden="false" customHeight="true" outlineLevel="0" collapsed="false">
      <c r="A316" s="73" t="s">
        <v>1373</v>
      </c>
      <c r="B316" s="73" t="s">
        <v>846</v>
      </c>
      <c r="C316" s="73" t="s">
        <v>653</v>
      </c>
      <c r="D316" s="73" t="s">
        <v>891</v>
      </c>
      <c r="E316" s="73" t="s">
        <v>705</v>
      </c>
      <c r="F316" s="73" t="s">
        <v>733</v>
      </c>
      <c r="G316" s="73" t="s">
        <v>111</v>
      </c>
      <c r="H316" s="73" t="s">
        <v>1374</v>
      </c>
      <c r="I316" s="73" t="s">
        <v>893</v>
      </c>
      <c r="J316" s="73" t="s">
        <v>916</v>
      </c>
      <c r="K316" s="73" t="s">
        <v>895</v>
      </c>
      <c r="L316" s="103" t="n">
        <v>0</v>
      </c>
    </row>
    <row r="317" customFormat="false" ht="15" hidden="false" customHeight="true" outlineLevel="0" collapsed="false">
      <c r="A317" s="73" t="s">
        <v>1375</v>
      </c>
      <c r="B317" s="73" t="s">
        <v>846</v>
      </c>
      <c r="C317" s="73" t="s">
        <v>653</v>
      </c>
      <c r="D317" s="73" t="s">
        <v>918</v>
      </c>
      <c r="E317" s="73" t="s">
        <v>705</v>
      </c>
      <c r="F317" s="73" t="s">
        <v>733</v>
      </c>
      <c r="G317" s="73" t="s">
        <v>96</v>
      </c>
      <c r="H317" s="73" t="s">
        <v>1376</v>
      </c>
      <c r="I317" s="73" t="s">
        <v>893</v>
      </c>
      <c r="J317" s="73" t="s">
        <v>920</v>
      </c>
      <c r="K317" s="73" t="s">
        <v>895</v>
      </c>
      <c r="L317" s="103" t="n">
        <v>0</v>
      </c>
    </row>
    <row r="318" customFormat="false" ht="15" hidden="false" customHeight="true" outlineLevel="0" collapsed="false">
      <c r="A318" s="73" t="s">
        <v>1377</v>
      </c>
      <c r="B318" s="73" t="s">
        <v>846</v>
      </c>
      <c r="C318" s="73" t="s">
        <v>653</v>
      </c>
      <c r="D318" s="73" t="s">
        <v>918</v>
      </c>
      <c r="E318" s="73" t="s">
        <v>705</v>
      </c>
      <c r="F318" s="73" t="s">
        <v>733</v>
      </c>
      <c r="G318" s="73" t="s">
        <v>99</v>
      </c>
      <c r="H318" s="73" t="s">
        <v>1378</v>
      </c>
      <c r="I318" s="73" t="s">
        <v>893</v>
      </c>
      <c r="J318" s="73" t="s">
        <v>923</v>
      </c>
      <c r="K318" s="73" t="s">
        <v>895</v>
      </c>
      <c r="L318" s="103" t="n">
        <v>0</v>
      </c>
    </row>
    <row r="319" customFormat="false" ht="15" hidden="false" customHeight="true" outlineLevel="0" collapsed="false">
      <c r="A319" s="73" t="s">
        <v>1379</v>
      </c>
      <c r="B319" s="73" t="s">
        <v>846</v>
      </c>
      <c r="C319" s="73" t="s">
        <v>653</v>
      </c>
      <c r="D319" s="73" t="s">
        <v>918</v>
      </c>
      <c r="E319" s="73" t="s">
        <v>705</v>
      </c>
      <c r="F319" s="73" t="s">
        <v>733</v>
      </c>
      <c r="G319" s="73" t="s">
        <v>101</v>
      </c>
      <c r="H319" s="73" t="s">
        <v>1380</v>
      </c>
      <c r="I319" s="73" t="s">
        <v>893</v>
      </c>
      <c r="J319" s="73" t="s">
        <v>926</v>
      </c>
      <c r="K319" s="73" t="s">
        <v>895</v>
      </c>
      <c r="L319" s="103" t="n">
        <v>0</v>
      </c>
    </row>
    <row r="320" customFormat="false" ht="15" hidden="false" customHeight="true" outlineLevel="0" collapsed="false">
      <c r="A320" s="73" t="s">
        <v>1381</v>
      </c>
      <c r="B320" s="73" t="s">
        <v>846</v>
      </c>
      <c r="C320" s="73" t="s">
        <v>653</v>
      </c>
      <c r="D320" s="73" t="s">
        <v>918</v>
      </c>
      <c r="E320" s="73" t="s">
        <v>705</v>
      </c>
      <c r="F320" s="73" t="s">
        <v>733</v>
      </c>
      <c r="G320" s="73" t="s">
        <v>103</v>
      </c>
      <c r="H320" s="73" t="s">
        <v>1382</v>
      </c>
      <c r="I320" s="73" t="s">
        <v>893</v>
      </c>
      <c r="J320" s="73" t="s">
        <v>929</v>
      </c>
      <c r="K320" s="73" t="s">
        <v>895</v>
      </c>
      <c r="L320" s="103" t="n">
        <v>0</v>
      </c>
    </row>
    <row r="321" customFormat="false" ht="15" hidden="false" customHeight="true" outlineLevel="0" collapsed="false">
      <c r="A321" s="73" t="s">
        <v>1383</v>
      </c>
      <c r="B321" s="73" t="s">
        <v>846</v>
      </c>
      <c r="C321" s="73" t="s">
        <v>653</v>
      </c>
      <c r="D321" s="73" t="s">
        <v>918</v>
      </c>
      <c r="E321" s="73" t="s">
        <v>705</v>
      </c>
      <c r="F321" s="73" t="s">
        <v>733</v>
      </c>
      <c r="G321" s="73" t="s">
        <v>105</v>
      </c>
      <c r="H321" s="73" t="s">
        <v>1384</v>
      </c>
      <c r="I321" s="73" t="s">
        <v>893</v>
      </c>
      <c r="J321" s="73" t="s">
        <v>932</v>
      </c>
      <c r="K321" s="73" t="s">
        <v>895</v>
      </c>
      <c r="L321" s="103" t="n">
        <v>0</v>
      </c>
    </row>
    <row r="322" customFormat="false" ht="15" hidden="false" customHeight="true" outlineLevel="0" collapsed="false">
      <c r="A322" s="73" t="s">
        <v>1385</v>
      </c>
      <c r="B322" s="73" t="s">
        <v>846</v>
      </c>
      <c r="C322" s="73" t="s">
        <v>653</v>
      </c>
      <c r="D322" s="73" t="s">
        <v>918</v>
      </c>
      <c r="E322" s="73" t="s">
        <v>705</v>
      </c>
      <c r="F322" s="73" t="s">
        <v>733</v>
      </c>
      <c r="G322" s="73" t="s">
        <v>107</v>
      </c>
      <c r="H322" s="73" t="s">
        <v>1386</v>
      </c>
      <c r="I322" s="73" t="s">
        <v>893</v>
      </c>
      <c r="J322" s="73" t="s">
        <v>935</v>
      </c>
      <c r="K322" s="73" t="s">
        <v>895</v>
      </c>
      <c r="L322" s="103" t="n">
        <v>0</v>
      </c>
    </row>
    <row r="323" customFormat="false" ht="15" hidden="false" customHeight="true" outlineLevel="0" collapsed="false">
      <c r="A323" s="73" t="s">
        <v>1387</v>
      </c>
      <c r="B323" s="73" t="s">
        <v>846</v>
      </c>
      <c r="C323" s="73" t="s">
        <v>653</v>
      </c>
      <c r="D323" s="73" t="s">
        <v>918</v>
      </c>
      <c r="E323" s="73" t="s">
        <v>705</v>
      </c>
      <c r="F323" s="73" t="s">
        <v>733</v>
      </c>
      <c r="G323" s="73" t="s">
        <v>109</v>
      </c>
      <c r="H323" s="73" t="s">
        <v>1388</v>
      </c>
      <c r="I323" s="73" t="s">
        <v>893</v>
      </c>
      <c r="J323" s="73" t="s">
        <v>938</v>
      </c>
      <c r="K323" s="73" t="s">
        <v>895</v>
      </c>
      <c r="L323" s="103" t="n">
        <v>0</v>
      </c>
    </row>
    <row r="324" customFormat="false" ht="15" hidden="false" customHeight="true" outlineLevel="0" collapsed="false">
      <c r="A324" s="73" t="s">
        <v>1389</v>
      </c>
      <c r="B324" s="73" t="s">
        <v>846</v>
      </c>
      <c r="C324" s="73" t="s">
        <v>653</v>
      </c>
      <c r="D324" s="73" t="s">
        <v>918</v>
      </c>
      <c r="E324" s="73" t="s">
        <v>705</v>
      </c>
      <c r="F324" s="73" t="s">
        <v>733</v>
      </c>
      <c r="G324" s="73" t="s">
        <v>111</v>
      </c>
      <c r="H324" s="73" t="s">
        <v>1390</v>
      </c>
      <c r="I324" s="73" t="s">
        <v>893</v>
      </c>
      <c r="J324" s="73" t="s">
        <v>941</v>
      </c>
      <c r="K324" s="73" t="s">
        <v>895</v>
      </c>
      <c r="L324" s="103" t="n">
        <v>0</v>
      </c>
    </row>
    <row r="325" customFormat="false" ht="15" hidden="false" customHeight="true" outlineLevel="0" collapsed="false">
      <c r="A325" s="73" t="s">
        <v>1391</v>
      </c>
      <c r="B325" s="73" t="s">
        <v>846</v>
      </c>
      <c r="C325" s="73" t="s">
        <v>653</v>
      </c>
      <c r="D325" s="73" t="s">
        <v>943</v>
      </c>
      <c r="E325" s="73" t="s">
        <v>705</v>
      </c>
      <c r="F325" s="73" t="s">
        <v>733</v>
      </c>
      <c r="G325" s="73" t="s">
        <v>944</v>
      </c>
      <c r="H325" s="73" t="s">
        <v>1392</v>
      </c>
      <c r="I325" s="73" t="s">
        <v>893</v>
      </c>
      <c r="J325" s="73" t="s">
        <v>946</v>
      </c>
      <c r="K325" s="73"/>
      <c r="L325" s="103" t="n">
        <v>4.5</v>
      </c>
    </row>
    <row r="326" customFormat="false" ht="15" hidden="false" customHeight="true" outlineLevel="0" collapsed="false">
      <c r="A326" s="73" t="s">
        <v>1393</v>
      </c>
      <c r="B326" s="73" t="s">
        <v>846</v>
      </c>
      <c r="C326" s="73" t="s">
        <v>653</v>
      </c>
      <c r="D326" s="73" t="s">
        <v>948</v>
      </c>
      <c r="E326" s="73" t="s">
        <v>705</v>
      </c>
      <c r="F326" s="73" t="s">
        <v>733</v>
      </c>
      <c r="G326" s="73" t="s">
        <v>655</v>
      </c>
      <c r="H326" s="73" t="s">
        <v>1394</v>
      </c>
      <c r="I326" s="73" t="s">
        <v>708</v>
      </c>
      <c r="J326" s="73" t="s">
        <v>950</v>
      </c>
      <c r="K326" s="73" t="s">
        <v>951</v>
      </c>
      <c r="L326" s="103" t="n">
        <v>0</v>
      </c>
    </row>
    <row r="327" customFormat="false" ht="15" hidden="false" customHeight="true" outlineLevel="0" collapsed="false">
      <c r="A327" s="73" t="s">
        <v>1395</v>
      </c>
      <c r="B327" s="73" t="s">
        <v>846</v>
      </c>
      <c r="C327" s="73" t="s">
        <v>653</v>
      </c>
      <c r="D327" s="73" t="s">
        <v>953</v>
      </c>
      <c r="E327" s="73" t="s">
        <v>705</v>
      </c>
      <c r="F327" s="73" t="s">
        <v>733</v>
      </c>
      <c r="G327" s="73" t="s">
        <v>655</v>
      </c>
      <c r="H327" s="73" t="s">
        <v>1396</v>
      </c>
      <c r="I327" s="73" t="s">
        <v>955</v>
      </c>
      <c r="J327" s="73" t="s">
        <v>956</v>
      </c>
      <c r="K327" s="73" t="s">
        <v>951</v>
      </c>
      <c r="L327" s="103" t="n">
        <v>0</v>
      </c>
    </row>
    <row r="328" customFormat="false" ht="15" hidden="false" customHeight="true" outlineLevel="0" collapsed="false">
      <c r="A328" s="73" t="s">
        <v>1397</v>
      </c>
      <c r="B328" s="73" t="s">
        <v>846</v>
      </c>
      <c r="C328" s="73" t="s">
        <v>653</v>
      </c>
      <c r="D328" s="73" t="s">
        <v>867</v>
      </c>
      <c r="E328" s="73" t="s">
        <v>705</v>
      </c>
      <c r="F328" s="73" t="s">
        <v>744</v>
      </c>
      <c r="G328" s="73" t="s">
        <v>655</v>
      </c>
      <c r="H328" s="73" t="s">
        <v>1398</v>
      </c>
      <c r="I328" s="73" t="s">
        <v>869</v>
      </c>
      <c r="J328" s="73" t="s">
        <v>1008</v>
      </c>
      <c r="K328" s="73" t="s">
        <v>871</v>
      </c>
      <c r="L328" s="107" t="n">
        <v>0</v>
      </c>
    </row>
    <row r="329" customFormat="false" ht="15" hidden="false" customHeight="true" outlineLevel="0" collapsed="false">
      <c r="A329" s="73" t="s">
        <v>1399</v>
      </c>
      <c r="B329" s="73" t="s">
        <v>846</v>
      </c>
      <c r="C329" s="73" t="s">
        <v>653</v>
      </c>
      <c r="D329" s="73" t="s">
        <v>873</v>
      </c>
      <c r="E329" s="73" t="s">
        <v>705</v>
      </c>
      <c r="F329" s="73" t="s">
        <v>744</v>
      </c>
      <c r="G329" s="73" t="s">
        <v>655</v>
      </c>
      <c r="H329" s="73" t="s">
        <v>1400</v>
      </c>
      <c r="I329" s="73" t="s">
        <v>875</v>
      </c>
      <c r="J329" s="73" t="s">
        <v>876</v>
      </c>
      <c r="K329" s="73"/>
      <c r="L329" s="104" t="n">
        <v>1</v>
      </c>
    </row>
    <row r="330" customFormat="false" ht="15" hidden="false" customHeight="true" outlineLevel="0" collapsed="false">
      <c r="A330" s="73" t="s">
        <v>1401</v>
      </c>
      <c r="B330" s="73" t="s">
        <v>846</v>
      </c>
      <c r="C330" s="73" t="s">
        <v>653</v>
      </c>
      <c r="D330" s="73" t="s">
        <v>878</v>
      </c>
      <c r="E330" s="73" t="s">
        <v>705</v>
      </c>
      <c r="F330" s="73" t="s">
        <v>744</v>
      </c>
      <c r="G330" s="73" t="s">
        <v>655</v>
      </c>
      <c r="H330" s="73" t="s">
        <v>1402</v>
      </c>
      <c r="I330" s="73" t="s">
        <v>880</v>
      </c>
      <c r="J330" s="73" t="s">
        <v>881</v>
      </c>
      <c r="K330" s="73"/>
      <c r="L330" s="104" t="n">
        <v>0.2</v>
      </c>
    </row>
    <row r="331" customFormat="false" ht="15" hidden="false" customHeight="true" outlineLevel="0" collapsed="false">
      <c r="A331" s="73" t="s">
        <v>1403</v>
      </c>
      <c r="B331" s="73" t="s">
        <v>846</v>
      </c>
      <c r="C331" s="73" t="s">
        <v>653</v>
      </c>
      <c r="D331" s="73" t="s">
        <v>883</v>
      </c>
      <c r="E331" s="73" t="s">
        <v>705</v>
      </c>
      <c r="F331" s="73" t="s">
        <v>744</v>
      </c>
      <c r="G331" s="73" t="s">
        <v>655</v>
      </c>
      <c r="H331" s="73" t="s">
        <v>1404</v>
      </c>
      <c r="I331" s="73" t="s">
        <v>880</v>
      </c>
      <c r="J331" s="73" t="s">
        <v>885</v>
      </c>
      <c r="K331" s="73"/>
      <c r="L331" s="104" t="n">
        <v>0.1</v>
      </c>
    </row>
    <row r="332" customFormat="false" ht="15" hidden="false" customHeight="true" outlineLevel="0" collapsed="false">
      <c r="A332" s="73" t="s">
        <v>1405</v>
      </c>
      <c r="B332" s="73" t="s">
        <v>846</v>
      </c>
      <c r="C332" s="73" t="s">
        <v>653</v>
      </c>
      <c r="D332" s="73" t="s">
        <v>887</v>
      </c>
      <c r="E332" s="73" t="s">
        <v>705</v>
      </c>
      <c r="F332" s="73" t="s">
        <v>744</v>
      </c>
      <c r="G332" s="73" t="s">
        <v>655</v>
      </c>
      <c r="H332" s="73" t="s">
        <v>1406</v>
      </c>
      <c r="I332" s="73" t="s">
        <v>880</v>
      </c>
      <c r="J332" s="73" t="s">
        <v>889</v>
      </c>
      <c r="K332" s="73"/>
      <c r="L332" s="104" t="n">
        <v>0.05</v>
      </c>
    </row>
    <row r="333" customFormat="false" ht="15" hidden="false" customHeight="true" outlineLevel="0" collapsed="false">
      <c r="A333" s="73" t="s">
        <v>1407</v>
      </c>
      <c r="B333" s="73" t="s">
        <v>846</v>
      </c>
      <c r="C333" s="73" t="s">
        <v>653</v>
      </c>
      <c r="D333" s="73" t="s">
        <v>891</v>
      </c>
      <c r="E333" s="73" t="s">
        <v>705</v>
      </c>
      <c r="F333" s="73" t="s">
        <v>744</v>
      </c>
      <c r="G333" s="73" t="s">
        <v>96</v>
      </c>
      <c r="H333" s="73" t="s">
        <v>1408</v>
      </c>
      <c r="I333" s="73" t="s">
        <v>893</v>
      </c>
      <c r="J333" s="73" t="s">
        <v>894</v>
      </c>
      <c r="K333" s="73" t="s">
        <v>895</v>
      </c>
      <c r="L333" s="103" t="n">
        <v>4</v>
      </c>
    </row>
    <row r="334" customFormat="false" ht="15" hidden="false" customHeight="true" outlineLevel="0" collapsed="false">
      <c r="A334" s="73" t="s">
        <v>1409</v>
      </c>
      <c r="B334" s="73" t="s">
        <v>846</v>
      </c>
      <c r="C334" s="73" t="s">
        <v>653</v>
      </c>
      <c r="D334" s="73" t="s">
        <v>891</v>
      </c>
      <c r="E334" s="73" t="s">
        <v>705</v>
      </c>
      <c r="F334" s="73" t="s">
        <v>744</v>
      </c>
      <c r="G334" s="73" t="s">
        <v>99</v>
      </c>
      <c r="H334" s="73" t="s">
        <v>1410</v>
      </c>
      <c r="I334" s="73" t="s">
        <v>893</v>
      </c>
      <c r="J334" s="73" t="s">
        <v>898</v>
      </c>
      <c r="K334" s="73" t="s">
        <v>895</v>
      </c>
      <c r="L334" s="103" t="n">
        <v>0.5</v>
      </c>
    </row>
    <row r="335" customFormat="false" ht="15" hidden="false" customHeight="true" outlineLevel="0" collapsed="false">
      <c r="A335" s="73" t="s">
        <v>1411</v>
      </c>
      <c r="B335" s="73" t="s">
        <v>846</v>
      </c>
      <c r="C335" s="73" t="s">
        <v>653</v>
      </c>
      <c r="D335" s="73" t="s">
        <v>891</v>
      </c>
      <c r="E335" s="73" t="s">
        <v>705</v>
      </c>
      <c r="F335" s="73" t="s">
        <v>744</v>
      </c>
      <c r="G335" s="73" t="s">
        <v>101</v>
      </c>
      <c r="H335" s="73" t="s">
        <v>1412</v>
      </c>
      <c r="I335" s="73" t="s">
        <v>893</v>
      </c>
      <c r="J335" s="73" t="s">
        <v>901</v>
      </c>
      <c r="K335" s="73" t="s">
        <v>895</v>
      </c>
      <c r="L335" s="103" t="n">
        <v>0</v>
      </c>
    </row>
    <row r="336" customFormat="false" ht="15" hidden="false" customHeight="true" outlineLevel="0" collapsed="false">
      <c r="A336" s="73" t="s">
        <v>1413</v>
      </c>
      <c r="B336" s="73" t="s">
        <v>846</v>
      </c>
      <c r="C336" s="73" t="s">
        <v>653</v>
      </c>
      <c r="D336" s="73" t="s">
        <v>891</v>
      </c>
      <c r="E336" s="73" t="s">
        <v>705</v>
      </c>
      <c r="F336" s="73" t="s">
        <v>744</v>
      </c>
      <c r="G336" s="73" t="s">
        <v>103</v>
      </c>
      <c r="H336" s="73" t="s">
        <v>1414</v>
      </c>
      <c r="I336" s="73" t="s">
        <v>893</v>
      </c>
      <c r="J336" s="73" t="s">
        <v>904</v>
      </c>
      <c r="K336" s="73" t="s">
        <v>895</v>
      </c>
      <c r="L336" s="103" t="n">
        <v>0</v>
      </c>
    </row>
    <row r="337" customFormat="false" ht="15" hidden="false" customHeight="true" outlineLevel="0" collapsed="false">
      <c r="A337" s="73" t="s">
        <v>1415</v>
      </c>
      <c r="B337" s="73" t="s">
        <v>846</v>
      </c>
      <c r="C337" s="73" t="s">
        <v>653</v>
      </c>
      <c r="D337" s="73" t="s">
        <v>891</v>
      </c>
      <c r="E337" s="73" t="s">
        <v>705</v>
      </c>
      <c r="F337" s="73" t="s">
        <v>744</v>
      </c>
      <c r="G337" s="73" t="s">
        <v>105</v>
      </c>
      <c r="H337" s="73" t="s">
        <v>1416</v>
      </c>
      <c r="I337" s="73" t="s">
        <v>893</v>
      </c>
      <c r="J337" s="73" t="s">
        <v>907</v>
      </c>
      <c r="K337" s="73" t="s">
        <v>895</v>
      </c>
      <c r="L337" s="103" t="n">
        <v>0</v>
      </c>
    </row>
    <row r="338" customFormat="false" ht="15" hidden="false" customHeight="true" outlineLevel="0" collapsed="false">
      <c r="A338" s="73" t="s">
        <v>1417</v>
      </c>
      <c r="B338" s="73" t="s">
        <v>846</v>
      </c>
      <c r="C338" s="73" t="s">
        <v>653</v>
      </c>
      <c r="D338" s="73" t="s">
        <v>891</v>
      </c>
      <c r="E338" s="73" t="s">
        <v>705</v>
      </c>
      <c r="F338" s="73" t="s">
        <v>744</v>
      </c>
      <c r="G338" s="73" t="s">
        <v>107</v>
      </c>
      <c r="H338" s="73" t="s">
        <v>1418</v>
      </c>
      <c r="I338" s="73" t="s">
        <v>893</v>
      </c>
      <c r="J338" s="73" t="s">
        <v>910</v>
      </c>
      <c r="K338" s="73" t="s">
        <v>895</v>
      </c>
      <c r="L338" s="103" t="n">
        <v>0</v>
      </c>
    </row>
    <row r="339" customFormat="false" ht="15" hidden="false" customHeight="true" outlineLevel="0" collapsed="false">
      <c r="A339" s="73" t="s">
        <v>1419</v>
      </c>
      <c r="B339" s="73" t="s">
        <v>846</v>
      </c>
      <c r="C339" s="73" t="s">
        <v>653</v>
      </c>
      <c r="D339" s="73" t="s">
        <v>891</v>
      </c>
      <c r="E339" s="73" t="s">
        <v>705</v>
      </c>
      <c r="F339" s="73" t="s">
        <v>744</v>
      </c>
      <c r="G339" s="73" t="s">
        <v>109</v>
      </c>
      <c r="H339" s="73" t="s">
        <v>1420</v>
      </c>
      <c r="I339" s="73" t="s">
        <v>893</v>
      </c>
      <c r="J339" s="73" t="s">
        <v>913</v>
      </c>
      <c r="K339" s="73" t="s">
        <v>895</v>
      </c>
      <c r="L339" s="103" t="n">
        <v>0</v>
      </c>
    </row>
    <row r="340" customFormat="false" ht="15" hidden="false" customHeight="true" outlineLevel="0" collapsed="false">
      <c r="A340" s="73" t="s">
        <v>1421</v>
      </c>
      <c r="B340" s="73" t="s">
        <v>846</v>
      </c>
      <c r="C340" s="73" t="s">
        <v>653</v>
      </c>
      <c r="D340" s="73" t="s">
        <v>891</v>
      </c>
      <c r="E340" s="73" t="s">
        <v>705</v>
      </c>
      <c r="F340" s="73" t="s">
        <v>744</v>
      </c>
      <c r="G340" s="73" t="s">
        <v>111</v>
      </c>
      <c r="H340" s="73" t="s">
        <v>1422</v>
      </c>
      <c r="I340" s="73" t="s">
        <v>893</v>
      </c>
      <c r="J340" s="73" t="s">
        <v>916</v>
      </c>
      <c r="K340" s="73" t="s">
        <v>895</v>
      </c>
      <c r="L340" s="103" t="n">
        <v>0</v>
      </c>
    </row>
    <row r="341" customFormat="false" ht="15" hidden="false" customHeight="true" outlineLevel="0" collapsed="false">
      <c r="A341" s="73" t="s">
        <v>1423</v>
      </c>
      <c r="B341" s="73" t="s">
        <v>846</v>
      </c>
      <c r="C341" s="73" t="s">
        <v>653</v>
      </c>
      <c r="D341" s="73" t="s">
        <v>918</v>
      </c>
      <c r="E341" s="73" t="s">
        <v>705</v>
      </c>
      <c r="F341" s="73" t="s">
        <v>744</v>
      </c>
      <c r="G341" s="73" t="s">
        <v>96</v>
      </c>
      <c r="H341" s="73" t="s">
        <v>1424</v>
      </c>
      <c r="I341" s="73" t="s">
        <v>893</v>
      </c>
      <c r="J341" s="73" t="s">
        <v>920</v>
      </c>
      <c r="K341" s="73" t="s">
        <v>895</v>
      </c>
      <c r="L341" s="103" t="n">
        <v>16</v>
      </c>
    </row>
    <row r="342" customFormat="false" ht="15" hidden="false" customHeight="true" outlineLevel="0" collapsed="false">
      <c r="A342" s="73" t="s">
        <v>1425</v>
      </c>
      <c r="B342" s="73" t="s">
        <v>846</v>
      </c>
      <c r="C342" s="73" t="s">
        <v>653</v>
      </c>
      <c r="D342" s="73" t="s">
        <v>918</v>
      </c>
      <c r="E342" s="73" t="s">
        <v>705</v>
      </c>
      <c r="F342" s="73" t="s">
        <v>744</v>
      </c>
      <c r="G342" s="73" t="s">
        <v>99</v>
      </c>
      <c r="H342" s="73" t="s">
        <v>1426</v>
      </c>
      <c r="I342" s="73" t="s">
        <v>893</v>
      </c>
      <c r="J342" s="73" t="s">
        <v>923</v>
      </c>
      <c r="K342" s="73" t="s">
        <v>895</v>
      </c>
      <c r="L342" s="103" t="n">
        <v>0</v>
      </c>
    </row>
    <row r="343" customFormat="false" ht="15" hidden="false" customHeight="true" outlineLevel="0" collapsed="false">
      <c r="A343" s="73" t="s">
        <v>1427</v>
      </c>
      <c r="B343" s="73" t="s">
        <v>846</v>
      </c>
      <c r="C343" s="73" t="s">
        <v>653</v>
      </c>
      <c r="D343" s="73" t="s">
        <v>918</v>
      </c>
      <c r="E343" s="73" t="s">
        <v>705</v>
      </c>
      <c r="F343" s="73" t="s">
        <v>744</v>
      </c>
      <c r="G343" s="73" t="s">
        <v>101</v>
      </c>
      <c r="H343" s="73" t="s">
        <v>1428</v>
      </c>
      <c r="I343" s="73" t="s">
        <v>893</v>
      </c>
      <c r="J343" s="73" t="s">
        <v>926</v>
      </c>
      <c r="K343" s="73" t="s">
        <v>895</v>
      </c>
      <c r="L343" s="103" t="n">
        <v>0</v>
      </c>
    </row>
    <row r="344" customFormat="false" ht="15" hidden="false" customHeight="true" outlineLevel="0" collapsed="false">
      <c r="A344" s="73" t="s">
        <v>1429</v>
      </c>
      <c r="B344" s="73" t="s">
        <v>846</v>
      </c>
      <c r="C344" s="73" t="s">
        <v>653</v>
      </c>
      <c r="D344" s="73" t="s">
        <v>918</v>
      </c>
      <c r="E344" s="73" t="s">
        <v>705</v>
      </c>
      <c r="F344" s="73" t="s">
        <v>744</v>
      </c>
      <c r="G344" s="73" t="s">
        <v>103</v>
      </c>
      <c r="H344" s="73" t="s">
        <v>1430</v>
      </c>
      <c r="I344" s="73" t="s">
        <v>893</v>
      </c>
      <c r="J344" s="73" t="s">
        <v>929</v>
      </c>
      <c r="K344" s="73" t="s">
        <v>895</v>
      </c>
      <c r="L344" s="103" t="n">
        <v>0</v>
      </c>
    </row>
    <row r="345" customFormat="false" ht="15" hidden="false" customHeight="true" outlineLevel="0" collapsed="false">
      <c r="A345" s="73" t="s">
        <v>1431</v>
      </c>
      <c r="B345" s="73" t="s">
        <v>846</v>
      </c>
      <c r="C345" s="73" t="s">
        <v>653</v>
      </c>
      <c r="D345" s="73" t="s">
        <v>918</v>
      </c>
      <c r="E345" s="73" t="s">
        <v>705</v>
      </c>
      <c r="F345" s="73" t="s">
        <v>744</v>
      </c>
      <c r="G345" s="73" t="s">
        <v>105</v>
      </c>
      <c r="H345" s="73" t="s">
        <v>1432</v>
      </c>
      <c r="I345" s="73" t="s">
        <v>893</v>
      </c>
      <c r="J345" s="73" t="s">
        <v>932</v>
      </c>
      <c r="K345" s="73" t="s">
        <v>895</v>
      </c>
      <c r="L345" s="103" t="n">
        <v>0</v>
      </c>
    </row>
    <row r="346" customFormat="false" ht="15" hidden="false" customHeight="true" outlineLevel="0" collapsed="false">
      <c r="A346" s="73" t="s">
        <v>1433</v>
      </c>
      <c r="B346" s="73" t="s">
        <v>846</v>
      </c>
      <c r="C346" s="73" t="s">
        <v>653</v>
      </c>
      <c r="D346" s="73" t="s">
        <v>918</v>
      </c>
      <c r="E346" s="73" t="s">
        <v>705</v>
      </c>
      <c r="F346" s="73" t="s">
        <v>744</v>
      </c>
      <c r="G346" s="73" t="s">
        <v>107</v>
      </c>
      <c r="H346" s="73" t="s">
        <v>1434</v>
      </c>
      <c r="I346" s="73" t="s">
        <v>893</v>
      </c>
      <c r="J346" s="73" t="s">
        <v>935</v>
      </c>
      <c r="K346" s="73" t="s">
        <v>895</v>
      </c>
      <c r="L346" s="103" t="n">
        <v>0</v>
      </c>
    </row>
    <row r="347" customFormat="false" ht="15" hidden="false" customHeight="true" outlineLevel="0" collapsed="false">
      <c r="A347" s="73" t="s">
        <v>1435</v>
      </c>
      <c r="B347" s="73" t="s">
        <v>846</v>
      </c>
      <c r="C347" s="73" t="s">
        <v>653</v>
      </c>
      <c r="D347" s="73" t="s">
        <v>918</v>
      </c>
      <c r="E347" s="73" t="s">
        <v>705</v>
      </c>
      <c r="F347" s="73" t="s">
        <v>744</v>
      </c>
      <c r="G347" s="73" t="s">
        <v>109</v>
      </c>
      <c r="H347" s="73" t="s">
        <v>1436</v>
      </c>
      <c r="I347" s="73" t="s">
        <v>893</v>
      </c>
      <c r="J347" s="73" t="s">
        <v>938</v>
      </c>
      <c r="K347" s="73" t="s">
        <v>895</v>
      </c>
      <c r="L347" s="103" t="n">
        <v>0</v>
      </c>
    </row>
    <row r="348" customFormat="false" ht="15" hidden="false" customHeight="true" outlineLevel="0" collapsed="false">
      <c r="A348" s="73" t="s">
        <v>1437</v>
      </c>
      <c r="B348" s="73" t="s">
        <v>846</v>
      </c>
      <c r="C348" s="73" t="s">
        <v>653</v>
      </c>
      <c r="D348" s="73" t="s">
        <v>918</v>
      </c>
      <c r="E348" s="73" t="s">
        <v>705</v>
      </c>
      <c r="F348" s="73" t="s">
        <v>744</v>
      </c>
      <c r="G348" s="73" t="s">
        <v>111</v>
      </c>
      <c r="H348" s="73" t="s">
        <v>1438</v>
      </c>
      <c r="I348" s="73" t="s">
        <v>893</v>
      </c>
      <c r="J348" s="73" t="s">
        <v>941</v>
      </c>
      <c r="K348" s="73" t="s">
        <v>895</v>
      </c>
      <c r="L348" s="103" t="n">
        <v>0</v>
      </c>
    </row>
    <row r="349" customFormat="false" ht="15" hidden="false" customHeight="true" outlineLevel="0" collapsed="false">
      <c r="A349" s="73" t="s">
        <v>1439</v>
      </c>
      <c r="B349" s="73" t="s">
        <v>846</v>
      </c>
      <c r="C349" s="73" t="s">
        <v>653</v>
      </c>
      <c r="D349" s="73" t="s">
        <v>943</v>
      </c>
      <c r="E349" s="73" t="s">
        <v>705</v>
      </c>
      <c r="F349" s="73" t="s">
        <v>744</v>
      </c>
      <c r="G349" s="73" t="s">
        <v>944</v>
      </c>
      <c r="H349" s="73" t="s">
        <v>1440</v>
      </c>
      <c r="I349" s="73" t="s">
        <v>893</v>
      </c>
      <c r="J349" s="73" t="s">
        <v>946</v>
      </c>
      <c r="K349" s="73"/>
      <c r="L349" s="103" t="n">
        <v>1.5</v>
      </c>
    </row>
    <row r="350" customFormat="false" ht="15" hidden="false" customHeight="true" outlineLevel="0" collapsed="false">
      <c r="A350" s="73" t="s">
        <v>1441</v>
      </c>
      <c r="B350" s="73" t="s">
        <v>846</v>
      </c>
      <c r="C350" s="73" t="s">
        <v>653</v>
      </c>
      <c r="D350" s="73" t="s">
        <v>948</v>
      </c>
      <c r="E350" s="73" t="s">
        <v>705</v>
      </c>
      <c r="F350" s="73" t="s">
        <v>744</v>
      </c>
      <c r="G350" s="73" t="s">
        <v>655</v>
      </c>
      <c r="H350" s="73" t="s">
        <v>1442</v>
      </c>
      <c r="I350" s="73" t="s">
        <v>708</v>
      </c>
      <c r="J350" s="73" t="s">
        <v>950</v>
      </c>
      <c r="K350" s="73" t="s">
        <v>951</v>
      </c>
      <c r="L350" s="103" t="n">
        <v>0.2</v>
      </c>
    </row>
    <row r="351" customFormat="false" ht="15" hidden="false" customHeight="true" outlineLevel="0" collapsed="false">
      <c r="A351" s="73" t="s">
        <v>1443</v>
      </c>
      <c r="B351" s="73" t="s">
        <v>846</v>
      </c>
      <c r="C351" s="73" t="s">
        <v>653</v>
      </c>
      <c r="D351" s="73" t="s">
        <v>953</v>
      </c>
      <c r="E351" s="73" t="s">
        <v>705</v>
      </c>
      <c r="F351" s="73" t="s">
        <v>744</v>
      </c>
      <c r="G351" s="73" t="s">
        <v>655</v>
      </c>
      <c r="H351" s="73" t="s">
        <v>1444</v>
      </c>
      <c r="I351" s="73" t="s">
        <v>955</v>
      </c>
      <c r="J351" s="73" t="s">
        <v>956</v>
      </c>
      <c r="K351" s="73" t="s">
        <v>951</v>
      </c>
      <c r="L351" s="103" t="n">
        <v>0</v>
      </c>
    </row>
    <row r="352" customFormat="false" ht="15" hidden="false" customHeight="true" outlineLevel="0" collapsed="false">
      <c r="A352" s="73" t="s">
        <v>1445</v>
      </c>
      <c r="B352" s="73" t="s">
        <v>846</v>
      </c>
      <c r="C352" s="73" t="s">
        <v>653</v>
      </c>
      <c r="D352" s="73" t="s">
        <v>867</v>
      </c>
      <c r="E352" s="73" t="s">
        <v>755</v>
      </c>
      <c r="F352" s="73" t="s">
        <v>756</v>
      </c>
      <c r="G352" s="73" t="s">
        <v>655</v>
      </c>
      <c r="H352" s="73" t="s">
        <v>1446</v>
      </c>
      <c r="I352" s="73" t="s">
        <v>869</v>
      </c>
      <c r="J352" s="73" t="s">
        <v>1057</v>
      </c>
      <c r="K352" s="73" t="s">
        <v>871</v>
      </c>
      <c r="L352" s="107" t="n">
        <v>1.8</v>
      </c>
    </row>
    <row r="353" customFormat="false" ht="15" hidden="false" customHeight="true" outlineLevel="0" collapsed="false">
      <c r="A353" s="73" t="s">
        <v>1447</v>
      </c>
      <c r="B353" s="73" t="s">
        <v>846</v>
      </c>
      <c r="C353" s="73" t="s">
        <v>653</v>
      </c>
      <c r="D353" s="73" t="s">
        <v>873</v>
      </c>
      <c r="E353" s="73" t="s">
        <v>755</v>
      </c>
      <c r="F353" s="73" t="s">
        <v>756</v>
      </c>
      <c r="G353" s="73" t="s">
        <v>655</v>
      </c>
      <c r="H353" s="73" t="s">
        <v>1448</v>
      </c>
      <c r="I353" s="73" t="s">
        <v>875</v>
      </c>
      <c r="J353" s="73" t="s">
        <v>876</v>
      </c>
      <c r="K353" s="73"/>
      <c r="L353" s="104" t="n">
        <v>0.9</v>
      </c>
    </row>
    <row r="354" customFormat="false" ht="15" hidden="false" customHeight="true" outlineLevel="0" collapsed="false">
      <c r="A354" s="73" t="s">
        <v>1449</v>
      </c>
      <c r="B354" s="73" t="s">
        <v>846</v>
      </c>
      <c r="C354" s="73" t="s">
        <v>653</v>
      </c>
      <c r="D354" s="73" t="s">
        <v>878</v>
      </c>
      <c r="E354" s="73" t="s">
        <v>755</v>
      </c>
      <c r="F354" s="73" t="s">
        <v>756</v>
      </c>
      <c r="G354" s="73" t="s">
        <v>655</v>
      </c>
      <c r="H354" s="73" t="s">
        <v>1450</v>
      </c>
      <c r="I354" s="73" t="s">
        <v>880</v>
      </c>
      <c r="J354" s="73" t="s">
        <v>881</v>
      </c>
      <c r="K354" s="73"/>
      <c r="L354" s="104" t="n">
        <v>0.55</v>
      </c>
    </row>
    <row r="355" customFormat="false" ht="15" hidden="false" customHeight="true" outlineLevel="0" collapsed="false">
      <c r="A355" s="73" t="s">
        <v>1451</v>
      </c>
      <c r="B355" s="73" t="s">
        <v>846</v>
      </c>
      <c r="C355" s="73" t="s">
        <v>653</v>
      </c>
      <c r="D355" s="73" t="s">
        <v>883</v>
      </c>
      <c r="E355" s="73" t="s">
        <v>755</v>
      </c>
      <c r="F355" s="73" t="s">
        <v>756</v>
      </c>
      <c r="G355" s="73" t="s">
        <v>655</v>
      </c>
      <c r="H355" s="73" t="s">
        <v>1452</v>
      </c>
      <c r="I355" s="73" t="s">
        <v>880</v>
      </c>
      <c r="J355" s="73" t="s">
        <v>885</v>
      </c>
      <c r="K355" s="73"/>
      <c r="L355" s="104" t="n">
        <v>0.35</v>
      </c>
    </row>
    <row r="356" customFormat="false" ht="15" hidden="false" customHeight="true" outlineLevel="0" collapsed="false">
      <c r="A356" s="73" t="s">
        <v>1453</v>
      </c>
      <c r="B356" s="73" t="s">
        <v>846</v>
      </c>
      <c r="C356" s="73" t="s">
        <v>653</v>
      </c>
      <c r="D356" s="73" t="s">
        <v>887</v>
      </c>
      <c r="E356" s="73" t="s">
        <v>755</v>
      </c>
      <c r="F356" s="73" t="s">
        <v>756</v>
      </c>
      <c r="G356" s="73" t="s">
        <v>655</v>
      </c>
      <c r="H356" s="73" t="s">
        <v>1454</v>
      </c>
      <c r="I356" s="73" t="s">
        <v>880</v>
      </c>
      <c r="J356" s="73" t="s">
        <v>889</v>
      </c>
      <c r="K356" s="73"/>
      <c r="L356" s="104" t="n">
        <v>0.05</v>
      </c>
    </row>
    <row r="357" customFormat="false" ht="15" hidden="false" customHeight="true" outlineLevel="0" collapsed="false">
      <c r="A357" s="73" t="s">
        <v>1455</v>
      </c>
      <c r="B357" s="73" t="s">
        <v>846</v>
      </c>
      <c r="C357" s="73" t="s">
        <v>653</v>
      </c>
      <c r="D357" s="73" t="s">
        <v>891</v>
      </c>
      <c r="E357" s="73" t="s">
        <v>755</v>
      </c>
      <c r="F357" s="73" t="s">
        <v>756</v>
      </c>
      <c r="G357" s="73" t="s">
        <v>96</v>
      </c>
      <c r="H357" s="73" t="s">
        <v>1456</v>
      </c>
      <c r="I357" s="73" t="s">
        <v>893</v>
      </c>
      <c r="J357" s="73" t="s">
        <v>894</v>
      </c>
      <c r="K357" s="73" t="s">
        <v>895</v>
      </c>
      <c r="L357" s="103" t="n">
        <v>2.5</v>
      </c>
    </row>
    <row r="358" customFormat="false" ht="15" hidden="false" customHeight="true" outlineLevel="0" collapsed="false">
      <c r="A358" s="73" t="s">
        <v>1457</v>
      </c>
      <c r="B358" s="73" t="s">
        <v>846</v>
      </c>
      <c r="C358" s="73" t="s">
        <v>653</v>
      </c>
      <c r="D358" s="73" t="s">
        <v>891</v>
      </c>
      <c r="E358" s="73" t="s">
        <v>755</v>
      </c>
      <c r="F358" s="73" t="s">
        <v>756</v>
      </c>
      <c r="G358" s="73" t="s">
        <v>99</v>
      </c>
      <c r="H358" s="73" t="s">
        <v>1458</v>
      </c>
      <c r="I358" s="73" t="s">
        <v>893</v>
      </c>
      <c r="J358" s="73" t="s">
        <v>898</v>
      </c>
      <c r="K358" s="73" t="s">
        <v>895</v>
      </c>
      <c r="L358" s="103" t="n">
        <v>0</v>
      </c>
    </row>
    <row r="359" customFormat="false" ht="15" hidden="false" customHeight="true" outlineLevel="0" collapsed="false">
      <c r="A359" s="73" t="s">
        <v>1459</v>
      </c>
      <c r="B359" s="73" t="s">
        <v>846</v>
      </c>
      <c r="C359" s="73" t="s">
        <v>653</v>
      </c>
      <c r="D359" s="73" t="s">
        <v>891</v>
      </c>
      <c r="E359" s="73" t="s">
        <v>755</v>
      </c>
      <c r="F359" s="73" t="s">
        <v>756</v>
      </c>
      <c r="G359" s="73" t="s">
        <v>101</v>
      </c>
      <c r="H359" s="73" t="s">
        <v>1460</v>
      </c>
      <c r="I359" s="73" t="s">
        <v>893</v>
      </c>
      <c r="J359" s="73" t="s">
        <v>901</v>
      </c>
      <c r="K359" s="73" t="s">
        <v>895</v>
      </c>
      <c r="L359" s="103" t="n">
        <v>0</v>
      </c>
    </row>
    <row r="360" customFormat="false" ht="15" hidden="false" customHeight="true" outlineLevel="0" collapsed="false">
      <c r="A360" s="73" t="s">
        <v>1461</v>
      </c>
      <c r="B360" s="73" t="s">
        <v>846</v>
      </c>
      <c r="C360" s="73" t="s">
        <v>653</v>
      </c>
      <c r="D360" s="73" t="s">
        <v>891</v>
      </c>
      <c r="E360" s="73" t="s">
        <v>755</v>
      </c>
      <c r="F360" s="73" t="s">
        <v>756</v>
      </c>
      <c r="G360" s="73" t="s">
        <v>103</v>
      </c>
      <c r="H360" s="73" t="s">
        <v>1462</v>
      </c>
      <c r="I360" s="73" t="s">
        <v>893</v>
      </c>
      <c r="J360" s="73" t="s">
        <v>904</v>
      </c>
      <c r="K360" s="73" t="s">
        <v>895</v>
      </c>
      <c r="L360" s="103" t="n">
        <v>0</v>
      </c>
    </row>
    <row r="361" customFormat="false" ht="15" hidden="false" customHeight="true" outlineLevel="0" collapsed="false">
      <c r="A361" s="73" t="s">
        <v>1463</v>
      </c>
      <c r="B361" s="73" t="s">
        <v>846</v>
      </c>
      <c r="C361" s="73" t="s">
        <v>653</v>
      </c>
      <c r="D361" s="73" t="s">
        <v>891</v>
      </c>
      <c r="E361" s="73" t="s">
        <v>755</v>
      </c>
      <c r="F361" s="73" t="s">
        <v>756</v>
      </c>
      <c r="G361" s="73" t="s">
        <v>105</v>
      </c>
      <c r="H361" s="73" t="s">
        <v>1464</v>
      </c>
      <c r="I361" s="73" t="s">
        <v>893</v>
      </c>
      <c r="J361" s="73" t="s">
        <v>907</v>
      </c>
      <c r="K361" s="73" t="s">
        <v>895</v>
      </c>
      <c r="L361" s="103" t="n">
        <v>0</v>
      </c>
    </row>
    <row r="362" customFormat="false" ht="15" hidden="false" customHeight="true" outlineLevel="0" collapsed="false">
      <c r="A362" s="73" t="s">
        <v>1465</v>
      </c>
      <c r="B362" s="73" t="s">
        <v>846</v>
      </c>
      <c r="C362" s="73" t="s">
        <v>653</v>
      </c>
      <c r="D362" s="73" t="s">
        <v>891</v>
      </c>
      <c r="E362" s="73" t="s">
        <v>755</v>
      </c>
      <c r="F362" s="73" t="s">
        <v>756</v>
      </c>
      <c r="G362" s="73" t="s">
        <v>107</v>
      </c>
      <c r="H362" s="73" t="s">
        <v>1466</v>
      </c>
      <c r="I362" s="73" t="s">
        <v>893</v>
      </c>
      <c r="J362" s="73" t="s">
        <v>910</v>
      </c>
      <c r="K362" s="73" t="s">
        <v>895</v>
      </c>
      <c r="L362" s="103" t="n">
        <v>0</v>
      </c>
    </row>
    <row r="363" customFormat="false" ht="15" hidden="false" customHeight="true" outlineLevel="0" collapsed="false">
      <c r="A363" s="73" t="s">
        <v>1467</v>
      </c>
      <c r="B363" s="73" t="s">
        <v>846</v>
      </c>
      <c r="C363" s="73" t="s">
        <v>653</v>
      </c>
      <c r="D363" s="73" t="s">
        <v>891</v>
      </c>
      <c r="E363" s="73" t="s">
        <v>755</v>
      </c>
      <c r="F363" s="73" t="s">
        <v>756</v>
      </c>
      <c r="G363" s="73" t="s">
        <v>109</v>
      </c>
      <c r="H363" s="73" t="s">
        <v>1468</v>
      </c>
      <c r="I363" s="73" t="s">
        <v>893</v>
      </c>
      <c r="J363" s="73" t="s">
        <v>913</v>
      </c>
      <c r="K363" s="73" t="s">
        <v>895</v>
      </c>
      <c r="L363" s="103" t="n">
        <v>0</v>
      </c>
    </row>
    <row r="364" customFormat="false" ht="15" hidden="false" customHeight="true" outlineLevel="0" collapsed="false">
      <c r="A364" s="73" t="s">
        <v>1469</v>
      </c>
      <c r="B364" s="73" t="s">
        <v>846</v>
      </c>
      <c r="C364" s="73" t="s">
        <v>653</v>
      </c>
      <c r="D364" s="73" t="s">
        <v>891</v>
      </c>
      <c r="E364" s="73" t="s">
        <v>755</v>
      </c>
      <c r="F364" s="73" t="s">
        <v>756</v>
      </c>
      <c r="G364" s="73" t="s">
        <v>111</v>
      </c>
      <c r="H364" s="73" t="s">
        <v>1470</v>
      </c>
      <c r="I364" s="73" t="s">
        <v>893</v>
      </c>
      <c r="J364" s="73" t="s">
        <v>916</v>
      </c>
      <c r="K364" s="73" t="s">
        <v>895</v>
      </c>
      <c r="L364" s="103" t="n">
        <v>0</v>
      </c>
    </row>
    <row r="365" customFormat="false" ht="15" hidden="false" customHeight="true" outlineLevel="0" collapsed="false">
      <c r="A365" s="73" t="s">
        <v>1471</v>
      </c>
      <c r="B365" s="73" t="s">
        <v>846</v>
      </c>
      <c r="C365" s="73" t="s">
        <v>653</v>
      </c>
      <c r="D365" s="73" t="s">
        <v>918</v>
      </c>
      <c r="E365" s="73" t="s">
        <v>755</v>
      </c>
      <c r="F365" s="73" t="s">
        <v>756</v>
      </c>
      <c r="G365" s="73" t="s">
        <v>96</v>
      </c>
      <c r="H365" s="73" t="s">
        <v>1472</v>
      </c>
      <c r="I365" s="73" t="s">
        <v>893</v>
      </c>
      <c r="J365" s="73" t="s">
        <v>920</v>
      </c>
      <c r="K365" s="73" t="s">
        <v>895</v>
      </c>
      <c r="L365" s="103" t="n">
        <v>0</v>
      </c>
    </row>
    <row r="366" customFormat="false" ht="15" hidden="false" customHeight="true" outlineLevel="0" collapsed="false">
      <c r="A366" s="73" t="s">
        <v>1473</v>
      </c>
      <c r="B366" s="73" t="s">
        <v>846</v>
      </c>
      <c r="C366" s="73" t="s">
        <v>653</v>
      </c>
      <c r="D366" s="73" t="s">
        <v>918</v>
      </c>
      <c r="E366" s="73" t="s">
        <v>755</v>
      </c>
      <c r="F366" s="73" t="s">
        <v>756</v>
      </c>
      <c r="G366" s="73" t="s">
        <v>99</v>
      </c>
      <c r="H366" s="73" t="s">
        <v>1474</v>
      </c>
      <c r="I366" s="73" t="s">
        <v>893</v>
      </c>
      <c r="J366" s="73" t="s">
        <v>923</v>
      </c>
      <c r="K366" s="73" t="s">
        <v>895</v>
      </c>
      <c r="L366" s="103" t="n">
        <v>0</v>
      </c>
    </row>
    <row r="367" customFormat="false" ht="15" hidden="false" customHeight="true" outlineLevel="0" collapsed="false">
      <c r="A367" s="73" t="s">
        <v>1475</v>
      </c>
      <c r="B367" s="73" t="s">
        <v>846</v>
      </c>
      <c r="C367" s="73" t="s">
        <v>653</v>
      </c>
      <c r="D367" s="73" t="s">
        <v>918</v>
      </c>
      <c r="E367" s="73" t="s">
        <v>755</v>
      </c>
      <c r="F367" s="73" t="s">
        <v>756</v>
      </c>
      <c r="G367" s="73" t="s">
        <v>101</v>
      </c>
      <c r="H367" s="73" t="s">
        <v>1476</v>
      </c>
      <c r="I367" s="73" t="s">
        <v>893</v>
      </c>
      <c r="J367" s="73" t="s">
        <v>926</v>
      </c>
      <c r="K367" s="73" t="s">
        <v>895</v>
      </c>
      <c r="L367" s="103" t="n">
        <v>0</v>
      </c>
    </row>
    <row r="368" customFormat="false" ht="15" hidden="false" customHeight="true" outlineLevel="0" collapsed="false">
      <c r="A368" s="73" t="s">
        <v>1477</v>
      </c>
      <c r="B368" s="73" t="s">
        <v>846</v>
      </c>
      <c r="C368" s="73" t="s">
        <v>653</v>
      </c>
      <c r="D368" s="73" t="s">
        <v>918</v>
      </c>
      <c r="E368" s="73" t="s">
        <v>755</v>
      </c>
      <c r="F368" s="73" t="s">
        <v>756</v>
      </c>
      <c r="G368" s="73" t="s">
        <v>103</v>
      </c>
      <c r="H368" s="73" t="s">
        <v>1478</v>
      </c>
      <c r="I368" s="73" t="s">
        <v>893</v>
      </c>
      <c r="J368" s="73" t="s">
        <v>929</v>
      </c>
      <c r="K368" s="73" t="s">
        <v>895</v>
      </c>
      <c r="L368" s="103" t="n">
        <v>0</v>
      </c>
    </row>
    <row r="369" customFormat="false" ht="15" hidden="false" customHeight="true" outlineLevel="0" collapsed="false">
      <c r="A369" s="73" t="s">
        <v>1479</v>
      </c>
      <c r="B369" s="73" t="s">
        <v>846</v>
      </c>
      <c r="C369" s="73" t="s">
        <v>653</v>
      </c>
      <c r="D369" s="73" t="s">
        <v>918</v>
      </c>
      <c r="E369" s="73" t="s">
        <v>755</v>
      </c>
      <c r="F369" s="73" t="s">
        <v>756</v>
      </c>
      <c r="G369" s="73" t="s">
        <v>105</v>
      </c>
      <c r="H369" s="73" t="s">
        <v>1480</v>
      </c>
      <c r="I369" s="73" t="s">
        <v>893</v>
      </c>
      <c r="J369" s="73" t="s">
        <v>932</v>
      </c>
      <c r="K369" s="73" t="s">
        <v>895</v>
      </c>
      <c r="L369" s="103" t="n">
        <v>0</v>
      </c>
    </row>
    <row r="370" customFormat="false" ht="15" hidden="false" customHeight="true" outlineLevel="0" collapsed="false">
      <c r="A370" s="73" t="s">
        <v>1481</v>
      </c>
      <c r="B370" s="73" t="s">
        <v>846</v>
      </c>
      <c r="C370" s="73" t="s">
        <v>653</v>
      </c>
      <c r="D370" s="73" t="s">
        <v>918</v>
      </c>
      <c r="E370" s="73" t="s">
        <v>755</v>
      </c>
      <c r="F370" s="73" t="s">
        <v>756</v>
      </c>
      <c r="G370" s="73" t="s">
        <v>107</v>
      </c>
      <c r="H370" s="73" t="s">
        <v>1482</v>
      </c>
      <c r="I370" s="73" t="s">
        <v>893</v>
      </c>
      <c r="J370" s="73" t="s">
        <v>935</v>
      </c>
      <c r="K370" s="73" t="s">
        <v>895</v>
      </c>
      <c r="L370" s="103" t="n">
        <v>0</v>
      </c>
    </row>
    <row r="371" customFormat="false" ht="15" hidden="false" customHeight="true" outlineLevel="0" collapsed="false">
      <c r="A371" s="73" t="s">
        <v>1483</v>
      </c>
      <c r="B371" s="73" t="s">
        <v>846</v>
      </c>
      <c r="C371" s="73" t="s">
        <v>653</v>
      </c>
      <c r="D371" s="73" t="s">
        <v>918</v>
      </c>
      <c r="E371" s="73" t="s">
        <v>755</v>
      </c>
      <c r="F371" s="73" t="s">
        <v>756</v>
      </c>
      <c r="G371" s="73" t="s">
        <v>109</v>
      </c>
      <c r="H371" s="73" t="s">
        <v>1484</v>
      </c>
      <c r="I371" s="73" t="s">
        <v>893</v>
      </c>
      <c r="J371" s="73" t="s">
        <v>938</v>
      </c>
      <c r="K371" s="73" t="s">
        <v>895</v>
      </c>
      <c r="L371" s="103" t="n">
        <v>0</v>
      </c>
    </row>
    <row r="372" customFormat="false" ht="15" hidden="false" customHeight="true" outlineLevel="0" collapsed="false">
      <c r="A372" s="73" t="s">
        <v>1485</v>
      </c>
      <c r="B372" s="73" t="s">
        <v>846</v>
      </c>
      <c r="C372" s="73" t="s">
        <v>653</v>
      </c>
      <c r="D372" s="73" t="s">
        <v>918</v>
      </c>
      <c r="E372" s="73" t="s">
        <v>755</v>
      </c>
      <c r="F372" s="73" t="s">
        <v>756</v>
      </c>
      <c r="G372" s="73" t="s">
        <v>111</v>
      </c>
      <c r="H372" s="73" t="s">
        <v>1486</v>
      </c>
      <c r="I372" s="73" t="s">
        <v>893</v>
      </c>
      <c r="J372" s="73" t="s">
        <v>941</v>
      </c>
      <c r="K372" s="73" t="s">
        <v>895</v>
      </c>
      <c r="L372" s="103" t="n">
        <v>0</v>
      </c>
    </row>
    <row r="373" customFormat="false" ht="15" hidden="false" customHeight="true" outlineLevel="0" collapsed="false">
      <c r="A373" s="73" t="s">
        <v>1487</v>
      </c>
      <c r="B373" s="73" t="s">
        <v>846</v>
      </c>
      <c r="C373" s="73" t="s">
        <v>653</v>
      </c>
      <c r="D373" s="73" t="s">
        <v>943</v>
      </c>
      <c r="E373" s="73" t="s">
        <v>755</v>
      </c>
      <c r="F373" s="73" t="s">
        <v>756</v>
      </c>
      <c r="G373" s="73" t="s">
        <v>944</v>
      </c>
      <c r="H373" s="73" t="s">
        <v>1488</v>
      </c>
      <c r="I373" s="73" t="s">
        <v>893</v>
      </c>
      <c r="J373" s="73" t="s">
        <v>946</v>
      </c>
      <c r="K373" s="73"/>
      <c r="L373" s="103" t="n">
        <v>0.45</v>
      </c>
    </row>
    <row r="374" customFormat="false" ht="15" hidden="false" customHeight="true" outlineLevel="0" collapsed="false">
      <c r="A374" s="73" t="s">
        <v>1489</v>
      </c>
      <c r="B374" s="73" t="s">
        <v>846</v>
      </c>
      <c r="C374" s="73" t="s">
        <v>653</v>
      </c>
      <c r="D374" s="73" t="s">
        <v>948</v>
      </c>
      <c r="E374" s="73" t="s">
        <v>755</v>
      </c>
      <c r="F374" s="73" t="s">
        <v>756</v>
      </c>
      <c r="G374" s="73" t="s">
        <v>655</v>
      </c>
      <c r="H374" s="73" t="s">
        <v>1490</v>
      </c>
      <c r="I374" s="73" t="s">
        <v>708</v>
      </c>
      <c r="J374" s="73" t="s">
        <v>950</v>
      </c>
      <c r="K374" s="73" t="s">
        <v>951</v>
      </c>
      <c r="L374" s="103" t="n">
        <v>0.526</v>
      </c>
    </row>
    <row r="375" customFormat="false" ht="15" hidden="false" customHeight="true" outlineLevel="0" collapsed="false">
      <c r="A375" s="73" t="s">
        <v>1491</v>
      </c>
      <c r="B375" s="73" t="s">
        <v>846</v>
      </c>
      <c r="C375" s="73" t="s">
        <v>653</v>
      </c>
      <c r="D375" s="73" t="s">
        <v>953</v>
      </c>
      <c r="E375" s="73" t="s">
        <v>755</v>
      </c>
      <c r="F375" s="73" t="s">
        <v>756</v>
      </c>
      <c r="G375" s="73" t="s">
        <v>655</v>
      </c>
      <c r="H375" s="73" t="s">
        <v>1492</v>
      </c>
      <c r="I375" s="73" t="s">
        <v>955</v>
      </c>
      <c r="J375" s="73" t="s">
        <v>956</v>
      </c>
      <c r="K375" s="73" t="s">
        <v>951</v>
      </c>
      <c r="L375" s="103" t="n">
        <v>0</v>
      </c>
    </row>
    <row r="376" customFormat="false" ht="15" hidden="false" customHeight="true" outlineLevel="0" collapsed="false">
      <c r="A376" s="73" t="s">
        <v>1493</v>
      </c>
      <c r="B376" s="73" t="s">
        <v>846</v>
      </c>
      <c r="C376" s="73" t="s">
        <v>653</v>
      </c>
      <c r="D376" s="73" t="s">
        <v>867</v>
      </c>
      <c r="E376" s="73" t="s">
        <v>767</v>
      </c>
      <c r="F376" s="73" t="s">
        <v>768</v>
      </c>
      <c r="G376" s="73" t="s">
        <v>655</v>
      </c>
      <c r="H376" s="73" t="s">
        <v>1494</v>
      </c>
      <c r="I376" s="73" t="s">
        <v>869</v>
      </c>
      <c r="J376" s="73" t="s">
        <v>1106</v>
      </c>
      <c r="K376" s="73" t="s">
        <v>871</v>
      </c>
      <c r="L376" s="107" t="n">
        <v>0</v>
      </c>
    </row>
    <row r="377" customFormat="false" ht="15" hidden="false" customHeight="true" outlineLevel="0" collapsed="false">
      <c r="A377" s="73" t="s">
        <v>1495</v>
      </c>
      <c r="B377" s="73" t="s">
        <v>846</v>
      </c>
      <c r="C377" s="73" t="s">
        <v>653</v>
      </c>
      <c r="D377" s="73" t="s">
        <v>873</v>
      </c>
      <c r="E377" s="73" t="s">
        <v>767</v>
      </c>
      <c r="F377" s="73" t="s">
        <v>768</v>
      </c>
      <c r="G377" s="73" t="s">
        <v>655</v>
      </c>
      <c r="H377" s="73" t="s">
        <v>1496</v>
      </c>
      <c r="I377" s="73" t="s">
        <v>875</v>
      </c>
      <c r="J377" s="73" t="s">
        <v>876</v>
      </c>
      <c r="K377" s="73"/>
      <c r="L377" s="104" t="n">
        <v>0.5</v>
      </c>
    </row>
    <row r="378" customFormat="false" ht="15" hidden="false" customHeight="true" outlineLevel="0" collapsed="false">
      <c r="A378" s="73" t="s">
        <v>1497</v>
      </c>
      <c r="B378" s="73" t="s">
        <v>846</v>
      </c>
      <c r="C378" s="73" t="s">
        <v>653</v>
      </c>
      <c r="D378" s="73" t="s">
        <v>878</v>
      </c>
      <c r="E378" s="73" t="s">
        <v>767</v>
      </c>
      <c r="F378" s="73" t="s">
        <v>768</v>
      </c>
      <c r="G378" s="73" t="s">
        <v>655</v>
      </c>
      <c r="H378" s="73" t="s">
        <v>1498</v>
      </c>
      <c r="I378" s="73" t="s">
        <v>880</v>
      </c>
      <c r="J378" s="73" t="s">
        <v>881</v>
      </c>
      <c r="K378" s="73"/>
      <c r="L378" s="104" t="n">
        <v>0.4</v>
      </c>
    </row>
    <row r="379" customFormat="false" ht="15" hidden="false" customHeight="true" outlineLevel="0" collapsed="false">
      <c r="A379" s="73" t="s">
        <v>1499</v>
      </c>
      <c r="B379" s="73" t="s">
        <v>846</v>
      </c>
      <c r="C379" s="73" t="s">
        <v>653</v>
      </c>
      <c r="D379" s="73" t="s">
        <v>883</v>
      </c>
      <c r="E379" s="73" t="s">
        <v>767</v>
      </c>
      <c r="F379" s="73" t="s">
        <v>768</v>
      </c>
      <c r="G379" s="73" t="s">
        <v>655</v>
      </c>
      <c r="H379" s="73" t="s">
        <v>1500</v>
      </c>
      <c r="I379" s="73" t="s">
        <v>880</v>
      </c>
      <c r="J379" s="73" t="s">
        <v>885</v>
      </c>
      <c r="K379" s="73"/>
      <c r="L379" s="104" t="n">
        <v>0.2</v>
      </c>
    </row>
    <row r="380" customFormat="false" ht="15" hidden="false" customHeight="true" outlineLevel="0" collapsed="false">
      <c r="A380" s="73" t="s">
        <v>1501</v>
      </c>
      <c r="B380" s="73" t="s">
        <v>846</v>
      </c>
      <c r="C380" s="73" t="s">
        <v>653</v>
      </c>
      <c r="D380" s="73" t="s">
        <v>887</v>
      </c>
      <c r="E380" s="73" t="s">
        <v>767</v>
      </c>
      <c r="F380" s="73" t="s">
        <v>768</v>
      </c>
      <c r="G380" s="73" t="s">
        <v>655</v>
      </c>
      <c r="H380" s="73" t="s">
        <v>1502</v>
      </c>
      <c r="I380" s="73" t="s">
        <v>880</v>
      </c>
      <c r="J380" s="73" t="s">
        <v>889</v>
      </c>
      <c r="K380" s="73"/>
      <c r="L380" s="104" t="n">
        <v>0.05</v>
      </c>
    </row>
    <row r="381" customFormat="false" ht="15" hidden="false" customHeight="true" outlineLevel="0" collapsed="false">
      <c r="A381" s="73" t="s">
        <v>1503</v>
      </c>
      <c r="B381" s="73" t="s">
        <v>846</v>
      </c>
      <c r="C381" s="73" t="s">
        <v>653</v>
      </c>
      <c r="D381" s="73" t="s">
        <v>891</v>
      </c>
      <c r="E381" s="73" t="s">
        <v>767</v>
      </c>
      <c r="F381" s="73" t="s">
        <v>768</v>
      </c>
      <c r="G381" s="73" t="s">
        <v>96</v>
      </c>
      <c r="H381" s="73" t="s">
        <v>1504</v>
      </c>
      <c r="I381" s="73" t="s">
        <v>893</v>
      </c>
      <c r="J381" s="73" t="s">
        <v>894</v>
      </c>
      <c r="K381" s="73" t="s">
        <v>895</v>
      </c>
      <c r="L381" s="103" t="n">
        <v>0</v>
      </c>
    </row>
    <row r="382" customFormat="false" ht="15" hidden="false" customHeight="true" outlineLevel="0" collapsed="false">
      <c r="A382" s="73" t="s">
        <v>1505</v>
      </c>
      <c r="B382" s="73" t="s">
        <v>846</v>
      </c>
      <c r="C382" s="73" t="s">
        <v>653</v>
      </c>
      <c r="D382" s="73" t="s">
        <v>891</v>
      </c>
      <c r="E382" s="73" t="s">
        <v>767</v>
      </c>
      <c r="F382" s="73" t="s">
        <v>768</v>
      </c>
      <c r="G382" s="73" t="s">
        <v>99</v>
      </c>
      <c r="H382" s="73" t="s">
        <v>1506</v>
      </c>
      <c r="I382" s="73" t="s">
        <v>893</v>
      </c>
      <c r="J382" s="73" t="s">
        <v>898</v>
      </c>
      <c r="K382" s="73" t="s">
        <v>895</v>
      </c>
      <c r="L382" s="103" t="n">
        <v>12</v>
      </c>
    </row>
    <row r="383" customFormat="false" ht="15" hidden="false" customHeight="true" outlineLevel="0" collapsed="false">
      <c r="A383" s="73" t="s">
        <v>1507</v>
      </c>
      <c r="B383" s="73" t="s">
        <v>846</v>
      </c>
      <c r="C383" s="73" t="s">
        <v>653</v>
      </c>
      <c r="D383" s="73" t="s">
        <v>891</v>
      </c>
      <c r="E383" s="73" t="s">
        <v>767</v>
      </c>
      <c r="F383" s="73" t="s">
        <v>768</v>
      </c>
      <c r="G383" s="73" t="s">
        <v>101</v>
      </c>
      <c r="H383" s="73" t="s">
        <v>1508</v>
      </c>
      <c r="I383" s="73" t="s">
        <v>893</v>
      </c>
      <c r="J383" s="73" t="s">
        <v>901</v>
      </c>
      <c r="K383" s="73" t="s">
        <v>895</v>
      </c>
      <c r="L383" s="103" t="n">
        <v>0</v>
      </c>
    </row>
    <row r="384" customFormat="false" ht="15" hidden="false" customHeight="true" outlineLevel="0" collapsed="false">
      <c r="A384" s="73" t="s">
        <v>1509</v>
      </c>
      <c r="B384" s="73" t="s">
        <v>846</v>
      </c>
      <c r="C384" s="73" t="s">
        <v>653</v>
      </c>
      <c r="D384" s="73" t="s">
        <v>891</v>
      </c>
      <c r="E384" s="73" t="s">
        <v>767</v>
      </c>
      <c r="F384" s="73" t="s">
        <v>768</v>
      </c>
      <c r="G384" s="73" t="s">
        <v>103</v>
      </c>
      <c r="H384" s="73" t="s">
        <v>1510</v>
      </c>
      <c r="I384" s="73" t="s">
        <v>893</v>
      </c>
      <c r="J384" s="73" t="s">
        <v>904</v>
      </c>
      <c r="K384" s="73" t="s">
        <v>895</v>
      </c>
      <c r="L384" s="103" t="n">
        <v>0</v>
      </c>
    </row>
    <row r="385" customFormat="false" ht="15" hidden="false" customHeight="true" outlineLevel="0" collapsed="false">
      <c r="A385" s="73" t="s">
        <v>1511</v>
      </c>
      <c r="B385" s="73" t="s">
        <v>846</v>
      </c>
      <c r="C385" s="73" t="s">
        <v>653</v>
      </c>
      <c r="D385" s="73" t="s">
        <v>891</v>
      </c>
      <c r="E385" s="73" t="s">
        <v>767</v>
      </c>
      <c r="F385" s="73" t="s">
        <v>768</v>
      </c>
      <c r="G385" s="73" t="s">
        <v>105</v>
      </c>
      <c r="H385" s="73" t="s">
        <v>1512</v>
      </c>
      <c r="I385" s="73" t="s">
        <v>893</v>
      </c>
      <c r="J385" s="73" t="s">
        <v>907</v>
      </c>
      <c r="K385" s="73" t="s">
        <v>895</v>
      </c>
      <c r="L385" s="103" t="n">
        <v>0</v>
      </c>
    </row>
    <row r="386" customFormat="false" ht="15" hidden="false" customHeight="true" outlineLevel="0" collapsed="false">
      <c r="A386" s="73" t="s">
        <v>1513</v>
      </c>
      <c r="B386" s="73" t="s">
        <v>846</v>
      </c>
      <c r="C386" s="73" t="s">
        <v>653</v>
      </c>
      <c r="D386" s="73" t="s">
        <v>891</v>
      </c>
      <c r="E386" s="73" t="s">
        <v>767</v>
      </c>
      <c r="F386" s="73" t="s">
        <v>768</v>
      </c>
      <c r="G386" s="73" t="s">
        <v>107</v>
      </c>
      <c r="H386" s="73" t="s">
        <v>1514</v>
      </c>
      <c r="I386" s="73" t="s">
        <v>893</v>
      </c>
      <c r="J386" s="73" t="s">
        <v>910</v>
      </c>
      <c r="K386" s="73" t="s">
        <v>895</v>
      </c>
      <c r="L386" s="103" t="n">
        <v>0</v>
      </c>
    </row>
    <row r="387" customFormat="false" ht="15" hidden="false" customHeight="true" outlineLevel="0" collapsed="false">
      <c r="A387" s="73" t="s">
        <v>1515</v>
      </c>
      <c r="B387" s="73" t="s">
        <v>846</v>
      </c>
      <c r="C387" s="73" t="s">
        <v>653</v>
      </c>
      <c r="D387" s="73" t="s">
        <v>891</v>
      </c>
      <c r="E387" s="73" t="s">
        <v>767</v>
      </c>
      <c r="F387" s="73" t="s">
        <v>768</v>
      </c>
      <c r="G387" s="73" t="s">
        <v>109</v>
      </c>
      <c r="H387" s="73" t="s">
        <v>1516</v>
      </c>
      <c r="I387" s="73" t="s">
        <v>893</v>
      </c>
      <c r="J387" s="73" t="s">
        <v>913</v>
      </c>
      <c r="K387" s="73" t="s">
        <v>895</v>
      </c>
      <c r="L387" s="103" t="n">
        <v>0</v>
      </c>
    </row>
    <row r="388" customFormat="false" ht="15" hidden="false" customHeight="true" outlineLevel="0" collapsed="false">
      <c r="A388" s="73" t="s">
        <v>1517</v>
      </c>
      <c r="B388" s="73" t="s">
        <v>846</v>
      </c>
      <c r="C388" s="73" t="s">
        <v>653</v>
      </c>
      <c r="D388" s="73" t="s">
        <v>891</v>
      </c>
      <c r="E388" s="73" t="s">
        <v>767</v>
      </c>
      <c r="F388" s="73" t="s">
        <v>768</v>
      </c>
      <c r="G388" s="73" t="s">
        <v>111</v>
      </c>
      <c r="H388" s="73" t="s">
        <v>1518</v>
      </c>
      <c r="I388" s="73" t="s">
        <v>893</v>
      </c>
      <c r="J388" s="73" t="s">
        <v>916</v>
      </c>
      <c r="K388" s="73" t="s">
        <v>895</v>
      </c>
      <c r="L388" s="103" t="n">
        <v>0</v>
      </c>
    </row>
    <row r="389" customFormat="false" ht="15" hidden="false" customHeight="true" outlineLevel="0" collapsed="false">
      <c r="A389" s="73" t="s">
        <v>1519</v>
      </c>
      <c r="B389" s="73" t="s">
        <v>846</v>
      </c>
      <c r="C389" s="73" t="s">
        <v>653</v>
      </c>
      <c r="D389" s="73" t="s">
        <v>918</v>
      </c>
      <c r="E389" s="73" t="s">
        <v>767</v>
      </c>
      <c r="F389" s="73" t="s">
        <v>768</v>
      </c>
      <c r="G389" s="73" t="s">
        <v>96</v>
      </c>
      <c r="H389" s="73" t="s">
        <v>1520</v>
      </c>
      <c r="I389" s="73" t="s">
        <v>893</v>
      </c>
      <c r="J389" s="73" t="s">
        <v>920</v>
      </c>
      <c r="K389" s="73" t="s">
        <v>895</v>
      </c>
      <c r="L389" s="103" t="n">
        <v>0</v>
      </c>
    </row>
    <row r="390" customFormat="false" ht="15" hidden="false" customHeight="true" outlineLevel="0" collapsed="false">
      <c r="A390" s="73" t="s">
        <v>1521</v>
      </c>
      <c r="B390" s="73" t="s">
        <v>846</v>
      </c>
      <c r="C390" s="73" t="s">
        <v>653</v>
      </c>
      <c r="D390" s="73" t="s">
        <v>918</v>
      </c>
      <c r="E390" s="73" t="s">
        <v>767</v>
      </c>
      <c r="F390" s="73" t="s">
        <v>768</v>
      </c>
      <c r="G390" s="73" t="s">
        <v>99</v>
      </c>
      <c r="H390" s="73" t="s">
        <v>1522</v>
      </c>
      <c r="I390" s="73" t="s">
        <v>893</v>
      </c>
      <c r="J390" s="73" t="s">
        <v>923</v>
      </c>
      <c r="K390" s="73" t="s">
        <v>895</v>
      </c>
      <c r="L390" s="103" t="n">
        <v>24</v>
      </c>
    </row>
    <row r="391" customFormat="false" ht="15" hidden="false" customHeight="true" outlineLevel="0" collapsed="false">
      <c r="A391" s="73" t="s">
        <v>1523</v>
      </c>
      <c r="B391" s="73" t="s">
        <v>846</v>
      </c>
      <c r="C391" s="73" t="s">
        <v>653</v>
      </c>
      <c r="D391" s="73" t="s">
        <v>918</v>
      </c>
      <c r="E391" s="73" t="s">
        <v>767</v>
      </c>
      <c r="F391" s="73" t="s">
        <v>768</v>
      </c>
      <c r="G391" s="73" t="s">
        <v>101</v>
      </c>
      <c r="H391" s="73" t="s">
        <v>1524</v>
      </c>
      <c r="I391" s="73" t="s">
        <v>893</v>
      </c>
      <c r="J391" s="73" t="s">
        <v>926</v>
      </c>
      <c r="K391" s="73" t="s">
        <v>895</v>
      </c>
      <c r="L391" s="103" t="n">
        <v>0</v>
      </c>
    </row>
    <row r="392" customFormat="false" ht="15" hidden="false" customHeight="true" outlineLevel="0" collapsed="false">
      <c r="A392" s="73" t="s">
        <v>1525</v>
      </c>
      <c r="B392" s="73" t="s">
        <v>846</v>
      </c>
      <c r="C392" s="73" t="s">
        <v>653</v>
      </c>
      <c r="D392" s="73" t="s">
        <v>918</v>
      </c>
      <c r="E392" s="73" t="s">
        <v>767</v>
      </c>
      <c r="F392" s="73" t="s">
        <v>768</v>
      </c>
      <c r="G392" s="73" t="s">
        <v>103</v>
      </c>
      <c r="H392" s="73" t="s">
        <v>1526</v>
      </c>
      <c r="I392" s="73" t="s">
        <v>893</v>
      </c>
      <c r="J392" s="73" t="s">
        <v>929</v>
      </c>
      <c r="K392" s="73" t="s">
        <v>895</v>
      </c>
      <c r="L392" s="103" t="n">
        <v>0</v>
      </c>
    </row>
    <row r="393" customFormat="false" ht="15" hidden="false" customHeight="true" outlineLevel="0" collapsed="false">
      <c r="A393" s="73" t="s">
        <v>1527</v>
      </c>
      <c r="B393" s="73" t="s">
        <v>846</v>
      </c>
      <c r="C393" s="73" t="s">
        <v>653</v>
      </c>
      <c r="D393" s="73" t="s">
        <v>918</v>
      </c>
      <c r="E393" s="73" t="s">
        <v>767</v>
      </c>
      <c r="F393" s="73" t="s">
        <v>768</v>
      </c>
      <c r="G393" s="73" t="s">
        <v>105</v>
      </c>
      <c r="H393" s="73" t="s">
        <v>1528</v>
      </c>
      <c r="I393" s="73" t="s">
        <v>893</v>
      </c>
      <c r="J393" s="73" t="s">
        <v>932</v>
      </c>
      <c r="K393" s="73" t="s">
        <v>895</v>
      </c>
      <c r="L393" s="103" t="n">
        <v>0</v>
      </c>
    </row>
    <row r="394" customFormat="false" ht="15" hidden="false" customHeight="true" outlineLevel="0" collapsed="false">
      <c r="A394" s="73" t="s">
        <v>1529</v>
      </c>
      <c r="B394" s="73" t="s">
        <v>846</v>
      </c>
      <c r="C394" s="73" t="s">
        <v>653</v>
      </c>
      <c r="D394" s="73" t="s">
        <v>918</v>
      </c>
      <c r="E394" s="73" t="s">
        <v>767</v>
      </c>
      <c r="F394" s="73" t="s">
        <v>768</v>
      </c>
      <c r="G394" s="73" t="s">
        <v>107</v>
      </c>
      <c r="H394" s="73" t="s">
        <v>1530</v>
      </c>
      <c r="I394" s="73" t="s">
        <v>893</v>
      </c>
      <c r="J394" s="73" t="s">
        <v>935</v>
      </c>
      <c r="K394" s="73" t="s">
        <v>895</v>
      </c>
      <c r="L394" s="103" t="n">
        <v>0</v>
      </c>
    </row>
    <row r="395" customFormat="false" ht="15" hidden="false" customHeight="true" outlineLevel="0" collapsed="false">
      <c r="A395" s="73" t="s">
        <v>1531</v>
      </c>
      <c r="B395" s="73" t="s">
        <v>846</v>
      </c>
      <c r="C395" s="73" t="s">
        <v>653</v>
      </c>
      <c r="D395" s="73" t="s">
        <v>918</v>
      </c>
      <c r="E395" s="73" t="s">
        <v>767</v>
      </c>
      <c r="F395" s="73" t="s">
        <v>768</v>
      </c>
      <c r="G395" s="73" t="s">
        <v>109</v>
      </c>
      <c r="H395" s="73" t="s">
        <v>1532</v>
      </c>
      <c r="I395" s="73" t="s">
        <v>893</v>
      </c>
      <c r="J395" s="73" t="s">
        <v>938</v>
      </c>
      <c r="K395" s="73" t="s">
        <v>895</v>
      </c>
      <c r="L395" s="103" t="n">
        <v>0</v>
      </c>
    </row>
    <row r="396" customFormat="false" ht="15" hidden="false" customHeight="true" outlineLevel="0" collapsed="false">
      <c r="A396" s="73" t="s">
        <v>1533</v>
      </c>
      <c r="B396" s="73" t="s">
        <v>846</v>
      </c>
      <c r="C396" s="73" t="s">
        <v>653</v>
      </c>
      <c r="D396" s="73" t="s">
        <v>918</v>
      </c>
      <c r="E396" s="73" t="s">
        <v>767</v>
      </c>
      <c r="F396" s="73" t="s">
        <v>768</v>
      </c>
      <c r="G396" s="73" t="s">
        <v>111</v>
      </c>
      <c r="H396" s="73" t="s">
        <v>1534</v>
      </c>
      <c r="I396" s="73" t="s">
        <v>893</v>
      </c>
      <c r="J396" s="73" t="s">
        <v>941</v>
      </c>
      <c r="K396" s="73" t="s">
        <v>895</v>
      </c>
      <c r="L396" s="103" t="n">
        <v>0</v>
      </c>
    </row>
    <row r="397" customFormat="false" ht="15" hidden="false" customHeight="true" outlineLevel="0" collapsed="false">
      <c r="A397" s="73" t="s">
        <v>1535</v>
      </c>
      <c r="B397" s="73" t="s">
        <v>846</v>
      </c>
      <c r="C397" s="73" t="s">
        <v>653</v>
      </c>
      <c r="D397" s="73" t="s">
        <v>943</v>
      </c>
      <c r="E397" s="73" t="s">
        <v>767</v>
      </c>
      <c r="F397" s="73" t="s">
        <v>768</v>
      </c>
      <c r="G397" s="73" t="s">
        <v>944</v>
      </c>
      <c r="H397" s="73" t="s">
        <v>1536</v>
      </c>
      <c r="I397" s="73" t="s">
        <v>893</v>
      </c>
      <c r="J397" s="73" t="s">
        <v>946</v>
      </c>
      <c r="K397" s="73"/>
      <c r="L397" s="103" t="n">
        <v>0.3</v>
      </c>
    </row>
    <row r="398" customFormat="false" ht="15" hidden="false" customHeight="true" outlineLevel="0" collapsed="false">
      <c r="A398" s="73" t="s">
        <v>1537</v>
      </c>
      <c r="B398" s="73" t="s">
        <v>846</v>
      </c>
      <c r="C398" s="73" t="s">
        <v>653</v>
      </c>
      <c r="D398" s="73" t="s">
        <v>948</v>
      </c>
      <c r="E398" s="73" t="s">
        <v>767</v>
      </c>
      <c r="F398" s="73" t="s">
        <v>768</v>
      </c>
      <c r="G398" s="73" t="s">
        <v>655</v>
      </c>
      <c r="H398" s="73" t="s">
        <v>1538</v>
      </c>
      <c r="I398" s="73" t="s">
        <v>708</v>
      </c>
      <c r="J398" s="73" t="s">
        <v>950</v>
      </c>
      <c r="K398" s="73" t="s">
        <v>951</v>
      </c>
      <c r="L398" s="103" t="n">
        <v>0</v>
      </c>
    </row>
    <row r="399" customFormat="false" ht="15" hidden="false" customHeight="true" outlineLevel="0" collapsed="false">
      <c r="A399" s="73" t="s">
        <v>1539</v>
      </c>
      <c r="B399" s="73" t="s">
        <v>846</v>
      </c>
      <c r="C399" s="73" t="s">
        <v>653</v>
      </c>
      <c r="D399" s="73" t="s">
        <v>953</v>
      </c>
      <c r="E399" s="73" t="s">
        <v>767</v>
      </c>
      <c r="F399" s="73" t="s">
        <v>768</v>
      </c>
      <c r="G399" s="73" t="s">
        <v>655</v>
      </c>
      <c r="H399" s="73" t="s">
        <v>1540</v>
      </c>
      <c r="I399" s="73" t="s">
        <v>955</v>
      </c>
      <c r="J399" s="73" t="s">
        <v>956</v>
      </c>
      <c r="K399" s="73" t="s">
        <v>951</v>
      </c>
      <c r="L399" s="103" t="n">
        <v>0</v>
      </c>
    </row>
    <row r="400" customFormat="false" ht="15" hidden="false" customHeight="true" outlineLevel="0" collapsed="false">
      <c r="A400" s="73" t="s">
        <v>1541</v>
      </c>
      <c r="B400" s="73" t="s">
        <v>846</v>
      </c>
      <c r="C400" s="73" t="s">
        <v>653</v>
      </c>
      <c r="D400" s="73" t="s">
        <v>867</v>
      </c>
      <c r="E400" s="73" t="s">
        <v>767</v>
      </c>
      <c r="F400" s="73" t="s">
        <v>779</v>
      </c>
      <c r="G400" s="73" t="s">
        <v>655</v>
      </c>
      <c r="H400" s="73" t="s">
        <v>1542</v>
      </c>
      <c r="I400" s="73" t="s">
        <v>869</v>
      </c>
      <c r="J400" s="73" t="s">
        <v>1155</v>
      </c>
      <c r="K400" s="73" t="s">
        <v>871</v>
      </c>
      <c r="L400" s="107" t="n">
        <v>0</v>
      </c>
    </row>
    <row r="401" customFormat="false" ht="15" hidden="false" customHeight="true" outlineLevel="0" collapsed="false">
      <c r="A401" s="73" t="s">
        <v>1543</v>
      </c>
      <c r="B401" s="73" t="s">
        <v>846</v>
      </c>
      <c r="C401" s="73" t="s">
        <v>653</v>
      </c>
      <c r="D401" s="73" t="s">
        <v>873</v>
      </c>
      <c r="E401" s="73" t="s">
        <v>767</v>
      </c>
      <c r="F401" s="73" t="s">
        <v>779</v>
      </c>
      <c r="G401" s="73" t="s">
        <v>655</v>
      </c>
      <c r="H401" s="73" t="s">
        <v>1544</v>
      </c>
      <c r="I401" s="73" t="s">
        <v>875</v>
      </c>
      <c r="J401" s="73" t="s">
        <v>876</v>
      </c>
      <c r="K401" s="73"/>
      <c r="L401" s="104" t="n">
        <v>0.5</v>
      </c>
    </row>
    <row r="402" customFormat="false" ht="15" hidden="false" customHeight="true" outlineLevel="0" collapsed="false">
      <c r="A402" s="73" t="s">
        <v>1545</v>
      </c>
      <c r="B402" s="73" t="s">
        <v>846</v>
      </c>
      <c r="C402" s="73" t="s">
        <v>653</v>
      </c>
      <c r="D402" s="73" t="s">
        <v>878</v>
      </c>
      <c r="E402" s="73" t="s">
        <v>767</v>
      </c>
      <c r="F402" s="73" t="s">
        <v>779</v>
      </c>
      <c r="G402" s="73" t="s">
        <v>655</v>
      </c>
      <c r="H402" s="73" t="s">
        <v>1546</v>
      </c>
      <c r="I402" s="73" t="s">
        <v>880</v>
      </c>
      <c r="J402" s="73" t="s">
        <v>881</v>
      </c>
      <c r="K402" s="73"/>
      <c r="L402" s="104" t="n">
        <v>0.4</v>
      </c>
    </row>
    <row r="403" customFormat="false" ht="15" hidden="false" customHeight="true" outlineLevel="0" collapsed="false">
      <c r="A403" s="73" t="s">
        <v>1547</v>
      </c>
      <c r="B403" s="73" t="s">
        <v>846</v>
      </c>
      <c r="C403" s="73" t="s">
        <v>653</v>
      </c>
      <c r="D403" s="73" t="s">
        <v>883</v>
      </c>
      <c r="E403" s="73" t="s">
        <v>767</v>
      </c>
      <c r="F403" s="73" t="s">
        <v>779</v>
      </c>
      <c r="G403" s="73" t="s">
        <v>655</v>
      </c>
      <c r="H403" s="73" t="s">
        <v>1548</v>
      </c>
      <c r="I403" s="73" t="s">
        <v>880</v>
      </c>
      <c r="J403" s="73" t="s">
        <v>885</v>
      </c>
      <c r="K403" s="73"/>
      <c r="L403" s="104" t="n">
        <v>0.22</v>
      </c>
    </row>
    <row r="404" customFormat="false" ht="15" hidden="false" customHeight="true" outlineLevel="0" collapsed="false">
      <c r="A404" s="73" t="s">
        <v>1549</v>
      </c>
      <c r="B404" s="73" t="s">
        <v>846</v>
      </c>
      <c r="C404" s="73" t="s">
        <v>653</v>
      </c>
      <c r="D404" s="73" t="s">
        <v>887</v>
      </c>
      <c r="E404" s="73" t="s">
        <v>767</v>
      </c>
      <c r="F404" s="73" t="s">
        <v>779</v>
      </c>
      <c r="G404" s="73" t="s">
        <v>655</v>
      </c>
      <c r="H404" s="73" t="s">
        <v>1550</v>
      </c>
      <c r="I404" s="73" t="s">
        <v>880</v>
      </c>
      <c r="J404" s="73" t="s">
        <v>889</v>
      </c>
      <c r="K404" s="73"/>
      <c r="L404" s="104" t="n">
        <v>0.05</v>
      </c>
    </row>
    <row r="405" customFormat="false" ht="15" hidden="false" customHeight="true" outlineLevel="0" collapsed="false">
      <c r="A405" s="73" t="s">
        <v>1551</v>
      </c>
      <c r="B405" s="73" t="s">
        <v>846</v>
      </c>
      <c r="C405" s="73" t="s">
        <v>653</v>
      </c>
      <c r="D405" s="73" t="s">
        <v>891</v>
      </c>
      <c r="E405" s="73" t="s">
        <v>767</v>
      </c>
      <c r="F405" s="73" t="s">
        <v>779</v>
      </c>
      <c r="G405" s="73" t="s">
        <v>96</v>
      </c>
      <c r="H405" s="73" t="s">
        <v>1552</v>
      </c>
      <c r="I405" s="73" t="s">
        <v>893</v>
      </c>
      <c r="J405" s="73" t="s">
        <v>894</v>
      </c>
      <c r="K405" s="73" t="s">
        <v>895</v>
      </c>
      <c r="L405" s="103" t="n">
        <v>0</v>
      </c>
    </row>
    <row r="406" customFormat="false" ht="15" hidden="false" customHeight="true" outlineLevel="0" collapsed="false">
      <c r="A406" s="73" t="s">
        <v>1553</v>
      </c>
      <c r="B406" s="73" t="s">
        <v>846</v>
      </c>
      <c r="C406" s="73" t="s">
        <v>653</v>
      </c>
      <c r="D406" s="73" t="s">
        <v>891</v>
      </c>
      <c r="E406" s="73" t="s">
        <v>767</v>
      </c>
      <c r="F406" s="73" t="s">
        <v>779</v>
      </c>
      <c r="G406" s="73" t="s">
        <v>99</v>
      </c>
      <c r="H406" s="73" t="s">
        <v>1554</v>
      </c>
      <c r="I406" s="73" t="s">
        <v>893</v>
      </c>
      <c r="J406" s="73" t="s">
        <v>898</v>
      </c>
      <c r="K406" s="73" t="s">
        <v>895</v>
      </c>
      <c r="L406" s="103" t="n">
        <v>3</v>
      </c>
    </row>
    <row r="407" customFormat="false" ht="15" hidden="false" customHeight="true" outlineLevel="0" collapsed="false">
      <c r="A407" s="73" t="s">
        <v>1555</v>
      </c>
      <c r="B407" s="73" t="s">
        <v>846</v>
      </c>
      <c r="C407" s="73" t="s">
        <v>653</v>
      </c>
      <c r="D407" s="73" t="s">
        <v>891</v>
      </c>
      <c r="E407" s="73" t="s">
        <v>767</v>
      </c>
      <c r="F407" s="73" t="s">
        <v>779</v>
      </c>
      <c r="G407" s="73" t="s">
        <v>101</v>
      </c>
      <c r="H407" s="73" t="s">
        <v>1556</v>
      </c>
      <c r="I407" s="73" t="s">
        <v>893</v>
      </c>
      <c r="J407" s="73" t="s">
        <v>901</v>
      </c>
      <c r="K407" s="73" t="s">
        <v>895</v>
      </c>
      <c r="L407" s="103" t="n">
        <v>0</v>
      </c>
    </row>
    <row r="408" customFormat="false" ht="15" hidden="false" customHeight="true" outlineLevel="0" collapsed="false">
      <c r="A408" s="73" t="s">
        <v>1557</v>
      </c>
      <c r="B408" s="73" t="s">
        <v>846</v>
      </c>
      <c r="C408" s="73" t="s">
        <v>653</v>
      </c>
      <c r="D408" s="73" t="s">
        <v>891</v>
      </c>
      <c r="E408" s="73" t="s">
        <v>767</v>
      </c>
      <c r="F408" s="73" t="s">
        <v>779</v>
      </c>
      <c r="G408" s="73" t="s">
        <v>103</v>
      </c>
      <c r="H408" s="73" t="s">
        <v>1558</v>
      </c>
      <c r="I408" s="73" t="s">
        <v>893</v>
      </c>
      <c r="J408" s="73" t="s">
        <v>904</v>
      </c>
      <c r="K408" s="73" t="s">
        <v>895</v>
      </c>
      <c r="L408" s="103" t="n">
        <v>0</v>
      </c>
    </row>
    <row r="409" customFormat="false" ht="15" hidden="false" customHeight="true" outlineLevel="0" collapsed="false">
      <c r="A409" s="73" t="s">
        <v>1559</v>
      </c>
      <c r="B409" s="73" t="s">
        <v>846</v>
      </c>
      <c r="C409" s="73" t="s">
        <v>653</v>
      </c>
      <c r="D409" s="73" t="s">
        <v>891</v>
      </c>
      <c r="E409" s="73" t="s">
        <v>767</v>
      </c>
      <c r="F409" s="73" t="s">
        <v>779</v>
      </c>
      <c r="G409" s="73" t="s">
        <v>105</v>
      </c>
      <c r="H409" s="73" t="s">
        <v>1560</v>
      </c>
      <c r="I409" s="73" t="s">
        <v>893</v>
      </c>
      <c r="J409" s="73" t="s">
        <v>907</v>
      </c>
      <c r="K409" s="73" t="s">
        <v>895</v>
      </c>
      <c r="L409" s="103" t="n">
        <v>0</v>
      </c>
    </row>
    <row r="410" customFormat="false" ht="15" hidden="false" customHeight="true" outlineLevel="0" collapsed="false">
      <c r="A410" s="73" t="s">
        <v>1561</v>
      </c>
      <c r="B410" s="73" t="s">
        <v>846</v>
      </c>
      <c r="C410" s="73" t="s">
        <v>653</v>
      </c>
      <c r="D410" s="73" t="s">
        <v>891</v>
      </c>
      <c r="E410" s="73" t="s">
        <v>767</v>
      </c>
      <c r="F410" s="73" t="s">
        <v>779</v>
      </c>
      <c r="G410" s="73" t="s">
        <v>107</v>
      </c>
      <c r="H410" s="73" t="s">
        <v>1562</v>
      </c>
      <c r="I410" s="73" t="s">
        <v>893</v>
      </c>
      <c r="J410" s="73" t="s">
        <v>910</v>
      </c>
      <c r="K410" s="73" t="s">
        <v>895</v>
      </c>
      <c r="L410" s="103" t="n">
        <v>0</v>
      </c>
    </row>
    <row r="411" customFormat="false" ht="15" hidden="false" customHeight="true" outlineLevel="0" collapsed="false">
      <c r="A411" s="73" t="s">
        <v>1563</v>
      </c>
      <c r="B411" s="73" t="s">
        <v>846</v>
      </c>
      <c r="C411" s="73" t="s">
        <v>653</v>
      </c>
      <c r="D411" s="73" t="s">
        <v>891</v>
      </c>
      <c r="E411" s="73" t="s">
        <v>767</v>
      </c>
      <c r="F411" s="73" t="s">
        <v>779</v>
      </c>
      <c r="G411" s="73" t="s">
        <v>109</v>
      </c>
      <c r="H411" s="73" t="s">
        <v>1564</v>
      </c>
      <c r="I411" s="73" t="s">
        <v>893</v>
      </c>
      <c r="J411" s="73" t="s">
        <v>913</v>
      </c>
      <c r="K411" s="73" t="s">
        <v>895</v>
      </c>
      <c r="L411" s="103" t="n">
        <v>0</v>
      </c>
    </row>
    <row r="412" customFormat="false" ht="15" hidden="false" customHeight="true" outlineLevel="0" collapsed="false">
      <c r="A412" s="73" t="s">
        <v>1565</v>
      </c>
      <c r="B412" s="73" t="s">
        <v>846</v>
      </c>
      <c r="C412" s="73" t="s">
        <v>653</v>
      </c>
      <c r="D412" s="73" t="s">
        <v>891</v>
      </c>
      <c r="E412" s="73" t="s">
        <v>767</v>
      </c>
      <c r="F412" s="73" t="s">
        <v>779</v>
      </c>
      <c r="G412" s="73" t="s">
        <v>111</v>
      </c>
      <c r="H412" s="73" t="s">
        <v>1566</v>
      </c>
      <c r="I412" s="73" t="s">
        <v>893</v>
      </c>
      <c r="J412" s="73" t="s">
        <v>916</v>
      </c>
      <c r="K412" s="73" t="s">
        <v>895</v>
      </c>
      <c r="L412" s="103" t="n">
        <v>0</v>
      </c>
    </row>
    <row r="413" customFormat="false" ht="15" hidden="false" customHeight="true" outlineLevel="0" collapsed="false">
      <c r="A413" s="73" t="s">
        <v>1567</v>
      </c>
      <c r="B413" s="73" t="s">
        <v>846</v>
      </c>
      <c r="C413" s="73" t="s">
        <v>653</v>
      </c>
      <c r="D413" s="73" t="s">
        <v>918</v>
      </c>
      <c r="E413" s="73" t="s">
        <v>767</v>
      </c>
      <c r="F413" s="73" t="s">
        <v>779</v>
      </c>
      <c r="G413" s="73" t="s">
        <v>96</v>
      </c>
      <c r="H413" s="73" t="s">
        <v>1568</v>
      </c>
      <c r="I413" s="73" t="s">
        <v>893</v>
      </c>
      <c r="J413" s="73" t="s">
        <v>920</v>
      </c>
      <c r="K413" s="73" t="s">
        <v>895</v>
      </c>
      <c r="L413" s="103" t="n">
        <v>0</v>
      </c>
    </row>
    <row r="414" customFormat="false" ht="15" hidden="false" customHeight="true" outlineLevel="0" collapsed="false">
      <c r="A414" s="73" t="s">
        <v>1569</v>
      </c>
      <c r="B414" s="73" t="s">
        <v>846</v>
      </c>
      <c r="C414" s="73" t="s">
        <v>653</v>
      </c>
      <c r="D414" s="73" t="s">
        <v>918</v>
      </c>
      <c r="E414" s="73" t="s">
        <v>767</v>
      </c>
      <c r="F414" s="73" t="s">
        <v>779</v>
      </c>
      <c r="G414" s="73" t="s">
        <v>99</v>
      </c>
      <c r="H414" s="73" t="s">
        <v>1570</v>
      </c>
      <c r="I414" s="73" t="s">
        <v>893</v>
      </c>
      <c r="J414" s="73" t="s">
        <v>923</v>
      </c>
      <c r="K414" s="73" t="s">
        <v>895</v>
      </c>
      <c r="L414" s="103" t="n">
        <v>0</v>
      </c>
    </row>
    <row r="415" customFormat="false" ht="15" hidden="false" customHeight="true" outlineLevel="0" collapsed="false">
      <c r="A415" s="73" t="s">
        <v>1571</v>
      </c>
      <c r="B415" s="73" t="s">
        <v>846</v>
      </c>
      <c r="C415" s="73" t="s">
        <v>653</v>
      </c>
      <c r="D415" s="73" t="s">
        <v>918</v>
      </c>
      <c r="E415" s="73" t="s">
        <v>767</v>
      </c>
      <c r="F415" s="73" t="s">
        <v>779</v>
      </c>
      <c r="G415" s="73" t="s">
        <v>101</v>
      </c>
      <c r="H415" s="73" t="s">
        <v>1572</v>
      </c>
      <c r="I415" s="73" t="s">
        <v>893</v>
      </c>
      <c r="J415" s="73" t="s">
        <v>926</v>
      </c>
      <c r="K415" s="73" t="s">
        <v>895</v>
      </c>
      <c r="L415" s="103" t="n">
        <v>0</v>
      </c>
    </row>
    <row r="416" customFormat="false" ht="15" hidden="false" customHeight="true" outlineLevel="0" collapsed="false">
      <c r="A416" s="73" t="s">
        <v>1573</v>
      </c>
      <c r="B416" s="73" t="s">
        <v>846</v>
      </c>
      <c r="C416" s="73" t="s">
        <v>653</v>
      </c>
      <c r="D416" s="73" t="s">
        <v>918</v>
      </c>
      <c r="E416" s="73" t="s">
        <v>767</v>
      </c>
      <c r="F416" s="73" t="s">
        <v>779</v>
      </c>
      <c r="G416" s="73" t="s">
        <v>103</v>
      </c>
      <c r="H416" s="73" t="s">
        <v>1574</v>
      </c>
      <c r="I416" s="73" t="s">
        <v>893</v>
      </c>
      <c r="J416" s="73" t="s">
        <v>929</v>
      </c>
      <c r="K416" s="73" t="s">
        <v>895</v>
      </c>
      <c r="L416" s="103" t="n">
        <v>0</v>
      </c>
    </row>
    <row r="417" customFormat="false" ht="15" hidden="false" customHeight="true" outlineLevel="0" collapsed="false">
      <c r="A417" s="73" t="s">
        <v>1575</v>
      </c>
      <c r="B417" s="73" t="s">
        <v>846</v>
      </c>
      <c r="C417" s="73" t="s">
        <v>653</v>
      </c>
      <c r="D417" s="73" t="s">
        <v>918</v>
      </c>
      <c r="E417" s="73" t="s">
        <v>767</v>
      </c>
      <c r="F417" s="73" t="s">
        <v>779</v>
      </c>
      <c r="G417" s="73" t="s">
        <v>105</v>
      </c>
      <c r="H417" s="73" t="s">
        <v>1576</v>
      </c>
      <c r="I417" s="73" t="s">
        <v>893</v>
      </c>
      <c r="J417" s="73" t="s">
        <v>932</v>
      </c>
      <c r="K417" s="73" t="s">
        <v>895</v>
      </c>
      <c r="L417" s="103" t="n">
        <v>0</v>
      </c>
    </row>
    <row r="418" customFormat="false" ht="15" hidden="false" customHeight="true" outlineLevel="0" collapsed="false">
      <c r="A418" s="73" t="s">
        <v>1577</v>
      </c>
      <c r="B418" s="73" t="s">
        <v>846</v>
      </c>
      <c r="C418" s="73" t="s">
        <v>653</v>
      </c>
      <c r="D418" s="73" t="s">
        <v>918</v>
      </c>
      <c r="E418" s="73" t="s">
        <v>767</v>
      </c>
      <c r="F418" s="73" t="s">
        <v>779</v>
      </c>
      <c r="G418" s="73" t="s">
        <v>107</v>
      </c>
      <c r="H418" s="73" t="s">
        <v>1578</v>
      </c>
      <c r="I418" s="73" t="s">
        <v>893</v>
      </c>
      <c r="J418" s="73" t="s">
        <v>935</v>
      </c>
      <c r="K418" s="73" t="s">
        <v>895</v>
      </c>
      <c r="L418" s="103" t="n">
        <v>0</v>
      </c>
    </row>
    <row r="419" customFormat="false" ht="15" hidden="false" customHeight="true" outlineLevel="0" collapsed="false">
      <c r="A419" s="73" t="s">
        <v>1579</v>
      </c>
      <c r="B419" s="73" t="s">
        <v>846</v>
      </c>
      <c r="C419" s="73" t="s">
        <v>653</v>
      </c>
      <c r="D419" s="73" t="s">
        <v>918</v>
      </c>
      <c r="E419" s="73" t="s">
        <v>767</v>
      </c>
      <c r="F419" s="73" t="s">
        <v>779</v>
      </c>
      <c r="G419" s="73" t="s">
        <v>109</v>
      </c>
      <c r="H419" s="73" t="s">
        <v>1580</v>
      </c>
      <c r="I419" s="73" t="s">
        <v>893</v>
      </c>
      <c r="J419" s="73" t="s">
        <v>938</v>
      </c>
      <c r="K419" s="73" t="s">
        <v>895</v>
      </c>
      <c r="L419" s="103" t="n">
        <v>0</v>
      </c>
    </row>
    <row r="420" customFormat="false" ht="15" hidden="false" customHeight="true" outlineLevel="0" collapsed="false">
      <c r="A420" s="73" t="s">
        <v>1581</v>
      </c>
      <c r="B420" s="73" t="s">
        <v>846</v>
      </c>
      <c r="C420" s="73" t="s">
        <v>653</v>
      </c>
      <c r="D420" s="73" t="s">
        <v>918</v>
      </c>
      <c r="E420" s="73" t="s">
        <v>767</v>
      </c>
      <c r="F420" s="73" t="s">
        <v>779</v>
      </c>
      <c r="G420" s="73" t="s">
        <v>111</v>
      </c>
      <c r="H420" s="73" t="s">
        <v>1582</v>
      </c>
      <c r="I420" s="73" t="s">
        <v>893</v>
      </c>
      <c r="J420" s="73" t="s">
        <v>941</v>
      </c>
      <c r="K420" s="73" t="s">
        <v>895</v>
      </c>
      <c r="L420" s="103" t="n">
        <v>0</v>
      </c>
    </row>
    <row r="421" customFormat="false" ht="15" hidden="false" customHeight="true" outlineLevel="0" collapsed="false">
      <c r="A421" s="73" t="s">
        <v>1583</v>
      </c>
      <c r="B421" s="73" t="s">
        <v>846</v>
      </c>
      <c r="C421" s="73" t="s">
        <v>653</v>
      </c>
      <c r="D421" s="73" t="s">
        <v>943</v>
      </c>
      <c r="E421" s="73" t="s">
        <v>767</v>
      </c>
      <c r="F421" s="73" t="s">
        <v>779</v>
      </c>
      <c r="G421" s="73" t="s">
        <v>944</v>
      </c>
      <c r="H421" s="73" t="s">
        <v>1584</v>
      </c>
      <c r="I421" s="73" t="s">
        <v>893</v>
      </c>
      <c r="J421" s="73" t="s">
        <v>946</v>
      </c>
      <c r="K421" s="73"/>
      <c r="L421" s="103" t="n">
        <v>0.3</v>
      </c>
    </row>
    <row r="422" customFormat="false" ht="15" hidden="false" customHeight="true" outlineLevel="0" collapsed="false">
      <c r="A422" s="73" t="s">
        <v>1585</v>
      </c>
      <c r="B422" s="73" t="s">
        <v>846</v>
      </c>
      <c r="C422" s="73" t="s">
        <v>653</v>
      </c>
      <c r="D422" s="73" t="s">
        <v>948</v>
      </c>
      <c r="E422" s="73" t="s">
        <v>767</v>
      </c>
      <c r="F422" s="73" t="s">
        <v>779</v>
      </c>
      <c r="G422" s="73" t="s">
        <v>655</v>
      </c>
      <c r="H422" s="73" t="s">
        <v>1586</v>
      </c>
      <c r="I422" s="73" t="s">
        <v>708</v>
      </c>
      <c r="J422" s="73" t="s">
        <v>950</v>
      </c>
      <c r="K422" s="73" t="s">
        <v>951</v>
      </c>
      <c r="L422" s="103" t="n">
        <v>-0.733</v>
      </c>
    </row>
    <row r="423" customFormat="false" ht="15" hidden="false" customHeight="true" outlineLevel="0" collapsed="false">
      <c r="A423" s="73" t="s">
        <v>1587</v>
      </c>
      <c r="B423" s="73" t="s">
        <v>846</v>
      </c>
      <c r="C423" s="73" t="s">
        <v>653</v>
      </c>
      <c r="D423" s="73" t="s">
        <v>953</v>
      </c>
      <c r="E423" s="73" t="s">
        <v>767</v>
      </c>
      <c r="F423" s="73" t="s">
        <v>779</v>
      </c>
      <c r="G423" s="73" t="s">
        <v>655</v>
      </c>
      <c r="H423" s="73" t="s">
        <v>1588</v>
      </c>
      <c r="I423" s="73" t="s">
        <v>955</v>
      </c>
      <c r="J423" s="73" t="s">
        <v>956</v>
      </c>
      <c r="K423" s="73" t="s">
        <v>951</v>
      </c>
      <c r="L423" s="103" t="n">
        <v>0</v>
      </c>
    </row>
    <row r="424" customFormat="false" ht="15" hidden="false" customHeight="true" outlineLevel="0" collapsed="false">
      <c r="A424" s="73" t="s">
        <v>1589</v>
      </c>
      <c r="B424" s="73" t="s">
        <v>846</v>
      </c>
      <c r="C424" s="73" t="s">
        <v>653</v>
      </c>
      <c r="D424" s="73" t="s">
        <v>867</v>
      </c>
      <c r="E424" s="73" t="s">
        <v>767</v>
      </c>
      <c r="F424" s="73" t="s">
        <v>790</v>
      </c>
      <c r="G424" s="73" t="s">
        <v>655</v>
      </c>
      <c r="H424" s="73" t="s">
        <v>1590</v>
      </c>
      <c r="I424" s="73" t="s">
        <v>869</v>
      </c>
      <c r="J424" s="73" t="s">
        <v>1204</v>
      </c>
      <c r="K424" s="73" t="s">
        <v>871</v>
      </c>
      <c r="L424" s="107" t="n">
        <v>0</v>
      </c>
    </row>
    <row r="425" customFormat="false" ht="15" hidden="false" customHeight="true" outlineLevel="0" collapsed="false">
      <c r="A425" s="73" t="s">
        <v>1591</v>
      </c>
      <c r="B425" s="73" t="s">
        <v>846</v>
      </c>
      <c r="C425" s="73" t="s">
        <v>653</v>
      </c>
      <c r="D425" s="73" t="s">
        <v>873</v>
      </c>
      <c r="E425" s="73" t="s">
        <v>767</v>
      </c>
      <c r="F425" s="73" t="s">
        <v>790</v>
      </c>
      <c r="G425" s="73" t="s">
        <v>655</v>
      </c>
      <c r="H425" s="73" t="s">
        <v>1592</v>
      </c>
      <c r="I425" s="73" t="s">
        <v>875</v>
      </c>
      <c r="J425" s="73" t="s">
        <v>876</v>
      </c>
      <c r="K425" s="73"/>
      <c r="L425" s="104" t="n">
        <v>0.4</v>
      </c>
    </row>
    <row r="426" customFormat="false" ht="15" hidden="false" customHeight="true" outlineLevel="0" collapsed="false">
      <c r="A426" s="73" t="s">
        <v>1593</v>
      </c>
      <c r="B426" s="73" t="s">
        <v>846</v>
      </c>
      <c r="C426" s="73" t="s">
        <v>653</v>
      </c>
      <c r="D426" s="73" t="s">
        <v>878</v>
      </c>
      <c r="E426" s="73" t="s">
        <v>767</v>
      </c>
      <c r="F426" s="73" t="s">
        <v>790</v>
      </c>
      <c r="G426" s="73" t="s">
        <v>655</v>
      </c>
      <c r="H426" s="73" t="s">
        <v>1594</v>
      </c>
      <c r="I426" s="73" t="s">
        <v>880</v>
      </c>
      <c r="J426" s="73" t="s">
        <v>881</v>
      </c>
      <c r="K426" s="73"/>
      <c r="L426" s="104" t="n">
        <v>0.3</v>
      </c>
    </row>
    <row r="427" customFormat="false" ht="15" hidden="false" customHeight="true" outlineLevel="0" collapsed="false">
      <c r="A427" s="73" t="s">
        <v>1595</v>
      </c>
      <c r="B427" s="73" t="s">
        <v>846</v>
      </c>
      <c r="C427" s="73" t="s">
        <v>653</v>
      </c>
      <c r="D427" s="73" t="s">
        <v>883</v>
      </c>
      <c r="E427" s="73" t="s">
        <v>767</v>
      </c>
      <c r="F427" s="73" t="s">
        <v>790</v>
      </c>
      <c r="G427" s="73" t="s">
        <v>655</v>
      </c>
      <c r="H427" s="73" t="s">
        <v>1596</v>
      </c>
      <c r="I427" s="73" t="s">
        <v>880</v>
      </c>
      <c r="J427" s="73" t="s">
        <v>885</v>
      </c>
      <c r="K427" s="73"/>
      <c r="L427" s="104" t="n">
        <v>0.15</v>
      </c>
    </row>
    <row r="428" customFormat="false" ht="15" hidden="false" customHeight="true" outlineLevel="0" collapsed="false">
      <c r="A428" s="73" t="s">
        <v>1597</v>
      </c>
      <c r="B428" s="73" t="s">
        <v>846</v>
      </c>
      <c r="C428" s="73" t="s">
        <v>653</v>
      </c>
      <c r="D428" s="73" t="s">
        <v>887</v>
      </c>
      <c r="E428" s="73" t="s">
        <v>767</v>
      </c>
      <c r="F428" s="73" t="s">
        <v>790</v>
      </c>
      <c r="G428" s="73" t="s">
        <v>655</v>
      </c>
      <c r="H428" s="73" t="s">
        <v>1598</v>
      </c>
      <c r="I428" s="73" t="s">
        <v>880</v>
      </c>
      <c r="J428" s="73" t="s">
        <v>889</v>
      </c>
      <c r="K428" s="73"/>
      <c r="L428" s="104" t="n">
        <v>0.05</v>
      </c>
    </row>
    <row r="429" customFormat="false" ht="15" hidden="false" customHeight="true" outlineLevel="0" collapsed="false">
      <c r="A429" s="73" t="s">
        <v>1599</v>
      </c>
      <c r="B429" s="73" t="s">
        <v>846</v>
      </c>
      <c r="C429" s="73" t="s">
        <v>653</v>
      </c>
      <c r="D429" s="73" t="s">
        <v>891</v>
      </c>
      <c r="E429" s="73" t="s">
        <v>767</v>
      </c>
      <c r="F429" s="73" t="s">
        <v>790</v>
      </c>
      <c r="G429" s="73" t="s">
        <v>96</v>
      </c>
      <c r="H429" s="73" t="s">
        <v>1600</v>
      </c>
      <c r="I429" s="73" t="s">
        <v>893</v>
      </c>
      <c r="J429" s="73" t="s">
        <v>894</v>
      </c>
      <c r="K429" s="73" t="s">
        <v>895</v>
      </c>
      <c r="L429" s="103" t="n">
        <v>0</v>
      </c>
    </row>
    <row r="430" customFormat="false" ht="15" hidden="false" customHeight="true" outlineLevel="0" collapsed="false">
      <c r="A430" s="73" t="s">
        <v>1601</v>
      </c>
      <c r="B430" s="73" t="s">
        <v>846</v>
      </c>
      <c r="C430" s="73" t="s">
        <v>653</v>
      </c>
      <c r="D430" s="73" t="s">
        <v>891</v>
      </c>
      <c r="E430" s="73" t="s">
        <v>767</v>
      </c>
      <c r="F430" s="73" t="s">
        <v>790</v>
      </c>
      <c r="G430" s="73" t="s">
        <v>99</v>
      </c>
      <c r="H430" s="73" t="s">
        <v>1602</v>
      </c>
      <c r="I430" s="73" t="s">
        <v>893</v>
      </c>
      <c r="J430" s="73" t="s">
        <v>898</v>
      </c>
      <c r="K430" s="73" t="s">
        <v>895</v>
      </c>
      <c r="L430" s="103" t="n">
        <v>1.5</v>
      </c>
    </row>
    <row r="431" customFormat="false" ht="15" hidden="false" customHeight="true" outlineLevel="0" collapsed="false">
      <c r="A431" s="73" t="s">
        <v>1603</v>
      </c>
      <c r="B431" s="73" t="s">
        <v>846</v>
      </c>
      <c r="C431" s="73" t="s">
        <v>653</v>
      </c>
      <c r="D431" s="73" t="s">
        <v>891</v>
      </c>
      <c r="E431" s="73" t="s">
        <v>767</v>
      </c>
      <c r="F431" s="73" t="s">
        <v>790</v>
      </c>
      <c r="G431" s="73" t="s">
        <v>101</v>
      </c>
      <c r="H431" s="73" t="s">
        <v>1604</v>
      </c>
      <c r="I431" s="73" t="s">
        <v>893</v>
      </c>
      <c r="J431" s="73" t="s">
        <v>901</v>
      </c>
      <c r="K431" s="73" t="s">
        <v>895</v>
      </c>
      <c r="L431" s="103" t="n">
        <v>0</v>
      </c>
    </row>
    <row r="432" customFormat="false" ht="15" hidden="false" customHeight="true" outlineLevel="0" collapsed="false">
      <c r="A432" s="73" t="s">
        <v>1605</v>
      </c>
      <c r="B432" s="73" t="s">
        <v>846</v>
      </c>
      <c r="C432" s="73" t="s">
        <v>653</v>
      </c>
      <c r="D432" s="73" t="s">
        <v>891</v>
      </c>
      <c r="E432" s="73" t="s">
        <v>767</v>
      </c>
      <c r="F432" s="73" t="s">
        <v>790</v>
      </c>
      <c r="G432" s="73" t="s">
        <v>103</v>
      </c>
      <c r="H432" s="73" t="s">
        <v>1606</v>
      </c>
      <c r="I432" s="73" t="s">
        <v>893</v>
      </c>
      <c r="J432" s="73" t="s">
        <v>904</v>
      </c>
      <c r="K432" s="73" t="s">
        <v>895</v>
      </c>
      <c r="L432" s="103" t="n">
        <v>0</v>
      </c>
    </row>
    <row r="433" customFormat="false" ht="15" hidden="false" customHeight="true" outlineLevel="0" collapsed="false">
      <c r="A433" s="73" t="s">
        <v>1607</v>
      </c>
      <c r="B433" s="73" t="s">
        <v>846</v>
      </c>
      <c r="C433" s="73" t="s">
        <v>653</v>
      </c>
      <c r="D433" s="73" t="s">
        <v>891</v>
      </c>
      <c r="E433" s="73" t="s">
        <v>767</v>
      </c>
      <c r="F433" s="73" t="s">
        <v>790</v>
      </c>
      <c r="G433" s="73" t="s">
        <v>105</v>
      </c>
      <c r="H433" s="73" t="s">
        <v>1608</v>
      </c>
      <c r="I433" s="73" t="s">
        <v>893</v>
      </c>
      <c r="J433" s="73" t="s">
        <v>907</v>
      </c>
      <c r="K433" s="73" t="s">
        <v>895</v>
      </c>
      <c r="L433" s="103" t="n">
        <v>0</v>
      </c>
    </row>
    <row r="434" customFormat="false" ht="15" hidden="false" customHeight="true" outlineLevel="0" collapsed="false">
      <c r="A434" s="73" t="s">
        <v>1609</v>
      </c>
      <c r="B434" s="73" t="s">
        <v>846</v>
      </c>
      <c r="C434" s="73" t="s">
        <v>653</v>
      </c>
      <c r="D434" s="73" t="s">
        <v>891</v>
      </c>
      <c r="E434" s="73" t="s">
        <v>767</v>
      </c>
      <c r="F434" s="73" t="s">
        <v>790</v>
      </c>
      <c r="G434" s="73" t="s">
        <v>107</v>
      </c>
      <c r="H434" s="73" t="s">
        <v>1610</v>
      </c>
      <c r="I434" s="73" t="s">
        <v>893</v>
      </c>
      <c r="J434" s="73" t="s">
        <v>910</v>
      </c>
      <c r="K434" s="73" t="s">
        <v>895</v>
      </c>
      <c r="L434" s="103" t="n">
        <v>0</v>
      </c>
    </row>
    <row r="435" customFormat="false" ht="15" hidden="false" customHeight="true" outlineLevel="0" collapsed="false">
      <c r="A435" s="73" t="s">
        <v>1611</v>
      </c>
      <c r="B435" s="73" t="s">
        <v>846</v>
      </c>
      <c r="C435" s="73" t="s">
        <v>653</v>
      </c>
      <c r="D435" s="73" t="s">
        <v>891</v>
      </c>
      <c r="E435" s="73" t="s">
        <v>767</v>
      </c>
      <c r="F435" s="73" t="s">
        <v>790</v>
      </c>
      <c r="G435" s="73" t="s">
        <v>109</v>
      </c>
      <c r="H435" s="73" t="s">
        <v>1612</v>
      </c>
      <c r="I435" s="73" t="s">
        <v>893</v>
      </c>
      <c r="J435" s="73" t="s">
        <v>913</v>
      </c>
      <c r="K435" s="73" t="s">
        <v>895</v>
      </c>
      <c r="L435" s="103" t="n">
        <v>0</v>
      </c>
    </row>
    <row r="436" customFormat="false" ht="15" hidden="false" customHeight="true" outlineLevel="0" collapsed="false">
      <c r="A436" s="73" t="s">
        <v>1613</v>
      </c>
      <c r="B436" s="73" t="s">
        <v>846</v>
      </c>
      <c r="C436" s="73" t="s">
        <v>653</v>
      </c>
      <c r="D436" s="73" t="s">
        <v>891</v>
      </c>
      <c r="E436" s="73" t="s">
        <v>767</v>
      </c>
      <c r="F436" s="73" t="s">
        <v>790</v>
      </c>
      <c r="G436" s="73" t="s">
        <v>111</v>
      </c>
      <c r="H436" s="73" t="s">
        <v>1614</v>
      </c>
      <c r="I436" s="73" t="s">
        <v>893</v>
      </c>
      <c r="J436" s="73" t="s">
        <v>916</v>
      </c>
      <c r="K436" s="73" t="s">
        <v>895</v>
      </c>
      <c r="L436" s="103" t="n">
        <v>0</v>
      </c>
    </row>
    <row r="437" customFormat="false" ht="15" hidden="false" customHeight="true" outlineLevel="0" collapsed="false">
      <c r="A437" s="73" t="s">
        <v>1615</v>
      </c>
      <c r="B437" s="73" t="s">
        <v>846</v>
      </c>
      <c r="C437" s="73" t="s">
        <v>653</v>
      </c>
      <c r="D437" s="73" t="s">
        <v>918</v>
      </c>
      <c r="E437" s="73" t="s">
        <v>767</v>
      </c>
      <c r="F437" s="73" t="s">
        <v>790</v>
      </c>
      <c r="G437" s="73" t="s">
        <v>96</v>
      </c>
      <c r="H437" s="73" t="s">
        <v>1616</v>
      </c>
      <c r="I437" s="73" t="s">
        <v>893</v>
      </c>
      <c r="J437" s="73" t="s">
        <v>920</v>
      </c>
      <c r="K437" s="73" t="s">
        <v>895</v>
      </c>
      <c r="L437" s="103" t="n">
        <v>0</v>
      </c>
    </row>
    <row r="438" customFormat="false" ht="15" hidden="false" customHeight="true" outlineLevel="0" collapsed="false">
      <c r="A438" s="73" t="s">
        <v>1617</v>
      </c>
      <c r="B438" s="73" t="s">
        <v>846</v>
      </c>
      <c r="C438" s="73" t="s">
        <v>653</v>
      </c>
      <c r="D438" s="73" t="s">
        <v>918</v>
      </c>
      <c r="E438" s="73" t="s">
        <v>767</v>
      </c>
      <c r="F438" s="73" t="s">
        <v>790</v>
      </c>
      <c r="G438" s="73" t="s">
        <v>99</v>
      </c>
      <c r="H438" s="73" t="s">
        <v>1618</v>
      </c>
      <c r="I438" s="73" t="s">
        <v>893</v>
      </c>
      <c r="J438" s="73" t="s">
        <v>923</v>
      </c>
      <c r="K438" s="73" t="s">
        <v>895</v>
      </c>
      <c r="L438" s="103" t="n">
        <v>0</v>
      </c>
    </row>
    <row r="439" customFormat="false" ht="15" hidden="false" customHeight="true" outlineLevel="0" collapsed="false">
      <c r="A439" s="73" t="s">
        <v>1619</v>
      </c>
      <c r="B439" s="73" t="s">
        <v>846</v>
      </c>
      <c r="C439" s="73" t="s">
        <v>653</v>
      </c>
      <c r="D439" s="73" t="s">
        <v>918</v>
      </c>
      <c r="E439" s="73" t="s">
        <v>767</v>
      </c>
      <c r="F439" s="73" t="s">
        <v>790</v>
      </c>
      <c r="G439" s="73" t="s">
        <v>101</v>
      </c>
      <c r="H439" s="73" t="s">
        <v>1620</v>
      </c>
      <c r="I439" s="73" t="s">
        <v>893</v>
      </c>
      <c r="J439" s="73" t="s">
        <v>926</v>
      </c>
      <c r="K439" s="73" t="s">
        <v>895</v>
      </c>
      <c r="L439" s="103" t="n">
        <v>0</v>
      </c>
    </row>
    <row r="440" customFormat="false" ht="15" hidden="false" customHeight="true" outlineLevel="0" collapsed="false">
      <c r="A440" s="73" t="s">
        <v>1621</v>
      </c>
      <c r="B440" s="73" t="s">
        <v>846</v>
      </c>
      <c r="C440" s="73" t="s">
        <v>653</v>
      </c>
      <c r="D440" s="73" t="s">
        <v>918</v>
      </c>
      <c r="E440" s="73" t="s">
        <v>767</v>
      </c>
      <c r="F440" s="73" t="s">
        <v>790</v>
      </c>
      <c r="G440" s="73" t="s">
        <v>103</v>
      </c>
      <c r="H440" s="73" t="s">
        <v>1622</v>
      </c>
      <c r="I440" s="73" t="s">
        <v>893</v>
      </c>
      <c r="J440" s="73" t="s">
        <v>929</v>
      </c>
      <c r="K440" s="73" t="s">
        <v>895</v>
      </c>
      <c r="L440" s="103" t="n">
        <v>0</v>
      </c>
    </row>
    <row r="441" customFormat="false" ht="15" hidden="false" customHeight="true" outlineLevel="0" collapsed="false">
      <c r="A441" s="73" t="s">
        <v>1623</v>
      </c>
      <c r="B441" s="73" t="s">
        <v>846</v>
      </c>
      <c r="C441" s="73" t="s">
        <v>653</v>
      </c>
      <c r="D441" s="73" t="s">
        <v>918</v>
      </c>
      <c r="E441" s="73" t="s">
        <v>767</v>
      </c>
      <c r="F441" s="73" t="s">
        <v>790</v>
      </c>
      <c r="G441" s="73" t="s">
        <v>105</v>
      </c>
      <c r="H441" s="73" t="s">
        <v>1624</v>
      </c>
      <c r="I441" s="73" t="s">
        <v>893</v>
      </c>
      <c r="J441" s="73" t="s">
        <v>932</v>
      </c>
      <c r="K441" s="73" t="s">
        <v>895</v>
      </c>
      <c r="L441" s="103" t="n">
        <v>0</v>
      </c>
    </row>
    <row r="442" customFormat="false" ht="15" hidden="false" customHeight="true" outlineLevel="0" collapsed="false">
      <c r="A442" s="73" t="s">
        <v>1625</v>
      </c>
      <c r="B442" s="73" t="s">
        <v>846</v>
      </c>
      <c r="C442" s="73" t="s">
        <v>653</v>
      </c>
      <c r="D442" s="73" t="s">
        <v>918</v>
      </c>
      <c r="E442" s="73" t="s">
        <v>767</v>
      </c>
      <c r="F442" s="73" t="s">
        <v>790</v>
      </c>
      <c r="G442" s="73" t="s">
        <v>107</v>
      </c>
      <c r="H442" s="73" t="s">
        <v>1626</v>
      </c>
      <c r="I442" s="73" t="s">
        <v>893</v>
      </c>
      <c r="J442" s="73" t="s">
        <v>935</v>
      </c>
      <c r="K442" s="73" t="s">
        <v>895</v>
      </c>
      <c r="L442" s="103" t="n">
        <v>0</v>
      </c>
    </row>
    <row r="443" customFormat="false" ht="15" hidden="false" customHeight="true" outlineLevel="0" collapsed="false">
      <c r="A443" s="73" t="s">
        <v>1627</v>
      </c>
      <c r="B443" s="73" t="s">
        <v>846</v>
      </c>
      <c r="C443" s="73" t="s">
        <v>653</v>
      </c>
      <c r="D443" s="73" t="s">
        <v>918</v>
      </c>
      <c r="E443" s="73" t="s">
        <v>767</v>
      </c>
      <c r="F443" s="73" t="s">
        <v>790</v>
      </c>
      <c r="G443" s="73" t="s">
        <v>109</v>
      </c>
      <c r="H443" s="73" t="s">
        <v>1628</v>
      </c>
      <c r="I443" s="73" t="s">
        <v>893</v>
      </c>
      <c r="J443" s="73" t="s">
        <v>938</v>
      </c>
      <c r="K443" s="73" t="s">
        <v>895</v>
      </c>
      <c r="L443" s="103" t="n">
        <v>0</v>
      </c>
    </row>
    <row r="444" customFormat="false" ht="15" hidden="false" customHeight="true" outlineLevel="0" collapsed="false">
      <c r="A444" s="73" t="s">
        <v>1629</v>
      </c>
      <c r="B444" s="73" t="s">
        <v>846</v>
      </c>
      <c r="C444" s="73" t="s">
        <v>653</v>
      </c>
      <c r="D444" s="73" t="s">
        <v>918</v>
      </c>
      <c r="E444" s="73" t="s">
        <v>767</v>
      </c>
      <c r="F444" s="73" t="s">
        <v>790</v>
      </c>
      <c r="G444" s="73" t="s">
        <v>111</v>
      </c>
      <c r="H444" s="73" t="s">
        <v>1630</v>
      </c>
      <c r="I444" s="73" t="s">
        <v>893</v>
      </c>
      <c r="J444" s="73" t="s">
        <v>941</v>
      </c>
      <c r="K444" s="73" t="s">
        <v>895</v>
      </c>
      <c r="L444" s="103" t="n">
        <v>0</v>
      </c>
    </row>
    <row r="445" customFormat="false" ht="15" hidden="false" customHeight="true" outlineLevel="0" collapsed="false">
      <c r="A445" s="73" t="s">
        <v>1631</v>
      </c>
      <c r="B445" s="73" t="s">
        <v>846</v>
      </c>
      <c r="C445" s="73" t="s">
        <v>653</v>
      </c>
      <c r="D445" s="73" t="s">
        <v>943</v>
      </c>
      <c r="E445" s="73" t="s">
        <v>767</v>
      </c>
      <c r="F445" s="73" t="s">
        <v>790</v>
      </c>
      <c r="G445" s="73" t="s">
        <v>944</v>
      </c>
      <c r="H445" s="73" t="s">
        <v>1632</v>
      </c>
      <c r="I445" s="73" t="s">
        <v>893</v>
      </c>
      <c r="J445" s="73" t="s">
        <v>946</v>
      </c>
      <c r="K445" s="73"/>
      <c r="L445" s="103" t="n">
        <v>0.3</v>
      </c>
    </row>
    <row r="446" customFormat="false" ht="15" hidden="false" customHeight="true" outlineLevel="0" collapsed="false">
      <c r="A446" s="73" t="s">
        <v>1633</v>
      </c>
      <c r="B446" s="73" t="s">
        <v>846</v>
      </c>
      <c r="C446" s="73" t="s">
        <v>653</v>
      </c>
      <c r="D446" s="73" t="s">
        <v>948</v>
      </c>
      <c r="E446" s="73" t="s">
        <v>767</v>
      </c>
      <c r="F446" s="73" t="s">
        <v>790</v>
      </c>
      <c r="G446" s="73" t="s">
        <v>655</v>
      </c>
      <c r="H446" s="73" t="s">
        <v>1634</v>
      </c>
      <c r="I446" s="73" t="s">
        <v>708</v>
      </c>
      <c r="J446" s="73" t="s">
        <v>950</v>
      </c>
      <c r="K446" s="73" t="s">
        <v>951</v>
      </c>
      <c r="L446" s="103" t="n">
        <v>0</v>
      </c>
    </row>
    <row r="447" customFormat="false" ht="15" hidden="false" customHeight="true" outlineLevel="0" collapsed="false">
      <c r="A447" s="73" t="s">
        <v>1635</v>
      </c>
      <c r="B447" s="73" t="s">
        <v>846</v>
      </c>
      <c r="C447" s="73" t="s">
        <v>653</v>
      </c>
      <c r="D447" s="73" t="s">
        <v>953</v>
      </c>
      <c r="E447" s="73" t="s">
        <v>767</v>
      </c>
      <c r="F447" s="73" t="s">
        <v>790</v>
      </c>
      <c r="G447" s="73" t="s">
        <v>655</v>
      </c>
      <c r="H447" s="73" t="s">
        <v>1636</v>
      </c>
      <c r="I447" s="73" t="s">
        <v>955</v>
      </c>
      <c r="J447" s="73" t="s">
        <v>956</v>
      </c>
      <c r="K447" s="73" t="s">
        <v>951</v>
      </c>
      <c r="L447" s="103" t="n">
        <v>2.5</v>
      </c>
    </row>
    <row r="448" customFormat="false" ht="15" hidden="false" customHeight="true" outlineLevel="0" collapsed="false">
      <c r="A448" s="73" t="s">
        <v>1637</v>
      </c>
      <c r="B448" s="73" t="s">
        <v>846</v>
      </c>
      <c r="C448" s="73" t="s">
        <v>653</v>
      </c>
      <c r="D448" s="73" t="s">
        <v>867</v>
      </c>
      <c r="E448" s="73" t="s">
        <v>801</v>
      </c>
      <c r="F448" s="73" t="s">
        <v>802</v>
      </c>
      <c r="G448" s="73" t="s">
        <v>655</v>
      </c>
      <c r="H448" s="73" t="s">
        <v>1638</v>
      </c>
      <c r="I448" s="73" t="s">
        <v>869</v>
      </c>
      <c r="J448" s="73" t="s">
        <v>1253</v>
      </c>
      <c r="K448" s="73" t="s">
        <v>871</v>
      </c>
      <c r="L448" s="107" t="n">
        <v>0</v>
      </c>
    </row>
    <row r="449" customFormat="false" ht="15" hidden="false" customHeight="true" outlineLevel="0" collapsed="false">
      <c r="A449" s="73" t="s">
        <v>1639</v>
      </c>
      <c r="B449" s="73" t="s">
        <v>846</v>
      </c>
      <c r="C449" s="73" t="s">
        <v>653</v>
      </c>
      <c r="D449" s="73" t="s">
        <v>873</v>
      </c>
      <c r="E449" s="73" t="s">
        <v>801</v>
      </c>
      <c r="F449" s="73" t="s">
        <v>802</v>
      </c>
      <c r="G449" s="73" t="s">
        <v>655</v>
      </c>
      <c r="H449" s="73" t="s">
        <v>1640</v>
      </c>
      <c r="I449" s="73" t="s">
        <v>875</v>
      </c>
      <c r="J449" s="73" t="s">
        <v>876</v>
      </c>
      <c r="K449" s="73"/>
      <c r="L449" s="104" t="n">
        <v>0.8</v>
      </c>
    </row>
    <row r="450" customFormat="false" ht="15" hidden="false" customHeight="true" outlineLevel="0" collapsed="false">
      <c r="A450" s="73" t="s">
        <v>1641</v>
      </c>
      <c r="B450" s="73" t="s">
        <v>846</v>
      </c>
      <c r="C450" s="73" t="s">
        <v>653</v>
      </c>
      <c r="D450" s="73" t="s">
        <v>878</v>
      </c>
      <c r="E450" s="73" t="s">
        <v>801</v>
      </c>
      <c r="F450" s="73" t="s">
        <v>802</v>
      </c>
      <c r="G450" s="73" t="s">
        <v>655</v>
      </c>
      <c r="H450" s="73" t="s">
        <v>1642</v>
      </c>
      <c r="I450" s="73" t="s">
        <v>880</v>
      </c>
      <c r="J450" s="73" t="s">
        <v>881</v>
      </c>
      <c r="K450" s="73"/>
      <c r="L450" s="104" t="n">
        <v>0.35</v>
      </c>
    </row>
    <row r="451" customFormat="false" ht="15" hidden="false" customHeight="true" outlineLevel="0" collapsed="false">
      <c r="A451" s="73" t="s">
        <v>1643</v>
      </c>
      <c r="B451" s="73" t="s">
        <v>846</v>
      </c>
      <c r="C451" s="73" t="s">
        <v>653</v>
      </c>
      <c r="D451" s="73" t="s">
        <v>883</v>
      </c>
      <c r="E451" s="73" t="s">
        <v>801</v>
      </c>
      <c r="F451" s="73" t="s">
        <v>802</v>
      </c>
      <c r="G451" s="73" t="s">
        <v>655</v>
      </c>
      <c r="H451" s="73" t="s">
        <v>1644</v>
      </c>
      <c r="I451" s="73" t="s">
        <v>880</v>
      </c>
      <c r="J451" s="73" t="s">
        <v>885</v>
      </c>
      <c r="K451" s="73"/>
      <c r="L451" s="104" t="n">
        <v>0.18</v>
      </c>
    </row>
    <row r="452" customFormat="false" ht="15" hidden="false" customHeight="true" outlineLevel="0" collapsed="false">
      <c r="A452" s="73" t="s">
        <v>1645</v>
      </c>
      <c r="B452" s="73" t="s">
        <v>846</v>
      </c>
      <c r="C452" s="73" t="s">
        <v>653</v>
      </c>
      <c r="D452" s="73" t="s">
        <v>887</v>
      </c>
      <c r="E452" s="73" t="s">
        <v>801</v>
      </c>
      <c r="F452" s="73" t="s">
        <v>802</v>
      </c>
      <c r="G452" s="73" t="s">
        <v>655</v>
      </c>
      <c r="H452" s="73" t="s">
        <v>1646</v>
      </c>
      <c r="I452" s="73" t="s">
        <v>880</v>
      </c>
      <c r="J452" s="73" t="s">
        <v>889</v>
      </c>
      <c r="K452" s="73"/>
      <c r="L452" s="104" t="n">
        <v>0.1</v>
      </c>
    </row>
    <row r="453" customFormat="false" ht="15" hidden="false" customHeight="true" outlineLevel="0" collapsed="false">
      <c r="A453" s="73" t="s">
        <v>1647</v>
      </c>
      <c r="B453" s="73" t="s">
        <v>846</v>
      </c>
      <c r="C453" s="73" t="s">
        <v>653</v>
      </c>
      <c r="D453" s="73" t="s">
        <v>891</v>
      </c>
      <c r="E453" s="73" t="s">
        <v>801</v>
      </c>
      <c r="F453" s="73" t="s">
        <v>802</v>
      </c>
      <c r="G453" s="73" t="s">
        <v>96</v>
      </c>
      <c r="H453" s="73" t="s">
        <v>1648</v>
      </c>
      <c r="I453" s="73" t="s">
        <v>893</v>
      </c>
      <c r="J453" s="73" t="s">
        <v>894</v>
      </c>
      <c r="K453" s="73" t="s">
        <v>895</v>
      </c>
      <c r="L453" s="103" t="n">
        <v>0</v>
      </c>
    </row>
    <row r="454" customFormat="false" ht="15" hidden="false" customHeight="true" outlineLevel="0" collapsed="false">
      <c r="A454" s="73" t="s">
        <v>1649</v>
      </c>
      <c r="B454" s="73" t="s">
        <v>846</v>
      </c>
      <c r="C454" s="73" t="s">
        <v>653</v>
      </c>
      <c r="D454" s="73" t="s">
        <v>891</v>
      </c>
      <c r="E454" s="73" t="s">
        <v>801</v>
      </c>
      <c r="F454" s="73" t="s">
        <v>802</v>
      </c>
      <c r="G454" s="73" t="s">
        <v>99</v>
      </c>
      <c r="H454" s="73" t="s">
        <v>1650</v>
      </c>
      <c r="I454" s="73" t="s">
        <v>893</v>
      </c>
      <c r="J454" s="73" t="s">
        <v>898</v>
      </c>
      <c r="K454" s="73" t="s">
        <v>895</v>
      </c>
      <c r="L454" s="103" t="n">
        <v>2</v>
      </c>
    </row>
    <row r="455" customFormat="false" ht="15" hidden="false" customHeight="true" outlineLevel="0" collapsed="false">
      <c r="A455" s="73" t="s">
        <v>1651</v>
      </c>
      <c r="B455" s="73" t="s">
        <v>846</v>
      </c>
      <c r="C455" s="73" t="s">
        <v>653</v>
      </c>
      <c r="D455" s="73" t="s">
        <v>891</v>
      </c>
      <c r="E455" s="73" t="s">
        <v>801</v>
      </c>
      <c r="F455" s="73" t="s">
        <v>802</v>
      </c>
      <c r="G455" s="73" t="s">
        <v>101</v>
      </c>
      <c r="H455" s="73" t="s">
        <v>1652</v>
      </c>
      <c r="I455" s="73" t="s">
        <v>893</v>
      </c>
      <c r="J455" s="73" t="s">
        <v>901</v>
      </c>
      <c r="K455" s="73" t="s">
        <v>895</v>
      </c>
      <c r="L455" s="103" t="n">
        <v>0</v>
      </c>
    </row>
    <row r="456" customFormat="false" ht="15" hidden="false" customHeight="true" outlineLevel="0" collapsed="false">
      <c r="A456" s="73" t="s">
        <v>1653</v>
      </c>
      <c r="B456" s="73" t="s">
        <v>846</v>
      </c>
      <c r="C456" s="73" t="s">
        <v>653</v>
      </c>
      <c r="D456" s="73" t="s">
        <v>891</v>
      </c>
      <c r="E456" s="73" t="s">
        <v>801</v>
      </c>
      <c r="F456" s="73" t="s">
        <v>802</v>
      </c>
      <c r="G456" s="73" t="s">
        <v>103</v>
      </c>
      <c r="H456" s="73" t="s">
        <v>1654</v>
      </c>
      <c r="I456" s="73" t="s">
        <v>893</v>
      </c>
      <c r="J456" s="73" t="s">
        <v>904</v>
      </c>
      <c r="K456" s="73" t="s">
        <v>895</v>
      </c>
      <c r="L456" s="103" t="n">
        <v>0</v>
      </c>
    </row>
    <row r="457" customFormat="false" ht="15" hidden="false" customHeight="true" outlineLevel="0" collapsed="false">
      <c r="A457" s="73" t="s">
        <v>1655</v>
      </c>
      <c r="B457" s="73" t="s">
        <v>846</v>
      </c>
      <c r="C457" s="73" t="s">
        <v>653</v>
      </c>
      <c r="D457" s="73" t="s">
        <v>891</v>
      </c>
      <c r="E457" s="73" t="s">
        <v>801</v>
      </c>
      <c r="F457" s="73" t="s">
        <v>802</v>
      </c>
      <c r="G457" s="73" t="s">
        <v>105</v>
      </c>
      <c r="H457" s="73" t="s">
        <v>1656</v>
      </c>
      <c r="I457" s="73" t="s">
        <v>893</v>
      </c>
      <c r="J457" s="73" t="s">
        <v>907</v>
      </c>
      <c r="K457" s="73" t="s">
        <v>895</v>
      </c>
      <c r="L457" s="103" t="n">
        <v>0</v>
      </c>
    </row>
    <row r="458" customFormat="false" ht="15" hidden="false" customHeight="true" outlineLevel="0" collapsed="false">
      <c r="A458" s="73" t="s">
        <v>1657</v>
      </c>
      <c r="B458" s="73" t="s">
        <v>846</v>
      </c>
      <c r="C458" s="73" t="s">
        <v>653</v>
      </c>
      <c r="D458" s="73" t="s">
        <v>891</v>
      </c>
      <c r="E458" s="73" t="s">
        <v>801</v>
      </c>
      <c r="F458" s="73" t="s">
        <v>802</v>
      </c>
      <c r="G458" s="73" t="s">
        <v>107</v>
      </c>
      <c r="H458" s="73" t="s">
        <v>1658</v>
      </c>
      <c r="I458" s="73" t="s">
        <v>893</v>
      </c>
      <c r="J458" s="73" t="s">
        <v>910</v>
      </c>
      <c r="K458" s="73" t="s">
        <v>895</v>
      </c>
      <c r="L458" s="103" t="n">
        <v>0</v>
      </c>
    </row>
    <row r="459" customFormat="false" ht="15" hidden="false" customHeight="true" outlineLevel="0" collapsed="false">
      <c r="A459" s="73" t="s">
        <v>1659</v>
      </c>
      <c r="B459" s="73" t="s">
        <v>846</v>
      </c>
      <c r="C459" s="73" t="s">
        <v>653</v>
      </c>
      <c r="D459" s="73" t="s">
        <v>891</v>
      </c>
      <c r="E459" s="73" t="s">
        <v>801</v>
      </c>
      <c r="F459" s="73" t="s">
        <v>802</v>
      </c>
      <c r="G459" s="73" t="s">
        <v>109</v>
      </c>
      <c r="H459" s="73" t="s">
        <v>1660</v>
      </c>
      <c r="I459" s="73" t="s">
        <v>893</v>
      </c>
      <c r="J459" s="73" t="s">
        <v>913</v>
      </c>
      <c r="K459" s="73" t="s">
        <v>895</v>
      </c>
      <c r="L459" s="103" t="n">
        <v>0</v>
      </c>
    </row>
    <row r="460" customFormat="false" ht="15" hidden="false" customHeight="true" outlineLevel="0" collapsed="false">
      <c r="A460" s="73" t="s">
        <v>1661</v>
      </c>
      <c r="B460" s="73" t="s">
        <v>846</v>
      </c>
      <c r="C460" s="73" t="s">
        <v>653</v>
      </c>
      <c r="D460" s="73" t="s">
        <v>891</v>
      </c>
      <c r="E460" s="73" t="s">
        <v>801</v>
      </c>
      <c r="F460" s="73" t="s">
        <v>802</v>
      </c>
      <c r="G460" s="73" t="s">
        <v>111</v>
      </c>
      <c r="H460" s="73" t="s">
        <v>1662</v>
      </c>
      <c r="I460" s="73" t="s">
        <v>893</v>
      </c>
      <c r="J460" s="73" t="s">
        <v>916</v>
      </c>
      <c r="K460" s="73" t="s">
        <v>895</v>
      </c>
      <c r="L460" s="103" t="n">
        <v>0</v>
      </c>
    </row>
    <row r="461" customFormat="false" ht="15" hidden="false" customHeight="true" outlineLevel="0" collapsed="false">
      <c r="A461" s="73" t="s">
        <v>1663</v>
      </c>
      <c r="B461" s="73" t="s">
        <v>846</v>
      </c>
      <c r="C461" s="73" t="s">
        <v>653</v>
      </c>
      <c r="D461" s="73" t="s">
        <v>918</v>
      </c>
      <c r="E461" s="73" t="s">
        <v>801</v>
      </c>
      <c r="F461" s="73" t="s">
        <v>802</v>
      </c>
      <c r="G461" s="73" t="s">
        <v>96</v>
      </c>
      <c r="H461" s="73" t="s">
        <v>1664</v>
      </c>
      <c r="I461" s="73" t="s">
        <v>893</v>
      </c>
      <c r="J461" s="73" t="s">
        <v>920</v>
      </c>
      <c r="K461" s="73" t="s">
        <v>895</v>
      </c>
      <c r="L461" s="103" t="n">
        <v>0</v>
      </c>
    </row>
    <row r="462" customFormat="false" ht="15" hidden="false" customHeight="true" outlineLevel="0" collapsed="false">
      <c r="A462" s="73" t="s">
        <v>1665</v>
      </c>
      <c r="B462" s="73" t="s">
        <v>846</v>
      </c>
      <c r="C462" s="73" t="s">
        <v>653</v>
      </c>
      <c r="D462" s="73" t="s">
        <v>918</v>
      </c>
      <c r="E462" s="73" t="s">
        <v>801</v>
      </c>
      <c r="F462" s="73" t="s">
        <v>802</v>
      </c>
      <c r="G462" s="73" t="s">
        <v>99</v>
      </c>
      <c r="H462" s="73" t="s">
        <v>1666</v>
      </c>
      <c r="I462" s="73" t="s">
        <v>893</v>
      </c>
      <c r="J462" s="73" t="s">
        <v>923</v>
      </c>
      <c r="K462" s="73" t="s">
        <v>895</v>
      </c>
      <c r="L462" s="103" t="n">
        <v>0</v>
      </c>
    </row>
    <row r="463" customFormat="false" ht="15" hidden="false" customHeight="true" outlineLevel="0" collapsed="false">
      <c r="A463" s="73" t="s">
        <v>1667</v>
      </c>
      <c r="B463" s="73" t="s">
        <v>846</v>
      </c>
      <c r="C463" s="73" t="s">
        <v>653</v>
      </c>
      <c r="D463" s="73" t="s">
        <v>918</v>
      </c>
      <c r="E463" s="73" t="s">
        <v>801</v>
      </c>
      <c r="F463" s="73" t="s">
        <v>802</v>
      </c>
      <c r="G463" s="73" t="s">
        <v>101</v>
      </c>
      <c r="H463" s="73" t="s">
        <v>1668</v>
      </c>
      <c r="I463" s="73" t="s">
        <v>893</v>
      </c>
      <c r="J463" s="73" t="s">
        <v>926</v>
      </c>
      <c r="K463" s="73" t="s">
        <v>895</v>
      </c>
      <c r="L463" s="103" t="n">
        <v>0</v>
      </c>
    </row>
    <row r="464" customFormat="false" ht="15" hidden="false" customHeight="true" outlineLevel="0" collapsed="false">
      <c r="A464" s="73" t="s">
        <v>1669</v>
      </c>
      <c r="B464" s="73" t="s">
        <v>846</v>
      </c>
      <c r="C464" s="73" t="s">
        <v>653</v>
      </c>
      <c r="D464" s="73" t="s">
        <v>918</v>
      </c>
      <c r="E464" s="73" t="s">
        <v>801</v>
      </c>
      <c r="F464" s="73" t="s">
        <v>802</v>
      </c>
      <c r="G464" s="73" t="s">
        <v>103</v>
      </c>
      <c r="H464" s="73" t="s">
        <v>1670</v>
      </c>
      <c r="I464" s="73" t="s">
        <v>893</v>
      </c>
      <c r="J464" s="73" t="s">
        <v>929</v>
      </c>
      <c r="K464" s="73" t="s">
        <v>895</v>
      </c>
      <c r="L464" s="103" t="n">
        <v>0</v>
      </c>
    </row>
    <row r="465" customFormat="false" ht="15" hidden="false" customHeight="true" outlineLevel="0" collapsed="false">
      <c r="A465" s="73" t="s">
        <v>1671</v>
      </c>
      <c r="B465" s="73" t="s">
        <v>846</v>
      </c>
      <c r="C465" s="73" t="s">
        <v>653</v>
      </c>
      <c r="D465" s="73" t="s">
        <v>918</v>
      </c>
      <c r="E465" s="73" t="s">
        <v>801</v>
      </c>
      <c r="F465" s="73" t="s">
        <v>802</v>
      </c>
      <c r="G465" s="73" t="s">
        <v>105</v>
      </c>
      <c r="H465" s="73" t="s">
        <v>1672</v>
      </c>
      <c r="I465" s="73" t="s">
        <v>893</v>
      </c>
      <c r="J465" s="73" t="s">
        <v>932</v>
      </c>
      <c r="K465" s="73" t="s">
        <v>895</v>
      </c>
      <c r="L465" s="103" t="n">
        <v>0</v>
      </c>
    </row>
    <row r="466" customFormat="false" ht="15" hidden="false" customHeight="true" outlineLevel="0" collapsed="false">
      <c r="A466" s="73" t="s">
        <v>1673</v>
      </c>
      <c r="B466" s="73" t="s">
        <v>846</v>
      </c>
      <c r="C466" s="73" t="s">
        <v>653</v>
      </c>
      <c r="D466" s="73" t="s">
        <v>918</v>
      </c>
      <c r="E466" s="73" t="s">
        <v>801</v>
      </c>
      <c r="F466" s="73" t="s">
        <v>802</v>
      </c>
      <c r="G466" s="73" t="s">
        <v>107</v>
      </c>
      <c r="H466" s="73" t="s">
        <v>1674</v>
      </c>
      <c r="I466" s="73" t="s">
        <v>893</v>
      </c>
      <c r="J466" s="73" t="s">
        <v>935</v>
      </c>
      <c r="K466" s="73" t="s">
        <v>895</v>
      </c>
      <c r="L466" s="103" t="n">
        <v>0</v>
      </c>
    </row>
    <row r="467" customFormat="false" ht="15" hidden="false" customHeight="true" outlineLevel="0" collapsed="false">
      <c r="A467" s="73" t="s">
        <v>1675</v>
      </c>
      <c r="B467" s="73" t="s">
        <v>846</v>
      </c>
      <c r="C467" s="73" t="s">
        <v>653</v>
      </c>
      <c r="D467" s="73" t="s">
        <v>918</v>
      </c>
      <c r="E467" s="73" t="s">
        <v>801</v>
      </c>
      <c r="F467" s="73" t="s">
        <v>802</v>
      </c>
      <c r="G467" s="73" t="s">
        <v>109</v>
      </c>
      <c r="H467" s="73" t="s">
        <v>1676</v>
      </c>
      <c r="I467" s="73" t="s">
        <v>893</v>
      </c>
      <c r="J467" s="73" t="s">
        <v>938</v>
      </c>
      <c r="K467" s="73" t="s">
        <v>895</v>
      </c>
      <c r="L467" s="103" t="n">
        <v>0</v>
      </c>
    </row>
    <row r="468" customFormat="false" ht="15" hidden="false" customHeight="true" outlineLevel="0" collapsed="false">
      <c r="A468" s="73" t="s">
        <v>1677</v>
      </c>
      <c r="B468" s="73" t="s">
        <v>846</v>
      </c>
      <c r="C468" s="73" t="s">
        <v>653</v>
      </c>
      <c r="D468" s="73" t="s">
        <v>918</v>
      </c>
      <c r="E468" s="73" t="s">
        <v>801</v>
      </c>
      <c r="F468" s="73" t="s">
        <v>802</v>
      </c>
      <c r="G468" s="73" t="s">
        <v>111</v>
      </c>
      <c r="H468" s="73" t="s">
        <v>1678</v>
      </c>
      <c r="I468" s="73" t="s">
        <v>893</v>
      </c>
      <c r="J468" s="73" t="s">
        <v>941</v>
      </c>
      <c r="K468" s="73" t="s">
        <v>895</v>
      </c>
      <c r="L468" s="103" t="n">
        <v>0</v>
      </c>
    </row>
    <row r="469" customFormat="false" ht="15" hidden="false" customHeight="true" outlineLevel="0" collapsed="false">
      <c r="A469" s="73" t="s">
        <v>1679</v>
      </c>
      <c r="B469" s="73" t="s">
        <v>846</v>
      </c>
      <c r="C469" s="73" t="s">
        <v>653</v>
      </c>
      <c r="D469" s="73" t="s">
        <v>943</v>
      </c>
      <c r="E469" s="73" t="s">
        <v>801</v>
      </c>
      <c r="F469" s="73" t="s">
        <v>802</v>
      </c>
      <c r="G469" s="73" t="s">
        <v>944</v>
      </c>
      <c r="H469" s="73" t="s">
        <v>1680</v>
      </c>
      <c r="I469" s="73" t="s">
        <v>893</v>
      </c>
      <c r="J469" s="73" t="s">
        <v>946</v>
      </c>
      <c r="K469" s="73"/>
      <c r="L469" s="103" t="n">
        <v>52</v>
      </c>
    </row>
    <row r="470" customFormat="false" ht="15" hidden="false" customHeight="true" outlineLevel="0" collapsed="false">
      <c r="A470" s="73" t="s">
        <v>1681</v>
      </c>
      <c r="B470" s="73" t="s">
        <v>846</v>
      </c>
      <c r="C470" s="73" t="s">
        <v>653</v>
      </c>
      <c r="D470" s="73" t="s">
        <v>948</v>
      </c>
      <c r="E470" s="73" t="s">
        <v>801</v>
      </c>
      <c r="F470" s="73" t="s">
        <v>802</v>
      </c>
      <c r="G470" s="73" t="s">
        <v>655</v>
      </c>
      <c r="H470" s="73" t="s">
        <v>1682</v>
      </c>
      <c r="I470" s="73" t="s">
        <v>708</v>
      </c>
      <c r="J470" s="73" t="s">
        <v>950</v>
      </c>
      <c r="K470" s="73" t="s">
        <v>951</v>
      </c>
      <c r="L470" s="103" t="n">
        <v>1.5</v>
      </c>
    </row>
    <row r="471" customFormat="false" ht="15" hidden="false" customHeight="true" outlineLevel="0" collapsed="false">
      <c r="A471" s="73" t="s">
        <v>1683</v>
      </c>
      <c r="B471" s="73" t="s">
        <v>846</v>
      </c>
      <c r="C471" s="73" t="s">
        <v>653</v>
      </c>
      <c r="D471" s="73" t="s">
        <v>953</v>
      </c>
      <c r="E471" s="73" t="s">
        <v>801</v>
      </c>
      <c r="F471" s="73" t="s">
        <v>802</v>
      </c>
      <c r="G471" s="73" t="s">
        <v>655</v>
      </c>
      <c r="H471" s="73" t="s">
        <v>1684</v>
      </c>
      <c r="I471" s="73" t="s">
        <v>955</v>
      </c>
      <c r="J471" s="73" t="s">
        <v>956</v>
      </c>
      <c r="K471" s="73" t="s">
        <v>951</v>
      </c>
      <c r="L471" s="103" t="n">
        <v>0.7</v>
      </c>
    </row>
    <row r="473" customFormat="false" ht="21.75" hidden="false" customHeight="true" outlineLevel="0" collapsed="false">
      <c r="A473" s="70" t="s">
        <v>1685</v>
      </c>
      <c r="B473" s="70"/>
      <c r="C473" s="70"/>
      <c r="D473" s="70"/>
      <c r="E473" s="70"/>
      <c r="F473" s="70"/>
      <c r="G473" s="70"/>
      <c r="H473" s="70"/>
      <c r="I473" s="70"/>
      <c r="J473" s="70"/>
      <c r="K473" s="70"/>
      <c r="L473" s="70"/>
      <c r="M473" s="70"/>
      <c r="N473" s="70"/>
      <c r="O473" s="70"/>
      <c r="P473" s="70"/>
      <c r="Q473" s="70"/>
      <c r="R473" s="70"/>
      <c r="S473" s="70"/>
      <c r="T473" s="70"/>
      <c r="U473" s="70"/>
      <c r="V473" s="70"/>
      <c r="W473" s="70"/>
      <c r="X473" s="70"/>
    </row>
    <row r="474" customFormat="false" ht="15" hidden="false" customHeight="true" outlineLevel="0" collapsed="false">
      <c r="A474" s="73" t="s">
        <v>1686</v>
      </c>
      <c r="B474" s="73" t="s">
        <v>851</v>
      </c>
      <c r="C474" s="73" t="s">
        <v>653</v>
      </c>
      <c r="D474" s="73" t="s">
        <v>867</v>
      </c>
      <c r="E474" s="73" t="s">
        <v>705</v>
      </c>
      <c r="F474" s="73" t="s">
        <v>706</v>
      </c>
      <c r="G474" s="73" t="s">
        <v>655</v>
      </c>
      <c r="H474" s="73" t="s">
        <v>1687</v>
      </c>
      <c r="I474" s="73" t="s">
        <v>869</v>
      </c>
      <c r="J474" s="73" t="s">
        <v>870</v>
      </c>
      <c r="K474" s="73" t="s">
        <v>871</v>
      </c>
      <c r="L474" s="107" t="n">
        <v>0.2</v>
      </c>
    </row>
    <row r="475" customFormat="false" ht="15" hidden="false" customHeight="true" outlineLevel="0" collapsed="false">
      <c r="A475" s="73" t="s">
        <v>1688</v>
      </c>
      <c r="B475" s="73" t="s">
        <v>851</v>
      </c>
      <c r="C475" s="73" t="s">
        <v>653</v>
      </c>
      <c r="D475" s="73" t="s">
        <v>873</v>
      </c>
      <c r="E475" s="73" t="s">
        <v>705</v>
      </c>
      <c r="F475" s="73" t="s">
        <v>706</v>
      </c>
      <c r="G475" s="73" t="s">
        <v>655</v>
      </c>
      <c r="H475" s="73" t="s">
        <v>1689</v>
      </c>
      <c r="I475" s="73" t="s">
        <v>875</v>
      </c>
      <c r="J475" s="73" t="s">
        <v>876</v>
      </c>
      <c r="K475" s="73"/>
      <c r="L475" s="104" t="n">
        <v>1</v>
      </c>
    </row>
    <row r="476" customFormat="false" ht="15" hidden="false" customHeight="true" outlineLevel="0" collapsed="false">
      <c r="A476" s="73" t="s">
        <v>1690</v>
      </c>
      <c r="B476" s="73" t="s">
        <v>851</v>
      </c>
      <c r="C476" s="73" t="s">
        <v>653</v>
      </c>
      <c r="D476" s="73" t="s">
        <v>878</v>
      </c>
      <c r="E476" s="73" t="s">
        <v>705</v>
      </c>
      <c r="F476" s="73" t="s">
        <v>706</v>
      </c>
      <c r="G476" s="73" t="s">
        <v>655</v>
      </c>
      <c r="H476" s="73" t="s">
        <v>1691</v>
      </c>
      <c r="I476" s="73" t="s">
        <v>880</v>
      </c>
      <c r="J476" s="73" t="s">
        <v>881</v>
      </c>
      <c r="K476" s="73"/>
      <c r="L476" s="104" t="n">
        <v>0.2</v>
      </c>
    </row>
    <row r="477" customFormat="false" ht="15" hidden="false" customHeight="true" outlineLevel="0" collapsed="false">
      <c r="A477" s="73" t="s">
        <v>1692</v>
      </c>
      <c r="B477" s="73" t="s">
        <v>851</v>
      </c>
      <c r="C477" s="73" t="s">
        <v>653</v>
      </c>
      <c r="D477" s="73" t="s">
        <v>883</v>
      </c>
      <c r="E477" s="73" t="s">
        <v>705</v>
      </c>
      <c r="F477" s="73" t="s">
        <v>706</v>
      </c>
      <c r="G477" s="73" t="s">
        <v>655</v>
      </c>
      <c r="H477" s="73" t="s">
        <v>1693</v>
      </c>
      <c r="I477" s="73" t="s">
        <v>880</v>
      </c>
      <c r="J477" s="73" t="s">
        <v>885</v>
      </c>
      <c r="K477" s="73"/>
      <c r="L477" s="104" t="n">
        <v>0.02</v>
      </c>
    </row>
    <row r="478" customFormat="false" ht="15" hidden="false" customHeight="true" outlineLevel="0" collapsed="false">
      <c r="A478" s="73" t="s">
        <v>1694</v>
      </c>
      <c r="B478" s="73" t="s">
        <v>851</v>
      </c>
      <c r="C478" s="73" t="s">
        <v>653</v>
      </c>
      <c r="D478" s="73" t="s">
        <v>887</v>
      </c>
      <c r="E478" s="73" t="s">
        <v>705</v>
      </c>
      <c r="F478" s="73" t="s">
        <v>706</v>
      </c>
      <c r="G478" s="73" t="s">
        <v>655</v>
      </c>
      <c r="H478" s="73" t="s">
        <v>1695</v>
      </c>
      <c r="I478" s="73" t="s">
        <v>880</v>
      </c>
      <c r="J478" s="73" t="s">
        <v>889</v>
      </c>
      <c r="K478" s="73"/>
      <c r="L478" s="104" t="n">
        <v>0.2</v>
      </c>
    </row>
    <row r="479" customFormat="false" ht="15" hidden="false" customHeight="true" outlineLevel="0" collapsed="false">
      <c r="A479" s="73" t="s">
        <v>1696</v>
      </c>
      <c r="B479" s="73" t="s">
        <v>851</v>
      </c>
      <c r="C479" s="73" t="s">
        <v>653</v>
      </c>
      <c r="D479" s="73" t="s">
        <v>891</v>
      </c>
      <c r="E479" s="73" t="s">
        <v>705</v>
      </c>
      <c r="F479" s="73" t="s">
        <v>706</v>
      </c>
      <c r="G479" s="73" t="s">
        <v>96</v>
      </c>
      <c r="H479" s="73" t="s">
        <v>1697</v>
      </c>
      <c r="I479" s="73" t="s">
        <v>893</v>
      </c>
      <c r="J479" s="73" t="s">
        <v>894</v>
      </c>
      <c r="K479" s="73" t="s">
        <v>895</v>
      </c>
      <c r="L479" s="103" t="n">
        <v>0</v>
      </c>
    </row>
    <row r="480" customFormat="false" ht="15" hidden="false" customHeight="true" outlineLevel="0" collapsed="false">
      <c r="A480" s="73" t="s">
        <v>1698</v>
      </c>
      <c r="B480" s="73" t="s">
        <v>851</v>
      </c>
      <c r="C480" s="73" t="s">
        <v>653</v>
      </c>
      <c r="D480" s="73" t="s">
        <v>891</v>
      </c>
      <c r="E480" s="73" t="s">
        <v>705</v>
      </c>
      <c r="F480" s="73" t="s">
        <v>706</v>
      </c>
      <c r="G480" s="73" t="s">
        <v>99</v>
      </c>
      <c r="H480" s="73" t="s">
        <v>1699</v>
      </c>
      <c r="I480" s="73" t="s">
        <v>893</v>
      </c>
      <c r="J480" s="73" t="s">
        <v>898</v>
      </c>
      <c r="K480" s="73" t="s">
        <v>895</v>
      </c>
      <c r="L480" s="103" t="n">
        <v>5</v>
      </c>
    </row>
    <row r="481" customFormat="false" ht="15" hidden="false" customHeight="true" outlineLevel="0" collapsed="false">
      <c r="A481" s="73" t="s">
        <v>1700</v>
      </c>
      <c r="B481" s="73" t="s">
        <v>851</v>
      </c>
      <c r="C481" s="73" t="s">
        <v>653</v>
      </c>
      <c r="D481" s="73" t="s">
        <v>891</v>
      </c>
      <c r="E481" s="73" t="s">
        <v>705</v>
      </c>
      <c r="F481" s="73" t="s">
        <v>706</v>
      </c>
      <c r="G481" s="73" t="s">
        <v>101</v>
      </c>
      <c r="H481" s="73" t="s">
        <v>1701</v>
      </c>
      <c r="I481" s="73" t="s">
        <v>893</v>
      </c>
      <c r="J481" s="73" t="s">
        <v>901</v>
      </c>
      <c r="K481" s="73" t="s">
        <v>895</v>
      </c>
      <c r="L481" s="103" t="n">
        <v>0</v>
      </c>
    </row>
    <row r="482" customFormat="false" ht="15" hidden="false" customHeight="true" outlineLevel="0" collapsed="false">
      <c r="A482" s="73" t="s">
        <v>1702</v>
      </c>
      <c r="B482" s="73" t="s">
        <v>851</v>
      </c>
      <c r="C482" s="73" t="s">
        <v>653</v>
      </c>
      <c r="D482" s="73" t="s">
        <v>891</v>
      </c>
      <c r="E482" s="73" t="s">
        <v>705</v>
      </c>
      <c r="F482" s="73" t="s">
        <v>706</v>
      </c>
      <c r="G482" s="73" t="s">
        <v>103</v>
      </c>
      <c r="H482" s="73" t="s">
        <v>1703</v>
      </c>
      <c r="I482" s="73" t="s">
        <v>893</v>
      </c>
      <c r="J482" s="73" t="s">
        <v>904</v>
      </c>
      <c r="K482" s="73" t="s">
        <v>895</v>
      </c>
      <c r="L482" s="103" t="n">
        <v>0</v>
      </c>
    </row>
    <row r="483" customFormat="false" ht="15" hidden="false" customHeight="true" outlineLevel="0" collapsed="false">
      <c r="A483" s="73" t="s">
        <v>1704</v>
      </c>
      <c r="B483" s="73" t="s">
        <v>851</v>
      </c>
      <c r="C483" s="73" t="s">
        <v>653</v>
      </c>
      <c r="D483" s="73" t="s">
        <v>891</v>
      </c>
      <c r="E483" s="73" t="s">
        <v>705</v>
      </c>
      <c r="F483" s="73" t="s">
        <v>706</v>
      </c>
      <c r="G483" s="73" t="s">
        <v>105</v>
      </c>
      <c r="H483" s="73" t="s">
        <v>1705</v>
      </c>
      <c r="I483" s="73" t="s">
        <v>893</v>
      </c>
      <c r="J483" s="73" t="s">
        <v>907</v>
      </c>
      <c r="K483" s="73" t="s">
        <v>895</v>
      </c>
      <c r="L483" s="103" t="n">
        <v>0</v>
      </c>
    </row>
    <row r="484" customFormat="false" ht="15" hidden="false" customHeight="true" outlineLevel="0" collapsed="false">
      <c r="A484" s="73" t="s">
        <v>1706</v>
      </c>
      <c r="B484" s="73" t="s">
        <v>851</v>
      </c>
      <c r="C484" s="73" t="s">
        <v>653</v>
      </c>
      <c r="D484" s="73" t="s">
        <v>891</v>
      </c>
      <c r="E484" s="73" t="s">
        <v>705</v>
      </c>
      <c r="F484" s="73" t="s">
        <v>706</v>
      </c>
      <c r="G484" s="73" t="s">
        <v>107</v>
      </c>
      <c r="H484" s="73" t="s">
        <v>1707</v>
      </c>
      <c r="I484" s="73" t="s">
        <v>893</v>
      </c>
      <c r="J484" s="73" t="s">
        <v>910</v>
      </c>
      <c r="K484" s="73" t="s">
        <v>895</v>
      </c>
      <c r="L484" s="103" t="n">
        <v>0</v>
      </c>
    </row>
    <row r="485" customFormat="false" ht="15" hidden="false" customHeight="true" outlineLevel="0" collapsed="false">
      <c r="A485" s="73" t="s">
        <v>1708</v>
      </c>
      <c r="B485" s="73" t="s">
        <v>851</v>
      </c>
      <c r="C485" s="73" t="s">
        <v>653</v>
      </c>
      <c r="D485" s="73" t="s">
        <v>891</v>
      </c>
      <c r="E485" s="73" t="s">
        <v>705</v>
      </c>
      <c r="F485" s="73" t="s">
        <v>706</v>
      </c>
      <c r="G485" s="73" t="s">
        <v>109</v>
      </c>
      <c r="H485" s="73" t="s">
        <v>1709</v>
      </c>
      <c r="I485" s="73" t="s">
        <v>893</v>
      </c>
      <c r="J485" s="73" t="s">
        <v>913</v>
      </c>
      <c r="K485" s="73" t="s">
        <v>895</v>
      </c>
      <c r="L485" s="103" t="n">
        <v>0</v>
      </c>
    </row>
    <row r="486" customFormat="false" ht="15" hidden="false" customHeight="true" outlineLevel="0" collapsed="false">
      <c r="A486" s="73" t="s">
        <v>1710</v>
      </c>
      <c r="B486" s="73" t="s">
        <v>851</v>
      </c>
      <c r="C486" s="73" t="s">
        <v>653</v>
      </c>
      <c r="D486" s="73" t="s">
        <v>891</v>
      </c>
      <c r="E486" s="73" t="s">
        <v>705</v>
      </c>
      <c r="F486" s="73" t="s">
        <v>706</v>
      </c>
      <c r="G486" s="73" t="s">
        <v>111</v>
      </c>
      <c r="H486" s="73" t="s">
        <v>1711</v>
      </c>
      <c r="I486" s="73" t="s">
        <v>893</v>
      </c>
      <c r="J486" s="73" t="s">
        <v>916</v>
      </c>
      <c r="K486" s="73" t="s">
        <v>895</v>
      </c>
      <c r="L486" s="103" t="n">
        <v>0</v>
      </c>
    </row>
    <row r="487" customFormat="false" ht="15" hidden="false" customHeight="true" outlineLevel="0" collapsed="false">
      <c r="A487" s="73" t="s">
        <v>1712</v>
      </c>
      <c r="B487" s="73" t="s">
        <v>851</v>
      </c>
      <c r="C487" s="73" t="s">
        <v>653</v>
      </c>
      <c r="D487" s="73" t="s">
        <v>918</v>
      </c>
      <c r="E487" s="73" t="s">
        <v>705</v>
      </c>
      <c r="F487" s="73" t="s">
        <v>706</v>
      </c>
      <c r="G487" s="73" t="s">
        <v>96</v>
      </c>
      <c r="H487" s="73" t="s">
        <v>1713</v>
      </c>
      <c r="I487" s="73" t="s">
        <v>893</v>
      </c>
      <c r="J487" s="73" t="s">
        <v>920</v>
      </c>
      <c r="K487" s="73" t="s">
        <v>895</v>
      </c>
      <c r="L487" s="103" t="n">
        <v>0</v>
      </c>
    </row>
    <row r="488" customFormat="false" ht="15" hidden="false" customHeight="true" outlineLevel="0" collapsed="false">
      <c r="A488" s="73" t="s">
        <v>1714</v>
      </c>
      <c r="B488" s="73" t="s">
        <v>851</v>
      </c>
      <c r="C488" s="73" t="s">
        <v>653</v>
      </c>
      <c r="D488" s="73" t="s">
        <v>918</v>
      </c>
      <c r="E488" s="73" t="s">
        <v>705</v>
      </c>
      <c r="F488" s="73" t="s">
        <v>706</v>
      </c>
      <c r="G488" s="73" t="s">
        <v>99</v>
      </c>
      <c r="H488" s="73" t="s">
        <v>1715</v>
      </c>
      <c r="I488" s="73" t="s">
        <v>893</v>
      </c>
      <c r="J488" s="73" t="s">
        <v>923</v>
      </c>
      <c r="K488" s="73" t="s">
        <v>895</v>
      </c>
      <c r="L488" s="103" t="n">
        <v>24</v>
      </c>
    </row>
    <row r="489" customFormat="false" ht="15" hidden="false" customHeight="true" outlineLevel="0" collapsed="false">
      <c r="A489" s="73" t="s">
        <v>1716</v>
      </c>
      <c r="B489" s="73" t="s">
        <v>851</v>
      </c>
      <c r="C489" s="73" t="s">
        <v>653</v>
      </c>
      <c r="D489" s="73" t="s">
        <v>918</v>
      </c>
      <c r="E489" s="73" t="s">
        <v>705</v>
      </c>
      <c r="F489" s="73" t="s">
        <v>706</v>
      </c>
      <c r="G489" s="73" t="s">
        <v>101</v>
      </c>
      <c r="H489" s="73" t="s">
        <v>1717</v>
      </c>
      <c r="I489" s="73" t="s">
        <v>893</v>
      </c>
      <c r="J489" s="73" t="s">
        <v>926</v>
      </c>
      <c r="K489" s="73" t="s">
        <v>895</v>
      </c>
      <c r="L489" s="103" t="n">
        <v>0</v>
      </c>
    </row>
    <row r="490" customFormat="false" ht="15" hidden="false" customHeight="true" outlineLevel="0" collapsed="false">
      <c r="A490" s="73" t="s">
        <v>1718</v>
      </c>
      <c r="B490" s="73" t="s">
        <v>851</v>
      </c>
      <c r="C490" s="73" t="s">
        <v>653</v>
      </c>
      <c r="D490" s="73" t="s">
        <v>918</v>
      </c>
      <c r="E490" s="73" t="s">
        <v>705</v>
      </c>
      <c r="F490" s="73" t="s">
        <v>706</v>
      </c>
      <c r="G490" s="73" t="s">
        <v>103</v>
      </c>
      <c r="H490" s="73" t="s">
        <v>1719</v>
      </c>
      <c r="I490" s="73" t="s">
        <v>893</v>
      </c>
      <c r="J490" s="73" t="s">
        <v>929</v>
      </c>
      <c r="K490" s="73" t="s">
        <v>895</v>
      </c>
      <c r="L490" s="103" t="n">
        <v>0</v>
      </c>
    </row>
    <row r="491" customFormat="false" ht="15" hidden="false" customHeight="true" outlineLevel="0" collapsed="false">
      <c r="A491" s="73" t="s">
        <v>1720</v>
      </c>
      <c r="B491" s="73" t="s">
        <v>851</v>
      </c>
      <c r="C491" s="73" t="s">
        <v>653</v>
      </c>
      <c r="D491" s="73" t="s">
        <v>918</v>
      </c>
      <c r="E491" s="73" t="s">
        <v>705</v>
      </c>
      <c r="F491" s="73" t="s">
        <v>706</v>
      </c>
      <c r="G491" s="73" t="s">
        <v>105</v>
      </c>
      <c r="H491" s="73" t="s">
        <v>1721</v>
      </c>
      <c r="I491" s="73" t="s">
        <v>893</v>
      </c>
      <c r="J491" s="73" t="s">
        <v>932</v>
      </c>
      <c r="K491" s="73" t="s">
        <v>895</v>
      </c>
      <c r="L491" s="103" t="n">
        <v>0</v>
      </c>
    </row>
    <row r="492" customFormat="false" ht="15" hidden="false" customHeight="true" outlineLevel="0" collapsed="false">
      <c r="A492" s="73" t="s">
        <v>1722</v>
      </c>
      <c r="B492" s="73" t="s">
        <v>851</v>
      </c>
      <c r="C492" s="73" t="s">
        <v>653</v>
      </c>
      <c r="D492" s="73" t="s">
        <v>918</v>
      </c>
      <c r="E492" s="73" t="s">
        <v>705</v>
      </c>
      <c r="F492" s="73" t="s">
        <v>706</v>
      </c>
      <c r="G492" s="73" t="s">
        <v>107</v>
      </c>
      <c r="H492" s="73" t="s">
        <v>1723</v>
      </c>
      <c r="I492" s="73" t="s">
        <v>893</v>
      </c>
      <c r="J492" s="73" t="s">
        <v>935</v>
      </c>
      <c r="K492" s="73" t="s">
        <v>895</v>
      </c>
      <c r="L492" s="103" t="n">
        <v>0</v>
      </c>
    </row>
    <row r="493" customFormat="false" ht="15" hidden="false" customHeight="true" outlineLevel="0" collapsed="false">
      <c r="A493" s="73" t="s">
        <v>1724</v>
      </c>
      <c r="B493" s="73" t="s">
        <v>851</v>
      </c>
      <c r="C493" s="73" t="s">
        <v>653</v>
      </c>
      <c r="D493" s="73" t="s">
        <v>918</v>
      </c>
      <c r="E493" s="73" t="s">
        <v>705</v>
      </c>
      <c r="F493" s="73" t="s">
        <v>706</v>
      </c>
      <c r="G493" s="73" t="s">
        <v>109</v>
      </c>
      <c r="H493" s="73" t="s">
        <v>1725</v>
      </c>
      <c r="I493" s="73" t="s">
        <v>893</v>
      </c>
      <c r="J493" s="73" t="s">
        <v>938</v>
      </c>
      <c r="K493" s="73" t="s">
        <v>895</v>
      </c>
      <c r="L493" s="103" t="n">
        <v>0</v>
      </c>
    </row>
    <row r="494" customFormat="false" ht="15" hidden="false" customHeight="true" outlineLevel="0" collapsed="false">
      <c r="A494" s="73" t="s">
        <v>1726</v>
      </c>
      <c r="B494" s="73" t="s">
        <v>851</v>
      </c>
      <c r="C494" s="73" t="s">
        <v>653</v>
      </c>
      <c r="D494" s="73" t="s">
        <v>918</v>
      </c>
      <c r="E494" s="73" t="s">
        <v>705</v>
      </c>
      <c r="F494" s="73" t="s">
        <v>706</v>
      </c>
      <c r="G494" s="73" t="s">
        <v>111</v>
      </c>
      <c r="H494" s="73" t="s">
        <v>1727</v>
      </c>
      <c r="I494" s="73" t="s">
        <v>893</v>
      </c>
      <c r="J494" s="73" t="s">
        <v>941</v>
      </c>
      <c r="K494" s="73" t="s">
        <v>895</v>
      </c>
      <c r="L494" s="103" t="n">
        <v>0</v>
      </c>
    </row>
    <row r="495" customFormat="false" ht="15" hidden="false" customHeight="true" outlineLevel="0" collapsed="false">
      <c r="A495" s="73" t="s">
        <v>1728</v>
      </c>
      <c r="B495" s="73" t="s">
        <v>851</v>
      </c>
      <c r="C495" s="73" t="s">
        <v>653</v>
      </c>
      <c r="D495" s="73" t="s">
        <v>943</v>
      </c>
      <c r="E495" s="73" t="s">
        <v>705</v>
      </c>
      <c r="F495" s="73" t="s">
        <v>706</v>
      </c>
      <c r="G495" s="73" t="s">
        <v>944</v>
      </c>
      <c r="H495" s="73" t="s">
        <v>1729</v>
      </c>
      <c r="I495" s="73" t="s">
        <v>893</v>
      </c>
      <c r="J495" s="73" t="s">
        <v>946</v>
      </c>
      <c r="K495" s="73"/>
      <c r="L495" s="103" t="n">
        <v>2.5</v>
      </c>
    </row>
    <row r="496" customFormat="false" ht="15" hidden="false" customHeight="true" outlineLevel="0" collapsed="false">
      <c r="A496" s="73" t="s">
        <v>1730</v>
      </c>
      <c r="B496" s="73" t="s">
        <v>851</v>
      </c>
      <c r="C496" s="73" t="s">
        <v>653</v>
      </c>
      <c r="D496" s="73" t="s">
        <v>948</v>
      </c>
      <c r="E496" s="73" t="s">
        <v>705</v>
      </c>
      <c r="F496" s="73" t="s">
        <v>706</v>
      </c>
      <c r="G496" s="73" t="s">
        <v>655</v>
      </c>
      <c r="H496" s="73" t="s">
        <v>1731</v>
      </c>
      <c r="I496" s="73" t="s">
        <v>708</v>
      </c>
      <c r="J496" s="73" t="s">
        <v>950</v>
      </c>
      <c r="K496" s="73" t="s">
        <v>951</v>
      </c>
      <c r="L496" s="103" t="n">
        <v>0</v>
      </c>
    </row>
    <row r="497" customFormat="false" ht="15" hidden="false" customHeight="true" outlineLevel="0" collapsed="false">
      <c r="A497" s="73" t="s">
        <v>1732</v>
      </c>
      <c r="B497" s="73" t="s">
        <v>851</v>
      </c>
      <c r="C497" s="73" t="s">
        <v>653</v>
      </c>
      <c r="D497" s="73" t="s">
        <v>953</v>
      </c>
      <c r="E497" s="73" t="s">
        <v>705</v>
      </c>
      <c r="F497" s="73" t="s">
        <v>706</v>
      </c>
      <c r="G497" s="73" t="s">
        <v>655</v>
      </c>
      <c r="H497" s="73" t="s">
        <v>1733</v>
      </c>
      <c r="I497" s="73" t="s">
        <v>955</v>
      </c>
      <c r="J497" s="73" t="s">
        <v>956</v>
      </c>
      <c r="K497" s="73" t="s">
        <v>951</v>
      </c>
      <c r="L497" s="103" t="n">
        <v>0</v>
      </c>
    </row>
    <row r="498" customFormat="false" ht="15" hidden="false" customHeight="true" outlineLevel="0" collapsed="false">
      <c r="A498" s="73" t="s">
        <v>1734</v>
      </c>
      <c r="B498" s="73" t="s">
        <v>851</v>
      </c>
      <c r="C498" s="73" t="s">
        <v>653</v>
      </c>
      <c r="D498" s="73" t="s">
        <v>867</v>
      </c>
      <c r="E498" s="73" t="s">
        <v>705</v>
      </c>
      <c r="F498" s="73" t="s">
        <v>733</v>
      </c>
      <c r="G498" s="73" t="s">
        <v>655</v>
      </c>
      <c r="H498" s="73" t="s">
        <v>1735</v>
      </c>
      <c r="I498" s="73" t="s">
        <v>869</v>
      </c>
      <c r="J498" s="73" t="s">
        <v>959</v>
      </c>
      <c r="K498" s="73" t="s">
        <v>871</v>
      </c>
      <c r="L498" s="107" t="n">
        <v>1</v>
      </c>
    </row>
    <row r="499" customFormat="false" ht="15" hidden="false" customHeight="true" outlineLevel="0" collapsed="false">
      <c r="A499" s="73" t="s">
        <v>1736</v>
      </c>
      <c r="B499" s="73" t="s">
        <v>851</v>
      </c>
      <c r="C499" s="73" t="s">
        <v>653</v>
      </c>
      <c r="D499" s="73" t="s">
        <v>873</v>
      </c>
      <c r="E499" s="73" t="s">
        <v>705</v>
      </c>
      <c r="F499" s="73" t="s">
        <v>733</v>
      </c>
      <c r="G499" s="73" t="s">
        <v>655</v>
      </c>
      <c r="H499" s="73" t="s">
        <v>1737</v>
      </c>
      <c r="I499" s="73" t="s">
        <v>875</v>
      </c>
      <c r="J499" s="73" t="s">
        <v>876</v>
      </c>
      <c r="K499" s="73"/>
      <c r="L499" s="104" t="n">
        <v>0.8</v>
      </c>
    </row>
    <row r="500" customFormat="false" ht="15" hidden="false" customHeight="true" outlineLevel="0" collapsed="false">
      <c r="A500" s="73" t="s">
        <v>1738</v>
      </c>
      <c r="B500" s="73" t="s">
        <v>851</v>
      </c>
      <c r="C500" s="73" t="s">
        <v>653</v>
      </c>
      <c r="D500" s="73" t="s">
        <v>878</v>
      </c>
      <c r="E500" s="73" t="s">
        <v>705</v>
      </c>
      <c r="F500" s="73" t="s">
        <v>733</v>
      </c>
      <c r="G500" s="73" t="s">
        <v>655</v>
      </c>
      <c r="H500" s="73" t="s">
        <v>1739</v>
      </c>
      <c r="I500" s="73" t="s">
        <v>880</v>
      </c>
      <c r="J500" s="73" t="s">
        <v>881</v>
      </c>
      <c r="K500" s="73"/>
      <c r="L500" s="104" t="n">
        <v>0.2</v>
      </c>
    </row>
    <row r="501" customFormat="false" ht="15" hidden="false" customHeight="true" outlineLevel="0" collapsed="false">
      <c r="A501" s="73" t="s">
        <v>1740</v>
      </c>
      <c r="B501" s="73" t="s">
        <v>851</v>
      </c>
      <c r="C501" s="73" t="s">
        <v>653</v>
      </c>
      <c r="D501" s="73" t="s">
        <v>883</v>
      </c>
      <c r="E501" s="73" t="s">
        <v>705</v>
      </c>
      <c r="F501" s="73" t="s">
        <v>733</v>
      </c>
      <c r="G501" s="73" t="s">
        <v>655</v>
      </c>
      <c r="H501" s="73" t="s">
        <v>1741</v>
      </c>
      <c r="I501" s="73" t="s">
        <v>880</v>
      </c>
      <c r="J501" s="73" t="s">
        <v>885</v>
      </c>
      <c r="K501" s="73"/>
      <c r="L501" s="104" t="n">
        <v>0.05</v>
      </c>
    </row>
    <row r="502" customFormat="false" ht="15" hidden="false" customHeight="true" outlineLevel="0" collapsed="false">
      <c r="A502" s="73" t="s">
        <v>1742</v>
      </c>
      <c r="B502" s="73" t="s">
        <v>851</v>
      </c>
      <c r="C502" s="73" t="s">
        <v>653</v>
      </c>
      <c r="D502" s="73" t="s">
        <v>887</v>
      </c>
      <c r="E502" s="73" t="s">
        <v>705</v>
      </c>
      <c r="F502" s="73" t="s">
        <v>733</v>
      </c>
      <c r="G502" s="73" t="s">
        <v>655</v>
      </c>
      <c r="H502" s="73" t="s">
        <v>1743</v>
      </c>
      <c r="I502" s="73" t="s">
        <v>880</v>
      </c>
      <c r="J502" s="73" t="s">
        <v>889</v>
      </c>
      <c r="K502" s="73"/>
      <c r="L502" s="104" t="n">
        <v>0.3</v>
      </c>
    </row>
    <row r="503" customFormat="false" ht="15" hidden="false" customHeight="true" outlineLevel="0" collapsed="false">
      <c r="A503" s="73" t="s">
        <v>1744</v>
      </c>
      <c r="B503" s="73" t="s">
        <v>851</v>
      </c>
      <c r="C503" s="73" t="s">
        <v>653</v>
      </c>
      <c r="D503" s="73" t="s">
        <v>891</v>
      </c>
      <c r="E503" s="73" t="s">
        <v>705</v>
      </c>
      <c r="F503" s="73" t="s">
        <v>733</v>
      </c>
      <c r="G503" s="73" t="s">
        <v>96</v>
      </c>
      <c r="H503" s="73" t="s">
        <v>1745</v>
      </c>
      <c r="I503" s="73" t="s">
        <v>893</v>
      </c>
      <c r="J503" s="73" t="s">
        <v>894</v>
      </c>
      <c r="K503" s="73" t="s">
        <v>895</v>
      </c>
      <c r="L503" s="103" t="n">
        <v>0</v>
      </c>
    </row>
    <row r="504" customFormat="false" ht="15" hidden="false" customHeight="true" outlineLevel="0" collapsed="false">
      <c r="A504" s="73" t="s">
        <v>1746</v>
      </c>
      <c r="B504" s="73" t="s">
        <v>851</v>
      </c>
      <c r="C504" s="73" t="s">
        <v>653</v>
      </c>
      <c r="D504" s="73" t="s">
        <v>891</v>
      </c>
      <c r="E504" s="73" t="s">
        <v>705</v>
      </c>
      <c r="F504" s="73" t="s">
        <v>733</v>
      </c>
      <c r="G504" s="73" t="s">
        <v>99</v>
      </c>
      <c r="H504" s="73" t="s">
        <v>1747</v>
      </c>
      <c r="I504" s="73" t="s">
        <v>893</v>
      </c>
      <c r="J504" s="73" t="s">
        <v>898</v>
      </c>
      <c r="K504" s="73" t="s">
        <v>895</v>
      </c>
      <c r="L504" s="103" t="n">
        <v>2.5</v>
      </c>
    </row>
    <row r="505" customFormat="false" ht="15" hidden="false" customHeight="true" outlineLevel="0" collapsed="false">
      <c r="A505" s="73" t="s">
        <v>1748</v>
      </c>
      <c r="B505" s="73" t="s">
        <v>851</v>
      </c>
      <c r="C505" s="73" t="s">
        <v>653</v>
      </c>
      <c r="D505" s="73" t="s">
        <v>891</v>
      </c>
      <c r="E505" s="73" t="s">
        <v>705</v>
      </c>
      <c r="F505" s="73" t="s">
        <v>733</v>
      </c>
      <c r="G505" s="73" t="s">
        <v>101</v>
      </c>
      <c r="H505" s="73" t="s">
        <v>1749</v>
      </c>
      <c r="I505" s="73" t="s">
        <v>893</v>
      </c>
      <c r="J505" s="73" t="s">
        <v>901</v>
      </c>
      <c r="K505" s="73" t="s">
        <v>895</v>
      </c>
      <c r="L505" s="103" t="n">
        <v>0</v>
      </c>
    </row>
    <row r="506" customFormat="false" ht="15" hidden="false" customHeight="true" outlineLevel="0" collapsed="false">
      <c r="A506" s="73" t="s">
        <v>1750</v>
      </c>
      <c r="B506" s="73" t="s">
        <v>851</v>
      </c>
      <c r="C506" s="73" t="s">
        <v>653</v>
      </c>
      <c r="D506" s="73" t="s">
        <v>891</v>
      </c>
      <c r="E506" s="73" t="s">
        <v>705</v>
      </c>
      <c r="F506" s="73" t="s">
        <v>733</v>
      </c>
      <c r="G506" s="73" t="s">
        <v>103</v>
      </c>
      <c r="H506" s="73" t="s">
        <v>1751</v>
      </c>
      <c r="I506" s="73" t="s">
        <v>893</v>
      </c>
      <c r="J506" s="73" t="s">
        <v>904</v>
      </c>
      <c r="K506" s="73" t="s">
        <v>895</v>
      </c>
      <c r="L506" s="103" t="n">
        <v>0</v>
      </c>
    </row>
    <row r="507" customFormat="false" ht="15" hidden="false" customHeight="true" outlineLevel="0" collapsed="false">
      <c r="A507" s="73" t="s">
        <v>1752</v>
      </c>
      <c r="B507" s="73" t="s">
        <v>851</v>
      </c>
      <c r="C507" s="73" t="s">
        <v>653</v>
      </c>
      <c r="D507" s="73" t="s">
        <v>891</v>
      </c>
      <c r="E507" s="73" t="s">
        <v>705</v>
      </c>
      <c r="F507" s="73" t="s">
        <v>733</v>
      </c>
      <c r="G507" s="73" t="s">
        <v>105</v>
      </c>
      <c r="H507" s="73" t="s">
        <v>1753</v>
      </c>
      <c r="I507" s="73" t="s">
        <v>893</v>
      </c>
      <c r="J507" s="73" t="s">
        <v>907</v>
      </c>
      <c r="K507" s="73" t="s">
        <v>895</v>
      </c>
      <c r="L507" s="103" t="n">
        <v>0</v>
      </c>
    </row>
    <row r="508" customFormat="false" ht="15" hidden="false" customHeight="true" outlineLevel="0" collapsed="false">
      <c r="A508" s="73" t="s">
        <v>1754</v>
      </c>
      <c r="B508" s="73" t="s">
        <v>851</v>
      </c>
      <c r="C508" s="73" t="s">
        <v>653</v>
      </c>
      <c r="D508" s="73" t="s">
        <v>891</v>
      </c>
      <c r="E508" s="73" t="s">
        <v>705</v>
      </c>
      <c r="F508" s="73" t="s">
        <v>733</v>
      </c>
      <c r="G508" s="73" t="s">
        <v>107</v>
      </c>
      <c r="H508" s="73" t="s">
        <v>1755</v>
      </c>
      <c r="I508" s="73" t="s">
        <v>893</v>
      </c>
      <c r="J508" s="73" t="s">
        <v>910</v>
      </c>
      <c r="K508" s="73" t="s">
        <v>895</v>
      </c>
      <c r="L508" s="103" t="n">
        <v>0</v>
      </c>
    </row>
    <row r="509" customFormat="false" ht="15" hidden="false" customHeight="true" outlineLevel="0" collapsed="false">
      <c r="A509" s="73" t="s">
        <v>1756</v>
      </c>
      <c r="B509" s="73" t="s">
        <v>851</v>
      </c>
      <c r="C509" s="73" t="s">
        <v>653</v>
      </c>
      <c r="D509" s="73" t="s">
        <v>891</v>
      </c>
      <c r="E509" s="73" t="s">
        <v>705</v>
      </c>
      <c r="F509" s="73" t="s">
        <v>733</v>
      </c>
      <c r="G509" s="73" t="s">
        <v>109</v>
      </c>
      <c r="H509" s="73" t="s">
        <v>1757</v>
      </c>
      <c r="I509" s="73" t="s">
        <v>893</v>
      </c>
      <c r="J509" s="73" t="s">
        <v>913</v>
      </c>
      <c r="K509" s="73" t="s">
        <v>895</v>
      </c>
      <c r="L509" s="103" t="n">
        <v>0</v>
      </c>
    </row>
    <row r="510" customFormat="false" ht="15" hidden="false" customHeight="true" outlineLevel="0" collapsed="false">
      <c r="A510" s="73" t="s">
        <v>1758</v>
      </c>
      <c r="B510" s="73" t="s">
        <v>851</v>
      </c>
      <c r="C510" s="73" t="s">
        <v>653</v>
      </c>
      <c r="D510" s="73" t="s">
        <v>891</v>
      </c>
      <c r="E510" s="73" t="s">
        <v>705</v>
      </c>
      <c r="F510" s="73" t="s">
        <v>733</v>
      </c>
      <c r="G510" s="73" t="s">
        <v>111</v>
      </c>
      <c r="H510" s="73" t="s">
        <v>1759</v>
      </c>
      <c r="I510" s="73" t="s">
        <v>893</v>
      </c>
      <c r="J510" s="73" t="s">
        <v>916</v>
      </c>
      <c r="K510" s="73" t="s">
        <v>895</v>
      </c>
      <c r="L510" s="103" t="n">
        <v>0</v>
      </c>
    </row>
    <row r="511" customFormat="false" ht="15" hidden="false" customHeight="true" outlineLevel="0" collapsed="false">
      <c r="A511" s="73" t="s">
        <v>1760</v>
      </c>
      <c r="B511" s="73" t="s">
        <v>851</v>
      </c>
      <c r="C511" s="73" t="s">
        <v>653</v>
      </c>
      <c r="D511" s="73" t="s">
        <v>918</v>
      </c>
      <c r="E511" s="73" t="s">
        <v>705</v>
      </c>
      <c r="F511" s="73" t="s">
        <v>733</v>
      </c>
      <c r="G511" s="73" t="s">
        <v>96</v>
      </c>
      <c r="H511" s="73" t="s">
        <v>1761</v>
      </c>
      <c r="I511" s="73" t="s">
        <v>893</v>
      </c>
      <c r="J511" s="73" t="s">
        <v>920</v>
      </c>
      <c r="K511" s="73" t="s">
        <v>895</v>
      </c>
      <c r="L511" s="103" t="n">
        <v>0</v>
      </c>
    </row>
    <row r="512" customFormat="false" ht="15" hidden="false" customHeight="true" outlineLevel="0" collapsed="false">
      <c r="A512" s="73" t="s">
        <v>1762</v>
      </c>
      <c r="B512" s="73" t="s">
        <v>851</v>
      </c>
      <c r="C512" s="73" t="s">
        <v>653</v>
      </c>
      <c r="D512" s="73" t="s">
        <v>918</v>
      </c>
      <c r="E512" s="73" t="s">
        <v>705</v>
      </c>
      <c r="F512" s="73" t="s">
        <v>733</v>
      </c>
      <c r="G512" s="73" t="s">
        <v>99</v>
      </c>
      <c r="H512" s="73" t="s">
        <v>1763</v>
      </c>
      <c r="I512" s="73" t="s">
        <v>893</v>
      </c>
      <c r="J512" s="73" t="s">
        <v>923</v>
      </c>
      <c r="K512" s="73" t="s">
        <v>895</v>
      </c>
      <c r="L512" s="103" t="n">
        <v>0</v>
      </c>
    </row>
    <row r="513" customFormat="false" ht="15" hidden="false" customHeight="true" outlineLevel="0" collapsed="false">
      <c r="A513" s="73" t="s">
        <v>1764</v>
      </c>
      <c r="B513" s="73" t="s">
        <v>851</v>
      </c>
      <c r="C513" s="73" t="s">
        <v>653</v>
      </c>
      <c r="D513" s="73" t="s">
        <v>918</v>
      </c>
      <c r="E513" s="73" t="s">
        <v>705</v>
      </c>
      <c r="F513" s="73" t="s">
        <v>733</v>
      </c>
      <c r="G513" s="73" t="s">
        <v>101</v>
      </c>
      <c r="H513" s="73" t="s">
        <v>1765</v>
      </c>
      <c r="I513" s="73" t="s">
        <v>893</v>
      </c>
      <c r="J513" s="73" t="s">
        <v>926</v>
      </c>
      <c r="K513" s="73" t="s">
        <v>895</v>
      </c>
      <c r="L513" s="103" t="n">
        <v>0</v>
      </c>
    </row>
    <row r="514" customFormat="false" ht="15" hidden="false" customHeight="true" outlineLevel="0" collapsed="false">
      <c r="A514" s="73" t="s">
        <v>1766</v>
      </c>
      <c r="B514" s="73" t="s">
        <v>851</v>
      </c>
      <c r="C514" s="73" t="s">
        <v>653</v>
      </c>
      <c r="D514" s="73" t="s">
        <v>918</v>
      </c>
      <c r="E514" s="73" t="s">
        <v>705</v>
      </c>
      <c r="F514" s="73" t="s">
        <v>733</v>
      </c>
      <c r="G514" s="73" t="s">
        <v>103</v>
      </c>
      <c r="H514" s="73" t="s">
        <v>1767</v>
      </c>
      <c r="I514" s="73" t="s">
        <v>893</v>
      </c>
      <c r="J514" s="73" t="s">
        <v>929</v>
      </c>
      <c r="K514" s="73" t="s">
        <v>895</v>
      </c>
      <c r="L514" s="103" t="n">
        <v>0</v>
      </c>
    </row>
    <row r="515" customFormat="false" ht="15" hidden="false" customHeight="true" outlineLevel="0" collapsed="false">
      <c r="A515" s="73" t="s">
        <v>1768</v>
      </c>
      <c r="B515" s="73" t="s">
        <v>851</v>
      </c>
      <c r="C515" s="73" t="s">
        <v>653</v>
      </c>
      <c r="D515" s="73" t="s">
        <v>918</v>
      </c>
      <c r="E515" s="73" t="s">
        <v>705</v>
      </c>
      <c r="F515" s="73" t="s">
        <v>733</v>
      </c>
      <c r="G515" s="73" t="s">
        <v>105</v>
      </c>
      <c r="H515" s="73" t="s">
        <v>1769</v>
      </c>
      <c r="I515" s="73" t="s">
        <v>893</v>
      </c>
      <c r="J515" s="73" t="s">
        <v>932</v>
      </c>
      <c r="K515" s="73" t="s">
        <v>895</v>
      </c>
      <c r="L515" s="103" t="n">
        <v>0</v>
      </c>
    </row>
    <row r="516" customFormat="false" ht="15" hidden="false" customHeight="true" outlineLevel="0" collapsed="false">
      <c r="A516" s="73" t="s">
        <v>1770</v>
      </c>
      <c r="B516" s="73" t="s">
        <v>851</v>
      </c>
      <c r="C516" s="73" t="s">
        <v>653</v>
      </c>
      <c r="D516" s="73" t="s">
        <v>918</v>
      </c>
      <c r="E516" s="73" t="s">
        <v>705</v>
      </c>
      <c r="F516" s="73" t="s">
        <v>733</v>
      </c>
      <c r="G516" s="73" t="s">
        <v>107</v>
      </c>
      <c r="H516" s="73" t="s">
        <v>1771</v>
      </c>
      <c r="I516" s="73" t="s">
        <v>893</v>
      </c>
      <c r="J516" s="73" t="s">
        <v>935</v>
      </c>
      <c r="K516" s="73" t="s">
        <v>895</v>
      </c>
      <c r="L516" s="103" t="n">
        <v>0</v>
      </c>
    </row>
    <row r="517" customFormat="false" ht="15" hidden="false" customHeight="true" outlineLevel="0" collapsed="false">
      <c r="A517" s="73" t="s">
        <v>1772</v>
      </c>
      <c r="B517" s="73" t="s">
        <v>851</v>
      </c>
      <c r="C517" s="73" t="s">
        <v>653</v>
      </c>
      <c r="D517" s="73" t="s">
        <v>918</v>
      </c>
      <c r="E517" s="73" t="s">
        <v>705</v>
      </c>
      <c r="F517" s="73" t="s">
        <v>733</v>
      </c>
      <c r="G517" s="73" t="s">
        <v>109</v>
      </c>
      <c r="H517" s="73" t="s">
        <v>1773</v>
      </c>
      <c r="I517" s="73" t="s">
        <v>893</v>
      </c>
      <c r="J517" s="73" t="s">
        <v>938</v>
      </c>
      <c r="K517" s="73" t="s">
        <v>895</v>
      </c>
      <c r="L517" s="103" t="n">
        <v>0</v>
      </c>
    </row>
    <row r="518" customFormat="false" ht="15" hidden="false" customHeight="true" outlineLevel="0" collapsed="false">
      <c r="A518" s="73" t="s">
        <v>1774</v>
      </c>
      <c r="B518" s="73" t="s">
        <v>851</v>
      </c>
      <c r="C518" s="73" t="s">
        <v>653</v>
      </c>
      <c r="D518" s="73" t="s">
        <v>918</v>
      </c>
      <c r="E518" s="73" t="s">
        <v>705</v>
      </c>
      <c r="F518" s="73" t="s">
        <v>733</v>
      </c>
      <c r="G518" s="73" t="s">
        <v>111</v>
      </c>
      <c r="H518" s="73" t="s">
        <v>1775</v>
      </c>
      <c r="I518" s="73" t="s">
        <v>893</v>
      </c>
      <c r="J518" s="73" t="s">
        <v>941</v>
      </c>
      <c r="K518" s="73" t="s">
        <v>895</v>
      </c>
      <c r="L518" s="103" t="n">
        <v>0</v>
      </c>
    </row>
    <row r="519" customFormat="false" ht="15" hidden="false" customHeight="true" outlineLevel="0" collapsed="false">
      <c r="A519" s="73" t="s">
        <v>1776</v>
      </c>
      <c r="B519" s="73" t="s">
        <v>851</v>
      </c>
      <c r="C519" s="73" t="s">
        <v>653</v>
      </c>
      <c r="D519" s="73" t="s">
        <v>943</v>
      </c>
      <c r="E519" s="73" t="s">
        <v>705</v>
      </c>
      <c r="F519" s="73" t="s">
        <v>733</v>
      </c>
      <c r="G519" s="73" t="s">
        <v>944</v>
      </c>
      <c r="H519" s="73" t="s">
        <v>1777</v>
      </c>
      <c r="I519" s="73" t="s">
        <v>893</v>
      </c>
      <c r="J519" s="73" t="s">
        <v>946</v>
      </c>
      <c r="K519" s="73"/>
      <c r="L519" s="103" t="n">
        <v>4.5</v>
      </c>
    </row>
    <row r="520" customFormat="false" ht="15" hidden="false" customHeight="true" outlineLevel="0" collapsed="false">
      <c r="A520" s="73" t="s">
        <v>1778</v>
      </c>
      <c r="B520" s="73" t="s">
        <v>851</v>
      </c>
      <c r="C520" s="73" t="s">
        <v>653</v>
      </c>
      <c r="D520" s="73" t="s">
        <v>948</v>
      </c>
      <c r="E520" s="73" t="s">
        <v>705</v>
      </c>
      <c r="F520" s="73" t="s">
        <v>733</v>
      </c>
      <c r="G520" s="73" t="s">
        <v>655</v>
      </c>
      <c r="H520" s="73" t="s">
        <v>1779</v>
      </c>
      <c r="I520" s="73" t="s">
        <v>708</v>
      </c>
      <c r="J520" s="73" t="s">
        <v>950</v>
      </c>
      <c r="K520" s="73" t="s">
        <v>951</v>
      </c>
      <c r="L520" s="103" t="n">
        <v>0</v>
      </c>
    </row>
    <row r="521" customFormat="false" ht="15" hidden="false" customHeight="true" outlineLevel="0" collapsed="false">
      <c r="A521" s="73" t="s">
        <v>1780</v>
      </c>
      <c r="B521" s="73" t="s">
        <v>851</v>
      </c>
      <c r="C521" s="73" t="s">
        <v>653</v>
      </c>
      <c r="D521" s="73" t="s">
        <v>953</v>
      </c>
      <c r="E521" s="73" t="s">
        <v>705</v>
      </c>
      <c r="F521" s="73" t="s">
        <v>733</v>
      </c>
      <c r="G521" s="73" t="s">
        <v>655</v>
      </c>
      <c r="H521" s="73" t="s">
        <v>1781</v>
      </c>
      <c r="I521" s="73" t="s">
        <v>955</v>
      </c>
      <c r="J521" s="73" t="s">
        <v>956</v>
      </c>
      <c r="K521" s="73" t="s">
        <v>951</v>
      </c>
      <c r="L521" s="103" t="n">
        <v>0</v>
      </c>
    </row>
    <row r="522" customFormat="false" ht="15" hidden="false" customHeight="true" outlineLevel="0" collapsed="false">
      <c r="A522" s="73" t="s">
        <v>1782</v>
      </c>
      <c r="B522" s="73" t="s">
        <v>851</v>
      </c>
      <c r="C522" s="73" t="s">
        <v>653</v>
      </c>
      <c r="D522" s="73" t="s">
        <v>867</v>
      </c>
      <c r="E522" s="73" t="s">
        <v>705</v>
      </c>
      <c r="F522" s="73" t="s">
        <v>744</v>
      </c>
      <c r="G522" s="73" t="s">
        <v>655</v>
      </c>
      <c r="H522" s="73" t="s">
        <v>1783</v>
      </c>
      <c r="I522" s="73" t="s">
        <v>869</v>
      </c>
      <c r="J522" s="73" t="s">
        <v>1008</v>
      </c>
      <c r="K522" s="73" t="s">
        <v>871</v>
      </c>
      <c r="L522" s="107" t="n">
        <v>0</v>
      </c>
    </row>
    <row r="523" customFormat="false" ht="15" hidden="false" customHeight="true" outlineLevel="0" collapsed="false">
      <c r="A523" s="73" t="s">
        <v>1784</v>
      </c>
      <c r="B523" s="73" t="s">
        <v>851</v>
      </c>
      <c r="C523" s="73" t="s">
        <v>653</v>
      </c>
      <c r="D523" s="73" t="s">
        <v>873</v>
      </c>
      <c r="E523" s="73" t="s">
        <v>705</v>
      </c>
      <c r="F523" s="73" t="s">
        <v>744</v>
      </c>
      <c r="G523" s="73" t="s">
        <v>655</v>
      </c>
      <c r="H523" s="73" t="s">
        <v>1785</v>
      </c>
      <c r="I523" s="73" t="s">
        <v>875</v>
      </c>
      <c r="J523" s="73" t="s">
        <v>876</v>
      </c>
      <c r="K523" s="73"/>
      <c r="L523" s="104" t="n">
        <v>1</v>
      </c>
    </row>
    <row r="524" customFormat="false" ht="15" hidden="false" customHeight="true" outlineLevel="0" collapsed="false">
      <c r="A524" s="73" t="s">
        <v>1786</v>
      </c>
      <c r="B524" s="73" t="s">
        <v>851</v>
      </c>
      <c r="C524" s="73" t="s">
        <v>653</v>
      </c>
      <c r="D524" s="73" t="s">
        <v>878</v>
      </c>
      <c r="E524" s="73" t="s">
        <v>705</v>
      </c>
      <c r="F524" s="73" t="s">
        <v>744</v>
      </c>
      <c r="G524" s="73" t="s">
        <v>655</v>
      </c>
      <c r="H524" s="73" t="s">
        <v>1787</v>
      </c>
      <c r="I524" s="73" t="s">
        <v>880</v>
      </c>
      <c r="J524" s="73" t="s">
        <v>881</v>
      </c>
      <c r="K524" s="73"/>
      <c r="L524" s="104" t="n">
        <v>0.2</v>
      </c>
    </row>
    <row r="525" customFormat="false" ht="15" hidden="false" customHeight="true" outlineLevel="0" collapsed="false">
      <c r="A525" s="73" t="s">
        <v>1788</v>
      </c>
      <c r="B525" s="73" t="s">
        <v>851</v>
      </c>
      <c r="C525" s="73" t="s">
        <v>653</v>
      </c>
      <c r="D525" s="73" t="s">
        <v>883</v>
      </c>
      <c r="E525" s="73" t="s">
        <v>705</v>
      </c>
      <c r="F525" s="73" t="s">
        <v>744</v>
      </c>
      <c r="G525" s="73" t="s">
        <v>655</v>
      </c>
      <c r="H525" s="73" t="s">
        <v>1789</v>
      </c>
      <c r="I525" s="73" t="s">
        <v>880</v>
      </c>
      <c r="J525" s="73" t="s">
        <v>885</v>
      </c>
      <c r="K525" s="73"/>
      <c r="L525" s="104" t="n">
        <v>0.1</v>
      </c>
    </row>
    <row r="526" customFormat="false" ht="15" hidden="false" customHeight="true" outlineLevel="0" collapsed="false">
      <c r="A526" s="73" t="s">
        <v>1790</v>
      </c>
      <c r="B526" s="73" t="s">
        <v>851</v>
      </c>
      <c r="C526" s="73" t="s">
        <v>653</v>
      </c>
      <c r="D526" s="73" t="s">
        <v>887</v>
      </c>
      <c r="E526" s="73" t="s">
        <v>705</v>
      </c>
      <c r="F526" s="73" t="s">
        <v>744</v>
      </c>
      <c r="G526" s="73" t="s">
        <v>655</v>
      </c>
      <c r="H526" s="73" t="s">
        <v>1791</v>
      </c>
      <c r="I526" s="73" t="s">
        <v>880</v>
      </c>
      <c r="J526" s="73" t="s">
        <v>889</v>
      </c>
      <c r="K526" s="73"/>
      <c r="L526" s="104" t="n">
        <v>0.05</v>
      </c>
    </row>
    <row r="527" customFormat="false" ht="15" hidden="false" customHeight="true" outlineLevel="0" collapsed="false">
      <c r="A527" s="73" t="s">
        <v>1792</v>
      </c>
      <c r="B527" s="73" t="s">
        <v>851</v>
      </c>
      <c r="C527" s="73" t="s">
        <v>653</v>
      </c>
      <c r="D527" s="73" t="s">
        <v>891</v>
      </c>
      <c r="E527" s="73" t="s">
        <v>705</v>
      </c>
      <c r="F527" s="73" t="s">
        <v>744</v>
      </c>
      <c r="G527" s="73" t="s">
        <v>96</v>
      </c>
      <c r="H527" s="73" t="s">
        <v>1793</v>
      </c>
      <c r="I527" s="73" t="s">
        <v>893</v>
      </c>
      <c r="J527" s="73" t="s">
        <v>894</v>
      </c>
      <c r="K527" s="73" t="s">
        <v>895</v>
      </c>
      <c r="L527" s="103" t="n">
        <v>4</v>
      </c>
    </row>
    <row r="528" customFormat="false" ht="15" hidden="false" customHeight="true" outlineLevel="0" collapsed="false">
      <c r="A528" s="73" t="s">
        <v>1794</v>
      </c>
      <c r="B528" s="73" t="s">
        <v>851</v>
      </c>
      <c r="C528" s="73" t="s">
        <v>653</v>
      </c>
      <c r="D528" s="73" t="s">
        <v>891</v>
      </c>
      <c r="E528" s="73" t="s">
        <v>705</v>
      </c>
      <c r="F528" s="73" t="s">
        <v>744</v>
      </c>
      <c r="G528" s="73" t="s">
        <v>99</v>
      </c>
      <c r="H528" s="73" t="s">
        <v>1795</v>
      </c>
      <c r="I528" s="73" t="s">
        <v>893</v>
      </c>
      <c r="J528" s="73" t="s">
        <v>898</v>
      </c>
      <c r="K528" s="73" t="s">
        <v>895</v>
      </c>
      <c r="L528" s="103" t="n">
        <v>0.5</v>
      </c>
    </row>
    <row r="529" customFormat="false" ht="15" hidden="false" customHeight="true" outlineLevel="0" collapsed="false">
      <c r="A529" s="73" t="s">
        <v>1796</v>
      </c>
      <c r="B529" s="73" t="s">
        <v>851</v>
      </c>
      <c r="C529" s="73" t="s">
        <v>653</v>
      </c>
      <c r="D529" s="73" t="s">
        <v>891</v>
      </c>
      <c r="E529" s="73" t="s">
        <v>705</v>
      </c>
      <c r="F529" s="73" t="s">
        <v>744</v>
      </c>
      <c r="G529" s="73" t="s">
        <v>101</v>
      </c>
      <c r="H529" s="73" t="s">
        <v>1797</v>
      </c>
      <c r="I529" s="73" t="s">
        <v>893</v>
      </c>
      <c r="J529" s="73" t="s">
        <v>901</v>
      </c>
      <c r="K529" s="73" t="s">
        <v>895</v>
      </c>
      <c r="L529" s="103" t="n">
        <v>0</v>
      </c>
    </row>
    <row r="530" customFormat="false" ht="15" hidden="false" customHeight="true" outlineLevel="0" collapsed="false">
      <c r="A530" s="73" t="s">
        <v>1798</v>
      </c>
      <c r="B530" s="73" t="s">
        <v>851</v>
      </c>
      <c r="C530" s="73" t="s">
        <v>653</v>
      </c>
      <c r="D530" s="73" t="s">
        <v>891</v>
      </c>
      <c r="E530" s="73" t="s">
        <v>705</v>
      </c>
      <c r="F530" s="73" t="s">
        <v>744</v>
      </c>
      <c r="G530" s="73" t="s">
        <v>103</v>
      </c>
      <c r="H530" s="73" t="s">
        <v>1799</v>
      </c>
      <c r="I530" s="73" t="s">
        <v>893</v>
      </c>
      <c r="J530" s="73" t="s">
        <v>904</v>
      </c>
      <c r="K530" s="73" t="s">
        <v>895</v>
      </c>
      <c r="L530" s="103" t="n">
        <v>0</v>
      </c>
    </row>
    <row r="531" customFormat="false" ht="15" hidden="false" customHeight="true" outlineLevel="0" collapsed="false">
      <c r="A531" s="73" t="s">
        <v>1800</v>
      </c>
      <c r="B531" s="73" t="s">
        <v>851</v>
      </c>
      <c r="C531" s="73" t="s">
        <v>653</v>
      </c>
      <c r="D531" s="73" t="s">
        <v>891</v>
      </c>
      <c r="E531" s="73" t="s">
        <v>705</v>
      </c>
      <c r="F531" s="73" t="s">
        <v>744</v>
      </c>
      <c r="G531" s="73" t="s">
        <v>105</v>
      </c>
      <c r="H531" s="73" t="s">
        <v>1801</v>
      </c>
      <c r="I531" s="73" t="s">
        <v>893</v>
      </c>
      <c r="J531" s="73" t="s">
        <v>907</v>
      </c>
      <c r="K531" s="73" t="s">
        <v>895</v>
      </c>
      <c r="L531" s="103" t="n">
        <v>0</v>
      </c>
    </row>
    <row r="532" customFormat="false" ht="15" hidden="false" customHeight="true" outlineLevel="0" collapsed="false">
      <c r="A532" s="73" t="s">
        <v>1802</v>
      </c>
      <c r="B532" s="73" t="s">
        <v>851</v>
      </c>
      <c r="C532" s="73" t="s">
        <v>653</v>
      </c>
      <c r="D532" s="73" t="s">
        <v>891</v>
      </c>
      <c r="E532" s="73" t="s">
        <v>705</v>
      </c>
      <c r="F532" s="73" t="s">
        <v>744</v>
      </c>
      <c r="G532" s="73" t="s">
        <v>107</v>
      </c>
      <c r="H532" s="73" t="s">
        <v>1803</v>
      </c>
      <c r="I532" s="73" t="s">
        <v>893</v>
      </c>
      <c r="J532" s="73" t="s">
        <v>910</v>
      </c>
      <c r="K532" s="73" t="s">
        <v>895</v>
      </c>
      <c r="L532" s="103" t="n">
        <v>0</v>
      </c>
    </row>
    <row r="533" customFormat="false" ht="15" hidden="false" customHeight="true" outlineLevel="0" collapsed="false">
      <c r="A533" s="73" t="s">
        <v>1804</v>
      </c>
      <c r="B533" s="73" t="s">
        <v>851</v>
      </c>
      <c r="C533" s="73" t="s">
        <v>653</v>
      </c>
      <c r="D533" s="73" t="s">
        <v>891</v>
      </c>
      <c r="E533" s="73" t="s">
        <v>705</v>
      </c>
      <c r="F533" s="73" t="s">
        <v>744</v>
      </c>
      <c r="G533" s="73" t="s">
        <v>109</v>
      </c>
      <c r="H533" s="73" t="s">
        <v>1805</v>
      </c>
      <c r="I533" s="73" t="s">
        <v>893</v>
      </c>
      <c r="J533" s="73" t="s">
        <v>913</v>
      </c>
      <c r="K533" s="73" t="s">
        <v>895</v>
      </c>
      <c r="L533" s="103" t="n">
        <v>0</v>
      </c>
    </row>
    <row r="534" customFormat="false" ht="15" hidden="false" customHeight="true" outlineLevel="0" collapsed="false">
      <c r="A534" s="73" t="s">
        <v>1806</v>
      </c>
      <c r="B534" s="73" t="s">
        <v>851</v>
      </c>
      <c r="C534" s="73" t="s">
        <v>653</v>
      </c>
      <c r="D534" s="73" t="s">
        <v>891</v>
      </c>
      <c r="E534" s="73" t="s">
        <v>705</v>
      </c>
      <c r="F534" s="73" t="s">
        <v>744</v>
      </c>
      <c r="G534" s="73" t="s">
        <v>111</v>
      </c>
      <c r="H534" s="73" t="s">
        <v>1807</v>
      </c>
      <c r="I534" s="73" t="s">
        <v>893</v>
      </c>
      <c r="J534" s="73" t="s">
        <v>916</v>
      </c>
      <c r="K534" s="73" t="s">
        <v>895</v>
      </c>
      <c r="L534" s="103" t="n">
        <v>0</v>
      </c>
    </row>
    <row r="535" customFormat="false" ht="15" hidden="false" customHeight="true" outlineLevel="0" collapsed="false">
      <c r="A535" s="73" t="s">
        <v>1808</v>
      </c>
      <c r="B535" s="73" t="s">
        <v>851</v>
      </c>
      <c r="C535" s="73" t="s">
        <v>653</v>
      </c>
      <c r="D535" s="73" t="s">
        <v>918</v>
      </c>
      <c r="E535" s="73" t="s">
        <v>705</v>
      </c>
      <c r="F535" s="73" t="s">
        <v>744</v>
      </c>
      <c r="G535" s="73" t="s">
        <v>96</v>
      </c>
      <c r="H535" s="73" t="s">
        <v>1809</v>
      </c>
      <c r="I535" s="73" t="s">
        <v>893</v>
      </c>
      <c r="J535" s="73" t="s">
        <v>920</v>
      </c>
      <c r="K535" s="73" t="s">
        <v>895</v>
      </c>
      <c r="L535" s="103" t="n">
        <v>16</v>
      </c>
    </row>
    <row r="536" customFormat="false" ht="15" hidden="false" customHeight="true" outlineLevel="0" collapsed="false">
      <c r="A536" s="73" t="s">
        <v>1810</v>
      </c>
      <c r="B536" s="73" t="s">
        <v>851</v>
      </c>
      <c r="C536" s="73" t="s">
        <v>653</v>
      </c>
      <c r="D536" s="73" t="s">
        <v>918</v>
      </c>
      <c r="E536" s="73" t="s">
        <v>705</v>
      </c>
      <c r="F536" s="73" t="s">
        <v>744</v>
      </c>
      <c r="G536" s="73" t="s">
        <v>99</v>
      </c>
      <c r="H536" s="73" t="s">
        <v>1811</v>
      </c>
      <c r="I536" s="73" t="s">
        <v>893</v>
      </c>
      <c r="J536" s="73" t="s">
        <v>923</v>
      </c>
      <c r="K536" s="73" t="s">
        <v>895</v>
      </c>
      <c r="L536" s="103" t="n">
        <v>0</v>
      </c>
    </row>
    <row r="537" customFormat="false" ht="15" hidden="false" customHeight="true" outlineLevel="0" collapsed="false">
      <c r="A537" s="73" t="s">
        <v>1812</v>
      </c>
      <c r="B537" s="73" t="s">
        <v>851</v>
      </c>
      <c r="C537" s="73" t="s">
        <v>653</v>
      </c>
      <c r="D537" s="73" t="s">
        <v>918</v>
      </c>
      <c r="E537" s="73" t="s">
        <v>705</v>
      </c>
      <c r="F537" s="73" t="s">
        <v>744</v>
      </c>
      <c r="G537" s="73" t="s">
        <v>101</v>
      </c>
      <c r="H537" s="73" t="s">
        <v>1813</v>
      </c>
      <c r="I537" s="73" t="s">
        <v>893</v>
      </c>
      <c r="J537" s="73" t="s">
        <v>926</v>
      </c>
      <c r="K537" s="73" t="s">
        <v>895</v>
      </c>
      <c r="L537" s="103" t="n">
        <v>0</v>
      </c>
    </row>
    <row r="538" customFormat="false" ht="15" hidden="false" customHeight="true" outlineLevel="0" collapsed="false">
      <c r="A538" s="73" t="s">
        <v>1814</v>
      </c>
      <c r="B538" s="73" t="s">
        <v>851</v>
      </c>
      <c r="C538" s="73" t="s">
        <v>653</v>
      </c>
      <c r="D538" s="73" t="s">
        <v>918</v>
      </c>
      <c r="E538" s="73" t="s">
        <v>705</v>
      </c>
      <c r="F538" s="73" t="s">
        <v>744</v>
      </c>
      <c r="G538" s="73" t="s">
        <v>103</v>
      </c>
      <c r="H538" s="73" t="s">
        <v>1815</v>
      </c>
      <c r="I538" s="73" t="s">
        <v>893</v>
      </c>
      <c r="J538" s="73" t="s">
        <v>929</v>
      </c>
      <c r="K538" s="73" t="s">
        <v>895</v>
      </c>
      <c r="L538" s="103" t="n">
        <v>0</v>
      </c>
    </row>
    <row r="539" customFormat="false" ht="15" hidden="false" customHeight="true" outlineLevel="0" collapsed="false">
      <c r="A539" s="73" t="s">
        <v>1816</v>
      </c>
      <c r="B539" s="73" t="s">
        <v>851</v>
      </c>
      <c r="C539" s="73" t="s">
        <v>653</v>
      </c>
      <c r="D539" s="73" t="s">
        <v>918</v>
      </c>
      <c r="E539" s="73" t="s">
        <v>705</v>
      </c>
      <c r="F539" s="73" t="s">
        <v>744</v>
      </c>
      <c r="G539" s="73" t="s">
        <v>105</v>
      </c>
      <c r="H539" s="73" t="s">
        <v>1817</v>
      </c>
      <c r="I539" s="73" t="s">
        <v>893</v>
      </c>
      <c r="J539" s="73" t="s">
        <v>932</v>
      </c>
      <c r="K539" s="73" t="s">
        <v>895</v>
      </c>
      <c r="L539" s="103" t="n">
        <v>0</v>
      </c>
    </row>
    <row r="540" customFormat="false" ht="15" hidden="false" customHeight="true" outlineLevel="0" collapsed="false">
      <c r="A540" s="73" t="s">
        <v>1818</v>
      </c>
      <c r="B540" s="73" t="s">
        <v>851</v>
      </c>
      <c r="C540" s="73" t="s">
        <v>653</v>
      </c>
      <c r="D540" s="73" t="s">
        <v>918</v>
      </c>
      <c r="E540" s="73" t="s">
        <v>705</v>
      </c>
      <c r="F540" s="73" t="s">
        <v>744</v>
      </c>
      <c r="G540" s="73" t="s">
        <v>107</v>
      </c>
      <c r="H540" s="73" t="s">
        <v>1819</v>
      </c>
      <c r="I540" s="73" t="s">
        <v>893</v>
      </c>
      <c r="J540" s="73" t="s">
        <v>935</v>
      </c>
      <c r="K540" s="73" t="s">
        <v>895</v>
      </c>
      <c r="L540" s="103" t="n">
        <v>0</v>
      </c>
    </row>
    <row r="541" customFormat="false" ht="15" hidden="false" customHeight="true" outlineLevel="0" collapsed="false">
      <c r="A541" s="73" t="s">
        <v>1820</v>
      </c>
      <c r="B541" s="73" t="s">
        <v>851</v>
      </c>
      <c r="C541" s="73" t="s">
        <v>653</v>
      </c>
      <c r="D541" s="73" t="s">
        <v>918</v>
      </c>
      <c r="E541" s="73" t="s">
        <v>705</v>
      </c>
      <c r="F541" s="73" t="s">
        <v>744</v>
      </c>
      <c r="G541" s="73" t="s">
        <v>109</v>
      </c>
      <c r="H541" s="73" t="s">
        <v>1821</v>
      </c>
      <c r="I541" s="73" t="s">
        <v>893</v>
      </c>
      <c r="J541" s="73" t="s">
        <v>938</v>
      </c>
      <c r="K541" s="73" t="s">
        <v>895</v>
      </c>
      <c r="L541" s="103" t="n">
        <v>0</v>
      </c>
    </row>
    <row r="542" customFormat="false" ht="15" hidden="false" customHeight="true" outlineLevel="0" collapsed="false">
      <c r="A542" s="73" t="s">
        <v>1822</v>
      </c>
      <c r="B542" s="73" t="s">
        <v>851</v>
      </c>
      <c r="C542" s="73" t="s">
        <v>653</v>
      </c>
      <c r="D542" s="73" t="s">
        <v>918</v>
      </c>
      <c r="E542" s="73" t="s">
        <v>705</v>
      </c>
      <c r="F542" s="73" t="s">
        <v>744</v>
      </c>
      <c r="G542" s="73" t="s">
        <v>111</v>
      </c>
      <c r="H542" s="73" t="s">
        <v>1823</v>
      </c>
      <c r="I542" s="73" t="s">
        <v>893</v>
      </c>
      <c r="J542" s="73" t="s">
        <v>941</v>
      </c>
      <c r="K542" s="73" t="s">
        <v>895</v>
      </c>
      <c r="L542" s="103" t="n">
        <v>0</v>
      </c>
    </row>
    <row r="543" customFormat="false" ht="15" hidden="false" customHeight="true" outlineLevel="0" collapsed="false">
      <c r="A543" s="73" t="s">
        <v>1824</v>
      </c>
      <c r="B543" s="73" t="s">
        <v>851</v>
      </c>
      <c r="C543" s="73" t="s">
        <v>653</v>
      </c>
      <c r="D543" s="73" t="s">
        <v>943</v>
      </c>
      <c r="E543" s="73" t="s">
        <v>705</v>
      </c>
      <c r="F543" s="73" t="s">
        <v>744</v>
      </c>
      <c r="G543" s="73" t="s">
        <v>944</v>
      </c>
      <c r="H543" s="73" t="s">
        <v>1825</v>
      </c>
      <c r="I543" s="73" t="s">
        <v>893</v>
      </c>
      <c r="J543" s="73" t="s">
        <v>946</v>
      </c>
      <c r="K543" s="73"/>
      <c r="L543" s="103" t="n">
        <v>1.5</v>
      </c>
    </row>
    <row r="544" customFormat="false" ht="15" hidden="false" customHeight="true" outlineLevel="0" collapsed="false">
      <c r="A544" s="73" t="s">
        <v>1826</v>
      </c>
      <c r="B544" s="73" t="s">
        <v>851</v>
      </c>
      <c r="C544" s="73" t="s">
        <v>653</v>
      </c>
      <c r="D544" s="73" t="s">
        <v>948</v>
      </c>
      <c r="E544" s="73" t="s">
        <v>705</v>
      </c>
      <c r="F544" s="73" t="s">
        <v>744</v>
      </c>
      <c r="G544" s="73" t="s">
        <v>655</v>
      </c>
      <c r="H544" s="73" t="s">
        <v>1827</v>
      </c>
      <c r="I544" s="73" t="s">
        <v>708</v>
      </c>
      <c r="J544" s="73" t="s">
        <v>950</v>
      </c>
      <c r="K544" s="73" t="s">
        <v>951</v>
      </c>
      <c r="L544" s="103" t="n">
        <v>0.2</v>
      </c>
    </row>
    <row r="545" customFormat="false" ht="15" hidden="false" customHeight="true" outlineLevel="0" collapsed="false">
      <c r="A545" s="73" t="s">
        <v>1828</v>
      </c>
      <c r="B545" s="73" t="s">
        <v>851</v>
      </c>
      <c r="C545" s="73" t="s">
        <v>653</v>
      </c>
      <c r="D545" s="73" t="s">
        <v>953</v>
      </c>
      <c r="E545" s="73" t="s">
        <v>705</v>
      </c>
      <c r="F545" s="73" t="s">
        <v>744</v>
      </c>
      <c r="G545" s="73" t="s">
        <v>655</v>
      </c>
      <c r="H545" s="73" t="s">
        <v>1829</v>
      </c>
      <c r="I545" s="73" t="s">
        <v>955</v>
      </c>
      <c r="J545" s="73" t="s">
        <v>956</v>
      </c>
      <c r="K545" s="73" t="s">
        <v>951</v>
      </c>
      <c r="L545" s="103" t="n">
        <v>0</v>
      </c>
    </row>
    <row r="546" customFormat="false" ht="15" hidden="false" customHeight="true" outlineLevel="0" collapsed="false">
      <c r="A546" s="73" t="s">
        <v>1830</v>
      </c>
      <c r="B546" s="73" t="s">
        <v>851</v>
      </c>
      <c r="C546" s="73" t="s">
        <v>653</v>
      </c>
      <c r="D546" s="73" t="s">
        <v>867</v>
      </c>
      <c r="E546" s="73" t="s">
        <v>755</v>
      </c>
      <c r="F546" s="73" t="s">
        <v>756</v>
      </c>
      <c r="G546" s="73" t="s">
        <v>655</v>
      </c>
      <c r="H546" s="73" t="s">
        <v>1831</v>
      </c>
      <c r="I546" s="73" t="s">
        <v>869</v>
      </c>
      <c r="J546" s="73" t="s">
        <v>1057</v>
      </c>
      <c r="K546" s="73" t="s">
        <v>871</v>
      </c>
      <c r="L546" s="107" t="n">
        <v>15.5</v>
      </c>
    </row>
    <row r="547" customFormat="false" ht="15" hidden="false" customHeight="true" outlineLevel="0" collapsed="false">
      <c r="A547" s="73" t="s">
        <v>1832</v>
      </c>
      <c r="B547" s="73" t="s">
        <v>851</v>
      </c>
      <c r="C547" s="73" t="s">
        <v>653</v>
      </c>
      <c r="D547" s="73" t="s">
        <v>873</v>
      </c>
      <c r="E547" s="73" t="s">
        <v>755</v>
      </c>
      <c r="F547" s="73" t="s">
        <v>756</v>
      </c>
      <c r="G547" s="73" t="s">
        <v>655</v>
      </c>
      <c r="H547" s="73" t="s">
        <v>1833</v>
      </c>
      <c r="I547" s="73" t="s">
        <v>875</v>
      </c>
      <c r="J547" s="73" t="s">
        <v>876</v>
      </c>
      <c r="K547" s="73"/>
      <c r="L547" s="104" t="n">
        <v>0.9</v>
      </c>
    </row>
    <row r="548" customFormat="false" ht="15" hidden="false" customHeight="true" outlineLevel="0" collapsed="false">
      <c r="A548" s="73" t="s">
        <v>1834</v>
      </c>
      <c r="B548" s="73" t="s">
        <v>851</v>
      </c>
      <c r="C548" s="73" t="s">
        <v>653</v>
      </c>
      <c r="D548" s="73" t="s">
        <v>878</v>
      </c>
      <c r="E548" s="73" t="s">
        <v>755</v>
      </c>
      <c r="F548" s="73" t="s">
        <v>756</v>
      </c>
      <c r="G548" s="73" t="s">
        <v>655</v>
      </c>
      <c r="H548" s="73" t="s">
        <v>1835</v>
      </c>
      <c r="I548" s="73" t="s">
        <v>880</v>
      </c>
      <c r="J548" s="73" t="s">
        <v>881</v>
      </c>
      <c r="K548" s="73"/>
      <c r="L548" s="104" t="n">
        <v>0.05</v>
      </c>
    </row>
    <row r="549" customFormat="false" ht="15" hidden="false" customHeight="true" outlineLevel="0" collapsed="false">
      <c r="A549" s="73" t="s">
        <v>1836</v>
      </c>
      <c r="B549" s="73" t="s">
        <v>851</v>
      </c>
      <c r="C549" s="73" t="s">
        <v>653</v>
      </c>
      <c r="D549" s="73" t="s">
        <v>883</v>
      </c>
      <c r="E549" s="73" t="s">
        <v>755</v>
      </c>
      <c r="F549" s="73" t="s">
        <v>756</v>
      </c>
      <c r="G549" s="73" t="s">
        <v>655</v>
      </c>
      <c r="H549" s="73" t="s">
        <v>1837</v>
      </c>
      <c r="I549" s="73" t="s">
        <v>880</v>
      </c>
      <c r="J549" s="73" t="s">
        <v>885</v>
      </c>
      <c r="K549" s="73"/>
      <c r="L549" s="104" t="n">
        <v>0.01</v>
      </c>
    </row>
    <row r="550" customFormat="false" ht="15" hidden="false" customHeight="true" outlineLevel="0" collapsed="false">
      <c r="A550" s="73" t="s">
        <v>1838</v>
      </c>
      <c r="B550" s="73" t="s">
        <v>851</v>
      </c>
      <c r="C550" s="73" t="s">
        <v>653</v>
      </c>
      <c r="D550" s="73" t="s">
        <v>887</v>
      </c>
      <c r="E550" s="73" t="s">
        <v>755</v>
      </c>
      <c r="F550" s="73" t="s">
        <v>756</v>
      </c>
      <c r="G550" s="73" t="s">
        <v>655</v>
      </c>
      <c r="H550" s="73" t="s">
        <v>1839</v>
      </c>
      <c r="I550" s="73" t="s">
        <v>880</v>
      </c>
      <c r="J550" s="73" t="s">
        <v>889</v>
      </c>
      <c r="K550" s="73"/>
      <c r="L550" s="104" t="n">
        <v>0.05</v>
      </c>
    </row>
    <row r="551" customFormat="false" ht="15" hidden="false" customHeight="true" outlineLevel="0" collapsed="false">
      <c r="A551" s="73" t="s">
        <v>1840</v>
      </c>
      <c r="B551" s="73" t="s">
        <v>851</v>
      </c>
      <c r="C551" s="73" t="s">
        <v>653</v>
      </c>
      <c r="D551" s="73" t="s">
        <v>891</v>
      </c>
      <c r="E551" s="73" t="s">
        <v>755</v>
      </c>
      <c r="F551" s="73" t="s">
        <v>756</v>
      </c>
      <c r="G551" s="73" t="s">
        <v>96</v>
      </c>
      <c r="H551" s="73" t="s">
        <v>1841</v>
      </c>
      <c r="I551" s="73" t="s">
        <v>893</v>
      </c>
      <c r="J551" s="73" t="s">
        <v>894</v>
      </c>
      <c r="K551" s="73" t="s">
        <v>895</v>
      </c>
      <c r="L551" s="103" t="n">
        <v>0</v>
      </c>
    </row>
    <row r="552" customFormat="false" ht="15" hidden="false" customHeight="true" outlineLevel="0" collapsed="false">
      <c r="A552" s="73" t="s">
        <v>1842</v>
      </c>
      <c r="B552" s="73" t="s">
        <v>851</v>
      </c>
      <c r="C552" s="73" t="s">
        <v>653</v>
      </c>
      <c r="D552" s="73" t="s">
        <v>891</v>
      </c>
      <c r="E552" s="73" t="s">
        <v>755</v>
      </c>
      <c r="F552" s="73" t="s">
        <v>756</v>
      </c>
      <c r="G552" s="73" t="s">
        <v>99</v>
      </c>
      <c r="H552" s="73" t="s">
        <v>1843</v>
      </c>
      <c r="I552" s="73" t="s">
        <v>893</v>
      </c>
      <c r="J552" s="73" t="s">
        <v>898</v>
      </c>
      <c r="K552" s="73" t="s">
        <v>895</v>
      </c>
      <c r="L552" s="103" t="n">
        <v>2.5</v>
      </c>
    </row>
    <row r="553" customFormat="false" ht="15" hidden="false" customHeight="true" outlineLevel="0" collapsed="false">
      <c r="A553" s="73" t="s">
        <v>1844</v>
      </c>
      <c r="B553" s="73" t="s">
        <v>851</v>
      </c>
      <c r="C553" s="73" t="s">
        <v>653</v>
      </c>
      <c r="D553" s="73" t="s">
        <v>891</v>
      </c>
      <c r="E553" s="73" t="s">
        <v>755</v>
      </c>
      <c r="F553" s="73" t="s">
        <v>756</v>
      </c>
      <c r="G553" s="73" t="s">
        <v>101</v>
      </c>
      <c r="H553" s="73" t="s">
        <v>1845</v>
      </c>
      <c r="I553" s="73" t="s">
        <v>893</v>
      </c>
      <c r="J553" s="73" t="s">
        <v>901</v>
      </c>
      <c r="K553" s="73" t="s">
        <v>895</v>
      </c>
      <c r="L553" s="103" t="n">
        <v>0</v>
      </c>
    </row>
    <row r="554" customFormat="false" ht="15" hidden="false" customHeight="true" outlineLevel="0" collapsed="false">
      <c r="A554" s="73" t="s">
        <v>1846</v>
      </c>
      <c r="B554" s="73" t="s">
        <v>851</v>
      </c>
      <c r="C554" s="73" t="s">
        <v>653</v>
      </c>
      <c r="D554" s="73" t="s">
        <v>891</v>
      </c>
      <c r="E554" s="73" t="s">
        <v>755</v>
      </c>
      <c r="F554" s="73" t="s">
        <v>756</v>
      </c>
      <c r="G554" s="73" t="s">
        <v>103</v>
      </c>
      <c r="H554" s="73" t="s">
        <v>1847</v>
      </c>
      <c r="I554" s="73" t="s">
        <v>893</v>
      </c>
      <c r="J554" s="73" t="s">
        <v>904</v>
      </c>
      <c r="K554" s="73" t="s">
        <v>895</v>
      </c>
      <c r="L554" s="103" t="n">
        <v>0</v>
      </c>
    </row>
    <row r="555" customFormat="false" ht="15" hidden="false" customHeight="true" outlineLevel="0" collapsed="false">
      <c r="A555" s="73" t="s">
        <v>1848</v>
      </c>
      <c r="B555" s="73" t="s">
        <v>851</v>
      </c>
      <c r="C555" s="73" t="s">
        <v>653</v>
      </c>
      <c r="D555" s="73" t="s">
        <v>891</v>
      </c>
      <c r="E555" s="73" t="s">
        <v>755</v>
      </c>
      <c r="F555" s="73" t="s">
        <v>756</v>
      </c>
      <c r="G555" s="73" t="s">
        <v>105</v>
      </c>
      <c r="H555" s="73" t="s">
        <v>1849</v>
      </c>
      <c r="I555" s="73" t="s">
        <v>893</v>
      </c>
      <c r="J555" s="73" t="s">
        <v>907</v>
      </c>
      <c r="K555" s="73" t="s">
        <v>895</v>
      </c>
      <c r="L555" s="103" t="n">
        <v>0</v>
      </c>
    </row>
    <row r="556" customFormat="false" ht="15" hidden="false" customHeight="true" outlineLevel="0" collapsed="false">
      <c r="A556" s="73" t="s">
        <v>1850</v>
      </c>
      <c r="B556" s="73" t="s">
        <v>851</v>
      </c>
      <c r="C556" s="73" t="s">
        <v>653</v>
      </c>
      <c r="D556" s="73" t="s">
        <v>891</v>
      </c>
      <c r="E556" s="73" t="s">
        <v>755</v>
      </c>
      <c r="F556" s="73" t="s">
        <v>756</v>
      </c>
      <c r="G556" s="73" t="s">
        <v>107</v>
      </c>
      <c r="H556" s="73" t="s">
        <v>1851</v>
      </c>
      <c r="I556" s="73" t="s">
        <v>893</v>
      </c>
      <c r="J556" s="73" t="s">
        <v>910</v>
      </c>
      <c r="K556" s="73" t="s">
        <v>895</v>
      </c>
      <c r="L556" s="103" t="n">
        <v>0</v>
      </c>
    </row>
    <row r="557" customFormat="false" ht="15" hidden="false" customHeight="true" outlineLevel="0" collapsed="false">
      <c r="A557" s="73" t="s">
        <v>1852</v>
      </c>
      <c r="B557" s="73" t="s">
        <v>851</v>
      </c>
      <c r="C557" s="73" t="s">
        <v>653</v>
      </c>
      <c r="D557" s="73" t="s">
        <v>891</v>
      </c>
      <c r="E557" s="73" t="s">
        <v>755</v>
      </c>
      <c r="F557" s="73" t="s">
        <v>756</v>
      </c>
      <c r="G557" s="73" t="s">
        <v>109</v>
      </c>
      <c r="H557" s="73" t="s">
        <v>1853</v>
      </c>
      <c r="I557" s="73" t="s">
        <v>893</v>
      </c>
      <c r="J557" s="73" t="s">
        <v>913</v>
      </c>
      <c r="K557" s="73" t="s">
        <v>895</v>
      </c>
      <c r="L557" s="103" t="n">
        <v>0</v>
      </c>
    </row>
    <row r="558" customFormat="false" ht="15" hidden="false" customHeight="true" outlineLevel="0" collapsed="false">
      <c r="A558" s="73" t="s">
        <v>1854</v>
      </c>
      <c r="B558" s="73" t="s">
        <v>851</v>
      </c>
      <c r="C558" s="73" t="s">
        <v>653</v>
      </c>
      <c r="D558" s="73" t="s">
        <v>891</v>
      </c>
      <c r="E558" s="73" t="s">
        <v>755</v>
      </c>
      <c r="F558" s="73" t="s">
        <v>756</v>
      </c>
      <c r="G558" s="73" t="s">
        <v>111</v>
      </c>
      <c r="H558" s="73" t="s">
        <v>1855</v>
      </c>
      <c r="I558" s="73" t="s">
        <v>893</v>
      </c>
      <c r="J558" s="73" t="s">
        <v>916</v>
      </c>
      <c r="K558" s="73" t="s">
        <v>895</v>
      </c>
      <c r="L558" s="103" t="n">
        <v>0</v>
      </c>
    </row>
    <row r="559" customFormat="false" ht="15" hidden="false" customHeight="true" outlineLevel="0" collapsed="false">
      <c r="A559" s="73" t="s">
        <v>1856</v>
      </c>
      <c r="B559" s="73" t="s">
        <v>851</v>
      </c>
      <c r="C559" s="73" t="s">
        <v>653</v>
      </c>
      <c r="D559" s="73" t="s">
        <v>918</v>
      </c>
      <c r="E559" s="73" t="s">
        <v>755</v>
      </c>
      <c r="F559" s="73" t="s">
        <v>756</v>
      </c>
      <c r="G559" s="73" t="s">
        <v>96</v>
      </c>
      <c r="H559" s="73" t="s">
        <v>1857</v>
      </c>
      <c r="I559" s="73" t="s">
        <v>893</v>
      </c>
      <c r="J559" s="73" t="s">
        <v>920</v>
      </c>
      <c r="K559" s="73" t="s">
        <v>895</v>
      </c>
      <c r="L559" s="103" t="n">
        <v>0</v>
      </c>
    </row>
    <row r="560" customFormat="false" ht="15" hidden="false" customHeight="true" outlineLevel="0" collapsed="false">
      <c r="A560" s="73" t="s">
        <v>1858</v>
      </c>
      <c r="B560" s="73" t="s">
        <v>851</v>
      </c>
      <c r="C560" s="73" t="s">
        <v>653</v>
      </c>
      <c r="D560" s="73" t="s">
        <v>918</v>
      </c>
      <c r="E560" s="73" t="s">
        <v>755</v>
      </c>
      <c r="F560" s="73" t="s">
        <v>756</v>
      </c>
      <c r="G560" s="73" t="s">
        <v>99</v>
      </c>
      <c r="H560" s="73" t="s">
        <v>1859</v>
      </c>
      <c r="I560" s="73" t="s">
        <v>893</v>
      </c>
      <c r="J560" s="73" t="s">
        <v>923</v>
      </c>
      <c r="K560" s="73" t="s">
        <v>895</v>
      </c>
      <c r="L560" s="103" t="n">
        <v>0</v>
      </c>
    </row>
    <row r="561" customFormat="false" ht="15" hidden="false" customHeight="true" outlineLevel="0" collapsed="false">
      <c r="A561" s="73" t="s">
        <v>1860</v>
      </c>
      <c r="B561" s="73" t="s">
        <v>851</v>
      </c>
      <c r="C561" s="73" t="s">
        <v>653</v>
      </c>
      <c r="D561" s="73" t="s">
        <v>918</v>
      </c>
      <c r="E561" s="73" t="s">
        <v>755</v>
      </c>
      <c r="F561" s="73" t="s">
        <v>756</v>
      </c>
      <c r="G561" s="73" t="s">
        <v>101</v>
      </c>
      <c r="H561" s="73" t="s">
        <v>1861</v>
      </c>
      <c r="I561" s="73" t="s">
        <v>893</v>
      </c>
      <c r="J561" s="73" t="s">
        <v>926</v>
      </c>
      <c r="K561" s="73" t="s">
        <v>895</v>
      </c>
      <c r="L561" s="103" t="n">
        <v>0</v>
      </c>
    </row>
    <row r="562" customFormat="false" ht="15" hidden="false" customHeight="true" outlineLevel="0" collapsed="false">
      <c r="A562" s="73" t="s">
        <v>1862</v>
      </c>
      <c r="B562" s="73" t="s">
        <v>851</v>
      </c>
      <c r="C562" s="73" t="s">
        <v>653</v>
      </c>
      <c r="D562" s="73" t="s">
        <v>918</v>
      </c>
      <c r="E562" s="73" t="s">
        <v>755</v>
      </c>
      <c r="F562" s="73" t="s">
        <v>756</v>
      </c>
      <c r="G562" s="73" t="s">
        <v>103</v>
      </c>
      <c r="H562" s="73" t="s">
        <v>1863</v>
      </c>
      <c r="I562" s="73" t="s">
        <v>893</v>
      </c>
      <c r="J562" s="73" t="s">
        <v>929</v>
      </c>
      <c r="K562" s="73" t="s">
        <v>895</v>
      </c>
      <c r="L562" s="103" t="n">
        <v>0</v>
      </c>
    </row>
    <row r="563" customFormat="false" ht="15" hidden="false" customHeight="true" outlineLevel="0" collapsed="false">
      <c r="A563" s="73" t="s">
        <v>1864</v>
      </c>
      <c r="B563" s="73" t="s">
        <v>851</v>
      </c>
      <c r="C563" s="73" t="s">
        <v>653</v>
      </c>
      <c r="D563" s="73" t="s">
        <v>918</v>
      </c>
      <c r="E563" s="73" t="s">
        <v>755</v>
      </c>
      <c r="F563" s="73" t="s">
        <v>756</v>
      </c>
      <c r="G563" s="73" t="s">
        <v>105</v>
      </c>
      <c r="H563" s="73" t="s">
        <v>1865</v>
      </c>
      <c r="I563" s="73" t="s">
        <v>893</v>
      </c>
      <c r="J563" s="73" t="s">
        <v>932</v>
      </c>
      <c r="K563" s="73" t="s">
        <v>895</v>
      </c>
      <c r="L563" s="103" t="n">
        <v>0</v>
      </c>
    </row>
    <row r="564" customFormat="false" ht="15" hidden="false" customHeight="true" outlineLevel="0" collapsed="false">
      <c r="A564" s="73" t="s">
        <v>1866</v>
      </c>
      <c r="B564" s="73" t="s">
        <v>851</v>
      </c>
      <c r="C564" s="73" t="s">
        <v>653</v>
      </c>
      <c r="D564" s="73" t="s">
        <v>918</v>
      </c>
      <c r="E564" s="73" t="s">
        <v>755</v>
      </c>
      <c r="F564" s="73" t="s">
        <v>756</v>
      </c>
      <c r="G564" s="73" t="s">
        <v>107</v>
      </c>
      <c r="H564" s="73" t="s">
        <v>1867</v>
      </c>
      <c r="I564" s="73" t="s">
        <v>893</v>
      </c>
      <c r="J564" s="73" t="s">
        <v>935</v>
      </c>
      <c r="K564" s="73" t="s">
        <v>895</v>
      </c>
      <c r="L564" s="103" t="n">
        <v>0</v>
      </c>
    </row>
    <row r="565" customFormat="false" ht="15" hidden="false" customHeight="true" outlineLevel="0" collapsed="false">
      <c r="A565" s="73" t="s">
        <v>1868</v>
      </c>
      <c r="B565" s="73" t="s">
        <v>851</v>
      </c>
      <c r="C565" s="73" t="s">
        <v>653</v>
      </c>
      <c r="D565" s="73" t="s">
        <v>918</v>
      </c>
      <c r="E565" s="73" t="s">
        <v>755</v>
      </c>
      <c r="F565" s="73" t="s">
        <v>756</v>
      </c>
      <c r="G565" s="73" t="s">
        <v>109</v>
      </c>
      <c r="H565" s="73" t="s">
        <v>1869</v>
      </c>
      <c r="I565" s="73" t="s">
        <v>893</v>
      </c>
      <c r="J565" s="73" t="s">
        <v>938</v>
      </c>
      <c r="K565" s="73" t="s">
        <v>895</v>
      </c>
      <c r="L565" s="103" t="n">
        <v>0</v>
      </c>
    </row>
    <row r="566" customFormat="false" ht="15" hidden="false" customHeight="true" outlineLevel="0" collapsed="false">
      <c r="A566" s="73" t="s">
        <v>1870</v>
      </c>
      <c r="B566" s="73" t="s">
        <v>851</v>
      </c>
      <c r="C566" s="73" t="s">
        <v>653</v>
      </c>
      <c r="D566" s="73" t="s">
        <v>918</v>
      </c>
      <c r="E566" s="73" t="s">
        <v>755</v>
      </c>
      <c r="F566" s="73" t="s">
        <v>756</v>
      </c>
      <c r="G566" s="73" t="s">
        <v>111</v>
      </c>
      <c r="H566" s="73" t="s">
        <v>1871</v>
      </c>
      <c r="I566" s="73" t="s">
        <v>893</v>
      </c>
      <c r="J566" s="73" t="s">
        <v>941</v>
      </c>
      <c r="K566" s="73" t="s">
        <v>895</v>
      </c>
      <c r="L566" s="103" t="n">
        <v>0</v>
      </c>
    </row>
    <row r="567" customFormat="false" ht="15" hidden="false" customHeight="true" outlineLevel="0" collapsed="false">
      <c r="A567" s="73" t="s">
        <v>1872</v>
      </c>
      <c r="B567" s="73" t="s">
        <v>851</v>
      </c>
      <c r="C567" s="73" t="s">
        <v>653</v>
      </c>
      <c r="D567" s="73" t="s">
        <v>943</v>
      </c>
      <c r="E567" s="73" t="s">
        <v>755</v>
      </c>
      <c r="F567" s="73" t="s">
        <v>756</v>
      </c>
      <c r="G567" s="73" t="s">
        <v>944</v>
      </c>
      <c r="H567" s="73" t="s">
        <v>1873</v>
      </c>
      <c r="I567" s="73" t="s">
        <v>893</v>
      </c>
      <c r="J567" s="73" t="s">
        <v>946</v>
      </c>
      <c r="K567" s="73"/>
      <c r="L567" s="103" t="n">
        <v>0.45</v>
      </c>
    </row>
    <row r="568" customFormat="false" ht="15" hidden="false" customHeight="true" outlineLevel="0" collapsed="false">
      <c r="A568" s="73" t="s">
        <v>1874</v>
      </c>
      <c r="B568" s="73" t="s">
        <v>851</v>
      </c>
      <c r="C568" s="73" t="s">
        <v>653</v>
      </c>
      <c r="D568" s="73" t="s">
        <v>948</v>
      </c>
      <c r="E568" s="73" t="s">
        <v>755</v>
      </c>
      <c r="F568" s="73" t="s">
        <v>756</v>
      </c>
      <c r="G568" s="73" t="s">
        <v>655</v>
      </c>
      <c r="H568" s="73" t="s">
        <v>1875</v>
      </c>
      <c r="I568" s="73" t="s">
        <v>708</v>
      </c>
      <c r="J568" s="73" t="s">
        <v>950</v>
      </c>
      <c r="K568" s="73" t="s">
        <v>951</v>
      </c>
      <c r="L568" s="103" t="n">
        <v>0.526</v>
      </c>
    </row>
    <row r="569" customFormat="false" ht="15" hidden="false" customHeight="true" outlineLevel="0" collapsed="false">
      <c r="A569" s="73" t="s">
        <v>1876</v>
      </c>
      <c r="B569" s="73" t="s">
        <v>851</v>
      </c>
      <c r="C569" s="73" t="s">
        <v>653</v>
      </c>
      <c r="D569" s="73" t="s">
        <v>953</v>
      </c>
      <c r="E569" s="73" t="s">
        <v>755</v>
      </c>
      <c r="F569" s="73" t="s">
        <v>756</v>
      </c>
      <c r="G569" s="73" t="s">
        <v>655</v>
      </c>
      <c r="H569" s="73" t="s">
        <v>1877</v>
      </c>
      <c r="I569" s="73" t="s">
        <v>955</v>
      </c>
      <c r="J569" s="73" t="s">
        <v>956</v>
      </c>
      <c r="K569" s="73" t="s">
        <v>951</v>
      </c>
      <c r="L569" s="103" t="n">
        <v>0</v>
      </c>
    </row>
    <row r="570" customFormat="false" ht="15" hidden="false" customHeight="true" outlineLevel="0" collapsed="false">
      <c r="A570" s="73" t="s">
        <v>1878</v>
      </c>
      <c r="B570" s="73" t="s">
        <v>851</v>
      </c>
      <c r="C570" s="73" t="s">
        <v>653</v>
      </c>
      <c r="D570" s="73" t="s">
        <v>867</v>
      </c>
      <c r="E570" s="73" t="s">
        <v>767</v>
      </c>
      <c r="F570" s="73" t="s">
        <v>768</v>
      </c>
      <c r="G570" s="73" t="s">
        <v>655</v>
      </c>
      <c r="H570" s="73" t="s">
        <v>1879</v>
      </c>
      <c r="I570" s="73" t="s">
        <v>869</v>
      </c>
      <c r="J570" s="73" t="s">
        <v>1106</v>
      </c>
      <c r="K570" s="73" t="s">
        <v>871</v>
      </c>
      <c r="L570" s="107" t="n">
        <v>1.1</v>
      </c>
    </row>
    <row r="571" customFormat="false" ht="15" hidden="false" customHeight="true" outlineLevel="0" collapsed="false">
      <c r="A571" s="73" t="s">
        <v>1880</v>
      </c>
      <c r="B571" s="73" t="s">
        <v>851</v>
      </c>
      <c r="C571" s="73" t="s">
        <v>653</v>
      </c>
      <c r="D571" s="73" t="s">
        <v>873</v>
      </c>
      <c r="E571" s="73" t="s">
        <v>767</v>
      </c>
      <c r="F571" s="73" t="s">
        <v>768</v>
      </c>
      <c r="G571" s="73" t="s">
        <v>655</v>
      </c>
      <c r="H571" s="73" t="s">
        <v>1881</v>
      </c>
      <c r="I571" s="73" t="s">
        <v>875</v>
      </c>
      <c r="J571" s="73" t="s">
        <v>876</v>
      </c>
      <c r="K571" s="73"/>
      <c r="L571" s="104" t="n">
        <v>0.5</v>
      </c>
    </row>
    <row r="572" customFormat="false" ht="15" hidden="false" customHeight="true" outlineLevel="0" collapsed="false">
      <c r="A572" s="73" t="s">
        <v>1882</v>
      </c>
      <c r="B572" s="73" t="s">
        <v>851</v>
      </c>
      <c r="C572" s="73" t="s">
        <v>653</v>
      </c>
      <c r="D572" s="73" t="s">
        <v>878</v>
      </c>
      <c r="E572" s="73" t="s">
        <v>767</v>
      </c>
      <c r="F572" s="73" t="s">
        <v>768</v>
      </c>
      <c r="G572" s="73" t="s">
        <v>655</v>
      </c>
      <c r="H572" s="73" t="s">
        <v>1883</v>
      </c>
      <c r="I572" s="73" t="s">
        <v>880</v>
      </c>
      <c r="J572" s="73" t="s">
        <v>881</v>
      </c>
      <c r="K572" s="73"/>
      <c r="L572" s="104" t="n">
        <v>0.3</v>
      </c>
    </row>
    <row r="573" customFormat="false" ht="15" hidden="false" customHeight="true" outlineLevel="0" collapsed="false">
      <c r="A573" s="73" t="s">
        <v>1884</v>
      </c>
      <c r="B573" s="73" t="s">
        <v>851</v>
      </c>
      <c r="C573" s="73" t="s">
        <v>653</v>
      </c>
      <c r="D573" s="73" t="s">
        <v>883</v>
      </c>
      <c r="E573" s="73" t="s">
        <v>767</v>
      </c>
      <c r="F573" s="73" t="s">
        <v>768</v>
      </c>
      <c r="G573" s="73" t="s">
        <v>655</v>
      </c>
      <c r="H573" s="73" t="s">
        <v>1885</v>
      </c>
      <c r="I573" s="73" t="s">
        <v>880</v>
      </c>
      <c r="J573" s="73" t="s">
        <v>885</v>
      </c>
      <c r="K573" s="73"/>
      <c r="L573" s="104" t="n">
        <v>0.08</v>
      </c>
    </row>
    <row r="574" customFormat="false" ht="15" hidden="false" customHeight="true" outlineLevel="0" collapsed="false">
      <c r="A574" s="73" t="s">
        <v>1886</v>
      </c>
      <c r="B574" s="73" t="s">
        <v>851</v>
      </c>
      <c r="C574" s="73" t="s">
        <v>653</v>
      </c>
      <c r="D574" s="73" t="s">
        <v>887</v>
      </c>
      <c r="E574" s="73" t="s">
        <v>767</v>
      </c>
      <c r="F574" s="73" t="s">
        <v>768</v>
      </c>
      <c r="G574" s="73" t="s">
        <v>655</v>
      </c>
      <c r="H574" s="73" t="s">
        <v>1887</v>
      </c>
      <c r="I574" s="73" t="s">
        <v>880</v>
      </c>
      <c r="J574" s="73" t="s">
        <v>889</v>
      </c>
      <c r="K574" s="73"/>
      <c r="L574" s="104" t="n">
        <v>0.05</v>
      </c>
    </row>
    <row r="575" customFormat="false" ht="15" hidden="false" customHeight="true" outlineLevel="0" collapsed="false">
      <c r="A575" s="73" t="s">
        <v>1888</v>
      </c>
      <c r="B575" s="73" t="s">
        <v>851</v>
      </c>
      <c r="C575" s="73" t="s">
        <v>653</v>
      </c>
      <c r="D575" s="73" t="s">
        <v>891</v>
      </c>
      <c r="E575" s="73" t="s">
        <v>767</v>
      </c>
      <c r="F575" s="73" t="s">
        <v>768</v>
      </c>
      <c r="G575" s="73" t="s">
        <v>96</v>
      </c>
      <c r="H575" s="73" t="s">
        <v>1889</v>
      </c>
      <c r="I575" s="73" t="s">
        <v>893</v>
      </c>
      <c r="J575" s="73" t="s">
        <v>894</v>
      </c>
      <c r="K575" s="73" t="s">
        <v>895</v>
      </c>
      <c r="L575" s="103" t="n">
        <v>0</v>
      </c>
    </row>
    <row r="576" customFormat="false" ht="15" hidden="false" customHeight="true" outlineLevel="0" collapsed="false">
      <c r="A576" s="73" t="s">
        <v>1890</v>
      </c>
      <c r="B576" s="73" t="s">
        <v>851</v>
      </c>
      <c r="C576" s="73" t="s">
        <v>653</v>
      </c>
      <c r="D576" s="73" t="s">
        <v>891</v>
      </c>
      <c r="E576" s="73" t="s">
        <v>767</v>
      </c>
      <c r="F576" s="73" t="s">
        <v>768</v>
      </c>
      <c r="G576" s="73" t="s">
        <v>99</v>
      </c>
      <c r="H576" s="73" t="s">
        <v>1891</v>
      </c>
      <c r="I576" s="73" t="s">
        <v>893</v>
      </c>
      <c r="J576" s="73" t="s">
        <v>898</v>
      </c>
      <c r="K576" s="73" t="s">
        <v>895</v>
      </c>
      <c r="L576" s="103" t="n">
        <v>12</v>
      </c>
    </row>
    <row r="577" customFormat="false" ht="15" hidden="false" customHeight="true" outlineLevel="0" collapsed="false">
      <c r="A577" s="73" t="s">
        <v>1892</v>
      </c>
      <c r="B577" s="73" t="s">
        <v>851</v>
      </c>
      <c r="C577" s="73" t="s">
        <v>653</v>
      </c>
      <c r="D577" s="73" t="s">
        <v>891</v>
      </c>
      <c r="E577" s="73" t="s">
        <v>767</v>
      </c>
      <c r="F577" s="73" t="s">
        <v>768</v>
      </c>
      <c r="G577" s="73" t="s">
        <v>101</v>
      </c>
      <c r="H577" s="73" t="s">
        <v>1893</v>
      </c>
      <c r="I577" s="73" t="s">
        <v>893</v>
      </c>
      <c r="J577" s="73" t="s">
        <v>901</v>
      </c>
      <c r="K577" s="73" t="s">
        <v>895</v>
      </c>
      <c r="L577" s="103" t="n">
        <v>0</v>
      </c>
    </row>
    <row r="578" customFormat="false" ht="15" hidden="false" customHeight="true" outlineLevel="0" collapsed="false">
      <c r="A578" s="73" t="s">
        <v>1894</v>
      </c>
      <c r="B578" s="73" t="s">
        <v>851</v>
      </c>
      <c r="C578" s="73" t="s">
        <v>653</v>
      </c>
      <c r="D578" s="73" t="s">
        <v>891</v>
      </c>
      <c r="E578" s="73" t="s">
        <v>767</v>
      </c>
      <c r="F578" s="73" t="s">
        <v>768</v>
      </c>
      <c r="G578" s="73" t="s">
        <v>103</v>
      </c>
      <c r="H578" s="73" t="s">
        <v>1895</v>
      </c>
      <c r="I578" s="73" t="s">
        <v>893</v>
      </c>
      <c r="J578" s="73" t="s">
        <v>904</v>
      </c>
      <c r="K578" s="73" t="s">
        <v>895</v>
      </c>
      <c r="L578" s="103" t="n">
        <v>0</v>
      </c>
    </row>
    <row r="579" customFormat="false" ht="15" hidden="false" customHeight="true" outlineLevel="0" collapsed="false">
      <c r="A579" s="73" t="s">
        <v>1896</v>
      </c>
      <c r="B579" s="73" t="s">
        <v>851</v>
      </c>
      <c r="C579" s="73" t="s">
        <v>653</v>
      </c>
      <c r="D579" s="73" t="s">
        <v>891</v>
      </c>
      <c r="E579" s="73" t="s">
        <v>767</v>
      </c>
      <c r="F579" s="73" t="s">
        <v>768</v>
      </c>
      <c r="G579" s="73" t="s">
        <v>105</v>
      </c>
      <c r="H579" s="73" t="s">
        <v>1897</v>
      </c>
      <c r="I579" s="73" t="s">
        <v>893</v>
      </c>
      <c r="J579" s="73" t="s">
        <v>907</v>
      </c>
      <c r="K579" s="73" t="s">
        <v>895</v>
      </c>
      <c r="L579" s="103" t="n">
        <v>0</v>
      </c>
    </row>
    <row r="580" customFormat="false" ht="15" hidden="false" customHeight="true" outlineLevel="0" collapsed="false">
      <c r="A580" s="73" t="s">
        <v>1898</v>
      </c>
      <c r="B580" s="73" t="s">
        <v>851</v>
      </c>
      <c r="C580" s="73" t="s">
        <v>653</v>
      </c>
      <c r="D580" s="73" t="s">
        <v>891</v>
      </c>
      <c r="E580" s="73" t="s">
        <v>767</v>
      </c>
      <c r="F580" s="73" t="s">
        <v>768</v>
      </c>
      <c r="G580" s="73" t="s">
        <v>107</v>
      </c>
      <c r="H580" s="73" t="s">
        <v>1899</v>
      </c>
      <c r="I580" s="73" t="s">
        <v>893</v>
      </c>
      <c r="J580" s="73" t="s">
        <v>910</v>
      </c>
      <c r="K580" s="73" t="s">
        <v>895</v>
      </c>
      <c r="L580" s="103" t="n">
        <v>0</v>
      </c>
    </row>
    <row r="581" customFormat="false" ht="15" hidden="false" customHeight="true" outlineLevel="0" collapsed="false">
      <c r="A581" s="73" t="s">
        <v>1900</v>
      </c>
      <c r="B581" s="73" t="s">
        <v>851</v>
      </c>
      <c r="C581" s="73" t="s">
        <v>653</v>
      </c>
      <c r="D581" s="73" t="s">
        <v>891</v>
      </c>
      <c r="E581" s="73" t="s">
        <v>767</v>
      </c>
      <c r="F581" s="73" t="s">
        <v>768</v>
      </c>
      <c r="G581" s="73" t="s">
        <v>109</v>
      </c>
      <c r="H581" s="73" t="s">
        <v>1901</v>
      </c>
      <c r="I581" s="73" t="s">
        <v>893</v>
      </c>
      <c r="J581" s="73" t="s">
        <v>913</v>
      </c>
      <c r="K581" s="73" t="s">
        <v>895</v>
      </c>
      <c r="L581" s="103" t="n">
        <v>0</v>
      </c>
    </row>
    <row r="582" customFormat="false" ht="15" hidden="false" customHeight="true" outlineLevel="0" collapsed="false">
      <c r="A582" s="73" t="s">
        <v>1902</v>
      </c>
      <c r="B582" s="73" t="s">
        <v>851</v>
      </c>
      <c r="C582" s="73" t="s">
        <v>653</v>
      </c>
      <c r="D582" s="73" t="s">
        <v>891</v>
      </c>
      <c r="E582" s="73" t="s">
        <v>767</v>
      </c>
      <c r="F582" s="73" t="s">
        <v>768</v>
      </c>
      <c r="G582" s="73" t="s">
        <v>111</v>
      </c>
      <c r="H582" s="73" t="s">
        <v>1903</v>
      </c>
      <c r="I582" s="73" t="s">
        <v>893</v>
      </c>
      <c r="J582" s="73" t="s">
        <v>916</v>
      </c>
      <c r="K582" s="73" t="s">
        <v>895</v>
      </c>
      <c r="L582" s="103" t="n">
        <v>0</v>
      </c>
    </row>
    <row r="583" customFormat="false" ht="15" hidden="false" customHeight="true" outlineLevel="0" collapsed="false">
      <c r="A583" s="73" t="s">
        <v>1904</v>
      </c>
      <c r="B583" s="73" t="s">
        <v>851</v>
      </c>
      <c r="C583" s="73" t="s">
        <v>653</v>
      </c>
      <c r="D583" s="73" t="s">
        <v>918</v>
      </c>
      <c r="E583" s="73" t="s">
        <v>767</v>
      </c>
      <c r="F583" s="73" t="s">
        <v>768</v>
      </c>
      <c r="G583" s="73" t="s">
        <v>96</v>
      </c>
      <c r="H583" s="73" t="s">
        <v>1905</v>
      </c>
      <c r="I583" s="73" t="s">
        <v>893</v>
      </c>
      <c r="J583" s="73" t="s">
        <v>920</v>
      </c>
      <c r="K583" s="73" t="s">
        <v>895</v>
      </c>
      <c r="L583" s="103" t="n">
        <v>0</v>
      </c>
    </row>
    <row r="584" customFormat="false" ht="15" hidden="false" customHeight="true" outlineLevel="0" collapsed="false">
      <c r="A584" s="73" t="s">
        <v>1906</v>
      </c>
      <c r="B584" s="73" t="s">
        <v>851</v>
      </c>
      <c r="C584" s="73" t="s">
        <v>653</v>
      </c>
      <c r="D584" s="73" t="s">
        <v>918</v>
      </c>
      <c r="E584" s="73" t="s">
        <v>767</v>
      </c>
      <c r="F584" s="73" t="s">
        <v>768</v>
      </c>
      <c r="G584" s="73" t="s">
        <v>99</v>
      </c>
      <c r="H584" s="73" t="s">
        <v>1907</v>
      </c>
      <c r="I584" s="73" t="s">
        <v>893</v>
      </c>
      <c r="J584" s="73" t="s">
        <v>923</v>
      </c>
      <c r="K584" s="73" t="s">
        <v>895</v>
      </c>
      <c r="L584" s="103" t="n">
        <v>24</v>
      </c>
    </row>
    <row r="585" customFormat="false" ht="15" hidden="false" customHeight="true" outlineLevel="0" collapsed="false">
      <c r="A585" s="73" t="s">
        <v>1908</v>
      </c>
      <c r="B585" s="73" t="s">
        <v>851</v>
      </c>
      <c r="C585" s="73" t="s">
        <v>653</v>
      </c>
      <c r="D585" s="73" t="s">
        <v>918</v>
      </c>
      <c r="E585" s="73" t="s">
        <v>767</v>
      </c>
      <c r="F585" s="73" t="s">
        <v>768</v>
      </c>
      <c r="G585" s="73" t="s">
        <v>101</v>
      </c>
      <c r="H585" s="73" t="s">
        <v>1909</v>
      </c>
      <c r="I585" s="73" t="s">
        <v>893</v>
      </c>
      <c r="J585" s="73" t="s">
        <v>926</v>
      </c>
      <c r="K585" s="73" t="s">
        <v>895</v>
      </c>
      <c r="L585" s="103" t="n">
        <v>0</v>
      </c>
    </row>
    <row r="586" customFormat="false" ht="15" hidden="false" customHeight="true" outlineLevel="0" collapsed="false">
      <c r="A586" s="73" t="s">
        <v>1910</v>
      </c>
      <c r="B586" s="73" t="s">
        <v>851</v>
      </c>
      <c r="C586" s="73" t="s">
        <v>653</v>
      </c>
      <c r="D586" s="73" t="s">
        <v>918</v>
      </c>
      <c r="E586" s="73" t="s">
        <v>767</v>
      </c>
      <c r="F586" s="73" t="s">
        <v>768</v>
      </c>
      <c r="G586" s="73" t="s">
        <v>103</v>
      </c>
      <c r="H586" s="73" t="s">
        <v>1911</v>
      </c>
      <c r="I586" s="73" t="s">
        <v>893</v>
      </c>
      <c r="J586" s="73" t="s">
        <v>929</v>
      </c>
      <c r="K586" s="73" t="s">
        <v>895</v>
      </c>
      <c r="L586" s="103" t="n">
        <v>0</v>
      </c>
    </row>
    <row r="587" customFormat="false" ht="15" hidden="false" customHeight="true" outlineLevel="0" collapsed="false">
      <c r="A587" s="73" t="s">
        <v>1912</v>
      </c>
      <c r="B587" s="73" t="s">
        <v>851</v>
      </c>
      <c r="C587" s="73" t="s">
        <v>653</v>
      </c>
      <c r="D587" s="73" t="s">
        <v>918</v>
      </c>
      <c r="E587" s="73" t="s">
        <v>767</v>
      </c>
      <c r="F587" s="73" t="s">
        <v>768</v>
      </c>
      <c r="G587" s="73" t="s">
        <v>105</v>
      </c>
      <c r="H587" s="73" t="s">
        <v>1913</v>
      </c>
      <c r="I587" s="73" t="s">
        <v>893</v>
      </c>
      <c r="J587" s="73" t="s">
        <v>932</v>
      </c>
      <c r="K587" s="73" t="s">
        <v>895</v>
      </c>
      <c r="L587" s="103" t="n">
        <v>0</v>
      </c>
    </row>
    <row r="588" customFormat="false" ht="15" hidden="false" customHeight="true" outlineLevel="0" collapsed="false">
      <c r="A588" s="73" t="s">
        <v>1914</v>
      </c>
      <c r="B588" s="73" t="s">
        <v>851</v>
      </c>
      <c r="C588" s="73" t="s">
        <v>653</v>
      </c>
      <c r="D588" s="73" t="s">
        <v>918</v>
      </c>
      <c r="E588" s="73" t="s">
        <v>767</v>
      </c>
      <c r="F588" s="73" t="s">
        <v>768</v>
      </c>
      <c r="G588" s="73" t="s">
        <v>107</v>
      </c>
      <c r="H588" s="73" t="s">
        <v>1915</v>
      </c>
      <c r="I588" s="73" t="s">
        <v>893</v>
      </c>
      <c r="J588" s="73" t="s">
        <v>935</v>
      </c>
      <c r="K588" s="73" t="s">
        <v>895</v>
      </c>
      <c r="L588" s="103" t="n">
        <v>0</v>
      </c>
    </row>
    <row r="589" customFormat="false" ht="15" hidden="false" customHeight="true" outlineLevel="0" collapsed="false">
      <c r="A589" s="73" t="s">
        <v>1916</v>
      </c>
      <c r="B589" s="73" t="s">
        <v>851</v>
      </c>
      <c r="C589" s="73" t="s">
        <v>653</v>
      </c>
      <c r="D589" s="73" t="s">
        <v>918</v>
      </c>
      <c r="E589" s="73" t="s">
        <v>767</v>
      </c>
      <c r="F589" s="73" t="s">
        <v>768</v>
      </c>
      <c r="G589" s="73" t="s">
        <v>109</v>
      </c>
      <c r="H589" s="73" t="s">
        <v>1917</v>
      </c>
      <c r="I589" s="73" t="s">
        <v>893</v>
      </c>
      <c r="J589" s="73" t="s">
        <v>938</v>
      </c>
      <c r="K589" s="73" t="s">
        <v>895</v>
      </c>
      <c r="L589" s="103" t="n">
        <v>0</v>
      </c>
    </row>
    <row r="590" customFormat="false" ht="15" hidden="false" customHeight="true" outlineLevel="0" collapsed="false">
      <c r="A590" s="73" t="s">
        <v>1918</v>
      </c>
      <c r="B590" s="73" t="s">
        <v>851</v>
      </c>
      <c r="C590" s="73" t="s">
        <v>653</v>
      </c>
      <c r="D590" s="73" t="s">
        <v>918</v>
      </c>
      <c r="E590" s="73" t="s">
        <v>767</v>
      </c>
      <c r="F590" s="73" t="s">
        <v>768</v>
      </c>
      <c r="G590" s="73" t="s">
        <v>111</v>
      </c>
      <c r="H590" s="73" t="s">
        <v>1919</v>
      </c>
      <c r="I590" s="73" t="s">
        <v>893</v>
      </c>
      <c r="J590" s="73" t="s">
        <v>941</v>
      </c>
      <c r="K590" s="73" t="s">
        <v>895</v>
      </c>
      <c r="L590" s="103" t="n">
        <v>0</v>
      </c>
    </row>
    <row r="591" customFormat="false" ht="15" hidden="false" customHeight="true" outlineLevel="0" collapsed="false">
      <c r="A591" s="73" t="s">
        <v>1920</v>
      </c>
      <c r="B591" s="73" t="s">
        <v>851</v>
      </c>
      <c r="C591" s="73" t="s">
        <v>653</v>
      </c>
      <c r="D591" s="73" t="s">
        <v>943</v>
      </c>
      <c r="E591" s="73" t="s">
        <v>767</v>
      </c>
      <c r="F591" s="73" t="s">
        <v>768</v>
      </c>
      <c r="G591" s="73" t="s">
        <v>944</v>
      </c>
      <c r="H591" s="73" t="s">
        <v>1921</v>
      </c>
      <c r="I591" s="73" t="s">
        <v>893</v>
      </c>
      <c r="J591" s="73" t="s">
        <v>946</v>
      </c>
      <c r="K591" s="73"/>
      <c r="L591" s="103" t="n">
        <v>0.3</v>
      </c>
    </row>
    <row r="592" customFormat="false" ht="15" hidden="false" customHeight="true" outlineLevel="0" collapsed="false">
      <c r="A592" s="73" t="s">
        <v>1922</v>
      </c>
      <c r="B592" s="73" t="s">
        <v>851</v>
      </c>
      <c r="C592" s="73" t="s">
        <v>653</v>
      </c>
      <c r="D592" s="73" t="s">
        <v>948</v>
      </c>
      <c r="E592" s="73" t="s">
        <v>767</v>
      </c>
      <c r="F592" s="73" t="s">
        <v>768</v>
      </c>
      <c r="G592" s="73" t="s">
        <v>655</v>
      </c>
      <c r="H592" s="73" t="s">
        <v>1923</v>
      </c>
      <c r="I592" s="73" t="s">
        <v>708</v>
      </c>
      <c r="J592" s="73" t="s">
        <v>950</v>
      </c>
      <c r="K592" s="73" t="s">
        <v>951</v>
      </c>
      <c r="L592" s="103" t="n">
        <v>0</v>
      </c>
    </row>
    <row r="593" customFormat="false" ht="15" hidden="false" customHeight="true" outlineLevel="0" collapsed="false">
      <c r="A593" s="73" t="s">
        <v>1924</v>
      </c>
      <c r="B593" s="73" t="s">
        <v>851</v>
      </c>
      <c r="C593" s="73" t="s">
        <v>653</v>
      </c>
      <c r="D593" s="73" t="s">
        <v>953</v>
      </c>
      <c r="E593" s="73" t="s">
        <v>767</v>
      </c>
      <c r="F593" s="73" t="s">
        <v>768</v>
      </c>
      <c r="G593" s="73" t="s">
        <v>655</v>
      </c>
      <c r="H593" s="73" t="s">
        <v>1925</v>
      </c>
      <c r="I593" s="73" t="s">
        <v>955</v>
      </c>
      <c r="J593" s="73" t="s">
        <v>956</v>
      </c>
      <c r="K593" s="73" t="s">
        <v>951</v>
      </c>
      <c r="L593" s="103" t="n">
        <v>0</v>
      </c>
    </row>
    <row r="594" customFormat="false" ht="15" hidden="false" customHeight="true" outlineLevel="0" collapsed="false">
      <c r="A594" s="73" t="s">
        <v>1926</v>
      </c>
      <c r="B594" s="73" t="s">
        <v>851</v>
      </c>
      <c r="C594" s="73" t="s">
        <v>653</v>
      </c>
      <c r="D594" s="73" t="s">
        <v>867</v>
      </c>
      <c r="E594" s="73" t="s">
        <v>767</v>
      </c>
      <c r="F594" s="73" t="s">
        <v>779</v>
      </c>
      <c r="G594" s="73" t="s">
        <v>655</v>
      </c>
      <c r="H594" s="73" t="s">
        <v>1927</v>
      </c>
      <c r="I594" s="73" t="s">
        <v>869</v>
      </c>
      <c r="J594" s="73" t="s">
        <v>1155</v>
      </c>
      <c r="K594" s="73" t="s">
        <v>871</v>
      </c>
      <c r="L594" s="107" t="n">
        <v>1.5</v>
      </c>
    </row>
    <row r="595" customFormat="false" ht="15" hidden="false" customHeight="true" outlineLevel="0" collapsed="false">
      <c r="A595" s="73" t="s">
        <v>1928</v>
      </c>
      <c r="B595" s="73" t="s">
        <v>851</v>
      </c>
      <c r="C595" s="73" t="s">
        <v>653</v>
      </c>
      <c r="D595" s="73" t="s">
        <v>873</v>
      </c>
      <c r="E595" s="73" t="s">
        <v>767</v>
      </c>
      <c r="F595" s="73" t="s">
        <v>779</v>
      </c>
      <c r="G595" s="73" t="s">
        <v>655</v>
      </c>
      <c r="H595" s="73" t="s">
        <v>1929</v>
      </c>
      <c r="I595" s="73" t="s">
        <v>875</v>
      </c>
      <c r="J595" s="73" t="s">
        <v>876</v>
      </c>
      <c r="K595" s="73"/>
      <c r="L595" s="104" t="n">
        <v>0.5</v>
      </c>
    </row>
    <row r="596" customFormat="false" ht="15" hidden="false" customHeight="true" outlineLevel="0" collapsed="false">
      <c r="A596" s="73" t="s">
        <v>1930</v>
      </c>
      <c r="B596" s="73" t="s">
        <v>851</v>
      </c>
      <c r="C596" s="73" t="s">
        <v>653</v>
      </c>
      <c r="D596" s="73" t="s">
        <v>878</v>
      </c>
      <c r="E596" s="73" t="s">
        <v>767</v>
      </c>
      <c r="F596" s="73" t="s">
        <v>779</v>
      </c>
      <c r="G596" s="73" t="s">
        <v>655</v>
      </c>
      <c r="H596" s="73" t="s">
        <v>1931</v>
      </c>
      <c r="I596" s="73" t="s">
        <v>880</v>
      </c>
      <c r="J596" s="73" t="s">
        <v>881</v>
      </c>
      <c r="K596" s="73"/>
      <c r="L596" s="104" t="n">
        <v>0.3</v>
      </c>
    </row>
    <row r="597" customFormat="false" ht="15" hidden="false" customHeight="true" outlineLevel="0" collapsed="false">
      <c r="A597" s="73" t="s">
        <v>1932</v>
      </c>
      <c r="B597" s="73" t="s">
        <v>851</v>
      </c>
      <c r="C597" s="73" t="s">
        <v>653</v>
      </c>
      <c r="D597" s="73" t="s">
        <v>883</v>
      </c>
      <c r="E597" s="73" t="s">
        <v>767</v>
      </c>
      <c r="F597" s="73" t="s">
        <v>779</v>
      </c>
      <c r="G597" s="73" t="s">
        <v>655</v>
      </c>
      <c r="H597" s="73" t="s">
        <v>1933</v>
      </c>
      <c r="I597" s="73" t="s">
        <v>880</v>
      </c>
      <c r="J597" s="73" t="s">
        <v>885</v>
      </c>
      <c r="K597" s="73"/>
      <c r="L597" s="104" t="n">
        <v>0.1</v>
      </c>
    </row>
    <row r="598" customFormat="false" ht="15" hidden="false" customHeight="true" outlineLevel="0" collapsed="false">
      <c r="A598" s="73" t="s">
        <v>1934</v>
      </c>
      <c r="B598" s="73" t="s">
        <v>851</v>
      </c>
      <c r="C598" s="73" t="s">
        <v>653</v>
      </c>
      <c r="D598" s="73" t="s">
        <v>887</v>
      </c>
      <c r="E598" s="73" t="s">
        <v>767</v>
      </c>
      <c r="F598" s="73" t="s">
        <v>779</v>
      </c>
      <c r="G598" s="73" t="s">
        <v>655</v>
      </c>
      <c r="H598" s="73" t="s">
        <v>1935</v>
      </c>
      <c r="I598" s="73" t="s">
        <v>880</v>
      </c>
      <c r="J598" s="73" t="s">
        <v>889</v>
      </c>
      <c r="K598" s="73"/>
      <c r="L598" s="104" t="n">
        <v>0.05</v>
      </c>
    </row>
    <row r="599" customFormat="false" ht="15" hidden="false" customHeight="true" outlineLevel="0" collapsed="false">
      <c r="A599" s="73" t="s">
        <v>1936</v>
      </c>
      <c r="B599" s="73" t="s">
        <v>851</v>
      </c>
      <c r="C599" s="73" t="s">
        <v>653</v>
      </c>
      <c r="D599" s="73" t="s">
        <v>891</v>
      </c>
      <c r="E599" s="73" t="s">
        <v>767</v>
      </c>
      <c r="F599" s="73" t="s">
        <v>779</v>
      </c>
      <c r="G599" s="73" t="s">
        <v>96</v>
      </c>
      <c r="H599" s="73" t="s">
        <v>1937</v>
      </c>
      <c r="I599" s="73" t="s">
        <v>893</v>
      </c>
      <c r="J599" s="73" t="s">
        <v>894</v>
      </c>
      <c r="K599" s="73" t="s">
        <v>895</v>
      </c>
      <c r="L599" s="103" t="n">
        <v>0</v>
      </c>
    </row>
    <row r="600" customFormat="false" ht="15" hidden="false" customHeight="true" outlineLevel="0" collapsed="false">
      <c r="A600" s="73" t="s">
        <v>1938</v>
      </c>
      <c r="B600" s="73" t="s">
        <v>851</v>
      </c>
      <c r="C600" s="73" t="s">
        <v>653</v>
      </c>
      <c r="D600" s="73" t="s">
        <v>891</v>
      </c>
      <c r="E600" s="73" t="s">
        <v>767</v>
      </c>
      <c r="F600" s="73" t="s">
        <v>779</v>
      </c>
      <c r="G600" s="73" t="s">
        <v>99</v>
      </c>
      <c r="H600" s="73" t="s">
        <v>1939</v>
      </c>
      <c r="I600" s="73" t="s">
        <v>893</v>
      </c>
      <c r="J600" s="73" t="s">
        <v>898</v>
      </c>
      <c r="K600" s="73" t="s">
        <v>895</v>
      </c>
      <c r="L600" s="103" t="n">
        <v>3</v>
      </c>
    </row>
    <row r="601" customFormat="false" ht="15" hidden="false" customHeight="true" outlineLevel="0" collapsed="false">
      <c r="A601" s="73" t="s">
        <v>1940</v>
      </c>
      <c r="B601" s="73" t="s">
        <v>851</v>
      </c>
      <c r="C601" s="73" t="s">
        <v>653</v>
      </c>
      <c r="D601" s="73" t="s">
        <v>891</v>
      </c>
      <c r="E601" s="73" t="s">
        <v>767</v>
      </c>
      <c r="F601" s="73" t="s">
        <v>779</v>
      </c>
      <c r="G601" s="73" t="s">
        <v>101</v>
      </c>
      <c r="H601" s="73" t="s">
        <v>1941</v>
      </c>
      <c r="I601" s="73" t="s">
        <v>893</v>
      </c>
      <c r="J601" s="73" t="s">
        <v>901</v>
      </c>
      <c r="K601" s="73" t="s">
        <v>895</v>
      </c>
      <c r="L601" s="103" t="n">
        <v>0</v>
      </c>
    </row>
    <row r="602" customFormat="false" ht="15" hidden="false" customHeight="true" outlineLevel="0" collapsed="false">
      <c r="A602" s="73" t="s">
        <v>1942</v>
      </c>
      <c r="B602" s="73" t="s">
        <v>851</v>
      </c>
      <c r="C602" s="73" t="s">
        <v>653</v>
      </c>
      <c r="D602" s="73" t="s">
        <v>891</v>
      </c>
      <c r="E602" s="73" t="s">
        <v>767</v>
      </c>
      <c r="F602" s="73" t="s">
        <v>779</v>
      </c>
      <c r="G602" s="73" t="s">
        <v>103</v>
      </c>
      <c r="H602" s="73" t="s">
        <v>1943</v>
      </c>
      <c r="I602" s="73" t="s">
        <v>893</v>
      </c>
      <c r="J602" s="73" t="s">
        <v>904</v>
      </c>
      <c r="K602" s="73" t="s">
        <v>895</v>
      </c>
      <c r="L602" s="103" t="n">
        <v>0</v>
      </c>
    </row>
    <row r="603" customFormat="false" ht="15" hidden="false" customHeight="true" outlineLevel="0" collapsed="false">
      <c r="A603" s="73" t="s">
        <v>1944</v>
      </c>
      <c r="B603" s="73" t="s">
        <v>851</v>
      </c>
      <c r="C603" s="73" t="s">
        <v>653</v>
      </c>
      <c r="D603" s="73" t="s">
        <v>891</v>
      </c>
      <c r="E603" s="73" t="s">
        <v>767</v>
      </c>
      <c r="F603" s="73" t="s">
        <v>779</v>
      </c>
      <c r="G603" s="73" t="s">
        <v>105</v>
      </c>
      <c r="H603" s="73" t="s">
        <v>1945</v>
      </c>
      <c r="I603" s="73" t="s">
        <v>893</v>
      </c>
      <c r="J603" s="73" t="s">
        <v>907</v>
      </c>
      <c r="K603" s="73" t="s">
        <v>895</v>
      </c>
      <c r="L603" s="103" t="n">
        <v>0</v>
      </c>
    </row>
    <row r="604" customFormat="false" ht="15" hidden="false" customHeight="true" outlineLevel="0" collapsed="false">
      <c r="A604" s="73" t="s">
        <v>1946</v>
      </c>
      <c r="B604" s="73" t="s">
        <v>851</v>
      </c>
      <c r="C604" s="73" t="s">
        <v>653</v>
      </c>
      <c r="D604" s="73" t="s">
        <v>891</v>
      </c>
      <c r="E604" s="73" t="s">
        <v>767</v>
      </c>
      <c r="F604" s="73" t="s">
        <v>779</v>
      </c>
      <c r="G604" s="73" t="s">
        <v>107</v>
      </c>
      <c r="H604" s="73" t="s">
        <v>1947</v>
      </c>
      <c r="I604" s="73" t="s">
        <v>893</v>
      </c>
      <c r="J604" s="73" t="s">
        <v>910</v>
      </c>
      <c r="K604" s="73" t="s">
        <v>895</v>
      </c>
      <c r="L604" s="103" t="n">
        <v>0</v>
      </c>
    </row>
    <row r="605" customFormat="false" ht="15" hidden="false" customHeight="true" outlineLevel="0" collapsed="false">
      <c r="A605" s="73" t="s">
        <v>1948</v>
      </c>
      <c r="B605" s="73" t="s">
        <v>851</v>
      </c>
      <c r="C605" s="73" t="s">
        <v>653</v>
      </c>
      <c r="D605" s="73" t="s">
        <v>891</v>
      </c>
      <c r="E605" s="73" t="s">
        <v>767</v>
      </c>
      <c r="F605" s="73" t="s">
        <v>779</v>
      </c>
      <c r="G605" s="73" t="s">
        <v>109</v>
      </c>
      <c r="H605" s="73" t="s">
        <v>1949</v>
      </c>
      <c r="I605" s="73" t="s">
        <v>893</v>
      </c>
      <c r="J605" s="73" t="s">
        <v>913</v>
      </c>
      <c r="K605" s="73" t="s">
        <v>895</v>
      </c>
      <c r="L605" s="103" t="n">
        <v>0</v>
      </c>
    </row>
    <row r="606" customFormat="false" ht="15" hidden="false" customHeight="true" outlineLevel="0" collapsed="false">
      <c r="A606" s="73" t="s">
        <v>1950</v>
      </c>
      <c r="B606" s="73" t="s">
        <v>851</v>
      </c>
      <c r="C606" s="73" t="s">
        <v>653</v>
      </c>
      <c r="D606" s="73" t="s">
        <v>891</v>
      </c>
      <c r="E606" s="73" t="s">
        <v>767</v>
      </c>
      <c r="F606" s="73" t="s">
        <v>779</v>
      </c>
      <c r="G606" s="73" t="s">
        <v>111</v>
      </c>
      <c r="H606" s="73" t="s">
        <v>1951</v>
      </c>
      <c r="I606" s="73" t="s">
        <v>893</v>
      </c>
      <c r="J606" s="73" t="s">
        <v>916</v>
      </c>
      <c r="K606" s="73" t="s">
        <v>895</v>
      </c>
      <c r="L606" s="103" t="n">
        <v>0</v>
      </c>
    </row>
    <row r="607" customFormat="false" ht="15" hidden="false" customHeight="true" outlineLevel="0" collapsed="false">
      <c r="A607" s="73" t="s">
        <v>1952</v>
      </c>
      <c r="B607" s="73" t="s">
        <v>851</v>
      </c>
      <c r="C607" s="73" t="s">
        <v>653</v>
      </c>
      <c r="D607" s="73" t="s">
        <v>918</v>
      </c>
      <c r="E607" s="73" t="s">
        <v>767</v>
      </c>
      <c r="F607" s="73" t="s">
        <v>779</v>
      </c>
      <c r="G607" s="73" t="s">
        <v>96</v>
      </c>
      <c r="H607" s="73" t="s">
        <v>1953</v>
      </c>
      <c r="I607" s="73" t="s">
        <v>893</v>
      </c>
      <c r="J607" s="73" t="s">
        <v>920</v>
      </c>
      <c r="K607" s="73" t="s">
        <v>895</v>
      </c>
      <c r="L607" s="103" t="n">
        <v>0</v>
      </c>
    </row>
    <row r="608" customFormat="false" ht="15" hidden="false" customHeight="true" outlineLevel="0" collapsed="false">
      <c r="A608" s="73" t="s">
        <v>1954</v>
      </c>
      <c r="B608" s="73" t="s">
        <v>851</v>
      </c>
      <c r="C608" s="73" t="s">
        <v>653</v>
      </c>
      <c r="D608" s="73" t="s">
        <v>918</v>
      </c>
      <c r="E608" s="73" t="s">
        <v>767</v>
      </c>
      <c r="F608" s="73" t="s">
        <v>779</v>
      </c>
      <c r="G608" s="73" t="s">
        <v>99</v>
      </c>
      <c r="H608" s="73" t="s">
        <v>1955</v>
      </c>
      <c r="I608" s="73" t="s">
        <v>893</v>
      </c>
      <c r="J608" s="73" t="s">
        <v>923</v>
      </c>
      <c r="K608" s="73" t="s">
        <v>895</v>
      </c>
      <c r="L608" s="103" t="n">
        <v>0</v>
      </c>
    </row>
    <row r="609" customFormat="false" ht="15" hidden="false" customHeight="true" outlineLevel="0" collapsed="false">
      <c r="A609" s="73" t="s">
        <v>1956</v>
      </c>
      <c r="B609" s="73" t="s">
        <v>851</v>
      </c>
      <c r="C609" s="73" t="s">
        <v>653</v>
      </c>
      <c r="D609" s="73" t="s">
        <v>918</v>
      </c>
      <c r="E609" s="73" t="s">
        <v>767</v>
      </c>
      <c r="F609" s="73" t="s">
        <v>779</v>
      </c>
      <c r="G609" s="73" t="s">
        <v>101</v>
      </c>
      <c r="H609" s="73" t="s">
        <v>1957</v>
      </c>
      <c r="I609" s="73" t="s">
        <v>893</v>
      </c>
      <c r="J609" s="73" t="s">
        <v>926</v>
      </c>
      <c r="K609" s="73" t="s">
        <v>895</v>
      </c>
      <c r="L609" s="103" t="n">
        <v>0</v>
      </c>
    </row>
    <row r="610" customFormat="false" ht="15" hidden="false" customHeight="true" outlineLevel="0" collapsed="false">
      <c r="A610" s="73" t="s">
        <v>1958</v>
      </c>
      <c r="B610" s="73" t="s">
        <v>851</v>
      </c>
      <c r="C610" s="73" t="s">
        <v>653</v>
      </c>
      <c r="D610" s="73" t="s">
        <v>918</v>
      </c>
      <c r="E610" s="73" t="s">
        <v>767</v>
      </c>
      <c r="F610" s="73" t="s">
        <v>779</v>
      </c>
      <c r="G610" s="73" t="s">
        <v>103</v>
      </c>
      <c r="H610" s="73" t="s">
        <v>1959</v>
      </c>
      <c r="I610" s="73" t="s">
        <v>893</v>
      </c>
      <c r="J610" s="73" t="s">
        <v>929</v>
      </c>
      <c r="K610" s="73" t="s">
        <v>895</v>
      </c>
      <c r="L610" s="103" t="n">
        <v>0</v>
      </c>
    </row>
    <row r="611" customFormat="false" ht="15" hidden="false" customHeight="true" outlineLevel="0" collapsed="false">
      <c r="A611" s="73" t="s">
        <v>1960</v>
      </c>
      <c r="B611" s="73" t="s">
        <v>851</v>
      </c>
      <c r="C611" s="73" t="s">
        <v>653</v>
      </c>
      <c r="D611" s="73" t="s">
        <v>918</v>
      </c>
      <c r="E611" s="73" t="s">
        <v>767</v>
      </c>
      <c r="F611" s="73" t="s">
        <v>779</v>
      </c>
      <c r="G611" s="73" t="s">
        <v>105</v>
      </c>
      <c r="H611" s="73" t="s">
        <v>1961</v>
      </c>
      <c r="I611" s="73" t="s">
        <v>893</v>
      </c>
      <c r="J611" s="73" t="s">
        <v>932</v>
      </c>
      <c r="K611" s="73" t="s">
        <v>895</v>
      </c>
      <c r="L611" s="103" t="n">
        <v>0</v>
      </c>
    </row>
    <row r="612" customFormat="false" ht="15" hidden="false" customHeight="true" outlineLevel="0" collapsed="false">
      <c r="A612" s="73" t="s">
        <v>1962</v>
      </c>
      <c r="B612" s="73" t="s">
        <v>851</v>
      </c>
      <c r="C612" s="73" t="s">
        <v>653</v>
      </c>
      <c r="D612" s="73" t="s">
        <v>918</v>
      </c>
      <c r="E612" s="73" t="s">
        <v>767</v>
      </c>
      <c r="F612" s="73" t="s">
        <v>779</v>
      </c>
      <c r="G612" s="73" t="s">
        <v>107</v>
      </c>
      <c r="H612" s="73" t="s">
        <v>1963</v>
      </c>
      <c r="I612" s="73" t="s">
        <v>893</v>
      </c>
      <c r="J612" s="73" t="s">
        <v>935</v>
      </c>
      <c r="K612" s="73" t="s">
        <v>895</v>
      </c>
      <c r="L612" s="103" t="n">
        <v>0</v>
      </c>
    </row>
    <row r="613" customFormat="false" ht="15" hidden="false" customHeight="true" outlineLevel="0" collapsed="false">
      <c r="A613" s="73" t="s">
        <v>1964</v>
      </c>
      <c r="B613" s="73" t="s">
        <v>851</v>
      </c>
      <c r="C613" s="73" t="s">
        <v>653</v>
      </c>
      <c r="D613" s="73" t="s">
        <v>918</v>
      </c>
      <c r="E613" s="73" t="s">
        <v>767</v>
      </c>
      <c r="F613" s="73" t="s">
        <v>779</v>
      </c>
      <c r="G613" s="73" t="s">
        <v>109</v>
      </c>
      <c r="H613" s="73" t="s">
        <v>1965</v>
      </c>
      <c r="I613" s="73" t="s">
        <v>893</v>
      </c>
      <c r="J613" s="73" t="s">
        <v>938</v>
      </c>
      <c r="K613" s="73" t="s">
        <v>895</v>
      </c>
      <c r="L613" s="103" t="n">
        <v>0</v>
      </c>
    </row>
    <row r="614" customFormat="false" ht="15" hidden="false" customHeight="true" outlineLevel="0" collapsed="false">
      <c r="A614" s="73" t="s">
        <v>1966</v>
      </c>
      <c r="B614" s="73" t="s">
        <v>851</v>
      </c>
      <c r="C614" s="73" t="s">
        <v>653</v>
      </c>
      <c r="D614" s="73" t="s">
        <v>918</v>
      </c>
      <c r="E614" s="73" t="s">
        <v>767</v>
      </c>
      <c r="F614" s="73" t="s">
        <v>779</v>
      </c>
      <c r="G614" s="73" t="s">
        <v>111</v>
      </c>
      <c r="H614" s="73" t="s">
        <v>1967</v>
      </c>
      <c r="I614" s="73" t="s">
        <v>893</v>
      </c>
      <c r="J614" s="73" t="s">
        <v>941</v>
      </c>
      <c r="K614" s="73" t="s">
        <v>895</v>
      </c>
      <c r="L614" s="103" t="n">
        <v>0</v>
      </c>
    </row>
    <row r="615" customFormat="false" ht="15" hidden="false" customHeight="true" outlineLevel="0" collapsed="false">
      <c r="A615" s="73" t="s">
        <v>1968</v>
      </c>
      <c r="B615" s="73" t="s">
        <v>851</v>
      </c>
      <c r="C615" s="73" t="s">
        <v>653</v>
      </c>
      <c r="D615" s="73" t="s">
        <v>943</v>
      </c>
      <c r="E615" s="73" t="s">
        <v>767</v>
      </c>
      <c r="F615" s="73" t="s">
        <v>779</v>
      </c>
      <c r="G615" s="73" t="s">
        <v>944</v>
      </c>
      <c r="H615" s="73" t="s">
        <v>1969</v>
      </c>
      <c r="I615" s="73" t="s">
        <v>893</v>
      </c>
      <c r="J615" s="73" t="s">
        <v>946</v>
      </c>
      <c r="K615" s="73"/>
      <c r="L615" s="103" t="n">
        <v>0.3</v>
      </c>
    </row>
    <row r="616" customFormat="false" ht="15" hidden="false" customHeight="true" outlineLevel="0" collapsed="false">
      <c r="A616" s="73" t="s">
        <v>1970</v>
      </c>
      <c r="B616" s="73" t="s">
        <v>851</v>
      </c>
      <c r="C616" s="73" t="s">
        <v>653</v>
      </c>
      <c r="D616" s="73" t="s">
        <v>948</v>
      </c>
      <c r="E616" s="73" t="s">
        <v>767</v>
      </c>
      <c r="F616" s="73" t="s">
        <v>779</v>
      </c>
      <c r="G616" s="73" t="s">
        <v>655</v>
      </c>
      <c r="H616" s="73" t="s">
        <v>1971</v>
      </c>
      <c r="I616" s="73" t="s">
        <v>708</v>
      </c>
      <c r="J616" s="73" t="s">
        <v>950</v>
      </c>
      <c r="K616" s="73" t="s">
        <v>951</v>
      </c>
      <c r="L616" s="103" t="n">
        <v>-0.733</v>
      </c>
    </row>
    <row r="617" customFormat="false" ht="15" hidden="false" customHeight="true" outlineLevel="0" collapsed="false">
      <c r="A617" s="73" t="s">
        <v>1972</v>
      </c>
      <c r="B617" s="73" t="s">
        <v>851</v>
      </c>
      <c r="C617" s="73" t="s">
        <v>653</v>
      </c>
      <c r="D617" s="73" t="s">
        <v>953</v>
      </c>
      <c r="E617" s="73" t="s">
        <v>767</v>
      </c>
      <c r="F617" s="73" t="s">
        <v>779</v>
      </c>
      <c r="G617" s="73" t="s">
        <v>655</v>
      </c>
      <c r="H617" s="73" t="s">
        <v>1973</v>
      </c>
      <c r="I617" s="73" t="s">
        <v>955</v>
      </c>
      <c r="J617" s="73" t="s">
        <v>956</v>
      </c>
      <c r="K617" s="73" t="s">
        <v>951</v>
      </c>
      <c r="L617" s="103" t="n">
        <v>0</v>
      </c>
    </row>
    <row r="618" customFormat="false" ht="15" hidden="false" customHeight="true" outlineLevel="0" collapsed="false">
      <c r="A618" s="73" t="s">
        <v>1974</v>
      </c>
      <c r="B618" s="73" t="s">
        <v>851</v>
      </c>
      <c r="C618" s="73" t="s">
        <v>653</v>
      </c>
      <c r="D618" s="73" t="s">
        <v>867</v>
      </c>
      <c r="E618" s="73" t="s">
        <v>767</v>
      </c>
      <c r="F618" s="73" t="s">
        <v>790</v>
      </c>
      <c r="G618" s="73" t="s">
        <v>655</v>
      </c>
      <c r="H618" s="73" t="s">
        <v>1975</v>
      </c>
      <c r="I618" s="73" t="s">
        <v>869</v>
      </c>
      <c r="J618" s="73" t="s">
        <v>1204</v>
      </c>
      <c r="K618" s="73" t="s">
        <v>871</v>
      </c>
      <c r="L618" s="107" t="n">
        <v>0.4</v>
      </c>
    </row>
    <row r="619" customFormat="false" ht="15" hidden="false" customHeight="true" outlineLevel="0" collapsed="false">
      <c r="A619" s="73" t="s">
        <v>1976</v>
      </c>
      <c r="B619" s="73" t="s">
        <v>851</v>
      </c>
      <c r="C619" s="73" t="s">
        <v>653</v>
      </c>
      <c r="D619" s="73" t="s">
        <v>873</v>
      </c>
      <c r="E619" s="73" t="s">
        <v>767</v>
      </c>
      <c r="F619" s="73" t="s">
        <v>790</v>
      </c>
      <c r="G619" s="73" t="s">
        <v>655</v>
      </c>
      <c r="H619" s="73" t="s">
        <v>1977</v>
      </c>
      <c r="I619" s="73" t="s">
        <v>875</v>
      </c>
      <c r="J619" s="73" t="s">
        <v>876</v>
      </c>
      <c r="K619" s="73"/>
      <c r="L619" s="104" t="n">
        <v>0.4</v>
      </c>
    </row>
    <row r="620" customFormat="false" ht="15" hidden="false" customHeight="true" outlineLevel="0" collapsed="false">
      <c r="A620" s="73" t="s">
        <v>1978</v>
      </c>
      <c r="B620" s="73" t="s">
        <v>851</v>
      </c>
      <c r="C620" s="73" t="s">
        <v>653</v>
      </c>
      <c r="D620" s="73" t="s">
        <v>878</v>
      </c>
      <c r="E620" s="73" t="s">
        <v>767</v>
      </c>
      <c r="F620" s="73" t="s">
        <v>790</v>
      </c>
      <c r="G620" s="73" t="s">
        <v>655</v>
      </c>
      <c r="H620" s="73" t="s">
        <v>1979</v>
      </c>
      <c r="I620" s="73" t="s">
        <v>880</v>
      </c>
      <c r="J620" s="73" t="s">
        <v>881</v>
      </c>
      <c r="K620" s="73"/>
      <c r="L620" s="104" t="n">
        <v>0.2</v>
      </c>
    </row>
    <row r="621" customFormat="false" ht="15" hidden="false" customHeight="true" outlineLevel="0" collapsed="false">
      <c r="A621" s="73" t="s">
        <v>1980</v>
      </c>
      <c r="B621" s="73" t="s">
        <v>851</v>
      </c>
      <c r="C621" s="73" t="s">
        <v>653</v>
      </c>
      <c r="D621" s="73" t="s">
        <v>883</v>
      </c>
      <c r="E621" s="73" t="s">
        <v>767</v>
      </c>
      <c r="F621" s="73" t="s">
        <v>790</v>
      </c>
      <c r="G621" s="73" t="s">
        <v>655</v>
      </c>
      <c r="H621" s="73" t="s">
        <v>1981</v>
      </c>
      <c r="I621" s="73" t="s">
        <v>880</v>
      </c>
      <c r="J621" s="73" t="s">
        <v>885</v>
      </c>
      <c r="K621" s="73"/>
      <c r="L621" s="104" t="n">
        <v>0.03</v>
      </c>
    </row>
    <row r="622" customFormat="false" ht="15" hidden="false" customHeight="true" outlineLevel="0" collapsed="false">
      <c r="A622" s="73" t="s">
        <v>1982</v>
      </c>
      <c r="B622" s="73" t="s">
        <v>851</v>
      </c>
      <c r="C622" s="73" t="s">
        <v>653</v>
      </c>
      <c r="D622" s="73" t="s">
        <v>887</v>
      </c>
      <c r="E622" s="73" t="s">
        <v>767</v>
      </c>
      <c r="F622" s="73" t="s">
        <v>790</v>
      </c>
      <c r="G622" s="73" t="s">
        <v>655</v>
      </c>
      <c r="H622" s="73" t="s">
        <v>1983</v>
      </c>
      <c r="I622" s="73" t="s">
        <v>880</v>
      </c>
      <c r="J622" s="73" t="s">
        <v>889</v>
      </c>
      <c r="K622" s="73"/>
      <c r="L622" s="104" t="n">
        <v>0.05</v>
      </c>
    </row>
    <row r="623" customFormat="false" ht="15" hidden="false" customHeight="true" outlineLevel="0" collapsed="false">
      <c r="A623" s="73" t="s">
        <v>1984</v>
      </c>
      <c r="B623" s="73" t="s">
        <v>851</v>
      </c>
      <c r="C623" s="73" t="s">
        <v>653</v>
      </c>
      <c r="D623" s="73" t="s">
        <v>891</v>
      </c>
      <c r="E623" s="73" t="s">
        <v>767</v>
      </c>
      <c r="F623" s="73" t="s">
        <v>790</v>
      </c>
      <c r="G623" s="73" t="s">
        <v>96</v>
      </c>
      <c r="H623" s="73" t="s">
        <v>1985</v>
      </c>
      <c r="I623" s="73" t="s">
        <v>893</v>
      </c>
      <c r="J623" s="73" t="s">
        <v>894</v>
      </c>
      <c r="K623" s="73" t="s">
        <v>895</v>
      </c>
      <c r="L623" s="103" t="n">
        <v>0</v>
      </c>
    </row>
    <row r="624" customFormat="false" ht="15" hidden="false" customHeight="true" outlineLevel="0" collapsed="false">
      <c r="A624" s="73" t="s">
        <v>1986</v>
      </c>
      <c r="B624" s="73" t="s">
        <v>851</v>
      </c>
      <c r="C624" s="73" t="s">
        <v>653</v>
      </c>
      <c r="D624" s="73" t="s">
        <v>891</v>
      </c>
      <c r="E624" s="73" t="s">
        <v>767</v>
      </c>
      <c r="F624" s="73" t="s">
        <v>790</v>
      </c>
      <c r="G624" s="73" t="s">
        <v>99</v>
      </c>
      <c r="H624" s="73" t="s">
        <v>1987</v>
      </c>
      <c r="I624" s="73" t="s">
        <v>893</v>
      </c>
      <c r="J624" s="73" t="s">
        <v>898</v>
      </c>
      <c r="K624" s="73" t="s">
        <v>895</v>
      </c>
      <c r="L624" s="103" t="n">
        <v>1.5</v>
      </c>
    </row>
    <row r="625" customFormat="false" ht="15" hidden="false" customHeight="true" outlineLevel="0" collapsed="false">
      <c r="A625" s="73" t="s">
        <v>1988</v>
      </c>
      <c r="B625" s="73" t="s">
        <v>851</v>
      </c>
      <c r="C625" s="73" t="s">
        <v>653</v>
      </c>
      <c r="D625" s="73" t="s">
        <v>891</v>
      </c>
      <c r="E625" s="73" t="s">
        <v>767</v>
      </c>
      <c r="F625" s="73" t="s">
        <v>790</v>
      </c>
      <c r="G625" s="73" t="s">
        <v>101</v>
      </c>
      <c r="H625" s="73" t="s">
        <v>1989</v>
      </c>
      <c r="I625" s="73" t="s">
        <v>893</v>
      </c>
      <c r="J625" s="73" t="s">
        <v>901</v>
      </c>
      <c r="K625" s="73" t="s">
        <v>895</v>
      </c>
      <c r="L625" s="103" t="n">
        <v>0</v>
      </c>
    </row>
    <row r="626" customFormat="false" ht="15" hidden="false" customHeight="true" outlineLevel="0" collapsed="false">
      <c r="A626" s="73" t="s">
        <v>1990</v>
      </c>
      <c r="B626" s="73" t="s">
        <v>851</v>
      </c>
      <c r="C626" s="73" t="s">
        <v>653</v>
      </c>
      <c r="D626" s="73" t="s">
        <v>891</v>
      </c>
      <c r="E626" s="73" t="s">
        <v>767</v>
      </c>
      <c r="F626" s="73" t="s">
        <v>790</v>
      </c>
      <c r="G626" s="73" t="s">
        <v>103</v>
      </c>
      <c r="H626" s="73" t="s">
        <v>1991</v>
      </c>
      <c r="I626" s="73" t="s">
        <v>893</v>
      </c>
      <c r="J626" s="73" t="s">
        <v>904</v>
      </c>
      <c r="K626" s="73" t="s">
        <v>895</v>
      </c>
      <c r="L626" s="103" t="n">
        <v>0</v>
      </c>
    </row>
    <row r="627" customFormat="false" ht="15" hidden="false" customHeight="true" outlineLevel="0" collapsed="false">
      <c r="A627" s="73" t="s">
        <v>1992</v>
      </c>
      <c r="B627" s="73" t="s">
        <v>851</v>
      </c>
      <c r="C627" s="73" t="s">
        <v>653</v>
      </c>
      <c r="D627" s="73" t="s">
        <v>891</v>
      </c>
      <c r="E627" s="73" t="s">
        <v>767</v>
      </c>
      <c r="F627" s="73" t="s">
        <v>790</v>
      </c>
      <c r="G627" s="73" t="s">
        <v>105</v>
      </c>
      <c r="H627" s="73" t="s">
        <v>1993</v>
      </c>
      <c r="I627" s="73" t="s">
        <v>893</v>
      </c>
      <c r="J627" s="73" t="s">
        <v>907</v>
      </c>
      <c r="K627" s="73" t="s">
        <v>895</v>
      </c>
      <c r="L627" s="103" t="n">
        <v>0</v>
      </c>
    </row>
    <row r="628" customFormat="false" ht="15" hidden="false" customHeight="true" outlineLevel="0" collapsed="false">
      <c r="A628" s="73" t="s">
        <v>1994</v>
      </c>
      <c r="B628" s="73" t="s">
        <v>851</v>
      </c>
      <c r="C628" s="73" t="s">
        <v>653</v>
      </c>
      <c r="D628" s="73" t="s">
        <v>891</v>
      </c>
      <c r="E628" s="73" t="s">
        <v>767</v>
      </c>
      <c r="F628" s="73" t="s">
        <v>790</v>
      </c>
      <c r="G628" s="73" t="s">
        <v>107</v>
      </c>
      <c r="H628" s="73" t="s">
        <v>1995</v>
      </c>
      <c r="I628" s="73" t="s">
        <v>893</v>
      </c>
      <c r="J628" s="73" t="s">
        <v>910</v>
      </c>
      <c r="K628" s="73" t="s">
        <v>895</v>
      </c>
      <c r="L628" s="103" t="n">
        <v>0</v>
      </c>
    </row>
    <row r="629" customFormat="false" ht="15" hidden="false" customHeight="true" outlineLevel="0" collapsed="false">
      <c r="A629" s="73" t="s">
        <v>1996</v>
      </c>
      <c r="B629" s="73" t="s">
        <v>851</v>
      </c>
      <c r="C629" s="73" t="s">
        <v>653</v>
      </c>
      <c r="D629" s="73" t="s">
        <v>891</v>
      </c>
      <c r="E629" s="73" t="s">
        <v>767</v>
      </c>
      <c r="F629" s="73" t="s">
        <v>790</v>
      </c>
      <c r="G629" s="73" t="s">
        <v>109</v>
      </c>
      <c r="H629" s="73" t="s">
        <v>1997</v>
      </c>
      <c r="I629" s="73" t="s">
        <v>893</v>
      </c>
      <c r="J629" s="73" t="s">
        <v>913</v>
      </c>
      <c r="K629" s="73" t="s">
        <v>895</v>
      </c>
      <c r="L629" s="103" t="n">
        <v>0</v>
      </c>
    </row>
    <row r="630" customFormat="false" ht="15" hidden="false" customHeight="true" outlineLevel="0" collapsed="false">
      <c r="A630" s="73" t="s">
        <v>1998</v>
      </c>
      <c r="B630" s="73" t="s">
        <v>851</v>
      </c>
      <c r="C630" s="73" t="s">
        <v>653</v>
      </c>
      <c r="D630" s="73" t="s">
        <v>891</v>
      </c>
      <c r="E630" s="73" t="s">
        <v>767</v>
      </c>
      <c r="F630" s="73" t="s">
        <v>790</v>
      </c>
      <c r="G630" s="73" t="s">
        <v>111</v>
      </c>
      <c r="H630" s="73" t="s">
        <v>1999</v>
      </c>
      <c r="I630" s="73" t="s">
        <v>893</v>
      </c>
      <c r="J630" s="73" t="s">
        <v>916</v>
      </c>
      <c r="K630" s="73" t="s">
        <v>895</v>
      </c>
      <c r="L630" s="103" t="n">
        <v>0</v>
      </c>
    </row>
    <row r="631" customFormat="false" ht="15" hidden="false" customHeight="true" outlineLevel="0" collapsed="false">
      <c r="A631" s="73" t="s">
        <v>2000</v>
      </c>
      <c r="B631" s="73" t="s">
        <v>851</v>
      </c>
      <c r="C631" s="73" t="s">
        <v>653</v>
      </c>
      <c r="D631" s="73" t="s">
        <v>918</v>
      </c>
      <c r="E631" s="73" t="s">
        <v>767</v>
      </c>
      <c r="F631" s="73" t="s">
        <v>790</v>
      </c>
      <c r="G631" s="73" t="s">
        <v>96</v>
      </c>
      <c r="H631" s="73" t="s">
        <v>2001</v>
      </c>
      <c r="I631" s="73" t="s">
        <v>893</v>
      </c>
      <c r="J631" s="73" t="s">
        <v>920</v>
      </c>
      <c r="K631" s="73" t="s">
        <v>895</v>
      </c>
      <c r="L631" s="103" t="n">
        <v>0</v>
      </c>
    </row>
    <row r="632" customFormat="false" ht="15" hidden="false" customHeight="true" outlineLevel="0" collapsed="false">
      <c r="A632" s="73" t="s">
        <v>2002</v>
      </c>
      <c r="B632" s="73" t="s">
        <v>851</v>
      </c>
      <c r="C632" s="73" t="s">
        <v>653</v>
      </c>
      <c r="D632" s="73" t="s">
        <v>918</v>
      </c>
      <c r="E632" s="73" t="s">
        <v>767</v>
      </c>
      <c r="F632" s="73" t="s">
        <v>790</v>
      </c>
      <c r="G632" s="73" t="s">
        <v>99</v>
      </c>
      <c r="H632" s="73" t="s">
        <v>2003</v>
      </c>
      <c r="I632" s="73" t="s">
        <v>893</v>
      </c>
      <c r="J632" s="73" t="s">
        <v>923</v>
      </c>
      <c r="K632" s="73" t="s">
        <v>895</v>
      </c>
      <c r="L632" s="103" t="n">
        <v>0</v>
      </c>
    </row>
    <row r="633" customFormat="false" ht="15" hidden="false" customHeight="true" outlineLevel="0" collapsed="false">
      <c r="A633" s="73" t="s">
        <v>2004</v>
      </c>
      <c r="B633" s="73" t="s">
        <v>851</v>
      </c>
      <c r="C633" s="73" t="s">
        <v>653</v>
      </c>
      <c r="D633" s="73" t="s">
        <v>918</v>
      </c>
      <c r="E633" s="73" t="s">
        <v>767</v>
      </c>
      <c r="F633" s="73" t="s">
        <v>790</v>
      </c>
      <c r="G633" s="73" t="s">
        <v>101</v>
      </c>
      <c r="H633" s="73" t="s">
        <v>2005</v>
      </c>
      <c r="I633" s="73" t="s">
        <v>893</v>
      </c>
      <c r="J633" s="73" t="s">
        <v>926</v>
      </c>
      <c r="K633" s="73" t="s">
        <v>895</v>
      </c>
      <c r="L633" s="103" t="n">
        <v>0</v>
      </c>
    </row>
    <row r="634" customFormat="false" ht="15" hidden="false" customHeight="true" outlineLevel="0" collapsed="false">
      <c r="A634" s="73" t="s">
        <v>2006</v>
      </c>
      <c r="B634" s="73" t="s">
        <v>851</v>
      </c>
      <c r="C634" s="73" t="s">
        <v>653</v>
      </c>
      <c r="D634" s="73" t="s">
        <v>918</v>
      </c>
      <c r="E634" s="73" t="s">
        <v>767</v>
      </c>
      <c r="F634" s="73" t="s">
        <v>790</v>
      </c>
      <c r="G634" s="73" t="s">
        <v>103</v>
      </c>
      <c r="H634" s="73" t="s">
        <v>2007</v>
      </c>
      <c r="I634" s="73" t="s">
        <v>893</v>
      </c>
      <c r="J634" s="73" t="s">
        <v>929</v>
      </c>
      <c r="K634" s="73" t="s">
        <v>895</v>
      </c>
      <c r="L634" s="103" t="n">
        <v>0</v>
      </c>
    </row>
    <row r="635" customFormat="false" ht="15" hidden="false" customHeight="true" outlineLevel="0" collapsed="false">
      <c r="A635" s="73" t="s">
        <v>2008</v>
      </c>
      <c r="B635" s="73" t="s">
        <v>851</v>
      </c>
      <c r="C635" s="73" t="s">
        <v>653</v>
      </c>
      <c r="D635" s="73" t="s">
        <v>918</v>
      </c>
      <c r="E635" s="73" t="s">
        <v>767</v>
      </c>
      <c r="F635" s="73" t="s">
        <v>790</v>
      </c>
      <c r="G635" s="73" t="s">
        <v>105</v>
      </c>
      <c r="H635" s="73" t="s">
        <v>2009</v>
      </c>
      <c r="I635" s="73" t="s">
        <v>893</v>
      </c>
      <c r="J635" s="73" t="s">
        <v>932</v>
      </c>
      <c r="K635" s="73" t="s">
        <v>895</v>
      </c>
      <c r="L635" s="103" t="n">
        <v>0</v>
      </c>
    </row>
    <row r="636" customFormat="false" ht="15" hidden="false" customHeight="true" outlineLevel="0" collapsed="false">
      <c r="A636" s="73" t="s">
        <v>2010</v>
      </c>
      <c r="B636" s="73" t="s">
        <v>851</v>
      </c>
      <c r="C636" s="73" t="s">
        <v>653</v>
      </c>
      <c r="D636" s="73" t="s">
        <v>918</v>
      </c>
      <c r="E636" s="73" t="s">
        <v>767</v>
      </c>
      <c r="F636" s="73" t="s">
        <v>790</v>
      </c>
      <c r="G636" s="73" t="s">
        <v>107</v>
      </c>
      <c r="H636" s="73" t="s">
        <v>2011</v>
      </c>
      <c r="I636" s="73" t="s">
        <v>893</v>
      </c>
      <c r="J636" s="73" t="s">
        <v>935</v>
      </c>
      <c r="K636" s="73" t="s">
        <v>895</v>
      </c>
      <c r="L636" s="103" t="n">
        <v>0</v>
      </c>
    </row>
    <row r="637" customFormat="false" ht="15" hidden="false" customHeight="true" outlineLevel="0" collapsed="false">
      <c r="A637" s="73" t="s">
        <v>2012</v>
      </c>
      <c r="B637" s="73" t="s">
        <v>851</v>
      </c>
      <c r="C637" s="73" t="s">
        <v>653</v>
      </c>
      <c r="D637" s="73" t="s">
        <v>918</v>
      </c>
      <c r="E637" s="73" t="s">
        <v>767</v>
      </c>
      <c r="F637" s="73" t="s">
        <v>790</v>
      </c>
      <c r="G637" s="73" t="s">
        <v>109</v>
      </c>
      <c r="H637" s="73" t="s">
        <v>2013</v>
      </c>
      <c r="I637" s="73" t="s">
        <v>893</v>
      </c>
      <c r="J637" s="73" t="s">
        <v>938</v>
      </c>
      <c r="K637" s="73" t="s">
        <v>895</v>
      </c>
      <c r="L637" s="103" t="n">
        <v>0</v>
      </c>
    </row>
    <row r="638" customFormat="false" ht="15" hidden="false" customHeight="true" outlineLevel="0" collapsed="false">
      <c r="A638" s="73" t="s">
        <v>2014</v>
      </c>
      <c r="B638" s="73" t="s">
        <v>851</v>
      </c>
      <c r="C638" s="73" t="s">
        <v>653</v>
      </c>
      <c r="D638" s="73" t="s">
        <v>918</v>
      </c>
      <c r="E638" s="73" t="s">
        <v>767</v>
      </c>
      <c r="F638" s="73" t="s">
        <v>790</v>
      </c>
      <c r="G638" s="73" t="s">
        <v>111</v>
      </c>
      <c r="H638" s="73" t="s">
        <v>2015</v>
      </c>
      <c r="I638" s="73" t="s">
        <v>893</v>
      </c>
      <c r="J638" s="73" t="s">
        <v>941</v>
      </c>
      <c r="K638" s="73" t="s">
        <v>895</v>
      </c>
      <c r="L638" s="103" t="n">
        <v>0</v>
      </c>
    </row>
    <row r="639" customFormat="false" ht="15" hidden="false" customHeight="true" outlineLevel="0" collapsed="false">
      <c r="A639" s="73" t="s">
        <v>2016</v>
      </c>
      <c r="B639" s="73" t="s">
        <v>851</v>
      </c>
      <c r="C639" s="73" t="s">
        <v>653</v>
      </c>
      <c r="D639" s="73" t="s">
        <v>943</v>
      </c>
      <c r="E639" s="73" t="s">
        <v>767</v>
      </c>
      <c r="F639" s="73" t="s">
        <v>790</v>
      </c>
      <c r="G639" s="73" t="s">
        <v>944</v>
      </c>
      <c r="H639" s="73" t="s">
        <v>2017</v>
      </c>
      <c r="I639" s="73" t="s">
        <v>893</v>
      </c>
      <c r="J639" s="73" t="s">
        <v>946</v>
      </c>
      <c r="K639" s="73"/>
      <c r="L639" s="103" t="n">
        <v>0.3</v>
      </c>
    </row>
    <row r="640" customFormat="false" ht="15" hidden="false" customHeight="true" outlineLevel="0" collapsed="false">
      <c r="A640" s="73" t="s">
        <v>2018</v>
      </c>
      <c r="B640" s="73" t="s">
        <v>851</v>
      </c>
      <c r="C640" s="73" t="s">
        <v>653</v>
      </c>
      <c r="D640" s="73" t="s">
        <v>948</v>
      </c>
      <c r="E640" s="73" t="s">
        <v>767</v>
      </c>
      <c r="F640" s="73" t="s">
        <v>790</v>
      </c>
      <c r="G640" s="73" t="s">
        <v>655</v>
      </c>
      <c r="H640" s="73" t="s">
        <v>2019</v>
      </c>
      <c r="I640" s="73" t="s">
        <v>708</v>
      </c>
      <c r="J640" s="73" t="s">
        <v>950</v>
      </c>
      <c r="K640" s="73" t="s">
        <v>951</v>
      </c>
      <c r="L640" s="103" t="n">
        <v>0</v>
      </c>
    </row>
    <row r="641" customFormat="false" ht="15" hidden="false" customHeight="true" outlineLevel="0" collapsed="false">
      <c r="A641" s="73" t="s">
        <v>2020</v>
      </c>
      <c r="B641" s="73" t="s">
        <v>851</v>
      </c>
      <c r="C641" s="73" t="s">
        <v>653</v>
      </c>
      <c r="D641" s="73" t="s">
        <v>953</v>
      </c>
      <c r="E641" s="73" t="s">
        <v>767</v>
      </c>
      <c r="F641" s="73" t="s">
        <v>790</v>
      </c>
      <c r="G641" s="73" t="s">
        <v>655</v>
      </c>
      <c r="H641" s="73" t="s">
        <v>2021</v>
      </c>
      <c r="I641" s="73" t="s">
        <v>955</v>
      </c>
      <c r="J641" s="73" t="s">
        <v>956</v>
      </c>
      <c r="K641" s="73" t="s">
        <v>951</v>
      </c>
      <c r="L641" s="103" t="n">
        <v>2.5</v>
      </c>
    </row>
    <row r="642" customFormat="false" ht="15" hidden="false" customHeight="true" outlineLevel="0" collapsed="false">
      <c r="A642" s="73" t="s">
        <v>2022</v>
      </c>
      <c r="B642" s="73" t="s">
        <v>851</v>
      </c>
      <c r="C642" s="73" t="s">
        <v>653</v>
      </c>
      <c r="D642" s="73" t="s">
        <v>867</v>
      </c>
      <c r="E642" s="73" t="s">
        <v>801</v>
      </c>
      <c r="F642" s="73" t="s">
        <v>802</v>
      </c>
      <c r="G642" s="73" t="s">
        <v>655</v>
      </c>
      <c r="H642" s="73" t="s">
        <v>2023</v>
      </c>
      <c r="I642" s="73" t="s">
        <v>869</v>
      </c>
      <c r="J642" s="73" t="s">
        <v>1253</v>
      </c>
      <c r="K642" s="73" t="s">
        <v>871</v>
      </c>
      <c r="L642" s="107" t="n">
        <v>0</v>
      </c>
    </row>
    <row r="643" customFormat="false" ht="15" hidden="false" customHeight="true" outlineLevel="0" collapsed="false">
      <c r="A643" s="73" t="s">
        <v>2024</v>
      </c>
      <c r="B643" s="73" t="s">
        <v>851</v>
      </c>
      <c r="C643" s="73" t="s">
        <v>653</v>
      </c>
      <c r="D643" s="73" t="s">
        <v>873</v>
      </c>
      <c r="E643" s="73" t="s">
        <v>801</v>
      </c>
      <c r="F643" s="73" t="s">
        <v>802</v>
      </c>
      <c r="G643" s="73" t="s">
        <v>655</v>
      </c>
      <c r="H643" s="73" t="s">
        <v>2025</v>
      </c>
      <c r="I643" s="73" t="s">
        <v>875</v>
      </c>
      <c r="J643" s="73" t="s">
        <v>876</v>
      </c>
      <c r="K643" s="73"/>
      <c r="L643" s="104" t="n">
        <v>0.8</v>
      </c>
    </row>
    <row r="644" customFormat="false" ht="15" hidden="false" customHeight="true" outlineLevel="0" collapsed="false">
      <c r="A644" s="73" t="s">
        <v>2026</v>
      </c>
      <c r="B644" s="73" t="s">
        <v>851</v>
      </c>
      <c r="C644" s="73" t="s">
        <v>653</v>
      </c>
      <c r="D644" s="73" t="s">
        <v>878</v>
      </c>
      <c r="E644" s="73" t="s">
        <v>801</v>
      </c>
      <c r="F644" s="73" t="s">
        <v>802</v>
      </c>
      <c r="G644" s="73" t="s">
        <v>655</v>
      </c>
      <c r="H644" s="73" t="s">
        <v>2027</v>
      </c>
      <c r="I644" s="73" t="s">
        <v>880</v>
      </c>
      <c r="J644" s="73" t="s">
        <v>881</v>
      </c>
      <c r="K644" s="73"/>
      <c r="L644" s="104" t="n">
        <v>0.35</v>
      </c>
    </row>
    <row r="645" customFormat="false" ht="15" hidden="false" customHeight="true" outlineLevel="0" collapsed="false">
      <c r="A645" s="73" t="s">
        <v>2028</v>
      </c>
      <c r="B645" s="73" t="s">
        <v>851</v>
      </c>
      <c r="C645" s="73" t="s">
        <v>653</v>
      </c>
      <c r="D645" s="73" t="s">
        <v>883</v>
      </c>
      <c r="E645" s="73" t="s">
        <v>801</v>
      </c>
      <c r="F645" s="73" t="s">
        <v>802</v>
      </c>
      <c r="G645" s="73" t="s">
        <v>655</v>
      </c>
      <c r="H645" s="73" t="s">
        <v>2029</v>
      </c>
      <c r="I645" s="73" t="s">
        <v>880</v>
      </c>
      <c r="J645" s="73" t="s">
        <v>885</v>
      </c>
      <c r="K645" s="73"/>
      <c r="L645" s="104" t="n">
        <v>0.18</v>
      </c>
    </row>
    <row r="646" customFormat="false" ht="15" hidden="false" customHeight="true" outlineLevel="0" collapsed="false">
      <c r="A646" s="73" t="s">
        <v>2030</v>
      </c>
      <c r="B646" s="73" t="s">
        <v>851</v>
      </c>
      <c r="C646" s="73" t="s">
        <v>653</v>
      </c>
      <c r="D646" s="73" t="s">
        <v>887</v>
      </c>
      <c r="E646" s="73" t="s">
        <v>801</v>
      </c>
      <c r="F646" s="73" t="s">
        <v>802</v>
      </c>
      <c r="G646" s="73" t="s">
        <v>655</v>
      </c>
      <c r="H646" s="73" t="s">
        <v>2031</v>
      </c>
      <c r="I646" s="73" t="s">
        <v>880</v>
      </c>
      <c r="J646" s="73" t="s">
        <v>889</v>
      </c>
      <c r="K646" s="73"/>
      <c r="L646" s="104" t="n">
        <v>0.3</v>
      </c>
    </row>
    <row r="647" customFormat="false" ht="15" hidden="false" customHeight="true" outlineLevel="0" collapsed="false">
      <c r="A647" s="73" t="s">
        <v>2032</v>
      </c>
      <c r="B647" s="73" t="s">
        <v>851</v>
      </c>
      <c r="C647" s="73" t="s">
        <v>653</v>
      </c>
      <c r="D647" s="73" t="s">
        <v>891</v>
      </c>
      <c r="E647" s="73" t="s">
        <v>801</v>
      </c>
      <c r="F647" s="73" t="s">
        <v>802</v>
      </c>
      <c r="G647" s="73" t="s">
        <v>96</v>
      </c>
      <c r="H647" s="73" t="s">
        <v>2033</v>
      </c>
      <c r="I647" s="73" t="s">
        <v>893</v>
      </c>
      <c r="J647" s="73" t="s">
        <v>894</v>
      </c>
      <c r="K647" s="73" t="s">
        <v>895</v>
      </c>
      <c r="L647" s="103" t="n">
        <v>0</v>
      </c>
    </row>
    <row r="648" customFormat="false" ht="15" hidden="false" customHeight="true" outlineLevel="0" collapsed="false">
      <c r="A648" s="73" t="s">
        <v>2034</v>
      </c>
      <c r="B648" s="73" t="s">
        <v>851</v>
      </c>
      <c r="C648" s="73" t="s">
        <v>653</v>
      </c>
      <c r="D648" s="73" t="s">
        <v>891</v>
      </c>
      <c r="E648" s="73" t="s">
        <v>801</v>
      </c>
      <c r="F648" s="73" t="s">
        <v>802</v>
      </c>
      <c r="G648" s="73" t="s">
        <v>99</v>
      </c>
      <c r="H648" s="73" t="s">
        <v>2035</v>
      </c>
      <c r="I648" s="73" t="s">
        <v>893</v>
      </c>
      <c r="J648" s="73" t="s">
        <v>898</v>
      </c>
      <c r="K648" s="73" t="s">
        <v>895</v>
      </c>
      <c r="L648" s="103" t="n">
        <v>2</v>
      </c>
    </row>
    <row r="649" customFormat="false" ht="15" hidden="false" customHeight="true" outlineLevel="0" collapsed="false">
      <c r="A649" s="73" t="s">
        <v>2036</v>
      </c>
      <c r="B649" s="73" t="s">
        <v>851</v>
      </c>
      <c r="C649" s="73" t="s">
        <v>653</v>
      </c>
      <c r="D649" s="73" t="s">
        <v>891</v>
      </c>
      <c r="E649" s="73" t="s">
        <v>801</v>
      </c>
      <c r="F649" s="73" t="s">
        <v>802</v>
      </c>
      <c r="G649" s="73" t="s">
        <v>101</v>
      </c>
      <c r="H649" s="73" t="s">
        <v>2037</v>
      </c>
      <c r="I649" s="73" t="s">
        <v>893</v>
      </c>
      <c r="J649" s="73" t="s">
        <v>901</v>
      </c>
      <c r="K649" s="73" t="s">
        <v>895</v>
      </c>
      <c r="L649" s="103" t="n">
        <v>0</v>
      </c>
    </row>
    <row r="650" customFormat="false" ht="15" hidden="false" customHeight="true" outlineLevel="0" collapsed="false">
      <c r="A650" s="73" t="s">
        <v>2038</v>
      </c>
      <c r="B650" s="73" t="s">
        <v>851</v>
      </c>
      <c r="C650" s="73" t="s">
        <v>653</v>
      </c>
      <c r="D650" s="73" t="s">
        <v>891</v>
      </c>
      <c r="E650" s="73" t="s">
        <v>801</v>
      </c>
      <c r="F650" s="73" t="s">
        <v>802</v>
      </c>
      <c r="G650" s="73" t="s">
        <v>103</v>
      </c>
      <c r="H650" s="73" t="s">
        <v>2039</v>
      </c>
      <c r="I650" s="73" t="s">
        <v>893</v>
      </c>
      <c r="J650" s="73" t="s">
        <v>904</v>
      </c>
      <c r="K650" s="73" t="s">
        <v>895</v>
      </c>
      <c r="L650" s="103" t="n">
        <v>0</v>
      </c>
    </row>
    <row r="651" customFormat="false" ht="15" hidden="false" customHeight="true" outlineLevel="0" collapsed="false">
      <c r="A651" s="73" t="s">
        <v>2040</v>
      </c>
      <c r="B651" s="73" t="s">
        <v>851</v>
      </c>
      <c r="C651" s="73" t="s">
        <v>653</v>
      </c>
      <c r="D651" s="73" t="s">
        <v>891</v>
      </c>
      <c r="E651" s="73" t="s">
        <v>801</v>
      </c>
      <c r="F651" s="73" t="s">
        <v>802</v>
      </c>
      <c r="G651" s="73" t="s">
        <v>105</v>
      </c>
      <c r="H651" s="73" t="s">
        <v>2041</v>
      </c>
      <c r="I651" s="73" t="s">
        <v>893</v>
      </c>
      <c r="J651" s="73" t="s">
        <v>907</v>
      </c>
      <c r="K651" s="73" t="s">
        <v>895</v>
      </c>
      <c r="L651" s="103" t="n">
        <v>0</v>
      </c>
    </row>
    <row r="652" customFormat="false" ht="15" hidden="false" customHeight="true" outlineLevel="0" collapsed="false">
      <c r="A652" s="73" t="s">
        <v>2042</v>
      </c>
      <c r="B652" s="73" t="s">
        <v>851</v>
      </c>
      <c r="C652" s="73" t="s">
        <v>653</v>
      </c>
      <c r="D652" s="73" t="s">
        <v>891</v>
      </c>
      <c r="E652" s="73" t="s">
        <v>801</v>
      </c>
      <c r="F652" s="73" t="s">
        <v>802</v>
      </c>
      <c r="G652" s="73" t="s">
        <v>107</v>
      </c>
      <c r="H652" s="73" t="s">
        <v>2043</v>
      </c>
      <c r="I652" s="73" t="s">
        <v>893</v>
      </c>
      <c r="J652" s="73" t="s">
        <v>910</v>
      </c>
      <c r="K652" s="73" t="s">
        <v>895</v>
      </c>
      <c r="L652" s="103" t="n">
        <v>0</v>
      </c>
    </row>
    <row r="653" customFormat="false" ht="15" hidden="false" customHeight="true" outlineLevel="0" collapsed="false">
      <c r="A653" s="73" t="s">
        <v>2044</v>
      </c>
      <c r="B653" s="73" t="s">
        <v>851</v>
      </c>
      <c r="C653" s="73" t="s">
        <v>653</v>
      </c>
      <c r="D653" s="73" t="s">
        <v>891</v>
      </c>
      <c r="E653" s="73" t="s">
        <v>801</v>
      </c>
      <c r="F653" s="73" t="s">
        <v>802</v>
      </c>
      <c r="G653" s="73" t="s">
        <v>109</v>
      </c>
      <c r="H653" s="73" t="s">
        <v>2045</v>
      </c>
      <c r="I653" s="73" t="s">
        <v>893</v>
      </c>
      <c r="J653" s="73" t="s">
        <v>913</v>
      </c>
      <c r="K653" s="73" t="s">
        <v>895</v>
      </c>
      <c r="L653" s="103" t="n">
        <v>0</v>
      </c>
    </row>
    <row r="654" customFormat="false" ht="15" hidden="false" customHeight="true" outlineLevel="0" collapsed="false">
      <c r="A654" s="73" t="s">
        <v>2046</v>
      </c>
      <c r="B654" s="73" t="s">
        <v>851</v>
      </c>
      <c r="C654" s="73" t="s">
        <v>653</v>
      </c>
      <c r="D654" s="73" t="s">
        <v>891</v>
      </c>
      <c r="E654" s="73" t="s">
        <v>801</v>
      </c>
      <c r="F654" s="73" t="s">
        <v>802</v>
      </c>
      <c r="G654" s="73" t="s">
        <v>111</v>
      </c>
      <c r="H654" s="73" t="s">
        <v>2047</v>
      </c>
      <c r="I654" s="73" t="s">
        <v>893</v>
      </c>
      <c r="J654" s="73" t="s">
        <v>916</v>
      </c>
      <c r="K654" s="73" t="s">
        <v>895</v>
      </c>
      <c r="L654" s="103" t="n">
        <v>0</v>
      </c>
    </row>
    <row r="655" customFormat="false" ht="15" hidden="false" customHeight="true" outlineLevel="0" collapsed="false">
      <c r="A655" s="73" t="s">
        <v>2048</v>
      </c>
      <c r="B655" s="73" t="s">
        <v>851</v>
      </c>
      <c r="C655" s="73" t="s">
        <v>653</v>
      </c>
      <c r="D655" s="73" t="s">
        <v>918</v>
      </c>
      <c r="E655" s="73" t="s">
        <v>801</v>
      </c>
      <c r="F655" s="73" t="s">
        <v>802</v>
      </c>
      <c r="G655" s="73" t="s">
        <v>96</v>
      </c>
      <c r="H655" s="73" t="s">
        <v>2049</v>
      </c>
      <c r="I655" s="73" t="s">
        <v>893</v>
      </c>
      <c r="J655" s="73" t="s">
        <v>920</v>
      </c>
      <c r="K655" s="73" t="s">
        <v>895</v>
      </c>
      <c r="L655" s="103" t="n">
        <v>0</v>
      </c>
    </row>
    <row r="656" customFormat="false" ht="15" hidden="false" customHeight="true" outlineLevel="0" collapsed="false">
      <c r="A656" s="73" t="s">
        <v>2050</v>
      </c>
      <c r="B656" s="73" t="s">
        <v>851</v>
      </c>
      <c r="C656" s="73" t="s">
        <v>653</v>
      </c>
      <c r="D656" s="73" t="s">
        <v>918</v>
      </c>
      <c r="E656" s="73" t="s">
        <v>801</v>
      </c>
      <c r="F656" s="73" t="s">
        <v>802</v>
      </c>
      <c r="G656" s="73" t="s">
        <v>99</v>
      </c>
      <c r="H656" s="73" t="s">
        <v>2051</v>
      </c>
      <c r="I656" s="73" t="s">
        <v>893</v>
      </c>
      <c r="J656" s="73" t="s">
        <v>923</v>
      </c>
      <c r="K656" s="73" t="s">
        <v>895</v>
      </c>
      <c r="L656" s="103" t="n">
        <v>0</v>
      </c>
    </row>
    <row r="657" customFormat="false" ht="15" hidden="false" customHeight="true" outlineLevel="0" collapsed="false">
      <c r="A657" s="73" t="s">
        <v>2052</v>
      </c>
      <c r="B657" s="73" t="s">
        <v>851</v>
      </c>
      <c r="C657" s="73" t="s">
        <v>653</v>
      </c>
      <c r="D657" s="73" t="s">
        <v>918</v>
      </c>
      <c r="E657" s="73" t="s">
        <v>801</v>
      </c>
      <c r="F657" s="73" t="s">
        <v>802</v>
      </c>
      <c r="G657" s="73" t="s">
        <v>101</v>
      </c>
      <c r="H657" s="73" t="s">
        <v>2053</v>
      </c>
      <c r="I657" s="73" t="s">
        <v>893</v>
      </c>
      <c r="J657" s="73" t="s">
        <v>926</v>
      </c>
      <c r="K657" s="73" t="s">
        <v>895</v>
      </c>
      <c r="L657" s="103" t="n">
        <v>0</v>
      </c>
    </row>
    <row r="658" customFormat="false" ht="15" hidden="false" customHeight="true" outlineLevel="0" collapsed="false">
      <c r="A658" s="73" t="s">
        <v>2054</v>
      </c>
      <c r="B658" s="73" t="s">
        <v>851</v>
      </c>
      <c r="C658" s="73" t="s">
        <v>653</v>
      </c>
      <c r="D658" s="73" t="s">
        <v>918</v>
      </c>
      <c r="E658" s="73" t="s">
        <v>801</v>
      </c>
      <c r="F658" s="73" t="s">
        <v>802</v>
      </c>
      <c r="G658" s="73" t="s">
        <v>103</v>
      </c>
      <c r="H658" s="73" t="s">
        <v>2055</v>
      </c>
      <c r="I658" s="73" t="s">
        <v>893</v>
      </c>
      <c r="J658" s="73" t="s">
        <v>929</v>
      </c>
      <c r="K658" s="73" t="s">
        <v>895</v>
      </c>
      <c r="L658" s="103" t="n">
        <v>0</v>
      </c>
    </row>
    <row r="659" customFormat="false" ht="15" hidden="false" customHeight="true" outlineLevel="0" collapsed="false">
      <c r="A659" s="73" t="s">
        <v>2056</v>
      </c>
      <c r="B659" s="73" t="s">
        <v>851</v>
      </c>
      <c r="C659" s="73" t="s">
        <v>653</v>
      </c>
      <c r="D659" s="73" t="s">
        <v>918</v>
      </c>
      <c r="E659" s="73" t="s">
        <v>801</v>
      </c>
      <c r="F659" s="73" t="s">
        <v>802</v>
      </c>
      <c r="G659" s="73" t="s">
        <v>105</v>
      </c>
      <c r="H659" s="73" t="s">
        <v>2057</v>
      </c>
      <c r="I659" s="73" t="s">
        <v>893</v>
      </c>
      <c r="J659" s="73" t="s">
        <v>932</v>
      </c>
      <c r="K659" s="73" t="s">
        <v>895</v>
      </c>
      <c r="L659" s="103" t="n">
        <v>0</v>
      </c>
    </row>
    <row r="660" customFormat="false" ht="15" hidden="false" customHeight="true" outlineLevel="0" collapsed="false">
      <c r="A660" s="73" t="s">
        <v>2058</v>
      </c>
      <c r="B660" s="73" t="s">
        <v>851</v>
      </c>
      <c r="C660" s="73" t="s">
        <v>653</v>
      </c>
      <c r="D660" s="73" t="s">
        <v>918</v>
      </c>
      <c r="E660" s="73" t="s">
        <v>801</v>
      </c>
      <c r="F660" s="73" t="s">
        <v>802</v>
      </c>
      <c r="G660" s="73" t="s">
        <v>107</v>
      </c>
      <c r="H660" s="73" t="s">
        <v>2059</v>
      </c>
      <c r="I660" s="73" t="s">
        <v>893</v>
      </c>
      <c r="J660" s="73" t="s">
        <v>935</v>
      </c>
      <c r="K660" s="73" t="s">
        <v>895</v>
      </c>
      <c r="L660" s="103" t="n">
        <v>0</v>
      </c>
    </row>
    <row r="661" customFormat="false" ht="15" hidden="false" customHeight="true" outlineLevel="0" collapsed="false">
      <c r="A661" s="73" t="s">
        <v>2060</v>
      </c>
      <c r="B661" s="73" t="s">
        <v>851</v>
      </c>
      <c r="C661" s="73" t="s">
        <v>653</v>
      </c>
      <c r="D661" s="73" t="s">
        <v>918</v>
      </c>
      <c r="E661" s="73" t="s">
        <v>801</v>
      </c>
      <c r="F661" s="73" t="s">
        <v>802</v>
      </c>
      <c r="G661" s="73" t="s">
        <v>109</v>
      </c>
      <c r="H661" s="73" t="s">
        <v>2061</v>
      </c>
      <c r="I661" s="73" t="s">
        <v>893</v>
      </c>
      <c r="J661" s="73" t="s">
        <v>938</v>
      </c>
      <c r="K661" s="73" t="s">
        <v>895</v>
      </c>
      <c r="L661" s="103" t="n">
        <v>0</v>
      </c>
    </row>
    <row r="662" customFormat="false" ht="15" hidden="false" customHeight="true" outlineLevel="0" collapsed="false">
      <c r="A662" s="73" t="s">
        <v>2062</v>
      </c>
      <c r="B662" s="73" t="s">
        <v>851</v>
      </c>
      <c r="C662" s="73" t="s">
        <v>653</v>
      </c>
      <c r="D662" s="73" t="s">
        <v>918</v>
      </c>
      <c r="E662" s="73" t="s">
        <v>801</v>
      </c>
      <c r="F662" s="73" t="s">
        <v>802</v>
      </c>
      <c r="G662" s="73" t="s">
        <v>111</v>
      </c>
      <c r="H662" s="73" t="s">
        <v>2063</v>
      </c>
      <c r="I662" s="73" t="s">
        <v>893</v>
      </c>
      <c r="J662" s="73" t="s">
        <v>941</v>
      </c>
      <c r="K662" s="73" t="s">
        <v>895</v>
      </c>
      <c r="L662" s="103" t="n">
        <v>0</v>
      </c>
    </row>
    <row r="663" customFormat="false" ht="15" hidden="false" customHeight="true" outlineLevel="0" collapsed="false">
      <c r="A663" s="73" t="s">
        <v>2064</v>
      </c>
      <c r="B663" s="73" t="s">
        <v>851</v>
      </c>
      <c r="C663" s="73" t="s">
        <v>653</v>
      </c>
      <c r="D663" s="73" t="s">
        <v>943</v>
      </c>
      <c r="E663" s="73" t="s">
        <v>801</v>
      </c>
      <c r="F663" s="73" t="s">
        <v>802</v>
      </c>
      <c r="G663" s="73" t="s">
        <v>944</v>
      </c>
      <c r="H663" s="73" t="s">
        <v>2065</v>
      </c>
      <c r="I663" s="73" t="s">
        <v>893</v>
      </c>
      <c r="J663" s="73" t="s">
        <v>946</v>
      </c>
      <c r="K663" s="73"/>
      <c r="L663" s="103" t="n">
        <v>52</v>
      </c>
    </row>
    <row r="664" customFormat="false" ht="15" hidden="false" customHeight="true" outlineLevel="0" collapsed="false">
      <c r="A664" s="73" t="s">
        <v>2066</v>
      </c>
      <c r="B664" s="73" t="s">
        <v>851</v>
      </c>
      <c r="C664" s="73" t="s">
        <v>653</v>
      </c>
      <c r="D664" s="73" t="s">
        <v>948</v>
      </c>
      <c r="E664" s="73" t="s">
        <v>801</v>
      </c>
      <c r="F664" s="73" t="s">
        <v>802</v>
      </c>
      <c r="G664" s="73" t="s">
        <v>655</v>
      </c>
      <c r="H664" s="73" t="s">
        <v>2067</v>
      </c>
      <c r="I664" s="73" t="s">
        <v>708</v>
      </c>
      <c r="J664" s="73" t="s">
        <v>950</v>
      </c>
      <c r="K664" s="73" t="s">
        <v>951</v>
      </c>
      <c r="L664" s="103" t="n">
        <v>1.5</v>
      </c>
    </row>
    <row r="665" customFormat="false" ht="15" hidden="false" customHeight="true" outlineLevel="0" collapsed="false">
      <c r="A665" s="73" t="s">
        <v>2068</v>
      </c>
      <c r="B665" s="73" t="s">
        <v>851</v>
      </c>
      <c r="C665" s="73" t="s">
        <v>653</v>
      </c>
      <c r="D665" s="73" t="s">
        <v>953</v>
      </c>
      <c r="E665" s="73" t="s">
        <v>801</v>
      </c>
      <c r="F665" s="73" t="s">
        <v>802</v>
      </c>
      <c r="G665" s="73" t="s">
        <v>655</v>
      </c>
      <c r="H665" s="73" t="s">
        <v>2069</v>
      </c>
      <c r="I665" s="73" t="s">
        <v>955</v>
      </c>
      <c r="J665" s="73" t="s">
        <v>956</v>
      </c>
      <c r="K665" s="73" t="s">
        <v>951</v>
      </c>
      <c r="L665" s="103" t="n">
        <v>0.7</v>
      </c>
    </row>
    <row r="667" customFormat="false" ht="21.75" hidden="false" customHeight="true" outlineLevel="0" collapsed="false">
      <c r="A667" s="70" t="s">
        <v>2070</v>
      </c>
      <c r="B667" s="70"/>
      <c r="C667" s="70"/>
      <c r="D667" s="70"/>
      <c r="E667" s="70"/>
      <c r="F667" s="70"/>
      <c r="G667" s="70"/>
      <c r="H667" s="70"/>
      <c r="I667" s="70"/>
      <c r="J667" s="70"/>
      <c r="K667" s="70"/>
      <c r="L667" s="70"/>
      <c r="M667" s="70"/>
      <c r="N667" s="70"/>
      <c r="O667" s="70"/>
      <c r="P667" s="70"/>
      <c r="Q667" s="70"/>
      <c r="R667" s="70"/>
      <c r="S667" s="70"/>
      <c r="T667" s="70"/>
      <c r="U667" s="70"/>
      <c r="V667" s="70"/>
      <c r="W667" s="70"/>
      <c r="X667" s="70"/>
    </row>
    <row r="668" customFormat="false" ht="15" hidden="false" customHeight="true" outlineLevel="0" collapsed="false">
      <c r="A668" s="73" t="s">
        <v>2071</v>
      </c>
      <c r="B668" s="73" t="s">
        <v>856</v>
      </c>
      <c r="C668" s="73" t="s">
        <v>653</v>
      </c>
      <c r="D668" s="73" t="s">
        <v>867</v>
      </c>
      <c r="E668" s="73" t="s">
        <v>705</v>
      </c>
      <c r="F668" s="73" t="s">
        <v>706</v>
      </c>
      <c r="G668" s="73" t="s">
        <v>655</v>
      </c>
      <c r="H668" s="73" t="s">
        <v>2072</v>
      </c>
      <c r="I668" s="73" t="s">
        <v>869</v>
      </c>
      <c r="J668" s="73" t="s">
        <v>870</v>
      </c>
      <c r="K668" s="73" t="s">
        <v>871</v>
      </c>
      <c r="L668" s="107" t="n">
        <v>0</v>
      </c>
    </row>
    <row r="669" customFormat="false" ht="15" hidden="false" customHeight="true" outlineLevel="0" collapsed="false">
      <c r="A669" s="73" t="s">
        <v>2073</v>
      </c>
      <c r="B669" s="73" t="s">
        <v>856</v>
      </c>
      <c r="C669" s="73" t="s">
        <v>653</v>
      </c>
      <c r="D669" s="73" t="s">
        <v>873</v>
      </c>
      <c r="E669" s="73" t="s">
        <v>705</v>
      </c>
      <c r="F669" s="73" t="s">
        <v>706</v>
      </c>
      <c r="G669" s="73" t="s">
        <v>655</v>
      </c>
      <c r="H669" s="73" t="s">
        <v>2074</v>
      </c>
      <c r="I669" s="73" t="s">
        <v>875</v>
      </c>
      <c r="J669" s="73" t="s">
        <v>876</v>
      </c>
      <c r="K669" s="73"/>
      <c r="L669" s="104" t="n">
        <v>1</v>
      </c>
    </row>
    <row r="670" customFormat="false" ht="15" hidden="false" customHeight="true" outlineLevel="0" collapsed="false">
      <c r="A670" s="73" t="s">
        <v>2075</v>
      </c>
      <c r="B670" s="73" t="s">
        <v>856</v>
      </c>
      <c r="C670" s="73" t="s">
        <v>653</v>
      </c>
      <c r="D670" s="73" t="s">
        <v>878</v>
      </c>
      <c r="E670" s="73" t="s">
        <v>705</v>
      </c>
      <c r="F670" s="73" t="s">
        <v>706</v>
      </c>
      <c r="G670" s="73" t="s">
        <v>655</v>
      </c>
      <c r="H670" s="73" t="s">
        <v>2076</v>
      </c>
      <c r="I670" s="73" t="s">
        <v>880</v>
      </c>
      <c r="J670" s="73" t="s">
        <v>881</v>
      </c>
      <c r="K670" s="73"/>
      <c r="L670" s="104" t="n">
        <v>0.2</v>
      </c>
    </row>
    <row r="671" customFormat="false" ht="15" hidden="false" customHeight="true" outlineLevel="0" collapsed="false">
      <c r="A671" s="73" t="s">
        <v>2077</v>
      </c>
      <c r="B671" s="73" t="s">
        <v>856</v>
      </c>
      <c r="C671" s="73" t="s">
        <v>653</v>
      </c>
      <c r="D671" s="73" t="s">
        <v>883</v>
      </c>
      <c r="E671" s="73" t="s">
        <v>705</v>
      </c>
      <c r="F671" s="73" t="s">
        <v>706</v>
      </c>
      <c r="G671" s="73" t="s">
        <v>655</v>
      </c>
      <c r="H671" s="73" t="s">
        <v>2078</v>
      </c>
      <c r="I671" s="73" t="s">
        <v>880</v>
      </c>
      <c r="J671" s="73" t="s">
        <v>885</v>
      </c>
      <c r="K671" s="73"/>
      <c r="L671" s="104" t="n">
        <v>0.1</v>
      </c>
    </row>
    <row r="672" customFormat="false" ht="15" hidden="false" customHeight="true" outlineLevel="0" collapsed="false">
      <c r="A672" s="73" t="s">
        <v>2079</v>
      </c>
      <c r="B672" s="73" t="s">
        <v>856</v>
      </c>
      <c r="C672" s="73" t="s">
        <v>653</v>
      </c>
      <c r="D672" s="73" t="s">
        <v>887</v>
      </c>
      <c r="E672" s="73" t="s">
        <v>705</v>
      </c>
      <c r="F672" s="73" t="s">
        <v>706</v>
      </c>
      <c r="G672" s="73" t="s">
        <v>655</v>
      </c>
      <c r="H672" s="73" t="s">
        <v>2080</v>
      </c>
      <c r="I672" s="73" t="s">
        <v>880</v>
      </c>
      <c r="J672" s="73" t="s">
        <v>889</v>
      </c>
      <c r="K672" s="73"/>
      <c r="L672" s="104" t="n">
        <v>0.05</v>
      </c>
    </row>
    <row r="673" customFormat="false" ht="15" hidden="false" customHeight="true" outlineLevel="0" collapsed="false">
      <c r="A673" s="73" t="s">
        <v>2081</v>
      </c>
      <c r="B673" s="73" t="s">
        <v>856</v>
      </c>
      <c r="C673" s="73" t="s">
        <v>653</v>
      </c>
      <c r="D673" s="73" t="s">
        <v>891</v>
      </c>
      <c r="E673" s="73" t="s">
        <v>705</v>
      </c>
      <c r="F673" s="73" t="s">
        <v>706</v>
      </c>
      <c r="G673" s="73" t="s">
        <v>96</v>
      </c>
      <c r="H673" s="73" t="s">
        <v>2082</v>
      </c>
      <c r="I673" s="73" t="s">
        <v>893</v>
      </c>
      <c r="J673" s="73" t="s">
        <v>894</v>
      </c>
      <c r="K673" s="73" t="s">
        <v>895</v>
      </c>
      <c r="L673" s="103" t="n">
        <v>0</v>
      </c>
    </row>
    <row r="674" customFormat="false" ht="15" hidden="false" customHeight="true" outlineLevel="0" collapsed="false">
      <c r="A674" s="73" t="s">
        <v>2083</v>
      </c>
      <c r="B674" s="73" t="s">
        <v>856</v>
      </c>
      <c r="C674" s="73" t="s">
        <v>653</v>
      </c>
      <c r="D674" s="73" t="s">
        <v>891</v>
      </c>
      <c r="E674" s="73" t="s">
        <v>705</v>
      </c>
      <c r="F674" s="73" t="s">
        <v>706</v>
      </c>
      <c r="G674" s="73" t="s">
        <v>99</v>
      </c>
      <c r="H674" s="73" t="s">
        <v>2084</v>
      </c>
      <c r="I674" s="73" t="s">
        <v>893</v>
      </c>
      <c r="J674" s="73" t="s">
        <v>898</v>
      </c>
      <c r="K674" s="73" t="s">
        <v>895</v>
      </c>
      <c r="L674" s="103" t="n">
        <v>5</v>
      </c>
    </row>
    <row r="675" customFormat="false" ht="15" hidden="false" customHeight="true" outlineLevel="0" collapsed="false">
      <c r="A675" s="73" t="s">
        <v>2085</v>
      </c>
      <c r="B675" s="73" t="s">
        <v>856</v>
      </c>
      <c r="C675" s="73" t="s">
        <v>653</v>
      </c>
      <c r="D675" s="73" t="s">
        <v>891</v>
      </c>
      <c r="E675" s="73" t="s">
        <v>705</v>
      </c>
      <c r="F675" s="73" t="s">
        <v>706</v>
      </c>
      <c r="G675" s="73" t="s">
        <v>101</v>
      </c>
      <c r="H675" s="73" t="s">
        <v>2086</v>
      </c>
      <c r="I675" s="73" t="s">
        <v>893</v>
      </c>
      <c r="J675" s="73" t="s">
        <v>901</v>
      </c>
      <c r="K675" s="73" t="s">
        <v>895</v>
      </c>
      <c r="L675" s="103" t="n">
        <v>0</v>
      </c>
    </row>
    <row r="676" customFormat="false" ht="15" hidden="false" customHeight="true" outlineLevel="0" collapsed="false">
      <c r="A676" s="73" t="s">
        <v>2087</v>
      </c>
      <c r="B676" s="73" t="s">
        <v>856</v>
      </c>
      <c r="C676" s="73" t="s">
        <v>653</v>
      </c>
      <c r="D676" s="73" t="s">
        <v>891</v>
      </c>
      <c r="E676" s="73" t="s">
        <v>705</v>
      </c>
      <c r="F676" s="73" t="s">
        <v>706</v>
      </c>
      <c r="G676" s="73" t="s">
        <v>103</v>
      </c>
      <c r="H676" s="73" t="s">
        <v>2088</v>
      </c>
      <c r="I676" s="73" t="s">
        <v>893</v>
      </c>
      <c r="J676" s="73" t="s">
        <v>904</v>
      </c>
      <c r="K676" s="73" t="s">
        <v>895</v>
      </c>
      <c r="L676" s="103" t="n">
        <v>0</v>
      </c>
    </row>
    <row r="677" customFormat="false" ht="15" hidden="false" customHeight="true" outlineLevel="0" collapsed="false">
      <c r="A677" s="73" t="s">
        <v>2089</v>
      </c>
      <c r="B677" s="73" t="s">
        <v>856</v>
      </c>
      <c r="C677" s="73" t="s">
        <v>653</v>
      </c>
      <c r="D677" s="73" t="s">
        <v>891</v>
      </c>
      <c r="E677" s="73" t="s">
        <v>705</v>
      </c>
      <c r="F677" s="73" t="s">
        <v>706</v>
      </c>
      <c r="G677" s="73" t="s">
        <v>105</v>
      </c>
      <c r="H677" s="73" t="s">
        <v>2090</v>
      </c>
      <c r="I677" s="73" t="s">
        <v>893</v>
      </c>
      <c r="J677" s="73" t="s">
        <v>907</v>
      </c>
      <c r="K677" s="73" t="s">
        <v>895</v>
      </c>
      <c r="L677" s="103" t="n">
        <v>0</v>
      </c>
    </row>
    <row r="678" customFormat="false" ht="15" hidden="false" customHeight="true" outlineLevel="0" collapsed="false">
      <c r="A678" s="73" t="s">
        <v>2091</v>
      </c>
      <c r="B678" s="73" t="s">
        <v>856</v>
      </c>
      <c r="C678" s="73" t="s">
        <v>653</v>
      </c>
      <c r="D678" s="73" t="s">
        <v>891</v>
      </c>
      <c r="E678" s="73" t="s">
        <v>705</v>
      </c>
      <c r="F678" s="73" t="s">
        <v>706</v>
      </c>
      <c r="G678" s="73" t="s">
        <v>107</v>
      </c>
      <c r="H678" s="73" t="s">
        <v>2092</v>
      </c>
      <c r="I678" s="73" t="s">
        <v>893</v>
      </c>
      <c r="J678" s="73" t="s">
        <v>910</v>
      </c>
      <c r="K678" s="73" t="s">
        <v>895</v>
      </c>
      <c r="L678" s="103" t="n">
        <v>0</v>
      </c>
    </row>
    <row r="679" customFormat="false" ht="15" hidden="false" customHeight="true" outlineLevel="0" collapsed="false">
      <c r="A679" s="73" t="s">
        <v>2093</v>
      </c>
      <c r="B679" s="73" t="s">
        <v>856</v>
      </c>
      <c r="C679" s="73" t="s">
        <v>653</v>
      </c>
      <c r="D679" s="73" t="s">
        <v>891</v>
      </c>
      <c r="E679" s="73" t="s">
        <v>705</v>
      </c>
      <c r="F679" s="73" t="s">
        <v>706</v>
      </c>
      <c r="G679" s="73" t="s">
        <v>109</v>
      </c>
      <c r="H679" s="73" t="s">
        <v>2094</v>
      </c>
      <c r="I679" s="73" t="s">
        <v>893</v>
      </c>
      <c r="J679" s="73" t="s">
        <v>913</v>
      </c>
      <c r="K679" s="73" t="s">
        <v>895</v>
      </c>
      <c r="L679" s="103" t="n">
        <v>0</v>
      </c>
    </row>
    <row r="680" customFormat="false" ht="15" hidden="false" customHeight="true" outlineLevel="0" collapsed="false">
      <c r="A680" s="73" t="s">
        <v>2095</v>
      </c>
      <c r="B680" s="73" t="s">
        <v>856</v>
      </c>
      <c r="C680" s="73" t="s">
        <v>653</v>
      </c>
      <c r="D680" s="73" t="s">
        <v>891</v>
      </c>
      <c r="E680" s="73" t="s">
        <v>705</v>
      </c>
      <c r="F680" s="73" t="s">
        <v>706</v>
      </c>
      <c r="G680" s="73" t="s">
        <v>111</v>
      </c>
      <c r="H680" s="73" t="s">
        <v>2096</v>
      </c>
      <c r="I680" s="73" t="s">
        <v>893</v>
      </c>
      <c r="J680" s="73" t="s">
        <v>916</v>
      </c>
      <c r="K680" s="73" t="s">
        <v>895</v>
      </c>
      <c r="L680" s="103" t="n">
        <v>0</v>
      </c>
    </row>
    <row r="681" customFormat="false" ht="15" hidden="false" customHeight="true" outlineLevel="0" collapsed="false">
      <c r="A681" s="73" t="s">
        <v>2097</v>
      </c>
      <c r="B681" s="73" t="s">
        <v>856</v>
      </c>
      <c r="C681" s="73" t="s">
        <v>653</v>
      </c>
      <c r="D681" s="73" t="s">
        <v>918</v>
      </c>
      <c r="E681" s="73" t="s">
        <v>705</v>
      </c>
      <c r="F681" s="73" t="s">
        <v>706</v>
      </c>
      <c r="G681" s="73" t="s">
        <v>96</v>
      </c>
      <c r="H681" s="73" t="s">
        <v>2098</v>
      </c>
      <c r="I681" s="73" t="s">
        <v>893</v>
      </c>
      <c r="J681" s="73" t="s">
        <v>920</v>
      </c>
      <c r="K681" s="73" t="s">
        <v>895</v>
      </c>
      <c r="L681" s="103" t="n">
        <v>0</v>
      </c>
    </row>
    <row r="682" customFormat="false" ht="15" hidden="false" customHeight="true" outlineLevel="0" collapsed="false">
      <c r="A682" s="73" t="s">
        <v>2099</v>
      </c>
      <c r="B682" s="73" t="s">
        <v>856</v>
      </c>
      <c r="C682" s="73" t="s">
        <v>653</v>
      </c>
      <c r="D682" s="73" t="s">
        <v>918</v>
      </c>
      <c r="E682" s="73" t="s">
        <v>705</v>
      </c>
      <c r="F682" s="73" t="s">
        <v>706</v>
      </c>
      <c r="G682" s="73" t="s">
        <v>99</v>
      </c>
      <c r="H682" s="73" t="s">
        <v>2100</v>
      </c>
      <c r="I682" s="73" t="s">
        <v>893</v>
      </c>
      <c r="J682" s="73" t="s">
        <v>923</v>
      </c>
      <c r="K682" s="73" t="s">
        <v>895</v>
      </c>
      <c r="L682" s="103" t="n">
        <v>24</v>
      </c>
    </row>
    <row r="683" customFormat="false" ht="15" hidden="false" customHeight="true" outlineLevel="0" collapsed="false">
      <c r="A683" s="73" t="s">
        <v>2101</v>
      </c>
      <c r="B683" s="73" t="s">
        <v>856</v>
      </c>
      <c r="C683" s="73" t="s">
        <v>653</v>
      </c>
      <c r="D683" s="73" t="s">
        <v>918</v>
      </c>
      <c r="E683" s="73" t="s">
        <v>705</v>
      </c>
      <c r="F683" s="73" t="s">
        <v>706</v>
      </c>
      <c r="G683" s="73" t="s">
        <v>101</v>
      </c>
      <c r="H683" s="73" t="s">
        <v>2102</v>
      </c>
      <c r="I683" s="73" t="s">
        <v>893</v>
      </c>
      <c r="J683" s="73" t="s">
        <v>926</v>
      </c>
      <c r="K683" s="73" t="s">
        <v>895</v>
      </c>
      <c r="L683" s="103" t="n">
        <v>0</v>
      </c>
    </row>
    <row r="684" customFormat="false" ht="15" hidden="false" customHeight="true" outlineLevel="0" collapsed="false">
      <c r="A684" s="73" t="s">
        <v>2103</v>
      </c>
      <c r="B684" s="73" t="s">
        <v>856</v>
      </c>
      <c r="C684" s="73" t="s">
        <v>653</v>
      </c>
      <c r="D684" s="73" t="s">
        <v>918</v>
      </c>
      <c r="E684" s="73" t="s">
        <v>705</v>
      </c>
      <c r="F684" s="73" t="s">
        <v>706</v>
      </c>
      <c r="G684" s="73" t="s">
        <v>103</v>
      </c>
      <c r="H684" s="73" t="s">
        <v>2104</v>
      </c>
      <c r="I684" s="73" t="s">
        <v>893</v>
      </c>
      <c r="J684" s="73" t="s">
        <v>929</v>
      </c>
      <c r="K684" s="73" t="s">
        <v>895</v>
      </c>
      <c r="L684" s="103" t="n">
        <v>0</v>
      </c>
    </row>
    <row r="685" customFormat="false" ht="15" hidden="false" customHeight="true" outlineLevel="0" collapsed="false">
      <c r="A685" s="73" t="s">
        <v>2105</v>
      </c>
      <c r="B685" s="73" t="s">
        <v>856</v>
      </c>
      <c r="C685" s="73" t="s">
        <v>653</v>
      </c>
      <c r="D685" s="73" t="s">
        <v>918</v>
      </c>
      <c r="E685" s="73" t="s">
        <v>705</v>
      </c>
      <c r="F685" s="73" t="s">
        <v>706</v>
      </c>
      <c r="G685" s="73" t="s">
        <v>105</v>
      </c>
      <c r="H685" s="73" t="s">
        <v>2106</v>
      </c>
      <c r="I685" s="73" t="s">
        <v>893</v>
      </c>
      <c r="J685" s="73" t="s">
        <v>932</v>
      </c>
      <c r="K685" s="73" t="s">
        <v>895</v>
      </c>
      <c r="L685" s="103" t="n">
        <v>0</v>
      </c>
    </row>
    <row r="686" customFormat="false" ht="15" hidden="false" customHeight="true" outlineLevel="0" collapsed="false">
      <c r="A686" s="73" t="s">
        <v>2107</v>
      </c>
      <c r="B686" s="73" t="s">
        <v>856</v>
      </c>
      <c r="C686" s="73" t="s">
        <v>653</v>
      </c>
      <c r="D686" s="73" t="s">
        <v>918</v>
      </c>
      <c r="E686" s="73" t="s">
        <v>705</v>
      </c>
      <c r="F686" s="73" t="s">
        <v>706</v>
      </c>
      <c r="G686" s="73" t="s">
        <v>107</v>
      </c>
      <c r="H686" s="73" t="s">
        <v>2108</v>
      </c>
      <c r="I686" s="73" t="s">
        <v>893</v>
      </c>
      <c r="J686" s="73" t="s">
        <v>935</v>
      </c>
      <c r="K686" s="73" t="s">
        <v>895</v>
      </c>
      <c r="L686" s="103" t="n">
        <v>0</v>
      </c>
    </row>
    <row r="687" customFormat="false" ht="15" hidden="false" customHeight="true" outlineLevel="0" collapsed="false">
      <c r="A687" s="73" t="s">
        <v>2109</v>
      </c>
      <c r="B687" s="73" t="s">
        <v>856</v>
      </c>
      <c r="C687" s="73" t="s">
        <v>653</v>
      </c>
      <c r="D687" s="73" t="s">
        <v>918</v>
      </c>
      <c r="E687" s="73" t="s">
        <v>705</v>
      </c>
      <c r="F687" s="73" t="s">
        <v>706</v>
      </c>
      <c r="G687" s="73" t="s">
        <v>109</v>
      </c>
      <c r="H687" s="73" t="s">
        <v>2110</v>
      </c>
      <c r="I687" s="73" t="s">
        <v>893</v>
      </c>
      <c r="J687" s="73" t="s">
        <v>938</v>
      </c>
      <c r="K687" s="73" t="s">
        <v>895</v>
      </c>
      <c r="L687" s="103" t="n">
        <v>0</v>
      </c>
    </row>
    <row r="688" customFormat="false" ht="15" hidden="false" customHeight="true" outlineLevel="0" collapsed="false">
      <c r="A688" s="73" t="s">
        <v>2111</v>
      </c>
      <c r="B688" s="73" t="s">
        <v>856</v>
      </c>
      <c r="C688" s="73" t="s">
        <v>653</v>
      </c>
      <c r="D688" s="73" t="s">
        <v>918</v>
      </c>
      <c r="E688" s="73" t="s">
        <v>705</v>
      </c>
      <c r="F688" s="73" t="s">
        <v>706</v>
      </c>
      <c r="G688" s="73" t="s">
        <v>111</v>
      </c>
      <c r="H688" s="73" t="s">
        <v>2112</v>
      </c>
      <c r="I688" s="73" t="s">
        <v>893</v>
      </c>
      <c r="J688" s="73" t="s">
        <v>941</v>
      </c>
      <c r="K688" s="73" t="s">
        <v>895</v>
      </c>
      <c r="L688" s="103" t="n">
        <v>0</v>
      </c>
    </row>
    <row r="689" customFormat="false" ht="15" hidden="false" customHeight="true" outlineLevel="0" collapsed="false">
      <c r="A689" s="73" t="s">
        <v>2113</v>
      </c>
      <c r="B689" s="73" t="s">
        <v>856</v>
      </c>
      <c r="C689" s="73" t="s">
        <v>653</v>
      </c>
      <c r="D689" s="73" t="s">
        <v>943</v>
      </c>
      <c r="E689" s="73" t="s">
        <v>705</v>
      </c>
      <c r="F689" s="73" t="s">
        <v>706</v>
      </c>
      <c r="G689" s="73" t="s">
        <v>944</v>
      </c>
      <c r="H689" s="73" t="s">
        <v>2114</v>
      </c>
      <c r="I689" s="73" t="s">
        <v>893</v>
      </c>
      <c r="J689" s="73" t="s">
        <v>946</v>
      </c>
      <c r="K689" s="73"/>
      <c r="L689" s="103" t="n">
        <v>2.5</v>
      </c>
    </row>
    <row r="690" customFormat="false" ht="15" hidden="false" customHeight="true" outlineLevel="0" collapsed="false">
      <c r="A690" s="73" t="s">
        <v>2115</v>
      </c>
      <c r="B690" s="73" t="s">
        <v>856</v>
      </c>
      <c r="C690" s="73" t="s">
        <v>653</v>
      </c>
      <c r="D690" s="73" t="s">
        <v>948</v>
      </c>
      <c r="E690" s="73" t="s">
        <v>705</v>
      </c>
      <c r="F690" s="73" t="s">
        <v>706</v>
      </c>
      <c r="G690" s="73" t="s">
        <v>655</v>
      </c>
      <c r="H690" s="73" t="s">
        <v>2116</v>
      </c>
      <c r="I690" s="73" t="s">
        <v>708</v>
      </c>
      <c r="J690" s="73" t="s">
        <v>950</v>
      </c>
      <c r="K690" s="73" t="s">
        <v>951</v>
      </c>
      <c r="L690" s="103" t="n">
        <v>0</v>
      </c>
    </row>
    <row r="691" customFormat="false" ht="15" hidden="false" customHeight="true" outlineLevel="0" collapsed="false">
      <c r="A691" s="73" t="s">
        <v>2117</v>
      </c>
      <c r="B691" s="73" t="s">
        <v>856</v>
      </c>
      <c r="C691" s="73" t="s">
        <v>653</v>
      </c>
      <c r="D691" s="73" t="s">
        <v>953</v>
      </c>
      <c r="E691" s="73" t="s">
        <v>705</v>
      </c>
      <c r="F691" s="73" t="s">
        <v>706</v>
      </c>
      <c r="G691" s="73" t="s">
        <v>655</v>
      </c>
      <c r="H691" s="73" t="s">
        <v>2118</v>
      </c>
      <c r="I691" s="73" t="s">
        <v>955</v>
      </c>
      <c r="J691" s="73" t="s">
        <v>956</v>
      </c>
      <c r="K691" s="73" t="s">
        <v>951</v>
      </c>
      <c r="L691" s="103" t="n">
        <v>0</v>
      </c>
    </row>
    <row r="692" customFormat="false" ht="15" hidden="false" customHeight="true" outlineLevel="0" collapsed="false">
      <c r="A692" s="73" t="s">
        <v>2119</v>
      </c>
      <c r="B692" s="73" t="s">
        <v>856</v>
      </c>
      <c r="C692" s="73" t="s">
        <v>653</v>
      </c>
      <c r="D692" s="73" t="s">
        <v>867</v>
      </c>
      <c r="E692" s="73" t="s">
        <v>705</v>
      </c>
      <c r="F692" s="73" t="s">
        <v>733</v>
      </c>
      <c r="G692" s="73" t="s">
        <v>655</v>
      </c>
      <c r="H692" s="73" t="s">
        <v>2120</v>
      </c>
      <c r="I692" s="73" t="s">
        <v>869</v>
      </c>
      <c r="J692" s="73" t="s">
        <v>959</v>
      </c>
      <c r="K692" s="73" t="s">
        <v>871</v>
      </c>
      <c r="L692" s="107" t="n">
        <v>0.35</v>
      </c>
    </row>
    <row r="693" customFormat="false" ht="15" hidden="false" customHeight="true" outlineLevel="0" collapsed="false">
      <c r="A693" s="73" t="s">
        <v>2121</v>
      </c>
      <c r="B693" s="73" t="s">
        <v>856</v>
      </c>
      <c r="C693" s="73" t="s">
        <v>653</v>
      </c>
      <c r="D693" s="73" t="s">
        <v>873</v>
      </c>
      <c r="E693" s="73" t="s">
        <v>705</v>
      </c>
      <c r="F693" s="73" t="s">
        <v>733</v>
      </c>
      <c r="G693" s="73" t="s">
        <v>655</v>
      </c>
      <c r="H693" s="73" t="s">
        <v>2122</v>
      </c>
      <c r="I693" s="73" t="s">
        <v>875</v>
      </c>
      <c r="J693" s="73" t="s">
        <v>876</v>
      </c>
      <c r="K693" s="73"/>
      <c r="L693" s="104" t="n">
        <v>0.8</v>
      </c>
    </row>
    <row r="694" customFormat="false" ht="15" hidden="false" customHeight="true" outlineLevel="0" collapsed="false">
      <c r="A694" s="73" t="s">
        <v>2123</v>
      </c>
      <c r="B694" s="73" t="s">
        <v>856</v>
      </c>
      <c r="C694" s="73" t="s">
        <v>653</v>
      </c>
      <c r="D694" s="73" t="s">
        <v>878</v>
      </c>
      <c r="E694" s="73" t="s">
        <v>705</v>
      </c>
      <c r="F694" s="73" t="s">
        <v>733</v>
      </c>
      <c r="G694" s="73" t="s">
        <v>655</v>
      </c>
      <c r="H694" s="73" t="s">
        <v>2124</v>
      </c>
      <c r="I694" s="73" t="s">
        <v>880</v>
      </c>
      <c r="J694" s="73" t="s">
        <v>881</v>
      </c>
      <c r="K694" s="73"/>
      <c r="L694" s="104" t="n">
        <v>0.3</v>
      </c>
    </row>
    <row r="695" customFormat="false" ht="15" hidden="false" customHeight="true" outlineLevel="0" collapsed="false">
      <c r="A695" s="73" t="s">
        <v>2125</v>
      </c>
      <c r="B695" s="73" t="s">
        <v>856</v>
      </c>
      <c r="C695" s="73" t="s">
        <v>653</v>
      </c>
      <c r="D695" s="73" t="s">
        <v>883</v>
      </c>
      <c r="E695" s="73" t="s">
        <v>705</v>
      </c>
      <c r="F695" s="73" t="s">
        <v>733</v>
      </c>
      <c r="G695" s="73" t="s">
        <v>655</v>
      </c>
      <c r="H695" s="73" t="s">
        <v>2126</v>
      </c>
      <c r="I695" s="73" t="s">
        <v>880</v>
      </c>
      <c r="J695" s="73" t="s">
        <v>885</v>
      </c>
      <c r="K695" s="73"/>
      <c r="L695" s="104" t="n">
        <v>0.05</v>
      </c>
    </row>
    <row r="696" customFormat="false" ht="15" hidden="false" customHeight="true" outlineLevel="0" collapsed="false">
      <c r="A696" s="73" t="s">
        <v>2127</v>
      </c>
      <c r="B696" s="73" t="s">
        <v>856</v>
      </c>
      <c r="C696" s="73" t="s">
        <v>653</v>
      </c>
      <c r="D696" s="73" t="s">
        <v>887</v>
      </c>
      <c r="E696" s="73" t="s">
        <v>705</v>
      </c>
      <c r="F696" s="73" t="s">
        <v>733</v>
      </c>
      <c r="G696" s="73" t="s">
        <v>655</v>
      </c>
      <c r="H696" s="73" t="s">
        <v>2128</v>
      </c>
      <c r="I696" s="73" t="s">
        <v>880</v>
      </c>
      <c r="J696" s="73" t="s">
        <v>889</v>
      </c>
      <c r="K696" s="73"/>
      <c r="L696" s="104" t="n">
        <v>0.2</v>
      </c>
    </row>
    <row r="697" customFormat="false" ht="15" hidden="false" customHeight="true" outlineLevel="0" collapsed="false">
      <c r="A697" s="73" t="s">
        <v>2129</v>
      </c>
      <c r="B697" s="73" t="s">
        <v>856</v>
      </c>
      <c r="C697" s="73" t="s">
        <v>653</v>
      </c>
      <c r="D697" s="73" t="s">
        <v>891</v>
      </c>
      <c r="E697" s="73" t="s">
        <v>705</v>
      </c>
      <c r="F697" s="73" t="s">
        <v>733</v>
      </c>
      <c r="G697" s="73" t="s">
        <v>96</v>
      </c>
      <c r="H697" s="73" t="s">
        <v>2130</v>
      </c>
      <c r="I697" s="73" t="s">
        <v>893</v>
      </c>
      <c r="J697" s="73" t="s">
        <v>894</v>
      </c>
      <c r="K697" s="73" t="s">
        <v>895</v>
      </c>
      <c r="L697" s="103" t="n">
        <v>0</v>
      </c>
    </row>
    <row r="698" customFormat="false" ht="15" hidden="false" customHeight="true" outlineLevel="0" collapsed="false">
      <c r="A698" s="73" t="s">
        <v>2131</v>
      </c>
      <c r="B698" s="73" t="s">
        <v>856</v>
      </c>
      <c r="C698" s="73" t="s">
        <v>653</v>
      </c>
      <c r="D698" s="73" t="s">
        <v>891</v>
      </c>
      <c r="E698" s="73" t="s">
        <v>705</v>
      </c>
      <c r="F698" s="73" t="s">
        <v>733</v>
      </c>
      <c r="G698" s="73" t="s">
        <v>99</v>
      </c>
      <c r="H698" s="73" t="s">
        <v>2132</v>
      </c>
      <c r="I698" s="73" t="s">
        <v>893</v>
      </c>
      <c r="J698" s="73" t="s">
        <v>898</v>
      </c>
      <c r="K698" s="73" t="s">
        <v>895</v>
      </c>
      <c r="L698" s="103" t="n">
        <v>2.5</v>
      </c>
    </row>
    <row r="699" customFormat="false" ht="15" hidden="false" customHeight="true" outlineLevel="0" collapsed="false">
      <c r="A699" s="73" t="s">
        <v>2133</v>
      </c>
      <c r="B699" s="73" t="s">
        <v>856</v>
      </c>
      <c r="C699" s="73" t="s">
        <v>653</v>
      </c>
      <c r="D699" s="73" t="s">
        <v>891</v>
      </c>
      <c r="E699" s="73" t="s">
        <v>705</v>
      </c>
      <c r="F699" s="73" t="s">
        <v>733</v>
      </c>
      <c r="G699" s="73" t="s">
        <v>101</v>
      </c>
      <c r="H699" s="73" t="s">
        <v>2134</v>
      </c>
      <c r="I699" s="73" t="s">
        <v>893</v>
      </c>
      <c r="J699" s="73" t="s">
        <v>901</v>
      </c>
      <c r="K699" s="73" t="s">
        <v>895</v>
      </c>
      <c r="L699" s="103" t="n">
        <v>0</v>
      </c>
    </row>
    <row r="700" customFormat="false" ht="15" hidden="false" customHeight="true" outlineLevel="0" collapsed="false">
      <c r="A700" s="73" t="s">
        <v>2135</v>
      </c>
      <c r="B700" s="73" t="s">
        <v>856</v>
      </c>
      <c r="C700" s="73" t="s">
        <v>653</v>
      </c>
      <c r="D700" s="73" t="s">
        <v>891</v>
      </c>
      <c r="E700" s="73" t="s">
        <v>705</v>
      </c>
      <c r="F700" s="73" t="s">
        <v>733</v>
      </c>
      <c r="G700" s="73" t="s">
        <v>103</v>
      </c>
      <c r="H700" s="73" t="s">
        <v>2136</v>
      </c>
      <c r="I700" s="73" t="s">
        <v>893</v>
      </c>
      <c r="J700" s="73" t="s">
        <v>904</v>
      </c>
      <c r="K700" s="73" t="s">
        <v>895</v>
      </c>
      <c r="L700" s="103" t="n">
        <v>0</v>
      </c>
    </row>
    <row r="701" customFormat="false" ht="15" hidden="false" customHeight="true" outlineLevel="0" collapsed="false">
      <c r="A701" s="73" t="s">
        <v>2137</v>
      </c>
      <c r="B701" s="73" t="s">
        <v>856</v>
      </c>
      <c r="C701" s="73" t="s">
        <v>653</v>
      </c>
      <c r="D701" s="73" t="s">
        <v>891</v>
      </c>
      <c r="E701" s="73" t="s">
        <v>705</v>
      </c>
      <c r="F701" s="73" t="s">
        <v>733</v>
      </c>
      <c r="G701" s="73" t="s">
        <v>105</v>
      </c>
      <c r="H701" s="73" t="s">
        <v>2138</v>
      </c>
      <c r="I701" s="73" t="s">
        <v>893</v>
      </c>
      <c r="J701" s="73" t="s">
        <v>907</v>
      </c>
      <c r="K701" s="73" t="s">
        <v>895</v>
      </c>
      <c r="L701" s="103" t="n">
        <v>0</v>
      </c>
    </row>
    <row r="702" customFormat="false" ht="15" hidden="false" customHeight="true" outlineLevel="0" collapsed="false">
      <c r="A702" s="73" t="s">
        <v>2139</v>
      </c>
      <c r="B702" s="73" t="s">
        <v>856</v>
      </c>
      <c r="C702" s="73" t="s">
        <v>653</v>
      </c>
      <c r="D702" s="73" t="s">
        <v>891</v>
      </c>
      <c r="E702" s="73" t="s">
        <v>705</v>
      </c>
      <c r="F702" s="73" t="s">
        <v>733</v>
      </c>
      <c r="G702" s="73" t="s">
        <v>107</v>
      </c>
      <c r="H702" s="73" t="s">
        <v>2140</v>
      </c>
      <c r="I702" s="73" t="s">
        <v>893</v>
      </c>
      <c r="J702" s="73" t="s">
        <v>910</v>
      </c>
      <c r="K702" s="73" t="s">
        <v>895</v>
      </c>
      <c r="L702" s="103" t="n">
        <v>0</v>
      </c>
    </row>
    <row r="703" customFormat="false" ht="15" hidden="false" customHeight="true" outlineLevel="0" collapsed="false">
      <c r="A703" s="73" t="s">
        <v>2141</v>
      </c>
      <c r="B703" s="73" t="s">
        <v>856</v>
      </c>
      <c r="C703" s="73" t="s">
        <v>653</v>
      </c>
      <c r="D703" s="73" t="s">
        <v>891</v>
      </c>
      <c r="E703" s="73" t="s">
        <v>705</v>
      </c>
      <c r="F703" s="73" t="s">
        <v>733</v>
      </c>
      <c r="G703" s="73" t="s">
        <v>109</v>
      </c>
      <c r="H703" s="73" t="s">
        <v>2142</v>
      </c>
      <c r="I703" s="73" t="s">
        <v>893</v>
      </c>
      <c r="J703" s="73" t="s">
        <v>913</v>
      </c>
      <c r="K703" s="73" t="s">
        <v>895</v>
      </c>
      <c r="L703" s="103" t="n">
        <v>0</v>
      </c>
    </row>
    <row r="704" customFormat="false" ht="15" hidden="false" customHeight="true" outlineLevel="0" collapsed="false">
      <c r="A704" s="73" t="s">
        <v>2143</v>
      </c>
      <c r="B704" s="73" t="s">
        <v>856</v>
      </c>
      <c r="C704" s="73" t="s">
        <v>653</v>
      </c>
      <c r="D704" s="73" t="s">
        <v>891</v>
      </c>
      <c r="E704" s="73" t="s">
        <v>705</v>
      </c>
      <c r="F704" s="73" t="s">
        <v>733</v>
      </c>
      <c r="G704" s="73" t="s">
        <v>111</v>
      </c>
      <c r="H704" s="73" t="s">
        <v>2144</v>
      </c>
      <c r="I704" s="73" t="s">
        <v>893</v>
      </c>
      <c r="J704" s="73" t="s">
        <v>916</v>
      </c>
      <c r="K704" s="73" t="s">
        <v>895</v>
      </c>
      <c r="L704" s="103" t="n">
        <v>0</v>
      </c>
    </row>
    <row r="705" customFormat="false" ht="15" hidden="false" customHeight="true" outlineLevel="0" collapsed="false">
      <c r="A705" s="73" t="s">
        <v>2145</v>
      </c>
      <c r="B705" s="73" t="s">
        <v>856</v>
      </c>
      <c r="C705" s="73" t="s">
        <v>653</v>
      </c>
      <c r="D705" s="73" t="s">
        <v>918</v>
      </c>
      <c r="E705" s="73" t="s">
        <v>705</v>
      </c>
      <c r="F705" s="73" t="s">
        <v>733</v>
      </c>
      <c r="G705" s="73" t="s">
        <v>96</v>
      </c>
      <c r="H705" s="73" t="s">
        <v>2146</v>
      </c>
      <c r="I705" s="73" t="s">
        <v>893</v>
      </c>
      <c r="J705" s="73" t="s">
        <v>920</v>
      </c>
      <c r="K705" s="73" t="s">
        <v>895</v>
      </c>
      <c r="L705" s="103" t="n">
        <v>0</v>
      </c>
    </row>
    <row r="706" customFormat="false" ht="15" hidden="false" customHeight="true" outlineLevel="0" collapsed="false">
      <c r="A706" s="73" t="s">
        <v>2147</v>
      </c>
      <c r="B706" s="73" t="s">
        <v>856</v>
      </c>
      <c r="C706" s="73" t="s">
        <v>653</v>
      </c>
      <c r="D706" s="73" t="s">
        <v>918</v>
      </c>
      <c r="E706" s="73" t="s">
        <v>705</v>
      </c>
      <c r="F706" s="73" t="s">
        <v>733</v>
      </c>
      <c r="G706" s="73" t="s">
        <v>99</v>
      </c>
      <c r="H706" s="73" t="s">
        <v>2148</v>
      </c>
      <c r="I706" s="73" t="s">
        <v>893</v>
      </c>
      <c r="J706" s="73" t="s">
        <v>923</v>
      </c>
      <c r="K706" s="73" t="s">
        <v>895</v>
      </c>
      <c r="L706" s="103" t="n">
        <v>0</v>
      </c>
    </row>
    <row r="707" customFormat="false" ht="15" hidden="false" customHeight="true" outlineLevel="0" collapsed="false">
      <c r="A707" s="73" t="s">
        <v>2149</v>
      </c>
      <c r="B707" s="73" t="s">
        <v>856</v>
      </c>
      <c r="C707" s="73" t="s">
        <v>653</v>
      </c>
      <c r="D707" s="73" t="s">
        <v>918</v>
      </c>
      <c r="E707" s="73" t="s">
        <v>705</v>
      </c>
      <c r="F707" s="73" t="s">
        <v>733</v>
      </c>
      <c r="G707" s="73" t="s">
        <v>101</v>
      </c>
      <c r="H707" s="73" t="s">
        <v>2150</v>
      </c>
      <c r="I707" s="73" t="s">
        <v>893</v>
      </c>
      <c r="J707" s="73" t="s">
        <v>926</v>
      </c>
      <c r="K707" s="73" t="s">
        <v>895</v>
      </c>
      <c r="L707" s="103" t="n">
        <v>0</v>
      </c>
    </row>
    <row r="708" customFormat="false" ht="15" hidden="false" customHeight="true" outlineLevel="0" collapsed="false">
      <c r="A708" s="73" t="s">
        <v>2151</v>
      </c>
      <c r="B708" s="73" t="s">
        <v>856</v>
      </c>
      <c r="C708" s="73" t="s">
        <v>653</v>
      </c>
      <c r="D708" s="73" t="s">
        <v>918</v>
      </c>
      <c r="E708" s="73" t="s">
        <v>705</v>
      </c>
      <c r="F708" s="73" t="s">
        <v>733</v>
      </c>
      <c r="G708" s="73" t="s">
        <v>103</v>
      </c>
      <c r="H708" s="73" t="s">
        <v>2152</v>
      </c>
      <c r="I708" s="73" t="s">
        <v>893</v>
      </c>
      <c r="J708" s="73" t="s">
        <v>929</v>
      </c>
      <c r="K708" s="73" t="s">
        <v>895</v>
      </c>
      <c r="L708" s="103" t="n">
        <v>0</v>
      </c>
    </row>
    <row r="709" customFormat="false" ht="15" hidden="false" customHeight="true" outlineLevel="0" collapsed="false">
      <c r="A709" s="73" t="s">
        <v>2153</v>
      </c>
      <c r="B709" s="73" t="s">
        <v>856</v>
      </c>
      <c r="C709" s="73" t="s">
        <v>653</v>
      </c>
      <c r="D709" s="73" t="s">
        <v>918</v>
      </c>
      <c r="E709" s="73" t="s">
        <v>705</v>
      </c>
      <c r="F709" s="73" t="s">
        <v>733</v>
      </c>
      <c r="G709" s="73" t="s">
        <v>105</v>
      </c>
      <c r="H709" s="73" t="s">
        <v>2154</v>
      </c>
      <c r="I709" s="73" t="s">
        <v>893</v>
      </c>
      <c r="J709" s="73" t="s">
        <v>932</v>
      </c>
      <c r="K709" s="73" t="s">
        <v>895</v>
      </c>
      <c r="L709" s="103" t="n">
        <v>0</v>
      </c>
    </row>
    <row r="710" customFormat="false" ht="15" hidden="false" customHeight="true" outlineLevel="0" collapsed="false">
      <c r="A710" s="73" t="s">
        <v>2155</v>
      </c>
      <c r="B710" s="73" t="s">
        <v>856</v>
      </c>
      <c r="C710" s="73" t="s">
        <v>653</v>
      </c>
      <c r="D710" s="73" t="s">
        <v>918</v>
      </c>
      <c r="E710" s="73" t="s">
        <v>705</v>
      </c>
      <c r="F710" s="73" t="s">
        <v>733</v>
      </c>
      <c r="G710" s="73" t="s">
        <v>107</v>
      </c>
      <c r="H710" s="73" t="s">
        <v>2156</v>
      </c>
      <c r="I710" s="73" t="s">
        <v>893</v>
      </c>
      <c r="J710" s="73" t="s">
        <v>935</v>
      </c>
      <c r="K710" s="73" t="s">
        <v>895</v>
      </c>
      <c r="L710" s="103" t="n">
        <v>0</v>
      </c>
    </row>
    <row r="711" customFormat="false" ht="15" hidden="false" customHeight="true" outlineLevel="0" collapsed="false">
      <c r="A711" s="73" t="s">
        <v>2157</v>
      </c>
      <c r="B711" s="73" t="s">
        <v>856</v>
      </c>
      <c r="C711" s="73" t="s">
        <v>653</v>
      </c>
      <c r="D711" s="73" t="s">
        <v>918</v>
      </c>
      <c r="E711" s="73" t="s">
        <v>705</v>
      </c>
      <c r="F711" s="73" t="s">
        <v>733</v>
      </c>
      <c r="G711" s="73" t="s">
        <v>109</v>
      </c>
      <c r="H711" s="73" t="s">
        <v>2158</v>
      </c>
      <c r="I711" s="73" t="s">
        <v>893</v>
      </c>
      <c r="J711" s="73" t="s">
        <v>938</v>
      </c>
      <c r="K711" s="73" t="s">
        <v>895</v>
      </c>
      <c r="L711" s="103" t="n">
        <v>0</v>
      </c>
    </row>
    <row r="712" customFormat="false" ht="15" hidden="false" customHeight="true" outlineLevel="0" collapsed="false">
      <c r="A712" s="73" t="s">
        <v>2159</v>
      </c>
      <c r="B712" s="73" t="s">
        <v>856</v>
      </c>
      <c r="C712" s="73" t="s">
        <v>653</v>
      </c>
      <c r="D712" s="73" t="s">
        <v>918</v>
      </c>
      <c r="E712" s="73" t="s">
        <v>705</v>
      </c>
      <c r="F712" s="73" t="s">
        <v>733</v>
      </c>
      <c r="G712" s="73" t="s">
        <v>111</v>
      </c>
      <c r="H712" s="73" t="s">
        <v>2160</v>
      </c>
      <c r="I712" s="73" t="s">
        <v>893</v>
      </c>
      <c r="J712" s="73" t="s">
        <v>941</v>
      </c>
      <c r="K712" s="73" t="s">
        <v>895</v>
      </c>
      <c r="L712" s="103" t="n">
        <v>0</v>
      </c>
    </row>
    <row r="713" customFormat="false" ht="15" hidden="false" customHeight="true" outlineLevel="0" collapsed="false">
      <c r="A713" s="73" t="s">
        <v>2161</v>
      </c>
      <c r="B713" s="73" t="s">
        <v>856</v>
      </c>
      <c r="C713" s="73" t="s">
        <v>653</v>
      </c>
      <c r="D713" s="73" t="s">
        <v>943</v>
      </c>
      <c r="E713" s="73" t="s">
        <v>705</v>
      </c>
      <c r="F713" s="73" t="s">
        <v>733</v>
      </c>
      <c r="G713" s="73" t="s">
        <v>944</v>
      </c>
      <c r="H713" s="73" t="s">
        <v>2162</v>
      </c>
      <c r="I713" s="73" t="s">
        <v>893</v>
      </c>
      <c r="J713" s="73" t="s">
        <v>946</v>
      </c>
      <c r="K713" s="73"/>
      <c r="L713" s="103" t="n">
        <v>4.5</v>
      </c>
    </row>
    <row r="714" customFormat="false" ht="15" hidden="false" customHeight="true" outlineLevel="0" collapsed="false">
      <c r="A714" s="73" t="s">
        <v>2163</v>
      </c>
      <c r="B714" s="73" t="s">
        <v>856</v>
      </c>
      <c r="C714" s="73" t="s">
        <v>653</v>
      </c>
      <c r="D714" s="73" t="s">
        <v>948</v>
      </c>
      <c r="E714" s="73" t="s">
        <v>705</v>
      </c>
      <c r="F714" s="73" t="s">
        <v>733</v>
      </c>
      <c r="G714" s="73" t="s">
        <v>655</v>
      </c>
      <c r="H714" s="73" t="s">
        <v>2164</v>
      </c>
      <c r="I714" s="73" t="s">
        <v>708</v>
      </c>
      <c r="J714" s="73" t="s">
        <v>950</v>
      </c>
      <c r="K714" s="73" t="s">
        <v>951</v>
      </c>
      <c r="L714" s="103" t="n">
        <v>0</v>
      </c>
    </row>
    <row r="715" customFormat="false" ht="15" hidden="false" customHeight="true" outlineLevel="0" collapsed="false">
      <c r="A715" s="73" t="s">
        <v>2165</v>
      </c>
      <c r="B715" s="73" t="s">
        <v>856</v>
      </c>
      <c r="C715" s="73" t="s">
        <v>653</v>
      </c>
      <c r="D715" s="73" t="s">
        <v>953</v>
      </c>
      <c r="E715" s="73" t="s">
        <v>705</v>
      </c>
      <c r="F715" s="73" t="s">
        <v>733</v>
      </c>
      <c r="G715" s="73" t="s">
        <v>655</v>
      </c>
      <c r="H715" s="73" t="s">
        <v>2166</v>
      </c>
      <c r="I715" s="73" t="s">
        <v>955</v>
      </c>
      <c r="J715" s="73" t="s">
        <v>956</v>
      </c>
      <c r="K715" s="73" t="s">
        <v>951</v>
      </c>
      <c r="L715" s="103" t="n">
        <v>0</v>
      </c>
    </row>
    <row r="716" customFormat="false" ht="15" hidden="false" customHeight="true" outlineLevel="0" collapsed="false">
      <c r="A716" s="73" t="s">
        <v>2167</v>
      </c>
      <c r="B716" s="73" t="s">
        <v>856</v>
      </c>
      <c r="C716" s="73" t="s">
        <v>653</v>
      </c>
      <c r="D716" s="73" t="s">
        <v>867</v>
      </c>
      <c r="E716" s="73" t="s">
        <v>705</v>
      </c>
      <c r="F716" s="73" t="s">
        <v>744</v>
      </c>
      <c r="G716" s="73" t="s">
        <v>655</v>
      </c>
      <c r="H716" s="73" t="s">
        <v>2168</v>
      </c>
      <c r="I716" s="73" t="s">
        <v>869</v>
      </c>
      <c r="J716" s="73" t="s">
        <v>1008</v>
      </c>
      <c r="K716" s="73" t="s">
        <v>871</v>
      </c>
      <c r="L716" s="107" t="n">
        <v>0</v>
      </c>
    </row>
    <row r="717" customFormat="false" ht="15" hidden="false" customHeight="true" outlineLevel="0" collapsed="false">
      <c r="A717" s="73" t="s">
        <v>2169</v>
      </c>
      <c r="B717" s="73" t="s">
        <v>856</v>
      </c>
      <c r="C717" s="73" t="s">
        <v>653</v>
      </c>
      <c r="D717" s="73" t="s">
        <v>873</v>
      </c>
      <c r="E717" s="73" t="s">
        <v>705</v>
      </c>
      <c r="F717" s="73" t="s">
        <v>744</v>
      </c>
      <c r="G717" s="73" t="s">
        <v>655</v>
      </c>
      <c r="H717" s="73" t="s">
        <v>2170</v>
      </c>
      <c r="I717" s="73" t="s">
        <v>875</v>
      </c>
      <c r="J717" s="73" t="s">
        <v>876</v>
      </c>
      <c r="K717" s="73"/>
      <c r="L717" s="104" t="n">
        <v>1</v>
      </c>
    </row>
    <row r="718" customFormat="false" ht="15" hidden="false" customHeight="true" outlineLevel="0" collapsed="false">
      <c r="A718" s="73" t="s">
        <v>2171</v>
      </c>
      <c r="B718" s="73" t="s">
        <v>856</v>
      </c>
      <c r="C718" s="73" t="s">
        <v>653</v>
      </c>
      <c r="D718" s="73" t="s">
        <v>878</v>
      </c>
      <c r="E718" s="73" t="s">
        <v>705</v>
      </c>
      <c r="F718" s="73" t="s">
        <v>744</v>
      </c>
      <c r="G718" s="73" t="s">
        <v>655</v>
      </c>
      <c r="H718" s="73" t="s">
        <v>2172</v>
      </c>
      <c r="I718" s="73" t="s">
        <v>880</v>
      </c>
      <c r="J718" s="73" t="s">
        <v>881</v>
      </c>
      <c r="K718" s="73"/>
      <c r="L718" s="104" t="n">
        <v>0.2</v>
      </c>
    </row>
    <row r="719" customFormat="false" ht="15" hidden="false" customHeight="true" outlineLevel="0" collapsed="false">
      <c r="A719" s="73" t="s">
        <v>2173</v>
      </c>
      <c r="B719" s="73" t="s">
        <v>856</v>
      </c>
      <c r="C719" s="73" t="s">
        <v>653</v>
      </c>
      <c r="D719" s="73" t="s">
        <v>883</v>
      </c>
      <c r="E719" s="73" t="s">
        <v>705</v>
      </c>
      <c r="F719" s="73" t="s">
        <v>744</v>
      </c>
      <c r="G719" s="73" t="s">
        <v>655</v>
      </c>
      <c r="H719" s="73" t="s">
        <v>2174</v>
      </c>
      <c r="I719" s="73" t="s">
        <v>880</v>
      </c>
      <c r="J719" s="73" t="s">
        <v>885</v>
      </c>
      <c r="K719" s="73"/>
      <c r="L719" s="104" t="n">
        <v>0.1</v>
      </c>
    </row>
    <row r="720" customFormat="false" ht="15" hidden="false" customHeight="true" outlineLevel="0" collapsed="false">
      <c r="A720" s="73" t="s">
        <v>2175</v>
      </c>
      <c r="B720" s="73" t="s">
        <v>856</v>
      </c>
      <c r="C720" s="73" t="s">
        <v>653</v>
      </c>
      <c r="D720" s="73" t="s">
        <v>887</v>
      </c>
      <c r="E720" s="73" t="s">
        <v>705</v>
      </c>
      <c r="F720" s="73" t="s">
        <v>744</v>
      </c>
      <c r="G720" s="73" t="s">
        <v>655</v>
      </c>
      <c r="H720" s="73" t="s">
        <v>2176</v>
      </c>
      <c r="I720" s="73" t="s">
        <v>880</v>
      </c>
      <c r="J720" s="73" t="s">
        <v>889</v>
      </c>
      <c r="K720" s="73"/>
      <c r="L720" s="104" t="n">
        <v>0.05</v>
      </c>
    </row>
    <row r="721" customFormat="false" ht="15" hidden="false" customHeight="true" outlineLevel="0" collapsed="false">
      <c r="A721" s="73" t="s">
        <v>2177</v>
      </c>
      <c r="B721" s="73" t="s">
        <v>856</v>
      </c>
      <c r="C721" s="73" t="s">
        <v>653</v>
      </c>
      <c r="D721" s="73" t="s">
        <v>891</v>
      </c>
      <c r="E721" s="73" t="s">
        <v>705</v>
      </c>
      <c r="F721" s="73" t="s">
        <v>744</v>
      </c>
      <c r="G721" s="73" t="s">
        <v>96</v>
      </c>
      <c r="H721" s="73" t="s">
        <v>2178</v>
      </c>
      <c r="I721" s="73" t="s">
        <v>893</v>
      </c>
      <c r="J721" s="73" t="s">
        <v>894</v>
      </c>
      <c r="K721" s="73" t="s">
        <v>895</v>
      </c>
      <c r="L721" s="103" t="n">
        <v>4</v>
      </c>
    </row>
    <row r="722" customFormat="false" ht="15" hidden="false" customHeight="true" outlineLevel="0" collapsed="false">
      <c r="A722" s="73" t="s">
        <v>2179</v>
      </c>
      <c r="B722" s="73" t="s">
        <v>856</v>
      </c>
      <c r="C722" s="73" t="s">
        <v>653</v>
      </c>
      <c r="D722" s="73" t="s">
        <v>891</v>
      </c>
      <c r="E722" s="73" t="s">
        <v>705</v>
      </c>
      <c r="F722" s="73" t="s">
        <v>744</v>
      </c>
      <c r="G722" s="73" t="s">
        <v>99</v>
      </c>
      <c r="H722" s="73" t="s">
        <v>2180</v>
      </c>
      <c r="I722" s="73" t="s">
        <v>893</v>
      </c>
      <c r="J722" s="73" t="s">
        <v>898</v>
      </c>
      <c r="K722" s="73" t="s">
        <v>895</v>
      </c>
      <c r="L722" s="103" t="n">
        <v>0.5</v>
      </c>
    </row>
    <row r="723" customFormat="false" ht="15" hidden="false" customHeight="true" outlineLevel="0" collapsed="false">
      <c r="A723" s="73" t="s">
        <v>2181</v>
      </c>
      <c r="B723" s="73" t="s">
        <v>856</v>
      </c>
      <c r="C723" s="73" t="s">
        <v>653</v>
      </c>
      <c r="D723" s="73" t="s">
        <v>891</v>
      </c>
      <c r="E723" s="73" t="s">
        <v>705</v>
      </c>
      <c r="F723" s="73" t="s">
        <v>744</v>
      </c>
      <c r="G723" s="73" t="s">
        <v>101</v>
      </c>
      <c r="H723" s="73" t="s">
        <v>2182</v>
      </c>
      <c r="I723" s="73" t="s">
        <v>893</v>
      </c>
      <c r="J723" s="73" t="s">
        <v>901</v>
      </c>
      <c r="K723" s="73" t="s">
        <v>895</v>
      </c>
      <c r="L723" s="103" t="n">
        <v>0</v>
      </c>
    </row>
    <row r="724" customFormat="false" ht="15" hidden="false" customHeight="true" outlineLevel="0" collapsed="false">
      <c r="A724" s="73" t="s">
        <v>2183</v>
      </c>
      <c r="B724" s="73" t="s">
        <v>856</v>
      </c>
      <c r="C724" s="73" t="s">
        <v>653</v>
      </c>
      <c r="D724" s="73" t="s">
        <v>891</v>
      </c>
      <c r="E724" s="73" t="s">
        <v>705</v>
      </c>
      <c r="F724" s="73" t="s">
        <v>744</v>
      </c>
      <c r="G724" s="73" t="s">
        <v>103</v>
      </c>
      <c r="H724" s="73" t="s">
        <v>2184</v>
      </c>
      <c r="I724" s="73" t="s">
        <v>893</v>
      </c>
      <c r="J724" s="73" t="s">
        <v>904</v>
      </c>
      <c r="K724" s="73" t="s">
        <v>895</v>
      </c>
      <c r="L724" s="103" t="n">
        <v>0</v>
      </c>
    </row>
    <row r="725" customFormat="false" ht="15" hidden="false" customHeight="true" outlineLevel="0" collapsed="false">
      <c r="A725" s="73" t="s">
        <v>2185</v>
      </c>
      <c r="B725" s="73" t="s">
        <v>856</v>
      </c>
      <c r="C725" s="73" t="s">
        <v>653</v>
      </c>
      <c r="D725" s="73" t="s">
        <v>891</v>
      </c>
      <c r="E725" s="73" t="s">
        <v>705</v>
      </c>
      <c r="F725" s="73" t="s">
        <v>744</v>
      </c>
      <c r="G725" s="73" t="s">
        <v>105</v>
      </c>
      <c r="H725" s="73" t="s">
        <v>2186</v>
      </c>
      <c r="I725" s="73" t="s">
        <v>893</v>
      </c>
      <c r="J725" s="73" t="s">
        <v>907</v>
      </c>
      <c r="K725" s="73" t="s">
        <v>895</v>
      </c>
      <c r="L725" s="103" t="n">
        <v>0</v>
      </c>
    </row>
    <row r="726" customFormat="false" ht="15" hidden="false" customHeight="true" outlineLevel="0" collapsed="false">
      <c r="A726" s="73" t="s">
        <v>2187</v>
      </c>
      <c r="B726" s="73" t="s">
        <v>856</v>
      </c>
      <c r="C726" s="73" t="s">
        <v>653</v>
      </c>
      <c r="D726" s="73" t="s">
        <v>891</v>
      </c>
      <c r="E726" s="73" t="s">
        <v>705</v>
      </c>
      <c r="F726" s="73" t="s">
        <v>744</v>
      </c>
      <c r="G726" s="73" t="s">
        <v>107</v>
      </c>
      <c r="H726" s="73" t="s">
        <v>2188</v>
      </c>
      <c r="I726" s="73" t="s">
        <v>893</v>
      </c>
      <c r="J726" s="73" t="s">
        <v>910</v>
      </c>
      <c r="K726" s="73" t="s">
        <v>895</v>
      </c>
      <c r="L726" s="103" t="n">
        <v>0</v>
      </c>
    </row>
    <row r="727" customFormat="false" ht="15" hidden="false" customHeight="true" outlineLevel="0" collapsed="false">
      <c r="A727" s="73" t="s">
        <v>2189</v>
      </c>
      <c r="B727" s="73" t="s">
        <v>856</v>
      </c>
      <c r="C727" s="73" t="s">
        <v>653</v>
      </c>
      <c r="D727" s="73" t="s">
        <v>891</v>
      </c>
      <c r="E727" s="73" t="s">
        <v>705</v>
      </c>
      <c r="F727" s="73" t="s">
        <v>744</v>
      </c>
      <c r="G727" s="73" t="s">
        <v>109</v>
      </c>
      <c r="H727" s="73" t="s">
        <v>2190</v>
      </c>
      <c r="I727" s="73" t="s">
        <v>893</v>
      </c>
      <c r="J727" s="73" t="s">
        <v>913</v>
      </c>
      <c r="K727" s="73" t="s">
        <v>895</v>
      </c>
      <c r="L727" s="103" t="n">
        <v>0</v>
      </c>
    </row>
    <row r="728" customFormat="false" ht="15" hidden="false" customHeight="true" outlineLevel="0" collapsed="false">
      <c r="A728" s="73" t="s">
        <v>2191</v>
      </c>
      <c r="B728" s="73" t="s">
        <v>856</v>
      </c>
      <c r="C728" s="73" t="s">
        <v>653</v>
      </c>
      <c r="D728" s="73" t="s">
        <v>891</v>
      </c>
      <c r="E728" s="73" t="s">
        <v>705</v>
      </c>
      <c r="F728" s="73" t="s">
        <v>744</v>
      </c>
      <c r="G728" s="73" t="s">
        <v>111</v>
      </c>
      <c r="H728" s="73" t="s">
        <v>2192</v>
      </c>
      <c r="I728" s="73" t="s">
        <v>893</v>
      </c>
      <c r="J728" s="73" t="s">
        <v>916</v>
      </c>
      <c r="K728" s="73" t="s">
        <v>895</v>
      </c>
      <c r="L728" s="103" t="n">
        <v>0</v>
      </c>
    </row>
    <row r="729" customFormat="false" ht="15" hidden="false" customHeight="true" outlineLevel="0" collapsed="false">
      <c r="A729" s="73" t="s">
        <v>2193</v>
      </c>
      <c r="B729" s="73" t="s">
        <v>856</v>
      </c>
      <c r="C729" s="73" t="s">
        <v>653</v>
      </c>
      <c r="D729" s="73" t="s">
        <v>918</v>
      </c>
      <c r="E729" s="73" t="s">
        <v>705</v>
      </c>
      <c r="F729" s="73" t="s">
        <v>744</v>
      </c>
      <c r="G729" s="73" t="s">
        <v>96</v>
      </c>
      <c r="H729" s="73" t="s">
        <v>2194</v>
      </c>
      <c r="I729" s="73" t="s">
        <v>893</v>
      </c>
      <c r="J729" s="73" t="s">
        <v>920</v>
      </c>
      <c r="K729" s="73" t="s">
        <v>895</v>
      </c>
      <c r="L729" s="103" t="n">
        <v>16</v>
      </c>
    </row>
    <row r="730" customFormat="false" ht="15" hidden="false" customHeight="true" outlineLevel="0" collapsed="false">
      <c r="A730" s="73" t="s">
        <v>2195</v>
      </c>
      <c r="B730" s="73" t="s">
        <v>856</v>
      </c>
      <c r="C730" s="73" t="s">
        <v>653</v>
      </c>
      <c r="D730" s="73" t="s">
        <v>918</v>
      </c>
      <c r="E730" s="73" t="s">
        <v>705</v>
      </c>
      <c r="F730" s="73" t="s">
        <v>744</v>
      </c>
      <c r="G730" s="73" t="s">
        <v>99</v>
      </c>
      <c r="H730" s="73" t="s">
        <v>2196</v>
      </c>
      <c r="I730" s="73" t="s">
        <v>893</v>
      </c>
      <c r="J730" s="73" t="s">
        <v>923</v>
      </c>
      <c r="K730" s="73" t="s">
        <v>895</v>
      </c>
      <c r="L730" s="103" t="n">
        <v>0</v>
      </c>
    </row>
    <row r="731" customFormat="false" ht="15" hidden="false" customHeight="true" outlineLevel="0" collapsed="false">
      <c r="A731" s="73" t="s">
        <v>2197</v>
      </c>
      <c r="B731" s="73" t="s">
        <v>856</v>
      </c>
      <c r="C731" s="73" t="s">
        <v>653</v>
      </c>
      <c r="D731" s="73" t="s">
        <v>918</v>
      </c>
      <c r="E731" s="73" t="s">
        <v>705</v>
      </c>
      <c r="F731" s="73" t="s">
        <v>744</v>
      </c>
      <c r="G731" s="73" t="s">
        <v>101</v>
      </c>
      <c r="H731" s="73" t="s">
        <v>2198</v>
      </c>
      <c r="I731" s="73" t="s">
        <v>893</v>
      </c>
      <c r="J731" s="73" t="s">
        <v>926</v>
      </c>
      <c r="K731" s="73" t="s">
        <v>895</v>
      </c>
      <c r="L731" s="103" t="n">
        <v>0</v>
      </c>
    </row>
    <row r="732" customFormat="false" ht="15" hidden="false" customHeight="true" outlineLevel="0" collapsed="false">
      <c r="A732" s="73" t="s">
        <v>2199</v>
      </c>
      <c r="B732" s="73" t="s">
        <v>856</v>
      </c>
      <c r="C732" s="73" t="s">
        <v>653</v>
      </c>
      <c r="D732" s="73" t="s">
        <v>918</v>
      </c>
      <c r="E732" s="73" t="s">
        <v>705</v>
      </c>
      <c r="F732" s="73" t="s">
        <v>744</v>
      </c>
      <c r="G732" s="73" t="s">
        <v>103</v>
      </c>
      <c r="H732" s="73" t="s">
        <v>2200</v>
      </c>
      <c r="I732" s="73" t="s">
        <v>893</v>
      </c>
      <c r="J732" s="73" t="s">
        <v>929</v>
      </c>
      <c r="K732" s="73" t="s">
        <v>895</v>
      </c>
      <c r="L732" s="103" t="n">
        <v>0</v>
      </c>
    </row>
    <row r="733" customFormat="false" ht="15" hidden="false" customHeight="true" outlineLevel="0" collapsed="false">
      <c r="A733" s="73" t="s">
        <v>2201</v>
      </c>
      <c r="B733" s="73" t="s">
        <v>856</v>
      </c>
      <c r="C733" s="73" t="s">
        <v>653</v>
      </c>
      <c r="D733" s="73" t="s">
        <v>918</v>
      </c>
      <c r="E733" s="73" t="s">
        <v>705</v>
      </c>
      <c r="F733" s="73" t="s">
        <v>744</v>
      </c>
      <c r="G733" s="73" t="s">
        <v>105</v>
      </c>
      <c r="H733" s="73" t="s">
        <v>2202</v>
      </c>
      <c r="I733" s="73" t="s">
        <v>893</v>
      </c>
      <c r="J733" s="73" t="s">
        <v>932</v>
      </c>
      <c r="K733" s="73" t="s">
        <v>895</v>
      </c>
      <c r="L733" s="103" t="n">
        <v>0</v>
      </c>
    </row>
    <row r="734" customFormat="false" ht="15" hidden="false" customHeight="true" outlineLevel="0" collapsed="false">
      <c r="A734" s="73" t="s">
        <v>2203</v>
      </c>
      <c r="B734" s="73" t="s">
        <v>856</v>
      </c>
      <c r="C734" s="73" t="s">
        <v>653</v>
      </c>
      <c r="D734" s="73" t="s">
        <v>918</v>
      </c>
      <c r="E734" s="73" t="s">
        <v>705</v>
      </c>
      <c r="F734" s="73" t="s">
        <v>744</v>
      </c>
      <c r="G734" s="73" t="s">
        <v>107</v>
      </c>
      <c r="H734" s="73" t="s">
        <v>2204</v>
      </c>
      <c r="I734" s="73" t="s">
        <v>893</v>
      </c>
      <c r="J734" s="73" t="s">
        <v>935</v>
      </c>
      <c r="K734" s="73" t="s">
        <v>895</v>
      </c>
      <c r="L734" s="103" t="n">
        <v>0</v>
      </c>
    </row>
    <row r="735" customFormat="false" ht="15" hidden="false" customHeight="true" outlineLevel="0" collapsed="false">
      <c r="A735" s="73" t="s">
        <v>2205</v>
      </c>
      <c r="B735" s="73" t="s">
        <v>856</v>
      </c>
      <c r="C735" s="73" t="s">
        <v>653</v>
      </c>
      <c r="D735" s="73" t="s">
        <v>918</v>
      </c>
      <c r="E735" s="73" t="s">
        <v>705</v>
      </c>
      <c r="F735" s="73" t="s">
        <v>744</v>
      </c>
      <c r="G735" s="73" t="s">
        <v>109</v>
      </c>
      <c r="H735" s="73" t="s">
        <v>2206</v>
      </c>
      <c r="I735" s="73" t="s">
        <v>893</v>
      </c>
      <c r="J735" s="73" t="s">
        <v>938</v>
      </c>
      <c r="K735" s="73" t="s">
        <v>895</v>
      </c>
      <c r="L735" s="103" t="n">
        <v>0</v>
      </c>
    </row>
    <row r="736" customFormat="false" ht="15" hidden="false" customHeight="true" outlineLevel="0" collapsed="false">
      <c r="A736" s="73" t="s">
        <v>2207</v>
      </c>
      <c r="B736" s="73" t="s">
        <v>856</v>
      </c>
      <c r="C736" s="73" t="s">
        <v>653</v>
      </c>
      <c r="D736" s="73" t="s">
        <v>918</v>
      </c>
      <c r="E736" s="73" t="s">
        <v>705</v>
      </c>
      <c r="F736" s="73" t="s">
        <v>744</v>
      </c>
      <c r="G736" s="73" t="s">
        <v>111</v>
      </c>
      <c r="H736" s="73" t="s">
        <v>2208</v>
      </c>
      <c r="I736" s="73" t="s">
        <v>893</v>
      </c>
      <c r="J736" s="73" t="s">
        <v>941</v>
      </c>
      <c r="K736" s="73" t="s">
        <v>895</v>
      </c>
      <c r="L736" s="103" t="n">
        <v>0</v>
      </c>
    </row>
    <row r="737" customFormat="false" ht="15" hidden="false" customHeight="true" outlineLevel="0" collapsed="false">
      <c r="A737" s="73" t="s">
        <v>2209</v>
      </c>
      <c r="B737" s="73" t="s">
        <v>856</v>
      </c>
      <c r="C737" s="73" t="s">
        <v>653</v>
      </c>
      <c r="D737" s="73" t="s">
        <v>943</v>
      </c>
      <c r="E737" s="73" t="s">
        <v>705</v>
      </c>
      <c r="F737" s="73" t="s">
        <v>744</v>
      </c>
      <c r="G737" s="73" t="s">
        <v>944</v>
      </c>
      <c r="H737" s="73" t="s">
        <v>2210</v>
      </c>
      <c r="I737" s="73" t="s">
        <v>893</v>
      </c>
      <c r="J737" s="73" t="s">
        <v>946</v>
      </c>
      <c r="K737" s="73"/>
      <c r="L737" s="103" t="n">
        <v>1.5</v>
      </c>
    </row>
    <row r="738" customFormat="false" ht="15" hidden="false" customHeight="true" outlineLevel="0" collapsed="false">
      <c r="A738" s="73" t="s">
        <v>2211</v>
      </c>
      <c r="B738" s="73" t="s">
        <v>856</v>
      </c>
      <c r="C738" s="73" t="s">
        <v>653</v>
      </c>
      <c r="D738" s="73" t="s">
        <v>948</v>
      </c>
      <c r="E738" s="73" t="s">
        <v>705</v>
      </c>
      <c r="F738" s="73" t="s">
        <v>744</v>
      </c>
      <c r="G738" s="73" t="s">
        <v>655</v>
      </c>
      <c r="H738" s="73" t="s">
        <v>2212</v>
      </c>
      <c r="I738" s="73" t="s">
        <v>708</v>
      </c>
      <c r="J738" s="73" t="s">
        <v>950</v>
      </c>
      <c r="K738" s="73" t="s">
        <v>951</v>
      </c>
      <c r="L738" s="103" t="n">
        <v>0.2</v>
      </c>
    </row>
    <row r="739" customFormat="false" ht="15" hidden="false" customHeight="true" outlineLevel="0" collapsed="false">
      <c r="A739" s="73" t="s">
        <v>2213</v>
      </c>
      <c r="B739" s="73" t="s">
        <v>856</v>
      </c>
      <c r="C739" s="73" t="s">
        <v>653</v>
      </c>
      <c r="D739" s="73" t="s">
        <v>953</v>
      </c>
      <c r="E739" s="73" t="s">
        <v>705</v>
      </c>
      <c r="F739" s="73" t="s">
        <v>744</v>
      </c>
      <c r="G739" s="73" t="s">
        <v>655</v>
      </c>
      <c r="H739" s="73" t="s">
        <v>2214</v>
      </c>
      <c r="I739" s="73" t="s">
        <v>955</v>
      </c>
      <c r="J739" s="73" t="s">
        <v>956</v>
      </c>
      <c r="K739" s="73" t="s">
        <v>951</v>
      </c>
      <c r="L739" s="103" t="n">
        <v>0</v>
      </c>
    </row>
    <row r="740" customFormat="false" ht="15" hidden="false" customHeight="true" outlineLevel="0" collapsed="false">
      <c r="A740" s="73" t="s">
        <v>2215</v>
      </c>
      <c r="B740" s="73" t="s">
        <v>856</v>
      </c>
      <c r="C740" s="73" t="s">
        <v>653</v>
      </c>
      <c r="D740" s="73" t="s">
        <v>867</v>
      </c>
      <c r="E740" s="73" t="s">
        <v>755</v>
      </c>
      <c r="F740" s="73" t="s">
        <v>756</v>
      </c>
      <c r="G740" s="73" t="s">
        <v>655</v>
      </c>
      <c r="H740" s="73" t="s">
        <v>2216</v>
      </c>
      <c r="I740" s="73" t="s">
        <v>869</v>
      </c>
      <c r="J740" s="73" t="s">
        <v>1057</v>
      </c>
      <c r="K740" s="73" t="s">
        <v>871</v>
      </c>
      <c r="L740" s="107" t="n">
        <v>3.5</v>
      </c>
    </row>
    <row r="741" customFormat="false" ht="15" hidden="false" customHeight="true" outlineLevel="0" collapsed="false">
      <c r="A741" s="73" t="s">
        <v>2217</v>
      </c>
      <c r="B741" s="73" t="s">
        <v>856</v>
      </c>
      <c r="C741" s="73" t="s">
        <v>653</v>
      </c>
      <c r="D741" s="73" t="s">
        <v>873</v>
      </c>
      <c r="E741" s="73" t="s">
        <v>755</v>
      </c>
      <c r="F741" s="73" t="s">
        <v>756</v>
      </c>
      <c r="G741" s="73" t="s">
        <v>655</v>
      </c>
      <c r="H741" s="73" t="s">
        <v>2218</v>
      </c>
      <c r="I741" s="73" t="s">
        <v>875</v>
      </c>
      <c r="J741" s="73" t="s">
        <v>876</v>
      </c>
      <c r="K741" s="73"/>
      <c r="L741" s="104" t="n">
        <v>0.9</v>
      </c>
    </row>
    <row r="742" customFormat="false" ht="15" hidden="false" customHeight="true" outlineLevel="0" collapsed="false">
      <c r="A742" s="73" t="s">
        <v>2219</v>
      </c>
      <c r="B742" s="73" t="s">
        <v>856</v>
      </c>
      <c r="C742" s="73" t="s">
        <v>653</v>
      </c>
      <c r="D742" s="73" t="s">
        <v>878</v>
      </c>
      <c r="E742" s="73" t="s">
        <v>755</v>
      </c>
      <c r="F742" s="73" t="s">
        <v>756</v>
      </c>
      <c r="G742" s="73" t="s">
        <v>655</v>
      </c>
      <c r="H742" s="73" t="s">
        <v>2220</v>
      </c>
      <c r="I742" s="73" t="s">
        <v>880</v>
      </c>
      <c r="J742" s="73" t="s">
        <v>881</v>
      </c>
      <c r="K742" s="73"/>
      <c r="L742" s="104" t="n">
        <v>0.1</v>
      </c>
    </row>
    <row r="743" customFormat="false" ht="15" hidden="false" customHeight="true" outlineLevel="0" collapsed="false">
      <c r="A743" s="73" t="s">
        <v>2221</v>
      </c>
      <c r="B743" s="73" t="s">
        <v>856</v>
      </c>
      <c r="C743" s="73" t="s">
        <v>653</v>
      </c>
      <c r="D743" s="73" t="s">
        <v>883</v>
      </c>
      <c r="E743" s="73" t="s">
        <v>755</v>
      </c>
      <c r="F743" s="73" t="s">
        <v>756</v>
      </c>
      <c r="G743" s="73" t="s">
        <v>655</v>
      </c>
      <c r="H743" s="73" t="s">
        <v>2222</v>
      </c>
      <c r="I743" s="73" t="s">
        <v>880</v>
      </c>
      <c r="J743" s="73" t="s">
        <v>885</v>
      </c>
      <c r="K743" s="73"/>
      <c r="L743" s="104" t="n">
        <v>0.02</v>
      </c>
    </row>
    <row r="744" customFormat="false" ht="15" hidden="false" customHeight="true" outlineLevel="0" collapsed="false">
      <c r="A744" s="73" t="s">
        <v>2223</v>
      </c>
      <c r="B744" s="73" t="s">
        <v>856</v>
      </c>
      <c r="C744" s="73" t="s">
        <v>653</v>
      </c>
      <c r="D744" s="73" t="s">
        <v>887</v>
      </c>
      <c r="E744" s="73" t="s">
        <v>755</v>
      </c>
      <c r="F744" s="73" t="s">
        <v>756</v>
      </c>
      <c r="G744" s="73" t="s">
        <v>655</v>
      </c>
      <c r="H744" s="73" t="s">
        <v>2224</v>
      </c>
      <c r="I744" s="73" t="s">
        <v>880</v>
      </c>
      <c r="J744" s="73" t="s">
        <v>889</v>
      </c>
      <c r="K744" s="73"/>
      <c r="L744" s="104" t="n">
        <v>0.05</v>
      </c>
    </row>
    <row r="745" customFormat="false" ht="15" hidden="false" customHeight="true" outlineLevel="0" collapsed="false">
      <c r="A745" s="73" t="s">
        <v>2225</v>
      </c>
      <c r="B745" s="73" t="s">
        <v>856</v>
      </c>
      <c r="C745" s="73" t="s">
        <v>653</v>
      </c>
      <c r="D745" s="73" t="s">
        <v>891</v>
      </c>
      <c r="E745" s="73" t="s">
        <v>755</v>
      </c>
      <c r="F745" s="73" t="s">
        <v>756</v>
      </c>
      <c r="G745" s="73" t="s">
        <v>96</v>
      </c>
      <c r="H745" s="73" t="s">
        <v>2226</v>
      </c>
      <c r="I745" s="73" t="s">
        <v>893</v>
      </c>
      <c r="J745" s="73" t="s">
        <v>894</v>
      </c>
      <c r="K745" s="73" t="s">
        <v>895</v>
      </c>
      <c r="L745" s="103" t="n">
        <v>0</v>
      </c>
    </row>
    <row r="746" customFormat="false" ht="15" hidden="false" customHeight="true" outlineLevel="0" collapsed="false">
      <c r="A746" s="73" t="s">
        <v>2227</v>
      </c>
      <c r="B746" s="73" t="s">
        <v>856</v>
      </c>
      <c r="C746" s="73" t="s">
        <v>653</v>
      </c>
      <c r="D746" s="73" t="s">
        <v>891</v>
      </c>
      <c r="E746" s="73" t="s">
        <v>755</v>
      </c>
      <c r="F746" s="73" t="s">
        <v>756</v>
      </c>
      <c r="G746" s="73" t="s">
        <v>99</v>
      </c>
      <c r="H746" s="73" t="s">
        <v>2228</v>
      </c>
      <c r="I746" s="73" t="s">
        <v>893</v>
      </c>
      <c r="J746" s="73" t="s">
        <v>898</v>
      </c>
      <c r="K746" s="73" t="s">
        <v>895</v>
      </c>
      <c r="L746" s="103" t="n">
        <v>2.5</v>
      </c>
    </row>
    <row r="747" customFormat="false" ht="15" hidden="false" customHeight="true" outlineLevel="0" collapsed="false">
      <c r="A747" s="73" t="s">
        <v>2229</v>
      </c>
      <c r="B747" s="73" t="s">
        <v>856</v>
      </c>
      <c r="C747" s="73" t="s">
        <v>653</v>
      </c>
      <c r="D747" s="73" t="s">
        <v>891</v>
      </c>
      <c r="E747" s="73" t="s">
        <v>755</v>
      </c>
      <c r="F747" s="73" t="s">
        <v>756</v>
      </c>
      <c r="G747" s="73" t="s">
        <v>101</v>
      </c>
      <c r="H747" s="73" t="s">
        <v>2230</v>
      </c>
      <c r="I747" s="73" t="s">
        <v>893</v>
      </c>
      <c r="J747" s="73" t="s">
        <v>901</v>
      </c>
      <c r="K747" s="73" t="s">
        <v>895</v>
      </c>
      <c r="L747" s="103" t="n">
        <v>0</v>
      </c>
    </row>
    <row r="748" customFormat="false" ht="15" hidden="false" customHeight="true" outlineLevel="0" collapsed="false">
      <c r="A748" s="73" t="s">
        <v>2231</v>
      </c>
      <c r="B748" s="73" t="s">
        <v>856</v>
      </c>
      <c r="C748" s="73" t="s">
        <v>653</v>
      </c>
      <c r="D748" s="73" t="s">
        <v>891</v>
      </c>
      <c r="E748" s="73" t="s">
        <v>755</v>
      </c>
      <c r="F748" s="73" t="s">
        <v>756</v>
      </c>
      <c r="G748" s="73" t="s">
        <v>103</v>
      </c>
      <c r="H748" s="73" t="s">
        <v>2232</v>
      </c>
      <c r="I748" s="73" t="s">
        <v>893</v>
      </c>
      <c r="J748" s="73" t="s">
        <v>904</v>
      </c>
      <c r="K748" s="73" t="s">
        <v>895</v>
      </c>
      <c r="L748" s="103" t="n">
        <v>0</v>
      </c>
    </row>
    <row r="749" customFormat="false" ht="15" hidden="false" customHeight="true" outlineLevel="0" collapsed="false">
      <c r="A749" s="73" t="s">
        <v>2233</v>
      </c>
      <c r="B749" s="73" t="s">
        <v>856</v>
      </c>
      <c r="C749" s="73" t="s">
        <v>653</v>
      </c>
      <c r="D749" s="73" t="s">
        <v>891</v>
      </c>
      <c r="E749" s="73" t="s">
        <v>755</v>
      </c>
      <c r="F749" s="73" t="s">
        <v>756</v>
      </c>
      <c r="G749" s="73" t="s">
        <v>105</v>
      </c>
      <c r="H749" s="73" t="s">
        <v>2234</v>
      </c>
      <c r="I749" s="73" t="s">
        <v>893</v>
      </c>
      <c r="J749" s="73" t="s">
        <v>907</v>
      </c>
      <c r="K749" s="73" t="s">
        <v>895</v>
      </c>
      <c r="L749" s="103" t="n">
        <v>0</v>
      </c>
    </row>
    <row r="750" customFormat="false" ht="15" hidden="false" customHeight="true" outlineLevel="0" collapsed="false">
      <c r="A750" s="73" t="s">
        <v>2235</v>
      </c>
      <c r="B750" s="73" t="s">
        <v>856</v>
      </c>
      <c r="C750" s="73" t="s">
        <v>653</v>
      </c>
      <c r="D750" s="73" t="s">
        <v>891</v>
      </c>
      <c r="E750" s="73" t="s">
        <v>755</v>
      </c>
      <c r="F750" s="73" t="s">
        <v>756</v>
      </c>
      <c r="G750" s="73" t="s">
        <v>107</v>
      </c>
      <c r="H750" s="73" t="s">
        <v>2236</v>
      </c>
      <c r="I750" s="73" t="s">
        <v>893</v>
      </c>
      <c r="J750" s="73" t="s">
        <v>910</v>
      </c>
      <c r="K750" s="73" t="s">
        <v>895</v>
      </c>
      <c r="L750" s="103" t="n">
        <v>0</v>
      </c>
    </row>
    <row r="751" customFormat="false" ht="15" hidden="false" customHeight="true" outlineLevel="0" collapsed="false">
      <c r="A751" s="73" t="s">
        <v>2237</v>
      </c>
      <c r="B751" s="73" t="s">
        <v>856</v>
      </c>
      <c r="C751" s="73" t="s">
        <v>653</v>
      </c>
      <c r="D751" s="73" t="s">
        <v>891</v>
      </c>
      <c r="E751" s="73" t="s">
        <v>755</v>
      </c>
      <c r="F751" s="73" t="s">
        <v>756</v>
      </c>
      <c r="G751" s="73" t="s">
        <v>109</v>
      </c>
      <c r="H751" s="73" t="s">
        <v>2238</v>
      </c>
      <c r="I751" s="73" t="s">
        <v>893</v>
      </c>
      <c r="J751" s="73" t="s">
        <v>913</v>
      </c>
      <c r="K751" s="73" t="s">
        <v>895</v>
      </c>
      <c r="L751" s="103" t="n">
        <v>0</v>
      </c>
    </row>
    <row r="752" customFormat="false" ht="15" hidden="false" customHeight="true" outlineLevel="0" collapsed="false">
      <c r="A752" s="73" t="s">
        <v>2239</v>
      </c>
      <c r="B752" s="73" t="s">
        <v>856</v>
      </c>
      <c r="C752" s="73" t="s">
        <v>653</v>
      </c>
      <c r="D752" s="73" t="s">
        <v>891</v>
      </c>
      <c r="E752" s="73" t="s">
        <v>755</v>
      </c>
      <c r="F752" s="73" t="s">
        <v>756</v>
      </c>
      <c r="G752" s="73" t="s">
        <v>111</v>
      </c>
      <c r="H752" s="73" t="s">
        <v>2240</v>
      </c>
      <c r="I752" s="73" t="s">
        <v>893</v>
      </c>
      <c r="J752" s="73" t="s">
        <v>916</v>
      </c>
      <c r="K752" s="73" t="s">
        <v>895</v>
      </c>
      <c r="L752" s="103" t="n">
        <v>0</v>
      </c>
    </row>
    <row r="753" customFormat="false" ht="15" hidden="false" customHeight="true" outlineLevel="0" collapsed="false">
      <c r="A753" s="73" t="s">
        <v>2241</v>
      </c>
      <c r="B753" s="73" t="s">
        <v>856</v>
      </c>
      <c r="C753" s="73" t="s">
        <v>653</v>
      </c>
      <c r="D753" s="73" t="s">
        <v>918</v>
      </c>
      <c r="E753" s="73" t="s">
        <v>755</v>
      </c>
      <c r="F753" s="73" t="s">
        <v>756</v>
      </c>
      <c r="G753" s="73" t="s">
        <v>96</v>
      </c>
      <c r="H753" s="73" t="s">
        <v>2242</v>
      </c>
      <c r="I753" s="73" t="s">
        <v>893</v>
      </c>
      <c r="J753" s="73" t="s">
        <v>920</v>
      </c>
      <c r="K753" s="73" t="s">
        <v>895</v>
      </c>
      <c r="L753" s="103" t="n">
        <v>0</v>
      </c>
    </row>
    <row r="754" customFormat="false" ht="15" hidden="false" customHeight="true" outlineLevel="0" collapsed="false">
      <c r="A754" s="73" t="s">
        <v>2243</v>
      </c>
      <c r="B754" s="73" t="s">
        <v>856</v>
      </c>
      <c r="C754" s="73" t="s">
        <v>653</v>
      </c>
      <c r="D754" s="73" t="s">
        <v>918</v>
      </c>
      <c r="E754" s="73" t="s">
        <v>755</v>
      </c>
      <c r="F754" s="73" t="s">
        <v>756</v>
      </c>
      <c r="G754" s="73" t="s">
        <v>99</v>
      </c>
      <c r="H754" s="73" t="s">
        <v>2244</v>
      </c>
      <c r="I754" s="73" t="s">
        <v>893</v>
      </c>
      <c r="J754" s="73" t="s">
        <v>923</v>
      </c>
      <c r="K754" s="73" t="s">
        <v>895</v>
      </c>
      <c r="L754" s="103" t="n">
        <v>0</v>
      </c>
    </row>
    <row r="755" customFormat="false" ht="15" hidden="false" customHeight="true" outlineLevel="0" collapsed="false">
      <c r="A755" s="73" t="s">
        <v>2245</v>
      </c>
      <c r="B755" s="73" t="s">
        <v>856</v>
      </c>
      <c r="C755" s="73" t="s">
        <v>653</v>
      </c>
      <c r="D755" s="73" t="s">
        <v>918</v>
      </c>
      <c r="E755" s="73" t="s">
        <v>755</v>
      </c>
      <c r="F755" s="73" t="s">
        <v>756</v>
      </c>
      <c r="G755" s="73" t="s">
        <v>101</v>
      </c>
      <c r="H755" s="73" t="s">
        <v>2246</v>
      </c>
      <c r="I755" s="73" t="s">
        <v>893</v>
      </c>
      <c r="J755" s="73" t="s">
        <v>926</v>
      </c>
      <c r="K755" s="73" t="s">
        <v>895</v>
      </c>
      <c r="L755" s="103" t="n">
        <v>0</v>
      </c>
    </row>
    <row r="756" customFormat="false" ht="15" hidden="false" customHeight="true" outlineLevel="0" collapsed="false">
      <c r="A756" s="73" t="s">
        <v>2247</v>
      </c>
      <c r="B756" s="73" t="s">
        <v>856</v>
      </c>
      <c r="C756" s="73" t="s">
        <v>653</v>
      </c>
      <c r="D756" s="73" t="s">
        <v>918</v>
      </c>
      <c r="E756" s="73" t="s">
        <v>755</v>
      </c>
      <c r="F756" s="73" t="s">
        <v>756</v>
      </c>
      <c r="G756" s="73" t="s">
        <v>103</v>
      </c>
      <c r="H756" s="73" t="s">
        <v>2248</v>
      </c>
      <c r="I756" s="73" t="s">
        <v>893</v>
      </c>
      <c r="J756" s="73" t="s">
        <v>929</v>
      </c>
      <c r="K756" s="73" t="s">
        <v>895</v>
      </c>
      <c r="L756" s="103" t="n">
        <v>0</v>
      </c>
    </row>
    <row r="757" customFormat="false" ht="15" hidden="false" customHeight="true" outlineLevel="0" collapsed="false">
      <c r="A757" s="73" t="s">
        <v>2249</v>
      </c>
      <c r="B757" s="73" t="s">
        <v>856</v>
      </c>
      <c r="C757" s="73" t="s">
        <v>653</v>
      </c>
      <c r="D757" s="73" t="s">
        <v>918</v>
      </c>
      <c r="E757" s="73" t="s">
        <v>755</v>
      </c>
      <c r="F757" s="73" t="s">
        <v>756</v>
      </c>
      <c r="G757" s="73" t="s">
        <v>105</v>
      </c>
      <c r="H757" s="73" t="s">
        <v>2250</v>
      </c>
      <c r="I757" s="73" t="s">
        <v>893</v>
      </c>
      <c r="J757" s="73" t="s">
        <v>932</v>
      </c>
      <c r="K757" s="73" t="s">
        <v>895</v>
      </c>
      <c r="L757" s="103" t="n">
        <v>0</v>
      </c>
    </row>
    <row r="758" customFormat="false" ht="15" hidden="false" customHeight="true" outlineLevel="0" collapsed="false">
      <c r="A758" s="73" t="s">
        <v>2251</v>
      </c>
      <c r="B758" s="73" t="s">
        <v>856</v>
      </c>
      <c r="C758" s="73" t="s">
        <v>653</v>
      </c>
      <c r="D758" s="73" t="s">
        <v>918</v>
      </c>
      <c r="E758" s="73" t="s">
        <v>755</v>
      </c>
      <c r="F758" s="73" t="s">
        <v>756</v>
      </c>
      <c r="G758" s="73" t="s">
        <v>107</v>
      </c>
      <c r="H758" s="73" t="s">
        <v>2252</v>
      </c>
      <c r="I758" s="73" t="s">
        <v>893</v>
      </c>
      <c r="J758" s="73" t="s">
        <v>935</v>
      </c>
      <c r="K758" s="73" t="s">
        <v>895</v>
      </c>
      <c r="L758" s="103" t="n">
        <v>0</v>
      </c>
    </row>
    <row r="759" customFormat="false" ht="15" hidden="false" customHeight="true" outlineLevel="0" collapsed="false">
      <c r="A759" s="73" t="s">
        <v>2253</v>
      </c>
      <c r="B759" s="73" t="s">
        <v>856</v>
      </c>
      <c r="C759" s="73" t="s">
        <v>653</v>
      </c>
      <c r="D759" s="73" t="s">
        <v>918</v>
      </c>
      <c r="E759" s="73" t="s">
        <v>755</v>
      </c>
      <c r="F759" s="73" t="s">
        <v>756</v>
      </c>
      <c r="G759" s="73" t="s">
        <v>109</v>
      </c>
      <c r="H759" s="73" t="s">
        <v>2254</v>
      </c>
      <c r="I759" s="73" t="s">
        <v>893</v>
      </c>
      <c r="J759" s="73" t="s">
        <v>938</v>
      </c>
      <c r="K759" s="73" t="s">
        <v>895</v>
      </c>
      <c r="L759" s="103" t="n">
        <v>0</v>
      </c>
    </row>
    <row r="760" customFormat="false" ht="15" hidden="false" customHeight="true" outlineLevel="0" collapsed="false">
      <c r="A760" s="73" t="s">
        <v>2255</v>
      </c>
      <c r="B760" s="73" t="s">
        <v>856</v>
      </c>
      <c r="C760" s="73" t="s">
        <v>653</v>
      </c>
      <c r="D760" s="73" t="s">
        <v>918</v>
      </c>
      <c r="E760" s="73" t="s">
        <v>755</v>
      </c>
      <c r="F760" s="73" t="s">
        <v>756</v>
      </c>
      <c r="G760" s="73" t="s">
        <v>111</v>
      </c>
      <c r="H760" s="73" t="s">
        <v>2256</v>
      </c>
      <c r="I760" s="73" t="s">
        <v>893</v>
      </c>
      <c r="J760" s="73" t="s">
        <v>941</v>
      </c>
      <c r="K760" s="73" t="s">
        <v>895</v>
      </c>
      <c r="L760" s="103" t="n">
        <v>0</v>
      </c>
    </row>
    <row r="761" customFormat="false" ht="15" hidden="false" customHeight="true" outlineLevel="0" collapsed="false">
      <c r="A761" s="73" t="s">
        <v>2257</v>
      </c>
      <c r="B761" s="73" t="s">
        <v>856</v>
      </c>
      <c r="C761" s="73" t="s">
        <v>653</v>
      </c>
      <c r="D761" s="73" t="s">
        <v>943</v>
      </c>
      <c r="E761" s="73" t="s">
        <v>755</v>
      </c>
      <c r="F761" s="73" t="s">
        <v>756</v>
      </c>
      <c r="G761" s="73" t="s">
        <v>944</v>
      </c>
      <c r="H761" s="73" t="s">
        <v>2258</v>
      </c>
      <c r="I761" s="73" t="s">
        <v>893</v>
      </c>
      <c r="J761" s="73" t="s">
        <v>946</v>
      </c>
      <c r="K761" s="73"/>
      <c r="L761" s="103" t="n">
        <v>0.45</v>
      </c>
    </row>
    <row r="762" customFormat="false" ht="15" hidden="false" customHeight="true" outlineLevel="0" collapsed="false">
      <c r="A762" s="73" t="s">
        <v>2259</v>
      </c>
      <c r="B762" s="73" t="s">
        <v>856</v>
      </c>
      <c r="C762" s="73" t="s">
        <v>653</v>
      </c>
      <c r="D762" s="73" t="s">
        <v>948</v>
      </c>
      <c r="E762" s="73" t="s">
        <v>755</v>
      </c>
      <c r="F762" s="73" t="s">
        <v>756</v>
      </c>
      <c r="G762" s="73" t="s">
        <v>655</v>
      </c>
      <c r="H762" s="73" t="s">
        <v>2260</v>
      </c>
      <c r="I762" s="73" t="s">
        <v>708</v>
      </c>
      <c r="J762" s="73" t="s">
        <v>950</v>
      </c>
      <c r="K762" s="73" t="s">
        <v>951</v>
      </c>
      <c r="L762" s="103" t="n">
        <v>0.526</v>
      </c>
    </row>
    <row r="763" customFormat="false" ht="15" hidden="false" customHeight="true" outlineLevel="0" collapsed="false">
      <c r="A763" s="73" t="s">
        <v>2261</v>
      </c>
      <c r="B763" s="73" t="s">
        <v>856</v>
      </c>
      <c r="C763" s="73" t="s">
        <v>653</v>
      </c>
      <c r="D763" s="73" t="s">
        <v>953</v>
      </c>
      <c r="E763" s="73" t="s">
        <v>755</v>
      </c>
      <c r="F763" s="73" t="s">
        <v>756</v>
      </c>
      <c r="G763" s="73" t="s">
        <v>655</v>
      </c>
      <c r="H763" s="73" t="s">
        <v>2262</v>
      </c>
      <c r="I763" s="73" t="s">
        <v>955</v>
      </c>
      <c r="J763" s="73" t="s">
        <v>956</v>
      </c>
      <c r="K763" s="73" t="s">
        <v>951</v>
      </c>
      <c r="L763" s="103" t="n">
        <v>0</v>
      </c>
    </row>
    <row r="764" customFormat="false" ht="15" hidden="false" customHeight="true" outlineLevel="0" collapsed="false">
      <c r="A764" s="73" t="s">
        <v>2263</v>
      </c>
      <c r="B764" s="73" t="s">
        <v>856</v>
      </c>
      <c r="C764" s="73" t="s">
        <v>653</v>
      </c>
      <c r="D764" s="73" t="s">
        <v>867</v>
      </c>
      <c r="E764" s="73" t="s">
        <v>767</v>
      </c>
      <c r="F764" s="73" t="s">
        <v>768</v>
      </c>
      <c r="G764" s="73" t="s">
        <v>655</v>
      </c>
      <c r="H764" s="73" t="s">
        <v>2264</v>
      </c>
      <c r="I764" s="73" t="s">
        <v>869</v>
      </c>
      <c r="J764" s="73" t="s">
        <v>1106</v>
      </c>
      <c r="K764" s="73" t="s">
        <v>871</v>
      </c>
      <c r="L764" s="107" t="n">
        <v>0.45</v>
      </c>
    </row>
    <row r="765" customFormat="false" ht="15" hidden="false" customHeight="true" outlineLevel="0" collapsed="false">
      <c r="A765" s="73" t="s">
        <v>2265</v>
      </c>
      <c r="B765" s="73" t="s">
        <v>856</v>
      </c>
      <c r="C765" s="73" t="s">
        <v>653</v>
      </c>
      <c r="D765" s="73" t="s">
        <v>873</v>
      </c>
      <c r="E765" s="73" t="s">
        <v>767</v>
      </c>
      <c r="F765" s="73" t="s">
        <v>768</v>
      </c>
      <c r="G765" s="73" t="s">
        <v>655</v>
      </c>
      <c r="H765" s="73" t="s">
        <v>2266</v>
      </c>
      <c r="I765" s="73" t="s">
        <v>875</v>
      </c>
      <c r="J765" s="73" t="s">
        <v>876</v>
      </c>
      <c r="K765" s="73"/>
      <c r="L765" s="104" t="n">
        <v>0.5</v>
      </c>
    </row>
    <row r="766" customFormat="false" ht="15" hidden="false" customHeight="true" outlineLevel="0" collapsed="false">
      <c r="A766" s="73" t="s">
        <v>2267</v>
      </c>
      <c r="B766" s="73" t="s">
        <v>856</v>
      </c>
      <c r="C766" s="73" t="s">
        <v>653</v>
      </c>
      <c r="D766" s="73" t="s">
        <v>878</v>
      </c>
      <c r="E766" s="73" t="s">
        <v>767</v>
      </c>
      <c r="F766" s="73" t="s">
        <v>768</v>
      </c>
      <c r="G766" s="73" t="s">
        <v>655</v>
      </c>
      <c r="H766" s="73" t="s">
        <v>2268</v>
      </c>
      <c r="I766" s="73" t="s">
        <v>880</v>
      </c>
      <c r="J766" s="73" t="s">
        <v>881</v>
      </c>
      <c r="K766" s="73"/>
      <c r="L766" s="104" t="n">
        <v>0.4</v>
      </c>
    </row>
    <row r="767" customFormat="false" ht="15" hidden="false" customHeight="true" outlineLevel="0" collapsed="false">
      <c r="A767" s="73" t="s">
        <v>2269</v>
      </c>
      <c r="B767" s="73" t="s">
        <v>856</v>
      </c>
      <c r="C767" s="73" t="s">
        <v>653</v>
      </c>
      <c r="D767" s="73" t="s">
        <v>883</v>
      </c>
      <c r="E767" s="73" t="s">
        <v>767</v>
      </c>
      <c r="F767" s="73" t="s">
        <v>768</v>
      </c>
      <c r="G767" s="73" t="s">
        <v>655</v>
      </c>
      <c r="H767" s="73" t="s">
        <v>2270</v>
      </c>
      <c r="I767" s="73" t="s">
        <v>880</v>
      </c>
      <c r="J767" s="73" t="s">
        <v>885</v>
      </c>
      <c r="K767" s="73"/>
      <c r="L767" s="104" t="n">
        <v>0.08</v>
      </c>
    </row>
    <row r="768" customFormat="false" ht="15" hidden="false" customHeight="true" outlineLevel="0" collapsed="false">
      <c r="A768" s="73" t="s">
        <v>2271</v>
      </c>
      <c r="B768" s="73" t="s">
        <v>856</v>
      </c>
      <c r="C768" s="73" t="s">
        <v>653</v>
      </c>
      <c r="D768" s="73" t="s">
        <v>887</v>
      </c>
      <c r="E768" s="73" t="s">
        <v>767</v>
      </c>
      <c r="F768" s="73" t="s">
        <v>768</v>
      </c>
      <c r="G768" s="73" t="s">
        <v>655</v>
      </c>
      <c r="H768" s="73" t="s">
        <v>2272</v>
      </c>
      <c r="I768" s="73" t="s">
        <v>880</v>
      </c>
      <c r="J768" s="73" t="s">
        <v>889</v>
      </c>
      <c r="K768" s="73"/>
      <c r="L768" s="104" t="n">
        <v>0.05</v>
      </c>
    </row>
    <row r="769" customFormat="false" ht="15" hidden="false" customHeight="true" outlineLevel="0" collapsed="false">
      <c r="A769" s="73" t="s">
        <v>2273</v>
      </c>
      <c r="B769" s="73" t="s">
        <v>856</v>
      </c>
      <c r="C769" s="73" t="s">
        <v>653</v>
      </c>
      <c r="D769" s="73" t="s">
        <v>891</v>
      </c>
      <c r="E769" s="73" t="s">
        <v>767</v>
      </c>
      <c r="F769" s="73" t="s">
        <v>768</v>
      </c>
      <c r="G769" s="73" t="s">
        <v>96</v>
      </c>
      <c r="H769" s="73" t="s">
        <v>2274</v>
      </c>
      <c r="I769" s="73" t="s">
        <v>893</v>
      </c>
      <c r="J769" s="73" t="s">
        <v>894</v>
      </c>
      <c r="K769" s="73" t="s">
        <v>895</v>
      </c>
      <c r="L769" s="103" t="n">
        <v>0</v>
      </c>
    </row>
    <row r="770" customFormat="false" ht="15" hidden="false" customHeight="true" outlineLevel="0" collapsed="false">
      <c r="A770" s="73" t="s">
        <v>2275</v>
      </c>
      <c r="B770" s="73" t="s">
        <v>856</v>
      </c>
      <c r="C770" s="73" t="s">
        <v>653</v>
      </c>
      <c r="D770" s="73" t="s">
        <v>891</v>
      </c>
      <c r="E770" s="73" t="s">
        <v>767</v>
      </c>
      <c r="F770" s="73" t="s">
        <v>768</v>
      </c>
      <c r="G770" s="73" t="s">
        <v>99</v>
      </c>
      <c r="H770" s="73" t="s">
        <v>2276</v>
      </c>
      <c r="I770" s="73" t="s">
        <v>893</v>
      </c>
      <c r="J770" s="73" t="s">
        <v>898</v>
      </c>
      <c r="K770" s="73" t="s">
        <v>895</v>
      </c>
      <c r="L770" s="103" t="n">
        <v>12</v>
      </c>
    </row>
    <row r="771" customFormat="false" ht="15" hidden="false" customHeight="true" outlineLevel="0" collapsed="false">
      <c r="A771" s="73" t="s">
        <v>2277</v>
      </c>
      <c r="B771" s="73" t="s">
        <v>856</v>
      </c>
      <c r="C771" s="73" t="s">
        <v>653</v>
      </c>
      <c r="D771" s="73" t="s">
        <v>891</v>
      </c>
      <c r="E771" s="73" t="s">
        <v>767</v>
      </c>
      <c r="F771" s="73" t="s">
        <v>768</v>
      </c>
      <c r="G771" s="73" t="s">
        <v>101</v>
      </c>
      <c r="H771" s="73" t="s">
        <v>2278</v>
      </c>
      <c r="I771" s="73" t="s">
        <v>893</v>
      </c>
      <c r="J771" s="73" t="s">
        <v>901</v>
      </c>
      <c r="K771" s="73" t="s">
        <v>895</v>
      </c>
      <c r="L771" s="103" t="n">
        <v>0</v>
      </c>
    </row>
    <row r="772" customFormat="false" ht="15" hidden="false" customHeight="true" outlineLevel="0" collapsed="false">
      <c r="A772" s="73" t="s">
        <v>2279</v>
      </c>
      <c r="B772" s="73" t="s">
        <v>856</v>
      </c>
      <c r="C772" s="73" t="s">
        <v>653</v>
      </c>
      <c r="D772" s="73" t="s">
        <v>891</v>
      </c>
      <c r="E772" s="73" t="s">
        <v>767</v>
      </c>
      <c r="F772" s="73" t="s">
        <v>768</v>
      </c>
      <c r="G772" s="73" t="s">
        <v>103</v>
      </c>
      <c r="H772" s="73" t="s">
        <v>2280</v>
      </c>
      <c r="I772" s="73" t="s">
        <v>893</v>
      </c>
      <c r="J772" s="73" t="s">
        <v>904</v>
      </c>
      <c r="K772" s="73" t="s">
        <v>895</v>
      </c>
      <c r="L772" s="103" t="n">
        <v>0</v>
      </c>
    </row>
    <row r="773" customFormat="false" ht="15" hidden="false" customHeight="true" outlineLevel="0" collapsed="false">
      <c r="A773" s="73" t="s">
        <v>2281</v>
      </c>
      <c r="B773" s="73" t="s">
        <v>856</v>
      </c>
      <c r="C773" s="73" t="s">
        <v>653</v>
      </c>
      <c r="D773" s="73" t="s">
        <v>891</v>
      </c>
      <c r="E773" s="73" t="s">
        <v>767</v>
      </c>
      <c r="F773" s="73" t="s">
        <v>768</v>
      </c>
      <c r="G773" s="73" t="s">
        <v>105</v>
      </c>
      <c r="H773" s="73" t="s">
        <v>2282</v>
      </c>
      <c r="I773" s="73" t="s">
        <v>893</v>
      </c>
      <c r="J773" s="73" t="s">
        <v>907</v>
      </c>
      <c r="K773" s="73" t="s">
        <v>895</v>
      </c>
      <c r="L773" s="103" t="n">
        <v>0</v>
      </c>
    </row>
    <row r="774" customFormat="false" ht="15" hidden="false" customHeight="true" outlineLevel="0" collapsed="false">
      <c r="A774" s="73" t="s">
        <v>2283</v>
      </c>
      <c r="B774" s="73" t="s">
        <v>856</v>
      </c>
      <c r="C774" s="73" t="s">
        <v>653</v>
      </c>
      <c r="D774" s="73" t="s">
        <v>891</v>
      </c>
      <c r="E774" s="73" t="s">
        <v>767</v>
      </c>
      <c r="F774" s="73" t="s">
        <v>768</v>
      </c>
      <c r="G774" s="73" t="s">
        <v>107</v>
      </c>
      <c r="H774" s="73" t="s">
        <v>2284</v>
      </c>
      <c r="I774" s="73" t="s">
        <v>893</v>
      </c>
      <c r="J774" s="73" t="s">
        <v>910</v>
      </c>
      <c r="K774" s="73" t="s">
        <v>895</v>
      </c>
      <c r="L774" s="103" t="n">
        <v>0</v>
      </c>
    </row>
    <row r="775" customFormat="false" ht="15" hidden="false" customHeight="true" outlineLevel="0" collapsed="false">
      <c r="A775" s="73" t="s">
        <v>2285</v>
      </c>
      <c r="B775" s="73" t="s">
        <v>856</v>
      </c>
      <c r="C775" s="73" t="s">
        <v>653</v>
      </c>
      <c r="D775" s="73" t="s">
        <v>891</v>
      </c>
      <c r="E775" s="73" t="s">
        <v>767</v>
      </c>
      <c r="F775" s="73" t="s">
        <v>768</v>
      </c>
      <c r="G775" s="73" t="s">
        <v>109</v>
      </c>
      <c r="H775" s="73" t="s">
        <v>2286</v>
      </c>
      <c r="I775" s="73" t="s">
        <v>893</v>
      </c>
      <c r="J775" s="73" t="s">
        <v>913</v>
      </c>
      <c r="K775" s="73" t="s">
        <v>895</v>
      </c>
      <c r="L775" s="103" t="n">
        <v>0</v>
      </c>
    </row>
    <row r="776" customFormat="false" ht="15" hidden="false" customHeight="true" outlineLevel="0" collapsed="false">
      <c r="A776" s="73" t="s">
        <v>2287</v>
      </c>
      <c r="B776" s="73" t="s">
        <v>856</v>
      </c>
      <c r="C776" s="73" t="s">
        <v>653</v>
      </c>
      <c r="D776" s="73" t="s">
        <v>891</v>
      </c>
      <c r="E776" s="73" t="s">
        <v>767</v>
      </c>
      <c r="F776" s="73" t="s">
        <v>768</v>
      </c>
      <c r="G776" s="73" t="s">
        <v>111</v>
      </c>
      <c r="H776" s="73" t="s">
        <v>2288</v>
      </c>
      <c r="I776" s="73" t="s">
        <v>893</v>
      </c>
      <c r="J776" s="73" t="s">
        <v>916</v>
      </c>
      <c r="K776" s="73" t="s">
        <v>895</v>
      </c>
      <c r="L776" s="103" t="n">
        <v>0</v>
      </c>
    </row>
    <row r="777" customFormat="false" ht="15" hidden="false" customHeight="true" outlineLevel="0" collapsed="false">
      <c r="A777" s="73" t="s">
        <v>2289</v>
      </c>
      <c r="B777" s="73" t="s">
        <v>856</v>
      </c>
      <c r="C777" s="73" t="s">
        <v>653</v>
      </c>
      <c r="D777" s="73" t="s">
        <v>918</v>
      </c>
      <c r="E777" s="73" t="s">
        <v>767</v>
      </c>
      <c r="F777" s="73" t="s">
        <v>768</v>
      </c>
      <c r="G777" s="73" t="s">
        <v>96</v>
      </c>
      <c r="H777" s="73" t="s">
        <v>2290</v>
      </c>
      <c r="I777" s="73" t="s">
        <v>893</v>
      </c>
      <c r="J777" s="73" t="s">
        <v>920</v>
      </c>
      <c r="K777" s="73" t="s">
        <v>895</v>
      </c>
      <c r="L777" s="103" t="n">
        <v>0</v>
      </c>
    </row>
    <row r="778" customFormat="false" ht="15" hidden="false" customHeight="true" outlineLevel="0" collapsed="false">
      <c r="A778" s="73" t="s">
        <v>2291</v>
      </c>
      <c r="B778" s="73" t="s">
        <v>856</v>
      </c>
      <c r="C778" s="73" t="s">
        <v>653</v>
      </c>
      <c r="D778" s="73" t="s">
        <v>918</v>
      </c>
      <c r="E778" s="73" t="s">
        <v>767</v>
      </c>
      <c r="F778" s="73" t="s">
        <v>768</v>
      </c>
      <c r="G778" s="73" t="s">
        <v>99</v>
      </c>
      <c r="H778" s="73" t="s">
        <v>2292</v>
      </c>
      <c r="I778" s="73" t="s">
        <v>893</v>
      </c>
      <c r="J778" s="73" t="s">
        <v>923</v>
      </c>
      <c r="K778" s="73" t="s">
        <v>895</v>
      </c>
      <c r="L778" s="103" t="n">
        <v>24</v>
      </c>
    </row>
    <row r="779" customFormat="false" ht="15" hidden="false" customHeight="true" outlineLevel="0" collapsed="false">
      <c r="A779" s="73" t="s">
        <v>2293</v>
      </c>
      <c r="B779" s="73" t="s">
        <v>856</v>
      </c>
      <c r="C779" s="73" t="s">
        <v>653</v>
      </c>
      <c r="D779" s="73" t="s">
        <v>918</v>
      </c>
      <c r="E779" s="73" t="s">
        <v>767</v>
      </c>
      <c r="F779" s="73" t="s">
        <v>768</v>
      </c>
      <c r="G779" s="73" t="s">
        <v>101</v>
      </c>
      <c r="H779" s="73" t="s">
        <v>2294</v>
      </c>
      <c r="I779" s="73" t="s">
        <v>893</v>
      </c>
      <c r="J779" s="73" t="s">
        <v>926</v>
      </c>
      <c r="K779" s="73" t="s">
        <v>895</v>
      </c>
      <c r="L779" s="103" t="n">
        <v>0</v>
      </c>
    </row>
    <row r="780" customFormat="false" ht="15" hidden="false" customHeight="true" outlineLevel="0" collapsed="false">
      <c r="A780" s="73" t="s">
        <v>2295</v>
      </c>
      <c r="B780" s="73" t="s">
        <v>856</v>
      </c>
      <c r="C780" s="73" t="s">
        <v>653</v>
      </c>
      <c r="D780" s="73" t="s">
        <v>918</v>
      </c>
      <c r="E780" s="73" t="s">
        <v>767</v>
      </c>
      <c r="F780" s="73" t="s">
        <v>768</v>
      </c>
      <c r="G780" s="73" t="s">
        <v>103</v>
      </c>
      <c r="H780" s="73" t="s">
        <v>2296</v>
      </c>
      <c r="I780" s="73" t="s">
        <v>893</v>
      </c>
      <c r="J780" s="73" t="s">
        <v>929</v>
      </c>
      <c r="K780" s="73" t="s">
        <v>895</v>
      </c>
      <c r="L780" s="103" t="n">
        <v>0</v>
      </c>
    </row>
    <row r="781" customFormat="false" ht="15" hidden="false" customHeight="true" outlineLevel="0" collapsed="false">
      <c r="A781" s="73" t="s">
        <v>2297</v>
      </c>
      <c r="B781" s="73" t="s">
        <v>856</v>
      </c>
      <c r="C781" s="73" t="s">
        <v>653</v>
      </c>
      <c r="D781" s="73" t="s">
        <v>918</v>
      </c>
      <c r="E781" s="73" t="s">
        <v>767</v>
      </c>
      <c r="F781" s="73" t="s">
        <v>768</v>
      </c>
      <c r="G781" s="73" t="s">
        <v>105</v>
      </c>
      <c r="H781" s="73" t="s">
        <v>2298</v>
      </c>
      <c r="I781" s="73" t="s">
        <v>893</v>
      </c>
      <c r="J781" s="73" t="s">
        <v>932</v>
      </c>
      <c r="K781" s="73" t="s">
        <v>895</v>
      </c>
      <c r="L781" s="103" t="n">
        <v>0</v>
      </c>
    </row>
    <row r="782" customFormat="false" ht="15" hidden="false" customHeight="true" outlineLevel="0" collapsed="false">
      <c r="A782" s="73" t="s">
        <v>2299</v>
      </c>
      <c r="B782" s="73" t="s">
        <v>856</v>
      </c>
      <c r="C782" s="73" t="s">
        <v>653</v>
      </c>
      <c r="D782" s="73" t="s">
        <v>918</v>
      </c>
      <c r="E782" s="73" t="s">
        <v>767</v>
      </c>
      <c r="F782" s="73" t="s">
        <v>768</v>
      </c>
      <c r="G782" s="73" t="s">
        <v>107</v>
      </c>
      <c r="H782" s="73" t="s">
        <v>2300</v>
      </c>
      <c r="I782" s="73" t="s">
        <v>893</v>
      </c>
      <c r="J782" s="73" t="s">
        <v>935</v>
      </c>
      <c r="K782" s="73" t="s">
        <v>895</v>
      </c>
      <c r="L782" s="103" t="n">
        <v>0</v>
      </c>
    </row>
    <row r="783" customFormat="false" ht="15" hidden="false" customHeight="true" outlineLevel="0" collapsed="false">
      <c r="A783" s="73" t="s">
        <v>2301</v>
      </c>
      <c r="B783" s="73" t="s">
        <v>856</v>
      </c>
      <c r="C783" s="73" t="s">
        <v>653</v>
      </c>
      <c r="D783" s="73" t="s">
        <v>918</v>
      </c>
      <c r="E783" s="73" t="s">
        <v>767</v>
      </c>
      <c r="F783" s="73" t="s">
        <v>768</v>
      </c>
      <c r="G783" s="73" t="s">
        <v>109</v>
      </c>
      <c r="H783" s="73" t="s">
        <v>2302</v>
      </c>
      <c r="I783" s="73" t="s">
        <v>893</v>
      </c>
      <c r="J783" s="73" t="s">
        <v>938</v>
      </c>
      <c r="K783" s="73" t="s">
        <v>895</v>
      </c>
      <c r="L783" s="103" t="n">
        <v>0</v>
      </c>
    </row>
    <row r="784" customFormat="false" ht="15" hidden="false" customHeight="true" outlineLevel="0" collapsed="false">
      <c r="A784" s="73" t="s">
        <v>2303</v>
      </c>
      <c r="B784" s="73" t="s">
        <v>856</v>
      </c>
      <c r="C784" s="73" t="s">
        <v>653</v>
      </c>
      <c r="D784" s="73" t="s">
        <v>918</v>
      </c>
      <c r="E784" s="73" t="s">
        <v>767</v>
      </c>
      <c r="F784" s="73" t="s">
        <v>768</v>
      </c>
      <c r="G784" s="73" t="s">
        <v>111</v>
      </c>
      <c r="H784" s="73" t="s">
        <v>2304</v>
      </c>
      <c r="I784" s="73" t="s">
        <v>893</v>
      </c>
      <c r="J784" s="73" t="s">
        <v>941</v>
      </c>
      <c r="K784" s="73" t="s">
        <v>895</v>
      </c>
      <c r="L784" s="103" t="n">
        <v>0</v>
      </c>
    </row>
    <row r="785" customFormat="false" ht="15" hidden="false" customHeight="true" outlineLevel="0" collapsed="false">
      <c r="A785" s="73" t="s">
        <v>2305</v>
      </c>
      <c r="B785" s="73" t="s">
        <v>856</v>
      </c>
      <c r="C785" s="73" t="s">
        <v>653</v>
      </c>
      <c r="D785" s="73" t="s">
        <v>943</v>
      </c>
      <c r="E785" s="73" t="s">
        <v>767</v>
      </c>
      <c r="F785" s="73" t="s">
        <v>768</v>
      </c>
      <c r="G785" s="73" t="s">
        <v>944</v>
      </c>
      <c r="H785" s="73" t="s">
        <v>2306</v>
      </c>
      <c r="I785" s="73" t="s">
        <v>893</v>
      </c>
      <c r="J785" s="73" t="s">
        <v>946</v>
      </c>
      <c r="K785" s="73"/>
      <c r="L785" s="103" t="n">
        <v>0.3</v>
      </c>
    </row>
    <row r="786" customFormat="false" ht="15" hidden="false" customHeight="true" outlineLevel="0" collapsed="false">
      <c r="A786" s="73" t="s">
        <v>2307</v>
      </c>
      <c r="B786" s="73" t="s">
        <v>856</v>
      </c>
      <c r="C786" s="73" t="s">
        <v>653</v>
      </c>
      <c r="D786" s="73" t="s">
        <v>948</v>
      </c>
      <c r="E786" s="73" t="s">
        <v>767</v>
      </c>
      <c r="F786" s="73" t="s">
        <v>768</v>
      </c>
      <c r="G786" s="73" t="s">
        <v>655</v>
      </c>
      <c r="H786" s="73" t="s">
        <v>2308</v>
      </c>
      <c r="I786" s="73" t="s">
        <v>708</v>
      </c>
      <c r="J786" s="73" t="s">
        <v>950</v>
      </c>
      <c r="K786" s="73" t="s">
        <v>951</v>
      </c>
      <c r="L786" s="103" t="n">
        <v>0</v>
      </c>
    </row>
    <row r="787" customFormat="false" ht="15" hidden="false" customHeight="true" outlineLevel="0" collapsed="false">
      <c r="A787" s="73" t="s">
        <v>2309</v>
      </c>
      <c r="B787" s="73" t="s">
        <v>856</v>
      </c>
      <c r="C787" s="73" t="s">
        <v>653</v>
      </c>
      <c r="D787" s="73" t="s">
        <v>953</v>
      </c>
      <c r="E787" s="73" t="s">
        <v>767</v>
      </c>
      <c r="F787" s="73" t="s">
        <v>768</v>
      </c>
      <c r="G787" s="73" t="s">
        <v>655</v>
      </c>
      <c r="H787" s="73" t="s">
        <v>2310</v>
      </c>
      <c r="I787" s="73" t="s">
        <v>955</v>
      </c>
      <c r="J787" s="73" t="s">
        <v>956</v>
      </c>
      <c r="K787" s="73" t="s">
        <v>951</v>
      </c>
      <c r="L787" s="103" t="n">
        <v>0</v>
      </c>
    </row>
    <row r="788" customFormat="false" ht="15" hidden="false" customHeight="true" outlineLevel="0" collapsed="false">
      <c r="A788" s="73" t="s">
        <v>2311</v>
      </c>
      <c r="B788" s="73" t="s">
        <v>856</v>
      </c>
      <c r="C788" s="73" t="s">
        <v>653</v>
      </c>
      <c r="D788" s="73" t="s">
        <v>867</v>
      </c>
      <c r="E788" s="73" t="s">
        <v>767</v>
      </c>
      <c r="F788" s="73" t="s">
        <v>779</v>
      </c>
      <c r="G788" s="73" t="s">
        <v>655</v>
      </c>
      <c r="H788" s="73" t="s">
        <v>2312</v>
      </c>
      <c r="I788" s="73" t="s">
        <v>869</v>
      </c>
      <c r="J788" s="73" t="s">
        <v>1155</v>
      </c>
      <c r="K788" s="73" t="s">
        <v>871</v>
      </c>
      <c r="L788" s="107" t="n">
        <v>0.65</v>
      </c>
    </row>
    <row r="789" customFormat="false" ht="15" hidden="false" customHeight="true" outlineLevel="0" collapsed="false">
      <c r="A789" s="73" t="s">
        <v>2313</v>
      </c>
      <c r="B789" s="73" t="s">
        <v>856</v>
      </c>
      <c r="C789" s="73" t="s">
        <v>653</v>
      </c>
      <c r="D789" s="73" t="s">
        <v>873</v>
      </c>
      <c r="E789" s="73" t="s">
        <v>767</v>
      </c>
      <c r="F789" s="73" t="s">
        <v>779</v>
      </c>
      <c r="G789" s="73" t="s">
        <v>655</v>
      </c>
      <c r="H789" s="73" t="s">
        <v>2314</v>
      </c>
      <c r="I789" s="73" t="s">
        <v>875</v>
      </c>
      <c r="J789" s="73" t="s">
        <v>876</v>
      </c>
      <c r="K789" s="73"/>
      <c r="L789" s="104" t="n">
        <v>0.5</v>
      </c>
    </row>
    <row r="790" customFormat="false" ht="15" hidden="false" customHeight="true" outlineLevel="0" collapsed="false">
      <c r="A790" s="73" t="s">
        <v>2315</v>
      </c>
      <c r="B790" s="73" t="s">
        <v>856</v>
      </c>
      <c r="C790" s="73" t="s">
        <v>653</v>
      </c>
      <c r="D790" s="73" t="s">
        <v>878</v>
      </c>
      <c r="E790" s="73" t="s">
        <v>767</v>
      </c>
      <c r="F790" s="73" t="s">
        <v>779</v>
      </c>
      <c r="G790" s="73" t="s">
        <v>655</v>
      </c>
      <c r="H790" s="73" t="s">
        <v>2316</v>
      </c>
      <c r="I790" s="73" t="s">
        <v>880</v>
      </c>
      <c r="J790" s="73" t="s">
        <v>881</v>
      </c>
      <c r="K790" s="73"/>
      <c r="L790" s="104" t="n">
        <v>0.4</v>
      </c>
    </row>
    <row r="791" customFormat="false" ht="15" hidden="false" customHeight="true" outlineLevel="0" collapsed="false">
      <c r="A791" s="73" t="s">
        <v>2317</v>
      </c>
      <c r="B791" s="73" t="s">
        <v>856</v>
      </c>
      <c r="C791" s="73" t="s">
        <v>653</v>
      </c>
      <c r="D791" s="73" t="s">
        <v>883</v>
      </c>
      <c r="E791" s="73" t="s">
        <v>767</v>
      </c>
      <c r="F791" s="73" t="s">
        <v>779</v>
      </c>
      <c r="G791" s="73" t="s">
        <v>655</v>
      </c>
      <c r="H791" s="73" t="s">
        <v>2318</v>
      </c>
      <c r="I791" s="73" t="s">
        <v>880</v>
      </c>
      <c r="J791" s="73" t="s">
        <v>885</v>
      </c>
      <c r="K791" s="73"/>
      <c r="L791" s="104" t="n">
        <v>0.05</v>
      </c>
    </row>
    <row r="792" customFormat="false" ht="15" hidden="false" customHeight="true" outlineLevel="0" collapsed="false">
      <c r="A792" s="73" t="s">
        <v>2319</v>
      </c>
      <c r="B792" s="73" t="s">
        <v>856</v>
      </c>
      <c r="C792" s="73" t="s">
        <v>653</v>
      </c>
      <c r="D792" s="73" t="s">
        <v>887</v>
      </c>
      <c r="E792" s="73" t="s">
        <v>767</v>
      </c>
      <c r="F792" s="73" t="s">
        <v>779</v>
      </c>
      <c r="G792" s="73" t="s">
        <v>655</v>
      </c>
      <c r="H792" s="73" t="s">
        <v>2320</v>
      </c>
      <c r="I792" s="73" t="s">
        <v>880</v>
      </c>
      <c r="J792" s="73" t="s">
        <v>889</v>
      </c>
      <c r="K792" s="73"/>
      <c r="L792" s="104" t="n">
        <v>0.05</v>
      </c>
    </row>
    <row r="793" customFormat="false" ht="15" hidden="false" customHeight="true" outlineLevel="0" collapsed="false">
      <c r="A793" s="73" t="s">
        <v>2321</v>
      </c>
      <c r="B793" s="73" t="s">
        <v>856</v>
      </c>
      <c r="C793" s="73" t="s">
        <v>653</v>
      </c>
      <c r="D793" s="73" t="s">
        <v>891</v>
      </c>
      <c r="E793" s="73" t="s">
        <v>767</v>
      </c>
      <c r="F793" s="73" t="s">
        <v>779</v>
      </c>
      <c r="G793" s="73" t="s">
        <v>96</v>
      </c>
      <c r="H793" s="73" t="s">
        <v>2322</v>
      </c>
      <c r="I793" s="73" t="s">
        <v>893</v>
      </c>
      <c r="J793" s="73" t="s">
        <v>894</v>
      </c>
      <c r="K793" s="73" t="s">
        <v>895</v>
      </c>
      <c r="L793" s="103" t="n">
        <v>0</v>
      </c>
    </row>
    <row r="794" customFormat="false" ht="15" hidden="false" customHeight="true" outlineLevel="0" collapsed="false">
      <c r="A794" s="73" t="s">
        <v>2323</v>
      </c>
      <c r="B794" s="73" t="s">
        <v>856</v>
      </c>
      <c r="C794" s="73" t="s">
        <v>653</v>
      </c>
      <c r="D794" s="73" t="s">
        <v>891</v>
      </c>
      <c r="E794" s="73" t="s">
        <v>767</v>
      </c>
      <c r="F794" s="73" t="s">
        <v>779</v>
      </c>
      <c r="G794" s="73" t="s">
        <v>99</v>
      </c>
      <c r="H794" s="73" t="s">
        <v>2324</v>
      </c>
      <c r="I794" s="73" t="s">
        <v>893</v>
      </c>
      <c r="J794" s="73" t="s">
        <v>898</v>
      </c>
      <c r="K794" s="73" t="s">
        <v>895</v>
      </c>
      <c r="L794" s="103" t="n">
        <v>3</v>
      </c>
    </row>
    <row r="795" customFormat="false" ht="15" hidden="false" customHeight="true" outlineLevel="0" collapsed="false">
      <c r="A795" s="73" t="s">
        <v>2325</v>
      </c>
      <c r="B795" s="73" t="s">
        <v>856</v>
      </c>
      <c r="C795" s="73" t="s">
        <v>653</v>
      </c>
      <c r="D795" s="73" t="s">
        <v>891</v>
      </c>
      <c r="E795" s="73" t="s">
        <v>767</v>
      </c>
      <c r="F795" s="73" t="s">
        <v>779</v>
      </c>
      <c r="G795" s="73" t="s">
        <v>101</v>
      </c>
      <c r="H795" s="73" t="s">
        <v>2326</v>
      </c>
      <c r="I795" s="73" t="s">
        <v>893</v>
      </c>
      <c r="J795" s="73" t="s">
        <v>901</v>
      </c>
      <c r="K795" s="73" t="s">
        <v>895</v>
      </c>
      <c r="L795" s="103" t="n">
        <v>0</v>
      </c>
    </row>
    <row r="796" customFormat="false" ht="15" hidden="false" customHeight="true" outlineLevel="0" collapsed="false">
      <c r="A796" s="73" t="s">
        <v>2327</v>
      </c>
      <c r="B796" s="73" t="s">
        <v>856</v>
      </c>
      <c r="C796" s="73" t="s">
        <v>653</v>
      </c>
      <c r="D796" s="73" t="s">
        <v>891</v>
      </c>
      <c r="E796" s="73" t="s">
        <v>767</v>
      </c>
      <c r="F796" s="73" t="s">
        <v>779</v>
      </c>
      <c r="G796" s="73" t="s">
        <v>103</v>
      </c>
      <c r="H796" s="73" t="s">
        <v>2328</v>
      </c>
      <c r="I796" s="73" t="s">
        <v>893</v>
      </c>
      <c r="J796" s="73" t="s">
        <v>904</v>
      </c>
      <c r="K796" s="73" t="s">
        <v>895</v>
      </c>
      <c r="L796" s="103" t="n">
        <v>0</v>
      </c>
    </row>
    <row r="797" customFormat="false" ht="15" hidden="false" customHeight="true" outlineLevel="0" collapsed="false">
      <c r="A797" s="73" t="s">
        <v>2329</v>
      </c>
      <c r="B797" s="73" t="s">
        <v>856</v>
      </c>
      <c r="C797" s="73" t="s">
        <v>653</v>
      </c>
      <c r="D797" s="73" t="s">
        <v>891</v>
      </c>
      <c r="E797" s="73" t="s">
        <v>767</v>
      </c>
      <c r="F797" s="73" t="s">
        <v>779</v>
      </c>
      <c r="G797" s="73" t="s">
        <v>105</v>
      </c>
      <c r="H797" s="73" t="s">
        <v>2330</v>
      </c>
      <c r="I797" s="73" t="s">
        <v>893</v>
      </c>
      <c r="J797" s="73" t="s">
        <v>907</v>
      </c>
      <c r="K797" s="73" t="s">
        <v>895</v>
      </c>
      <c r="L797" s="103" t="n">
        <v>0</v>
      </c>
    </row>
    <row r="798" customFormat="false" ht="15" hidden="false" customHeight="true" outlineLevel="0" collapsed="false">
      <c r="A798" s="73" t="s">
        <v>2331</v>
      </c>
      <c r="B798" s="73" t="s">
        <v>856</v>
      </c>
      <c r="C798" s="73" t="s">
        <v>653</v>
      </c>
      <c r="D798" s="73" t="s">
        <v>891</v>
      </c>
      <c r="E798" s="73" t="s">
        <v>767</v>
      </c>
      <c r="F798" s="73" t="s">
        <v>779</v>
      </c>
      <c r="G798" s="73" t="s">
        <v>107</v>
      </c>
      <c r="H798" s="73" t="s">
        <v>2332</v>
      </c>
      <c r="I798" s="73" t="s">
        <v>893</v>
      </c>
      <c r="J798" s="73" t="s">
        <v>910</v>
      </c>
      <c r="K798" s="73" t="s">
        <v>895</v>
      </c>
      <c r="L798" s="103" t="n">
        <v>0</v>
      </c>
    </row>
    <row r="799" customFormat="false" ht="15" hidden="false" customHeight="true" outlineLevel="0" collapsed="false">
      <c r="A799" s="73" t="s">
        <v>2333</v>
      </c>
      <c r="B799" s="73" t="s">
        <v>856</v>
      </c>
      <c r="C799" s="73" t="s">
        <v>653</v>
      </c>
      <c r="D799" s="73" t="s">
        <v>891</v>
      </c>
      <c r="E799" s="73" t="s">
        <v>767</v>
      </c>
      <c r="F799" s="73" t="s">
        <v>779</v>
      </c>
      <c r="G799" s="73" t="s">
        <v>109</v>
      </c>
      <c r="H799" s="73" t="s">
        <v>2334</v>
      </c>
      <c r="I799" s="73" t="s">
        <v>893</v>
      </c>
      <c r="J799" s="73" t="s">
        <v>913</v>
      </c>
      <c r="K799" s="73" t="s">
        <v>895</v>
      </c>
      <c r="L799" s="103" t="n">
        <v>0</v>
      </c>
    </row>
    <row r="800" customFormat="false" ht="15" hidden="false" customHeight="true" outlineLevel="0" collapsed="false">
      <c r="A800" s="73" t="s">
        <v>2335</v>
      </c>
      <c r="B800" s="73" t="s">
        <v>856</v>
      </c>
      <c r="C800" s="73" t="s">
        <v>653</v>
      </c>
      <c r="D800" s="73" t="s">
        <v>891</v>
      </c>
      <c r="E800" s="73" t="s">
        <v>767</v>
      </c>
      <c r="F800" s="73" t="s">
        <v>779</v>
      </c>
      <c r="G800" s="73" t="s">
        <v>111</v>
      </c>
      <c r="H800" s="73" t="s">
        <v>2336</v>
      </c>
      <c r="I800" s="73" t="s">
        <v>893</v>
      </c>
      <c r="J800" s="73" t="s">
        <v>916</v>
      </c>
      <c r="K800" s="73" t="s">
        <v>895</v>
      </c>
      <c r="L800" s="103" t="n">
        <v>0</v>
      </c>
    </row>
    <row r="801" customFormat="false" ht="15" hidden="false" customHeight="true" outlineLevel="0" collapsed="false">
      <c r="A801" s="73" t="s">
        <v>2337</v>
      </c>
      <c r="B801" s="73" t="s">
        <v>856</v>
      </c>
      <c r="C801" s="73" t="s">
        <v>653</v>
      </c>
      <c r="D801" s="73" t="s">
        <v>918</v>
      </c>
      <c r="E801" s="73" t="s">
        <v>767</v>
      </c>
      <c r="F801" s="73" t="s">
        <v>779</v>
      </c>
      <c r="G801" s="73" t="s">
        <v>96</v>
      </c>
      <c r="H801" s="73" t="s">
        <v>2338</v>
      </c>
      <c r="I801" s="73" t="s">
        <v>893</v>
      </c>
      <c r="J801" s="73" t="s">
        <v>920</v>
      </c>
      <c r="K801" s="73" t="s">
        <v>895</v>
      </c>
      <c r="L801" s="103" t="n">
        <v>0</v>
      </c>
    </row>
    <row r="802" customFormat="false" ht="15" hidden="false" customHeight="true" outlineLevel="0" collapsed="false">
      <c r="A802" s="73" t="s">
        <v>2339</v>
      </c>
      <c r="B802" s="73" t="s">
        <v>856</v>
      </c>
      <c r="C802" s="73" t="s">
        <v>653</v>
      </c>
      <c r="D802" s="73" t="s">
        <v>918</v>
      </c>
      <c r="E802" s="73" t="s">
        <v>767</v>
      </c>
      <c r="F802" s="73" t="s">
        <v>779</v>
      </c>
      <c r="G802" s="73" t="s">
        <v>99</v>
      </c>
      <c r="H802" s="73" t="s">
        <v>2340</v>
      </c>
      <c r="I802" s="73" t="s">
        <v>893</v>
      </c>
      <c r="J802" s="73" t="s">
        <v>923</v>
      </c>
      <c r="K802" s="73" t="s">
        <v>895</v>
      </c>
      <c r="L802" s="103" t="n">
        <v>0</v>
      </c>
    </row>
    <row r="803" customFormat="false" ht="15" hidden="false" customHeight="true" outlineLevel="0" collapsed="false">
      <c r="A803" s="73" t="s">
        <v>2341</v>
      </c>
      <c r="B803" s="73" t="s">
        <v>856</v>
      </c>
      <c r="C803" s="73" t="s">
        <v>653</v>
      </c>
      <c r="D803" s="73" t="s">
        <v>918</v>
      </c>
      <c r="E803" s="73" t="s">
        <v>767</v>
      </c>
      <c r="F803" s="73" t="s">
        <v>779</v>
      </c>
      <c r="G803" s="73" t="s">
        <v>101</v>
      </c>
      <c r="H803" s="73" t="s">
        <v>2342</v>
      </c>
      <c r="I803" s="73" t="s">
        <v>893</v>
      </c>
      <c r="J803" s="73" t="s">
        <v>926</v>
      </c>
      <c r="K803" s="73" t="s">
        <v>895</v>
      </c>
      <c r="L803" s="103" t="n">
        <v>0</v>
      </c>
    </row>
    <row r="804" customFormat="false" ht="15" hidden="false" customHeight="true" outlineLevel="0" collapsed="false">
      <c r="A804" s="73" t="s">
        <v>2343</v>
      </c>
      <c r="B804" s="73" t="s">
        <v>856</v>
      </c>
      <c r="C804" s="73" t="s">
        <v>653</v>
      </c>
      <c r="D804" s="73" t="s">
        <v>918</v>
      </c>
      <c r="E804" s="73" t="s">
        <v>767</v>
      </c>
      <c r="F804" s="73" t="s">
        <v>779</v>
      </c>
      <c r="G804" s="73" t="s">
        <v>103</v>
      </c>
      <c r="H804" s="73" t="s">
        <v>2344</v>
      </c>
      <c r="I804" s="73" t="s">
        <v>893</v>
      </c>
      <c r="J804" s="73" t="s">
        <v>929</v>
      </c>
      <c r="K804" s="73" t="s">
        <v>895</v>
      </c>
      <c r="L804" s="103" t="n">
        <v>0</v>
      </c>
    </row>
    <row r="805" customFormat="false" ht="15" hidden="false" customHeight="true" outlineLevel="0" collapsed="false">
      <c r="A805" s="73" t="s">
        <v>2345</v>
      </c>
      <c r="B805" s="73" t="s">
        <v>856</v>
      </c>
      <c r="C805" s="73" t="s">
        <v>653</v>
      </c>
      <c r="D805" s="73" t="s">
        <v>918</v>
      </c>
      <c r="E805" s="73" t="s">
        <v>767</v>
      </c>
      <c r="F805" s="73" t="s">
        <v>779</v>
      </c>
      <c r="G805" s="73" t="s">
        <v>105</v>
      </c>
      <c r="H805" s="73" t="s">
        <v>2346</v>
      </c>
      <c r="I805" s="73" t="s">
        <v>893</v>
      </c>
      <c r="J805" s="73" t="s">
        <v>932</v>
      </c>
      <c r="K805" s="73" t="s">
        <v>895</v>
      </c>
      <c r="L805" s="103" t="n">
        <v>0</v>
      </c>
    </row>
    <row r="806" customFormat="false" ht="15" hidden="false" customHeight="true" outlineLevel="0" collapsed="false">
      <c r="A806" s="73" t="s">
        <v>2347</v>
      </c>
      <c r="B806" s="73" t="s">
        <v>856</v>
      </c>
      <c r="C806" s="73" t="s">
        <v>653</v>
      </c>
      <c r="D806" s="73" t="s">
        <v>918</v>
      </c>
      <c r="E806" s="73" t="s">
        <v>767</v>
      </c>
      <c r="F806" s="73" t="s">
        <v>779</v>
      </c>
      <c r="G806" s="73" t="s">
        <v>107</v>
      </c>
      <c r="H806" s="73" t="s">
        <v>2348</v>
      </c>
      <c r="I806" s="73" t="s">
        <v>893</v>
      </c>
      <c r="J806" s="73" t="s">
        <v>935</v>
      </c>
      <c r="K806" s="73" t="s">
        <v>895</v>
      </c>
      <c r="L806" s="103" t="n">
        <v>0</v>
      </c>
    </row>
    <row r="807" customFormat="false" ht="15" hidden="false" customHeight="true" outlineLevel="0" collapsed="false">
      <c r="A807" s="73" t="s">
        <v>2349</v>
      </c>
      <c r="B807" s="73" t="s">
        <v>856</v>
      </c>
      <c r="C807" s="73" t="s">
        <v>653</v>
      </c>
      <c r="D807" s="73" t="s">
        <v>918</v>
      </c>
      <c r="E807" s="73" t="s">
        <v>767</v>
      </c>
      <c r="F807" s="73" t="s">
        <v>779</v>
      </c>
      <c r="G807" s="73" t="s">
        <v>109</v>
      </c>
      <c r="H807" s="73" t="s">
        <v>2350</v>
      </c>
      <c r="I807" s="73" t="s">
        <v>893</v>
      </c>
      <c r="J807" s="73" t="s">
        <v>938</v>
      </c>
      <c r="K807" s="73" t="s">
        <v>895</v>
      </c>
      <c r="L807" s="103" t="n">
        <v>0</v>
      </c>
    </row>
    <row r="808" customFormat="false" ht="15" hidden="false" customHeight="true" outlineLevel="0" collapsed="false">
      <c r="A808" s="73" t="s">
        <v>2351</v>
      </c>
      <c r="B808" s="73" t="s">
        <v>856</v>
      </c>
      <c r="C808" s="73" t="s">
        <v>653</v>
      </c>
      <c r="D808" s="73" t="s">
        <v>918</v>
      </c>
      <c r="E808" s="73" t="s">
        <v>767</v>
      </c>
      <c r="F808" s="73" t="s">
        <v>779</v>
      </c>
      <c r="G808" s="73" t="s">
        <v>111</v>
      </c>
      <c r="H808" s="73" t="s">
        <v>2352</v>
      </c>
      <c r="I808" s="73" t="s">
        <v>893</v>
      </c>
      <c r="J808" s="73" t="s">
        <v>941</v>
      </c>
      <c r="K808" s="73" t="s">
        <v>895</v>
      </c>
      <c r="L808" s="103" t="n">
        <v>0</v>
      </c>
    </row>
    <row r="809" customFormat="false" ht="15" hidden="false" customHeight="true" outlineLevel="0" collapsed="false">
      <c r="A809" s="73" t="s">
        <v>2353</v>
      </c>
      <c r="B809" s="73" t="s">
        <v>856</v>
      </c>
      <c r="C809" s="73" t="s">
        <v>653</v>
      </c>
      <c r="D809" s="73" t="s">
        <v>943</v>
      </c>
      <c r="E809" s="73" t="s">
        <v>767</v>
      </c>
      <c r="F809" s="73" t="s">
        <v>779</v>
      </c>
      <c r="G809" s="73" t="s">
        <v>944</v>
      </c>
      <c r="H809" s="73" t="s">
        <v>2354</v>
      </c>
      <c r="I809" s="73" t="s">
        <v>893</v>
      </c>
      <c r="J809" s="73" t="s">
        <v>946</v>
      </c>
      <c r="K809" s="73"/>
      <c r="L809" s="103" t="n">
        <v>0.3</v>
      </c>
    </row>
    <row r="810" customFormat="false" ht="15" hidden="false" customHeight="true" outlineLevel="0" collapsed="false">
      <c r="A810" s="73" t="s">
        <v>2355</v>
      </c>
      <c r="B810" s="73" t="s">
        <v>856</v>
      </c>
      <c r="C810" s="73" t="s">
        <v>653</v>
      </c>
      <c r="D810" s="73" t="s">
        <v>948</v>
      </c>
      <c r="E810" s="73" t="s">
        <v>767</v>
      </c>
      <c r="F810" s="73" t="s">
        <v>779</v>
      </c>
      <c r="G810" s="73" t="s">
        <v>655</v>
      </c>
      <c r="H810" s="73" t="s">
        <v>2356</v>
      </c>
      <c r="I810" s="73" t="s">
        <v>708</v>
      </c>
      <c r="J810" s="73" t="s">
        <v>950</v>
      </c>
      <c r="K810" s="73" t="s">
        <v>951</v>
      </c>
      <c r="L810" s="103" t="n">
        <v>-0.733</v>
      </c>
    </row>
    <row r="811" customFormat="false" ht="15" hidden="false" customHeight="true" outlineLevel="0" collapsed="false">
      <c r="A811" s="73" t="s">
        <v>2357</v>
      </c>
      <c r="B811" s="73" t="s">
        <v>856</v>
      </c>
      <c r="C811" s="73" t="s">
        <v>653</v>
      </c>
      <c r="D811" s="73" t="s">
        <v>953</v>
      </c>
      <c r="E811" s="73" t="s">
        <v>767</v>
      </c>
      <c r="F811" s="73" t="s">
        <v>779</v>
      </c>
      <c r="G811" s="73" t="s">
        <v>655</v>
      </c>
      <c r="H811" s="73" t="s">
        <v>2358</v>
      </c>
      <c r="I811" s="73" t="s">
        <v>955</v>
      </c>
      <c r="J811" s="73" t="s">
        <v>956</v>
      </c>
      <c r="K811" s="73" t="s">
        <v>951</v>
      </c>
      <c r="L811" s="103" t="n">
        <v>0</v>
      </c>
    </row>
    <row r="812" customFormat="false" ht="15" hidden="false" customHeight="true" outlineLevel="0" collapsed="false">
      <c r="A812" s="73" t="s">
        <v>2359</v>
      </c>
      <c r="B812" s="73" t="s">
        <v>856</v>
      </c>
      <c r="C812" s="73" t="s">
        <v>653</v>
      </c>
      <c r="D812" s="73" t="s">
        <v>867</v>
      </c>
      <c r="E812" s="73" t="s">
        <v>767</v>
      </c>
      <c r="F812" s="73" t="s">
        <v>790</v>
      </c>
      <c r="G812" s="73" t="s">
        <v>655</v>
      </c>
      <c r="H812" s="73" t="s">
        <v>2360</v>
      </c>
      <c r="I812" s="73" t="s">
        <v>869</v>
      </c>
      <c r="J812" s="73" t="s">
        <v>1204</v>
      </c>
      <c r="K812" s="73" t="s">
        <v>871</v>
      </c>
      <c r="L812" s="107" t="n">
        <v>0</v>
      </c>
    </row>
    <row r="813" customFormat="false" ht="15" hidden="false" customHeight="true" outlineLevel="0" collapsed="false">
      <c r="A813" s="73" t="s">
        <v>2361</v>
      </c>
      <c r="B813" s="73" t="s">
        <v>856</v>
      </c>
      <c r="C813" s="73" t="s">
        <v>653</v>
      </c>
      <c r="D813" s="73" t="s">
        <v>873</v>
      </c>
      <c r="E813" s="73" t="s">
        <v>767</v>
      </c>
      <c r="F813" s="73" t="s">
        <v>790</v>
      </c>
      <c r="G813" s="73" t="s">
        <v>655</v>
      </c>
      <c r="H813" s="73" t="s">
        <v>2362</v>
      </c>
      <c r="I813" s="73" t="s">
        <v>875</v>
      </c>
      <c r="J813" s="73" t="s">
        <v>876</v>
      </c>
      <c r="K813" s="73"/>
      <c r="L813" s="104" t="n">
        <v>0.4</v>
      </c>
    </row>
    <row r="814" customFormat="false" ht="15" hidden="false" customHeight="true" outlineLevel="0" collapsed="false">
      <c r="A814" s="73" t="s">
        <v>2363</v>
      </c>
      <c r="B814" s="73" t="s">
        <v>856</v>
      </c>
      <c r="C814" s="73" t="s">
        <v>653</v>
      </c>
      <c r="D814" s="73" t="s">
        <v>878</v>
      </c>
      <c r="E814" s="73" t="s">
        <v>767</v>
      </c>
      <c r="F814" s="73" t="s">
        <v>790</v>
      </c>
      <c r="G814" s="73" t="s">
        <v>655</v>
      </c>
      <c r="H814" s="73" t="s">
        <v>2364</v>
      </c>
      <c r="I814" s="73" t="s">
        <v>880</v>
      </c>
      <c r="J814" s="73" t="s">
        <v>881</v>
      </c>
      <c r="K814" s="73"/>
      <c r="L814" s="104" t="n">
        <v>0.2</v>
      </c>
    </row>
    <row r="815" customFormat="false" ht="15" hidden="false" customHeight="true" outlineLevel="0" collapsed="false">
      <c r="A815" s="73" t="s">
        <v>2365</v>
      </c>
      <c r="B815" s="73" t="s">
        <v>856</v>
      </c>
      <c r="C815" s="73" t="s">
        <v>653</v>
      </c>
      <c r="D815" s="73" t="s">
        <v>883</v>
      </c>
      <c r="E815" s="73" t="s">
        <v>767</v>
      </c>
      <c r="F815" s="73" t="s">
        <v>790</v>
      </c>
      <c r="G815" s="73" t="s">
        <v>655</v>
      </c>
      <c r="H815" s="73" t="s">
        <v>2366</v>
      </c>
      <c r="I815" s="73" t="s">
        <v>880</v>
      </c>
      <c r="J815" s="73" t="s">
        <v>885</v>
      </c>
      <c r="K815" s="73"/>
      <c r="L815" s="104" t="n">
        <v>0.05</v>
      </c>
    </row>
    <row r="816" customFormat="false" ht="15" hidden="false" customHeight="true" outlineLevel="0" collapsed="false">
      <c r="A816" s="73" t="s">
        <v>2367</v>
      </c>
      <c r="B816" s="73" t="s">
        <v>856</v>
      </c>
      <c r="C816" s="73" t="s">
        <v>653</v>
      </c>
      <c r="D816" s="73" t="s">
        <v>887</v>
      </c>
      <c r="E816" s="73" t="s">
        <v>767</v>
      </c>
      <c r="F816" s="73" t="s">
        <v>790</v>
      </c>
      <c r="G816" s="73" t="s">
        <v>655</v>
      </c>
      <c r="H816" s="73" t="s">
        <v>2368</v>
      </c>
      <c r="I816" s="73" t="s">
        <v>880</v>
      </c>
      <c r="J816" s="73" t="s">
        <v>889</v>
      </c>
      <c r="K816" s="73"/>
      <c r="L816" s="104" t="n">
        <v>0.05</v>
      </c>
    </row>
    <row r="817" customFormat="false" ht="15" hidden="false" customHeight="true" outlineLevel="0" collapsed="false">
      <c r="A817" s="73" t="s">
        <v>2369</v>
      </c>
      <c r="B817" s="73" t="s">
        <v>856</v>
      </c>
      <c r="C817" s="73" t="s">
        <v>653</v>
      </c>
      <c r="D817" s="73" t="s">
        <v>891</v>
      </c>
      <c r="E817" s="73" t="s">
        <v>767</v>
      </c>
      <c r="F817" s="73" t="s">
        <v>790</v>
      </c>
      <c r="G817" s="73" t="s">
        <v>96</v>
      </c>
      <c r="H817" s="73" t="s">
        <v>2370</v>
      </c>
      <c r="I817" s="73" t="s">
        <v>893</v>
      </c>
      <c r="J817" s="73" t="s">
        <v>894</v>
      </c>
      <c r="K817" s="73" t="s">
        <v>895</v>
      </c>
      <c r="L817" s="103" t="n">
        <v>0</v>
      </c>
    </row>
    <row r="818" customFormat="false" ht="15" hidden="false" customHeight="true" outlineLevel="0" collapsed="false">
      <c r="A818" s="73" t="s">
        <v>2371</v>
      </c>
      <c r="B818" s="73" t="s">
        <v>856</v>
      </c>
      <c r="C818" s="73" t="s">
        <v>653</v>
      </c>
      <c r="D818" s="73" t="s">
        <v>891</v>
      </c>
      <c r="E818" s="73" t="s">
        <v>767</v>
      </c>
      <c r="F818" s="73" t="s">
        <v>790</v>
      </c>
      <c r="G818" s="73" t="s">
        <v>99</v>
      </c>
      <c r="H818" s="73" t="s">
        <v>2372</v>
      </c>
      <c r="I818" s="73" t="s">
        <v>893</v>
      </c>
      <c r="J818" s="73" t="s">
        <v>898</v>
      </c>
      <c r="K818" s="73" t="s">
        <v>895</v>
      </c>
      <c r="L818" s="103" t="n">
        <v>1.5</v>
      </c>
    </row>
    <row r="819" customFormat="false" ht="15" hidden="false" customHeight="true" outlineLevel="0" collapsed="false">
      <c r="A819" s="73" t="s">
        <v>2373</v>
      </c>
      <c r="B819" s="73" t="s">
        <v>856</v>
      </c>
      <c r="C819" s="73" t="s">
        <v>653</v>
      </c>
      <c r="D819" s="73" t="s">
        <v>891</v>
      </c>
      <c r="E819" s="73" t="s">
        <v>767</v>
      </c>
      <c r="F819" s="73" t="s">
        <v>790</v>
      </c>
      <c r="G819" s="73" t="s">
        <v>101</v>
      </c>
      <c r="H819" s="73" t="s">
        <v>2374</v>
      </c>
      <c r="I819" s="73" t="s">
        <v>893</v>
      </c>
      <c r="J819" s="73" t="s">
        <v>901</v>
      </c>
      <c r="K819" s="73" t="s">
        <v>895</v>
      </c>
      <c r="L819" s="103" t="n">
        <v>0</v>
      </c>
    </row>
    <row r="820" customFormat="false" ht="15" hidden="false" customHeight="true" outlineLevel="0" collapsed="false">
      <c r="A820" s="73" t="s">
        <v>2375</v>
      </c>
      <c r="B820" s="73" t="s">
        <v>856</v>
      </c>
      <c r="C820" s="73" t="s">
        <v>653</v>
      </c>
      <c r="D820" s="73" t="s">
        <v>891</v>
      </c>
      <c r="E820" s="73" t="s">
        <v>767</v>
      </c>
      <c r="F820" s="73" t="s">
        <v>790</v>
      </c>
      <c r="G820" s="73" t="s">
        <v>103</v>
      </c>
      <c r="H820" s="73" t="s">
        <v>2376</v>
      </c>
      <c r="I820" s="73" t="s">
        <v>893</v>
      </c>
      <c r="J820" s="73" t="s">
        <v>904</v>
      </c>
      <c r="K820" s="73" t="s">
        <v>895</v>
      </c>
      <c r="L820" s="103" t="n">
        <v>0</v>
      </c>
    </row>
    <row r="821" customFormat="false" ht="15" hidden="false" customHeight="true" outlineLevel="0" collapsed="false">
      <c r="A821" s="73" t="s">
        <v>2377</v>
      </c>
      <c r="B821" s="73" t="s">
        <v>856</v>
      </c>
      <c r="C821" s="73" t="s">
        <v>653</v>
      </c>
      <c r="D821" s="73" t="s">
        <v>891</v>
      </c>
      <c r="E821" s="73" t="s">
        <v>767</v>
      </c>
      <c r="F821" s="73" t="s">
        <v>790</v>
      </c>
      <c r="G821" s="73" t="s">
        <v>105</v>
      </c>
      <c r="H821" s="73" t="s">
        <v>2378</v>
      </c>
      <c r="I821" s="73" t="s">
        <v>893</v>
      </c>
      <c r="J821" s="73" t="s">
        <v>907</v>
      </c>
      <c r="K821" s="73" t="s">
        <v>895</v>
      </c>
      <c r="L821" s="103" t="n">
        <v>0</v>
      </c>
    </row>
    <row r="822" customFormat="false" ht="15" hidden="false" customHeight="true" outlineLevel="0" collapsed="false">
      <c r="A822" s="73" t="s">
        <v>2379</v>
      </c>
      <c r="B822" s="73" t="s">
        <v>856</v>
      </c>
      <c r="C822" s="73" t="s">
        <v>653</v>
      </c>
      <c r="D822" s="73" t="s">
        <v>891</v>
      </c>
      <c r="E822" s="73" t="s">
        <v>767</v>
      </c>
      <c r="F822" s="73" t="s">
        <v>790</v>
      </c>
      <c r="G822" s="73" t="s">
        <v>107</v>
      </c>
      <c r="H822" s="73" t="s">
        <v>2380</v>
      </c>
      <c r="I822" s="73" t="s">
        <v>893</v>
      </c>
      <c r="J822" s="73" t="s">
        <v>910</v>
      </c>
      <c r="K822" s="73" t="s">
        <v>895</v>
      </c>
      <c r="L822" s="103" t="n">
        <v>0</v>
      </c>
    </row>
    <row r="823" customFormat="false" ht="15" hidden="false" customHeight="true" outlineLevel="0" collapsed="false">
      <c r="A823" s="73" t="s">
        <v>2381</v>
      </c>
      <c r="B823" s="73" t="s">
        <v>856</v>
      </c>
      <c r="C823" s="73" t="s">
        <v>653</v>
      </c>
      <c r="D823" s="73" t="s">
        <v>891</v>
      </c>
      <c r="E823" s="73" t="s">
        <v>767</v>
      </c>
      <c r="F823" s="73" t="s">
        <v>790</v>
      </c>
      <c r="G823" s="73" t="s">
        <v>109</v>
      </c>
      <c r="H823" s="73" t="s">
        <v>2382</v>
      </c>
      <c r="I823" s="73" t="s">
        <v>893</v>
      </c>
      <c r="J823" s="73" t="s">
        <v>913</v>
      </c>
      <c r="K823" s="73" t="s">
        <v>895</v>
      </c>
      <c r="L823" s="103" t="n">
        <v>0</v>
      </c>
    </row>
    <row r="824" customFormat="false" ht="15" hidden="false" customHeight="true" outlineLevel="0" collapsed="false">
      <c r="A824" s="73" t="s">
        <v>2383</v>
      </c>
      <c r="B824" s="73" t="s">
        <v>856</v>
      </c>
      <c r="C824" s="73" t="s">
        <v>653</v>
      </c>
      <c r="D824" s="73" t="s">
        <v>891</v>
      </c>
      <c r="E824" s="73" t="s">
        <v>767</v>
      </c>
      <c r="F824" s="73" t="s">
        <v>790</v>
      </c>
      <c r="G824" s="73" t="s">
        <v>111</v>
      </c>
      <c r="H824" s="73" t="s">
        <v>2384</v>
      </c>
      <c r="I824" s="73" t="s">
        <v>893</v>
      </c>
      <c r="J824" s="73" t="s">
        <v>916</v>
      </c>
      <c r="K824" s="73" t="s">
        <v>895</v>
      </c>
      <c r="L824" s="103" t="n">
        <v>0</v>
      </c>
    </row>
    <row r="825" customFormat="false" ht="15" hidden="false" customHeight="true" outlineLevel="0" collapsed="false">
      <c r="A825" s="73" t="s">
        <v>2385</v>
      </c>
      <c r="B825" s="73" t="s">
        <v>856</v>
      </c>
      <c r="C825" s="73" t="s">
        <v>653</v>
      </c>
      <c r="D825" s="73" t="s">
        <v>918</v>
      </c>
      <c r="E825" s="73" t="s">
        <v>767</v>
      </c>
      <c r="F825" s="73" t="s">
        <v>790</v>
      </c>
      <c r="G825" s="73" t="s">
        <v>96</v>
      </c>
      <c r="H825" s="73" t="s">
        <v>2386</v>
      </c>
      <c r="I825" s="73" t="s">
        <v>893</v>
      </c>
      <c r="J825" s="73" t="s">
        <v>920</v>
      </c>
      <c r="K825" s="73" t="s">
        <v>895</v>
      </c>
      <c r="L825" s="103" t="n">
        <v>0</v>
      </c>
    </row>
    <row r="826" customFormat="false" ht="15" hidden="false" customHeight="true" outlineLevel="0" collapsed="false">
      <c r="A826" s="73" t="s">
        <v>2387</v>
      </c>
      <c r="B826" s="73" t="s">
        <v>856</v>
      </c>
      <c r="C826" s="73" t="s">
        <v>653</v>
      </c>
      <c r="D826" s="73" t="s">
        <v>918</v>
      </c>
      <c r="E826" s="73" t="s">
        <v>767</v>
      </c>
      <c r="F826" s="73" t="s">
        <v>790</v>
      </c>
      <c r="G826" s="73" t="s">
        <v>99</v>
      </c>
      <c r="H826" s="73" t="s">
        <v>2388</v>
      </c>
      <c r="I826" s="73" t="s">
        <v>893</v>
      </c>
      <c r="J826" s="73" t="s">
        <v>923</v>
      </c>
      <c r="K826" s="73" t="s">
        <v>895</v>
      </c>
      <c r="L826" s="103" t="n">
        <v>0</v>
      </c>
    </row>
    <row r="827" customFormat="false" ht="15" hidden="false" customHeight="true" outlineLevel="0" collapsed="false">
      <c r="A827" s="73" t="s">
        <v>2389</v>
      </c>
      <c r="B827" s="73" t="s">
        <v>856</v>
      </c>
      <c r="C827" s="73" t="s">
        <v>653</v>
      </c>
      <c r="D827" s="73" t="s">
        <v>918</v>
      </c>
      <c r="E827" s="73" t="s">
        <v>767</v>
      </c>
      <c r="F827" s="73" t="s">
        <v>790</v>
      </c>
      <c r="G827" s="73" t="s">
        <v>101</v>
      </c>
      <c r="H827" s="73" t="s">
        <v>2390</v>
      </c>
      <c r="I827" s="73" t="s">
        <v>893</v>
      </c>
      <c r="J827" s="73" t="s">
        <v>926</v>
      </c>
      <c r="K827" s="73" t="s">
        <v>895</v>
      </c>
      <c r="L827" s="103" t="n">
        <v>0</v>
      </c>
    </row>
    <row r="828" customFormat="false" ht="15" hidden="false" customHeight="true" outlineLevel="0" collapsed="false">
      <c r="A828" s="73" t="s">
        <v>2391</v>
      </c>
      <c r="B828" s="73" t="s">
        <v>856</v>
      </c>
      <c r="C828" s="73" t="s">
        <v>653</v>
      </c>
      <c r="D828" s="73" t="s">
        <v>918</v>
      </c>
      <c r="E828" s="73" t="s">
        <v>767</v>
      </c>
      <c r="F828" s="73" t="s">
        <v>790</v>
      </c>
      <c r="G828" s="73" t="s">
        <v>103</v>
      </c>
      <c r="H828" s="73" t="s">
        <v>2392</v>
      </c>
      <c r="I828" s="73" t="s">
        <v>893</v>
      </c>
      <c r="J828" s="73" t="s">
        <v>929</v>
      </c>
      <c r="K828" s="73" t="s">
        <v>895</v>
      </c>
      <c r="L828" s="103" t="n">
        <v>0</v>
      </c>
    </row>
    <row r="829" customFormat="false" ht="15" hidden="false" customHeight="true" outlineLevel="0" collapsed="false">
      <c r="A829" s="73" t="s">
        <v>2393</v>
      </c>
      <c r="B829" s="73" t="s">
        <v>856</v>
      </c>
      <c r="C829" s="73" t="s">
        <v>653</v>
      </c>
      <c r="D829" s="73" t="s">
        <v>918</v>
      </c>
      <c r="E829" s="73" t="s">
        <v>767</v>
      </c>
      <c r="F829" s="73" t="s">
        <v>790</v>
      </c>
      <c r="G829" s="73" t="s">
        <v>105</v>
      </c>
      <c r="H829" s="73" t="s">
        <v>2394</v>
      </c>
      <c r="I829" s="73" t="s">
        <v>893</v>
      </c>
      <c r="J829" s="73" t="s">
        <v>932</v>
      </c>
      <c r="K829" s="73" t="s">
        <v>895</v>
      </c>
      <c r="L829" s="103" t="n">
        <v>0</v>
      </c>
    </row>
    <row r="830" customFormat="false" ht="15" hidden="false" customHeight="true" outlineLevel="0" collapsed="false">
      <c r="A830" s="73" t="s">
        <v>2395</v>
      </c>
      <c r="B830" s="73" t="s">
        <v>856</v>
      </c>
      <c r="C830" s="73" t="s">
        <v>653</v>
      </c>
      <c r="D830" s="73" t="s">
        <v>918</v>
      </c>
      <c r="E830" s="73" t="s">
        <v>767</v>
      </c>
      <c r="F830" s="73" t="s">
        <v>790</v>
      </c>
      <c r="G830" s="73" t="s">
        <v>107</v>
      </c>
      <c r="H830" s="73" t="s">
        <v>2396</v>
      </c>
      <c r="I830" s="73" t="s">
        <v>893</v>
      </c>
      <c r="J830" s="73" t="s">
        <v>935</v>
      </c>
      <c r="K830" s="73" t="s">
        <v>895</v>
      </c>
      <c r="L830" s="103" t="n">
        <v>0</v>
      </c>
    </row>
    <row r="831" customFormat="false" ht="15" hidden="false" customHeight="true" outlineLevel="0" collapsed="false">
      <c r="A831" s="73" t="s">
        <v>2397</v>
      </c>
      <c r="B831" s="73" t="s">
        <v>856</v>
      </c>
      <c r="C831" s="73" t="s">
        <v>653</v>
      </c>
      <c r="D831" s="73" t="s">
        <v>918</v>
      </c>
      <c r="E831" s="73" t="s">
        <v>767</v>
      </c>
      <c r="F831" s="73" t="s">
        <v>790</v>
      </c>
      <c r="G831" s="73" t="s">
        <v>109</v>
      </c>
      <c r="H831" s="73" t="s">
        <v>2398</v>
      </c>
      <c r="I831" s="73" t="s">
        <v>893</v>
      </c>
      <c r="J831" s="73" t="s">
        <v>938</v>
      </c>
      <c r="K831" s="73" t="s">
        <v>895</v>
      </c>
      <c r="L831" s="103" t="n">
        <v>0</v>
      </c>
    </row>
    <row r="832" customFormat="false" ht="15" hidden="false" customHeight="true" outlineLevel="0" collapsed="false">
      <c r="A832" s="73" t="s">
        <v>2399</v>
      </c>
      <c r="B832" s="73" t="s">
        <v>856</v>
      </c>
      <c r="C832" s="73" t="s">
        <v>653</v>
      </c>
      <c r="D832" s="73" t="s">
        <v>918</v>
      </c>
      <c r="E832" s="73" t="s">
        <v>767</v>
      </c>
      <c r="F832" s="73" t="s">
        <v>790</v>
      </c>
      <c r="G832" s="73" t="s">
        <v>111</v>
      </c>
      <c r="H832" s="73" t="s">
        <v>2400</v>
      </c>
      <c r="I832" s="73" t="s">
        <v>893</v>
      </c>
      <c r="J832" s="73" t="s">
        <v>941</v>
      </c>
      <c r="K832" s="73" t="s">
        <v>895</v>
      </c>
      <c r="L832" s="103" t="n">
        <v>0</v>
      </c>
    </row>
    <row r="833" customFormat="false" ht="15" hidden="false" customHeight="true" outlineLevel="0" collapsed="false">
      <c r="A833" s="73" t="s">
        <v>2401</v>
      </c>
      <c r="B833" s="73" t="s">
        <v>856</v>
      </c>
      <c r="C833" s="73" t="s">
        <v>653</v>
      </c>
      <c r="D833" s="73" t="s">
        <v>943</v>
      </c>
      <c r="E833" s="73" t="s">
        <v>767</v>
      </c>
      <c r="F833" s="73" t="s">
        <v>790</v>
      </c>
      <c r="G833" s="73" t="s">
        <v>944</v>
      </c>
      <c r="H833" s="73" t="s">
        <v>2402</v>
      </c>
      <c r="I833" s="73" t="s">
        <v>893</v>
      </c>
      <c r="J833" s="73" t="s">
        <v>946</v>
      </c>
      <c r="K833" s="73"/>
      <c r="L833" s="103" t="n">
        <v>0.3</v>
      </c>
    </row>
    <row r="834" customFormat="false" ht="15" hidden="false" customHeight="true" outlineLevel="0" collapsed="false">
      <c r="A834" s="73" t="s">
        <v>2403</v>
      </c>
      <c r="B834" s="73" t="s">
        <v>856</v>
      </c>
      <c r="C834" s="73" t="s">
        <v>653</v>
      </c>
      <c r="D834" s="73" t="s">
        <v>948</v>
      </c>
      <c r="E834" s="73" t="s">
        <v>767</v>
      </c>
      <c r="F834" s="73" t="s">
        <v>790</v>
      </c>
      <c r="G834" s="73" t="s">
        <v>655</v>
      </c>
      <c r="H834" s="73" t="s">
        <v>2404</v>
      </c>
      <c r="I834" s="73" t="s">
        <v>708</v>
      </c>
      <c r="J834" s="73" t="s">
        <v>950</v>
      </c>
      <c r="K834" s="73" t="s">
        <v>951</v>
      </c>
      <c r="L834" s="103" t="n">
        <v>0</v>
      </c>
    </row>
    <row r="835" customFormat="false" ht="15" hidden="false" customHeight="true" outlineLevel="0" collapsed="false">
      <c r="A835" s="73" t="s">
        <v>2405</v>
      </c>
      <c r="B835" s="73" t="s">
        <v>856</v>
      </c>
      <c r="C835" s="73" t="s">
        <v>653</v>
      </c>
      <c r="D835" s="73" t="s">
        <v>953</v>
      </c>
      <c r="E835" s="73" t="s">
        <v>767</v>
      </c>
      <c r="F835" s="73" t="s">
        <v>790</v>
      </c>
      <c r="G835" s="73" t="s">
        <v>655</v>
      </c>
      <c r="H835" s="73" t="s">
        <v>2406</v>
      </c>
      <c r="I835" s="73" t="s">
        <v>955</v>
      </c>
      <c r="J835" s="73" t="s">
        <v>956</v>
      </c>
      <c r="K835" s="73" t="s">
        <v>951</v>
      </c>
      <c r="L835" s="103" t="n">
        <v>2.5</v>
      </c>
    </row>
    <row r="836" customFormat="false" ht="15" hidden="false" customHeight="true" outlineLevel="0" collapsed="false">
      <c r="A836" s="73" t="s">
        <v>2407</v>
      </c>
      <c r="B836" s="73" t="s">
        <v>856</v>
      </c>
      <c r="C836" s="73" t="s">
        <v>653</v>
      </c>
      <c r="D836" s="73" t="s">
        <v>867</v>
      </c>
      <c r="E836" s="73" t="s">
        <v>801</v>
      </c>
      <c r="F836" s="73" t="s">
        <v>802</v>
      </c>
      <c r="G836" s="73" t="s">
        <v>655</v>
      </c>
      <c r="H836" s="73" t="s">
        <v>2408</v>
      </c>
      <c r="I836" s="73" t="s">
        <v>869</v>
      </c>
      <c r="J836" s="73" t="s">
        <v>1253</v>
      </c>
      <c r="K836" s="73" t="s">
        <v>871</v>
      </c>
      <c r="L836" s="107" t="n">
        <v>0</v>
      </c>
    </row>
    <row r="837" customFormat="false" ht="15" hidden="false" customHeight="true" outlineLevel="0" collapsed="false">
      <c r="A837" s="73" t="s">
        <v>2409</v>
      </c>
      <c r="B837" s="73" t="s">
        <v>856</v>
      </c>
      <c r="C837" s="73" t="s">
        <v>653</v>
      </c>
      <c r="D837" s="73" t="s">
        <v>873</v>
      </c>
      <c r="E837" s="73" t="s">
        <v>801</v>
      </c>
      <c r="F837" s="73" t="s">
        <v>802</v>
      </c>
      <c r="G837" s="73" t="s">
        <v>655</v>
      </c>
      <c r="H837" s="73" t="s">
        <v>2410</v>
      </c>
      <c r="I837" s="73" t="s">
        <v>875</v>
      </c>
      <c r="J837" s="73" t="s">
        <v>876</v>
      </c>
      <c r="K837" s="73"/>
      <c r="L837" s="104" t="n">
        <v>0.8</v>
      </c>
    </row>
    <row r="838" customFormat="false" ht="15" hidden="false" customHeight="true" outlineLevel="0" collapsed="false">
      <c r="A838" s="73" t="s">
        <v>2411</v>
      </c>
      <c r="B838" s="73" t="s">
        <v>856</v>
      </c>
      <c r="C838" s="73" t="s">
        <v>653</v>
      </c>
      <c r="D838" s="73" t="s">
        <v>878</v>
      </c>
      <c r="E838" s="73" t="s">
        <v>801</v>
      </c>
      <c r="F838" s="73" t="s">
        <v>802</v>
      </c>
      <c r="G838" s="73" t="s">
        <v>655</v>
      </c>
      <c r="H838" s="73" t="s">
        <v>2412</v>
      </c>
      <c r="I838" s="73" t="s">
        <v>880</v>
      </c>
      <c r="J838" s="73" t="s">
        <v>881</v>
      </c>
      <c r="K838" s="73"/>
      <c r="L838" s="104" t="n">
        <v>0.35</v>
      </c>
    </row>
    <row r="839" customFormat="false" ht="15" hidden="false" customHeight="true" outlineLevel="0" collapsed="false">
      <c r="A839" s="73" t="s">
        <v>2413</v>
      </c>
      <c r="B839" s="73" t="s">
        <v>856</v>
      </c>
      <c r="C839" s="73" t="s">
        <v>653</v>
      </c>
      <c r="D839" s="73" t="s">
        <v>883</v>
      </c>
      <c r="E839" s="73" t="s">
        <v>801</v>
      </c>
      <c r="F839" s="73" t="s">
        <v>802</v>
      </c>
      <c r="G839" s="73" t="s">
        <v>655</v>
      </c>
      <c r="H839" s="73" t="s">
        <v>2414</v>
      </c>
      <c r="I839" s="73" t="s">
        <v>880</v>
      </c>
      <c r="J839" s="73" t="s">
        <v>885</v>
      </c>
      <c r="K839" s="73"/>
      <c r="L839" s="104" t="n">
        <v>0.18</v>
      </c>
    </row>
    <row r="840" customFormat="false" ht="15" hidden="false" customHeight="true" outlineLevel="0" collapsed="false">
      <c r="A840" s="73" t="s">
        <v>2415</v>
      </c>
      <c r="B840" s="73" t="s">
        <v>856</v>
      </c>
      <c r="C840" s="73" t="s">
        <v>653</v>
      </c>
      <c r="D840" s="73" t="s">
        <v>887</v>
      </c>
      <c r="E840" s="73" t="s">
        <v>801</v>
      </c>
      <c r="F840" s="73" t="s">
        <v>802</v>
      </c>
      <c r="G840" s="73" t="s">
        <v>655</v>
      </c>
      <c r="H840" s="73" t="s">
        <v>2416</v>
      </c>
      <c r="I840" s="73" t="s">
        <v>880</v>
      </c>
      <c r="J840" s="73" t="s">
        <v>889</v>
      </c>
      <c r="K840" s="73"/>
      <c r="L840" s="104" t="n">
        <v>0.3</v>
      </c>
    </row>
    <row r="841" customFormat="false" ht="15" hidden="false" customHeight="true" outlineLevel="0" collapsed="false">
      <c r="A841" s="73" t="s">
        <v>2417</v>
      </c>
      <c r="B841" s="73" t="s">
        <v>856</v>
      </c>
      <c r="C841" s="73" t="s">
        <v>653</v>
      </c>
      <c r="D841" s="73" t="s">
        <v>891</v>
      </c>
      <c r="E841" s="73" t="s">
        <v>801</v>
      </c>
      <c r="F841" s="73" t="s">
        <v>802</v>
      </c>
      <c r="G841" s="73" t="s">
        <v>96</v>
      </c>
      <c r="H841" s="73" t="s">
        <v>2418</v>
      </c>
      <c r="I841" s="73" t="s">
        <v>893</v>
      </c>
      <c r="J841" s="73" t="s">
        <v>894</v>
      </c>
      <c r="K841" s="73" t="s">
        <v>895</v>
      </c>
      <c r="L841" s="103" t="n">
        <v>0</v>
      </c>
    </row>
    <row r="842" customFormat="false" ht="15" hidden="false" customHeight="true" outlineLevel="0" collapsed="false">
      <c r="A842" s="73" t="s">
        <v>2419</v>
      </c>
      <c r="B842" s="73" t="s">
        <v>856</v>
      </c>
      <c r="C842" s="73" t="s">
        <v>653</v>
      </c>
      <c r="D842" s="73" t="s">
        <v>891</v>
      </c>
      <c r="E842" s="73" t="s">
        <v>801</v>
      </c>
      <c r="F842" s="73" t="s">
        <v>802</v>
      </c>
      <c r="G842" s="73" t="s">
        <v>99</v>
      </c>
      <c r="H842" s="73" t="s">
        <v>2420</v>
      </c>
      <c r="I842" s="73" t="s">
        <v>893</v>
      </c>
      <c r="J842" s="73" t="s">
        <v>898</v>
      </c>
      <c r="K842" s="73" t="s">
        <v>895</v>
      </c>
      <c r="L842" s="103" t="n">
        <v>2</v>
      </c>
    </row>
    <row r="843" customFormat="false" ht="15" hidden="false" customHeight="true" outlineLevel="0" collapsed="false">
      <c r="A843" s="73" t="s">
        <v>2421</v>
      </c>
      <c r="B843" s="73" t="s">
        <v>856</v>
      </c>
      <c r="C843" s="73" t="s">
        <v>653</v>
      </c>
      <c r="D843" s="73" t="s">
        <v>891</v>
      </c>
      <c r="E843" s="73" t="s">
        <v>801</v>
      </c>
      <c r="F843" s="73" t="s">
        <v>802</v>
      </c>
      <c r="G843" s="73" t="s">
        <v>101</v>
      </c>
      <c r="H843" s="73" t="s">
        <v>2422</v>
      </c>
      <c r="I843" s="73" t="s">
        <v>893</v>
      </c>
      <c r="J843" s="73" t="s">
        <v>901</v>
      </c>
      <c r="K843" s="73" t="s">
        <v>895</v>
      </c>
      <c r="L843" s="103" t="n">
        <v>0</v>
      </c>
    </row>
    <row r="844" customFormat="false" ht="15" hidden="false" customHeight="true" outlineLevel="0" collapsed="false">
      <c r="A844" s="73" t="s">
        <v>2423</v>
      </c>
      <c r="B844" s="73" t="s">
        <v>856</v>
      </c>
      <c r="C844" s="73" t="s">
        <v>653</v>
      </c>
      <c r="D844" s="73" t="s">
        <v>891</v>
      </c>
      <c r="E844" s="73" t="s">
        <v>801</v>
      </c>
      <c r="F844" s="73" t="s">
        <v>802</v>
      </c>
      <c r="G844" s="73" t="s">
        <v>103</v>
      </c>
      <c r="H844" s="73" t="s">
        <v>2424</v>
      </c>
      <c r="I844" s="73" t="s">
        <v>893</v>
      </c>
      <c r="J844" s="73" t="s">
        <v>904</v>
      </c>
      <c r="K844" s="73" t="s">
        <v>895</v>
      </c>
      <c r="L844" s="103" t="n">
        <v>0</v>
      </c>
    </row>
    <row r="845" customFormat="false" ht="15" hidden="false" customHeight="true" outlineLevel="0" collapsed="false">
      <c r="A845" s="73" t="s">
        <v>2425</v>
      </c>
      <c r="B845" s="73" t="s">
        <v>856</v>
      </c>
      <c r="C845" s="73" t="s">
        <v>653</v>
      </c>
      <c r="D845" s="73" t="s">
        <v>891</v>
      </c>
      <c r="E845" s="73" t="s">
        <v>801</v>
      </c>
      <c r="F845" s="73" t="s">
        <v>802</v>
      </c>
      <c r="G845" s="73" t="s">
        <v>105</v>
      </c>
      <c r="H845" s="73" t="s">
        <v>2426</v>
      </c>
      <c r="I845" s="73" t="s">
        <v>893</v>
      </c>
      <c r="J845" s="73" t="s">
        <v>907</v>
      </c>
      <c r="K845" s="73" t="s">
        <v>895</v>
      </c>
      <c r="L845" s="103" t="n">
        <v>0</v>
      </c>
    </row>
    <row r="846" customFormat="false" ht="15" hidden="false" customHeight="true" outlineLevel="0" collapsed="false">
      <c r="A846" s="73" t="s">
        <v>2427</v>
      </c>
      <c r="B846" s="73" t="s">
        <v>856</v>
      </c>
      <c r="C846" s="73" t="s">
        <v>653</v>
      </c>
      <c r="D846" s="73" t="s">
        <v>891</v>
      </c>
      <c r="E846" s="73" t="s">
        <v>801</v>
      </c>
      <c r="F846" s="73" t="s">
        <v>802</v>
      </c>
      <c r="G846" s="73" t="s">
        <v>107</v>
      </c>
      <c r="H846" s="73" t="s">
        <v>2428</v>
      </c>
      <c r="I846" s="73" t="s">
        <v>893</v>
      </c>
      <c r="J846" s="73" t="s">
        <v>910</v>
      </c>
      <c r="K846" s="73" t="s">
        <v>895</v>
      </c>
      <c r="L846" s="103" t="n">
        <v>0</v>
      </c>
    </row>
    <row r="847" customFormat="false" ht="15" hidden="false" customHeight="true" outlineLevel="0" collapsed="false">
      <c r="A847" s="73" t="s">
        <v>2429</v>
      </c>
      <c r="B847" s="73" t="s">
        <v>856</v>
      </c>
      <c r="C847" s="73" t="s">
        <v>653</v>
      </c>
      <c r="D847" s="73" t="s">
        <v>891</v>
      </c>
      <c r="E847" s="73" t="s">
        <v>801</v>
      </c>
      <c r="F847" s="73" t="s">
        <v>802</v>
      </c>
      <c r="G847" s="73" t="s">
        <v>109</v>
      </c>
      <c r="H847" s="73" t="s">
        <v>2430</v>
      </c>
      <c r="I847" s="73" t="s">
        <v>893</v>
      </c>
      <c r="J847" s="73" t="s">
        <v>913</v>
      </c>
      <c r="K847" s="73" t="s">
        <v>895</v>
      </c>
      <c r="L847" s="103" t="n">
        <v>0</v>
      </c>
    </row>
    <row r="848" customFormat="false" ht="15" hidden="false" customHeight="true" outlineLevel="0" collapsed="false">
      <c r="A848" s="73" t="s">
        <v>2431</v>
      </c>
      <c r="B848" s="73" t="s">
        <v>856</v>
      </c>
      <c r="C848" s="73" t="s">
        <v>653</v>
      </c>
      <c r="D848" s="73" t="s">
        <v>891</v>
      </c>
      <c r="E848" s="73" t="s">
        <v>801</v>
      </c>
      <c r="F848" s="73" t="s">
        <v>802</v>
      </c>
      <c r="G848" s="73" t="s">
        <v>111</v>
      </c>
      <c r="H848" s="73" t="s">
        <v>2432</v>
      </c>
      <c r="I848" s="73" t="s">
        <v>893</v>
      </c>
      <c r="J848" s="73" t="s">
        <v>916</v>
      </c>
      <c r="K848" s="73" t="s">
        <v>895</v>
      </c>
      <c r="L848" s="103" t="n">
        <v>0</v>
      </c>
    </row>
    <row r="849" customFormat="false" ht="15" hidden="false" customHeight="true" outlineLevel="0" collapsed="false">
      <c r="A849" s="73" t="s">
        <v>2433</v>
      </c>
      <c r="B849" s="73" t="s">
        <v>856</v>
      </c>
      <c r="C849" s="73" t="s">
        <v>653</v>
      </c>
      <c r="D849" s="73" t="s">
        <v>918</v>
      </c>
      <c r="E849" s="73" t="s">
        <v>801</v>
      </c>
      <c r="F849" s="73" t="s">
        <v>802</v>
      </c>
      <c r="G849" s="73" t="s">
        <v>96</v>
      </c>
      <c r="H849" s="73" t="s">
        <v>2434</v>
      </c>
      <c r="I849" s="73" t="s">
        <v>893</v>
      </c>
      <c r="J849" s="73" t="s">
        <v>920</v>
      </c>
      <c r="K849" s="73" t="s">
        <v>895</v>
      </c>
      <c r="L849" s="103" t="n">
        <v>0</v>
      </c>
    </row>
    <row r="850" customFormat="false" ht="15" hidden="false" customHeight="true" outlineLevel="0" collapsed="false">
      <c r="A850" s="73" t="s">
        <v>2435</v>
      </c>
      <c r="B850" s="73" t="s">
        <v>856</v>
      </c>
      <c r="C850" s="73" t="s">
        <v>653</v>
      </c>
      <c r="D850" s="73" t="s">
        <v>918</v>
      </c>
      <c r="E850" s="73" t="s">
        <v>801</v>
      </c>
      <c r="F850" s="73" t="s">
        <v>802</v>
      </c>
      <c r="G850" s="73" t="s">
        <v>99</v>
      </c>
      <c r="H850" s="73" t="s">
        <v>2436</v>
      </c>
      <c r="I850" s="73" t="s">
        <v>893</v>
      </c>
      <c r="J850" s="73" t="s">
        <v>923</v>
      </c>
      <c r="K850" s="73" t="s">
        <v>895</v>
      </c>
      <c r="L850" s="103" t="n">
        <v>0</v>
      </c>
    </row>
    <row r="851" customFormat="false" ht="15" hidden="false" customHeight="true" outlineLevel="0" collapsed="false">
      <c r="A851" s="73" t="s">
        <v>2437</v>
      </c>
      <c r="B851" s="73" t="s">
        <v>856</v>
      </c>
      <c r="C851" s="73" t="s">
        <v>653</v>
      </c>
      <c r="D851" s="73" t="s">
        <v>918</v>
      </c>
      <c r="E851" s="73" t="s">
        <v>801</v>
      </c>
      <c r="F851" s="73" t="s">
        <v>802</v>
      </c>
      <c r="G851" s="73" t="s">
        <v>101</v>
      </c>
      <c r="H851" s="73" t="s">
        <v>2438</v>
      </c>
      <c r="I851" s="73" t="s">
        <v>893</v>
      </c>
      <c r="J851" s="73" t="s">
        <v>926</v>
      </c>
      <c r="K851" s="73" t="s">
        <v>895</v>
      </c>
      <c r="L851" s="103" t="n">
        <v>0</v>
      </c>
    </row>
    <row r="852" customFormat="false" ht="15" hidden="false" customHeight="true" outlineLevel="0" collapsed="false">
      <c r="A852" s="73" t="s">
        <v>2439</v>
      </c>
      <c r="B852" s="73" t="s">
        <v>856</v>
      </c>
      <c r="C852" s="73" t="s">
        <v>653</v>
      </c>
      <c r="D852" s="73" t="s">
        <v>918</v>
      </c>
      <c r="E852" s="73" t="s">
        <v>801</v>
      </c>
      <c r="F852" s="73" t="s">
        <v>802</v>
      </c>
      <c r="G852" s="73" t="s">
        <v>103</v>
      </c>
      <c r="H852" s="73" t="s">
        <v>2440</v>
      </c>
      <c r="I852" s="73" t="s">
        <v>893</v>
      </c>
      <c r="J852" s="73" t="s">
        <v>929</v>
      </c>
      <c r="K852" s="73" t="s">
        <v>895</v>
      </c>
      <c r="L852" s="103" t="n">
        <v>0</v>
      </c>
    </row>
    <row r="853" customFormat="false" ht="15" hidden="false" customHeight="true" outlineLevel="0" collapsed="false">
      <c r="A853" s="73" t="s">
        <v>2441</v>
      </c>
      <c r="B853" s="73" t="s">
        <v>856</v>
      </c>
      <c r="C853" s="73" t="s">
        <v>653</v>
      </c>
      <c r="D853" s="73" t="s">
        <v>918</v>
      </c>
      <c r="E853" s="73" t="s">
        <v>801</v>
      </c>
      <c r="F853" s="73" t="s">
        <v>802</v>
      </c>
      <c r="G853" s="73" t="s">
        <v>105</v>
      </c>
      <c r="H853" s="73" t="s">
        <v>2442</v>
      </c>
      <c r="I853" s="73" t="s">
        <v>893</v>
      </c>
      <c r="J853" s="73" t="s">
        <v>932</v>
      </c>
      <c r="K853" s="73" t="s">
        <v>895</v>
      </c>
      <c r="L853" s="103" t="n">
        <v>0</v>
      </c>
    </row>
    <row r="854" customFormat="false" ht="15" hidden="false" customHeight="true" outlineLevel="0" collapsed="false">
      <c r="A854" s="73" t="s">
        <v>2443</v>
      </c>
      <c r="B854" s="73" t="s">
        <v>856</v>
      </c>
      <c r="C854" s="73" t="s">
        <v>653</v>
      </c>
      <c r="D854" s="73" t="s">
        <v>918</v>
      </c>
      <c r="E854" s="73" t="s">
        <v>801</v>
      </c>
      <c r="F854" s="73" t="s">
        <v>802</v>
      </c>
      <c r="G854" s="73" t="s">
        <v>107</v>
      </c>
      <c r="H854" s="73" t="s">
        <v>2444</v>
      </c>
      <c r="I854" s="73" t="s">
        <v>893</v>
      </c>
      <c r="J854" s="73" t="s">
        <v>935</v>
      </c>
      <c r="K854" s="73" t="s">
        <v>895</v>
      </c>
      <c r="L854" s="103" t="n">
        <v>0</v>
      </c>
    </row>
    <row r="855" customFormat="false" ht="15" hidden="false" customHeight="true" outlineLevel="0" collapsed="false">
      <c r="A855" s="73" t="s">
        <v>2445</v>
      </c>
      <c r="B855" s="73" t="s">
        <v>856</v>
      </c>
      <c r="C855" s="73" t="s">
        <v>653</v>
      </c>
      <c r="D855" s="73" t="s">
        <v>918</v>
      </c>
      <c r="E855" s="73" t="s">
        <v>801</v>
      </c>
      <c r="F855" s="73" t="s">
        <v>802</v>
      </c>
      <c r="G855" s="73" t="s">
        <v>109</v>
      </c>
      <c r="H855" s="73" t="s">
        <v>2446</v>
      </c>
      <c r="I855" s="73" t="s">
        <v>893</v>
      </c>
      <c r="J855" s="73" t="s">
        <v>938</v>
      </c>
      <c r="K855" s="73" t="s">
        <v>895</v>
      </c>
      <c r="L855" s="103" t="n">
        <v>0</v>
      </c>
    </row>
    <row r="856" customFormat="false" ht="15" hidden="false" customHeight="true" outlineLevel="0" collapsed="false">
      <c r="A856" s="73" t="s">
        <v>2447</v>
      </c>
      <c r="B856" s="73" t="s">
        <v>856</v>
      </c>
      <c r="C856" s="73" t="s">
        <v>653</v>
      </c>
      <c r="D856" s="73" t="s">
        <v>918</v>
      </c>
      <c r="E856" s="73" t="s">
        <v>801</v>
      </c>
      <c r="F856" s="73" t="s">
        <v>802</v>
      </c>
      <c r="G856" s="73" t="s">
        <v>111</v>
      </c>
      <c r="H856" s="73" t="s">
        <v>2448</v>
      </c>
      <c r="I856" s="73" t="s">
        <v>893</v>
      </c>
      <c r="J856" s="73" t="s">
        <v>941</v>
      </c>
      <c r="K856" s="73" t="s">
        <v>895</v>
      </c>
      <c r="L856" s="103" t="n">
        <v>0</v>
      </c>
    </row>
    <row r="857" customFormat="false" ht="15" hidden="false" customHeight="true" outlineLevel="0" collapsed="false">
      <c r="A857" s="73" t="s">
        <v>2449</v>
      </c>
      <c r="B857" s="73" t="s">
        <v>856</v>
      </c>
      <c r="C857" s="73" t="s">
        <v>653</v>
      </c>
      <c r="D857" s="73" t="s">
        <v>943</v>
      </c>
      <c r="E857" s="73" t="s">
        <v>801</v>
      </c>
      <c r="F857" s="73" t="s">
        <v>802</v>
      </c>
      <c r="G857" s="73" t="s">
        <v>944</v>
      </c>
      <c r="H857" s="73" t="s">
        <v>2450</v>
      </c>
      <c r="I857" s="73" t="s">
        <v>893</v>
      </c>
      <c r="J857" s="73" t="s">
        <v>946</v>
      </c>
      <c r="K857" s="73"/>
      <c r="L857" s="103" t="n">
        <v>52</v>
      </c>
    </row>
    <row r="858" customFormat="false" ht="15" hidden="false" customHeight="true" outlineLevel="0" collapsed="false">
      <c r="A858" s="73" t="s">
        <v>2451</v>
      </c>
      <c r="B858" s="73" t="s">
        <v>856</v>
      </c>
      <c r="C858" s="73" t="s">
        <v>653</v>
      </c>
      <c r="D858" s="73" t="s">
        <v>948</v>
      </c>
      <c r="E858" s="73" t="s">
        <v>801</v>
      </c>
      <c r="F858" s="73" t="s">
        <v>802</v>
      </c>
      <c r="G858" s="73" t="s">
        <v>655</v>
      </c>
      <c r="H858" s="73" t="s">
        <v>2452</v>
      </c>
      <c r="I858" s="73" t="s">
        <v>708</v>
      </c>
      <c r="J858" s="73" t="s">
        <v>950</v>
      </c>
      <c r="K858" s="73" t="s">
        <v>951</v>
      </c>
      <c r="L858" s="103" t="n">
        <v>1.5</v>
      </c>
    </row>
    <row r="859" customFormat="false" ht="15" hidden="false" customHeight="true" outlineLevel="0" collapsed="false">
      <c r="A859" s="73" t="s">
        <v>2453</v>
      </c>
      <c r="B859" s="73" t="s">
        <v>856</v>
      </c>
      <c r="C859" s="73" t="s">
        <v>653</v>
      </c>
      <c r="D859" s="73" t="s">
        <v>953</v>
      </c>
      <c r="E859" s="73" t="s">
        <v>801</v>
      </c>
      <c r="F859" s="73" t="s">
        <v>802</v>
      </c>
      <c r="G859" s="73" t="s">
        <v>655</v>
      </c>
      <c r="H859" s="73" t="s">
        <v>2454</v>
      </c>
      <c r="I859" s="73" t="s">
        <v>955</v>
      </c>
      <c r="J859" s="73" t="s">
        <v>956</v>
      </c>
      <c r="K859" s="73" t="s">
        <v>951</v>
      </c>
      <c r="L859" s="103" t="n">
        <v>0.7</v>
      </c>
    </row>
    <row r="861" customFormat="false" ht="21.75" hidden="false" customHeight="true" outlineLevel="0" collapsed="false">
      <c r="A861" s="70" t="s">
        <v>2455</v>
      </c>
      <c r="B861" s="70"/>
      <c r="C861" s="70"/>
      <c r="D861" s="70"/>
      <c r="E861" s="70"/>
      <c r="F861" s="70"/>
      <c r="G861" s="70"/>
      <c r="H861" s="70"/>
      <c r="I861" s="70"/>
      <c r="J861" s="70"/>
      <c r="K861" s="70"/>
      <c r="L861" s="70"/>
      <c r="M861" s="70"/>
      <c r="N861" s="70"/>
      <c r="O861" s="70"/>
      <c r="P861" s="70"/>
      <c r="Q861" s="70"/>
      <c r="R861" s="70"/>
      <c r="S861" s="70"/>
      <c r="T861" s="70"/>
      <c r="U861" s="70"/>
      <c r="V861" s="70"/>
      <c r="W861" s="70"/>
      <c r="X861" s="70"/>
    </row>
    <row r="862" customFormat="false" ht="15" hidden="false" customHeight="true" outlineLevel="0" collapsed="false">
      <c r="A862" s="73" t="s">
        <v>2456</v>
      </c>
      <c r="B862" s="73" t="s">
        <v>861</v>
      </c>
      <c r="C862" s="73" t="s">
        <v>653</v>
      </c>
      <c r="D862" s="73" t="s">
        <v>867</v>
      </c>
      <c r="E862" s="73" t="s">
        <v>705</v>
      </c>
      <c r="F862" s="73" t="s">
        <v>706</v>
      </c>
      <c r="G862" s="73" t="s">
        <v>655</v>
      </c>
      <c r="H862" s="73" t="s">
        <v>2457</v>
      </c>
      <c r="I862" s="73" t="s">
        <v>869</v>
      </c>
      <c r="J862" s="73" t="s">
        <v>870</v>
      </c>
      <c r="K862" s="73" t="s">
        <v>871</v>
      </c>
      <c r="L862" s="107" t="n">
        <v>32</v>
      </c>
    </row>
    <row r="863" customFormat="false" ht="15" hidden="false" customHeight="true" outlineLevel="0" collapsed="false">
      <c r="A863" s="73" t="s">
        <v>2458</v>
      </c>
      <c r="B863" s="73" t="s">
        <v>861</v>
      </c>
      <c r="C863" s="73" t="s">
        <v>653</v>
      </c>
      <c r="D863" s="73" t="s">
        <v>873</v>
      </c>
      <c r="E863" s="73" t="s">
        <v>705</v>
      </c>
      <c r="F863" s="73" t="s">
        <v>706</v>
      </c>
      <c r="G863" s="73" t="s">
        <v>655</v>
      </c>
      <c r="H863" s="73" t="s">
        <v>2459</v>
      </c>
      <c r="I863" s="73" t="s">
        <v>875</v>
      </c>
      <c r="J863" s="73" t="s">
        <v>876</v>
      </c>
      <c r="K863" s="73"/>
      <c r="L863" s="104" t="n">
        <v>1</v>
      </c>
    </row>
    <row r="864" customFormat="false" ht="15" hidden="false" customHeight="true" outlineLevel="0" collapsed="false">
      <c r="A864" s="73" t="s">
        <v>2460</v>
      </c>
      <c r="B864" s="73" t="s">
        <v>861</v>
      </c>
      <c r="C864" s="73" t="s">
        <v>653</v>
      </c>
      <c r="D864" s="73" t="s">
        <v>878</v>
      </c>
      <c r="E864" s="73" t="s">
        <v>705</v>
      </c>
      <c r="F864" s="73" t="s">
        <v>706</v>
      </c>
      <c r="G864" s="73" t="s">
        <v>655</v>
      </c>
      <c r="H864" s="73" t="s">
        <v>2461</v>
      </c>
      <c r="I864" s="73" t="s">
        <v>880</v>
      </c>
      <c r="J864" s="73" t="s">
        <v>881</v>
      </c>
      <c r="K864" s="73"/>
      <c r="L864" s="104" t="n">
        <v>0.1</v>
      </c>
    </row>
    <row r="865" customFormat="false" ht="15" hidden="false" customHeight="true" outlineLevel="0" collapsed="false">
      <c r="A865" s="73" t="s">
        <v>2462</v>
      </c>
      <c r="B865" s="73" t="s">
        <v>861</v>
      </c>
      <c r="C865" s="73" t="s">
        <v>653</v>
      </c>
      <c r="D865" s="73" t="s">
        <v>883</v>
      </c>
      <c r="E865" s="73" t="s">
        <v>705</v>
      </c>
      <c r="F865" s="73" t="s">
        <v>706</v>
      </c>
      <c r="G865" s="73" t="s">
        <v>655</v>
      </c>
      <c r="H865" s="73" t="s">
        <v>2463</v>
      </c>
      <c r="I865" s="73" t="s">
        <v>880</v>
      </c>
      <c r="J865" s="73" t="s">
        <v>885</v>
      </c>
      <c r="K865" s="73"/>
      <c r="L865" s="104" t="n">
        <v>0.04</v>
      </c>
    </row>
    <row r="866" customFormat="false" ht="15" hidden="false" customHeight="true" outlineLevel="0" collapsed="false">
      <c r="A866" s="73" t="s">
        <v>2464</v>
      </c>
      <c r="B866" s="73" t="s">
        <v>861</v>
      </c>
      <c r="C866" s="73" t="s">
        <v>653</v>
      </c>
      <c r="D866" s="73" t="s">
        <v>887</v>
      </c>
      <c r="E866" s="73" t="s">
        <v>705</v>
      </c>
      <c r="F866" s="73" t="s">
        <v>706</v>
      </c>
      <c r="G866" s="73" t="s">
        <v>655</v>
      </c>
      <c r="H866" s="73" t="s">
        <v>2465</v>
      </c>
      <c r="I866" s="73" t="s">
        <v>880</v>
      </c>
      <c r="J866" s="73" t="s">
        <v>889</v>
      </c>
      <c r="K866" s="73"/>
      <c r="L866" s="104" t="n">
        <v>0.05</v>
      </c>
    </row>
    <row r="867" customFormat="false" ht="15" hidden="false" customHeight="true" outlineLevel="0" collapsed="false">
      <c r="A867" s="73" t="s">
        <v>2466</v>
      </c>
      <c r="B867" s="73" t="s">
        <v>861</v>
      </c>
      <c r="C867" s="73" t="s">
        <v>653</v>
      </c>
      <c r="D867" s="73" t="s">
        <v>891</v>
      </c>
      <c r="E867" s="73" t="s">
        <v>705</v>
      </c>
      <c r="F867" s="73" t="s">
        <v>706</v>
      </c>
      <c r="G867" s="73" t="s">
        <v>96</v>
      </c>
      <c r="H867" s="73" t="s">
        <v>2467</v>
      </c>
      <c r="I867" s="73" t="s">
        <v>893</v>
      </c>
      <c r="J867" s="73" t="s">
        <v>894</v>
      </c>
      <c r="K867" s="73" t="s">
        <v>895</v>
      </c>
      <c r="L867" s="103" t="n">
        <v>5</v>
      </c>
    </row>
    <row r="868" customFormat="false" ht="15" hidden="false" customHeight="true" outlineLevel="0" collapsed="false">
      <c r="A868" s="73" t="s">
        <v>2468</v>
      </c>
      <c r="B868" s="73" t="s">
        <v>861</v>
      </c>
      <c r="C868" s="73" t="s">
        <v>653</v>
      </c>
      <c r="D868" s="73" t="s">
        <v>891</v>
      </c>
      <c r="E868" s="73" t="s">
        <v>705</v>
      </c>
      <c r="F868" s="73" t="s">
        <v>706</v>
      </c>
      <c r="G868" s="73" t="s">
        <v>99</v>
      </c>
      <c r="H868" s="73" t="s">
        <v>2469</v>
      </c>
      <c r="I868" s="73" t="s">
        <v>893</v>
      </c>
      <c r="J868" s="73" t="s">
        <v>898</v>
      </c>
      <c r="K868" s="73" t="s">
        <v>895</v>
      </c>
      <c r="L868" s="103" t="n">
        <v>1</v>
      </c>
    </row>
    <row r="869" customFormat="false" ht="15" hidden="false" customHeight="true" outlineLevel="0" collapsed="false">
      <c r="A869" s="73" t="s">
        <v>2470</v>
      </c>
      <c r="B869" s="73" t="s">
        <v>861</v>
      </c>
      <c r="C869" s="73" t="s">
        <v>653</v>
      </c>
      <c r="D869" s="73" t="s">
        <v>891</v>
      </c>
      <c r="E869" s="73" t="s">
        <v>705</v>
      </c>
      <c r="F869" s="73" t="s">
        <v>706</v>
      </c>
      <c r="G869" s="73" t="s">
        <v>101</v>
      </c>
      <c r="H869" s="73" t="s">
        <v>2471</v>
      </c>
      <c r="I869" s="73" t="s">
        <v>893</v>
      </c>
      <c r="J869" s="73" t="s">
        <v>901</v>
      </c>
      <c r="K869" s="73" t="s">
        <v>895</v>
      </c>
      <c r="L869" s="103" t="n">
        <v>0</v>
      </c>
    </row>
    <row r="870" customFormat="false" ht="15" hidden="false" customHeight="true" outlineLevel="0" collapsed="false">
      <c r="A870" s="73" t="s">
        <v>2472</v>
      </c>
      <c r="B870" s="73" t="s">
        <v>861</v>
      </c>
      <c r="C870" s="73" t="s">
        <v>653</v>
      </c>
      <c r="D870" s="73" t="s">
        <v>891</v>
      </c>
      <c r="E870" s="73" t="s">
        <v>705</v>
      </c>
      <c r="F870" s="73" t="s">
        <v>706</v>
      </c>
      <c r="G870" s="73" t="s">
        <v>103</v>
      </c>
      <c r="H870" s="73" t="s">
        <v>2473</v>
      </c>
      <c r="I870" s="73" t="s">
        <v>893</v>
      </c>
      <c r="J870" s="73" t="s">
        <v>904</v>
      </c>
      <c r="K870" s="73" t="s">
        <v>895</v>
      </c>
      <c r="L870" s="103" t="n">
        <v>0</v>
      </c>
    </row>
    <row r="871" customFormat="false" ht="15" hidden="false" customHeight="true" outlineLevel="0" collapsed="false">
      <c r="A871" s="73" t="s">
        <v>2474</v>
      </c>
      <c r="B871" s="73" t="s">
        <v>861</v>
      </c>
      <c r="C871" s="73" t="s">
        <v>653</v>
      </c>
      <c r="D871" s="73" t="s">
        <v>891</v>
      </c>
      <c r="E871" s="73" t="s">
        <v>705</v>
      </c>
      <c r="F871" s="73" t="s">
        <v>706</v>
      </c>
      <c r="G871" s="73" t="s">
        <v>105</v>
      </c>
      <c r="H871" s="73" t="s">
        <v>2475</v>
      </c>
      <c r="I871" s="73" t="s">
        <v>893</v>
      </c>
      <c r="J871" s="73" t="s">
        <v>907</v>
      </c>
      <c r="K871" s="73" t="s">
        <v>895</v>
      </c>
      <c r="L871" s="103" t="n">
        <v>0</v>
      </c>
    </row>
    <row r="872" customFormat="false" ht="15" hidden="false" customHeight="true" outlineLevel="0" collapsed="false">
      <c r="A872" s="73" t="s">
        <v>2476</v>
      </c>
      <c r="B872" s="73" t="s">
        <v>861</v>
      </c>
      <c r="C872" s="73" t="s">
        <v>653</v>
      </c>
      <c r="D872" s="73" t="s">
        <v>891</v>
      </c>
      <c r="E872" s="73" t="s">
        <v>705</v>
      </c>
      <c r="F872" s="73" t="s">
        <v>706</v>
      </c>
      <c r="G872" s="73" t="s">
        <v>107</v>
      </c>
      <c r="H872" s="73" t="s">
        <v>2477</v>
      </c>
      <c r="I872" s="73" t="s">
        <v>893</v>
      </c>
      <c r="J872" s="73" t="s">
        <v>910</v>
      </c>
      <c r="K872" s="73" t="s">
        <v>895</v>
      </c>
      <c r="L872" s="103" t="n">
        <v>0</v>
      </c>
    </row>
    <row r="873" customFormat="false" ht="15" hidden="false" customHeight="true" outlineLevel="0" collapsed="false">
      <c r="A873" s="73" t="s">
        <v>2478</v>
      </c>
      <c r="B873" s="73" t="s">
        <v>861</v>
      </c>
      <c r="C873" s="73" t="s">
        <v>653</v>
      </c>
      <c r="D873" s="73" t="s">
        <v>891</v>
      </c>
      <c r="E873" s="73" t="s">
        <v>705</v>
      </c>
      <c r="F873" s="73" t="s">
        <v>706</v>
      </c>
      <c r="G873" s="73" t="s">
        <v>109</v>
      </c>
      <c r="H873" s="73" t="s">
        <v>2479</v>
      </c>
      <c r="I873" s="73" t="s">
        <v>893</v>
      </c>
      <c r="J873" s="73" t="s">
        <v>913</v>
      </c>
      <c r="K873" s="73" t="s">
        <v>895</v>
      </c>
      <c r="L873" s="103" t="n">
        <v>0</v>
      </c>
    </row>
    <row r="874" customFormat="false" ht="15" hidden="false" customHeight="true" outlineLevel="0" collapsed="false">
      <c r="A874" s="73" t="s">
        <v>2480</v>
      </c>
      <c r="B874" s="73" t="s">
        <v>861</v>
      </c>
      <c r="C874" s="73" t="s">
        <v>653</v>
      </c>
      <c r="D874" s="73" t="s">
        <v>891</v>
      </c>
      <c r="E874" s="73" t="s">
        <v>705</v>
      </c>
      <c r="F874" s="73" t="s">
        <v>706</v>
      </c>
      <c r="G874" s="73" t="s">
        <v>111</v>
      </c>
      <c r="H874" s="73" t="s">
        <v>2481</v>
      </c>
      <c r="I874" s="73" t="s">
        <v>893</v>
      </c>
      <c r="J874" s="73" t="s">
        <v>916</v>
      </c>
      <c r="K874" s="73" t="s">
        <v>895</v>
      </c>
      <c r="L874" s="103" t="n">
        <v>0</v>
      </c>
    </row>
    <row r="875" customFormat="false" ht="15" hidden="false" customHeight="true" outlineLevel="0" collapsed="false">
      <c r="A875" s="73" t="s">
        <v>2482</v>
      </c>
      <c r="B875" s="73" t="s">
        <v>861</v>
      </c>
      <c r="C875" s="73" t="s">
        <v>653</v>
      </c>
      <c r="D875" s="73" t="s">
        <v>918</v>
      </c>
      <c r="E875" s="73" t="s">
        <v>705</v>
      </c>
      <c r="F875" s="73" t="s">
        <v>706</v>
      </c>
      <c r="G875" s="73" t="s">
        <v>96</v>
      </c>
      <c r="H875" s="73" t="s">
        <v>2483</v>
      </c>
      <c r="I875" s="73" t="s">
        <v>893</v>
      </c>
      <c r="J875" s="73" t="s">
        <v>920</v>
      </c>
      <c r="K875" s="73" t="s">
        <v>895</v>
      </c>
      <c r="L875" s="103" t="n">
        <v>20</v>
      </c>
    </row>
    <row r="876" customFormat="false" ht="15" hidden="false" customHeight="true" outlineLevel="0" collapsed="false">
      <c r="A876" s="73" t="s">
        <v>2484</v>
      </c>
      <c r="B876" s="73" t="s">
        <v>861</v>
      </c>
      <c r="C876" s="73" t="s">
        <v>653</v>
      </c>
      <c r="D876" s="73" t="s">
        <v>918</v>
      </c>
      <c r="E876" s="73" t="s">
        <v>705</v>
      </c>
      <c r="F876" s="73" t="s">
        <v>706</v>
      </c>
      <c r="G876" s="73" t="s">
        <v>99</v>
      </c>
      <c r="H876" s="73" t="s">
        <v>2485</v>
      </c>
      <c r="I876" s="73" t="s">
        <v>893</v>
      </c>
      <c r="J876" s="73" t="s">
        <v>923</v>
      </c>
      <c r="K876" s="73" t="s">
        <v>895</v>
      </c>
      <c r="L876" s="103" t="n">
        <v>0</v>
      </c>
    </row>
    <row r="877" customFormat="false" ht="15" hidden="false" customHeight="true" outlineLevel="0" collapsed="false">
      <c r="A877" s="73" t="s">
        <v>2486</v>
      </c>
      <c r="B877" s="73" t="s">
        <v>861</v>
      </c>
      <c r="C877" s="73" t="s">
        <v>653</v>
      </c>
      <c r="D877" s="73" t="s">
        <v>918</v>
      </c>
      <c r="E877" s="73" t="s">
        <v>705</v>
      </c>
      <c r="F877" s="73" t="s">
        <v>706</v>
      </c>
      <c r="G877" s="73" t="s">
        <v>101</v>
      </c>
      <c r="H877" s="73" t="s">
        <v>2487</v>
      </c>
      <c r="I877" s="73" t="s">
        <v>893</v>
      </c>
      <c r="J877" s="73" t="s">
        <v>926</v>
      </c>
      <c r="K877" s="73" t="s">
        <v>895</v>
      </c>
      <c r="L877" s="103" t="n">
        <v>0</v>
      </c>
    </row>
    <row r="878" customFormat="false" ht="15" hidden="false" customHeight="true" outlineLevel="0" collapsed="false">
      <c r="A878" s="73" t="s">
        <v>2488</v>
      </c>
      <c r="B878" s="73" t="s">
        <v>861</v>
      </c>
      <c r="C878" s="73" t="s">
        <v>653</v>
      </c>
      <c r="D878" s="73" t="s">
        <v>918</v>
      </c>
      <c r="E878" s="73" t="s">
        <v>705</v>
      </c>
      <c r="F878" s="73" t="s">
        <v>706</v>
      </c>
      <c r="G878" s="73" t="s">
        <v>103</v>
      </c>
      <c r="H878" s="73" t="s">
        <v>2489</v>
      </c>
      <c r="I878" s="73" t="s">
        <v>893</v>
      </c>
      <c r="J878" s="73" t="s">
        <v>929</v>
      </c>
      <c r="K878" s="73" t="s">
        <v>895</v>
      </c>
      <c r="L878" s="103" t="n">
        <v>0</v>
      </c>
    </row>
    <row r="879" customFormat="false" ht="15" hidden="false" customHeight="true" outlineLevel="0" collapsed="false">
      <c r="A879" s="73" t="s">
        <v>2490</v>
      </c>
      <c r="B879" s="73" t="s">
        <v>861</v>
      </c>
      <c r="C879" s="73" t="s">
        <v>653</v>
      </c>
      <c r="D879" s="73" t="s">
        <v>918</v>
      </c>
      <c r="E879" s="73" t="s">
        <v>705</v>
      </c>
      <c r="F879" s="73" t="s">
        <v>706</v>
      </c>
      <c r="G879" s="73" t="s">
        <v>105</v>
      </c>
      <c r="H879" s="73" t="s">
        <v>2491</v>
      </c>
      <c r="I879" s="73" t="s">
        <v>893</v>
      </c>
      <c r="J879" s="73" t="s">
        <v>932</v>
      </c>
      <c r="K879" s="73" t="s">
        <v>895</v>
      </c>
      <c r="L879" s="103" t="n">
        <v>0</v>
      </c>
    </row>
    <row r="880" customFormat="false" ht="15" hidden="false" customHeight="true" outlineLevel="0" collapsed="false">
      <c r="A880" s="73" t="s">
        <v>2492</v>
      </c>
      <c r="B880" s="73" t="s">
        <v>861</v>
      </c>
      <c r="C880" s="73" t="s">
        <v>653</v>
      </c>
      <c r="D880" s="73" t="s">
        <v>918</v>
      </c>
      <c r="E880" s="73" t="s">
        <v>705</v>
      </c>
      <c r="F880" s="73" t="s">
        <v>706</v>
      </c>
      <c r="G880" s="73" t="s">
        <v>107</v>
      </c>
      <c r="H880" s="73" t="s">
        <v>2493</v>
      </c>
      <c r="I880" s="73" t="s">
        <v>893</v>
      </c>
      <c r="J880" s="73" t="s">
        <v>935</v>
      </c>
      <c r="K880" s="73" t="s">
        <v>895</v>
      </c>
      <c r="L880" s="103" t="n">
        <v>0</v>
      </c>
    </row>
    <row r="881" customFormat="false" ht="15" hidden="false" customHeight="true" outlineLevel="0" collapsed="false">
      <c r="A881" s="73" t="s">
        <v>2494</v>
      </c>
      <c r="B881" s="73" t="s">
        <v>861</v>
      </c>
      <c r="C881" s="73" t="s">
        <v>653</v>
      </c>
      <c r="D881" s="73" t="s">
        <v>918</v>
      </c>
      <c r="E881" s="73" t="s">
        <v>705</v>
      </c>
      <c r="F881" s="73" t="s">
        <v>706</v>
      </c>
      <c r="G881" s="73" t="s">
        <v>109</v>
      </c>
      <c r="H881" s="73" t="s">
        <v>2495</v>
      </c>
      <c r="I881" s="73" t="s">
        <v>893</v>
      </c>
      <c r="J881" s="73" t="s">
        <v>938</v>
      </c>
      <c r="K881" s="73" t="s">
        <v>895</v>
      </c>
      <c r="L881" s="103" t="n">
        <v>0</v>
      </c>
    </row>
    <row r="882" customFormat="false" ht="15" hidden="false" customHeight="true" outlineLevel="0" collapsed="false">
      <c r="A882" s="73" t="s">
        <v>2496</v>
      </c>
      <c r="B882" s="73" t="s">
        <v>861</v>
      </c>
      <c r="C882" s="73" t="s">
        <v>653</v>
      </c>
      <c r="D882" s="73" t="s">
        <v>918</v>
      </c>
      <c r="E882" s="73" t="s">
        <v>705</v>
      </c>
      <c r="F882" s="73" t="s">
        <v>706</v>
      </c>
      <c r="G882" s="73" t="s">
        <v>111</v>
      </c>
      <c r="H882" s="73" t="s">
        <v>2497</v>
      </c>
      <c r="I882" s="73" t="s">
        <v>893</v>
      </c>
      <c r="J882" s="73" t="s">
        <v>941</v>
      </c>
      <c r="K882" s="73" t="s">
        <v>895</v>
      </c>
      <c r="L882" s="103" t="n">
        <v>0</v>
      </c>
    </row>
    <row r="883" customFormat="false" ht="15" hidden="false" customHeight="true" outlineLevel="0" collapsed="false">
      <c r="A883" s="73" t="s">
        <v>2498</v>
      </c>
      <c r="B883" s="73" t="s">
        <v>861</v>
      </c>
      <c r="C883" s="73" t="s">
        <v>653</v>
      </c>
      <c r="D883" s="73" t="s">
        <v>943</v>
      </c>
      <c r="E883" s="73" t="s">
        <v>705</v>
      </c>
      <c r="F883" s="73" t="s">
        <v>706</v>
      </c>
      <c r="G883" s="73" t="s">
        <v>944</v>
      </c>
      <c r="H883" s="73" t="s">
        <v>2499</v>
      </c>
      <c r="I883" s="73" t="s">
        <v>893</v>
      </c>
      <c r="J883" s="73" t="s">
        <v>946</v>
      </c>
      <c r="K883" s="73"/>
      <c r="L883" s="103" t="n">
        <v>3.5</v>
      </c>
    </row>
    <row r="884" customFormat="false" ht="15" hidden="false" customHeight="true" outlineLevel="0" collapsed="false">
      <c r="A884" s="73" t="s">
        <v>2500</v>
      </c>
      <c r="B884" s="73" t="s">
        <v>861</v>
      </c>
      <c r="C884" s="73" t="s">
        <v>653</v>
      </c>
      <c r="D884" s="73" t="s">
        <v>948</v>
      </c>
      <c r="E884" s="73" t="s">
        <v>705</v>
      </c>
      <c r="F884" s="73" t="s">
        <v>706</v>
      </c>
      <c r="G884" s="73" t="s">
        <v>655</v>
      </c>
      <c r="H884" s="73" t="s">
        <v>2501</v>
      </c>
      <c r="I884" s="73" t="s">
        <v>708</v>
      </c>
      <c r="J884" s="73" t="s">
        <v>950</v>
      </c>
      <c r="K884" s="73" t="s">
        <v>951</v>
      </c>
      <c r="L884" s="103" t="n">
        <v>0.1</v>
      </c>
    </row>
    <row r="885" customFormat="false" ht="15" hidden="false" customHeight="true" outlineLevel="0" collapsed="false">
      <c r="A885" s="73" t="s">
        <v>2502</v>
      </c>
      <c r="B885" s="73" t="s">
        <v>861</v>
      </c>
      <c r="C885" s="73" t="s">
        <v>653</v>
      </c>
      <c r="D885" s="73" t="s">
        <v>953</v>
      </c>
      <c r="E885" s="73" t="s">
        <v>705</v>
      </c>
      <c r="F885" s="73" t="s">
        <v>706</v>
      </c>
      <c r="G885" s="73" t="s">
        <v>655</v>
      </c>
      <c r="H885" s="73" t="s">
        <v>2503</v>
      </c>
      <c r="I885" s="73" t="s">
        <v>955</v>
      </c>
      <c r="J885" s="73" t="s">
        <v>956</v>
      </c>
      <c r="K885" s="73" t="s">
        <v>951</v>
      </c>
      <c r="L885" s="103" t="n">
        <v>0</v>
      </c>
    </row>
    <row r="886" customFormat="false" ht="15" hidden="false" customHeight="true" outlineLevel="0" collapsed="false">
      <c r="A886" s="73" t="s">
        <v>2504</v>
      </c>
      <c r="B886" s="73" t="s">
        <v>861</v>
      </c>
      <c r="C886" s="73" t="s">
        <v>653</v>
      </c>
      <c r="D886" s="73" t="s">
        <v>867</v>
      </c>
      <c r="E886" s="73" t="s">
        <v>705</v>
      </c>
      <c r="F886" s="73" t="s">
        <v>733</v>
      </c>
      <c r="G886" s="73" t="s">
        <v>655</v>
      </c>
      <c r="H886" s="73" t="s">
        <v>2505</v>
      </c>
      <c r="I886" s="73" t="s">
        <v>869</v>
      </c>
      <c r="J886" s="73" t="s">
        <v>959</v>
      </c>
      <c r="K886" s="73" t="s">
        <v>871</v>
      </c>
      <c r="L886" s="107" t="n">
        <v>8</v>
      </c>
    </row>
    <row r="887" customFormat="false" ht="15" hidden="false" customHeight="true" outlineLevel="0" collapsed="false">
      <c r="A887" s="73" t="s">
        <v>2506</v>
      </c>
      <c r="B887" s="73" t="s">
        <v>861</v>
      </c>
      <c r="C887" s="73" t="s">
        <v>653</v>
      </c>
      <c r="D887" s="73" t="s">
        <v>873</v>
      </c>
      <c r="E887" s="73" t="s">
        <v>705</v>
      </c>
      <c r="F887" s="73" t="s">
        <v>733</v>
      </c>
      <c r="G887" s="73" t="s">
        <v>655</v>
      </c>
      <c r="H887" s="73" t="s">
        <v>2507</v>
      </c>
      <c r="I887" s="73" t="s">
        <v>875</v>
      </c>
      <c r="J887" s="73" t="s">
        <v>876</v>
      </c>
      <c r="K887" s="73"/>
      <c r="L887" s="104" t="n">
        <v>0.8</v>
      </c>
    </row>
    <row r="888" customFormat="false" ht="15" hidden="false" customHeight="true" outlineLevel="0" collapsed="false">
      <c r="A888" s="73" t="s">
        <v>2508</v>
      </c>
      <c r="B888" s="73" t="s">
        <v>861</v>
      </c>
      <c r="C888" s="73" t="s">
        <v>653</v>
      </c>
      <c r="D888" s="73" t="s">
        <v>878</v>
      </c>
      <c r="E888" s="73" t="s">
        <v>705</v>
      </c>
      <c r="F888" s="73" t="s">
        <v>733</v>
      </c>
      <c r="G888" s="73" t="s">
        <v>655</v>
      </c>
      <c r="H888" s="73" t="s">
        <v>2509</v>
      </c>
      <c r="I888" s="73" t="s">
        <v>880</v>
      </c>
      <c r="J888" s="73" t="s">
        <v>881</v>
      </c>
      <c r="K888" s="73"/>
      <c r="L888" s="104" t="n">
        <v>0.1</v>
      </c>
    </row>
    <row r="889" customFormat="false" ht="15" hidden="false" customHeight="true" outlineLevel="0" collapsed="false">
      <c r="A889" s="73" t="s">
        <v>2510</v>
      </c>
      <c r="B889" s="73" t="s">
        <v>861</v>
      </c>
      <c r="C889" s="73" t="s">
        <v>653</v>
      </c>
      <c r="D889" s="73" t="s">
        <v>883</v>
      </c>
      <c r="E889" s="73" t="s">
        <v>705</v>
      </c>
      <c r="F889" s="73" t="s">
        <v>733</v>
      </c>
      <c r="G889" s="73" t="s">
        <v>655</v>
      </c>
      <c r="H889" s="73" t="s">
        <v>2511</v>
      </c>
      <c r="I889" s="73" t="s">
        <v>880</v>
      </c>
      <c r="J889" s="73" t="s">
        <v>885</v>
      </c>
      <c r="K889" s="73"/>
      <c r="L889" s="104" t="n">
        <v>0.03</v>
      </c>
    </row>
    <row r="890" customFormat="false" ht="15" hidden="false" customHeight="true" outlineLevel="0" collapsed="false">
      <c r="A890" s="73" t="s">
        <v>2512</v>
      </c>
      <c r="B890" s="73" t="s">
        <v>861</v>
      </c>
      <c r="C890" s="73" t="s">
        <v>653</v>
      </c>
      <c r="D890" s="73" t="s">
        <v>887</v>
      </c>
      <c r="E890" s="73" t="s">
        <v>705</v>
      </c>
      <c r="F890" s="73" t="s">
        <v>733</v>
      </c>
      <c r="G890" s="73" t="s">
        <v>655</v>
      </c>
      <c r="H890" s="73" t="s">
        <v>2513</v>
      </c>
      <c r="I890" s="73" t="s">
        <v>880</v>
      </c>
      <c r="J890" s="73" t="s">
        <v>889</v>
      </c>
      <c r="K890" s="73"/>
      <c r="L890" s="104" t="n">
        <v>0.1</v>
      </c>
    </row>
    <row r="891" customFormat="false" ht="15" hidden="false" customHeight="true" outlineLevel="0" collapsed="false">
      <c r="A891" s="73" t="s">
        <v>2514</v>
      </c>
      <c r="B891" s="73" t="s">
        <v>861</v>
      </c>
      <c r="C891" s="73" t="s">
        <v>653</v>
      </c>
      <c r="D891" s="73" t="s">
        <v>891</v>
      </c>
      <c r="E891" s="73" t="s">
        <v>705</v>
      </c>
      <c r="F891" s="73" t="s">
        <v>733</v>
      </c>
      <c r="G891" s="73" t="s">
        <v>96</v>
      </c>
      <c r="H891" s="73" t="s">
        <v>2515</v>
      </c>
      <c r="I891" s="73" t="s">
        <v>893</v>
      </c>
      <c r="J891" s="73" t="s">
        <v>894</v>
      </c>
      <c r="K891" s="73" t="s">
        <v>895</v>
      </c>
      <c r="L891" s="103" t="n">
        <v>1.5</v>
      </c>
    </row>
    <row r="892" customFormat="false" ht="15" hidden="false" customHeight="true" outlineLevel="0" collapsed="false">
      <c r="A892" s="73" t="s">
        <v>2516</v>
      </c>
      <c r="B892" s="73" t="s">
        <v>861</v>
      </c>
      <c r="C892" s="73" t="s">
        <v>653</v>
      </c>
      <c r="D892" s="73" t="s">
        <v>891</v>
      </c>
      <c r="E892" s="73" t="s">
        <v>705</v>
      </c>
      <c r="F892" s="73" t="s">
        <v>733</v>
      </c>
      <c r="G892" s="73" t="s">
        <v>99</v>
      </c>
      <c r="H892" s="73" t="s">
        <v>2517</v>
      </c>
      <c r="I892" s="73" t="s">
        <v>893</v>
      </c>
      <c r="J892" s="73" t="s">
        <v>898</v>
      </c>
      <c r="K892" s="73" t="s">
        <v>895</v>
      </c>
      <c r="L892" s="103" t="n">
        <v>0.5</v>
      </c>
    </row>
    <row r="893" customFormat="false" ht="15" hidden="false" customHeight="true" outlineLevel="0" collapsed="false">
      <c r="A893" s="73" t="s">
        <v>2518</v>
      </c>
      <c r="B893" s="73" t="s">
        <v>861</v>
      </c>
      <c r="C893" s="73" t="s">
        <v>653</v>
      </c>
      <c r="D893" s="73" t="s">
        <v>891</v>
      </c>
      <c r="E893" s="73" t="s">
        <v>705</v>
      </c>
      <c r="F893" s="73" t="s">
        <v>733</v>
      </c>
      <c r="G893" s="73" t="s">
        <v>101</v>
      </c>
      <c r="H893" s="73" t="s">
        <v>2519</v>
      </c>
      <c r="I893" s="73" t="s">
        <v>893</v>
      </c>
      <c r="J893" s="73" t="s">
        <v>901</v>
      </c>
      <c r="K893" s="73" t="s">
        <v>895</v>
      </c>
      <c r="L893" s="103" t="n">
        <v>0</v>
      </c>
    </row>
    <row r="894" customFormat="false" ht="15" hidden="false" customHeight="true" outlineLevel="0" collapsed="false">
      <c r="A894" s="73" t="s">
        <v>2520</v>
      </c>
      <c r="B894" s="73" t="s">
        <v>861</v>
      </c>
      <c r="C894" s="73" t="s">
        <v>653</v>
      </c>
      <c r="D894" s="73" t="s">
        <v>891</v>
      </c>
      <c r="E894" s="73" t="s">
        <v>705</v>
      </c>
      <c r="F894" s="73" t="s">
        <v>733</v>
      </c>
      <c r="G894" s="73" t="s">
        <v>103</v>
      </c>
      <c r="H894" s="73" t="s">
        <v>2521</v>
      </c>
      <c r="I894" s="73" t="s">
        <v>893</v>
      </c>
      <c r="J894" s="73" t="s">
        <v>904</v>
      </c>
      <c r="K894" s="73" t="s">
        <v>895</v>
      </c>
      <c r="L894" s="103" t="n">
        <v>0</v>
      </c>
    </row>
    <row r="895" customFormat="false" ht="15" hidden="false" customHeight="true" outlineLevel="0" collapsed="false">
      <c r="A895" s="73" t="s">
        <v>2522</v>
      </c>
      <c r="B895" s="73" t="s">
        <v>861</v>
      </c>
      <c r="C895" s="73" t="s">
        <v>653</v>
      </c>
      <c r="D895" s="73" t="s">
        <v>891</v>
      </c>
      <c r="E895" s="73" t="s">
        <v>705</v>
      </c>
      <c r="F895" s="73" t="s">
        <v>733</v>
      </c>
      <c r="G895" s="73" t="s">
        <v>105</v>
      </c>
      <c r="H895" s="73" t="s">
        <v>2523</v>
      </c>
      <c r="I895" s="73" t="s">
        <v>893</v>
      </c>
      <c r="J895" s="73" t="s">
        <v>907</v>
      </c>
      <c r="K895" s="73" t="s">
        <v>895</v>
      </c>
      <c r="L895" s="103" t="n">
        <v>0</v>
      </c>
    </row>
    <row r="896" customFormat="false" ht="15" hidden="false" customHeight="true" outlineLevel="0" collapsed="false">
      <c r="A896" s="73" t="s">
        <v>2524</v>
      </c>
      <c r="B896" s="73" t="s">
        <v>861</v>
      </c>
      <c r="C896" s="73" t="s">
        <v>653</v>
      </c>
      <c r="D896" s="73" t="s">
        <v>891</v>
      </c>
      <c r="E896" s="73" t="s">
        <v>705</v>
      </c>
      <c r="F896" s="73" t="s">
        <v>733</v>
      </c>
      <c r="G896" s="73" t="s">
        <v>107</v>
      </c>
      <c r="H896" s="73" t="s">
        <v>2525</v>
      </c>
      <c r="I896" s="73" t="s">
        <v>893</v>
      </c>
      <c r="J896" s="73" t="s">
        <v>910</v>
      </c>
      <c r="K896" s="73" t="s">
        <v>895</v>
      </c>
      <c r="L896" s="103" t="n">
        <v>0</v>
      </c>
    </row>
    <row r="897" customFormat="false" ht="15" hidden="false" customHeight="true" outlineLevel="0" collapsed="false">
      <c r="A897" s="73" t="s">
        <v>2526</v>
      </c>
      <c r="B897" s="73" t="s">
        <v>861</v>
      </c>
      <c r="C897" s="73" t="s">
        <v>653</v>
      </c>
      <c r="D897" s="73" t="s">
        <v>891</v>
      </c>
      <c r="E897" s="73" t="s">
        <v>705</v>
      </c>
      <c r="F897" s="73" t="s">
        <v>733</v>
      </c>
      <c r="G897" s="73" t="s">
        <v>109</v>
      </c>
      <c r="H897" s="73" t="s">
        <v>2527</v>
      </c>
      <c r="I897" s="73" t="s">
        <v>893</v>
      </c>
      <c r="J897" s="73" t="s">
        <v>913</v>
      </c>
      <c r="K897" s="73" t="s">
        <v>895</v>
      </c>
      <c r="L897" s="103" t="n">
        <v>0</v>
      </c>
    </row>
    <row r="898" customFormat="false" ht="15" hidden="false" customHeight="true" outlineLevel="0" collapsed="false">
      <c r="A898" s="73" t="s">
        <v>2528</v>
      </c>
      <c r="B898" s="73" t="s">
        <v>861</v>
      </c>
      <c r="C898" s="73" t="s">
        <v>653</v>
      </c>
      <c r="D898" s="73" t="s">
        <v>891</v>
      </c>
      <c r="E898" s="73" t="s">
        <v>705</v>
      </c>
      <c r="F898" s="73" t="s">
        <v>733</v>
      </c>
      <c r="G898" s="73" t="s">
        <v>111</v>
      </c>
      <c r="H898" s="73" t="s">
        <v>2529</v>
      </c>
      <c r="I898" s="73" t="s">
        <v>893</v>
      </c>
      <c r="J898" s="73" t="s">
        <v>916</v>
      </c>
      <c r="K898" s="73" t="s">
        <v>895</v>
      </c>
      <c r="L898" s="103" t="n">
        <v>0</v>
      </c>
    </row>
    <row r="899" customFormat="false" ht="15" hidden="false" customHeight="true" outlineLevel="0" collapsed="false">
      <c r="A899" s="73" t="s">
        <v>2530</v>
      </c>
      <c r="B899" s="73" t="s">
        <v>861</v>
      </c>
      <c r="C899" s="73" t="s">
        <v>653</v>
      </c>
      <c r="D899" s="73" t="s">
        <v>918</v>
      </c>
      <c r="E899" s="73" t="s">
        <v>705</v>
      </c>
      <c r="F899" s="73" t="s">
        <v>733</v>
      </c>
      <c r="G899" s="73" t="s">
        <v>96</v>
      </c>
      <c r="H899" s="73" t="s">
        <v>2531</v>
      </c>
      <c r="I899" s="73" t="s">
        <v>893</v>
      </c>
      <c r="J899" s="73" t="s">
        <v>920</v>
      </c>
      <c r="K899" s="73" t="s">
        <v>895</v>
      </c>
      <c r="L899" s="103" t="n">
        <v>0</v>
      </c>
    </row>
    <row r="900" customFormat="false" ht="15" hidden="false" customHeight="true" outlineLevel="0" collapsed="false">
      <c r="A900" s="73" t="s">
        <v>2532</v>
      </c>
      <c r="B900" s="73" t="s">
        <v>861</v>
      </c>
      <c r="C900" s="73" t="s">
        <v>653</v>
      </c>
      <c r="D900" s="73" t="s">
        <v>918</v>
      </c>
      <c r="E900" s="73" t="s">
        <v>705</v>
      </c>
      <c r="F900" s="73" t="s">
        <v>733</v>
      </c>
      <c r="G900" s="73" t="s">
        <v>99</v>
      </c>
      <c r="H900" s="73" t="s">
        <v>2533</v>
      </c>
      <c r="I900" s="73" t="s">
        <v>893</v>
      </c>
      <c r="J900" s="73" t="s">
        <v>923</v>
      </c>
      <c r="K900" s="73" t="s">
        <v>895</v>
      </c>
      <c r="L900" s="103" t="n">
        <v>0</v>
      </c>
    </row>
    <row r="901" customFormat="false" ht="15" hidden="false" customHeight="true" outlineLevel="0" collapsed="false">
      <c r="A901" s="73" t="s">
        <v>2534</v>
      </c>
      <c r="B901" s="73" t="s">
        <v>861</v>
      </c>
      <c r="C901" s="73" t="s">
        <v>653</v>
      </c>
      <c r="D901" s="73" t="s">
        <v>918</v>
      </c>
      <c r="E901" s="73" t="s">
        <v>705</v>
      </c>
      <c r="F901" s="73" t="s">
        <v>733</v>
      </c>
      <c r="G901" s="73" t="s">
        <v>101</v>
      </c>
      <c r="H901" s="73" t="s">
        <v>2535</v>
      </c>
      <c r="I901" s="73" t="s">
        <v>893</v>
      </c>
      <c r="J901" s="73" t="s">
        <v>926</v>
      </c>
      <c r="K901" s="73" t="s">
        <v>895</v>
      </c>
      <c r="L901" s="103" t="n">
        <v>0</v>
      </c>
    </row>
    <row r="902" customFormat="false" ht="15" hidden="false" customHeight="true" outlineLevel="0" collapsed="false">
      <c r="A902" s="73" t="s">
        <v>2536</v>
      </c>
      <c r="B902" s="73" t="s">
        <v>861</v>
      </c>
      <c r="C902" s="73" t="s">
        <v>653</v>
      </c>
      <c r="D902" s="73" t="s">
        <v>918</v>
      </c>
      <c r="E902" s="73" t="s">
        <v>705</v>
      </c>
      <c r="F902" s="73" t="s">
        <v>733</v>
      </c>
      <c r="G902" s="73" t="s">
        <v>103</v>
      </c>
      <c r="H902" s="73" t="s">
        <v>2537</v>
      </c>
      <c r="I902" s="73" t="s">
        <v>893</v>
      </c>
      <c r="J902" s="73" t="s">
        <v>929</v>
      </c>
      <c r="K902" s="73" t="s">
        <v>895</v>
      </c>
      <c r="L902" s="103" t="n">
        <v>0</v>
      </c>
    </row>
    <row r="903" customFormat="false" ht="15" hidden="false" customHeight="true" outlineLevel="0" collapsed="false">
      <c r="A903" s="73" t="s">
        <v>2538</v>
      </c>
      <c r="B903" s="73" t="s">
        <v>861</v>
      </c>
      <c r="C903" s="73" t="s">
        <v>653</v>
      </c>
      <c r="D903" s="73" t="s">
        <v>918</v>
      </c>
      <c r="E903" s="73" t="s">
        <v>705</v>
      </c>
      <c r="F903" s="73" t="s">
        <v>733</v>
      </c>
      <c r="G903" s="73" t="s">
        <v>105</v>
      </c>
      <c r="H903" s="73" t="s">
        <v>2539</v>
      </c>
      <c r="I903" s="73" t="s">
        <v>893</v>
      </c>
      <c r="J903" s="73" t="s">
        <v>932</v>
      </c>
      <c r="K903" s="73" t="s">
        <v>895</v>
      </c>
      <c r="L903" s="103" t="n">
        <v>0</v>
      </c>
    </row>
    <row r="904" customFormat="false" ht="15" hidden="false" customHeight="true" outlineLevel="0" collapsed="false">
      <c r="A904" s="73" t="s">
        <v>2540</v>
      </c>
      <c r="B904" s="73" t="s">
        <v>861</v>
      </c>
      <c r="C904" s="73" t="s">
        <v>653</v>
      </c>
      <c r="D904" s="73" t="s">
        <v>918</v>
      </c>
      <c r="E904" s="73" t="s">
        <v>705</v>
      </c>
      <c r="F904" s="73" t="s">
        <v>733</v>
      </c>
      <c r="G904" s="73" t="s">
        <v>107</v>
      </c>
      <c r="H904" s="73" t="s">
        <v>2541</v>
      </c>
      <c r="I904" s="73" t="s">
        <v>893</v>
      </c>
      <c r="J904" s="73" t="s">
        <v>935</v>
      </c>
      <c r="K904" s="73" t="s">
        <v>895</v>
      </c>
      <c r="L904" s="103" t="n">
        <v>0</v>
      </c>
    </row>
    <row r="905" customFormat="false" ht="15" hidden="false" customHeight="true" outlineLevel="0" collapsed="false">
      <c r="A905" s="73" t="s">
        <v>2542</v>
      </c>
      <c r="B905" s="73" t="s">
        <v>861</v>
      </c>
      <c r="C905" s="73" t="s">
        <v>653</v>
      </c>
      <c r="D905" s="73" t="s">
        <v>918</v>
      </c>
      <c r="E905" s="73" t="s">
        <v>705</v>
      </c>
      <c r="F905" s="73" t="s">
        <v>733</v>
      </c>
      <c r="G905" s="73" t="s">
        <v>109</v>
      </c>
      <c r="H905" s="73" t="s">
        <v>2543</v>
      </c>
      <c r="I905" s="73" t="s">
        <v>893</v>
      </c>
      <c r="J905" s="73" t="s">
        <v>938</v>
      </c>
      <c r="K905" s="73" t="s">
        <v>895</v>
      </c>
      <c r="L905" s="103" t="n">
        <v>0</v>
      </c>
    </row>
    <row r="906" customFormat="false" ht="15" hidden="false" customHeight="true" outlineLevel="0" collapsed="false">
      <c r="A906" s="73" t="s">
        <v>2544</v>
      </c>
      <c r="B906" s="73" t="s">
        <v>861</v>
      </c>
      <c r="C906" s="73" t="s">
        <v>653</v>
      </c>
      <c r="D906" s="73" t="s">
        <v>918</v>
      </c>
      <c r="E906" s="73" t="s">
        <v>705</v>
      </c>
      <c r="F906" s="73" t="s">
        <v>733</v>
      </c>
      <c r="G906" s="73" t="s">
        <v>111</v>
      </c>
      <c r="H906" s="73" t="s">
        <v>2545</v>
      </c>
      <c r="I906" s="73" t="s">
        <v>893</v>
      </c>
      <c r="J906" s="73" t="s">
        <v>941</v>
      </c>
      <c r="K906" s="73" t="s">
        <v>895</v>
      </c>
      <c r="L906" s="103" t="n">
        <v>0</v>
      </c>
    </row>
    <row r="907" customFormat="false" ht="15" hidden="false" customHeight="true" outlineLevel="0" collapsed="false">
      <c r="A907" s="73" t="s">
        <v>2546</v>
      </c>
      <c r="B907" s="73" t="s">
        <v>861</v>
      </c>
      <c r="C907" s="73" t="s">
        <v>653</v>
      </c>
      <c r="D907" s="73" t="s">
        <v>943</v>
      </c>
      <c r="E907" s="73" t="s">
        <v>705</v>
      </c>
      <c r="F907" s="73" t="s">
        <v>733</v>
      </c>
      <c r="G907" s="73" t="s">
        <v>944</v>
      </c>
      <c r="H907" s="73" t="s">
        <v>2547</v>
      </c>
      <c r="I907" s="73" t="s">
        <v>893</v>
      </c>
      <c r="J907" s="73" t="s">
        <v>946</v>
      </c>
      <c r="K907" s="73"/>
      <c r="L907" s="103" t="n">
        <v>5</v>
      </c>
    </row>
    <row r="908" customFormat="false" ht="15" hidden="false" customHeight="true" outlineLevel="0" collapsed="false">
      <c r="A908" s="73" t="s">
        <v>2548</v>
      </c>
      <c r="B908" s="73" t="s">
        <v>861</v>
      </c>
      <c r="C908" s="73" t="s">
        <v>653</v>
      </c>
      <c r="D908" s="73" t="s">
        <v>948</v>
      </c>
      <c r="E908" s="73" t="s">
        <v>705</v>
      </c>
      <c r="F908" s="73" t="s">
        <v>733</v>
      </c>
      <c r="G908" s="73" t="s">
        <v>655</v>
      </c>
      <c r="H908" s="73" t="s">
        <v>2549</v>
      </c>
      <c r="I908" s="73" t="s">
        <v>708</v>
      </c>
      <c r="J908" s="73" t="s">
        <v>950</v>
      </c>
      <c r="K908" s="73" t="s">
        <v>951</v>
      </c>
      <c r="L908" s="103" t="n">
        <v>0</v>
      </c>
    </row>
    <row r="909" customFormat="false" ht="15" hidden="false" customHeight="true" outlineLevel="0" collapsed="false">
      <c r="A909" s="73" t="s">
        <v>2550</v>
      </c>
      <c r="B909" s="73" t="s">
        <v>861</v>
      </c>
      <c r="C909" s="73" t="s">
        <v>653</v>
      </c>
      <c r="D909" s="73" t="s">
        <v>953</v>
      </c>
      <c r="E909" s="73" t="s">
        <v>705</v>
      </c>
      <c r="F909" s="73" t="s">
        <v>733</v>
      </c>
      <c r="G909" s="73" t="s">
        <v>655</v>
      </c>
      <c r="H909" s="73" t="s">
        <v>2551</v>
      </c>
      <c r="I909" s="73" t="s">
        <v>955</v>
      </c>
      <c r="J909" s="73" t="s">
        <v>956</v>
      </c>
      <c r="K909" s="73" t="s">
        <v>951</v>
      </c>
      <c r="L909" s="103" t="n">
        <v>0</v>
      </c>
    </row>
    <row r="910" customFormat="false" ht="15" hidden="false" customHeight="true" outlineLevel="0" collapsed="false">
      <c r="A910" s="73" t="s">
        <v>2552</v>
      </c>
      <c r="B910" s="73" t="s">
        <v>861</v>
      </c>
      <c r="C910" s="73" t="s">
        <v>653</v>
      </c>
      <c r="D910" s="73" t="s">
        <v>867</v>
      </c>
      <c r="E910" s="73" t="s">
        <v>705</v>
      </c>
      <c r="F910" s="73" t="s">
        <v>744</v>
      </c>
      <c r="G910" s="73" t="s">
        <v>655</v>
      </c>
      <c r="H910" s="73" t="s">
        <v>2553</v>
      </c>
      <c r="I910" s="73" t="s">
        <v>869</v>
      </c>
      <c r="J910" s="73" t="s">
        <v>1008</v>
      </c>
      <c r="K910" s="73" t="s">
        <v>871</v>
      </c>
      <c r="L910" s="107" t="n">
        <v>110</v>
      </c>
    </row>
    <row r="911" customFormat="false" ht="15" hidden="false" customHeight="true" outlineLevel="0" collapsed="false">
      <c r="A911" s="73" t="s">
        <v>2554</v>
      </c>
      <c r="B911" s="73" t="s">
        <v>861</v>
      </c>
      <c r="C911" s="73" t="s">
        <v>653</v>
      </c>
      <c r="D911" s="73" t="s">
        <v>873</v>
      </c>
      <c r="E911" s="73" t="s">
        <v>705</v>
      </c>
      <c r="F911" s="73" t="s">
        <v>744</v>
      </c>
      <c r="G911" s="73" t="s">
        <v>655</v>
      </c>
      <c r="H911" s="73" t="s">
        <v>2555</v>
      </c>
      <c r="I911" s="73" t="s">
        <v>875</v>
      </c>
      <c r="J911" s="73" t="s">
        <v>876</v>
      </c>
      <c r="K911" s="73"/>
      <c r="L911" s="104" t="n">
        <v>1</v>
      </c>
    </row>
    <row r="912" customFormat="false" ht="15" hidden="false" customHeight="true" outlineLevel="0" collapsed="false">
      <c r="A912" s="73" t="s">
        <v>2556</v>
      </c>
      <c r="B912" s="73" t="s">
        <v>861</v>
      </c>
      <c r="C912" s="73" t="s">
        <v>653</v>
      </c>
      <c r="D912" s="73" t="s">
        <v>878</v>
      </c>
      <c r="E912" s="73" t="s">
        <v>705</v>
      </c>
      <c r="F912" s="73" t="s">
        <v>744</v>
      </c>
      <c r="G912" s="73" t="s">
        <v>655</v>
      </c>
      <c r="H912" s="73" t="s">
        <v>2557</v>
      </c>
      <c r="I912" s="73" t="s">
        <v>880</v>
      </c>
      <c r="J912" s="73" t="s">
        <v>881</v>
      </c>
      <c r="K912" s="73"/>
      <c r="L912" s="104" t="n">
        <v>0.15</v>
      </c>
    </row>
    <row r="913" customFormat="false" ht="15" hidden="false" customHeight="true" outlineLevel="0" collapsed="false">
      <c r="A913" s="73" t="s">
        <v>2558</v>
      </c>
      <c r="B913" s="73" t="s">
        <v>861</v>
      </c>
      <c r="C913" s="73" t="s">
        <v>653</v>
      </c>
      <c r="D913" s="73" t="s">
        <v>883</v>
      </c>
      <c r="E913" s="73" t="s">
        <v>705</v>
      </c>
      <c r="F913" s="73" t="s">
        <v>744</v>
      </c>
      <c r="G913" s="73" t="s">
        <v>655</v>
      </c>
      <c r="H913" s="73" t="s">
        <v>2559</v>
      </c>
      <c r="I913" s="73" t="s">
        <v>880</v>
      </c>
      <c r="J913" s="73" t="s">
        <v>885</v>
      </c>
      <c r="K913" s="73"/>
      <c r="L913" s="104" t="n">
        <v>0.06</v>
      </c>
    </row>
    <row r="914" customFormat="false" ht="15" hidden="false" customHeight="true" outlineLevel="0" collapsed="false">
      <c r="A914" s="73" t="s">
        <v>2560</v>
      </c>
      <c r="B914" s="73" t="s">
        <v>861</v>
      </c>
      <c r="C914" s="73" t="s">
        <v>653</v>
      </c>
      <c r="D914" s="73" t="s">
        <v>887</v>
      </c>
      <c r="E914" s="73" t="s">
        <v>705</v>
      </c>
      <c r="F914" s="73" t="s">
        <v>744</v>
      </c>
      <c r="G914" s="73" t="s">
        <v>655</v>
      </c>
      <c r="H914" s="73" t="s">
        <v>2561</v>
      </c>
      <c r="I914" s="73" t="s">
        <v>880</v>
      </c>
      <c r="J914" s="73" t="s">
        <v>889</v>
      </c>
      <c r="K914" s="73"/>
      <c r="L914" s="104" t="n">
        <v>0.05</v>
      </c>
    </row>
    <row r="915" customFormat="false" ht="15" hidden="false" customHeight="true" outlineLevel="0" collapsed="false">
      <c r="A915" s="73" t="s">
        <v>2562</v>
      </c>
      <c r="B915" s="73" t="s">
        <v>861</v>
      </c>
      <c r="C915" s="73" t="s">
        <v>653</v>
      </c>
      <c r="D915" s="73" t="s">
        <v>891</v>
      </c>
      <c r="E915" s="73" t="s">
        <v>705</v>
      </c>
      <c r="F915" s="73" t="s">
        <v>744</v>
      </c>
      <c r="G915" s="73" t="s">
        <v>96</v>
      </c>
      <c r="H915" s="73" t="s">
        <v>2563</v>
      </c>
      <c r="I915" s="73" t="s">
        <v>893</v>
      </c>
      <c r="J915" s="73" t="s">
        <v>894</v>
      </c>
      <c r="K915" s="73" t="s">
        <v>895</v>
      </c>
      <c r="L915" s="103" t="n">
        <v>4.5</v>
      </c>
    </row>
    <row r="916" customFormat="false" ht="15" hidden="false" customHeight="true" outlineLevel="0" collapsed="false">
      <c r="A916" s="73" t="s">
        <v>2564</v>
      </c>
      <c r="B916" s="73" t="s">
        <v>861</v>
      </c>
      <c r="C916" s="73" t="s">
        <v>653</v>
      </c>
      <c r="D916" s="73" t="s">
        <v>891</v>
      </c>
      <c r="E916" s="73" t="s">
        <v>705</v>
      </c>
      <c r="F916" s="73" t="s">
        <v>744</v>
      </c>
      <c r="G916" s="73" t="s">
        <v>99</v>
      </c>
      <c r="H916" s="73" t="s">
        <v>2565</v>
      </c>
      <c r="I916" s="73" t="s">
        <v>893</v>
      </c>
      <c r="J916" s="73" t="s">
        <v>898</v>
      </c>
      <c r="K916" s="73" t="s">
        <v>895</v>
      </c>
      <c r="L916" s="103" t="n">
        <v>0.5</v>
      </c>
    </row>
    <row r="917" customFormat="false" ht="15" hidden="false" customHeight="true" outlineLevel="0" collapsed="false">
      <c r="A917" s="73" t="s">
        <v>2566</v>
      </c>
      <c r="B917" s="73" t="s">
        <v>861</v>
      </c>
      <c r="C917" s="73" t="s">
        <v>653</v>
      </c>
      <c r="D917" s="73" t="s">
        <v>891</v>
      </c>
      <c r="E917" s="73" t="s">
        <v>705</v>
      </c>
      <c r="F917" s="73" t="s">
        <v>744</v>
      </c>
      <c r="G917" s="73" t="s">
        <v>101</v>
      </c>
      <c r="H917" s="73" t="s">
        <v>2567</v>
      </c>
      <c r="I917" s="73" t="s">
        <v>893</v>
      </c>
      <c r="J917" s="73" t="s">
        <v>901</v>
      </c>
      <c r="K917" s="73" t="s">
        <v>895</v>
      </c>
      <c r="L917" s="103" t="n">
        <v>0</v>
      </c>
    </row>
    <row r="918" customFormat="false" ht="15" hidden="false" customHeight="true" outlineLevel="0" collapsed="false">
      <c r="A918" s="73" t="s">
        <v>2568</v>
      </c>
      <c r="B918" s="73" t="s">
        <v>861</v>
      </c>
      <c r="C918" s="73" t="s">
        <v>653</v>
      </c>
      <c r="D918" s="73" t="s">
        <v>891</v>
      </c>
      <c r="E918" s="73" t="s">
        <v>705</v>
      </c>
      <c r="F918" s="73" t="s">
        <v>744</v>
      </c>
      <c r="G918" s="73" t="s">
        <v>103</v>
      </c>
      <c r="H918" s="73" t="s">
        <v>2569</v>
      </c>
      <c r="I918" s="73" t="s">
        <v>893</v>
      </c>
      <c r="J918" s="73" t="s">
        <v>904</v>
      </c>
      <c r="K918" s="73" t="s">
        <v>895</v>
      </c>
      <c r="L918" s="103" t="n">
        <v>0.2</v>
      </c>
    </row>
    <row r="919" customFormat="false" ht="15" hidden="false" customHeight="true" outlineLevel="0" collapsed="false">
      <c r="A919" s="73" t="s">
        <v>2570</v>
      </c>
      <c r="B919" s="73" t="s">
        <v>861</v>
      </c>
      <c r="C919" s="73" t="s">
        <v>653</v>
      </c>
      <c r="D919" s="73" t="s">
        <v>891</v>
      </c>
      <c r="E919" s="73" t="s">
        <v>705</v>
      </c>
      <c r="F919" s="73" t="s">
        <v>744</v>
      </c>
      <c r="G919" s="73" t="s">
        <v>105</v>
      </c>
      <c r="H919" s="73" t="s">
        <v>2571</v>
      </c>
      <c r="I919" s="73" t="s">
        <v>893</v>
      </c>
      <c r="J919" s="73" t="s">
        <v>907</v>
      </c>
      <c r="K919" s="73" t="s">
        <v>895</v>
      </c>
      <c r="L919" s="103" t="n">
        <v>0</v>
      </c>
    </row>
    <row r="920" customFormat="false" ht="15" hidden="false" customHeight="true" outlineLevel="0" collapsed="false">
      <c r="A920" s="73" t="s">
        <v>2572</v>
      </c>
      <c r="B920" s="73" t="s">
        <v>861</v>
      </c>
      <c r="C920" s="73" t="s">
        <v>653</v>
      </c>
      <c r="D920" s="73" t="s">
        <v>891</v>
      </c>
      <c r="E920" s="73" t="s">
        <v>705</v>
      </c>
      <c r="F920" s="73" t="s">
        <v>744</v>
      </c>
      <c r="G920" s="73" t="s">
        <v>107</v>
      </c>
      <c r="H920" s="73" t="s">
        <v>2573</v>
      </c>
      <c r="I920" s="73" t="s">
        <v>893</v>
      </c>
      <c r="J920" s="73" t="s">
        <v>910</v>
      </c>
      <c r="K920" s="73" t="s">
        <v>895</v>
      </c>
      <c r="L920" s="103" t="n">
        <v>0</v>
      </c>
    </row>
    <row r="921" customFormat="false" ht="15" hidden="false" customHeight="true" outlineLevel="0" collapsed="false">
      <c r="A921" s="73" t="s">
        <v>2574</v>
      </c>
      <c r="B921" s="73" t="s">
        <v>861</v>
      </c>
      <c r="C921" s="73" t="s">
        <v>653</v>
      </c>
      <c r="D921" s="73" t="s">
        <v>891</v>
      </c>
      <c r="E921" s="73" t="s">
        <v>705</v>
      </c>
      <c r="F921" s="73" t="s">
        <v>744</v>
      </c>
      <c r="G921" s="73" t="s">
        <v>109</v>
      </c>
      <c r="H921" s="73" t="s">
        <v>2575</v>
      </c>
      <c r="I921" s="73" t="s">
        <v>893</v>
      </c>
      <c r="J921" s="73" t="s">
        <v>913</v>
      </c>
      <c r="K921" s="73" t="s">
        <v>895</v>
      </c>
      <c r="L921" s="103" t="n">
        <v>0</v>
      </c>
    </row>
    <row r="922" customFormat="false" ht="15" hidden="false" customHeight="true" outlineLevel="0" collapsed="false">
      <c r="A922" s="73" t="s">
        <v>2576</v>
      </c>
      <c r="B922" s="73" t="s">
        <v>861</v>
      </c>
      <c r="C922" s="73" t="s">
        <v>653</v>
      </c>
      <c r="D922" s="73" t="s">
        <v>891</v>
      </c>
      <c r="E922" s="73" t="s">
        <v>705</v>
      </c>
      <c r="F922" s="73" t="s">
        <v>744</v>
      </c>
      <c r="G922" s="73" t="s">
        <v>111</v>
      </c>
      <c r="H922" s="73" t="s">
        <v>2577</v>
      </c>
      <c r="I922" s="73" t="s">
        <v>893</v>
      </c>
      <c r="J922" s="73" t="s">
        <v>916</v>
      </c>
      <c r="K922" s="73" t="s">
        <v>895</v>
      </c>
      <c r="L922" s="103" t="n">
        <v>0</v>
      </c>
    </row>
    <row r="923" customFormat="false" ht="15" hidden="false" customHeight="true" outlineLevel="0" collapsed="false">
      <c r="A923" s="73" t="s">
        <v>2578</v>
      </c>
      <c r="B923" s="73" t="s">
        <v>861</v>
      </c>
      <c r="C923" s="73" t="s">
        <v>653</v>
      </c>
      <c r="D923" s="73" t="s">
        <v>918</v>
      </c>
      <c r="E923" s="73" t="s">
        <v>705</v>
      </c>
      <c r="F923" s="73" t="s">
        <v>744</v>
      </c>
      <c r="G923" s="73" t="s">
        <v>96</v>
      </c>
      <c r="H923" s="73" t="s">
        <v>2579</v>
      </c>
      <c r="I923" s="73" t="s">
        <v>893</v>
      </c>
      <c r="J923" s="73" t="s">
        <v>920</v>
      </c>
      <c r="K923" s="73" t="s">
        <v>895</v>
      </c>
      <c r="L923" s="103" t="n">
        <v>18</v>
      </c>
    </row>
    <row r="924" customFormat="false" ht="15" hidden="false" customHeight="true" outlineLevel="0" collapsed="false">
      <c r="A924" s="73" t="s">
        <v>2580</v>
      </c>
      <c r="B924" s="73" t="s">
        <v>861</v>
      </c>
      <c r="C924" s="73" t="s">
        <v>653</v>
      </c>
      <c r="D924" s="73" t="s">
        <v>918</v>
      </c>
      <c r="E924" s="73" t="s">
        <v>705</v>
      </c>
      <c r="F924" s="73" t="s">
        <v>744</v>
      </c>
      <c r="G924" s="73" t="s">
        <v>99</v>
      </c>
      <c r="H924" s="73" t="s">
        <v>2581</v>
      </c>
      <c r="I924" s="73" t="s">
        <v>893</v>
      </c>
      <c r="J924" s="73" t="s">
        <v>923</v>
      </c>
      <c r="K924" s="73" t="s">
        <v>895</v>
      </c>
      <c r="L924" s="103" t="n">
        <v>0</v>
      </c>
    </row>
    <row r="925" customFormat="false" ht="15" hidden="false" customHeight="true" outlineLevel="0" collapsed="false">
      <c r="A925" s="73" t="s">
        <v>2582</v>
      </c>
      <c r="B925" s="73" t="s">
        <v>861</v>
      </c>
      <c r="C925" s="73" t="s">
        <v>653</v>
      </c>
      <c r="D925" s="73" t="s">
        <v>918</v>
      </c>
      <c r="E925" s="73" t="s">
        <v>705</v>
      </c>
      <c r="F925" s="73" t="s">
        <v>744</v>
      </c>
      <c r="G925" s="73" t="s">
        <v>101</v>
      </c>
      <c r="H925" s="73" t="s">
        <v>2583</v>
      </c>
      <c r="I925" s="73" t="s">
        <v>893</v>
      </c>
      <c r="J925" s="73" t="s">
        <v>926</v>
      </c>
      <c r="K925" s="73" t="s">
        <v>895</v>
      </c>
      <c r="L925" s="103" t="n">
        <v>0</v>
      </c>
    </row>
    <row r="926" customFormat="false" ht="15" hidden="false" customHeight="true" outlineLevel="0" collapsed="false">
      <c r="A926" s="73" t="s">
        <v>2584</v>
      </c>
      <c r="B926" s="73" t="s">
        <v>861</v>
      </c>
      <c r="C926" s="73" t="s">
        <v>653</v>
      </c>
      <c r="D926" s="73" t="s">
        <v>918</v>
      </c>
      <c r="E926" s="73" t="s">
        <v>705</v>
      </c>
      <c r="F926" s="73" t="s">
        <v>744</v>
      </c>
      <c r="G926" s="73" t="s">
        <v>103</v>
      </c>
      <c r="H926" s="73" t="s">
        <v>2585</v>
      </c>
      <c r="I926" s="73" t="s">
        <v>893</v>
      </c>
      <c r="J926" s="73" t="s">
        <v>929</v>
      </c>
      <c r="K926" s="73" t="s">
        <v>895</v>
      </c>
      <c r="L926" s="103" t="n">
        <v>0</v>
      </c>
    </row>
    <row r="927" customFormat="false" ht="15" hidden="false" customHeight="true" outlineLevel="0" collapsed="false">
      <c r="A927" s="73" t="s">
        <v>2586</v>
      </c>
      <c r="B927" s="73" t="s">
        <v>861</v>
      </c>
      <c r="C927" s="73" t="s">
        <v>653</v>
      </c>
      <c r="D927" s="73" t="s">
        <v>918</v>
      </c>
      <c r="E927" s="73" t="s">
        <v>705</v>
      </c>
      <c r="F927" s="73" t="s">
        <v>744</v>
      </c>
      <c r="G927" s="73" t="s">
        <v>105</v>
      </c>
      <c r="H927" s="73" t="s">
        <v>2587</v>
      </c>
      <c r="I927" s="73" t="s">
        <v>893</v>
      </c>
      <c r="J927" s="73" t="s">
        <v>932</v>
      </c>
      <c r="K927" s="73" t="s">
        <v>895</v>
      </c>
      <c r="L927" s="103" t="n">
        <v>0</v>
      </c>
    </row>
    <row r="928" customFormat="false" ht="15" hidden="false" customHeight="true" outlineLevel="0" collapsed="false">
      <c r="A928" s="73" t="s">
        <v>2588</v>
      </c>
      <c r="B928" s="73" t="s">
        <v>861</v>
      </c>
      <c r="C928" s="73" t="s">
        <v>653</v>
      </c>
      <c r="D928" s="73" t="s">
        <v>918</v>
      </c>
      <c r="E928" s="73" t="s">
        <v>705</v>
      </c>
      <c r="F928" s="73" t="s">
        <v>744</v>
      </c>
      <c r="G928" s="73" t="s">
        <v>107</v>
      </c>
      <c r="H928" s="73" t="s">
        <v>2589</v>
      </c>
      <c r="I928" s="73" t="s">
        <v>893</v>
      </c>
      <c r="J928" s="73" t="s">
        <v>935</v>
      </c>
      <c r="K928" s="73" t="s">
        <v>895</v>
      </c>
      <c r="L928" s="103" t="n">
        <v>0</v>
      </c>
    </row>
    <row r="929" customFormat="false" ht="15" hidden="false" customHeight="true" outlineLevel="0" collapsed="false">
      <c r="A929" s="73" t="s">
        <v>2590</v>
      </c>
      <c r="B929" s="73" t="s">
        <v>861</v>
      </c>
      <c r="C929" s="73" t="s">
        <v>653</v>
      </c>
      <c r="D929" s="73" t="s">
        <v>918</v>
      </c>
      <c r="E929" s="73" t="s">
        <v>705</v>
      </c>
      <c r="F929" s="73" t="s">
        <v>744</v>
      </c>
      <c r="G929" s="73" t="s">
        <v>109</v>
      </c>
      <c r="H929" s="73" t="s">
        <v>2591</v>
      </c>
      <c r="I929" s="73" t="s">
        <v>893</v>
      </c>
      <c r="J929" s="73" t="s">
        <v>938</v>
      </c>
      <c r="K929" s="73" t="s">
        <v>895</v>
      </c>
      <c r="L929" s="103" t="n">
        <v>0</v>
      </c>
    </row>
    <row r="930" customFormat="false" ht="15" hidden="false" customHeight="true" outlineLevel="0" collapsed="false">
      <c r="A930" s="73" t="s">
        <v>2592</v>
      </c>
      <c r="B930" s="73" t="s">
        <v>861</v>
      </c>
      <c r="C930" s="73" t="s">
        <v>653</v>
      </c>
      <c r="D930" s="73" t="s">
        <v>918</v>
      </c>
      <c r="E930" s="73" t="s">
        <v>705</v>
      </c>
      <c r="F930" s="73" t="s">
        <v>744</v>
      </c>
      <c r="G930" s="73" t="s">
        <v>111</v>
      </c>
      <c r="H930" s="73" t="s">
        <v>2593</v>
      </c>
      <c r="I930" s="73" t="s">
        <v>893</v>
      </c>
      <c r="J930" s="73" t="s">
        <v>941</v>
      </c>
      <c r="K930" s="73" t="s">
        <v>895</v>
      </c>
      <c r="L930" s="103" t="n">
        <v>0</v>
      </c>
    </row>
    <row r="931" customFormat="false" ht="15" hidden="false" customHeight="true" outlineLevel="0" collapsed="false">
      <c r="A931" s="73" t="s">
        <v>2594</v>
      </c>
      <c r="B931" s="73" t="s">
        <v>861</v>
      </c>
      <c r="C931" s="73" t="s">
        <v>653</v>
      </c>
      <c r="D931" s="73" t="s">
        <v>943</v>
      </c>
      <c r="E931" s="73" t="s">
        <v>705</v>
      </c>
      <c r="F931" s="73" t="s">
        <v>744</v>
      </c>
      <c r="G931" s="73" t="s">
        <v>944</v>
      </c>
      <c r="H931" s="73" t="s">
        <v>2595</v>
      </c>
      <c r="I931" s="73" t="s">
        <v>893</v>
      </c>
      <c r="J931" s="73" t="s">
        <v>946</v>
      </c>
      <c r="K931" s="73"/>
      <c r="L931" s="103" t="n">
        <v>1.5</v>
      </c>
    </row>
    <row r="932" customFormat="false" ht="15" hidden="false" customHeight="true" outlineLevel="0" collapsed="false">
      <c r="A932" s="73" t="s">
        <v>2596</v>
      </c>
      <c r="B932" s="73" t="s">
        <v>861</v>
      </c>
      <c r="C932" s="73" t="s">
        <v>653</v>
      </c>
      <c r="D932" s="73" t="s">
        <v>948</v>
      </c>
      <c r="E932" s="73" t="s">
        <v>705</v>
      </c>
      <c r="F932" s="73" t="s">
        <v>744</v>
      </c>
      <c r="G932" s="73" t="s">
        <v>655</v>
      </c>
      <c r="H932" s="73" t="s">
        <v>2597</v>
      </c>
      <c r="I932" s="73" t="s">
        <v>708</v>
      </c>
      <c r="J932" s="73" t="s">
        <v>950</v>
      </c>
      <c r="K932" s="73" t="s">
        <v>951</v>
      </c>
      <c r="L932" s="103" t="n">
        <v>0.25</v>
      </c>
    </row>
    <row r="933" customFormat="false" ht="15" hidden="false" customHeight="true" outlineLevel="0" collapsed="false">
      <c r="A933" s="73" t="s">
        <v>2598</v>
      </c>
      <c r="B933" s="73" t="s">
        <v>861</v>
      </c>
      <c r="C933" s="73" t="s">
        <v>653</v>
      </c>
      <c r="D933" s="73" t="s">
        <v>953</v>
      </c>
      <c r="E933" s="73" t="s">
        <v>705</v>
      </c>
      <c r="F933" s="73" t="s">
        <v>744</v>
      </c>
      <c r="G933" s="73" t="s">
        <v>655</v>
      </c>
      <c r="H933" s="73" t="s">
        <v>2599</v>
      </c>
      <c r="I933" s="73" t="s">
        <v>955</v>
      </c>
      <c r="J933" s="73" t="s">
        <v>956</v>
      </c>
      <c r="K933" s="73" t="s">
        <v>951</v>
      </c>
      <c r="L933" s="103" t="n">
        <v>0</v>
      </c>
    </row>
    <row r="934" customFormat="false" ht="15" hidden="false" customHeight="true" outlineLevel="0" collapsed="false">
      <c r="A934" s="73" t="s">
        <v>2600</v>
      </c>
      <c r="B934" s="73" t="s">
        <v>861</v>
      </c>
      <c r="C934" s="73" t="s">
        <v>653</v>
      </c>
      <c r="D934" s="73" t="s">
        <v>867</v>
      </c>
      <c r="E934" s="73" t="s">
        <v>755</v>
      </c>
      <c r="F934" s="73" t="s">
        <v>756</v>
      </c>
      <c r="G934" s="73" t="s">
        <v>655</v>
      </c>
      <c r="H934" s="73" t="s">
        <v>2601</v>
      </c>
      <c r="I934" s="73" t="s">
        <v>869</v>
      </c>
      <c r="J934" s="73" t="s">
        <v>1057</v>
      </c>
      <c r="K934" s="73" t="s">
        <v>871</v>
      </c>
      <c r="L934" s="107" t="n">
        <v>440</v>
      </c>
    </row>
    <row r="935" customFormat="false" ht="15" hidden="false" customHeight="true" outlineLevel="0" collapsed="false">
      <c r="A935" s="73" t="s">
        <v>2602</v>
      </c>
      <c r="B935" s="73" t="s">
        <v>861</v>
      </c>
      <c r="C935" s="73" t="s">
        <v>653</v>
      </c>
      <c r="D935" s="73" t="s">
        <v>873</v>
      </c>
      <c r="E935" s="73" t="s">
        <v>755</v>
      </c>
      <c r="F935" s="73" t="s">
        <v>756</v>
      </c>
      <c r="G935" s="73" t="s">
        <v>655</v>
      </c>
      <c r="H935" s="73" t="s">
        <v>2603</v>
      </c>
      <c r="I935" s="73" t="s">
        <v>875</v>
      </c>
      <c r="J935" s="73" t="s">
        <v>876</v>
      </c>
      <c r="K935" s="73"/>
      <c r="L935" s="104" t="n">
        <v>0.9</v>
      </c>
    </row>
    <row r="936" customFormat="false" ht="15" hidden="false" customHeight="true" outlineLevel="0" collapsed="false">
      <c r="A936" s="73" t="s">
        <v>2604</v>
      </c>
      <c r="B936" s="73" t="s">
        <v>861</v>
      </c>
      <c r="C936" s="73" t="s">
        <v>653</v>
      </c>
      <c r="D936" s="73" t="s">
        <v>878</v>
      </c>
      <c r="E936" s="73" t="s">
        <v>755</v>
      </c>
      <c r="F936" s="73" t="s">
        <v>756</v>
      </c>
      <c r="G936" s="73" t="s">
        <v>655</v>
      </c>
      <c r="H936" s="73" t="s">
        <v>2605</v>
      </c>
      <c r="I936" s="73" t="s">
        <v>880</v>
      </c>
      <c r="J936" s="73" t="s">
        <v>881</v>
      </c>
      <c r="K936" s="73"/>
      <c r="L936" s="104" t="n">
        <v>0.02</v>
      </c>
    </row>
    <row r="937" customFormat="false" ht="15" hidden="false" customHeight="true" outlineLevel="0" collapsed="false">
      <c r="A937" s="73" t="s">
        <v>2606</v>
      </c>
      <c r="B937" s="73" t="s">
        <v>861</v>
      </c>
      <c r="C937" s="73" t="s">
        <v>653</v>
      </c>
      <c r="D937" s="73" t="s">
        <v>883</v>
      </c>
      <c r="E937" s="73" t="s">
        <v>755</v>
      </c>
      <c r="F937" s="73" t="s">
        <v>756</v>
      </c>
      <c r="G937" s="73" t="s">
        <v>655</v>
      </c>
      <c r="H937" s="73" t="s">
        <v>2607</v>
      </c>
      <c r="I937" s="73" t="s">
        <v>880</v>
      </c>
      <c r="J937" s="73" t="s">
        <v>885</v>
      </c>
      <c r="K937" s="73"/>
      <c r="L937" s="104" t="n">
        <v>0.005</v>
      </c>
    </row>
    <row r="938" customFormat="false" ht="15" hidden="false" customHeight="true" outlineLevel="0" collapsed="false">
      <c r="A938" s="73" t="s">
        <v>2608</v>
      </c>
      <c r="B938" s="73" t="s">
        <v>861</v>
      </c>
      <c r="C938" s="73" t="s">
        <v>653</v>
      </c>
      <c r="D938" s="73" t="s">
        <v>887</v>
      </c>
      <c r="E938" s="73" t="s">
        <v>755</v>
      </c>
      <c r="F938" s="73" t="s">
        <v>756</v>
      </c>
      <c r="G938" s="73" t="s">
        <v>655</v>
      </c>
      <c r="H938" s="73" t="s">
        <v>2609</v>
      </c>
      <c r="I938" s="73" t="s">
        <v>880</v>
      </c>
      <c r="J938" s="73" t="s">
        <v>889</v>
      </c>
      <c r="K938" s="73"/>
      <c r="L938" s="104" t="n">
        <v>0.01</v>
      </c>
    </row>
    <row r="939" customFormat="false" ht="15" hidden="false" customHeight="true" outlineLevel="0" collapsed="false">
      <c r="A939" s="73" t="s">
        <v>2610</v>
      </c>
      <c r="B939" s="73" t="s">
        <v>861</v>
      </c>
      <c r="C939" s="73" t="s">
        <v>653</v>
      </c>
      <c r="D939" s="73" t="s">
        <v>891</v>
      </c>
      <c r="E939" s="73" t="s">
        <v>755</v>
      </c>
      <c r="F939" s="73" t="s">
        <v>756</v>
      </c>
      <c r="G939" s="73" t="s">
        <v>96</v>
      </c>
      <c r="H939" s="73" t="s">
        <v>2611</v>
      </c>
      <c r="I939" s="73" t="s">
        <v>893</v>
      </c>
      <c r="J939" s="73" t="s">
        <v>894</v>
      </c>
      <c r="K939" s="73" t="s">
        <v>895</v>
      </c>
      <c r="L939" s="103" t="n">
        <v>3</v>
      </c>
    </row>
    <row r="940" customFormat="false" ht="15" hidden="false" customHeight="true" outlineLevel="0" collapsed="false">
      <c r="A940" s="73" t="s">
        <v>2612</v>
      </c>
      <c r="B940" s="73" t="s">
        <v>861</v>
      </c>
      <c r="C940" s="73" t="s">
        <v>653</v>
      </c>
      <c r="D940" s="73" t="s">
        <v>891</v>
      </c>
      <c r="E940" s="73" t="s">
        <v>755</v>
      </c>
      <c r="F940" s="73" t="s">
        <v>756</v>
      </c>
      <c r="G940" s="73" t="s">
        <v>99</v>
      </c>
      <c r="H940" s="73" t="s">
        <v>2613</v>
      </c>
      <c r="I940" s="73" t="s">
        <v>893</v>
      </c>
      <c r="J940" s="73" t="s">
        <v>898</v>
      </c>
      <c r="K940" s="73" t="s">
        <v>895</v>
      </c>
      <c r="L940" s="103" t="n">
        <v>0.2</v>
      </c>
    </row>
    <row r="941" customFormat="false" ht="15" hidden="false" customHeight="true" outlineLevel="0" collapsed="false">
      <c r="A941" s="73" t="s">
        <v>2614</v>
      </c>
      <c r="B941" s="73" t="s">
        <v>861</v>
      </c>
      <c r="C941" s="73" t="s">
        <v>653</v>
      </c>
      <c r="D941" s="73" t="s">
        <v>891</v>
      </c>
      <c r="E941" s="73" t="s">
        <v>755</v>
      </c>
      <c r="F941" s="73" t="s">
        <v>756</v>
      </c>
      <c r="G941" s="73" t="s">
        <v>101</v>
      </c>
      <c r="H941" s="73" t="s">
        <v>2615</v>
      </c>
      <c r="I941" s="73" t="s">
        <v>893</v>
      </c>
      <c r="J941" s="73" t="s">
        <v>901</v>
      </c>
      <c r="K941" s="73" t="s">
        <v>895</v>
      </c>
      <c r="L941" s="103" t="n">
        <v>0</v>
      </c>
    </row>
    <row r="942" customFormat="false" ht="15" hidden="false" customHeight="true" outlineLevel="0" collapsed="false">
      <c r="A942" s="73" t="s">
        <v>2616</v>
      </c>
      <c r="B942" s="73" t="s">
        <v>861</v>
      </c>
      <c r="C942" s="73" t="s">
        <v>653</v>
      </c>
      <c r="D942" s="73" t="s">
        <v>891</v>
      </c>
      <c r="E942" s="73" t="s">
        <v>755</v>
      </c>
      <c r="F942" s="73" t="s">
        <v>756</v>
      </c>
      <c r="G942" s="73" t="s">
        <v>103</v>
      </c>
      <c r="H942" s="73" t="s">
        <v>2617</v>
      </c>
      <c r="I942" s="73" t="s">
        <v>893</v>
      </c>
      <c r="J942" s="73" t="s">
        <v>904</v>
      </c>
      <c r="K942" s="73" t="s">
        <v>895</v>
      </c>
      <c r="L942" s="103" t="n">
        <v>0</v>
      </c>
    </row>
    <row r="943" customFormat="false" ht="15" hidden="false" customHeight="true" outlineLevel="0" collapsed="false">
      <c r="A943" s="73" t="s">
        <v>2618</v>
      </c>
      <c r="B943" s="73" t="s">
        <v>861</v>
      </c>
      <c r="C943" s="73" t="s">
        <v>653</v>
      </c>
      <c r="D943" s="73" t="s">
        <v>891</v>
      </c>
      <c r="E943" s="73" t="s">
        <v>755</v>
      </c>
      <c r="F943" s="73" t="s">
        <v>756</v>
      </c>
      <c r="G943" s="73" t="s">
        <v>105</v>
      </c>
      <c r="H943" s="73" t="s">
        <v>2619</v>
      </c>
      <c r="I943" s="73" t="s">
        <v>893</v>
      </c>
      <c r="J943" s="73" t="s">
        <v>907</v>
      </c>
      <c r="K943" s="73" t="s">
        <v>895</v>
      </c>
      <c r="L943" s="103" t="n">
        <v>0</v>
      </c>
    </row>
    <row r="944" customFormat="false" ht="15" hidden="false" customHeight="true" outlineLevel="0" collapsed="false">
      <c r="A944" s="73" t="s">
        <v>2620</v>
      </c>
      <c r="B944" s="73" t="s">
        <v>861</v>
      </c>
      <c r="C944" s="73" t="s">
        <v>653</v>
      </c>
      <c r="D944" s="73" t="s">
        <v>891</v>
      </c>
      <c r="E944" s="73" t="s">
        <v>755</v>
      </c>
      <c r="F944" s="73" t="s">
        <v>756</v>
      </c>
      <c r="G944" s="73" t="s">
        <v>107</v>
      </c>
      <c r="H944" s="73" t="s">
        <v>2621</v>
      </c>
      <c r="I944" s="73" t="s">
        <v>893</v>
      </c>
      <c r="J944" s="73" t="s">
        <v>910</v>
      </c>
      <c r="K944" s="73" t="s">
        <v>895</v>
      </c>
      <c r="L944" s="103" t="n">
        <v>0</v>
      </c>
    </row>
    <row r="945" customFormat="false" ht="15" hidden="false" customHeight="true" outlineLevel="0" collapsed="false">
      <c r="A945" s="73" t="s">
        <v>2622</v>
      </c>
      <c r="B945" s="73" t="s">
        <v>861</v>
      </c>
      <c r="C945" s="73" t="s">
        <v>653</v>
      </c>
      <c r="D945" s="73" t="s">
        <v>891</v>
      </c>
      <c r="E945" s="73" t="s">
        <v>755</v>
      </c>
      <c r="F945" s="73" t="s">
        <v>756</v>
      </c>
      <c r="G945" s="73" t="s">
        <v>109</v>
      </c>
      <c r="H945" s="73" t="s">
        <v>2623</v>
      </c>
      <c r="I945" s="73" t="s">
        <v>893</v>
      </c>
      <c r="J945" s="73" t="s">
        <v>913</v>
      </c>
      <c r="K945" s="73" t="s">
        <v>895</v>
      </c>
      <c r="L945" s="103" t="n">
        <v>0</v>
      </c>
    </row>
    <row r="946" customFormat="false" ht="15" hidden="false" customHeight="true" outlineLevel="0" collapsed="false">
      <c r="A946" s="73" t="s">
        <v>2624</v>
      </c>
      <c r="B946" s="73" t="s">
        <v>861</v>
      </c>
      <c r="C946" s="73" t="s">
        <v>653</v>
      </c>
      <c r="D946" s="73" t="s">
        <v>891</v>
      </c>
      <c r="E946" s="73" t="s">
        <v>755</v>
      </c>
      <c r="F946" s="73" t="s">
        <v>756</v>
      </c>
      <c r="G946" s="73" t="s">
        <v>111</v>
      </c>
      <c r="H946" s="73" t="s">
        <v>2625</v>
      </c>
      <c r="I946" s="73" t="s">
        <v>893</v>
      </c>
      <c r="J946" s="73" t="s">
        <v>916</v>
      </c>
      <c r="K946" s="73" t="s">
        <v>895</v>
      </c>
      <c r="L946" s="103" t="n">
        <v>0</v>
      </c>
    </row>
    <row r="947" customFormat="false" ht="15" hidden="false" customHeight="true" outlineLevel="0" collapsed="false">
      <c r="A947" s="73" t="s">
        <v>2626</v>
      </c>
      <c r="B947" s="73" t="s">
        <v>861</v>
      </c>
      <c r="C947" s="73" t="s">
        <v>653</v>
      </c>
      <c r="D947" s="73" t="s">
        <v>918</v>
      </c>
      <c r="E947" s="73" t="s">
        <v>755</v>
      </c>
      <c r="F947" s="73" t="s">
        <v>756</v>
      </c>
      <c r="G947" s="73" t="s">
        <v>96</v>
      </c>
      <c r="H947" s="73" t="s">
        <v>2627</v>
      </c>
      <c r="I947" s="73" t="s">
        <v>893</v>
      </c>
      <c r="J947" s="73" t="s">
        <v>920</v>
      </c>
      <c r="K947" s="73" t="s">
        <v>895</v>
      </c>
      <c r="L947" s="103" t="n">
        <v>0</v>
      </c>
    </row>
    <row r="948" customFormat="false" ht="15" hidden="false" customHeight="true" outlineLevel="0" collapsed="false">
      <c r="A948" s="73" t="s">
        <v>2628</v>
      </c>
      <c r="B948" s="73" t="s">
        <v>861</v>
      </c>
      <c r="C948" s="73" t="s">
        <v>653</v>
      </c>
      <c r="D948" s="73" t="s">
        <v>918</v>
      </c>
      <c r="E948" s="73" t="s">
        <v>755</v>
      </c>
      <c r="F948" s="73" t="s">
        <v>756</v>
      </c>
      <c r="G948" s="73" t="s">
        <v>99</v>
      </c>
      <c r="H948" s="73" t="s">
        <v>2629</v>
      </c>
      <c r="I948" s="73" t="s">
        <v>893</v>
      </c>
      <c r="J948" s="73" t="s">
        <v>923</v>
      </c>
      <c r="K948" s="73" t="s">
        <v>895</v>
      </c>
      <c r="L948" s="103" t="n">
        <v>0</v>
      </c>
    </row>
    <row r="949" customFormat="false" ht="15" hidden="false" customHeight="true" outlineLevel="0" collapsed="false">
      <c r="A949" s="73" t="s">
        <v>2630</v>
      </c>
      <c r="B949" s="73" t="s">
        <v>861</v>
      </c>
      <c r="C949" s="73" t="s">
        <v>653</v>
      </c>
      <c r="D949" s="73" t="s">
        <v>918</v>
      </c>
      <c r="E949" s="73" t="s">
        <v>755</v>
      </c>
      <c r="F949" s="73" t="s">
        <v>756</v>
      </c>
      <c r="G949" s="73" t="s">
        <v>101</v>
      </c>
      <c r="H949" s="73" t="s">
        <v>2631</v>
      </c>
      <c r="I949" s="73" t="s">
        <v>893</v>
      </c>
      <c r="J949" s="73" t="s">
        <v>926</v>
      </c>
      <c r="K949" s="73" t="s">
        <v>895</v>
      </c>
      <c r="L949" s="103" t="n">
        <v>0</v>
      </c>
    </row>
    <row r="950" customFormat="false" ht="15" hidden="false" customHeight="true" outlineLevel="0" collapsed="false">
      <c r="A950" s="73" t="s">
        <v>2632</v>
      </c>
      <c r="B950" s="73" t="s">
        <v>861</v>
      </c>
      <c r="C950" s="73" t="s">
        <v>653</v>
      </c>
      <c r="D950" s="73" t="s">
        <v>918</v>
      </c>
      <c r="E950" s="73" t="s">
        <v>755</v>
      </c>
      <c r="F950" s="73" t="s">
        <v>756</v>
      </c>
      <c r="G950" s="73" t="s">
        <v>103</v>
      </c>
      <c r="H950" s="73" t="s">
        <v>2633</v>
      </c>
      <c r="I950" s="73" t="s">
        <v>893</v>
      </c>
      <c r="J950" s="73" t="s">
        <v>929</v>
      </c>
      <c r="K950" s="73" t="s">
        <v>895</v>
      </c>
      <c r="L950" s="103" t="n">
        <v>0</v>
      </c>
    </row>
    <row r="951" customFormat="false" ht="15" hidden="false" customHeight="true" outlineLevel="0" collapsed="false">
      <c r="A951" s="73" t="s">
        <v>2634</v>
      </c>
      <c r="B951" s="73" t="s">
        <v>861</v>
      </c>
      <c r="C951" s="73" t="s">
        <v>653</v>
      </c>
      <c r="D951" s="73" t="s">
        <v>918</v>
      </c>
      <c r="E951" s="73" t="s">
        <v>755</v>
      </c>
      <c r="F951" s="73" t="s">
        <v>756</v>
      </c>
      <c r="G951" s="73" t="s">
        <v>105</v>
      </c>
      <c r="H951" s="73" t="s">
        <v>2635</v>
      </c>
      <c r="I951" s="73" t="s">
        <v>893</v>
      </c>
      <c r="J951" s="73" t="s">
        <v>932</v>
      </c>
      <c r="K951" s="73" t="s">
        <v>895</v>
      </c>
      <c r="L951" s="103" t="n">
        <v>0</v>
      </c>
    </row>
    <row r="952" customFormat="false" ht="15" hidden="false" customHeight="true" outlineLevel="0" collapsed="false">
      <c r="A952" s="73" t="s">
        <v>2636</v>
      </c>
      <c r="B952" s="73" t="s">
        <v>861</v>
      </c>
      <c r="C952" s="73" t="s">
        <v>653</v>
      </c>
      <c r="D952" s="73" t="s">
        <v>918</v>
      </c>
      <c r="E952" s="73" t="s">
        <v>755</v>
      </c>
      <c r="F952" s="73" t="s">
        <v>756</v>
      </c>
      <c r="G952" s="73" t="s">
        <v>107</v>
      </c>
      <c r="H952" s="73" t="s">
        <v>2637</v>
      </c>
      <c r="I952" s="73" t="s">
        <v>893</v>
      </c>
      <c r="J952" s="73" t="s">
        <v>935</v>
      </c>
      <c r="K952" s="73" t="s">
        <v>895</v>
      </c>
      <c r="L952" s="103" t="n">
        <v>0</v>
      </c>
    </row>
    <row r="953" customFormat="false" ht="15" hidden="false" customHeight="true" outlineLevel="0" collapsed="false">
      <c r="A953" s="73" t="s">
        <v>2638</v>
      </c>
      <c r="B953" s="73" t="s">
        <v>861</v>
      </c>
      <c r="C953" s="73" t="s">
        <v>653</v>
      </c>
      <c r="D953" s="73" t="s">
        <v>918</v>
      </c>
      <c r="E953" s="73" t="s">
        <v>755</v>
      </c>
      <c r="F953" s="73" t="s">
        <v>756</v>
      </c>
      <c r="G953" s="73" t="s">
        <v>109</v>
      </c>
      <c r="H953" s="73" t="s">
        <v>2639</v>
      </c>
      <c r="I953" s="73" t="s">
        <v>893</v>
      </c>
      <c r="J953" s="73" t="s">
        <v>938</v>
      </c>
      <c r="K953" s="73" t="s">
        <v>895</v>
      </c>
      <c r="L953" s="103" t="n">
        <v>0</v>
      </c>
    </row>
    <row r="954" customFormat="false" ht="15" hidden="false" customHeight="true" outlineLevel="0" collapsed="false">
      <c r="A954" s="73" t="s">
        <v>2640</v>
      </c>
      <c r="B954" s="73" t="s">
        <v>861</v>
      </c>
      <c r="C954" s="73" t="s">
        <v>653</v>
      </c>
      <c r="D954" s="73" t="s">
        <v>918</v>
      </c>
      <c r="E954" s="73" t="s">
        <v>755</v>
      </c>
      <c r="F954" s="73" t="s">
        <v>756</v>
      </c>
      <c r="G954" s="73" t="s">
        <v>111</v>
      </c>
      <c r="H954" s="73" t="s">
        <v>2641</v>
      </c>
      <c r="I954" s="73" t="s">
        <v>893</v>
      </c>
      <c r="J954" s="73" t="s">
        <v>941</v>
      </c>
      <c r="K954" s="73" t="s">
        <v>895</v>
      </c>
      <c r="L954" s="103" t="n">
        <v>0</v>
      </c>
    </row>
    <row r="955" customFormat="false" ht="15" hidden="false" customHeight="true" outlineLevel="0" collapsed="false">
      <c r="A955" s="73" t="s">
        <v>2642</v>
      </c>
      <c r="B955" s="73" t="s">
        <v>861</v>
      </c>
      <c r="C955" s="73" t="s">
        <v>653</v>
      </c>
      <c r="D955" s="73" t="s">
        <v>943</v>
      </c>
      <c r="E955" s="73" t="s">
        <v>755</v>
      </c>
      <c r="F955" s="73" t="s">
        <v>756</v>
      </c>
      <c r="G955" s="73" t="s">
        <v>944</v>
      </c>
      <c r="H955" s="73" t="s">
        <v>2643</v>
      </c>
      <c r="I955" s="73" t="s">
        <v>893</v>
      </c>
      <c r="J955" s="73" t="s">
        <v>946</v>
      </c>
      <c r="K955" s="73"/>
      <c r="L955" s="103" t="n">
        <v>0.5</v>
      </c>
    </row>
    <row r="956" customFormat="false" ht="15" hidden="false" customHeight="true" outlineLevel="0" collapsed="false">
      <c r="A956" s="73" t="s">
        <v>2644</v>
      </c>
      <c r="B956" s="73" t="s">
        <v>861</v>
      </c>
      <c r="C956" s="73" t="s">
        <v>653</v>
      </c>
      <c r="D956" s="73" t="s">
        <v>948</v>
      </c>
      <c r="E956" s="73" t="s">
        <v>755</v>
      </c>
      <c r="F956" s="73" t="s">
        <v>756</v>
      </c>
      <c r="G956" s="73" t="s">
        <v>655</v>
      </c>
      <c r="H956" s="73" t="s">
        <v>2645</v>
      </c>
      <c r="I956" s="73" t="s">
        <v>708</v>
      </c>
      <c r="J956" s="73" t="s">
        <v>950</v>
      </c>
      <c r="K956" s="73" t="s">
        <v>951</v>
      </c>
      <c r="L956" s="103" t="n">
        <v>0.526</v>
      </c>
    </row>
    <row r="957" customFormat="false" ht="15" hidden="false" customHeight="true" outlineLevel="0" collapsed="false">
      <c r="A957" s="73" t="s">
        <v>2646</v>
      </c>
      <c r="B957" s="73" t="s">
        <v>861</v>
      </c>
      <c r="C957" s="73" t="s">
        <v>653</v>
      </c>
      <c r="D957" s="73" t="s">
        <v>953</v>
      </c>
      <c r="E957" s="73" t="s">
        <v>755</v>
      </c>
      <c r="F957" s="73" t="s">
        <v>756</v>
      </c>
      <c r="G957" s="73" t="s">
        <v>655</v>
      </c>
      <c r="H957" s="73" t="s">
        <v>2647</v>
      </c>
      <c r="I957" s="73" t="s">
        <v>955</v>
      </c>
      <c r="J957" s="73" t="s">
        <v>956</v>
      </c>
      <c r="K957" s="73" t="s">
        <v>951</v>
      </c>
      <c r="L957" s="103" t="n">
        <v>0</v>
      </c>
    </row>
    <row r="958" customFormat="false" ht="15" hidden="false" customHeight="true" outlineLevel="0" collapsed="false">
      <c r="A958" s="73" t="s">
        <v>2648</v>
      </c>
      <c r="B958" s="73" t="s">
        <v>861</v>
      </c>
      <c r="C958" s="73" t="s">
        <v>653</v>
      </c>
      <c r="D958" s="73" t="s">
        <v>867</v>
      </c>
      <c r="E958" s="73" t="s">
        <v>767</v>
      </c>
      <c r="F958" s="73" t="s">
        <v>768</v>
      </c>
      <c r="G958" s="73" t="s">
        <v>655</v>
      </c>
      <c r="H958" s="73" t="s">
        <v>2649</v>
      </c>
      <c r="I958" s="73" t="s">
        <v>869</v>
      </c>
      <c r="J958" s="73" t="s">
        <v>1106</v>
      </c>
      <c r="K958" s="73" t="s">
        <v>871</v>
      </c>
      <c r="L958" s="107" t="n">
        <v>17</v>
      </c>
    </row>
    <row r="959" customFormat="false" ht="15" hidden="false" customHeight="true" outlineLevel="0" collapsed="false">
      <c r="A959" s="73" t="s">
        <v>2650</v>
      </c>
      <c r="B959" s="73" t="s">
        <v>861</v>
      </c>
      <c r="C959" s="73" t="s">
        <v>653</v>
      </c>
      <c r="D959" s="73" t="s">
        <v>873</v>
      </c>
      <c r="E959" s="73" t="s">
        <v>767</v>
      </c>
      <c r="F959" s="73" t="s">
        <v>768</v>
      </c>
      <c r="G959" s="73" t="s">
        <v>655</v>
      </c>
      <c r="H959" s="73" t="s">
        <v>2651</v>
      </c>
      <c r="I959" s="73" t="s">
        <v>875</v>
      </c>
      <c r="J959" s="73" t="s">
        <v>876</v>
      </c>
      <c r="K959" s="73"/>
      <c r="L959" s="104" t="n">
        <v>0.5</v>
      </c>
    </row>
    <row r="960" customFormat="false" ht="15" hidden="false" customHeight="true" outlineLevel="0" collapsed="false">
      <c r="A960" s="73" t="s">
        <v>2652</v>
      </c>
      <c r="B960" s="73" t="s">
        <v>861</v>
      </c>
      <c r="C960" s="73" t="s">
        <v>653</v>
      </c>
      <c r="D960" s="73" t="s">
        <v>878</v>
      </c>
      <c r="E960" s="73" t="s">
        <v>767</v>
      </c>
      <c r="F960" s="73" t="s">
        <v>768</v>
      </c>
      <c r="G960" s="73" t="s">
        <v>655</v>
      </c>
      <c r="H960" s="73" t="s">
        <v>2653</v>
      </c>
      <c r="I960" s="73" t="s">
        <v>880</v>
      </c>
      <c r="J960" s="73" t="s">
        <v>881</v>
      </c>
      <c r="K960" s="73"/>
      <c r="L960" s="104" t="n">
        <v>0.05</v>
      </c>
    </row>
    <row r="961" customFormat="false" ht="15" hidden="false" customHeight="true" outlineLevel="0" collapsed="false">
      <c r="A961" s="73" t="s">
        <v>2654</v>
      </c>
      <c r="B961" s="73" t="s">
        <v>861</v>
      </c>
      <c r="C961" s="73" t="s">
        <v>653</v>
      </c>
      <c r="D961" s="73" t="s">
        <v>883</v>
      </c>
      <c r="E961" s="73" t="s">
        <v>767</v>
      </c>
      <c r="F961" s="73" t="s">
        <v>768</v>
      </c>
      <c r="G961" s="73" t="s">
        <v>655</v>
      </c>
      <c r="H961" s="73" t="s">
        <v>2655</v>
      </c>
      <c r="I961" s="73" t="s">
        <v>880</v>
      </c>
      <c r="J961" s="73" t="s">
        <v>885</v>
      </c>
      <c r="K961" s="73"/>
      <c r="L961" s="104" t="n">
        <v>0.01</v>
      </c>
    </row>
    <row r="962" customFormat="false" ht="15" hidden="false" customHeight="true" outlineLevel="0" collapsed="false">
      <c r="A962" s="73" t="s">
        <v>2656</v>
      </c>
      <c r="B962" s="73" t="s">
        <v>861</v>
      </c>
      <c r="C962" s="73" t="s">
        <v>653</v>
      </c>
      <c r="D962" s="73" t="s">
        <v>887</v>
      </c>
      <c r="E962" s="73" t="s">
        <v>767</v>
      </c>
      <c r="F962" s="73" t="s">
        <v>768</v>
      </c>
      <c r="G962" s="73" t="s">
        <v>655</v>
      </c>
      <c r="H962" s="73" t="s">
        <v>2657</v>
      </c>
      <c r="I962" s="73" t="s">
        <v>880</v>
      </c>
      <c r="J962" s="73" t="s">
        <v>889</v>
      </c>
      <c r="K962" s="73"/>
      <c r="L962" s="104" t="n">
        <v>0.1</v>
      </c>
    </row>
    <row r="963" customFormat="false" ht="15" hidden="false" customHeight="true" outlineLevel="0" collapsed="false">
      <c r="A963" s="73" t="s">
        <v>2658</v>
      </c>
      <c r="B963" s="73" t="s">
        <v>861</v>
      </c>
      <c r="C963" s="73" t="s">
        <v>653</v>
      </c>
      <c r="D963" s="73" t="s">
        <v>891</v>
      </c>
      <c r="E963" s="73" t="s">
        <v>767</v>
      </c>
      <c r="F963" s="73" t="s">
        <v>768</v>
      </c>
      <c r="G963" s="73" t="s">
        <v>96</v>
      </c>
      <c r="H963" s="73" t="s">
        <v>2659</v>
      </c>
      <c r="I963" s="73" t="s">
        <v>893</v>
      </c>
      <c r="J963" s="73" t="s">
        <v>894</v>
      </c>
      <c r="K963" s="73" t="s">
        <v>895</v>
      </c>
      <c r="L963" s="103" t="n">
        <v>2</v>
      </c>
    </row>
    <row r="964" customFormat="false" ht="15" hidden="false" customHeight="true" outlineLevel="0" collapsed="false">
      <c r="A964" s="73" t="s">
        <v>2660</v>
      </c>
      <c r="B964" s="73" t="s">
        <v>861</v>
      </c>
      <c r="C964" s="73" t="s">
        <v>653</v>
      </c>
      <c r="D964" s="73" t="s">
        <v>891</v>
      </c>
      <c r="E964" s="73" t="s">
        <v>767</v>
      </c>
      <c r="F964" s="73" t="s">
        <v>768</v>
      </c>
      <c r="G964" s="73" t="s">
        <v>99</v>
      </c>
      <c r="H964" s="73" t="s">
        <v>2661</v>
      </c>
      <c r="I964" s="73" t="s">
        <v>893</v>
      </c>
      <c r="J964" s="73" t="s">
        <v>898</v>
      </c>
      <c r="K964" s="73" t="s">
        <v>895</v>
      </c>
      <c r="L964" s="103" t="n">
        <v>11</v>
      </c>
    </row>
    <row r="965" customFormat="false" ht="15" hidden="false" customHeight="true" outlineLevel="0" collapsed="false">
      <c r="A965" s="73" t="s">
        <v>2662</v>
      </c>
      <c r="B965" s="73" t="s">
        <v>861</v>
      </c>
      <c r="C965" s="73" t="s">
        <v>653</v>
      </c>
      <c r="D965" s="73" t="s">
        <v>891</v>
      </c>
      <c r="E965" s="73" t="s">
        <v>767</v>
      </c>
      <c r="F965" s="73" t="s">
        <v>768</v>
      </c>
      <c r="G965" s="73" t="s">
        <v>101</v>
      </c>
      <c r="H965" s="73" t="s">
        <v>2663</v>
      </c>
      <c r="I965" s="73" t="s">
        <v>893</v>
      </c>
      <c r="J965" s="73" t="s">
        <v>901</v>
      </c>
      <c r="K965" s="73" t="s">
        <v>895</v>
      </c>
      <c r="L965" s="103" t="n">
        <v>0</v>
      </c>
    </row>
    <row r="966" customFormat="false" ht="15" hidden="false" customHeight="true" outlineLevel="0" collapsed="false">
      <c r="A966" s="73" t="s">
        <v>2664</v>
      </c>
      <c r="B966" s="73" t="s">
        <v>861</v>
      </c>
      <c r="C966" s="73" t="s">
        <v>653</v>
      </c>
      <c r="D966" s="73" t="s">
        <v>891</v>
      </c>
      <c r="E966" s="73" t="s">
        <v>767</v>
      </c>
      <c r="F966" s="73" t="s">
        <v>768</v>
      </c>
      <c r="G966" s="73" t="s">
        <v>103</v>
      </c>
      <c r="H966" s="73" t="s">
        <v>2665</v>
      </c>
      <c r="I966" s="73" t="s">
        <v>893</v>
      </c>
      <c r="J966" s="73" t="s">
        <v>904</v>
      </c>
      <c r="K966" s="73" t="s">
        <v>895</v>
      </c>
      <c r="L966" s="103" t="n">
        <v>0</v>
      </c>
    </row>
    <row r="967" customFormat="false" ht="15" hidden="false" customHeight="true" outlineLevel="0" collapsed="false">
      <c r="A967" s="73" t="s">
        <v>2666</v>
      </c>
      <c r="B967" s="73" t="s">
        <v>861</v>
      </c>
      <c r="C967" s="73" t="s">
        <v>653</v>
      </c>
      <c r="D967" s="73" t="s">
        <v>891</v>
      </c>
      <c r="E967" s="73" t="s">
        <v>767</v>
      </c>
      <c r="F967" s="73" t="s">
        <v>768</v>
      </c>
      <c r="G967" s="73" t="s">
        <v>105</v>
      </c>
      <c r="H967" s="73" t="s">
        <v>2667</v>
      </c>
      <c r="I967" s="73" t="s">
        <v>893</v>
      </c>
      <c r="J967" s="73" t="s">
        <v>907</v>
      </c>
      <c r="K967" s="73" t="s">
        <v>895</v>
      </c>
      <c r="L967" s="103" t="n">
        <v>0</v>
      </c>
    </row>
    <row r="968" customFormat="false" ht="15" hidden="false" customHeight="true" outlineLevel="0" collapsed="false">
      <c r="A968" s="73" t="s">
        <v>2668</v>
      </c>
      <c r="B968" s="73" t="s">
        <v>861</v>
      </c>
      <c r="C968" s="73" t="s">
        <v>653</v>
      </c>
      <c r="D968" s="73" t="s">
        <v>891</v>
      </c>
      <c r="E968" s="73" t="s">
        <v>767</v>
      </c>
      <c r="F968" s="73" t="s">
        <v>768</v>
      </c>
      <c r="G968" s="73" t="s">
        <v>107</v>
      </c>
      <c r="H968" s="73" t="s">
        <v>2669</v>
      </c>
      <c r="I968" s="73" t="s">
        <v>893</v>
      </c>
      <c r="J968" s="73" t="s">
        <v>910</v>
      </c>
      <c r="K968" s="73" t="s">
        <v>895</v>
      </c>
      <c r="L968" s="103" t="n">
        <v>0</v>
      </c>
    </row>
    <row r="969" customFormat="false" ht="15" hidden="false" customHeight="true" outlineLevel="0" collapsed="false">
      <c r="A969" s="73" t="s">
        <v>2670</v>
      </c>
      <c r="B969" s="73" t="s">
        <v>861</v>
      </c>
      <c r="C969" s="73" t="s">
        <v>653</v>
      </c>
      <c r="D969" s="73" t="s">
        <v>891</v>
      </c>
      <c r="E969" s="73" t="s">
        <v>767</v>
      </c>
      <c r="F969" s="73" t="s">
        <v>768</v>
      </c>
      <c r="G969" s="73" t="s">
        <v>109</v>
      </c>
      <c r="H969" s="73" t="s">
        <v>2671</v>
      </c>
      <c r="I969" s="73" t="s">
        <v>893</v>
      </c>
      <c r="J969" s="73" t="s">
        <v>913</v>
      </c>
      <c r="K969" s="73" t="s">
        <v>895</v>
      </c>
      <c r="L969" s="103" t="n">
        <v>0</v>
      </c>
    </row>
    <row r="970" customFormat="false" ht="15" hidden="false" customHeight="true" outlineLevel="0" collapsed="false">
      <c r="A970" s="73" t="s">
        <v>2672</v>
      </c>
      <c r="B970" s="73" t="s">
        <v>861</v>
      </c>
      <c r="C970" s="73" t="s">
        <v>653</v>
      </c>
      <c r="D970" s="73" t="s">
        <v>891</v>
      </c>
      <c r="E970" s="73" t="s">
        <v>767</v>
      </c>
      <c r="F970" s="73" t="s">
        <v>768</v>
      </c>
      <c r="G970" s="73" t="s">
        <v>111</v>
      </c>
      <c r="H970" s="73" t="s">
        <v>2673</v>
      </c>
      <c r="I970" s="73" t="s">
        <v>893</v>
      </c>
      <c r="J970" s="73" t="s">
        <v>916</v>
      </c>
      <c r="K970" s="73" t="s">
        <v>895</v>
      </c>
      <c r="L970" s="103" t="n">
        <v>0</v>
      </c>
    </row>
    <row r="971" customFormat="false" ht="15" hidden="false" customHeight="true" outlineLevel="0" collapsed="false">
      <c r="A971" s="73" t="s">
        <v>2674</v>
      </c>
      <c r="B971" s="73" t="s">
        <v>861</v>
      </c>
      <c r="C971" s="73" t="s">
        <v>653</v>
      </c>
      <c r="D971" s="73" t="s">
        <v>918</v>
      </c>
      <c r="E971" s="73" t="s">
        <v>767</v>
      </c>
      <c r="F971" s="73" t="s">
        <v>768</v>
      </c>
      <c r="G971" s="73" t="s">
        <v>96</v>
      </c>
      <c r="H971" s="73" t="s">
        <v>2675</v>
      </c>
      <c r="I971" s="73" t="s">
        <v>893</v>
      </c>
      <c r="J971" s="73" t="s">
        <v>920</v>
      </c>
      <c r="K971" s="73" t="s">
        <v>895</v>
      </c>
      <c r="L971" s="103" t="n">
        <v>0</v>
      </c>
    </row>
    <row r="972" customFormat="false" ht="15" hidden="false" customHeight="true" outlineLevel="0" collapsed="false">
      <c r="A972" s="73" t="s">
        <v>2676</v>
      </c>
      <c r="B972" s="73" t="s">
        <v>861</v>
      </c>
      <c r="C972" s="73" t="s">
        <v>653</v>
      </c>
      <c r="D972" s="73" t="s">
        <v>918</v>
      </c>
      <c r="E972" s="73" t="s">
        <v>767</v>
      </c>
      <c r="F972" s="73" t="s">
        <v>768</v>
      </c>
      <c r="G972" s="73" t="s">
        <v>99</v>
      </c>
      <c r="H972" s="73" t="s">
        <v>2677</v>
      </c>
      <c r="I972" s="73" t="s">
        <v>893</v>
      </c>
      <c r="J972" s="73" t="s">
        <v>923</v>
      </c>
      <c r="K972" s="73" t="s">
        <v>895</v>
      </c>
      <c r="L972" s="103" t="n">
        <v>22</v>
      </c>
    </row>
    <row r="973" customFormat="false" ht="15" hidden="false" customHeight="true" outlineLevel="0" collapsed="false">
      <c r="A973" s="73" t="s">
        <v>2678</v>
      </c>
      <c r="B973" s="73" t="s">
        <v>861</v>
      </c>
      <c r="C973" s="73" t="s">
        <v>653</v>
      </c>
      <c r="D973" s="73" t="s">
        <v>918</v>
      </c>
      <c r="E973" s="73" t="s">
        <v>767</v>
      </c>
      <c r="F973" s="73" t="s">
        <v>768</v>
      </c>
      <c r="G973" s="73" t="s">
        <v>101</v>
      </c>
      <c r="H973" s="73" t="s">
        <v>2679</v>
      </c>
      <c r="I973" s="73" t="s">
        <v>893</v>
      </c>
      <c r="J973" s="73" t="s">
        <v>926</v>
      </c>
      <c r="K973" s="73" t="s">
        <v>895</v>
      </c>
      <c r="L973" s="103" t="n">
        <v>0</v>
      </c>
    </row>
    <row r="974" customFormat="false" ht="15" hidden="false" customHeight="true" outlineLevel="0" collapsed="false">
      <c r="A974" s="73" t="s">
        <v>2680</v>
      </c>
      <c r="B974" s="73" t="s">
        <v>861</v>
      </c>
      <c r="C974" s="73" t="s">
        <v>653</v>
      </c>
      <c r="D974" s="73" t="s">
        <v>918</v>
      </c>
      <c r="E974" s="73" t="s">
        <v>767</v>
      </c>
      <c r="F974" s="73" t="s">
        <v>768</v>
      </c>
      <c r="G974" s="73" t="s">
        <v>103</v>
      </c>
      <c r="H974" s="73" t="s">
        <v>2681</v>
      </c>
      <c r="I974" s="73" t="s">
        <v>893</v>
      </c>
      <c r="J974" s="73" t="s">
        <v>929</v>
      </c>
      <c r="K974" s="73" t="s">
        <v>895</v>
      </c>
      <c r="L974" s="103" t="n">
        <v>0</v>
      </c>
    </row>
    <row r="975" customFormat="false" ht="15" hidden="false" customHeight="true" outlineLevel="0" collapsed="false">
      <c r="A975" s="73" t="s">
        <v>2682</v>
      </c>
      <c r="B975" s="73" t="s">
        <v>861</v>
      </c>
      <c r="C975" s="73" t="s">
        <v>653</v>
      </c>
      <c r="D975" s="73" t="s">
        <v>918</v>
      </c>
      <c r="E975" s="73" t="s">
        <v>767</v>
      </c>
      <c r="F975" s="73" t="s">
        <v>768</v>
      </c>
      <c r="G975" s="73" t="s">
        <v>105</v>
      </c>
      <c r="H975" s="73" t="s">
        <v>2683</v>
      </c>
      <c r="I975" s="73" t="s">
        <v>893</v>
      </c>
      <c r="J975" s="73" t="s">
        <v>932</v>
      </c>
      <c r="K975" s="73" t="s">
        <v>895</v>
      </c>
      <c r="L975" s="103" t="n">
        <v>0</v>
      </c>
    </row>
    <row r="976" customFormat="false" ht="15" hidden="false" customHeight="true" outlineLevel="0" collapsed="false">
      <c r="A976" s="73" t="s">
        <v>2684</v>
      </c>
      <c r="B976" s="73" t="s">
        <v>861</v>
      </c>
      <c r="C976" s="73" t="s">
        <v>653</v>
      </c>
      <c r="D976" s="73" t="s">
        <v>918</v>
      </c>
      <c r="E976" s="73" t="s">
        <v>767</v>
      </c>
      <c r="F976" s="73" t="s">
        <v>768</v>
      </c>
      <c r="G976" s="73" t="s">
        <v>107</v>
      </c>
      <c r="H976" s="73" t="s">
        <v>2685</v>
      </c>
      <c r="I976" s="73" t="s">
        <v>893</v>
      </c>
      <c r="J976" s="73" t="s">
        <v>935</v>
      </c>
      <c r="K976" s="73" t="s">
        <v>895</v>
      </c>
      <c r="L976" s="103" t="n">
        <v>0</v>
      </c>
    </row>
    <row r="977" customFormat="false" ht="15" hidden="false" customHeight="true" outlineLevel="0" collapsed="false">
      <c r="A977" s="73" t="s">
        <v>2686</v>
      </c>
      <c r="B977" s="73" t="s">
        <v>861</v>
      </c>
      <c r="C977" s="73" t="s">
        <v>653</v>
      </c>
      <c r="D977" s="73" t="s">
        <v>918</v>
      </c>
      <c r="E977" s="73" t="s">
        <v>767</v>
      </c>
      <c r="F977" s="73" t="s">
        <v>768</v>
      </c>
      <c r="G977" s="73" t="s">
        <v>109</v>
      </c>
      <c r="H977" s="73" t="s">
        <v>2687</v>
      </c>
      <c r="I977" s="73" t="s">
        <v>893</v>
      </c>
      <c r="J977" s="73" t="s">
        <v>938</v>
      </c>
      <c r="K977" s="73" t="s">
        <v>895</v>
      </c>
      <c r="L977" s="103" t="n">
        <v>0</v>
      </c>
    </row>
    <row r="978" customFormat="false" ht="15" hidden="false" customHeight="true" outlineLevel="0" collapsed="false">
      <c r="A978" s="73" t="s">
        <v>2688</v>
      </c>
      <c r="B978" s="73" t="s">
        <v>861</v>
      </c>
      <c r="C978" s="73" t="s">
        <v>653</v>
      </c>
      <c r="D978" s="73" t="s">
        <v>918</v>
      </c>
      <c r="E978" s="73" t="s">
        <v>767</v>
      </c>
      <c r="F978" s="73" t="s">
        <v>768</v>
      </c>
      <c r="G978" s="73" t="s">
        <v>111</v>
      </c>
      <c r="H978" s="73" t="s">
        <v>2689</v>
      </c>
      <c r="I978" s="73" t="s">
        <v>893</v>
      </c>
      <c r="J978" s="73" t="s">
        <v>941</v>
      </c>
      <c r="K978" s="73" t="s">
        <v>895</v>
      </c>
      <c r="L978" s="103" t="n">
        <v>0</v>
      </c>
    </row>
    <row r="979" customFormat="false" ht="15" hidden="false" customHeight="true" outlineLevel="0" collapsed="false">
      <c r="A979" s="73" t="s">
        <v>2690</v>
      </c>
      <c r="B979" s="73" t="s">
        <v>861</v>
      </c>
      <c r="C979" s="73" t="s">
        <v>653</v>
      </c>
      <c r="D979" s="73" t="s">
        <v>943</v>
      </c>
      <c r="E979" s="73" t="s">
        <v>767</v>
      </c>
      <c r="F979" s="73" t="s">
        <v>768</v>
      </c>
      <c r="G979" s="73" t="s">
        <v>944</v>
      </c>
      <c r="H979" s="73" t="s">
        <v>2691</v>
      </c>
      <c r="I979" s="73" t="s">
        <v>893</v>
      </c>
      <c r="J979" s="73" t="s">
        <v>946</v>
      </c>
      <c r="K979" s="73"/>
      <c r="L979" s="103" t="n">
        <v>0.35</v>
      </c>
    </row>
    <row r="980" customFormat="false" ht="15" hidden="false" customHeight="true" outlineLevel="0" collapsed="false">
      <c r="A980" s="73" t="s">
        <v>2692</v>
      </c>
      <c r="B980" s="73" t="s">
        <v>861</v>
      </c>
      <c r="C980" s="73" t="s">
        <v>653</v>
      </c>
      <c r="D980" s="73" t="s">
        <v>948</v>
      </c>
      <c r="E980" s="73" t="s">
        <v>767</v>
      </c>
      <c r="F980" s="73" t="s">
        <v>768</v>
      </c>
      <c r="G980" s="73" t="s">
        <v>655</v>
      </c>
      <c r="H980" s="73" t="s">
        <v>2693</v>
      </c>
      <c r="I980" s="73" t="s">
        <v>708</v>
      </c>
      <c r="J980" s="73" t="s">
        <v>950</v>
      </c>
      <c r="K980" s="73" t="s">
        <v>951</v>
      </c>
      <c r="L980" s="103" t="n">
        <v>0</v>
      </c>
    </row>
    <row r="981" customFormat="false" ht="15" hidden="false" customHeight="true" outlineLevel="0" collapsed="false">
      <c r="A981" s="73" t="s">
        <v>2694</v>
      </c>
      <c r="B981" s="73" t="s">
        <v>861</v>
      </c>
      <c r="C981" s="73" t="s">
        <v>653</v>
      </c>
      <c r="D981" s="73" t="s">
        <v>953</v>
      </c>
      <c r="E981" s="73" t="s">
        <v>767</v>
      </c>
      <c r="F981" s="73" t="s">
        <v>768</v>
      </c>
      <c r="G981" s="73" t="s">
        <v>655</v>
      </c>
      <c r="H981" s="73" t="s">
        <v>2695</v>
      </c>
      <c r="I981" s="73" t="s">
        <v>955</v>
      </c>
      <c r="J981" s="73" t="s">
        <v>956</v>
      </c>
      <c r="K981" s="73" t="s">
        <v>951</v>
      </c>
      <c r="L981" s="103" t="n">
        <v>0</v>
      </c>
    </row>
    <row r="982" customFormat="false" ht="15" hidden="false" customHeight="true" outlineLevel="0" collapsed="false">
      <c r="A982" s="73" t="s">
        <v>2696</v>
      </c>
      <c r="B982" s="73" t="s">
        <v>861</v>
      </c>
      <c r="C982" s="73" t="s">
        <v>653</v>
      </c>
      <c r="D982" s="73" t="s">
        <v>867</v>
      </c>
      <c r="E982" s="73" t="s">
        <v>767</v>
      </c>
      <c r="F982" s="73" t="s">
        <v>779</v>
      </c>
      <c r="G982" s="73" t="s">
        <v>655</v>
      </c>
      <c r="H982" s="73" t="s">
        <v>2697</v>
      </c>
      <c r="I982" s="73" t="s">
        <v>869</v>
      </c>
      <c r="J982" s="73" t="s">
        <v>1155</v>
      </c>
      <c r="K982" s="73" t="s">
        <v>871</v>
      </c>
      <c r="L982" s="107" t="n">
        <v>30</v>
      </c>
    </row>
    <row r="983" customFormat="false" ht="15" hidden="false" customHeight="true" outlineLevel="0" collapsed="false">
      <c r="A983" s="73" t="s">
        <v>2698</v>
      </c>
      <c r="B983" s="73" t="s">
        <v>861</v>
      </c>
      <c r="C983" s="73" t="s">
        <v>653</v>
      </c>
      <c r="D983" s="73" t="s">
        <v>873</v>
      </c>
      <c r="E983" s="73" t="s">
        <v>767</v>
      </c>
      <c r="F983" s="73" t="s">
        <v>779</v>
      </c>
      <c r="G983" s="73" t="s">
        <v>655</v>
      </c>
      <c r="H983" s="73" t="s">
        <v>2699</v>
      </c>
      <c r="I983" s="73" t="s">
        <v>875</v>
      </c>
      <c r="J983" s="73" t="s">
        <v>876</v>
      </c>
      <c r="K983" s="73"/>
      <c r="L983" s="104" t="n">
        <v>0.5</v>
      </c>
    </row>
    <row r="984" customFormat="false" ht="15" hidden="false" customHeight="true" outlineLevel="0" collapsed="false">
      <c r="A984" s="73" t="s">
        <v>2700</v>
      </c>
      <c r="B984" s="73" t="s">
        <v>861</v>
      </c>
      <c r="C984" s="73" t="s">
        <v>653</v>
      </c>
      <c r="D984" s="73" t="s">
        <v>878</v>
      </c>
      <c r="E984" s="73" t="s">
        <v>767</v>
      </c>
      <c r="F984" s="73" t="s">
        <v>779</v>
      </c>
      <c r="G984" s="73" t="s">
        <v>655</v>
      </c>
      <c r="H984" s="73" t="s">
        <v>2701</v>
      </c>
      <c r="I984" s="73" t="s">
        <v>880</v>
      </c>
      <c r="J984" s="73" t="s">
        <v>881</v>
      </c>
      <c r="K984" s="73"/>
      <c r="L984" s="104" t="n">
        <v>0.05</v>
      </c>
    </row>
    <row r="985" customFormat="false" ht="15" hidden="false" customHeight="true" outlineLevel="0" collapsed="false">
      <c r="A985" s="73" t="s">
        <v>2702</v>
      </c>
      <c r="B985" s="73" t="s">
        <v>861</v>
      </c>
      <c r="C985" s="73" t="s">
        <v>653</v>
      </c>
      <c r="D985" s="73" t="s">
        <v>883</v>
      </c>
      <c r="E985" s="73" t="s">
        <v>767</v>
      </c>
      <c r="F985" s="73" t="s">
        <v>779</v>
      </c>
      <c r="G985" s="73" t="s">
        <v>655</v>
      </c>
      <c r="H985" s="73" t="s">
        <v>2703</v>
      </c>
      <c r="I985" s="73" t="s">
        <v>880</v>
      </c>
      <c r="J985" s="73" t="s">
        <v>885</v>
      </c>
      <c r="K985" s="73"/>
      <c r="L985" s="104" t="n">
        <v>0.01</v>
      </c>
    </row>
    <row r="986" customFormat="false" ht="15" hidden="false" customHeight="true" outlineLevel="0" collapsed="false">
      <c r="A986" s="73" t="s">
        <v>2704</v>
      </c>
      <c r="B986" s="73" t="s">
        <v>861</v>
      </c>
      <c r="C986" s="73" t="s">
        <v>653</v>
      </c>
      <c r="D986" s="73" t="s">
        <v>887</v>
      </c>
      <c r="E986" s="73" t="s">
        <v>767</v>
      </c>
      <c r="F986" s="73" t="s">
        <v>779</v>
      </c>
      <c r="G986" s="73" t="s">
        <v>655</v>
      </c>
      <c r="H986" s="73" t="s">
        <v>2705</v>
      </c>
      <c r="I986" s="73" t="s">
        <v>880</v>
      </c>
      <c r="J986" s="73" t="s">
        <v>889</v>
      </c>
      <c r="K986" s="73"/>
      <c r="L986" s="104" t="n">
        <v>0.2</v>
      </c>
    </row>
    <row r="987" customFormat="false" ht="15" hidden="false" customHeight="true" outlineLevel="0" collapsed="false">
      <c r="A987" s="73" t="s">
        <v>2706</v>
      </c>
      <c r="B987" s="73" t="s">
        <v>861</v>
      </c>
      <c r="C987" s="73" t="s">
        <v>653</v>
      </c>
      <c r="D987" s="73" t="s">
        <v>891</v>
      </c>
      <c r="E987" s="73" t="s">
        <v>767</v>
      </c>
      <c r="F987" s="73" t="s">
        <v>779</v>
      </c>
      <c r="G987" s="73" t="s">
        <v>96</v>
      </c>
      <c r="H987" s="73" t="s">
        <v>2707</v>
      </c>
      <c r="I987" s="73" t="s">
        <v>893</v>
      </c>
      <c r="J987" s="73" t="s">
        <v>894</v>
      </c>
      <c r="K987" s="73" t="s">
        <v>895</v>
      </c>
      <c r="L987" s="103" t="n">
        <v>0</v>
      </c>
    </row>
    <row r="988" customFormat="false" ht="15" hidden="false" customHeight="true" outlineLevel="0" collapsed="false">
      <c r="A988" s="73" t="s">
        <v>2708</v>
      </c>
      <c r="B988" s="73" t="s">
        <v>861</v>
      </c>
      <c r="C988" s="73" t="s">
        <v>653</v>
      </c>
      <c r="D988" s="73" t="s">
        <v>891</v>
      </c>
      <c r="E988" s="73" t="s">
        <v>767</v>
      </c>
      <c r="F988" s="73" t="s">
        <v>779</v>
      </c>
      <c r="G988" s="73" t="s">
        <v>99</v>
      </c>
      <c r="H988" s="73" t="s">
        <v>2709</v>
      </c>
      <c r="I988" s="73" t="s">
        <v>893</v>
      </c>
      <c r="J988" s="73" t="s">
        <v>898</v>
      </c>
      <c r="K988" s="73" t="s">
        <v>895</v>
      </c>
      <c r="L988" s="103" t="n">
        <v>3</v>
      </c>
    </row>
    <row r="989" customFormat="false" ht="15" hidden="false" customHeight="true" outlineLevel="0" collapsed="false">
      <c r="A989" s="73" t="s">
        <v>2710</v>
      </c>
      <c r="B989" s="73" t="s">
        <v>861</v>
      </c>
      <c r="C989" s="73" t="s">
        <v>653</v>
      </c>
      <c r="D989" s="73" t="s">
        <v>891</v>
      </c>
      <c r="E989" s="73" t="s">
        <v>767</v>
      </c>
      <c r="F989" s="73" t="s">
        <v>779</v>
      </c>
      <c r="G989" s="73" t="s">
        <v>101</v>
      </c>
      <c r="H989" s="73" t="s">
        <v>2711</v>
      </c>
      <c r="I989" s="73" t="s">
        <v>893</v>
      </c>
      <c r="J989" s="73" t="s">
        <v>901</v>
      </c>
      <c r="K989" s="73" t="s">
        <v>895</v>
      </c>
      <c r="L989" s="103" t="n">
        <v>0</v>
      </c>
    </row>
    <row r="990" customFormat="false" ht="15" hidden="false" customHeight="true" outlineLevel="0" collapsed="false">
      <c r="A990" s="73" t="s">
        <v>2712</v>
      </c>
      <c r="B990" s="73" t="s">
        <v>861</v>
      </c>
      <c r="C990" s="73" t="s">
        <v>653</v>
      </c>
      <c r="D990" s="73" t="s">
        <v>891</v>
      </c>
      <c r="E990" s="73" t="s">
        <v>767</v>
      </c>
      <c r="F990" s="73" t="s">
        <v>779</v>
      </c>
      <c r="G990" s="73" t="s">
        <v>103</v>
      </c>
      <c r="H990" s="73" t="s">
        <v>2713</v>
      </c>
      <c r="I990" s="73" t="s">
        <v>893</v>
      </c>
      <c r="J990" s="73" t="s">
        <v>904</v>
      </c>
      <c r="K990" s="73" t="s">
        <v>895</v>
      </c>
      <c r="L990" s="103" t="n">
        <v>0</v>
      </c>
    </row>
    <row r="991" customFormat="false" ht="15" hidden="false" customHeight="true" outlineLevel="0" collapsed="false">
      <c r="A991" s="73" t="s">
        <v>2714</v>
      </c>
      <c r="B991" s="73" t="s">
        <v>861</v>
      </c>
      <c r="C991" s="73" t="s">
        <v>653</v>
      </c>
      <c r="D991" s="73" t="s">
        <v>891</v>
      </c>
      <c r="E991" s="73" t="s">
        <v>767</v>
      </c>
      <c r="F991" s="73" t="s">
        <v>779</v>
      </c>
      <c r="G991" s="73" t="s">
        <v>105</v>
      </c>
      <c r="H991" s="73" t="s">
        <v>2715</v>
      </c>
      <c r="I991" s="73" t="s">
        <v>893</v>
      </c>
      <c r="J991" s="73" t="s">
        <v>907</v>
      </c>
      <c r="K991" s="73" t="s">
        <v>895</v>
      </c>
      <c r="L991" s="103" t="n">
        <v>0</v>
      </c>
    </row>
    <row r="992" customFormat="false" ht="15" hidden="false" customHeight="true" outlineLevel="0" collapsed="false">
      <c r="A992" s="73" t="s">
        <v>2716</v>
      </c>
      <c r="B992" s="73" t="s">
        <v>861</v>
      </c>
      <c r="C992" s="73" t="s">
        <v>653</v>
      </c>
      <c r="D992" s="73" t="s">
        <v>891</v>
      </c>
      <c r="E992" s="73" t="s">
        <v>767</v>
      </c>
      <c r="F992" s="73" t="s">
        <v>779</v>
      </c>
      <c r="G992" s="73" t="s">
        <v>107</v>
      </c>
      <c r="H992" s="73" t="s">
        <v>2717</v>
      </c>
      <c r="I992" s="73" t="s">
        <v>893</v>
      </c>
      <c r="J992" s="73" t="s">
        <v>910</v>
      </c>
      <c r="K992" s="73" t="s">
        <v>895</v>
      </c>
      <c r="L992" s="103" t="n">
        <v>0</v>
      </c>
    </row>
    <row r="993" customFormat="false" ht="15" hidden="false" customHeight="true" outlineLevel="0" collapsed="false">
      <c r="A993" s="73" t="s">
        <v>2718</v>
      </c>
      <c r="B993" s="73" t="s">
        <v>861</v>
      </c>
      <c r="C993" s="73" t="s">
        <v>653</v>
      </c>
      <c r="D993" s="73" t="s">
        <v>891</v>
      </c>
      <c r="E993" s="73" t="s">
        <v>767</v>
      </c>
      <c r="F993" s="73" t="s">
        <v>779</v>
      </c>
      <c r="G993" s="73" t="s">
        <v>109</v>
      </c>
      <c r="H993" s="73" t="s">
        <v>2719</v>
      </c>
      <c r="I993" s="73" t="s">
        <v>893</v>
      </c>
      <c r="J993" s="73" t="s">
        <v>913</v>
      </c>
      <c r="K993" s="73" t="s">
        <v>895</v>
      </c>
      <c r="L993" s="103" t="n">
        <v>0</v>
      </c>
    </row>
    <row r="994" customFormat="false" ht="15" hidden="false" customHeight="true" outlineLevel="0" collapsed="false">
      <c r="A994" s="73" t="s">
        <v>2720</v>
      </c>
      <c r="B994" s="73" t="s">
        <v>861</v>
      </c>
      <c r="C994" s="73" t="s">
        <v>653</v>
      </c>
      <c r="D994" s="73" t="s">
        <v>891</v>
      </c>
      <c r="E994" s="73" t="s">
        <v>767</v>
      </c>
      <c r="F994" s="73" t="s">
        <v>779</v>
      </c>
      <c r="G994" s="73" t="s">
        <v>111</v>
      </c>
      <c r="H994" s="73" t="s">
        <v>2721</v>
      </c>
      <c r="I994" s="73" t="s">
        <v>893</v>
      </c>
      <c r="J994" s="73" t="s">
        <v>916</v>
      </c>
      <c r="K994" s="73" t="s">
        <v>895</v>
      </c>
      <c r="L994" s="103" t="n">
        <v>0</v>
      </c>
    </row>
    <row r="995" customFormat="false" ht="15" hidden="false" customHeight="true" outlineLevel="0" collapsed="false">
      <c r="A995" s="73" t="s">
        <v>2722</v>
      </c>
      <c r="B995" s="73" t="s">
        <v>861</v>
      </c>
      <c r="C995" s="73" t="s">
        <v>653</v>
      </c>
      <c r="D995" s="73" t="s">
        <v>918</v>
      </c>
      <c r="E995" s="73" t="s">
        <v>767</v>
      </c>
      <c r="F995" s="73" t="s">
        <v>779</v>
      </c>
      <c r="G995" s="73" t="s">
        <v>96</v>
      </c>
      <c r="H995" s="73" t="s">
        <v>2723</v>
      </c>
      <c r="I995" s="73" t="s">
        <v>893</v>
      </c>
      <c r="J995" s="73" t="s">
        <v>920</v>
      </c>
      <c r="K995" s="73" t="s">
        <v>895</v>
      </c>
      <c r="L995" s="103" t="n">
        <v>0</v>
      </c>
    </row>
    <row r="996" customFormat="false" ht="15" hidden="false" customHeight="true" outlineLevel="0" collapsed="false">
      <c r="A996" s="73" t="s">
        <v>2724</v>
      </c>
      <c r="B996" s="73" t="s">
        <v>861</v>
      </c>
      <c r="C996" s="73" t="s">
        <v>653</v>
      </c>
      <c r="D996" s="73" t="s">
        <v>918</v>
      </c>
      <c r="E996" s="73" t="s">
        <v>767</v>
      </c>
      <c r="F996" s="73" t="s">
        <v>779</v>
      </c>
      <c r="G996" s="73" t="s">
        <v>99</v>
      </c>
      <c r="H996" s="73" t="s">
        <v>2725</v>
      </c>
      <c r="I996" s="73" t="s">
        <v>893</v>
      </c>
      <c r="J996" s="73" t="s">
        <v>923</v>
      </c>
      <c r="K996" s="73" t="s">
        <v>895</v>
      </c>
      <c r="L996" s="103" t="n">
        <v>0</v>
      </c>
    </row>
    <row r="997" customFormat="false" ht="15" hidden="false" customHeight="true" outlineLevel="0" collapsed="false">
      <c r="A997" s="73" t="s">
        <v>2726</v>
      </c>
      <c r="B997" s="73" t="s">
        <v>861</v>
      </c>
      <c r="C997" s="73" t="s">
        <v>653</v>
      </c>
      <c r="D997" s="73" t="s">
        <v>918</v>
      </c>
      <c r="E997" s="73" t="s">
        <v>767</v>
      </c>
      <c r="F997" s="73" t="s">
        <v>779</v>
      </c>
      <c r="G997" s="73" t="s">
        <v>101</v>
      </c>
      <c r="H997" s="73" t="s">
        <v>2727</v>
      </c>
      <c r="I997" s="73" t="s">
        <v>893</v>
      </c>
      <c r="J997" s="73" t="s">
        <v>926</v>
      </c>
      <c r="K997" s="73" t="s">
        <v>895</v>
      </c>
      <c r="L997" s="103" t="n">
        <v>0</v>
      </c>
    </row>
    <row r="998" customFormat="false" ht="15" hidden="false" customHeight="true" outlineLevel="0" collapsed="false">
      <c r="A998" s="73" t="s">
        <v>2728</v>
      </c>
      <c r="B998" s="73" t="s">
        <v>861</v>
      </c>
      <c r="C998" s="73" t="s">
        <v>653</v>
      </c>
      <c r="D998" s="73" t="s">
        <v>918</v>
      </c>
      <c r="E998" s="73" t="s">
        <v>767</v>
      </c>
      <c r="F998" s="73" t="s">
        <v>779</v>
      </c>
      <c r="G998" s="73" t="s">
        <v>103</v>
      </c>
      <c r="H998" s="73" t="s">
        <v>2729</v>
      </c>
      <c r="I998" s="73" t="s">
        <v>893</v>
      </c>
      <c r="J998" s="73" t="s">
        <v>929</v>
      </c>
      <c r="K998" s="73" t="s">
        <v>895</v>
      </c>
      <c r="L998" s="103" t="n">
        <v>0</v>
      </c>
    </row>
    <row r="999" customFormat="false" ht="15" hidden="false" customHeight="true" outlineLevel="0" collapsed="false">
      <c r="A999" s="73" t="s">
        <v>2730</v>
      </c>
      <c r="B999" s="73" t="s">
        <v>861</v>
      </c>
      <c r="C999" s="73" t="s">
        <v>653</v>
      </c>
      <c r="D999" s="73" t="s">
        <v>918</v>
      </c>
      <c r="E999" s="73" t="s">
        <v>767</v>
      </c>
      <c r="F999" s="73" t="s">
        <v>779</v>
      </c>
      <c r="G999" s="73" t="s">
        <v>105</v>
      </c>
      <c r="H999" s="73" t="s">
        <v>2731</v>
      </c>
      <c r="I999" s="73" t="s">
        <v>893</v>
      </c>
      <c r="J999" s="73" t="s">
        <v>932</v>
      </c>
      <c r="K999" s="73" t="s">
        <v>895</v>
      </c>
      <c r="L999" s="103" t="n">
        <v>0</v>
      </c>
    </row>
    <row r="1000" customFormat="false" ht="15" hidden="false" customHeight="true" outlineLevel="0" collapsed="false">
      <c r="A1000" s="73" t="s">
        <v>2732</v>
      </c>
      <c r="B1000" s="73" t="s">
        <v>861</v>
      </c>
      <c r="C1000" s="73" t="s">
        <v>653</v>
      </c>
      <c r="D1000" s="73" t="s">
        <v>918</v>
      </c>
      <c r="E1000" s="73" t="s">
        <v>767</v>
      </c>
      <c r="F1000" s="73" t="s">
        <v>779</v>
      </c>
      <c r="G1000" s="73" t="s">
        <v>107</v>
      </c>
      <c r="H1000" s="73" t="s">
        <v>2733</v>
      </c>
      <c r="I1000" s="73" t="s">
        <v>893</v>
      </c>
      <c r="J1000" s="73" t="s">
        <v>935</v>
      </c>
      <c r="K1000" s="73" t="s">
        <v>895</v>
      </c>
      <c r="L1000" s="103" t="n">
        <v>0</v>
      </c>
    </row>
    <row r="1001" customFormat="false" ht="15" hidden="false" customHeight="true" outlineLevel="0" collapsed="false">
      <c r="A1001" s="73" t="s">
        <v>2734</v>
      </c>
      <c r="B1001" s="73" t="s">
        <v>861</v>
      </c>
      <c r="C1001" s="73" t="s">
        <v>653</v>
      </c>
      <c r="D1001" s="73" t="s">
        <v>918</v>
      </c>
      <c r="E1001" s="73" t="s">
        <v>767</v>
      </c>
      <c r="F1001" s="73" t="s">
        <v>779</v>
      </c>
      <c r="G1001" s="73" t="s">
        <v>109</v>
      </c>
      <c r="H1001" s="73" t="s">
        <v>2735</v>
      </c>
      <c r="I1001" s="73" t="s">
        <v>893</v>
      </c>
      <c r="J1001" s="73" t="s">
        <v>938</v>
      </c>
      <c r="K1001" s="73" t="s">
        <v>895</v>
      </c>
      <c r="L1001" s="103" t="n">
        <v>0</v>
      </c>
    </row>
    <row r="1002" customFormat="false" ht="15" hidden="false" customHeight="true" outlineLevel="0" collapsed="false">
      <c r="A1002" s="73" t="s">
        <v>2736</v>
      </c>
      <c r="B1002" s="73" t="s">
        <v>861</v>
      </c>
      <c r="C1002" s="73" t="s">
        <v>653</v>
      </c>
      <c r="D1002" s="73" t="s">
        <v>918</v>
      </c>
      <c r="E1002" s="73" t="s">
        <v>767</v>
      </c>
      <c r="F1002" s="73" t="s">
        <v>779</v>
      </c>
      <c r="G1002" s="73" t="s">
        <v>111</v>
      </c>
      <c r="H1002" s="73" t="s">
        <v>2737</v>
      </c>
      <c r="I1002" s="73" t="s">
        <v>893</v>
      </c>
      <c r="J1002" s="73" t="s">
        <v>941</v>
      </c>
      <c r="K1002" s="73" t="s">
        <v>895</v>
      </c>
      <c r="L1002" s="103" t="n">
        <v>0</v>
      </c>
    </row>
    <row r="1003" customFormat="false" ht="15" hidden="false" customHeight="true" outlineLevel="0" collapsed="false">
      <c r="A1003" s="73" t="s">
        <v>2738</v>
      </c>
      <c r="B1003" s="73" t="s">
        <v>861</v>
      </c>
      <c r="C1003" s="73" t="s">
        <v>653</v>
      </c>
      <c r="D1003" s="73" t="s">
        <v>943</v>
      </c>
      <c r="E1003" s="73" t="s">
        <v>767</v>
      </c>
      <c r="F1003" s="73" t="s">
        <v>779</v>
      </c>
      <c r="G1003" s="73" t="s">
        <v>944</v>
      </c>
      <c r="H1003" s="73" t="s">
        <v>2739</v>
      </c>
      <c r="I1003" s="73" t="s">
        <v>893</v>
      </c>
      <c r="J1003" s="73" t="s">
        <v>946</v>
      </c>
      <c r="K1003" s="73"/>
      <c r="L1003" s="103" t="n">
        <v>0.3</v>
      </c>
    </row>
    <row r="1004" customFormat="false" ht="15" hidden="false" customHeight="true" outlineLevel="0" collapsed="false">
      <c r="A1004" s="73" t="s">
        <v>2740</v>
      </c>
      <c r="B1004" s="73" t="s">
        <v>861</v>
      </c>
      <c r="C1004" s="73" t="s">
        <v>653</v>
      </c>
      <c r="D1004" s="73" t="s">
        <v>948</v>
      </c>
      <c r="E1004" s="73" t="s">
        <v>767</v>
      </c>
      <c r="F1004" s="73" t="s">
        <v>779</v>
      </c>
      <c r="G1004" s="73" t="s">
        <v>655</v>
      </c>
      <c r="H1004" s="73" t="s">
        <v>2741</v>
      </c>
      <c r="I1004" s="73" t="s">
        <v>708</v>
      </c>
      <c r="J1004" s="73" t="s">
        <v>950</v>
      </c>
      <c r="K1004" s="73" t="s">
        <v>951</v>
      </c>
      <c r="L1004" s="103" t="n">
        <v>-0.733</v>
      </c>
    </row>
    <row r="1005" customFormat="false" ht="15" hidden="false" customHeight="true" outlineLevel="0" collapsed="false">
      <c r="A1005" s="73" t="s">
        <v>2742</v>
      </c>
      <c r="B1005" s="73" t="s">
        <v>861</v>
      </c>
      <c r="C1005" s="73" t="s">
        <v>653</v>
      </c>
      <c r="D1005" s="73" t="s">
        <v>953</v>
      </c>
      <c r="E1005" s="73" t="s">
        <v>767</v>
      </c>
      <c r="F1005" s="73" t="s">
        <v>779</v>
      </c>
      <c r="G1005" s="73" t="s">
        <v>655</v>
      </c>
      <c r="H1005" s="73" t="s">
        <v>2743</v>
      </c>
      <c r="I1005" s="73" t="s">
        <v>955</v>
      </c>
      <c r="J1005" s="73" t="s">
        <v>956</v>
      </c>
      <c r="K1005" s="73" t="s">
        <v>951</v>
      </c>
      <c r="L1005" s="103" t="n">
        <v>0</v>
      </c>
    </row>
    <row r="1006" customFormat="false" ht="15" hidden="false" customHeight="true" outlineLevel="0" collapsed="false">
      <c r="A1006" s="73" t="s">
        <v>2744</v>
      </c>
      <c r="B1006" s="73" t="s">
        <v>861</v>
      </c>
      <c r="C1006" s="73" t="s">
        <v>653</v>
      </c>
      <c r="D1006" s="73" t="s">
        <v>867</v>
      </c>
      <c r="E1006" s="73" t="s">
        <v>767</v>
      </c>
      <c r="F1006" s="73" t="s">
        <v>790</v>
      </c>
      <c r="G1006" s="73" t="s">
        <v>655</v>
      </c>
      <c r="H1006" s="73" t="s">
        <v>2745</v>
      </c>
      <c r="I1006" s="73" t="s">
        <v>869</v>
      </c>
      <c r="J1006" s="73" t="s">
        <v>1204</v>
      </c>
      <c r="K1006" s="73" t="s">
        <v>871</v>
      </c>
      <c r="L1006" s="107" t="n">
        <v>0.5</v>
      </c>
    </row>
    <row r="1007" customFormat="false" ht="15" hidden="false" customHeight="true" outlineLevel="0" collapsed="false">
      <c r="A1007" s="73" t="s">
        <v>2746</v>
      </c>
      <c r="B1007" s="73" t="s">
        <v>861</v>
      </c>
      <c r="C1007" s="73" t="s">
        <v>653</v>
      </c>
      <c r="D1007" s="73" t="s">
        <v>873</v>
      </c>
      <c r="E1007" s="73" t="s">
        <v>767</v>
      </c>
      <c r="F1007" s="73" t="s">
        <v>790</v>
      </c>
      <c r="G1007" s="73" t="s">
        <v>655</v>
      </c>
      <c r="H1007" s="73" t="s">
        <v>2747</v>
      </c>
      <c r="I1007" s="73" t="s">
        <v>875</v>
      </c>
      <c r="J1007" s="73" t="s">
        <v>876</v>
      </c>
      <c r="K1007" s="73"/>
      <c r="L1007" s="104" t="n">
        <v>0.4</v>
      </c>
    </row>
    <row r="1008" customFormat="false" ht="15" hidden="false" customHeight="true" outlineLevel="0" collapsed="false">
      <c r="A1008" s="73" t="s">
        <v>2748</v>
      </c>
      <c r="B1008" s="73" t="s">
        <v>861</v>
      </c>
      <c r="C1008" s="73" t="s">
        <v>653</v>
      </c>
      <c r="D1008" s="73" t="s">
        <v>878</v>
      </c>
      <c r="E1008" s="73" t="s">
        <v>767</v>
      </c>
      <c r="F1008" s="73" t="s">
        <v>790</v>
      </c>
      <c r="G1008" s="73" t="s">
        <v>655</v>
      </c>
      <c r="H1008" s="73" t="s">
        <v>2749</v>
      </c>
      <c r="I1008" s="73" t="s">
        <v>880</v>
      </c>
      <c r="J1008" s="73" t="s">
        <v>881</v>
      </c>
      <c r="K1008" s="73"/>
      <c r="L1008" s="104" t="n">
        <v>0.1</v>
      </c>
    </row>
    <row r="1009" customFormat="false" ht="15" hidden="false" customHeight="true" outlineLevel="0" collapsed="false">
      <c r="A1009" s="73" t="s">
        <v>2750</v>
      </c>
      <c r="B1009" s="73" t="s">
        <v>861</v>
      </c>
      <c r="C1009" s="73" t="s">
        <v>653</v>
      </c>
      <c r="D1009" s="73" t="s">
        <v>883</v>
      </c>
      <c r="E1009" s="73" t="s">
        <v>767</v>
      </c>
      <c r="F1009" s="73" t="s">
        <v>790</v>
      </c>
      <c r="G1009" s="73" t="s">
        <v>655</v>
      </c>
      <c r="H1009" s="73" t="s">
        <v>2751</v>
      </c>
      <c r="I1009" s="73" t="s">
        <v>880</v>
      </c>
      <c r="J1009" s="73" t="s">
        <v>885</v>
      </c>
      <c r="K1009" s="73"/>
      <c r="L1009" s="104" t="n">
        <v>0.02</v>
      </c>
    </row>
    <row r="1010" customFormat="false" ht="15" hidden="false" customHeight="true" outlineLevel="0" collapsed="false">
      <c r="A1010" s="73" t="s">
        <v>2752</v>
      </c>
      <c r="B1010" s="73" t="s">
        <v>861</v>
      </c>
      <c r="C1010" s="73" t="s">
        <v>653</v>
      </c>
      <c r="D1010" s="73" t="s">
        <v>887</v>
      </c>
      <c r="E1010" s="73" t="s">
        <v>767</v>
      </c>
      <c r="F1010" s="73" t="s">
        <v>790</v>
      </c>
      <c r="G1010" s="73" t="s">
        <v>655</v>
      </c>
      <c r="H1010" s="73" t="s">
        <v>2753</v>
      </c>
      <c r="I1010" s="73" t="s">
        <v>880</v>
      </c>
      <c r="J1010" s="73" t="s">
        <v>889</v>
      </c>
      <c r="K1010" s="73"/>
      <c r="L1010" s="104" t="n">
        <v>0.05</v>
      </c>
    </row>
    <row r="1011" customFormat="false" ht="15" hidden="false" customHeight="true" outlineLevel="0" collapsed="false">
      <c r="A1011" s="73" t="s">
        <v>2754</v>
      </c>
      <c r="B1011" s="73" t="s">
        <v>861</v>
      </c>
      <c r="C1011" s="73" t="s">
        <v>653</v>
      </c>
      <c r="D1011" s="73" t="s">
        <v>891</v>
      </c>
      <c r="E1011" s="73" t="s">
        <v>767</v>
      </c>
      <c r="F1011" s="73" t="s">
        <v>790</v>
      </c>
      <c r="G1011" s="73" t="s">
        <v>96</v>
      </c>
      <c r="H1011" s="73" t="s">
        <v>2755</v>
      </c>
      <c r="I1011" s="73" t="s">
        <v>893</v>
      </c>
      <c r="J1011" s="73" t="s">
        <v>894</v>
      </c>
      <c r="K1011" s="73" t="s">
        <v>895</v>
      </c>
      <c r="L1011" s="103" t="n">
        <v>0</v>
      </c>
    </row>
    <row r="1012" customFormat="false" ht="15" hidden="false" customHeight="true" outlineLevel="0" collapsed="false">
      <c r="A1012" s="73" t="s">
        <v>2756</v>
      </c>
      <c r="B1012" s="73" t="s">
        <v>861</v>
      </c>
      <c r="C1012" s="73" t="s">
        <v>653</v>
      </c>
      <c r="D1012" s="73" t="s">
        <v>891</v>
      </c>
      <c r="E1012" s="73" t="s">
        <v>767</v>
      </c>
      <c r="F1012" s="73" t="s">
        <v>790</v>
      </c>
      <c r="G1012" s="73" t="s">
        <v>99</v>
      </c>
      <c r="H1012" s="73" t="s">
        <v>2757</v>
      </c>
      <c r="I1012" s="73" t="s">
        <v>893</v>
      </c>
      <c r="J1012" s="73" t="s">
        <v>898</v>
      </c>
      <c r="K1012" s="73" t="s">
        <v>895</v>
      </c>
      <c r="L1012" s="103" t="n">
        <v>1.5</v>
      </c>
    </row>
    <row r="1013" customFormat="false" ht="15" hidden="false" customHeight="true" outlineLevel="0" collapsed="false">
      <c r="A1013" s="73" t="s">
        <v>2758</v>
      </c>
      <c r="B1013" s="73" t="s">
        <v>861</v>
      </c>
      <c r="C1013" s="73" t="s">
        <v>653</v>
      </c>
      <c r="D1013" s="73" t="s">
        <v>891</v>
      </c>
      <c r="E1013" s="73" t="s">
        <v>767</v>
      </c>
      <c r="F1013" s="73" t="s">
        <v>790</v>
      </c>
      <c r="G1013" s="73" t="s">
        <v>101</v>
      </c>
      <c r="H1013" s="73" t="s">
        <v>2759</v>
      </c>
      <c r="I1013" s="73" t="s">
        <v>893</v>
      </c>
      <c r="J1013" s="73" t="s">
        <v>901</v>
      </c>
      <c r="K1013" s="73" t="s">
        <v>895</v>
      </c>
      <c r="L1013" s="103" t="n">
        <v>0</v>
      </c>
    </row>
    <row r="1014" customFormat="false" ht="15" hidden="false" customHeight="true" outlineLevel="0" collapsed="false">
      <c r="A1014" s="73" t="s">
        <v>2760</v>
      </c>
      <c r="B1014" s="73" t="s">
        <v>861</v>
      </c>
      <c r="C1014" s="73" t="s">
        <v>653</v>
      </c>
      <c r="D1014" s="73" t="s">
        <v>891</v>
      </c>
      <c r="E1014" s="73" t="s">
        <v>767</v>
      </c>
      <c r="F1014" s="73" t="s">
        <v>790</v>
      </c>
      <c r="G1014" s="73" t="s">
        <v>103</v>
      </c>
      <c r="H1014" s="73" t="s">
        <v>2761</v>
      </c>
      <c r="I1014" s="73" t="s">
        <v>893</v>
      </c>
      <c r="J1014" s="73" t="s">
        <v>904</v>
      </c>
      <c r="K1014" s="73" t="s">
        <v>895</v>
      </c>
      <c r="L1014" s="103" t="n">
        <v>0</v>
      </c>
    </row>
    <row r="1015" customFormat="false" ht="15" hidden="false" customHeight="true" outlineLevel="0" collapsed="false">
      <c r="A1015" s="73" t="s">
        <v>2762</v>
      </c>
      <c r="B1015" s="73" t="s">
        <v>861</v>
      </c>
      <c r="C1015" s="73" t="s">
        <v>653</v>
      </c>
      <c r="D1015" s="73" t="s">
        <v>891</v>
      </c>
      <c r="E1015" s="73" t="s">
        <v>767</v>
      </c>
      <c r="F1015" s="73" t="s">
        <v>790</v>
      </c>
      <c r="G1015" s="73" t="s">
        <v>105</v>
      </c>
      <c r="H1015" s="73" t="s">
        <v>2763</v>
      </c>
      <c r="I1015" s="73" t="s">
        <v>893</v>
      </c>
      <c r="J1015" s="73" t="s">
        <v>907</v>
      </c>
      <c r="K1015" s="73" t="s">
        <v>895</v>
      </c>
      <c r="L1015" s="103" t="n">
        <v>0</v>
      </c>
    </row>
    <row r="1016" customFormat="false" ht="15" hidden="false" customHeight="true" outlineLevel="0" collapsed="false">
      <c r="A1016" s="73" t="s">
        <v>2764</v>
      </c>
      <c r="B1016" s="73" t="s">
        <v>861</v>
      </c>
      <c r="C1016" s="73" t="s">
        <v>653</v>
      </c>
      <c r="D1016" s="73" t="s">
        <v>891</v>
      </c>
      <c r="E1016" s="73" t="s">
        <v>767</v>
      </c>
      <c r="F1016" s="73" t="s">
        <v>790</v>
      </c>
      <c r="G1016" s="73" t="s">
        <v>107</v>
      </c>
      <c r="H1016" s="73" t="s">
        <v>2765</v>
      </c>
      <c r="I1016" s="73" t="s">
        <v>893</v>
      </c>
      <c r="J1016" s="73" t="s">
        <v>910</v>
      </c>
      <c r="K1016" s="73" t="s">
        <v>895</v>
      </c>
      <c r="L1016" s="103" t="n">
        <v>0</v>
      </c>
    </row>
    <row r="1017" customFormat="false" ht="15" hidden="false" customHeight="true" outlineLevel="0" collapsed="false">
      <c r="A1017" s="73" t="s">
        <v>2766</v>
      </c>
      <c r="B1017" s="73" t="s">
        <v>861</v>
      </c>
      <c r="C1017" s="73" t="s">
        <v>653</v>
      </c>
      <c r="D1017" s="73" t="s">
        <v>891</v>
      </c>
      <c r="E1017" s="73" t="s">
        <v>767</v>
      </c>
      <c r="F1017" s="73" t="s">
        <v>790</v>
      </c>
      <c r="G1017" s="73" t="s">
        <v>109</v>
      </c>
      <c r="H1017" s="73" t="s">
        <v>2767</v>
      </c>
      <c r="I1017" s="73" t="s">
        <v>893</v>
      </c>
      <c r="J1017" s="73" t="s">
        <v>913</v>
      </c>
      <c r="K1017" s="73" t="s">
        <v>895</v>
      </c>
      <c r="L1017" s="103" t="n">
        <v>0</v>
      </c>
    </row>
    <row r="1018" customFormat="false" ht="15" hidden="false" customHeight="true" outlineLevel="0" collapsed="false">
      <c r="A1018" s="73" t="s">
        <v>2768</v>
      </c>
      <c r="B1018" s="73" t="s">
        <v>861</v>
      </c>
      <c r="C1018" s="73" t="s">
        <v>653</v>
      </c>
      <c r="D1018" s="73" t="s">
        <v>891</v>
      </c>
      <c r="E1018" s="73" t="s">
        <v>767</v>
      </c>
      <c r="F1018" s="73" t="s">
        <v>790</v>
      </c>
      <c r="G1018" s="73" t="s">
        <v>111</v>
      </c>
      <c r="H1018" s="73" t="s">
        <v>2769</v>
      </c>
      <c r="I1018" s="73" t="s">
        <v>893</v>
      </c>
      <c r="J1018" s="73" t="s">
        <v>916</v>
      </c>
      <c r="K1018" s="73" t="s">
        <v>895</v>
      </c>
      <c r="L1018" s="103" t="n">
        <v>0</v>
      </c>
    </row>
    <row r="1019" customFormat="false" ht="15" hidden="false" customHeight="true" outlineLevel="0" collapsed="false">
      <c r="A1019" s="73" t="s">
        <v>2770</v>
      </c>
      <c r="B1019" s="73" t="s">
        <v>861</v>
      </c>
      <c r="C1019" s="73" t="s">
        <v>653</v>
      </c>
      <c r="D1019" s="73" t="s">
        <v>918</v>
      </c>
      <c r="E1019" s="73" t="s">
        <v>767</v>
      </c>
      <c r="F1019" s="73" t="s">
        <v>790</v>
      </c>
      <c r="G1019" s="73" t="s">
        <v>96</v>
      </c>
      <c r="H1019" s="73" t="s">
        <v>2771</v>
      </c>
      <c r="I1019" s="73" t="s">
        <v>893</v>
      </c>
      <c r="J1019" s="73" t="s">
        <v>920</v>
      </c>
      <c r="K1019" s="73" t="s">
        <v>895</v>
      </c>
      <c r="L1019" s="103" t="n">
        <v>0</v>
      </c>
    </row>
    <row r="1020" customFormat="false" ht="15" hidden="false" customHeight="true" outlineLevel="0" collapsed="false">
      <c r="A1020" s="73" t="s">
        <v>2772</v>
      </c>
      <c r="B1020" s="73" t="s">
        <v>861</v>
      </c>
      <c r="C1020" s="73" t="s">
        <v>653</v>
      </c>
      <c r="D1020" s="73" t="s">
        <v>918</v>
      </c>
      <c r="E1020" s="73" t="s">
        <v>767</v>
      </c>
      <c r="F1020" s="73" t="s">
        <v>790</v>
      </c>
      <c r="G1020" s="73" t="s">
        <v>99</v>
      </c>
      <c r="H1020" s="73" t="s">
        <v>2773</v>
      </c>
      <c r="I1020" s="73" t="s">
        <v>893</v>
      </c>
      <c r="J1020" s="73" t="s">
        <v>923</v>
      </c>
      <c r="K1020" s="73" t="s">
        <v>895</v>
      </c>
      <c r="L1020" s="103" t="n">
        <v>0</v>
      </c>
    </row>
    <row r="1021" customFormat="false" ht="15" hidden="false" customHeight="true" outlineLevel="0" collapsed="false">
      <c r="A1021" s="73" t="s">
        <v>2774</v>
      </c>
      <c r="B1021" s="73" t="s">
        <v>861</v>
      </c>
      <c r="C1021" s="73" t="s">
        <v>653</v>
      </c>
      <c r="D1021" s="73" t="s">
        <v>918</v>
      </c>
      <c r="E1021" s="73" t="s">
        <v>767</v>
      </c>
      <c r="F1021" s="73" t="s">
        <v>790</v>
      </c>
      <c r="G1021" s="73" t="s">
        <v>101</v>
      </c>
      <c r="H1021" s="73" t="s">
        <v>2775</v>
      </c>
      <c r="I1021" s="73" t="s">
        <v>893</v>
      </c>
      <c r="J1021" s="73" t="s">
        <v>926</v>
      </c>
      <c r="K1021" s="73" t="s">
        <v>895</v>
      </c>
      <c r="L1021" s="103" t="n">
        <v>0</v>
      </c>
    </row>
    <row r="1022" customFormat="false" ht="15" hidden="false" customHeight="true" outlineLevel="0" collapsed="false">
      <c r="A1022" s="73" t="s">
        <v>2776</v>
      </c>
      <c r="B1022" s="73" t="s">
        <v>861</v>
      </c>
      <c r="C1022" s="73" t="s">
        <v>653</v>
      </c>
      <c r="D1022" s="73" t="s">
        <v>918</v>
      </c>
      <c r="E1022" s="73" t="s">
        <v>767</v>
      </c>
      <c r="F1022" s="73" t="s">
        <v>790</v>
      </c>
      <c r="G1022" s="73" t="s">
        <v>103</v>
      </c>
      <c r="H1022" s="73" t="s">
        <v>2777</v>
      </c>
      <c r="I1022" s="73" t="s">
        <v>893</v>
      </c>
      <c r="J1022" s="73" t="s">
        <v>929</v>
      </c>
      <c r="K1022" s="73" t="s">
        <v>895</v>
      </c>
      <c r="L1022" s="103" t="n">
        <v>0</v>
      </c>
    </row>
    <row r="1023" customFormat="false" ht="15" hidden="false" customHeight="true" outlineLevel="0" collapsed="false">
      <c r="A1023" s="73" t="s">
        <v>2778</v>
      </c>
      <c r="B1023" s="73" t="s">
        <v>861</v>
      </c>
      <c r="C1023" s="73" t="s">
        <v>653</v>
      </c>
      <c r="D1023" s="73" t="s">
        <v>918</v>
      </c>
      <c r="E1023" s="73" t="s">
        <v>767</v>
      </c>
      <c r="F1023" s="73" t="s">
        <v>790</v>
      </c>
      <c r="G1023" s="73" t="s">
        <v>105</v>
      </c>
      <c r="H1023" s="73" t="s">
        <v>2779</v>
      </c>
      <c r="I1023" s="73" t="s">
        <v>893</v>
      </c>
      <c r="J1023" s="73" t="s">
        <v>932</v>
      </c>
      <c r="K1023" s="73" t="s">
        <v>895</v>
      </c>
      <c r="L1023" s="103" t="n">
        <v>0</v>
      </c>
    </row>
    <row r="1024" customFormat="false" ht="15" hidden="false" customHeight="true" outlineLevel="0" collapsed="false">
      <c r="A1024" s="73" t="s">
        <v>2780</v>
      </c>
      <c r="B1024" s="73" t="s">
        <v>861</v>
      </c>
      <c r="C1024" s="73" t="s">
        <v>653</v>
      </c>
      <c r="D1024" s="73" t="s">
        <v>918</v>
      </c>
      <c r="E1024" s="73" t="s">
        <v>767</v>
      </c>
      <c r="F1024" s="73" t="s">
        <v>790</v>
      </c>
      <c r="G1024" s="73" t="s">
        <v>107</v>
      </c>
      <c r="H1024" s="73" t="s">
        <v>2781</v>
      </c>
      <c r="I1024" s="73" t="s">
        <v>893</v>
      </c>
      <c r="J1024" s="73" t="s">
        <v>935</v>
      </c>
      <c r="K1024" s="73" t="s">
        <v>895</v>
      </c>
      <c r="L1024" s="103" t="n">
        <v>0</v>
      </c>
    </row>
    <row r="1025" customFormat="false" ht="15" hidden="false" customHeight="true" outlineLevel="0" collapsed="false">
      <c r="A1025" s="73" t="s">
        <v>2782</v>
      </c>
      <c r="B1025" s="73" t="s">
        <v>861</v>
      </c>
      <c r="C1025" s="73" t="s">
        <v>653</v>
      </c>
      <c r="D1025" s="73" t="s">
        <v>918</v>
      </c>
      <c r="E1025" s="73" t="s">
        <v>767</v>
      </c>
      <c r="F1025" s="73" t="s">
        <v>790</v>
      </c>
      <c r="G1025" s="73" t="s">
        <v>109</v>
      </c>
      <c r="H1025" s="73" t="s">
        <v>2783</v>
      </c>
      <c r="I1025" s="73" t="s">
        <v>893</v>
      </c>
      <c r="J1025" s="73" t="s">
        <v>938</v>
      </c>
      <c r="K1025" s="73" t="s">
        <v>895</v>
      </c>
      <c r="L1025" s="103" t="n">
        <v>0</v>
      </c>
    </row>
    <row r="1026" customFormat="false" ht="15" hidden="false" customHeight="true" outlineLevel="0" collapsed="false">
      <c r="A1026" s="73" t="s">
        <v>2784</v>
      </c>
      <c r="B1026" s="73" t="s">
        <v>861</v>
      </c>
      <c r="C1026" s="73" t="s">
        <v>653</v>
      </c>
      <c r="D1026" s="73" t="s">
        <v>918</v>
      </c>
      <c r="E1026" s="73" t="s">
        <v>767</v>
      </c>
      <c r="F1026" s="73" t="s">
        <v>790</v>
      </c>
      <c r="G1026" s="73" t="s">
        <v>111</v>
      </c>
      <c r="H1026" s="73" t="s">
        <v>2785</v>
      </c>
      <c r="I1026" s="73" t="s">
        <v>893</v>
      </c>
      <c r="J1026" s="73" t="s">
        <v>941</v>
      </c>
      <c r="K1026" s="73" t="s">
        <v>895</v>
      </c>
      <c r="L1026" s="103" t="n">
        <v>0</v>
      </c>
    </row>
    <row r="1027" customFormat="false" ht="15" hidden="false" customHeight="true" outlineLevel="0" collapsed="false">
      <c r="A1027" s="73" t="s">
        <v>2786</v>
      </c>
      <c r="B1027" s="73" t="s">
        <v>861</v>
      </c>
      <c r="C1027" s="73" t="s">
        <v>653</v>
      </c>
      <c r="D1027" s="73" t="s">
        <v>943</v>
      </c>
      <c r="E1027" s="73" t="s">
        <v>767</v>
      </c>
      <c r="F1027" s="73" t="s">
        <v>790</v>
      </c>
      <c r="G1027" s="73" t="s">
        <v>944</v>
      </c>
      <c r="H1027" s="73" t="s">
        <v>2787</v>
      </c>
      <c r="I1027" s="73" t="s">
        <v>893</v>
      </c>
      <c r="J1027" s="73" t="s">
        <v>946</v>
      </c>
      <c r="K1027" s="73"/>
      <c r="L1027" s="103" t="n">
        <v>0.3</v>
      </c>
    </row>
    <row r="1028" customFormat="false" ht="15" hidden="false" customHeight="true" outlineLevel="0" collapsed="false">
      <c r="A1028" s="73" t="s">
        <v>2788</v>
      </c>
      <c r="B1028" s="73" t="s">
        <v>861</v>
      </c>
      <c r="C1028" s="73" t="s">
        <v>653</v>
      </c>
      <c r="D1028" s="73" t="s">
        <v>948</v>
      </c>
      <c r="E1028" s="73" t="s">
        <v>767</v>
      </c>
      <c r="F1028" s="73" t="s">
        <v>790</v>
      </c>
      <c r="G1028" s="73" t="s">
        <v>655</v>
      </c>
      <c r="H1028" s="73" t="s">
        <v>2789</v>
      </c>
      <c r="I1028" s="73" t="s">
        <v>708</v>
      </c>
      <c r="J1028" s="73" t="s">
        <v>950</v>
      </c>
      <c r="K1028" s="73" t="s">
        <v>951</v>
      </c>
      <c r="L1028" s="103" t="n">
        <v>0</v>
      </c>
    </row>
    <row r="1029" customFormat="false" ht="15" hidden="false" customHeight="true" outlineLevel="0" collapsed="false">
      <c r="A1029" s="73" t="s">
        <v>2790</v>
      </c>
      <c r="B1029" s="73" t="s">
        <v>861</v>
      </c>
      <c r="C1029" s="73" t="s">
        <v>653</v>
      </c>
      <c r="D1029" s="73" t="s">
        <v>953</v>
      </c>
      <c r="E1029" s="73" t="s">
        <v>767</v>
      </c>
      <c r="F1029" s="73" t="s">
        <v>790</v>
      </c>
      <c r="G1029" s="73" t="s">
        <v>655</v>
      </c>
      <c r="H1029" s="73" t="s">
        <v>2791</v>
      </c>
      <c r="I1029" s="73" t="s">
        <v>955</v>
      </c>
      <c r="J1029" s="73" t="s">
        <v>956</v>
      </c>
      <c r="K1029" s="73" t="s">
        <v>951</v>
      </c>
      <c r="L1029" s="103" t="n">
        <v>2.5</v>
      </c>
    </row>
    <row r="1030" customFormat="false" ht="15" hidden="false" customHeight="true" outlineLevel="0" collapsed="false">
      <c r="A1030" s="73" t="s">
        <v>2792</v>
      </c>
      <c r="B1030" s="73" t="s">
        <v>861</v>
      </c>
      <c r="C1030" s="73" t="s">
        <v>653</v>
      </c>
      <c r="D1030" s="73" t="s">
        <v>867</v>
      </c>
      <c r="E1030" s="73" t="s">
        <v>801</v>
      </c>
      <c r="F1030" s="73" t="s">
        <v>802</v>
      </c>
      <c r="G1030" s="73" t="s">
        <v>655</v>
      </c>
      <c r="H1030" s="73" t="s">
        <v>2793</v>
      </c>
      <c r="I1030" s="73" t="s">
        <v>869</v>
      </c>
      <c r="J1030" s="73" t="s">
        <v>1253</v>
      </c>
      <c r="K1030" s="73" t="s">
        <v>871</v>
      </c>
      <c r="L1030" s="107" t="n">
        <v>4.1</v>
      </c>
    </row>
    <row r="1031" customFormat="false" ht="15" hidden="false" customHeight="true" outlineLevel="0" collapsed="false">
      <c r="A1031" s="73" t="s">
        <v>2794</v>
      </c>
      <c r="B1031" s="73" t="s">
        <v>861</v>
      </c>
      <c r="C1031" s="73" t="s">
        <v>653</v>
      </c>
      <c r="D1031" s="73" t="s">
        <v>873</v>
      </c>
      <c r="E1031" s="73" t="s">
        <v>801</v>
      </c>
      <c r="F1031" s="73" t="s">
        <v>802</v>
      </c>
      <c r="G1031" s="73" t="s">
        <v>655</v>
      </c>
      <c r="H1031" s="73" t="s">
        <v>2795</v>
      </c>
      <c r="I1031" s="73" t="s">
        <v>875</v>
      </c>
      <c r="J1031" s="73" t="s">
        <v>876</v>
      </c>
      <c r="K1031" s="73"/>
      <c r="L1031" s="104" t="n">
        <v>0.8</v>
      </c>
    </row>
    <row r="1032" customFormat="false" ht="15" hidden="false" customHeight="true" outlineLevel="0" collapsed="false">
      <c r="A1032" s="73" t="s">
        <v>2796</v>
      </c>
      <c r="B1032" s="73" t="s">
        <v>861</v>
      </c>
      <c r="C1032" s="73" t="s">
        <v>653</v>
      </c>
      <c r="D1032" s="73" t="s">
        <v>878</v>
      </c>
      <c r="E1032" s="73" t="s">
        <v>801</v>
      </c>
      <c r="F1032" s="73" t="s">
        <v>802</v>
      </c>
      <c r="G1032" s="73" t="s">
        <v>655</v>
      </c>
      <c r="H1032" s="73" t="s">
        <v>2797</v>
      </c>
      <c r="I1032" s="73" t="s">
        <v>880</v>
      </c>
      <c r="J1032" s="73" t="s">
        <v>881</v>
      </c>
      <c r="K1032" s="73"/>
      <c r="L1032" s="104" t="n">
        <v>0.3</v>
      </c>
    </row>
    <row r="1033" customFormat="false" ht="15" hidden="false" customHeight="true" outlineLevel="0" collapsed="false">
      <c r="A1033" s="73" t="s">
        <v>2798</v>
      </c>
      <c r="B1033" s="73" t="s">
        <v>861</v>
      </c>
      <c r="C1033" s="73" t="s">
        <v>653</v>
      </c>
      <c r="D1033" s="73" t="s">
        <v>883</v>
      </c>
      <c r="E1033" s="73" t="s">
        <v>801</v>
      </c>
      <c r="F1033" s="73" t="s">
        <v>802</v>
      </c>
      <c r="G1033" s="73" t="s">
        <v>655</v>
      </c>
      <c r="H1033" s="73" t="s">
        <v>2799</v>
      </c>
      <c r="I1033" s="73" t="s">
        <v>880</v>
      </c>
      <c r="J1033" s="73" t="s">
        <v>885</v>
      </c>
      <c r="K1033" s="73"/>
      <c r="L1033" s="104" t="n">
        <v>0.12</v>
      </c>
    </row>
    <row r="1034" customFormat="false" ht="15" hidden="false" customHeight="true" outlineLevel="0" collapsed="false">
      <c r="A1034" s="73" t="s">
        <v>2800</v>
      </c>
      <c r="B1034" s="73" t="s">
        <v>861</v>
      </c>
      <c r="C1034" s="73" t="s">
        <v>653</v>
      </c>
      <c r="D1034" s="73" t="s">
        <v>887</v>
      </c>
      <c r="E1034" s="73" t="s">
        <v>801</v>
      </c>
      <c r="F1034" s="73" t="s">
        <v>802</v>
      </c>
      <c r="G1034" s="73" t="s">
        <v>655</v>
      </c>
      <c r="H1034" s="73" t="s">
        <v>2801</v>
      </c>
      <c r="I1034" s="73" t="s">
        <v>880</v>
      </c>
      <c r="J1034" s="73" t="s">
        <v>889</v>
      </c>
      <c r="K1034" s="73"/>
      <c r="L1034" s="104" t="n">
        <v>0.05</v>
      </c>
    </row>
    <row r="1035" customFormat="false" ht="15" hidden="false" customHeight="true" outlineLevel="0" collapsed="false">
      <c r="A1035" s="73" t="s">
        <v>2802</v>
      </c>
      <c r="B1035" s="73" t="s">
        <v>861</v>
      </c>
      <c r="C1035" s="73" t="s">
        <v>653</v>
      </c>
      <c r="D1035" s="73" t="s">
        <v>891</v>
      </c>
      <c r="E1035" s="73" t="s">
        <v>801</v>
      </c>
      <c r="F1035" s="73" t="s">
        <v>802</v>
      </c>
      <c r="G1035" s="73" t="s">
        <v>96</v>
      </c>
      <c r="H1035" s="73" t="s">
        <v>2803</v>
      </c>
      <c r="I1035" s="73" t="s">
        <v>893</v>
      </c>
      <c r="J1035" s="73" t="s">
        <v>894</v>
      </c>
      <c r="K1035" s="73" t="s">
        <v>895</v>
      </c>
      <c r="L1035" s="103" t="n">
        <v>1.5</v>
      </c>
    </row>
    <row r="1036" customFormat="false" ht="15" hidden="false" customHeight="true" outlineLevel="0" collapsed="false">
      <c r="A1036" s="73" t="s">
        <v>2804</v>
      </c>
      <c r="B1036" s="73" t="s">
        <v>861</v>
      </c>
      <c r="C1036" s="73" t="s">
        <v>653</v>
      </c>
      <c r="D1036" s="73" t="s">
        <v>891</v>
      </c>
      <c r="E1036" s="73" t="s">
        <v>801</v>
      </c>
      <c r="F1036" s="73" t="s">
        <v>802</v>
      </c>
      <c r="G1036" s="73" t="s">
        <v>99</v>
      </c>
      <c r="H1036" s="73" t="s">
        <v>2805</v>
      </c>
      <c r="I1036" s="73" t="s">
        <v>893</v>
      </c>
      <c r="J1036" s="73" t="s">
        <v>898</v>
      </c>
      <c r="K1036" s="73" t="s">
        <v>895</v>
      </c>
      <c r="L1036" s="103" t="n">
        <v>0.5</v>
      </c>
    </row>
    <row r="1037" customFormat="false" ht="15" hidden="false" customHeight="true" outlineLevel="0" collapsed="false">
      <c r="A1037" s="73" t="s">
        <v>2806</v>
      </c>
      <c r="B1037" s="73" t="s">
        <v>861</v>
      </c>
      <c r="C1037" s="73" t="s">
        <v>653</v>
      </c>
      <c r="D1037" s="73" t="s">
        <v>891</v>
      </c>
      <c r="E1037" s="73" t="s">
        <v>801</v>
      </c>
      <c r="F1037" s="73" t="s">
        <v>802</v>
      </c>
      <c r="G1037" s="73" t="s">
        <v>101</v>
      </c>
      <c r="H1037" s="73" t="s">
        <v>2807</v>
      </c>
      <c r="I1037" s="73" t="s">
        <v>893</v>
      </c>
      <c r="J1037" s="73" t="s">
        <v>901</v>
      </c>
      <c r="K1037" s="73" t="s">
        <v>895</v>
      </c>
      <c r="L1037" s="103" t="n">
        <v>0</v>
      </c>
    </row>
    <row r="1038" customFormat="false" ht="15" hidden="false" customHeight="true" outlineLevel="0" collapsed="false">
      <c r="A1038" s="73" t="s">
        <v>2808</v>
      </c>
      <c r="B1038" s="73" t="s">
        <v>861</v>
      </c>
      <c r="C1038" s="73" t="s">
        <v>653</v>
      </c>
      <c r="D1038" s="73" t="s">
        <v>891</v>
      </c>
      <c r="E1038" s="73" t="s">
        <v>801</v>
      </c>
      <c r="F1038" s="73" t="s">
        <v>802</v>
      </c>
      <c r="G1038" s="73" t="s">
        <v>103</v>
      </c>
      <c r="H1038" s="73" t="s">
        <v>2809</v>
      </c>
      <c r="I1038" s="73" t="s">
        <v>893</v>
      </c>
      <c r="J1038" s="73" t="s">
        <v>904</v>
      </c>
      <c r="K1038" s="73" t="s">
        <v>895</v>
      </c>
      <c r="L1038" s="103" t="n">
        <v>0</v>
      </c>
    </row>
    <row r="1039" customFormat="false" ht="15" hidden="false" customHeight="true" outlineLevel="0" collapsed="false">
      <c r="A1039" s="73" t="s">
        <v>2810</v>
      </c>
      <c r="B1039" s="73" t="s">
        <v>861</v>
      </c>
      <c r="C1039" s="73" t="s">
        <v>653</v>
      </c>
      <c r="D1039" s="73" t="s">
        <v>891</v>
      </c>
      <c r="E1039" s="73" t="s">
        <v>801</v>
      </c>
      <c r="F1039" s="73" t="s">
        <v>802</v>
      </c>
      <c r="G1039" s="73" t="s">
        <v>105</v>
      </c>
      <c r="H1039" s="73" t="s">
        <v>2811</v>
      </c>
      <c r="I1039" s="73" t="s">
        <v>893</v>
      </c>
      <c r="J1039" s="73" t="s">
        <v>907</v>
      </c>
      <c r="K1039" s="73" t="s">
        <v>895</v>
      </c>
      <c r="L1039" s="103" t="n">
        <v>0</v>
      </c>
    </row>
    <row r="1040" customFormat="false" ht="15" hidden="false" customHeight="true" outlineLevel="0" collapsed="false">
      <c r="A1040" s="73" t="s">
        <v>2812</v>
      </c>
      <c r="B1040" s="73" t="s">
        <v>861</v>
      </c>
      <c r="C1040" s="73" t="s">
        <v>653</v>
      </c>
      <c r="D1040" s="73" t="s">
        <v>891</v>
      </c>
      <c r="E1040" s="73" t="s">
        <v>801</v>
      </c>
      <c r="F1040" s="73" t="s">
        <v>802</v>
      </c>
      <c r="G1040" s="73" t="s">
        <v>107</v>
      </c>
      <c r="H1040" s="73" t="s">
        <v>2813</v>
      </c>
      <c r="I1040" s="73" t="s">
        <v>893</v>
      </c>
      <c r="J1040" s="73" t="s">
        <v>910</v>
      </c>
      <c r="K1040" s="73" t="s">
        <v>895</v>
      </c>
      <c r="L1040" s="103" t="n">
        <v>0</v>
      </c>
    </row>
    <row r="1041" customFormat="false" ht="15" hidden="false" customHeight="true" outlineLevel="0" collapsed="false">
      <c r="A1041" s="73" t="s">
        <v>2814</v>
      </c>
      <c r="B1041" s="73" t="s">
        <v>861</v>
      </c>
      <c r="C1041" s="73" t="s">
        <v>653</v>
      </c>
      <c r="D1041" s="73" t="s">
        <v>891</v>
      </c>
      <c r="E1041" s="73" t="s">
        <v>801</v>
      </c>
      <c r="F1041" s="73" t="s">
        <v>802</v>
      </c>
      <c r="G1041" s="73" t="s">
        <v>109</v>
      </c>
      <c r="H1041" s="73" t="s">
        <v>2815</v>
      </c>
      <c r="I1041" s="73" t="s">
        <v>893</v>
      </c>
      <c r="J1041" s="73" t="s">
        <v>913</v>
      </c>
      <c r="K1041" s="73" t="s">
        <v>895</v>
      </c>
      <c r="L1041" s="103" t="n">
        <v>0</v>
      </c>
    </row>
    <row r="1042" customFormat="false" ht="15" hidden="false" customHeight="true" outlineLevel="0" collapsed="false">
      <c r="A1042" s="73" t="s">
        <v>2816</v>
      </c>
      <c r="B1042" s="73" t="s">
        <v>861</v>
      </c>
      <c r="C1042" s="73" t="s">
        <v>653</v>
      </c>
      <c r="D1042" s="73" t="s">
        <v>891</v>
      </c>
      <c r="E1042" s="73" t="s">
        <v>801</v>
      </c>
      <c r="F1042" s="73" t="s">
        <v>802</v>
      </c>
      <c r="G1042" s="73" t="s">
        <v>111</v>
      </c>
      <c r="H1042" s="73" t="s">
        <v>2817</v>
      </c>
      <c r="I1042" s="73" t="s">
        <v>893</v>
      </c>
      <c r="J1042" s="73" t="s">
        <v>916</v>
      </c>
      <c r="K1042" s="73" t="s">
        <v>895</v>
      </c>
      <c r="L1042" s="103" t="n">
        <v>0</v>
      </c>
    </row>
    <row r="1043" customFormat="false" ht="15" hidden="false" customHeight="true" outlineLevel="0" collapsed="false">
      <c r="A1043" s="73" t="s">
        <v>2818</v>
      </c>
      <c r="B1043" s="73" t="s">
        <v>861</v>
      </c>
      <c r="C1043" s="73" t="s">
        <v>653</v>
      </c>
      <c r="D1043" s="73" t="s">
        <v>918</v>
      </c>
      <c r="E1043" s="73" t="s">
        <v>801</v>
      </c>
      <c r="F1043" s="73" t="s">
        <v>802</v>
      </c>
      <c r="G1043" s="73" t="s">
        <v>96</v>
      </c>
      <c r="H1043" s="73" t="s">
        <v>2819</v>
      </c>
      <c r="I1043" s="73" t="s">
        <v>893</v>
      </c>
      <c r="J1043" s="73" t="s">
        <v>920</v>
      </c>
      <c r="K1043" s="73" t="s">
        <v>895</v>
      </c>
      <c r="L1043" s="103" t="n">
        <v>0</v>
      </c>
    </row>
    <row r="1044" customFormat="false" ht="15" hidden="false" customHeight="true" outlineLevel="0" collapsed="false">
      <c r="A1044" s="73" t="s">
        <v>2820</v>
      </c>
      <c r="B1044" s="73" t="s">
        <v>861</v>
      </c>
      <c r="C1044" s="73" t="s">
        <v>653</v>
      </c>
      <c r="D1044" s="73" t="s">
        <v>918</v>
      </c>
      <c r="E1044" s="73" t="s">
        <v>801</v>
      </c>
      <c r="F1044" s="73" t="s">
        <v>802</v>
      </c>
      <c r="G1044" s="73" t="s">
        <v>99</v>
      </c>
      <c r="H1044" s="73" t="s">
        <v>2821</v>
      </c>
      <c r="I1044" s="73" t="s">
        <v>893</v>
      </c>
      <c r="J1044" s="73" t="s">
        <v>923</v>
      </c>
      <c r="K1044" s="73" t="s">
        <v>895</v>
      </c>
      <c r="L1044" s="103" t="n">
        <v>0</v>
      </c>
    </row>
    <row r="1045" customFormat="false" ht="15" hidden="false" customHeight="true" outlineLevel="0" collapsed="false">
      <c r="A1045" s="73" t="s">
        <v>2822</v>
      </c>
      <c r="B1045" s="73" t="s">
        <v>861</v>
      </c>
      <c r="C1045" s="73" t="s">
        <v>653</v>
      </c>
      <c r="D1045" s="73" t="s">
        <v>918</v>
      </c>
      <c r="E1045" s="73" t="s">
        <v>801</v>
      </c>
      <c r="F1045" s="73" t="s">
        <v>802</v>
      </c>
      <c r="G1045" s="73" t="s">
        <v>101</v>
      </c>
      <c r="H1045" s="73" t="s">
        <v>2823</v>
      </c>
      <c r="I1045" s="73" t="s">
        <v>893</v>
      </c>
      <c r="J1045" s="73" t="s">
        <v>926</v>
      </c>
      <c r="K1045" s="73" t="s">
        <v>895</v>
      </c>
      <c r="L1045" s="103" t="n">
        <v>0</v>
      </c>
    </row>
    <row r="1046" customFormat="false" ht="15" hidden="false" customHeight="true" outlineLevel="0" collapsed="false">
      <c r="A1046" s="73" t="s">
        <v>2824</v>
      </c>
      <c r="B1046" s="73" t="s">
        <v>861</v>
      </c>
      <c r="C1046" s="73" t="s">
        <v>653</v>
      </c>
      <c r="D1046" s="73" t="s">
        <v>918</v>
      </c>
      <c r="E1046" s="73" t="s">
        <v>801</v>
      </c>
      <c r="F1046" s="73" t="s">
        <v>802</v>
      </c>
      <c r="G1046" s="73" t="s">
        <v>103</v>
      </c>
      <c r="H1046" s="73" t="s">
        <v>2825</v>
      </c>
      <c r="I1046" s="73" t="s">
        <v>893</v>
      </c>
      <c r="J1046" s="73" t="s">
        <v>929</v>
      </c>
      <c r="K1046" s="73" t="s">
        <v>895</v>
      </c>
      <c r="L1046" s="103" t="n">
        <v>0</v>
      </c>
    </row>
    <row r="1047" customFormat="false" ht="15" hidden="false" customHeight="true" outlineLevel="0" collapsed="false">
      <c r="A1047" s="73" t="s">
        <v>2826</v>
      </c>
      <c r="B1047" s="73" t="s">
        <v>861</v>
      </c>
      <c r="C1047" s="73" t="s">
        <v>653</v>
      </c>
      <c r="D1047" s="73" t="s">
        <v>918</v>
      </c>
      <c r="E1047" s="73" t="s">
        <v>801</v>
      </c>
      <c r="F1047" s="73" t="s">
        <v>802</v>
      </c>
      <c r="G1047" s="73" t="s">
        <v>105</v>
      </c>
      <c r="H1047" s="73" t="s">
        <v>2827</v>
      </c>
      <c r="I1047" s="73" t="s">
        <v>893</v>
      </c>
      <c r="J1047" s="73" t="s">
        <v>932</v>
      </c>
      <c r="K1047" s="73" t="s">
        <v>895</v>
      </c>
      <c r="L1047" s="103" t="n">
        <v>0</v>
      </c>
    </row>
    <row r="1048" customFormat="false" ht="15" hidden="false" customHeight="true" outlineLevel="0" collapsed="false">
      <c r="A1048" s="73" t="s">
        <v>2828</v>
      </c>
      <c r="B1048" s="73" t="s">
        <v>861</v>
      </c>
      <c r="C1048" s="73" t="s">
        <v>653</v>
      </c>
      <c r="D1048" s="73" t="s">
        <v>918</v>
      </c>
      <c r="E1048" s="73" t="s">
        <v>801</v>
      </c>
      <c r="F1048" s="73" t="s">
        <v>802</v>
      </c>
      <c r="G1048" s="73" t="s">
        <v>107</v>
      </c>
      <c r="H1048" s="73" t="s">
        <v>2829</v>
      </c>
      <c r="I1048" s="73" t="s">
        <v>893</v>
      </c>
      <c r="J1048" s="73" t="s">
        <v>935</v>
      </c>
      <c r="K1048" s="73" t="s">
        <v>895</v>
      </c>
      <c r="L1048" s="103" t="n">
        <v>0</v>
      </c>
    </row>
    <row r="1049" customFormat="false" ht="15" hidden="false" customHeight="true" outlineLevel="0" collapsed="false">
      <c r="A1049" s="73" t="s">
        <v>2830</v>
      </c>
      <c r="B1049" s="73" t="s">
        <v>861</v>
      </c>
      <c r="C1049" s="73" t="s">
        <v>653</v>
      </c>
      <c r="D1049" s="73" t="s">
        <v>918</v>
      </c>
      <c r="E1049" s="73" t="s">
        <v>801</v>
      </c>
      <c r="F1049" s="73" t="s">
        <v>802</v>
      </c>
      <c r="G1049" s="73" t="s">
        <v>109</v>
      </c>
      <c r="H1049" s="73" t="s">
        <v>2831</v>
      </c>
      <c r="I1049" s="73" t="s">
        <v>893</v>
      </c>
      <c r="J1049" s="73" t="s">
        <v>938</v>
      </c>
      <c r="K1049" s="73" t="s">
        <v>895</v>
      </c>
      <c r="L1049" s="103" t="n">
        <v>0</v>
      </c>
    </row>
    <row r="1050" customFormat="false" ht="15" hidden="false" customHeight="true" outlineLevel="0" collapsed="false">
      <c r="A1050" s="73" t="s">
        <v>2832</v>
      </c>
      <c r="B1050" s="73" t="s">
        <v>861</v>
      </c>
      <c r="C1050" s="73" t="s">
        <v>653</v>
      </c>
      <c r="D1050" s="73" t="s">
        <v>918</v>
      </c>
      <c r="E1050" s="73" t="s">
        <v>801</v>
      </c>
      <c r="F1050" s="73" t="s">
        <v>802</v>
      </c>
      <c r="G1050" s="73" t="s">
        <v>111</v>
      </c>
      <c r="H1050" s="73" t="s">
        <v>2833</v>
      </c>
      <c r="I1050" s="73" t="s">
        <v>893</v>
      </c>
      <c r="J1050" s="73" t="s">
        <v>941</v>
      </c>
      <c r="K1050" s="73" t="s">
        <v>895</v>
      </c>
      <c r="L1050" s="103" t="n">
        <v>0</v>
      </c>
    </row>
    <row r="1051" customFormat="false" ht="15" hidden="false" customHeight="true" outlineLevel="0" collapsed="false">
      <c r="A1051" s="73" t="s">
        <v>2834</v>
      </c>
      <c r="B1051" s="73" t="s">
        <v>861</v>
      </c>
      <c r="C1051" s="73" t="s">
        <v>653</v>
      </c>
      <c r="D1051" s="73" t="s">
        <v>943</v>
      </c>
      <c r="E1051" s="73" t="s">
        <v>801</v>
      </c>
      <c r="F1051" s="73" t="s">
        <v>802</v>
      </c>
      <c r="G1051" s="73" t="s">
        <v>944</v>
      </c>
      <c r="H1051" s="73" t="s">
        <v>2835</v>
      </c>
      <c r="I1051" s="73" t="s">
        <v>893</v>
      </c>
      <c r="J1051" s="73" t="s">
        <v>946</v>
      </c>
      <c r="K1051" s="73"/>
      <c r="L1051" s="103" t="n">
        <v>54</v>
      </c>
    </row>
    <row r="1052" customFormat="false" ht="15" hidden="false" customHeight="true" outlineLevel="0" collapsed="false">
      <c r="A1052" s="73" t="s">
        <v>2836</v>
      </c>
      <c r="B1052" s="73" t="s">
        <v>861</v>
      </c>
      <c r="C1052" s="73" t="s">
        <v>653</v>
      </c>
      <c r="D1052" s="73" t="s">
        <v>948</v>
      </c>
      <c r="E1052" s="73" t="s">
        <v>801</v>
      </c>
      <c r="F1052" s="73" t="s">
        <v>802</v>
      </c>
      <c r="G1052" s="73" t="s">
        <v>655</v>
      </c>
      <c r="H1052" s="73" t="s">
        <v>2837</v>
      </c>
      <c r="I1052" s="73" t="s">
        <v>708</v>
      </c>
      <c r="J1052" s="73" t="s">
        <v>950</v>
      </c>
      <c r="K1052" s="73" t="s">
        <v>951</v>
      </c>
      <c r="L1052" s="103" t="n">
        <v>1.5</v>
      </c>
    </row>
    <row r="1053" customFormat="false" ht="15" hidden="false" customHeight="true" outlineLevel="0" collapsed="false">
      <c r="A1053" s="73" t="s">
        <v>2838</v>
      </c>
      <c r="B1053" s="73" t="s">
        <v>861</v>
      </c>
      <c r="C1053" s="73" t="s">
        <v>653</v>
      </c>
      <c r="D1053" s="73" t="s">
        <v>953</v>
      </c>
      <c r="E1053" s="73" t="s">
        <v>801</v>
      </c>
      <c r="F1053" s="73" t="s">
        <v>802</v>
      </c>
      <c r="G1053" s="73" t="s">
        <v>655</v>
      </c>
      <c r="H1053" s="73" t="s">
        <v>2839</v>
      </c>
      <c r="I1053" s="73" t="s">
        <v>955</v>
      </c>
      <c r="J1053" s="73" t="s">
        <v>956</v>
      </c>
      <c r="K1053" s="73" t="s">
        <v>951</v>
      </c>
      <c r="L1053" s="103" t="n">
        <v>0.7</v>
      </c>
    </row>
    <row r="1055" customFormat="false" ht="21.75" hidden="false" customHeight="true" outlineLevel="0" collapsed="false">
      <c r="A1055" s="70" t="s">
        <v>2840</v>
      </c>
      <c r="B1055" s="70"/>
      <c r="C1055" s="70"/>
      <c r="D1055" s="70"/>
      <c r="E1055" s="70"/>
      <c r="F1055" s="70"/>
      <c r="G1055" s="70"/>
      <c r="H1055" s="70"/>
      <c r="I1055" s="70"/>
      <c r="J1055" s="70"/>
      <c r="K1055" s="70"/>
      <c r="L1055" s="70"/>
      <c r="M1055" s="70"/>
      <c r="N1055" s="70"/>
      <c r="O1055" s="70"/>
      <c r="P1055" s="70"/>
      <c r="Q1055" s="70"/>
      <c r="R1055" s="70"/>
      <c r="S1055" s="70"/>
      <c r="T1055" s="70"/>
      <c r="U1055" s="70"/>
      <c r="V1055" s="70"/>
      <c r="W1055" s="70"/>
      <c r="X1055" s="70"/>
    </row>
    <row r="1056" customFormat="false" ht="21.75" hidden="false" customHeight="true" outlineLevel="0" collapsed="false">
      <c r="A1056" s="17" t="s">
        <v>639</v>
      </c>
      <c r="B1056" s="17" t="s">
        <v>640</v>
      </c>
      <c r="C1056" s="17" t="s">
        <v>641</v>
      </c>
      <c r="D1056" s="17" t="s">
        <v>642</v>
      </c>
      <c r="E1056" s="17" t="s">
        <v>643</v>
      </c>
      <c r="F1056" s="17" t="s">
        <v>644</v>
      </c>
      <c r="G1056" s="17" t="s">
        <v>645</v>
      </c>
      <c r="H1056" s="17" t="s">
        <v>646</v>
      </c>
      <c r="I1056" s="17" t="s">
        <v>39</v>
      </c>
      <c r="J1056" s="17" t="s">
        <v>647</v>
      </c>
      <c r="K1056" s="17" t="s">
        <v>648</v>
      </c>
      <c r="L1056" s="17" t="s">
        <v>174</v>
      </c>
      <c r="M1056" s="17" t="s">
        <v>176</v>
      </c>
      <c r="N1056" s="17" t="s">
        <v>2841</v>
      </c>
    </row>
    <row r="1057" customFormat="false" ht="18" hidden="false" customHeight="true" outlineLevel="0" collapsed="false">
      <c r="A1057" s="108" t="s">
        <v>2842</v>
      </c>
      <c r="B1057" s="73" t="s">
        <v>652</v>
      </c>
      <c r="C1057" s="73" t="s">
        <v>653</v>
      </c>
      <c r="D1057" s="73" t="s">
        <v>2843</v>
      </c>
      <c r="E1057" s="73" t="s">
        <v>705</v>
      </c>
      <c r="F1057" s="73" t="s">
        <v>706</v>
      </c>
      <c r="G1057" s="73" t="s">
        <v>655</v>
      </c>
      <c r="H1057" s="73" t="s">
        <v>2844</v>
      </c>
      <c r="I1057" s="73" t="s">
        <v>639</v>
      </c>
      <c r="J1057" s="73" t="s">
        <v>2845</v>
      </c>
      <c r="K1057" s="73" t="s">
        <v>2846</v>
      </c>
      <c r="L1057" s="109" t="s">
        <v>178</v>
      </c>
      <c r="M1057" s="73" t="s">
        <v>180</v>
      </c>
      <c r="N1057" s="73" t="s">
        <v>179</v>
      </c>
    </row>
    <row r="1058" customFormat="false" ht="18" hidden="false" customHeight="true" outlineLevel="0" collapsed="false">
      <c r="A1058" s="108" t="s">
        <v>2847</v>
      </c>
      <c r="B1058" s="73" t="s">
        <v>652</v>
      </c>
      <c r="C1058" s="73" t="s">
        <v>653</v>
      </c>
      <c r="D1058" s="73" t="s">
        <v>2843</v>
      </c>
      <c r="E1058" s="73" t="s">
        <v>705</v>
      </c>
      <c r="F1058" s="73" t="s">
        <v>733</v>
      </c>
      <c r="G1058" s="73" t="s">
        <v>655</v>
      </c>
      <c r="H1058" s="73" t="s">
        <v>2848</v>
      </c>
      <c r="I1058" s="73" t="s">
        <v>639</v>
      </c>
      <c r="J1058" s="73" t="s">
        <v>2845</v>
      </c>
      <c r="K1058" s="73" t="s">
        <v>2846</v>
      </c>
      <c r="L1058" s="109" t="s">
        <v>178</v>
      </c>
      <c r="M1058" s="73" t="s">
        <v>180</v>
      </c>
      <c r="N1058" s="73" t="s">
        <v>182</v>
      </c>
    </row>
    <row r="1059" customFormat="false" ht="18" hidden="false" customHeight="true" outlineLevel="0" collapsed="false">
      <c r="A1059" s="108" t="s">
        <v>2849</v>
      </c>
      <c r="B1059" s="73" t="s">
        <v>652</v>
      </c>
      <c r="C1059" s="73" t="s">
        <v>653</v>
      </c>
      <c r="D1059" s="73" t="s">
        <v>2843</v>
      </c>
      <c r="E1059" s="73" t="s">
        <v>705</v>
      </c>
      <c r="F1059" s="73" t="s">
        <v>744</v>
      </c>
      <c r="G1059" s="73" t="s">
        <v>655</v>
      </c>
      <c r="H1059" s="73" t="s">
        <v>2850</v>
      </c>
      <c r="I1059" s="73" t="s">
        <v>639</v>
      </c>
      <c r="J1059" s="73" t="s">
        <v>2845</v>
      </c>
      <c r="K1059" s="73" t="s">
        <v>2846</v>
      </c>
      <c r="L1059" s="109" t="s">
        <v>178</v>
      </c>
      <c r="M1059" s="73" t="s">
        <v>180</v>
      </c>
      <c r="N1059" s="73" t="s">
        <v>184</v>
      </c>
    </row>
    <row r="1060" customFormat="false" ht="18" hidden="false" customHeight="true" outlineLevel="0" collapsed="false">
      <c r="A1060" s="108" t="s">
        <v>2851</v>
      </c>
      <c r="B1060" s="73" t="s">
        <v>652</v>
      </c>
      <c r="C1060" s="73" t="s">
        <v>653</v>
      </c>
      <c r="D1060" s="73" t="s">
        <v>2843</v>
      </c>
      <c r="E1060" s="73" t="s">
        <v>755</v>
      </c>
      <c r="F1060" s="73" t="s">
        <v>756</v>
      </c>
      <c r="G1060" s="73" t="s">
        <v>655</v>
      </c>
      <c r="H1060" s="73" t="s">
        <v>2852</v>
      </c>
      <c r="I1060" s="73" t="s">
        <v>639</v>
      </c>
      <c r="J1060" s="73" t="s">
        <v>2845</v>
      </c>
      <c r="K1060" s="73" t="s">
        <v>2846</v>
      </c>
      <c r="L1060" s="109" t="s">
        <v>186</v>
      </c>
      <c r="M1060" s="73" t="s">
        <v>188</v>
      </c>
      <c r="N1060" s="73" t="s">
        <v>187</v>
      </c>
    </row>
    <row r="1061" customFormat="false" ht="18" hidden="false" customHeight="true" outlineLevel="0" collapsed="false">
      <c r="A1061" s="108" t="s">
        <v>2853</v>
      </c>
      <c r="B1061" s="73" t="s">
        <v>652</v>
      </c>
      <c r="C1061" s="73" t="s">
        <v>653</v>
      </c>
      <c r="D1061" s="73" t="s">
        <v>2843</v>
      </c>
      <c r="E1061" s="73" t="s">
        <v>767</v>
      </c>
      <c r="F1061" s="73" t="s">
        <v>768</v>
      </c>
      <c r="G1061" s="73" t="s">
        <v>655</v>
      </c>
      <c r="H1061" s="73" t="s">
        <v>2854</v>
      </c>
      <c r="I1061" s="73" t="s">
        <v>639</v>
      </c>
      <c r="J1061" s="73" t="s">
        <v>2845</v>
      </c>
      <c r="K1061" s="73" t="s">
        <v>2846</v>
      </c>
      <c r="L1061" s="109" t="s">
        <v>140</v>
      </c>
      <c r="M1061" s="73" t="s">
        <v>191</v>
      </c>
      <c r="N1061" s="73" t="s">
        <v>190</v>
      </c>
    </row>
    <row r="1062" customFormat="false" ht="18" hidden="false" customHeight="true" outlineLevel="0" collapsed="false">
      <c r="A1062" s="108" t="s">
        <v>2855</v>
      </c>
      <c r="B1062" s="73" t="s">
        <v>652</v>
      </c>
      <c r="C1062" s="73" t="s">
        <v>653</v>
      </c>
      <c r="D1062" s="73" t="s">
        <v>2843</v>
      </c>
      <c r="E1062" s="73" t="s">
        <v>767</v>
      </c>
      <c r="F1062" s="73" t="s">
        <v>779</v>
      </c>
      <c r="G1062" s="73" t="s">
        <v>655</v>
      </c>
      <c r="H1062" s="73" t="s">
        <v>2856</v>
      </c>
      <c r="I1062" s="73" t="s">
        <v>639</v>
      </c>
      <c r="J1062" s="73" t="s">
        <v>2845</v>
      </c>
      <c r="K1062" s="73" t="s">
        <v>2846</v>
      </c>
      <c r="L1062" s="109" t="s">
        <v>142</v>
      </c>
      <c r="M1062" s="73" t="s">
        <v>193</v>
      </c>
      <c r="N1062" s="73" t="s">
        <v>190</v>
      </c>
    </row>
    <row r="1063" customFormat="false" ht="18" hidden="false" customHeight="true" outlineLevel="0" collapsed="false">
      <c r="A1063" s="108" t="s">
        <v>2857</v>
      </c>
      <c r="B1063" s="73" t="s">
        <v>652</v>
      </c>
      <c r="C1063" s="73" t="s">
        <v>653</v>
      </c>
      <c r="D1063" s="73" t="s">
        <v>2843</v>
      </c>
      <c r="E1063" s="73" t="s">
        <v>767</v>
      </c>
      <c r="F1063" s="73" t="s">
        <v>790</v>
      </c>
      <c r="G1063" s="73" t="s">
        <v>655</v>
      </c>
      <c r="H1063" s="73" t="s">
        <v>2858</v>
      </c>
      <c r="I1063" s="73" t="s">
        <v>639</v>
      </c>
      <c r="J1063" s="73" t="s">
        <v>2845</v>
      </c>
      <c r="K1063" s="73" t="s">
        <v>2846</v>
      </c>
      <c r="L1063" s="109" t="s">
        <v>144</v>
      </c>
      <c r="M1063" s="73" t="s">
        <v>195</v>
      </c>
      <c r="N1063" s="73" t="s">
        <v>190</v>
      </c>
    </row>
    <row r="1064" customFormat="false" ht="18" hidden="false" customHeight="true" outlineLevel="0" collapsed="false">
      <c r="A1064" s="108" t="s">
        <v>2859</v>
      </c>
      <c r="B1064" s="73" t="s">
        <v>652</v>
      </c>
      <c r="C1064" s="73" t="s">
        <v>653</v>
      </c>
      <c r="D1064" s="73" t="s">
        <v>2843</v>
      </c>
      <c r="E1064" s="73" t="s">
        <v>801</v>
      </c>
      <c r="F1064" s="73" t="s">
        <v>802</v>
      </c>
      <c r="G1064" s="73" t="s">
        <v>655</v>
      </c>
      <c r="H1064" s="73" t="s">
        <v>2860</v>
      </c>
      <c r="I1064" s="73" t="s">
        <v>639</v>
      </c>
      <c r="J1064" s="73" t="s">
        <v>2845</v>
      </c>
      <c r="K1064" s="73" t="s">
        <v>2846</v>
      </c>
      <c r="L1064" s="109" t="s">
        <v>197</v>
      </c>
      <c r="M1064" s="73" t="s">
        <v>199</v>
      </c>
      <c r="N1064" s="73" t="s">
        <v>198</v>
      </c>
    </row>
    <row r="1066" customFormat="false" ht="21.75" hidden="false" customHeight="true" outlineLevel="0" collapsed="false">
      <c r="A1066" s="70" t="s">
        <v>2861</v>
      </c>
      <c r="B1066" s="70"/>
      <c r="C1066" s="70"/>
      <c r="D1066" s="70"/>
      <c r="E1066" s="70"/>
      <c r="F1066" s="70"/>
      <c r="G1066" s="70"/>
      <c r="H1066" s="70"/>
      <c r="I1066" s="70"/>
      <c r="J1066" s="70"/>
      <c r="K1066" s="70"/>
      <c r="L1066" s="70"/>
      <c r="M1066" s="70"/>
      <c r="N1066" s="70"/>
      <c r="O1066" s="70"/>
      <c r="P1066" s="70"/>
      <c r="Q1066" s="70"/>
      <c r="R1066" s="70"/>
      <c r="S1066" s="70"/>
      <c r="T1066" s="70"/>
      <c r="U1066" s="70"/>
      <c r="V1066" s="70"/>
      <c r="W1066" s="70"/>
      <c r="X1066" s="70"/>
    </row>
    <row r="1067" customFormat="false" ht="15" hidden="false" customHeight="true" outlineLevel="0" collapsed="false">
      <c r="A1067" s="73" t="s">
        <v>2862</v>
      </c>
      <c r="B1067" s="73" t="s">
        <v>652</v>
      </c>
      <c r="C1067" s="73" t="s">
        <v>653</v>
      </c>
      <c r="D1067" s="73" t="s">
        <v>704</v>
      </c>
      <c r="E1067" s="73" t="s">
        <v>705</v>
      </c>
      <c r="F1067" s="73" t="s">
        <v>2863</v>
      </c>
      <c r="G1067" s="73" t="s">
        <v>655</v>
      </c>
      <c r="H1067" s="73" t="s">
        <v>2864</v>
      </c>
      <c r="I1067" s="73" t="s">
        <v>2865</v>
      </c>
      <c r="J1067" s="73" t="s">
        <v>2866</v>
      </c>
      <c r="K1067" s="73" t="s">
        <v>2867</v>
      </c>
      <c r="L1067" s="104" t="n">
        <v>1.222</v>
      </c>
    </row>
    <row r="1068" customFormat="false" ht="15" hidden="false" customHeight="true" outlineLevel="0" collapsed="false">
      <c r="A1068" s="73" t="s">
        <v>2868</v>
      </c>
      <c r="B1068" s="73" t="s">
        <v>652</v>
      </c>
      <c r="C1068" s="73" t="s">
        <v>653</v>
      </c>
      <c r="D1068" s="73" t="s">
        <v>712</v>
      </c>
      <c r="E1068" s="73" t="s">
        <v>705</v>
      </c>
      <c r="F1068" s="73" t="s">
        <v>2863</v>
      </c>
      <c r="G1068" s="73" t="s">
        <v>655</v>
      </c>
      <c r="H1068" s="73" t="s">
        <v>2869</v>
      </c>
      <c r="I1068" s="73" t="s">
        <v>2865</v>
      </c>
      <c r="J1068" s="73" t="s">
        <v>2870</v>
      </c>
      <c r="K1068" s="73" t="s">
        <v>2871</v>
      </c>
      <c r="L1068" s="104" t="n">
        <v>1.4664</v>
      </c>
    </row>
    <row r="1069" customFormat="false" ht="15" hidden="false" customHeight="true" outlineLevel="0" collapsed="false">
      <c r="A1069" s="73" t="s">
        <v>2872</v>
      </c>
      <c r="B1069" s="73" t="s">
        <v>652</v>
      </c>
      <c r="C1069" s="73" t="s">
        <v>653</v>
      </c>
      <c r="D1069" s="73" t="s">
        <v>716</v>
      </c>
      <c r="E1069" s="73" t="s">
        <v>705</v>
      </c>
      <c r="F1069" s="73" t="s">
        <v>2863</v>
      </c>
      <c r="G1069" s="73" t="s">
        <v>655</v>
      </c>
      <c r="H1069" s="73" t="s">
        <v>2873</v>
      </c>
      <c r="I1069" s="73" t="s">
        <v>718</v>
      </c>
      <c r="J1069" s="73" t="s">
        <v>2874</v>
      </c>
      <c r="K1069" s="73" t="s">
        <v>720</v>
      </c>
      <c r="L1069" s="100" t="n">
        <v>450</v>
      </c>
    </row>
    <row r="1070" customFormat="false" ht="15" hidden="false" customHeight="true" outlineLevel="0" collapsed="false">
      <c r="A1070" s="73" t="s">
        <v>2875</v>
      </c>
      <c r="B1070" s="73" t="s">
        <v>652</v>
      </c>
      <c r="C1070" s="73" t="s">
        <v>653</v>
      </c>
      <c r="D1070" s="73" t="s">
        <v>722</v>
      </c>
      <c r="E1070" s="73" t="s">
        <v>705</v>
      </c>
      <c r="F1070" s="73" t="s">
        <v>2863</v>
      </c>
      <c r="G1070" s="73" t="s">
        <v>655</v>
      </c>
      <c r="H1070" s="73" t="s">
        <v>2876</v>
      </c>
      <c r="I1070" s="73" t="s">
        <v>667</v>
      </c>
      <c r="J1070" s="73" t="s">
        <v>2877</v>
      </c>
      <c r="K1070" s="73" t="s">
        <v>725</v>
      </c>
      <c r="L1070" s="102" t="n">
        <v>0</v>
      </c>
    </row>
    <row r="1071" customFormat="false" ht="15" hidden="false" customHeight="true" outlineLevel="0" collapsed="false">
      <c r="A1071" s="73" t="s">
        <v>2878</v>
      </c>
      <c r="B1071" s="73" t="s">
        <v>652</v>
      </c>
      <c r="C1071" s="73" t="s">
        <v>653</v>
      </c>
      <c r="D1071" s="73" t="s">
        <v>727</v>
      </c>
      <c r="E1071" s="73" t="s">
        <v>705</v>
      </c>
      <c r="F1071" s="73" t="s">
        <v>2863</v>
      </c>
      <c r="G1071" s="73" t="s">
        <v>655</v>
      </c>
      <c r="H1071" s="73" t="s">
        <v>2879</v>
      </c>
      <c r="I1071" s="73" t="s">
        <v>729</v>
      </c>
      <c r="J1071" s="73" t="s">
        <v>2880</v>
      </c>
      <c r="K1071" s="73" t="s">
        <v>2881</v>
      </c>
      <c r="L1071" s="103" t="n">
        <v>0</v>
      </c>
    </row>
    <row r="1072" customFormat="false" ht="15" hidden="false" customHeight="true" outlineLevel="0" collapsed="false">
      <c r="A1072" s="73" t="s">
        <v>2882</v>
      </c>
      <c r="B1072" s="73" t="s">
        <v>652</v>
      </c>
      <c r="C1072" s="73" t="s">
        <v>653</v>
      </c>
      <c r="D1072" s="73" t="s">
        <v>704</v>
      </c>
      <c r="E1072" s="73" t="s">
        <v>767</v>
      </c>
      <c r="F1072" s="73" t="s">
        <v>2883</v>
      </c>
      <c r="G1072" s="73" t="s">
        <v>655</v>
      </c>
      <c r="H1072" s="73" t="s">
        <v>2884</v>
      </c>
      <c r="I1072" s="73" t="s">
        <v>2885</v>
      </c>
      <c r="J1072" s="73" t="s">
        <v>2866</v>
      </c>
      <c r="K1072" s="73" t="s">
        <v>2867</v>
      </c>
      <c r="L1072" s="104" t="n">
        <v>2.82</v>
      </c>
    </row>
    <row r="1073" customFormat="false" ht="15" hidden="false" customHeight="true" outlineLevel="0" collapsed="false">
      <c r="A1073" s="73" t="s">
        <v>2886</v>
      </c>
      <c r="B1073" s="73" t="s">
        <v>652</v>
      </c>
      <c r="C1073" s="73" t="s">
        <v>653</v>
      </c>
      <c r="D1073" s="73" t="s">
        <v>712</v>
      </c>
      <c r="E1073" s="73" t="s">
        <v>767</v>
      </c>
      <c r="F1073" s="73" t="s">
        <v>2883</v>
      </c>
      <c r="G1073" s="73" t="s">
        <v>655</v>
      </c>
      <c r="H1073" s="73" t="s">
        <v>2887</v>
      </c>
      <c r="I1073" s="73" t="s">
        <v>2885</v>
      </c>
      <c r="J1073" s="73" t="s">
        <v>2870</v>
      </c>
      <c r="K1073" s="73" t="s">
        <v>2871</v>
      </c>
      <c r="L1073" s="104" t="n">
        <v>3.384</v>
      </c>
    </row>
    <row r="1074" customFormat="false" ht="15" hidden="false" customHeight="true" outlineLevel="0" collapsed="false">
      <c r="A1074" s="73" t="s">
        <v>2888</v>
      </c>
      <c r="B1074" s="73" t="s">
        <v>652</v>
      </c>
      <c r="C1074" s="73" t="s">
        <v>653</v>
      </c>
      <c r="D1074" s="73" t="s">
        <v>716</v>
      </c>
      <c r="E1074" s="73" t="s">
        <v>767</v>
      </c>
      <c r="F1074" s="73" t="s">
        <v>2883</v>
      </c>
      <c r="G1074" s="73" t="s">
        <v>655</v>
      </c>
      <c r="H1074" s="73" t="s">
        <v>2889</v>
      </c>
      <c r="I1074" s="73" t="s">
        <v>2890</v>
      </c>
      <c r="J1074" s="73" t="s">
        <v>2874</v>
      </c>
      <c r="K1074" s="73" t="s">
        <v>720</v>
      </c>
      <c r="L1074" s="100" t="n">
        <v>530</v>
      </c>
    </row>
    <row r="1075" customFormat="false" ht="15" hidden="false" customHeight="true" outlineLevel="0" collapsed="false">
      <c r="A1075" s="73" t="s">
        <v>2891</v>
      </c>
      <c r="B1075" s="73" t="s">
        <v>652</v>
      </c>
      <c r="C1075" s="73" t="s">
        <v>653</v>
      </c>
      <c r="D1075" s="73" t="s">
        <v>722</v>
      </c>
      <c r="E1075" s="73" t="s">
        <v>767</v>
      </c>
      <c r="F1075" s="73" t="s">
        <v>2883</v>
      </c>
      <c r="G1075" s="73" t="s">
        <v>655</v>
      </c>
      <c r="H1075" s="73" t="s">
        <v>2892</v>
      </c>
      <c r="I1075" s="73" t="s">
        <v>667</v>
      </c>
      <c r="J1075" s="73" t="s">
        <v>2877</v>
      </c>
      <c r="K1075" s="73" t="s">
        <v>725</v>
      </c>
      <c r="L1075" s="102" t="n">
        <v>1</v>
      </c>
    </row>
    <row r="1076" customFormat="false" ht="15" hidden="false" customHeight="true" outlineLevel="0" collapsed="false">
      <c r="A1076" s="73" t="s">
        <v>2893</v>
      </c>
      <c r="B1076" s="73" t="s">
        <v>652</v>
      </c>
      <c r="C1076" s="73" t="s">
        <v>653</v>
      </c>
      <c r="D1076" s="73" t="s">
        <v>727</v>
      </c>
      <c r="E1076" s="73" t="s">
        <v>767</v>
      </c>
      <c r="F1076" s="73" t="s">
        <v>2883</v>
      </c>
      <c r="G1076" s="73" t="s">
        <v>655</v>
      </c>
      <c r="H1076" s="73" t="s">
        <v>2894</v>
      </c>
      <c r="I1076" s="73" t="s">
        <v>729</v>
      </c>
      <c r="J1076" s="73" t="s">
        <v>2880</v>
      </c>
      <c r="K1076" s="73" t="s">
        <v>2881</v>
      </c>
      <c r="L1076" s="103" t="n">
        <v>0</v>
      </c>
    </row>
    <row r="1077" customFormat="false" ht="15" hidden="false" customHeight="true" outlineLevel="0" collapsed="false">
      <c r="A1077" s="73" t="s">
        <v>2895</v>
      </c>
      <c r="B1077" s="73" t="s">
        <v>652</v>
      </c>
      <c r="C1077" s="73" t="s">
        <v>653</v>
      </c>
      <c r="D1077" s="73" t="s">
        <v>814</v>
      </c>
      <c r="E1077" s="73" t="s">
        <v>705</v>
      </c>
      <c r="F1077" s="73" t="s">
        <v>2863</v>
      </c>
      <c r="G1077" s="73" t="s">
        <v>655</v>
      </c>
      <c r="H1077" s="73" t="s">
        <v>2896</v>
      </c>
      <c r="I1077" s="73" t="s">
        <v>667</v>
      </c>
      <c r="J1077" s="73" t="s">
        <v>2897</v>
      </c>
      <c r="K1077" s="73" t="s">
        <v>817</v>
      </c>
      <c r="L1077" s="102" t="n">
        <v>1</v>
      </c>
    </row>
    <row r="1078" customFormat="false" ht="15" hidden="false" customHeight="true" outlineLevel="0" collapsed="false">
      <c r="A1078" s="73" t="s">
        <v>2898</v>
      </c>
      <c r="B1078" s="73" t="s">
        <v>652</v>
      </c>
      <c r="C1078" s="73" t="s">
        <v>653</v>
      </c>
      <c r="D1078" s="73" t="s">
        <v>814</v>
      </c>
      <c r="E1078" s="73" t="s">
        <v>767</v>
      </c>
      <c r="F1078" s="73" t="s">
        <v>2883</v>
      </c>
      <c r="G1078" s="73" t="s">
        <v>655</v>
      </c>
      <c r="H1078" s="73" t="s">
        <v>2899</v>
      </c>
      <c r="I1078" s="73" t="s">
        <v>667</v>
      </c>
      <c r="J1078" s="73" t="s">
        <v>2897</v>
      </c>
      <c r="K1078" s="73" t="s">
        <v>817</v>
      </c>
      <c r="L1078" s="102" t="n">
        <v>1</v>
      </c>
    </row>
    <row r="1079" customFormat="false" ht="21.75" hidden="false" customHeight="true" outlineLevel="0" collapsed="false">
      <c r="A1079" s="70" t="s">
        <v>2900</v>
      </c>
      <c r="B1079" s="70"/>
      <c r="C1079" s="70"/>
      <c r="D1079" s="70"/>
      <c r="E1079" s="70"/>
      <c r="F1079" s="70"/>
      <c r="G1079" s="70"/>
      <c r="H1079" s="70"/>
      <c r="I1079" s="70"/>
      <c r="J1079" s="70"/>
      <c r="K1079" s="70"/>
      <c r="L1079" s="70"/>
      <c r="M1079" s="70"/>
      <c r="N1079" s="70"/>
    </row>
    <row r="1080" customFormat="false" ht="15" hidden="false" customHeight="true" outlineLevel="0" collapsed="false">
      <c r="A1080" s="108" t="s">
        <v>2901</v>
      </c>
      <c r="B1080" s="108" t="s">
        <v>652</v>
      </c>
      <c r="C1080" s="108" t="s">
        <v>653</v>
      </c>
      <c r="D1080" s="108" t="s">
        <v>2843</v>
      </c>
      <c r="E1080" s="108" t="s">
        <v>705</v>
      </c>
      <c r="F1080" s="108" t="s">
        <v>2863</v>
      </c>
      <c r="G1080" s="108" t="s">
        <v>655</v>
      </c>
      <c r="H1080" s="108" t="s">
        <v>2902</v>
      </c>
      <c r="I1080" s="108" t="s">
        <v>639</v>
      </c>
      <c r="J1080" s="108" t="s">
        <v>2903</v>
      </c>
      <c r="K1080" s="108" t="s">
        <v>2846</v>
      </c>
      <c r="L1080" s="110" t="s">
        <v>2904</v>
      </c>
      <c r="M1080" s="108" t="s">
        <v>2905</v>
      </c>
      <c r="N1080" s="108" t="s">
        <v>2906</v>
      </c>
    </row>
    <row r="1081" customFormat="false" ht="15" hidden="false" customHeight="true" outlineLevel="0" collapsed="false">
      <c r="A1081" s="108" t="s">
        <v>2907</v>
      </c>
      <c r="B1081" s="108" t="s">
        <v>652</v>
      </c>
      <c r="C1081" s="108" t="s">
        <v>653</v>
      </c>
      <c r="D1081" s="108" t="s">
        <v>2843</v>
      </c>
      <c r="E1081" s="108" t="s">
        <v>767</v>
      </c>
      <c r="F1081" s="108" t="s">
        <v>2883</v>
      </c>
      <c r="G1081" s="108" t="s">
        <v>655</v>
      </c>
      <c r="H1081" s="108" t="s">
        <v>2908</v>
      </c>
      <c r="I1081" s="108" t="s">
        <v>639</v>
      </c>
      <c r="J1081" s="108" t="s">
        <v>2903</v>
      </c>
      <c r="K1081" s="108" t="s">
        <v>2846</v>
      </c>
      <c r="L1081" s="110" t="s">
        <v>2909</v>
      </c>
      <c r="M1081" s="108" t="s">
        <v>2910</v>
      </c>
      <c r="N1081" s="108" t="s">
        <v>190</v>
      </c>
    </row>
    <row r="1082" customFormat="false" ht="21.75" hidden="false" customHeight="true" outlineLevel="0" collapsed="false">
      <c r="A1082" s="70" t="s">
        <v>2911</v>
      </c>
      <c r="B1082" s="70"/>
      <c r="C1082" s="70"/>
      <c r="D1082" s="70"/>
      <c r="E1082" s="70"/>
      <c r="F1082" s="70"/>
      <c r="G1082" s="70"/>
      <c r="H1082" s="70"/>
      <c r="I1082" s="70"/>
      <c r="J1082" s="70"/>
      <c r="K1082" s="70"/>
      <c r="L1082" s="70"/>
      <c r="M1082" s="70"/>
      <c r="N1082" s="70"/>
      <c r="O1082" s="70"/>
      <c r="P1082" s="70"/>
      <c r="Q1082" s="70"/>
      <c r="R1082" s="70"/>
      <c r="S1082" s="70"/>
      <c r="T1082" s="70"/>
      <c r="U1082" s="70"/>
      <c r="V1082" s="70"/>
      <c r="W1082" s="70"/>
      <c r="X1082" s="70"/>
    </row>
    <row r="1083" customFormat="false" ht="15" hidden="false" customHeight="true" outlineLevel="0" collapsed="false">
      <c r="A1083" s="73" t="s">
        <v>2912</v>
      </c>
      <c r="B1083" s="73" t="s">
        <v>4</v>
      </c>
      <c r="C1083" s="73" t="s">
        <v>653</v>
      </c>
      <c r="D1083" s="73" t="s">
        <v>867</v>
      </c>
      <c r="E1083" s="73" t="s">
        <v>705</v>
      </c>
      <c r="F1083" s="73" t="s">
        <v>2863</v>
      </c>
      <c r="G1083" s="73" t="s">
        <v>655</v>
      </c>
      <c r="H1083" s="73" t="s">
        <v>2913</v>
      </c>
      <c r="I1083" s="73" t="s">
        <v>869</v>
      </c>
      <c r="J1083" s="73" t="s">
        <v>2914</v>
      </c>
      <c r="K1083" s="73" t="s">
        <v>2915</v>
      </c>
      <c r="L1083" s="107" t="n">
        <v>0.2</v>
      </c>
    </row>
    <row r="1084" customFormat="false" ht="15" hidden="false" customHeight="true" outlineLevel="0" collapsed="false">
      <c r="A1084" s="73" t="s">
        <v>2916</v>
      </c>
      <c r="B1084" s="73" t="s">
        <v>4</v>
      </c>
      <c r="C1084" s="73" t="s">
        <v>653</v>
      </c>
      <c r="D1084" s="73" t="s">
        <v>873</v>
      </c>
      <c r="E1084" s="73" t="s">
        <v>705</v>
      </c>
      <c r="F1084" s="73" t="s">
        <v>2863</v>
      </c>
      <c r="G1084" s="73" t="s">
        <v>655</v>
      </c>
      <c r="H1084" s="73" t="s">
        <v>2917</v>
      </c>
      <c r="I1084" s="73" t="s">
        <v>875</v>
      </c>
      <c r="J1084" s="73"/>
      <c r="K1084" s="73"/>
      <c r="L1084" s="104" t="n">
        <v>1</v>
      </c>
    </row>
    <row r="1085" customFormat="false" ht="15" hidden="false" customHeight="true" outlineLevel="0" collapsed="false">
      <c r="A1085" s="73" t="s">
        <v>2918</v>
      </c>
      <c r="B1085" s="73" t="s">
        <v>4</v>
      </c>
      <c r="C1085" s="73" t="s">
        <v>653</v>
      </c>
      <c r="D1085" s="73" t="s">
        <v>878</v>
      </c>
      <c r="E1085" s="73" t="s">
        <v>705</v>
      </c>
      <c r="F1085" s="73" t="s">
        <v>2863</v>
      </c>
      <c r="G1085" s="73" t="s">
        <v>655</v>
      </c>
      <c r="H1085" s="73" t="s">
        <v>2919</v>
      </c>
      <c r="I1085" s="73" t="s">
        <v>880</v>
      </c>
      <c r="J1085" s="73"/>
      <c r="K1085" s="73"/>
      <c r="L1085" s="104" t="n">
        <v>0.05</v>
      </c>
    </row>
    <row r="1086" customFormat="false" ht="15" hidden="false" customHeight="true" outlineLevel="0" collapsed="false">
      <c r="A1086" s="73" t="s">
        <v>2920</v>
      </c>
      <c r="B1086" s="73" t="s">
        <v>4</v>
      </c>
      <c r="C1086" s="73" t="s">
        <v>653</v>
      </c>
      <c r="D1086" s="73" t="s">
        <v>883</v>
      </c>
      <c r="E1086" s="73" t="s">
        <v>705</v>
      </c>
      <c r="F1086" s="73" t="s">
        <v>2863</v>
      </c>
      <c r="G1086" s="73" t="s">
        <v>655</v>
      </c>
      <c r="H1086" s="73" t="s">
        <v>2921</v>
      </c>
      <c r="I1086" s="73" t="s">
        <v>880</v>
      </c>
      <c r="J1086" s="73"/>
      <c r="K1086" s="73"/>
      <c r="L1086" s="104" t="n">
        <v>0.02</v>
      </c>
    </row>
    <row r="1087" customFormat="false" ht="15" hidden="false" customHeight="true" outlineLevel="0" collapsed="false">
      <c r="A1087" s="73" t="s">
        <v>2922</v>
      </c>
      <c r="B1087" s="73" t="s">
        <v>4</v>
      </c>
      <c r="C1087" s="73" t="s">
        <v>653</v>
      </c>
      <c r="D1087" s="73" t="s">
        <v>887</v>
      </c>
      <c r="E1087" s="73" t="s">
        <v>705</v>
      </c>
      <c r="F1087" s="73" t="s">
        <v>2863</v>
      </c>
      <c r="G1087" s="73" t="s">
        <v>655</v>
      </c>
      <c r="H1087" s="73" t="s">
        <v>2923</v>
      </c>
      <c r="I1087" s="73" t="s">
        <v>880</v>
      </c>
      <c r="J1087" s="73"/>
      <c r="K1087" s="73"/>
      <c r="L1087" s="104" t="n">
        <v>0.1</v>
      </c>
    </row>
    <row r="1088" customFormat="false" ht="15" hidden="false" customHeight="true" outlineLevel="0" collapsed="false">
      <c r="A1088" s="73" t="s">
        <v>2924</v>
      </c>
      <c r="B1088" s="73" t="s">
        <v>4</v>
      </c>
      <c r="C1088" s="73" t="s">
        <v>653</v>
      </c>
      <c r="D1088" s="73" t="s">
        <v>891</v>
      </c>
      <c r="E1088" s="73" t="s">
        <v>705</v>
      </c>
      <c r="F1088" s="73" t="s">
        <v>2863</v>
      </c>
      <c r="G1088" s="73" t="s">
        <v>96</v>
      </c>
      <c r="H1088" s="73" t="s">
        <v>2925</v>
      </c>
      <c r="I1088" s="73" t="s">
        <v>893</v>
      </c>
      <c r="J1088" s="73" t="s">
        <v>2926</v>
      </c>
      <c r="K1088" s="73" t="s">
        <v>895</v>
      </c>
      <c r="L1088" s="103" t="n">
        <v>1.5</v>
      </c>
    </row>
    <row r="1089" customFormat="false" ht="15" hidden="false" customHeight="true" outlineLevel="0" collapsed="false">
      <c r="A1089" s="73" t="s">
        <v>2927</v>
      </c>
      <c r="B1089" s="73" t="s">
        <v>4</v>
      </c>
      <c r="C1089" s="73" t="s">
        <v>653</v>
      </c>
      <c r="D1089" s="73" t="s">
        <v>891</v>
      </c>
      <c r="E1089" s="73" t="s">
        <v>705</v>
      </c>
      <c r="F1089" s="73" t="s">
        <v>2863</v>
      </c>
      <c r="G1089" s="73" t="s">
        <v>99</v>
      </c>
      <c r="H1089" s="73" t="s">
        <v>2928</v>
      </c>
      <c r="I1089" s="73" t="s">
        <v>893</v>
      </c>
      <c r="J1089" s="73" t="s">
        <v>2926</v>
      </c>
      <c r="K1089" s="73" t="s">
        <v>895</v>
      </c>
      <c r="L1089" s="103" t="n">
        <v>0.5</v>
      </c>
    </row>
    <row r="1090" customFormat="false" ht="15" hidden="false" customHeight="true" outlineLevel="0" collapsed="false">
      <c r="A1090" s="73" t="s">
        <v>2929</v>
      </c>
      <c r="B1090" s="73" t="s">
        <v>4</v>
      </c>
      <c r="C1090" s="73" t="s">
        <v>653</v>
      </c>
      <c r="D1090" s="73" t="s">
        <v>891</v>
      </c>
      <c r="E1090" s="73" t="s">
        <v>705</v>
      </c>
      <c r="F1090" s="73" t="s">
        <v>2863</v>
      </c>
      <c r="G1090" s="73" t="s">
        <v>101</v>
      </c>
      <c r="H1090" s="73" t="s">
        <v>2930</v>
      </c>
      <c r="I1090" s="73" t="s">
        <v>893</v>
      </c>
      <c r="J1090" s="73" t="s">
        <v>2926</v>
      </c>
      <c r="K1090" s="73" t="s">
        <v>895</v>
      </c>
      <c r="L1090" s="103" t="n">
        <v>0</v>
      </c>
    </row>
    <row r="1091" customFormat="false" ht="15" hidden="false" customHeight="true" outlineLevel="0" collapsed="false">
      <c r="A1091" s="73" t="s">
        <v>2931</v>
      </c>
      <c r="B1091" s="73" t="s">
        <v>4</v>
      </c>
      <c r="C1091" s="73" t="s">
        <v>653</v>
      </c>
      <c r="D1091" s="73" t="s">
        <v>891</v>
      </c>
      <c r="E1091" s="73" t="s">
        <v>705</v>
      </c>
      <c r="F1091" s="73" t="s">
        <v>2863</v>
      </c>
      <c r="G1091" s="73" t="s">
        <v>103</v>
      </c>
      <c r="H1091" s="73" t="s">
        <v>2932</v>
      </c>
      <c r="I1091" s="73" t="s">
        <v>893</v>
      </c>
      <c r="J1091" s="73" t="s">
        <v>2926</v>
      </c>
      <c r="K1091" s="73" t="s">
        <v>895</v>
      </c>
      <c r="L1091" s="103" t="n">
        <v>0</v>
      </c>
    </row>
    <row r="1092" customFormat="false" ht="15" hidden="false" customHeight="true" outlineLevel="0" collapsed="false">
      <c r="A1092" s="73" t="s">
        <v>2933</v>
      </c>
      <c r="B1092" s="73" t="s">
        <v>4</v>
      </c>
      <c r="C1092" s="73" t="s">
        <v>653</v>
      </c>
      <c r="D1092" s="73" t="s">
        <v>891</v>
      </c>
      <c r="E1092" s="73" t="s">
        <v>705</v>
      </c>
      <c r="F1092" s="73" t="s">
        <v>2863</v>
      </c>
      <c r="G1092" s="73" t="s">
        <v>105</v>
      </c>
      <c r="H1092" s="73" t="s">
        <v>2934</v>
      </c>
      <c r="I1092" s="73" t="s">
        <v>893</v>
      </c>
      <c r="J1092" s="73" t="s">
        <v>2926</v>
      </c>
      <c r="K1092" s="73" t="s">
        <v>895</v>
      </c>
      <c r="L1092" s="103" t="n">
        <v>0</v>
      </c>
    </row>
    <row r="1093" customFormat="false" ht="15" hidden="false" customHeight="true" outlineLevel="0" collapsed="false">
      <c r="A1093" s="73" t="s">
        <v>2935</v>
      </c>
      <c r="B1093" s="73" t="s">
        <v>4</v>
      </c>
      <c r="C1093" s="73" t="s">
        <v>653</v>
      </c>
      <c r="D1093" s="73" t="s">
        <v>891</v>
      </c>
      <c r="E1093" s="73" t="s">
        <v>705</v>
      </c>
      <c r="F1093" s="73" t="s">
        <v>2863</v>
      </c>
      <c r="G1093" s="73" t="s">
        <v>107</v>
      </c>
      <c r="H1093" s="73" t="s">
        <v>2936</v>
      </c>
      <c r="I1093" s="73" t="s">
        <v>893</v>
      </c>
      <c r="J1093" s="73" t="s">
        <v>2926</v>
      </c>
      <c r="K1093" s="73" t="s">
        <v>895</v>
      </c>
      <c r="L1093" s="103" t="n">
        <v>0</v>
      </c>
    </row>
    <row r="1094" customFormat="false" ht="15" hidden="false" customHeight="true" outlineLevel="0" collapsed="false">
      <c r="A1094" s="73" t="s">
        <v>2937</v>
      </c>
      <c r="B1094" s="73" t="s">
        <v>4</v>
      </c>
      <c r="C1094" s="73" t="s">
        <v>653</v>
      </c>
      <c r="D1094" s="73" t="s">
        <v>891</v>
      </c>
      <c r="E1094" s="73" t="s">
        <v>705</v>
      </c>
      <c r="F1094" s="73" t="s">
        <v>2863</v>
      </c>
      <c r="G1094" s="73" t="s">
        <v>109</v>
      </c>
      <c r="H1094" s="73" t="s">
        <v>2938</v>
      </c>
      <c r="I1094" s="73" t="s">
        <v>893</v>
      </c>
      <c r="J1094" s="73" t="s">
        <v>2926</v>
      </c>
      <c r="K1094" s="73" t="s">
        <v>895</v>
      </c>
      <c r="L1094" s="103" t="n">
        <v>0</v>
      </c>
    </row>
    <row r="1095" customFormat="false" ht="15" hidden="false" customHeight="true" outlineLevel="0" collapsed="false">
      <c r="A1095" s="73" t="s">
        <v>2939</v>
      </c>
      <c r="B1095" s="73" t="s">
        <v>4</v>
      </c>
      <c r="C1095" s="73" t="s">
        <v>653</v>
      </c>
      <c r="D1095" s="73" t="s">
        <v>891</v>
      </c>
      <c r="E1095" s="73" t="s">
        <v>705</v>
      </c>
      <c r="F1095" s="73" t="s">
        <v>2863</v>
      </c>
      <c r="G1095" s="73" t="s">
        <v>111</v>
      </c>
      <c r="H1095" s="73" t="s">
        <v>2940</v>
      </c>
      <c r="I1095" s="73" t="s">
        <v>893</v>
      </c>
      <c r="J1095" s="73" t="s">
        <v>2926</v>
      </c>
      <c r="K1095" s="73" t="s">
        <v>895</v>
      </c>
      <c r="L1095" s="103" t="n">
        <v>0</v>
      </c>
    </row>
    <row r="1096" customFormat="false" ht="15" hidden="false" customHeight="true" outlineLevel="0" collapsed="false">
      <c r="A1096" s="73" t="s">
        <v>2941</v>
      </c>
      <c r="B1096" s="73" t="s">
        <v>4</v>
      </c>
      <c r="C1096" s="73" t="s">
        <v>653</v>
      </c>
      <c r="D1096" s="73" t="s">
        <v>918</v>
      </c>
      <c r="E1096" s="73" t="s">
        <v>705</v>
      </c>
      <c r="F1096" s="73" t="s">
        <v>2863</v>
      </c>
      <c r="G1096" s="73" t="s">
        <v>96</v>
      </c>
      <c r="H1096" s="73" t="s">
        <v>2942</v>
      </c>
      <c r="I1096" s="73" t="s">
        <v>893</v>
      </c>
      <c r="J1096" s="73"/>
      <c r="K1096" s="73"/>
      <c r="L1096" s="103" t="n">
        <v>7</v>
      </c>
    </row>
    <row r="1097" customFormat="false" ht="15" hidden="false" customHeight="true" outlineLevel="0" collapsed="false">
      <c r="A1097" s="73" t="s">
        <v>2943</v>
      </c>
      <c r="B1097" s="73" t="s">
        <v>4</v>
      </c>
      <c r="C1097" s="73" t="s">
        <v>653</v>
      </c>
      <c r="D1097" s="73" t="s">
        <v>918</v>
      </c>
      <c r="E1097" s="73" t="s">
        <v>705</v>
      </c>
      <c r="F1097" s="73" t="s">
        <v>2863</v>
      </c>
      <c r="G1097" s="73" t="s">
        <v>99</v>
      </c>
      <c r="H1097" s="73" t="s">
        <v>2944</v>
      </c>
      <c r="I1097" s="73" t="s">
        <v>893</v>
      </c>
      <c r="J1097" s="73"/>
      <c r="K1097" s="73"/>
      <c r="L1097" s="103" t="n">
        <v>0</v>
      </c>
    </row>
    <row r="1098" customFormat="false" ht="15" hidden="false" customHeight="true" outlineLevel="0" collapsed="false">
      <c r="A1098" s="73" t="s">
        <v>2945</v>
      </c>
      <c r="B1098" s="73" t="s">
        <v>4</v>
      </c>
      <c r="C1098" s="73" t="s">
        <v>653</v>
      </c>
      <c r="D1098" s="73" t="s">
        <v>918</v>
      </c>
      <c r="E1098" s="73" t="s">
        <v>705</v>
      </c>
      <c r="F1098" s="73" t="s">
        <v>2863</v>
      </c>
      <c r="G1098" s="73" t="s">
        <v>101</v>
      </c>
      <c r="H1098" s="73" t="s">
        <v>2946</v>
      </c>
      <c r="I1098" s="73" t="s">
        <v>893</v>
      </c>
      <c r="J1098" s="73"/>
      <c r="K1098" s="73"/>
      <c r="L1098" s="103" t="n">
        <v>0</v>
      </c>
    </row>
    <row r="1099" customFormat="false" ht="15" hidden="false" customHeight="true" outlineLevel="0" collapsed="false">
      <c r="A1099" s="73" t="s">
        <v>2947</v>
      </c>
      <c r="B1099" s="73" t="s">
        <v>4</v>
      </c>
      <c r="C1099" s="73" t="s">
        <v>653</v>
      </c>
      <c r="D1099" s="73" t="s">
        <v>918</v>
      </c>
      <c r="E1099" s="73" t="s">
        <v>705</v>
      </c>
      <c r="F1099" s="73" t="s">
        <v>2863</v>
      </c>
      <c r="G1099" s="73" t="s">
        <v>103</v>
      </c>
      <c r="H1099" s="73" t="s">
        <v>2948</v>
      </c>
      <c r="I1099" s="73" t="s">
        <v>893</v>
      </c>
      <c r="J1099" s="73"/>
      <c r="K1099" s="73"/>
      <c r="L1099" s="103" t="n">
        <v>0</v>
      </c>
    </row>
    <row r="1100" customFormat="false" ht="15" hidden="false" customHeight="true" outlineLevel="0" collapsed="false">
      <c r="A1100" s="73" t="s">
        <v>2949</v>
      </c>
      <c r="B1100" s="73" t="s">
        <v>4</v>
      </c>
      <c r="C1100" s="73" t="s">
        <v>653</v>
      </c>
      <c r="D1100" s="73" t="s">
        <v>918</v>
      </c>
      <c r="E1100" s="73" t="s">
        <v>705</v>
      </c>
      <c r="F1100" s="73" t="s">
        <v>2863</v>
      </c>
      <c r="G1100" s="73" t="s">
        <v>105</v>
      </c>
      <c r="H1100" s="73" t="s">
        <v>2950</v>
      </c>
      <c r="I1100" s="73" t="s">
        <v>893</v>
      </c>
      <c r="J1100" s="73"/>
      <c r="K1100" s="73"/>
      <c r="L1100" s="103" t="n">
        <v>0</v>
      </c>
    </row>
    <row r="1101" customFormat="false" ht="15" hidden="false" customHeight="true" outlineLevel="0" collapsed="false">
      <c r="A1101" s="73" t="s">
        <v>2951</v>
      </c>
      <c r="B1101" s="73" t="s">
        <v>4</v>
      </c>
      <c r="C1101" s="73" t="s">
        <v>653</v>
      </c>
      <c r="D1101" s="73" t="s">
        <v>918</v>
      </c>
      <c r="E1101" s="73" t="s">
        <v>705</v>
      </c>
      <c r="F1101" s="73" t="s">
        <v>2863</v>
      </c>
      <c r="G1101" s="73" t="s">
        <v>107</v>
      </c>
      <c r="H1101" s="73" t="s">
        <v>2952</v>
      </c>
      <c r="I1101" s="73" t="s">
        <v>893</v>
      </c>
      <c r="J1101" s="73"/>
      <c r="K1101" s="73"/>
      <c r="L1101" s="103" t="n">
        <v>0</v>
      </c>
    </row>
    <row r="1102" customFormat="false" ht="15" hidden="false" customHeight="true" outlineLevel="0" collapsed="false">
      <c r="A1102" s="73" t="s">
        <v>2953</v>
      </c>
      <c r="B1102" s="73" t="s">
        <v>4</v>
      </c>
      <c r="C1102" s="73" t="s">
        <v>653</v>
      </c>
      <c r="D1102" s="73" t="s">
        <v>918</v>
      </c>
      <c r="E1102" s="73" t="s">
        <v>705</v>
      </c>
      <c r="F1102" s="73" t="s">
        <v>2863</v>
      </c>
      <c r="G1102" s="73" t="s">
        <v>109</v>
      </c>
      <c r="H1102" s="73" t="s">
        <v>2954</v>
      </c>
      <c r="I1102" s="73" t="s">
        <v>893</v>
      </c>
      <c r="J1102" s="73"/>
      <c r="K1102" s="73"/>
      <c r="L1102" s="103" t="n">
        <v>0</v>
      </c>
    </row>
    <row r="1103" customFormat="false" ht="15" hidden="false" customHeight="true" outlineLevel="0" collapsed="false">
      <c r="A1103" s="73" t="s">
        <v>2955</v>
      </c>
      <c r="B1103" s="73" t="s">
        <v>4</v>
      </c>
      <c r="C1103" s="73" t="s">
        <v>653</v>
      </c>
      <c r="D1103" s="73" t="s">
        <v>918</v>
      </c>
      <c r="E1103" s="73" t="s">
        <v>705</v>
      </c>
      <c r="F1103" s="73" t="s">
        <v>2863</v>
      </c>
      <c r="G1103" s="73" t="s">
        <v>111</v>
      </c>
      <c r="H1103" s="73" t="s">
        <v>2956</v>
      </c>
      <c r="I1103" s="73" t="s">
        <v>893</v>
      </c>
      <c r="J1103" s="73"/>
      <c r="K1103" s="73"/>
      <c r="L1103" s="103" t="n">
        <v>0</v>
      </c>
    </row>
    <row r="1104" customFormat="false" ht="15" hidden="false" customHeight="true" outlineLevel="0" collapsed="false">
      <c r="A1104" s="73" t="s">
        <v>2957</v>
      </c>
      <c r="B1104" s="73" t="s">
        <v>4</v>
      </c>
      <c r="C1104" s="73" t="s">
        <v>653</v>
      </c>
      <c r="D1104" s="73" t="s">
        <v>943</v>
      </c>
      <c r="E1104" s="73" t="s">
        <v>705</v>
      </c>
      <c r="F1104" s="73" t="s">
        <v>2863</v>
      </c>
      <c r="G1104" s="73" t="s">
        <v>944</v>
      </c>
      <c r="H1104" s="73" t="s">
        <v>2958</v>
      </c>
      <c r="I1104" s="73" t="s">
        <v>893</v>
      </c>
      <c r="J1104" s="73"/>
      <c r="K1104" s="73"/>
      <c r="L1104" s="103" t="n">
        <v>3.5</v>
      </c>
    </row>
    <row r="1105" customFormat="false" ht="15" hidden="false" customHeight="true" outlineLevel="0" collapsed="false">
      <c r="A1105" s="73" t="s">
        <v>2959</v>
      </c>
      <c r="B1105" s="73" t="s">
        <v>4</v>
      </c>
      <c r="C1105" s="73" t="s">
        <v>653</v>
      </c>
      <c r="D1105" s="73" t="s">
        <v>948</v>
      </c>
      <c r="E1105" s="73" t="s">
        <v>705</v>
      </c>
      <c r="F1105" s="73" t="s">
        <v>2863</v>
      </c>
      <c r="G1105" s="73" t="s">
        <v>655</v>
      </c>
      <c r="H1105" s="73" t="s">
        <v>2960</v>
      </c>
      <c r="I1105" s="73" t="s">
        <v>708</v>
      </c>
      <c r="J1105" s="73"/>
      <c r="K1105" s="73"/>
      <c r="L1105" s="103" t="n">
        <v>0</v>
      </c>
    </row>
    <row r="1106" customFormat="false" ht="15" hidden="false" customHeight="true" outlineLevel="0" collapsed="false">
      <c r="A1106" s="73" t="s">
        <v>2961</v>
      </c>
      <c r="B1106" s="73" t="s">
        <v>4</v>
      </c>
      <c r="C1106" s="73" t="s">
        <v>653</v>
      </c>
      <c r="D1106" s="73" t="s">
        <v>953</v>
      </c>
      <c r="E1106" s="73" t="s">
        <v>705</v>
      </c>
      <c r="F1106" s="73" t="s">
        <v>2863</v>
      </c>
      <c r="G1106" s="73" t="s">
        <v>655</v>
      </c>
      <c r="H1106" s="73" t="s">
        <v>2962</v>
      </c>
      <c r="I1106" s="73" t="s">
        <v>955</v>
      </c>
      <c r="J1106" s="73"/>
      <c r="K1106" s="73"/>
      <c r="L1106" s="103" t="n">
        <v>0</v>
      </c>
    </row>
    <row r="1107" customFormat="false" ht="15" hidden="false" customHeight="true" outlineLevel="0" collapsed="false">
      <c r="A1107" s="73" t="s">
        <v>2963</v>
      </c>
      <c r="B1107" s="73" t="s">
        <v>846</v>
      </c>
      <c r="C1107" s="73" t="s">
        <v>653</v>
      </c>
      <c r="D1107" s="73" t="s">
        <v>867</v>
      </c>
      <c r="E1107" s="73" t="s">
        <v>705</v>
      </c>
      <c r="F1107" s="73" t="s">
        <v>2863</v>
      </c>
      <c r="G1107" s="73" t="s">
        <v>655</v>
      </c>
      <c r="H1107" s="73" t="s">
        <v>2964</v>
      </c>
      <c r="I1107" s="73" t="s">
        <v>869</v>
      </c>
      <c r="J1107" s="73" t="s">
        <v>2914</v>
      </c>
      <c r="K1107" s="73" t="s">
        <v>2915</v>
      </c>
      <c r="L1107" s="107" t="n">
        <v>0</v>
      </c>
    </row>
    <row r="1108" customFormat="false" ht="15" hidden="false" customHeight="true" outlineLevel="0" collapsed="false">
      <c r="A1108" s="73" t="s">
        <v>2965</v>
      </c>
      <c r="B1108" s="73" t="s">
        <v>846</v>
      </c>
      <c r="C1108" s="73" t="s">
        <v>653</v>
      </c>
      <c r="D1108" s="73" t="s">
        <v>873</v>
      </c>
      <c r="E1108" s="73" t="s">
        <v>705</v>
      </c>
      <c r="F1108" s="73" t="s">
        <v>2863</v>
      </c>
      <c r="G1108" s="73" t="s">
        <v>655</v>
      </c>
      <c r="H1108" s="73" t="s">
        <v>2966</v>
      </c>
      <c r="I1108" s="73" t="s">
        <v>875</v>
      </c>
      <c r="J1108" s="73"/>
      <c r="K1108" s="73"/>
      <c r="L1108" s="104" t="n">
        <v>1</v>
      </c>
    </row>
    <row r="1109" customFormat="false" ht="15" hidden="false" customHeight="true" outlineLevel="0" collapsed="false">
      <c r="A1109" s="73" t="s">
        <v>2967</v>
      </c>
      <c r="B1109" s="73" t="s">
        <v>846</v>
      </c>
      <c r="C1109" s="73" t="s">
        <v>653</v>
      </c>
      <c r="D1109" s="73" t="s">
        <v>878</v>
      </c>
      <c r="E1109" s="73" t="s">
        <v>705</v>
      </c>
      <c r="F1109" s="73" t="s">
        <v>2863</v>
      </c>
      <c r="G1109" s="73" t="s">
        <v>655</v>
      </c>
      <c r="H1109" s="73" t="s">
        <v>2968</v>
      </c>
      <c r="I1109" s="73" t="s">
        <v>880</v>
      </c>
      <c r="J1109" s="73"/>
      <c r="K1109" s="73"/>
      <c r="L1109" s="104" t="n">
        <v>0.05</v>
      </c>
    </row>
    <row r="1110" customFormat="false" ht="15" hidden="false" customHeight="true" outlineLevel="0" collapsed="false">
      <c r="A1110" s="73" t="s">
        <v>2969</v>
      </c>
      <c r="B1110" s="73" t="s">
        <v>846</v>
      </c>
      <c r="C1110" s="73" t="s">
        <v>653</v>
      </c>
      <c r="D1110" s="73" t="s">
        <v>883</v>
      </c>
      <c r="E1110" s="73" t="s">
        <v>705</v>
      </c>
      <c r="F1110" s="73" t="s">
        <v>2863</v>
      </c>
      <c r="G1110" s="73" t="s">
        <v>655</v>
      </c>
      <c r="H1110" s="73" t="s">
        <v>2970</v>
      </c>
      <c r="I1110" s="73" t="s">
        <v>880</v>
      </c>
      <c r="J1110" s="73"/>
      <c r="K1110" s="73"/>
      <c r="L1110" s="104" t="n">
        <v>0.02</v>
      </c>
    </row>
    <row r="1111" customFormat="false" ht="15" hidden="false" customHeight="true" outlineLevel="0" collapsed="false">
      <c r="A1111" s="73" t="s">
        <v>2971</v>
      </c>
      <c r="B1111" s="73" t="s">
        <v>846</v>
      </c>
      <c r="C1111" s="73" t="s">
        <v>653</v>
      </c>
      <c r="D1111" s="73" t="s">
        <v>887</v>
      </c>
      <c r="E1111" s="73" t="s">
        <v>705</v>
      </c>
      <c r="F1111" s="73" t="s">
        <v>2863</v>
      </c>
      <c r="G1111" s="73" t="s">
        <v>655</v>
      </c>
      <c r="H1111" s="73" t="s">
        <v>2972</v>
      </c>
      <c r="I1111" s="73" t="s">
        <v>880</v>
      </c>
      <c r="J1111" s="73"/>
      <c r="K1111" s="73"/>
      <c r="L1111" s="104" t="n">
        <v>0.1</v>
      </c>
    </row>
    <row r="1112" customFormat="false" ht="15" hidden="false" customHeight="true" outlineLevel="0" collapsed="false">
      <c r="A1112" s="73" t="s">
        <v>2973</v>
      </c>
      <c r="B1112" s="73" t="s">
        <v>846</v>
      </c>
      <c r="C1112" s="73" t="s">
        <v>653</v>
      </c>
      <c r="D1112" s="73" t="s">
        <v>891</v>
      </c>
      <c r="E1112" s="73" t="s">
        <v>705</v>
      </c>
      <c r="F1112" s="73" t="s">
        <v>2863</v>
      </c>
      <c r="G1112" s="73" t="s">
        <v>96</v>
      </c>
      <c r="H1112" s="73" t="s">
        <v>2974</v>
      </c>
      <c r="I1112" s="73" t="s">
        <v>893</v>
      </c>
      <c r="J1112" s="73" t="s">
        <v>2926</v>
      </c>
      <c r="K1112" s="73" t="s">
        <v>895</v>
      </c>
      <c r="L1112" s="103" t="n">
        <v>0</v>
      </c>
    </row>
    <row r="1113" customFormat="false" ht="15" hidden="false" customHeight="true" outlineLevel="0" collapsed="false">
      <c r="A1113" s="73" t="s">
        <v>2975</v>
      </c>
      <c r="B1113" s="73" t="s">
        <v>846</v>
      </c>
      <c r="C1113" s="73" t="s">
        <v>653</v>
      </c>
      <c r="D1113" s="73" t="s">
        <v>891</v>
      </c>
      <c r="E1113" s="73" t="s">
        <v>705</v>
      </c>
      <c r="F1113" s="73" t="s">
        <v>2863</v>
      </c>
      <c r="G1113" s="73" t="s">
        <v>99</v>
      </c>
      <c r="H1113" s="73" t="s">
        <v>2976</v>
      </c>
      <c r="I1113" s="73" t="s">
        <v>893</v>
      </c>
      <c r="J1113" s="73" t="s">
        <v>2926</v>
      </c>
      <c r="K1113" s="73" t="s">
        <v>895</v>
      </c>
      <c r="L1113" s="103" t="n">
        <v>1</v>
      </c>
    </row>
    <row r="1114" customFormat="false" ht="15" hidden="false" customHeight="true" outlineLevel="0" collapsed="false">
      <c r="A1114" s="73" t="s">
        <v>2977</v>
      </c>
      <c r="B1114" s="73" t="s">
        <v>846</v>
      </c>
      <c r="C1114" s="73" t="s">
        <v>653</v>
      </c>
      <c r="D1114" s="73" t="s">
        <v>891</v>
      </c>
      <c r="E1114" s="73" t="s">
        <v>705</v>
      </c>
      <c r="F1114" s="73" t="s">
        <v>2863</v>
      </c>
      <c r="G1114" s="73" t="s">
        <v>101</v>
      </c>
      <c r="H1114" s="73" t="s">
        <v>2978</v>
      </c>
      <c r="I1114" s="73" t="s">
        <v>893</v>
      </c>
      <c r="J1114" s="73" t="s">
        <v>2926</v>
      </c>
      <c r="K1114" s="73" t="s">
        <v>895</v>
      </c>
      <c r="L1114" s="103" t="n">
        <v>0</v>
      </c>
    </row>
    <row r="1115" customFormat="false" ht="15" hidden="false" customHeight="true" outlineLevel="0" collapsed="false">
      <c r="A1115" s="73" t="s">
        <v>2979</v>
      </c>
      <c r="B1115" s="73" t="s">
        <v>846</v>
      </c>
      <c r="C1115" s="73" t="s">
        <v>653</v>
      </c>
      <c r="D1115" s="73" t="s">
        <v>891</v>
      </c>
      <c r="E1115" s="73" t="s">
        <v>705</v>
      </c>
      <c r="F1115" s="73" t="s">
        <v>2863</v>
      </c>
      <c r="G1115" s="73" t="s">
        <v>103</v>
      </c>
      <c r="H1115" s="73" t="s">
        <v>2980</v>
      </c>
      <c r="I1115" s="73" t="s">
        <v>893</v>
      </c>
      <c r="J1115" s="73" t="s">
        <v>2926</v>
      </c>
      <c r="K1115" s="73" t="s">
        <v>895</v>
      </c>
      <c r="L1115" s="103" t="n">
        <v>0</v>
      </c>
    </row>
    <row r="1116" customFormat="false" ht="15" hidden="false" customHeight="true" outlineLevel="0" collapsed="false">
      <c r="A1116" s="73" t="s">
        <v>2981</v>
      </c>
      <c r="B1116" s="73" t="s">
        <v>846</v>
      </c>
      <c r="C1116" s="73" t="s">
        <v>653</v>
      </c>
      <c r="D1116" s="73" t="s">
        <v>891</v>
      </c>
      <c r="E1116" s="73" t="s">
        <v>705</v>
      </c>
      <c r="F1116" s="73" t="s">
        <v>2863</v>
      </c>
      <c r="G1116" s="73" t="s">
        <v>105</v>
      </c>
      <c r="H1116" s="73" t="s">
        <v>2982</v>
      </c>
      <c r="I1116" s="73" t="s">
        <v>893</v>
      </c>
      <c r="J1116" s="73" t="s">
        <v>2926</v>
      </c>
      <c r="K1116" s="73" t="s">
        <v>895</v>
      </c>
      <c r="L1116" s="103" t="n">
        <v>0</v>
      </c>
    </row>
    <row r="1117" customFormat="false" ht="15" hidden="false" customHeight="true" outlineLevel="0" collapsed="false">
      <c r="A1117" s="73" t="s">
        <v>2983</v>
      </c>
      <c r="B1117" s="73" t="s">
        <v>846</v>
      </c>
      <c r="C1117" s="73" t="s">
        <v>653</v>
      </c>
      <c r="D1117" s="73" t="s">
        <v>891</v>
      </c>
      <c r="E1117" s="73" t="s">
        <v>705</v>
      </c>
      <c r="F1117" s="73" t="s">
        <v>2863</v>
      </c>
      <c r="G1117" s="73" t="s">
        <v>107</v>
      </c>
      <c r="H1117" s="73" t="s">
        <v>2984</v>
      </c>
      <c r="I1117" s="73" t="s">
        <v>893</v>
      </c>
      <c r="J1117" s="73" t="s">
        <v>2926</v>
      </c>
      <c r="K1117" s="73" t="s">
        <v>895</v>
      </c>
      <c r="L1117" s="103" t="n">
        <v>0</v>
      </c>
    </row>
    <row r="1118" customFormat="false" ht="15" hidden="false" customHeight="true" outlineLevel="0" collapsed="false">
      <c r="A1118" s="73" t="s">
        <v>2985</v>
      </c>
      <c r="B1118" s="73" t="s">
        <v>846</v>
      </c>
      <c r="C1118" s="73" t="s">
        <v>653</v>
      </c>
      <c r="D1118" s="73" t="s">
        <v>891</v>
      </c>
      <c r="E1118" s="73" t="s">
        <v>705</v>
      </c>
      <c r="F1118" s="73" t="s">
        <v>2863</v>
      </c>
      <c r="G1118" s="73" t="s">
        <v>109</v>
      </c>
      <c r="H1118" s="73" t="s">
        <v>2986</v>
      </c>
      <c r="I1118" s="73" t="s">
        <v>893</v>
      </c>
      <c r="J1118" s="73" t="s">
        <v>2926</v>
      </c>
      <c r="K1118" s="73" t="s">
        <v>895</v>
      </c>
      <c r="L1118" s="103" t="n">
        <v>0</v>
      </c>
    </row>
    <row r="1119" customFormat="false" ht="15" hidden="false" customHeight="true" outlineLevel="0" collapsed="false">
      <c r="A1119" s="73" t="s">
        <v>2987</v>
      </c>
      <c r="B1119" s="73" t="s">
        <v>846</v>
      </c>
      <c r="C1119" s="73" t="s">
        <v>653</v>
      </c>
      <c r="D1119" s="73" t="s">
        <v>891</v>
      </c>
      <c r="E1119" s="73" t="s">
        <v>705</v>
      </c>
      <c r="F1119" s="73" t="s">
        <v>2863</v>
      </c>
      <c r="G1119" s="73" t="s">
        <v>111</v>
      </c>
      <c r="H1119" s="73" t="s">
        <v>2988</v>
      </c>
      <c r="I1119" s="73" t="s">
        <v>893</v>
      </c>
      <c r="J1119" s="73" t="s">
        <v>2926</v>
      </c>
      <c r="K1119" s="73" t="s">
        <v>895</v>
      </c>
      <c r="L1119" s="103" t="n">
        <v>0</v>
      </c>
    </row>
    <row r="1120" customFormat="false" ht="15" hidden="false" customHeight="true" outlineLevel="0" collapsed="false">
      <c r="A1120" s="73" t="s">
        <v>2989</v>
      </c>
      <c r="B1120" s="73" t="s">
        <v>846</v>
      </c>
      <c r="C1120" s="73" t="s">
        <v>653</v>
      </c>
      <c r="D1120" s="73" t="s">
        <v>918</v>
      </c>
      <c r="E1120" s="73" t="s">
        <v>705</v>
      </c>
      <c r="F1120" s="73" t="s">
        <v>2863</v>
      </c>
      <c r="G1120" s="73" t="s">
        <v>96</v>
      </c>
      <c r="H1120" s="73" t="s">
        <v>2990</v>
      </c>
      <c r="I1120" s="73" t="s">
        <v>893</v>
      </c>
      <c r="J1120" s="73"/>
      <c r="K1120" s="73"/>
      <c r="L1120" s="103" t="n">
        <v>3</v>
      </c>
    </row>
    <row r="1121" customFormat="false" ht="15" hidden="false" customHeight="true" outlineLevel="0" collapsed="false">
      <c r="A1121" s="73" t="s">
        <v>2991</v>
      </c>
      <c r="B1121" s="73" t="s">
        <v>846</v>
      </c>
      <c r="C1121" s="73" t="s">
        <v>653</v>
      </c>
      <c r="D1121" s="73" t="s">
        <v>918</v>
      </c>
      <c r="E1121" s="73" t="s">
        <v>705</v>
      </c>
      <c r="F1121" s="73" t="s">
        <v>2863</v>
      </c>
      <c r="G1121" s="73" t="s">
        <v>99</v>
      </c>
      <c r="H1121" s="73" t="s">
        <v>2992</v>
      </c>
      <c r="I1121" s="73" t="s">
        <v>893</v>
      </c>
      <c r="J1121" s="73"/>
      <c r="K1121" s="73"/>
      <c r="L1121" s="103" t="n">
        <v>0</v>
      </c>
    </row>
    <row r="1122" customFormat="false" ht="15" hidden="false" customHeight="true" outlineLevel="0" collapsed="false">
      <c r="A1122" s="73" t="s">
        <v>2993</v>
      </c>
      <c r="B1122" s="73" t="s">
        <v>846</v>
      </c>
      <c r="C1122" s="73" t="s">
        <v>653</v>
      </c>
      <c r="D1122" s="73" t="s">
        <v>918</v>
      </c>
      <c r="E1122" s="73" t="s">
        <v>705</v>
      </c>
      <c r="F1122" s="73" t="s">
        <v>2863</v>
      </c>
      <c r="G1122" s="73" t="s">
        <v>101</v>
      </c>
      <c r="H1122" s="73" t="s">
        <v>2994</v>
      </c>
      <c r="I1122" s="73" t="s">
        <v>893</v>
      </c>
      <c r="J1122" s="73"/>
      <c r="K1122" s="73"/>
      <c r="L1122" s="103" t="n">
        <v>0</v>
      </c>
    </row>
    <row r="1123" customFormat="false" ht="15" hidden="false" customHeight="true" outlineLevel="0" collapsed="false">
      <c r="A1123" s="73" t="s">
        <v>2995</v>
      </c>
      <c r="B1123" s="73" t="s">
        <v>846</v>
      </c>
      <c r="C1123" s="73" t="s">
        <v>653</v>
      </c>
      <c r="D1123" s="73" t="s">
        <v>918</v>
      </c>
      <c r="E1123" s="73" t="s">
        <v>705</v>
      </c>
      <c r="F1123" s="73" t="s">
        <v>2863</v>
      </c>
      <c r="G1123" s="73" t="s">
        <v>103</v>
      </c>
      <c r="H1123" s="73" t="s">
        <v>2996</v>
      </c>
      <c r="I1123" s="73" t="s">
        <v>893</v>
      </c>
      <c r="J1123" s="73"/>
      <c r="K1123" s="73"/>
      <c r="L1123" s="103" t="n">
        <v>0</v>
      </c>
    </row>
    <row r="1124" customFormat="false" ht="15" hidden="false" customHeight="true" outlineLevel="0" collapsed="false">
      <c r="A1124" s="73" t="s">
        <v>2997</v>
      </c>
      <c r="B1124" s="73" t="s">
        <v>846</v>
      </c>
      <c r="C1124" s="73" t="s">
        <v>653</v>
      </c>
      <c r="D1124" s="73" t="s">
        <v>918</v>
      </c>
      <c r="E1124" s="73" t="s">
        <v>705</v>
      </c>
      <c r="F1124" s="73" t="s">
        <v>2863</v>
      </c>
      <c r="G1124" s="73" t="s">
        <v>105</v>
      </c>
      <c r="H1124" s="73" t="s">
        <v>2998</v>
      </c>
      <c r="I1124" s="73" t="s">
        <v>893</v>
      </c>
      <c r="J1124" s="73"/>
      <c r="K1124" s="73"/>
      <c r="L1124" s="103" t="n">
        <v>0</v>
      </c>
    </row>
    <row r="1125" customFormat="false" ht="15" hidden="false" customHeight="true" outlineLevel="0" collapsed="false">
      <c r="A1125" s="73" t="s">
        <v>2999</v>
      </c>
      <c r="B1125" s="73" t="s">
        <v>846</v>
      </c>
      <c r="C1125" s="73" t="s">
        <v>653</v>
      </c>
      <c r="D1125" s="73" t="s">
        <v>918</v>
      </c>
      <c r="E1125" s="73" t="s">
        <v>705</v>
      </c>
      <c r="F1125" s="73" t="s">
        <v>2863</v>
      </c>
      <c r="G1125" s="73" t="s">
        <v>107</v>
      </c>
      <c r="H1125" s="73" t="s">
        <v>3000</v>
      </c>
      <c r="I1125" s="73" t="s">
        <v>893</v>
      </c>
      <c r="J1125" s="73"/>
      <c r="K1125" s="73"/>
      <c r="L1125" s="103" t="n">
        <v>0</v>
      </c>
    </row>
    <row r="1126" customFormat="false" ht="15" hidden="false" customHeight="true" outlineLevel="0" collapsed="false">
      <c r="A1126" s="73" t="s">
        <v>3001</v>
      </c>
      <c r="B1126" s="73" t="s">
        <v>846</v>
      </c>
      <c r="C1126" s="73" t="s">
        <v>653</v>
      </c>
      <c r="D1126" s="73" t="s">
        <v>918</v>
      </c>
      <c r="E1126" s="73" t="s">
        <v>705</v>
      </c>
      <c r="F1126" s="73" t="s">
        <v>2863</v>
      </c>
      <c r="G1126" s="73" t="s">
        <v>109</v>
      </c>
      <c r="H1126" s="73" t="s">
        <v>3002</v>
      </c>
      <c r="I1126" s="73" t="s">
        <v>893</v>
      </c>
      <c r="J1126" s="73"/>
      <c r="K1126" s="73"/>
      <c r="L1126" s="103" t="n">
        <v>0</v>
      </c>
    </row>
    <row r="1127" customFormat="false" ht="15" hidden="false" customHeight="true" outlineLevel="0" collapsed="false">
      <c r="A1127" s="73" t="s">
        <v>3003</v>
      </c>
      <c r="B1127" s="73" t="s">
        <v>846</v>
      </c>
      <c r="C1127" s="73" t="s">
        <v>653</v>
      </c>
      <c r="D1127" s="73" t="s">
        <v>918</v>
      </c>
      <c r="E1127" s="73" t="s">
        <v>705</v>
      </c>
      <c r="F1127" s="73" t="s">
        <v>2863</v>
      </c>
      <c r="G1127" s="73" t="s">
        <v>111</v>
      </c>
      <c r="H1127" s="73" t="s">
        <v>3004</v>
      </c>
      <c r="I1127" s="73" t="s">
        <v>893</v>
      </c>
      <c r="J1127" s="73"/>
      <c r="K1127" s="73"/>
      <c r="L1127" s="103" t="n">
        <v>0</v>
      </c>
    </row>
    <row r="1128" customFormat="false" ht="15" hidden="false" customHeight="true" outlineLevel="0" collapsed="false">
      <c r="A1128" s="73" t="s">
        <v>3005</v>
      </c>
      <c r="B1128" s="73" t="s">
        <v>846</v>
      </c>
      <c r="C1128" s="73" t="s">
        <v>653</v>
      </c>
      <c r="D1128" s="73" t="s">
        <v>943</v>
      </c>
      <c r="E1128" s="73" t="s">
        <v>705</v>
      </c>
      <c r="F1128" s="73" t="s">
        <v>2863</v>
      </c>
      <c r="G1128" s="73" t="s">
        <v>944</v>
      </c>
      <c r="H1128" s="73" t="s">
        <v>3006</v>
      </c>
      <c r="I1128" s="73" t="s">
        <v>893</v>
      </c>
      <c r="J1128" s="73"/>
      <c r="K1128" s="73"/>
      <c r="L1128" s="103" t="n">
        <v>3.5</v>
      </c>
    </row>
    <row r="1129" customFormat="false" ht="15" hidden="false" customHeight="true" outlineLevel="0" collapsed="false">
      <c r="A1129" s="73" t="s">
        <v>3007</v>
      </c>
      <c r="B1129" s="73" t="s">
        <v>846</v>
      </c>
      <c r="C1129" s="73" t="s">
        <v>653</v>
      </c>
      <c r="D1129" s="73" t="s">
        <v>948</v>
      </c>
      <c r="E1129" s="73" t="s">
        <v>705</v>
      </c>
      <c r="F1129" s="73" t="s">
        <v>2863</v>
      </c>
      <c r="G1129" s="73" t="s">
        <v>655</v>
      </c>
      <c r="H1129" s="73" t="s">
        <v>3008</v>
      </c>
      <c r="I1129" s="73" t="s">
        <v>708</v>
      </c>
      <c r="J1129" s="73"/>
      <c r="K1129" s="73"/>
      <c r="L1129" s="103" t="n">
        <v>0</v>
      </c>
    </row>
    <row r="1130" customFormat="false" ht="15" hidden="false" customHeight="true" outlineLevel="0" collapsed="false">
      <c r="A1130" s="73" t="s">
        <v>3009</v>
      </c>
      <c r="B1130" s="73" t="s">
        <v>846</v>
      </c>
      <c r="C1130" s="73" t="s">
        <v>653</v>
      </c>
      <c r="D1130" s="73" t="s">
        <v>953</v>
      </c>
      <c r="E1130" s="73" t="s">
        <v>705</v>
      </c>
      <c r="F1130" s="73" t="s">
        <v>2863</v>
      </c>
      <c r="G1130" s="73" t="s">
        <v>655</v>
      </c>
      <c r="H1130" s="73" t="s">
        <v>3010</v>
      </c>
      <c r="I1130" s="73" t="s">
        <v>955</v>
      </c>
      <c r="J1130" s="73"/>
      <c r="K1130" s="73"/>
      <c r="L1130" s="103" t="n">
        <v>0</v>
      </c>
    </row>
    <row r="1131" customFormat="false" ht="15" hidden="false" customHeight="true" outlineLevel="0" collapsed="false">
      <c r="A1131" s="73" t="s">
        <v>3011</v>
      </c>
      <c r="B1131" s="73" t="s">
        <v>851</v>
      </c>
      <c r="C1131" s="73" t="s">
        <v>653</v>
      </c>
      <c r="D1131" s="73" t="s">
        <v>867</v>
      </c>
      <c r="E1131" s="73" t="s">
        <v>705</v>
      </c>
      <c r="F1131" s="73" t="s">
        <v>2863</v>
      </c>
      <c r="G1131" s="73" t="s">
        <v>655</v>
      </c>
      <c r="H1131" s="73" t="s">
        <v>3012</v>
      </c>
      <c r="I1131" s="73" t="s">
        <v>869</v>
      </c>
      <c r="J1131" s="73" t="s">
        <v>2914</v>
      </c>
      <c r="K1131" s="73" t="s">
        <v>2915</v>
      </c>
      <c r="L1131" s="107" t="n">
        <v>0.1</v>
      </c>
    </row>
    <row r="1132" customFormat="false" ht="15" hidden="false" customHeight="true" outlineLevel="0" collapsed="false">
      <c r="A1132" s="73" t="s">
        <v>3013</v>
      </c>
      <c r="B1132" s="73" t="s">
        <v>851</v>
      </c>
      <c r="C1132" s="73" t="s">
        <v>653</v>
      </c>
      <c r="D1132" s="73" t="s">
        <v>873</v>
      </c>
      <c r="E1132" s="73" t="s">
        <v>705</v>
      </c>
      <c r="F1132" s="73" t="s">
        <v>2863</v>
      </c>
      <c r="G1132" s="73" t="s">
        <v>655</v>
      </c>
      <c r="H1132" s="73" t="s">
        <v>3014</v>
      </c>
      <c r="I1132" s="73" t="s">
        <v>875</v>
      </c>
      <c r="J1132" s="73"/>
      <c r="K1132" s="73"/>
      <c r="L1132" s="104" t="n">
        <v>1</v>
      </c>
    </row>
    <row r="1133" customFormat="false" ht="15" hidden="false" customHeight="true" outlineLevel="0" collapsed="false">
      <c r="A1133" s="73" t="s">
        <v>3015</v>
      </c>
      <c r="B1133" s="73" t="s">
        <v>851</v>
      </c>
      <c r="C1133" s="73" t="s">
        <v>653</v>
      </c>
      <c r="D1133" s="73" t="s">
        <v>878</v>
      </c>
      <c r="E1133" s="73" t="s">
        <v>705</v>
      </c>
      <c r="F1133" s="73" t="s">
        <v>2863</v>
      </c>
      <c r="G1133" s="73" t="s">
        <v>655</v>
      </c>
      <c r="H1133" s="73" t="s">
        <v>3016</v>
      </c>
      <c r="I1133" s="73" t="s">
        <v>880</v>
      </c>
      <c r="J1133" s="73"/>
      <c r="K1133" s="73"/>
      <c r="L1133" s="104" t="n">
        <v>0.05</v>
      </c>
    </row>
    <row r="1134" customFormat="false" ht="15" hidden="false" customHeight="true" outlineLevel="0" collapsed="false">
      <c r="A1134" s="73" t="s">
        <v>3017</v>
      </c>
      <c r="B1134" s="73" t="s">
        <v>851</v>
      </c>
      <c r="C1134" s="73" t="s">
        <v>653</v>
      </c>
      <c r="D1134" s="73" t="s">
        <v>883</v>
      </c>
      <c r="E1134" s="73" t="s">
        <v>705</v>
      </c>
      <c r="F1134" s="73" t="s">
        <v>2863</v>
      </c>
      <c r="G1134" s="73" t="s">
        <v>655</v>
      </c>
      <c r="H1134" s="73" t="s">
        <v>3018</v>
      </c>
      <c r="I1134" s="73" t="s">
        <v>880</v>
      </c>
      <c r="J1134" s="73"/>
      <c r="K1134" s="73"/>
      <c r="L1134" s="104" t="n">
        <v>0.01</v>
      </c>
    </row>
    <row r="1135" customFormat="false" ht="15" hidden="false" customHeight="true" outlineLevel="0" collapsed="false">
      <c r="A1135" s="73" t="s">
        <v>3019</v>
      </c>
      <c r="B1135" s="73" t="s">
        <v>851</v>
      </c>
      <c r="C1135" s="73" t="s">
        <v>653</v>
      </c>
      <c r="D1135" s="73" t="s">
        <v>887</v>
      </c>
      <c r="E1135" s="73" t="s">
        <v>705</v>
      </c>
      <c r="F1135" s="73" t="s">
        <v>2863</v>
      </c>
      <c r="G1135" s="73" t="s">
        <v>655</v>
      </c>
      <c r="H1135" s="73" t="s">
        <v>3020</v>
      </c>
      <c r="I1135" s="73" t="s">
        <v>880</v>
      </c>
      <c r="J1135" s="73"/>
      <c r="K1135" s="73"/>
      <c r="L1135" s="104" t="n">
        <v>0.15</v>
      </c>
    </row>
    <row r="1136" customFormat="false" ht="15" hidden="false" customHeight="true" outlineLevel="0" collapsed="false">
      <c r="A1136" s="73" t="s">
        <v>3021</v>
      </c>
      <c r="B1136" s="73" t="s">
        <v>851</v>
      </c>
      <c r="C1136" s="73" t="s">
        <v>653</v>
      </c>
      <c r="D1136" s="73" t="s">
        <v>891</v>
      </c>
      <c r="E1136" s="73" t="s">
        <v>705</v>
      </c>
      <c r="F1136" s="73" t="s">
        <v>2863</v>
      </c>
      <c r="G1136" s="73" t="s">
        <v>96</v>
      </c>
      <c r="H1136" s="73" t="s">
        <v>3022</v>
      </c>
      <c r="I1136" s="73" t="s">
        <v>893</v>
      </c>
      <c r="J1136" s="73" t="s">
        <v>2926</v>
      </c>
      <c r="K1136" s="73" t="s">
        <v>895</v>
      </c>
      <c r="L1136" s="103" t="n">
        <v>0</v>
      </c>
    </row>
    <row r="1137" customFormat="false" ht="15" hidden="false" customHeight="true" outlineLevel="0" collapsed="false">
      <c r="A1137" s="73" t="s">
        <v>3023</v>
      </c>
      <c r="B1137" s="73" t="s">
        <v>851</v>
      </c>
      <c r="C1137" s="73" t="s">
        <v>653</v>
      </c>
      <c r="D1137" s="73" t="s">
        <v>891</v>
      </c>
      <c r="E1137" s="73" t="s">
        <v>705</v>
      </c>
      <c r="F1137" s="73" t="s">
        <v>2863</v>
      </c>
      <c r="G1137" s="73" t="s">
        <v>99</v>
      </c>
      <c r="H1137" s="73" t="s">
        <v>3024</v>
      </c>
      <c r="I1137" s="73" t="s">
        <v>893</v>
      </c>
      <c r="J1137" s="73" t="s">
        <v>2926</v>
      </c>
      <c r="K1137" s="73" t="s">
        <v>895</v>
      </c>
      <c r="L1137" s="103" t="n">
        <v>1.5</v>
      </c>
    </row>
    <row r="1138" customFormat="false" ht="15" hidden="false" customHeight="true" outlineLevel="0" collapsed="false">
      <c r="A1138" s="73" t="s">
        <v>3025</v>
      </c>
      <c r="B1138" s="73" t="s">
        <v>851</v>
      </c>
      <c r="C1138" s="73" t="s">
        <v>653</v>
      </c>
      <c r="D1138" s="73" t="s">
        <v>891</v>
      </c>
      <c r="E1138" s="73" t="s">
        <v>705</v>
      </c>
      <c r="F1138" s="73" t="s">
        <v>2863</v>
      </c>
      <c r="G1138" s="73" t="s">
        <v>101</v>
      </c>
      <c r="H1138" s="73" t="s">
        <v>3026</v>
      </c>
      <c r="I1138" s="73" t="s">
        <v>893</v>
      </c>
      <c r="J1138" s="73" t="s">
        <v>2926</v>
      </c>
      <c r="K1138" s="73" t="s">
        <v>895</v>
      </c>
      <c r="L1138" s="103" t="n">
        <v>0</v>
      </c>
    </row>
    <row r="1139" customFormat="false" ht="15" hidden="false" customHeight="true" outlineLevel="0" collapsed="false">
      <c r="A1139" s="73" t="s">
        <v>3027</v>
      </c>
      <c r="B1139" s="73" t="s">
        <v>851</v>
      </c>
      <c r="C1139" s="73" t="s">
        <v>653</v>
      </c>
      <c r="D1139" s="73" t="s">
        <v>891</v>
      </c>
      <c r="E1139" s="73" t="s">
        <v>705</v>
      </c>
      <c r="F1139" s="73" t="s">
        <v>2863</v>
      </c>
      <c r="G1139" s="73" t="s">
        <v>103</v>
      </c>
      <c r="H1139" s="73" t="s">
        <v>3028</v>
      </c>
      <c r="I1139" s="73" t="s">
        <v>893</v>
      </c>
      <c r="J1139" s="73" t="s">
        <v>2926</v>
      </c>
      <c r="K1139" s="73" t="s">
        <v>895</v>
      </c>
      <c r="L1139" s="103" t="n">
        <v>0</v>
      </c>
    </row>
    <row r="1140" customFormat="false" ht="15" hidden="false" customHeight="true" outlineLevel="0" collapsed="false">
      <c r="A1140" s="73" t="s">
        <v>3029</v>
      </c>
      <c r="B1140" s="73" t="s">
        <v>851</v>
      </c>
      <c r="C1140" s="73" t="s">
        <v>653</v>
      </c>
      <c r="D1140" s="73" t="s">
        <v>891</v>
      </c>
      <c r="E1140" s="73" t="s">
        <v>705</v>
      </c>
      <c r="F1140" s="73" t="s">
        <v>2863</v>
      </c>
      <c r="G1140" s="73" t="s">
        <v>105</v>
      </c>
      <c r="H1140" s="73" t="s">
        <v>3030</v>
      </c>
      <c r="I1140" s="73" t="s">
        <v>893</v>
      </c>
      <c r="J1140" s="73" t="s">
        <v>2926</v>
      </c>
      <c r="K1140" s="73" t="s">
        <v>895</v>
      </c>
      <c r="L1140" s="103" t="n">
        <v>0</v>
      </c>
    </row>
    <row r="1141" customFormat="false" ht="15" hidden="false" customHeight="true" outlineLevel="0" collapsed="false">
      <c r="A1141" s="73" t="s">
        <v>3031</v>
      </c>
      <c r="B1141" s="73" t="s">
        <v>851</v>
      </c>
      <c r="C1141" s="73" t="s">
        <v>653</v>
      </c>
      <c r="D1141" s="73" t="s">
        <v>891</v>
      </c>
      <c r="E1141" s="73" t="s">
        <v>705</v>
      </c>
      <c r="F1141" s="73" t="s">
        <v>2863</v>
      </c>
      <c r="G1141" s="73" t="s">
        <v>107</v>
      </c>
      <c r="H1141" s="73" t="s">
        <v>3032</v>
      </c>
      <c r="I1141" s="73" t="s">
        <v>893</v>
      </c>
      <c r="J1141" s="73" t="s">
        <v>2926</v>
      </c>
      <c r="K1141" s="73" t="s">
        <v>895</v>
      </c>
      <c r="L1141" s="103" t="n">
        <v>0</v>
      </c>
    </row>
    <row r="1142" customFormat="false" ht="15" hidden="false" customHeight="true" outlineLevel="0" collapsed="false">
      <c r="A1142" s="73" t="s">
        <v>3033</v>
      </c>
      <c r="B1142" s="73" t="s">
        <v>851</v>
      </c>
      <c r="C1142" s="73" t="s">
        <v>653</v>
      </c>
      <c r="D1142" s="73" t="s">
        <v>891</v>
      </c>
      <c r="E1142" s="73" t="s">
        <v>705</v>
      </c>
      <c r="F1142" s="73" t="s">
        <v>2863</v>
      </c>
      <c r="G1142" s="73" t="s">
        <v>109</v>
      </c>
      <c r="H1142" s="73" t="s">
        <v>3034</v>
      </c>
      <c r="I1142" s="73" t="s">
        <v>893</v>
      </c>
      <c r="J1142" s="73" t="s">
        <v>2926</v>
      </c>
      <c r="K1142" s="73" t="s">
        <v>895</v>
      </c>
      <c r="L1142" s="103" t="n">
        <v>0</v>
      </c>
    </row>
    <row r="1143" customFormat="false" ht="15" hidden="false" customHeight="true" outlineLevel="0" collapsed="false">
      <c r="A1143" s="73" t="s">
        <v>3035</v>
      </c>
      <c r="B1143" s="73" t="s">
        <v>851</v>
      </c>
      <c r="C1143" s="73" t="s">
        <v>653</v>
      </c>
      <c r="D1143" s="73" t="s">
        <v>891</v>
      </c>
      <c r="E1143" s="73" t="s">
        <v>705</v>
      </c>
      <c r="F1143" s="73" t="s">
        <v>2863</v>
      </c>
      <c r="G1143" s="73" t="s">
        <v>111</v>
      </c>
      <c r="H1143" s="73" t="s">
        <v>3036</v>
      </c>
      <c r="I1143" s="73" t="s">
        <v>893</v>
      </c>
      <c r="J1143" s="73" t="s">
        <v>2926</v>
      </c>
      <c r="K1143" s="73" t="s">
        <v>895</v>
      </c>
      <c r="L1143" s="103" t="n">
        <v>0</v>
      </c>
    </row>
    <row r="1144" customFormat="false" ht="15" hidden="false" customHeight="true" outlineLevel="0" collapsed="false">
      <c r="A1144" s="73" t="s">
        <v>3037</v>
      </c>
      <c r="B1144" s="73" t="s">
        <v>851</v>
      </c>
      <c r="C1144" s="73" t="s">
        <v>653</v>
      </c>
      <c r="D1144" s="73" t="s">
        <v>918</v>
      </c>
      <c r="E1144" s="73" t="s">
        <v>705</v>
      </c>
      <c r="F1144" s="73" t="s">
        <v>2863</v>
      </c>
      <c r="G1144" s="73" t="s">
        <v>96</v>
      </c>
      <c r="H1144" s="73" t="s">
        <v>3038</v>
      </c>
      <c r="I1144" s="73" t="s">
        <v>893</v>
      </c>
      <c r="J1144" s="73"/>
      <c r="K1144" s="73"/>
      <c r="L1144" s="103" t="n">
        <v>5</v>
      </c>
    </row>
    <row r="1145" customFormat="false" ht="15" hidden="false" customHeight="true" outlineLevel="0" collapsed="false">
      <c r="A1145" s="73" t="s">
        <v>3039</v>
      </c>
      <c r="B1145" s="73" t="s">
        <v>851</v>
      </c>
      <c r="C1145" s="73" t="s">
        <v>653</v>
      </c>
      <c r="D1145" s="73" t="s">
        <v>918</v>
      </c>
      <c r="E1145" s="73" t="s">
        <v>705</v>
      </c>
      <c r="F1145" s="73" t="s">
        <v>2863</v>
      </c>
      <c r="G1145" s="73" t="s">
        <v>99</v>
      </c>
      <c r="H1145" s="73" t="s">
        <v>3040</v>
      </c>
      <c r="I1145" s="73" t="s">
        <v>893</v>
      </c>
      <c r="J1145" s="73"/>
      <c r="K1145" s="73"/>
      <c r="L1145" s="103" t="n">
        <v>0</v>
      </c>
    </row>
    <row r="1146" customFormat="false" ht="15" hidden="false" customHeight="true" outlineLevel="0" collapsed="false">
      <c r="A1146" s="73" t="s">
        <v>3041</v>
      </c>
      <c r="B1146" s="73" t="s">
        <v>851</v>
      </c>
      <c r="C1146" s="73" t="s">
        <v>653</v>
      </c>
      <c r="D1146" s="73" t="s">
        <v>918</v>
      </c>
      <c r="E1146" s="73" t="s">
        <v>705</v>
      </c>
      <c r="F1146" s="73" t="s">
        <v>2863</v>
      </c>
      <c r="G1146" s="73" t="s">
        <v>101</v>
      </c>
      <c r="H1146" s="73" t="s">
        <v>3042</v>
      </c>
      <c r="I1146" s="73" t="s">
        <v>893</v>
      </c>
      <c r="J1146" s="73"/>
      <c r="K1146" s="73"/>
      <c r="L1146" s="103" t="n">
        <v>0</v>
      </c>
    </row>
    <row r="1147" customFormat="false" ht="15" hidden="false" customHeight="true" outlineLevel="0" collapsed="false">
      <c r="A1147" s="73" t="s">
        <v>3043</v>
      </c>
      <c r="B1147" s="73" t="s">
        <v>851</v>
      </c>
      <c r="C1147" s="73" t="s">
        <v>653</v>
      </c>
      <c r="D1147" s="73" t="s">
        <v>918</v>
      </c>
      <c r="E1147" s="73" t="s">
        <v>705</v>
      </c>
      <c r="F1147" s="73" t="s">
        <v>2863</v>
      </c>
      <c r="G1147" s="73" t="s">
        <v>103</v>
      </c>
      <c r="H1147" s="73" t="s">
        <v>3044</v>
      </c>
      <c r="I1147" s="73" t="s">
        <v>893</v>
      </c>
      <c r="J1147" s="73"/>
      <c r="K1147" s="73"/>
      <c r="L1147" s="103" t="n">
        <v>0</v>
      </c>
    </row>
    <row r="1148" customFormat="false" ht="15" hidden="false" customHeight="true" outlineLevel="0" collapsed="false">
      <c r="A1148" s="73" t="s">
        <v>3045</v>
      </c>
      <c r="B1148" s="73" t="s">
        <v>851</v>
      </c>
      <c r="C1148" s="73" t="s">
        <v>653</v>
      </c>
      <c r="D1148" s="73" t="s">
        <v>918</v>
      </c>
      <c r="E1148" s="73" t="s">
        <v>705</v>
      </c>
      <c r="F1148" s="73" t="s">
        <v>2863</v>
      </c>
      <c r="G1148" s="73" t="s">
        <v>105</v>
      </c>
      <c r="H1148" s="73" t="s">
        <v>3046</v>
      </c>
      <c r="I1148" s="73" t="s">
        <v>893</v>
      </c>
      <c r="J1148" s="73"/>
      <c r="K1148" s="73"/>
      <c r="L1148" s="103" t="n">
        <v>0</v>
      </c>
    </row>
    <row r="1149" customFormat="false" ht="15" hidden="false" customHeight="true" outlineLevel="0" collapsed="false">
      <c r="A1149" s="73" t="s">
        <v>3047</v>
      </c>
      <c r="B1149" s="73" t="s">
        <v>851</v>
      </c>
      <c r="C1149" s="73" t="s">
        <v>653</v>
      </c>
      <c r="D1149" s="73" t="s">
        <v>918</v>
      </c>
      <c r="E1149" s="73" t="s">
        <v>705</v>
      </c>
      <c r="F1149" s="73" t="s">
        <v>2863</v>
      </c>
      <c r="G1149" s="73" t="s">
        <v>107</v>
      </c>
      <c r="H1149" s="73" t="s">
        <v>3048</v>
      </c>
      <c r="I1149" s="73" t="s">
        <v>893</v>
      </c>
      <c r="J1149" s="73"/>
      <c r="K1149" s="73"/>
      <c r="L1149" s="103" t="n">
        <v>0</v>
      </c>
    </row>
    <row r="1150" customFormat="false" ht="15" hidden="false" customHeight="true" outlineLevel="0" collapsed="false">
      <c r="A1150" s="73" t="s">
        <v>3049</v>
      </c>
      <c r="B1150" s="73" t="s">
        <v>851</v>
      </c>
      <c r="C1150" s="73" t="s">
        <v>653</v>
      </c>
      <c r="D1150" s="73" t="s">
        <v>918</v>
      </c>
      <c r="E1150" s="73" t="s">
        <v>705</v>
      </c>
      <c r="F1150" s="73" t="s">
        <v>2863</v>
      </c>
      <c r="G1150" s="73" t="s">
        <v>109</v>
      </c>
      <c r="H1150" s="73" t="s">
        <v>3050</v>
      </c>
      <c r="I1150" s="73" t="s">
        <v>893</v>
      </c>
      <c r="J1150" s="73"/>
      <c r="K1150" s="73"/>
      <c r="L1150" s="103" t="n">
        <v>0</v>
      </c>
    </row>
    <row r="1151" customFormat="false" ht="15" hidden="false" customHeight="true" outlineLevel="0" collapsed="false">
      <c r="A1151" s="73" t="s">
        <v>3051</v>
      </c>
      <c r="B1151" s="73" t="s">
        <v>851</v>
      </c>
      <c r="C1151" s="73" t="s">
        <v>653</v>
      </c>
      <c r="D1151" s="73" t="s">
        <v>918</v>
      </c>
      <c r="E1151" s="73" t="s">
        <v>705</v>
      </c>
      <c r="F1151" s="73" t="s">
        <v>2863</v>
      </c>
      <c r="G1151" s="73" t="s">
        <v>111</v>
      </c>
      <c r="H1151" s="73" t="s">
        <v>3052</v>
      </c>
      <c r="I1151" s="73" t="s">
        <v>893</v>
      </c>
      <c r="J1151" s="73"/>
      <c r="K1151" s="73"/>
      <c r="L1151" s="103" t="n">
        <v>0</v>
      </c>
    </row>
    <row r="1152" customFormat="false" ht="15" hidden="false" customHeight="true" outlineLevel="0" collapsed="false">
      <c r="A1152" s="73" t="s">
        <v>3053</v>
      </c>
      <c r="B1152" s="73" t="s">
        <v>851</v>
      </c>
      <c r="C1152" s="73" t="s">
        <v>653</v>
      </c>
      <c r="D1152" s="73" t="s">
        <v>943</v>
      </c>
      <c r="E1152" s="73" t="s">
        <v>705</v>
      </c>
      <c r="F1152" s="73" t="s">
        <v>2863</v>
      </c>
      <c r="G1152" s="73" t="s">
        <v>944</v>
      </c>
      <c r="H1152" s="73" t="s">
        <v>3054</v>
      </c>
      <c r="I1152" s="73" t="s">
        <v>893</v>
      </c>
      <c r="J1152" s="73"/>
      <c r="K1152" s="73"/>
      <c r="L1152" s="103" t="n">
        <v>3.5</v>
      </c>
    </row>
    <row r="1153" customFormat="false" ht="15" hidden="false" customHeight="true" outlineLevel="0" collapsed="false">
      <c r="A1153" s="73" t="s">
        <v>3055</v>
      </c>
      <c r="B1153" s="73" t="s">
        <v>851</v>
      </c>
      <c r="C1153" s="73" t="s">
        <v>653</v>
      </c>
      <c r="D1153" s="73" t="s">
        <v>948</v>
      </c>
      <c r="E1153" s="73" t="s">
        <v>705</v>
      </c>
      <c r="F1153" s="73" t="s">
        <v>2863</v>
      </c>
      <c r="G1153" s="73" t="s">
        <v>655</v>
      </c>
      <c r="H1153" s="73" t="s">
        <v>3056</v>
      </c>
      <c r="I1153" s="73" t="s">
        <v>708</v>
      </c>
      <c r="J1153" s="73"/>
      <c r="K1153" s="73"/>
      <c r="L1153" s="103" t="n">
        <v>0</v>
      </c>
    </row>
    <row r="1154" customFormat="false" ht="15" hidden="false" customHeight="true" outlineLevel="0" collapsed="false">
      <c r="A1154" s="73" t="s">
        <v>3057</v>
      </c>
      <c r="B1154" s="73" t="s">
        <v>851</v>
      </c>
      <c r="C1154" s="73" t="s">
        <v>653</v>
      </c>
      <c r="D1154" s="73" t="s">
        <v>953</v>
      </c>
      <c r="E1154" s="73" t="s">
        <v>705</v>
      </c>
      <c r="F1154" s="73" t="s">
        <v>2863</v>
      </c>
      <c r="G1154" s="73" t="s">
        <v>655</v>
      </c>
      <c r="H1154" s="73" t="s">
        <v>3058</v>
      </c>
      <c r="I1154" s="73" t="s">
        <v>955</v>
      </c>
      <c r="J1154" s="73"/>
      <c r="K1154" s="73"/>
      <c r="L1154" s="103" t="n">
        <v>0</v>
      </c>
    </row>
    <row r="1155" customFormat="false" ht="15" hidden="false" customHeight="true" outlineLevel="0" collapsed="false">
      <c r="A1155" s="73" t="s">
        <v>3059</v>
      </c>
      <c r="B1155" s="73" t="s">
        <v>856</v>
      </c>
      <c r="C1155" s="73" t="s">
        <v>653</v>
      </c>
      <c r="D1155" s="73" t="s">
        <v>867</v>
      </c>
      <c r="E1155" s="73" t="s">
        <v>705</v>
      </c>
      <c r="F1155" s="73" t="s">
        <v>2863</v>
      </c>
      <c r="G1155" s="73" t="s">
        <v>655</v>
      </c>
      <c r="H1155" s="73" t="s">
        <v>3060</v>
      </c>
      <c r="I1155" s="73" t="s">
        <v>869</v>
      </c>
      <c r="J1155" s="73" t="s">
        <v>2914</v>
      </c>
      <c r="K1155" s="73" t="s">
        <v>2915</v>
      </c>
      <c r="L1155" s="107" t="n">
        <v>0</v>
      </c>
    </row>
    <row r="1156" customFormat="false" ht="15" hidden="false" customHeight="true" outlineLevel="0" collapsed="false">
      <c r="A1156" s="73" t="s">
        <v>3061</v>
      </c>
      <c r="B1156" s="73" t="s">
        <v>856</v>
      </c>
      <c r="C1156" s="73" t="s">
        <v>653</v>
      </c>
      <c r="D1156" s="73" t="s">
        <v>873</v>
      </c>
      <c r="E1156" s="73" t="s">
        <v>705</v>
      </c>
      <c r="F1156" s="73" t="s">
        <v>2863</v>
      </c>
      <c r="G1156" s="73" t="s">
        <v>655</v>
      </c>
      <c r="H1156" s="73" t="s">
        <v>3062</v>
      </c>
      <c r="I1156" s="73" t="s">
        <v>875</v>
      </c>
      <c r="J1156" s="73"/>
      <c r="K1156" s="73"/>
      <c r="L1156" s="104" t="n">
        <v>1</v>
      </c>
    </row>
    <row r="1157" customFormat="false" ht="15" hidden="false" customHeight="true" outlineLevel="0" collapsed="false">
      <c r="A1157" s="73" t="s">
        <v>3063</v>
      </c>
      <c r="B1157" s="73" t="s">
        <v>856</v>
      </c>
      <c r="C1157" s="73" t="s">
        <v>653</v>
      </c>
      <c r="D1157" s="73" t="s">
        <v>878</v>
      </c>
      <c r="E1157" s="73" t="s">
        <v>705</v>
      </c>
      <c r="F1157" s="73" t="s">
        <v>2863</v>
      </c>
      <c r="G1157" s="73" t="s">
        <v>655</v>
      </c>
      <c r="H1157" s="73" t="s">
        <v>3064</v>
      </c>
      <c r="I1157" s="73" t="s">
        <v>880</v>
      </c>
      <c r="J1157" s="73"/>
      <c r="K1157" s="73"/>
      <c r="L1157" s="104" t="n">
        <v>0.05</v>
      </c>
    </row>
    <row r="1158" customFormat="false" ht="15" hidden="false" customHeight="true" outlineLevel="0" collapsed="false">
      <c r="A1158" s="73" t="s">
        <v>3065</v>
      </c>
      <c r="B1158" s="73" t="s">
        <v>856</v>
      </c>
      <c r="C1158" s="73" t="s">
        <v>653</v>
      </c>
      <c r="D1158" s="73" t="s">
        <v>883</v>
      </c>
      <c r="E1158" s="73" t="s">
        <v>705</v>
      </c>
      <c r="F1158" s="73" t="s">
        <v>2863</v>
      </c>
      <c r="G1158" s="73" t="s">
        <v>655</v>
      </c>
      <c r="H1158" s="73" t="s">
        <v>3066</v>
      </c>
      <c r="I1158" s="73" t="s">
        <v>880</v>
      </c>
      <c r="J1158" s="73"/>
      <c r="K1158" s="73"/>
      <c r="L1158" s="104" t="n">
        <v>0.01</v>
      </c>
    </row>
    <row r="1159" customFormat="false" ht="15" hidden="false" customHeight="true" outlineLevel="0" collapsed="false">
      <c r="A1159" s="73" t="s">
        <v>3067</v>
      </c>
      <c r="B1159" s="73" t="s">
        <v>856</v>
      </c>
      <c r="C1159" s="73" t="s">
        <v>653</v>
      </c>
      <c r="D1159" s="73" t="s">
        <v>887</v>
      </c>
      <c r="E1159" s="73" t="s">
        <v>705</v>
      </c>
      <c r="F1159" s="73" t="s">
        <v>2863</v>
      </c>
      <c r="G1159" s="73" t="s">
        <v>655</v>
      </c>
      <c r="H1159" s="73" t="s">
        <v>3068</v>
      </c>
      <c r="I1159" s="73" t="s">
        <v>880</v>
      </c>
      <c r="J1159" s="73"/>
      <c r="K1159" s="73"/>
      <c r="L1159" s="104" t="n">
        <v>0.1</v>
      </c>
    </row>
    <row r="1160" customFormat="false" ht="15" hidden="false" customHeight="true" outlineLevel="0" collapsed="false">
      <c r="A1160" s="73" t="s">
        <v>3069</v>
      </c>
      <c r="B1160" s="73" t="s">
        <v>856</v>
      </c>
      <c r="C1160" s="73" t="s">
        <v>653</v>
      </c>
      <c r="D1160" s="73" t="s">
        <v>891</v>
      </c>
      <c r="E1160" s="73" t="s">
        <v>705</v>
      </c>
      <c r="F1160" s="73" t="s">
        <v>2863</v>
      </c>
      <c r="G1160" s="73" t="s">
        <v>96</v>
      </c>
      <c r="H1160" s="73" t="s">
        <v>3070</v>
      </c>
      <c r="I1160" s="73" t="s">
        <v>893</v>
      </c>
      <c r="J1160" s="73" t="s">
        <v>2926</v>
      </c>
      <c r="K1160" s="73" t="s">
        <v>895</v>
      </c>
      <c r="L1160" s="103" t="n">
        <v>0</v>
      </c>
    </row>
    <row r="1161" customFormat="false" ht="15" hidden="false" customHeight="true" outlineLevel="0" collapsed="false">
      <c r="A1161" s="73" t="s">
        <v>3071</v>
      </c>
      <c r="B1161" s="73" t="s">
        <v>856</v>
      </c>
      <c r="C1161" s="73" t="s">
        <v>653</v>
      </c>
      <c r="D1161" s="73" t="s">
        <v>891</v>
      </c>
      <c r="E1161" s="73" t="s">
        <v>705</v>
      </c>
      <c r="F1161" s="73" t="s">
        <v>2863</v>
      </c>
      <c r="G1161" s="73" t="s">
        <v>99</v>
      </c>
      <c r="H1161" s="73" t="s">
        <v>3072</v>
      </c>
      <c r="I1161" s="73" t="s">
        <v>893</v>
      </c>
      <c r="J1161" s="73" t="s">
        <v>2926</v>
      </c>
      <c r="K1161" s="73" t="s">
        <v>895</v>
      </c>
      <c r="L1161" s="103" t="n">
        <v>1</v>
      </c>
    </row>
    <row r="1162" customFormat="false" ht="15" hidden="false" customHeight="true" outlineLevel="0" collapsed="false">
      <c r="A1162" s="73" t="s">
        <v>3073</v>
      </c>
      <c r="B1162" s="73" t="s">
        <v>856</v>
      </c>
      <c r="C1162" s="73" t="s">
        <v>653</v>
      </c>
      <c r="D1162" s="73" t="s">
        <v>891</v>
      </c>
      <c r="E1162" s="73" t="s">
        <v>705</v>
      </c>
      <c r="F1162" s="73" t="s">
        <v>2863</v>
      </c>
      <c r="G1162" s="73" t="s">
        <v>101</v>
      </c>
      <c r="H1162" s="73" t="s">
        <v>3074</v>
      </c>
      <c r="I1162" s="73" t="s">
        <v>893</v>
      </c>
      <c r="J1162" s="73" t="s">
        <v>2926</v>
      </c>
      <c r="K1162" s="73" t="s">
        <v>895</v>
      </c>
      <c r="L1162" s="103" t="n">
        <v>0</v>
      </c>
    </row>
    <row r="1163" customFormat="false" ht="15" hidden="false" customHeight="true" outlineLevel="0" collapsed="false">
      <c r="A1163" s="73" t="s">
        <v>3075</v>
      </c>
      <c r="B1163" s="73" t="s">
        <v>856</v>
      </c>
      <c r="C1163" s="73" t="s">
        <v>653</v>
      </c>
      <c r="D1163" s="73" t="s">
        <v>891</v>
      </c>
      <c r="E1163" s="73" t="s">
        <v>705</v>
      </c>
      <c r="F1163" s="73" t="s">
        <v>2863</v>
      </c>
      <c r="G1163" s="73" t="s">
        <v>103</v>
      </c>
      <c r="H1163" s="73" t="s">
        <v>3076</v>
      </c>
      <c r="I1163" s="73" t="s">
        <v>893</v>
      </c>
      <c r="J1163" s="73" t="s">
        <v>2926</v>
      </c>
      <c r="K1163" s="73" t="s">
        <v>895</v>
      </c>
      <c r="L1163" s="103" t="n">
        <v>0</v>
      </c>
    </row>
    <row r="1164" customFormat="false" ht="15" hidden="false" customHeight="true" outlineLevel="0" collapsed="false">
      <c r="A1164" s="73" t="s">
        <v>3077</v>
      </c>
      <c r="B1164" s="73" t="s">
        <v>856</v>
      </c>
      <c r="C1164" s="73" t="s">
        <v>653</v>
      </c>
      <c r="D1164" s="73" t="s">
        <v>891</v>
      </c>
      <c r="E1164" s="73" t="s">
        <v>705</v>
      </c>
      <c r="F1164" s="73" t="s">
        <v>2863</v>
      </c>
      <c r="G1164" s="73" t="s">
        <v>105</v>
      </c>
      <c r="H1164" s="73" t="s">
        <v>3078</v>
      </c>
      <c r="I1164" s="73" t="s">
        <v>893</v>
      </c>
      <c r="J1164" s="73" t="s">
        <v>2926</v>
      </c>
      <c r="K1164" s="73" t="s">
        <v>895</v>
      </c>
      <c r="L1164" s="103" t="n">
        <v>0</v>
      </c>
    </row>
    <row r="1165" customFormat="false" ht="15" hidden="false" customHeight="true" outlineLevel="0" collapsed="false">
      <c r="A1165" s="73" t="s">
        <v>3079</v>
      </c>
      <c r="B1165" s="73" t="s">
        <v>856</v>
      </c>
      <c r="C1165" s="73" t="s">
        <v>653</v>
      </c>
      <c r="D1165" s="73" t="s">
        <v>891</v>
      </c>
      <c r="E1165" s="73" t="s">
        <v>705</v>
      </c>
      <c r="F1165" s="73" t="s">
        <v>2863</v>
      </c>
      <c r="G1165" s="73" t="s">
        <v>107</v>
      </c>
      <c r="H1165" s="73" t="s">
        <v>3080</v>
      </c>
      <c r="I1165" s="73" t="s">
        <v>893</v>
      </c>
      <c r="J1165" s="73" t="s">
        <v>2926</v>
      </c>
      <c r="K1165" s="73" t="s">
        <v>895</v>
      </c>
      <c r="L1165" s="103" t="n">
        <v>0</v>
      </c>
    </row>
    <row r="1166" customFormat="false" ht="15" hidden="false" customHeight="true" outlineLevel="0" collapsed="false">
      <c r="A1166" s="73" t="s">
        <v>3081</v>
      </c>
      <c r="B1166" s="73" t="s">
        <v>856</v>
      </c>
      <c r="C1166" s="73" t="s">
        <v>653</v>
      </c>
      <c r="D1166" s="73" t="s">
        <v>891</v>
      </c>
      <c r="E1166" s="73" t="s">
        <v>705</v>
      </c>
      <c r="F1166" s="73" t="s">
        <v>2863</v>
      </c>
      <c r="G1166" s="73" t="s">
        <v>109</v>
      </c>
      <c r="H1166" s="73" t="s">
        <v>3082</v>
      </c>
      <c r="I1166" s="73" t="s">
        <v>893</v>
      </c>
      <c r="J1166" s="73" t="s">
        <v>2926</v>
      </c>
      <c r="K1166" s="73" t="s">
        <v>895</v>
      </c>
      <c r="L1166" s="103" t="n">
        <v>0</v>
      </c>
    </row>
    <row r="1167" customFormat="false" ht="15" hidden="false" customHeight="true" outlineLevel="0" collapsed="false">
      <c r="A1167" s="73" t="s">
        <v>3083</v>
      </c>
      <c r="B1167" s="73" t="s">
        <v>856</v>
      </c>
      <c r="C1167" s="73" t="s">
        <v>653</v>
      </c>
      <c r="D1167" s="73" t="s">
        <v>891</v>
      </c>
      <c r="E1167" s="73" t="s">
        <v>705</v>
      </c>
      <c r="F1167" s="73" t="s">
        <v>2863</v>
      </c>
      <c r="G1167" s="73" t="s">
        <v>111</v>
      </c>
      <c r="H1167" s="73" t="s">
        <v>3084</v>
      </c>
      <c r="I1167" s="73" t="s">
        <v>893</v>
      </c>
      <c r="J1167" s="73" t="s">
        <v>2926</v>
      </c>
      <c r="K1167" s="73" t="s">
        <v>895</v>
      </c>
      <c r="L1167" s="103" t="n">
        <v>0</v>
      </c>
    </row>
    <row r="1168" customFormat="false" ht="15" hidden="false" customHeight="true" outlineLevel="0" collapsed="false">
      <c r="A1168" s="73" t="s">
        <v>3085</v>
      </c>
      <c r="B1168" s="73" t="s">
        <v>856</v>
      </c>
      <c r="C1168" s="73" t="s">
        <v>653</v>
      </c>
      <c r="D1168" s="73" t="s">
        <v>918</v>
      </c>
      <c r="E1168" s="73" t="s">
        <v>705</v>
      </c>
      <c r="F1168" s="73" t="s">
        <v>2863</v>
      </c>
      <c r="G1168" s="73" t="s">
        <v>96</v>
      </c>
      <c r="H1168" s="73" t="s">
        <v>3086</v>
      </c>
      <c r="I1168" s="73" t="s">
        <v>893</v>
      </c>
      <c r="J1168" s="73"/>
      <c r="K1168" s="73"/>
      <c r="L1168" s="103" t="n">
        <v>3</v>
      </c>
    </row>
    <row r="1169" customFormat="false" ht="15" hidden="false" customHeight="true" outlineLevel="0" collapsed="false">
      <c r="A1169" s="73" t="s">
        <v>3087</v>
      </c>
      <c r="B1169" s="73" t="s">
        <v>856</v>
      </c>
      <c r="C1169" s="73" t="s">
        <v>653</v>
      </c>
      <c r="D1169" s="73" t="s">
        <v>918</v>
      </c>
      <c r="E1169" s="73" t="s">
        <v>705</v>
      </c>
      <c r="F1169" s="73" t="s">
        <v>2863</v>
      </c>
      <c r="G1169" s="73" t="s">
        <v>99</v>
      </c>
      <c r="H1169" s="73" t="s">
        <v>3088</v>
      </c>
      <c r="I1169" s="73" t="s">
        <v>893</v>
      </c>
      <c r="J1169" s="73"/>
      <c r="K1169" s="73"/>
      <c r="L1169" s="103" t="n">
        <v>0</v>
      </c>
    </row>
    <row r="1170" customFormat="false" ht="15" hidden="false" customHeight="true" outlineLevel="0" collapsed="false">
      <c r="A1170" s="73" t="s">
        <v>3089</v>
      </c>
      <c r="B1170" s="73" t="s">
        <v>856</v>
      </c>
      <c r="C1170" s="73" t="s">
        <v>653</v>
      </c>
      <c r="D1170" s="73" t="s">
        <v>918</v>
      </c>
      <c r="E1170" s="73" t="s">
        <v>705</v>
      </c>
      <c r="F1170" s="73" t="s">
        <v>2863</v>
      </c>
      <c r="G1170" s="73" t="s">
        <v>101</v>
      </c>
      <c r="H1170" s="73" t="s">
        <v>3090</v>
      </c>
      <c r="I1170" s="73" t="s">
        <v>893</v>
      </c>
      <c r="J1170" s="73"/>
      <c r="K1170" s="73"/>
      <c r="L1170" s="103" t="n">
        <v>0</v>
      </c>
    </row>
    <row r="1171" customFormat="false" ht="15" hidden="false" customHeight="true" outlineLevel="0" collapsed="false">
      <c r="A1171" s="73" t="s">
        <v>3091</v>
      </c>
      <c r="B1171" s="73" t="s">
        <v>856</v>
      </c>
      <c r="C1171" s="73" t="s">
        <v>653</v>
      </c>
      <c r="D1171" s="73" t="s">
        <v>918</v>
      </c>
      <c r="E1171" s="73" t="s">
        <v>705</v>
      </c>
      <c r="F1171" s="73" t="s">
        <v>2863</v>
      </c>
      <c r="G1171" s="73" t="s">
        <v>103</v>
      </c>
      <c r="H1171" s="73" t="s">
        <v>3092</v>
      </c>
      <c r="I1171" s="73" t="s">
        <v>893</v>
      </c>
      <c r="J1171" s="73"/>
      <c r="K1171" s="73"/>
      <c r="L1171" s="103" t="n">
        <v>0</v>
      </c>
    </row>
    <row r="1172" customFormat="false" ht="15" hidden="false" customHeight="true" outlineLevel="0" collapsed="false">
      <c r="A1172" s="73" t="s">
        <v>3093</v>
      </c>
      <c r="B1172" s="73" t="s">
        <v>856</v>
      </c>
      <c r="C1172" s="73" t="s">
        <v>653</v>
      </c>
      <c r="D1172" s="73" t="s">
        <v>918</v>
      </c>
      <c r="E1172" s="73" t="s">
        <v>705</v>
      </c>
      <c r="F1172" s="73" t="s">
        <v>2863</v>
      </c>
      <c r="G1172" s="73" t="s">
        <v>105</v>
      </c>
      <c r="H1172" s="73" t="s">
        <v>3094</v>
      </c>
      <c r="I1172" s="73" t="s">
        <v>893</v>
      </c>
      <c r="J1172" s="73"/>
      <c r="K1172" s="73"/>
      <c r="L1172" s="103" t="n">
        <v>0</v>
      </c>
    </row>
    <row r="1173" customFormat="false" ht="15" hidden="false" customHeight="true" outlineLevel="0" collapsed="false">
      <c r="A1173" s="73" t="s">
        <v>3095</v>
      </c>
      <c r="B1173" s="73" t="s">
        <v>856</v>
      </c>
      <c r="C1173" s="73" t="s">
        <v>653</v>
      </c>
      <c r="D1173" s="73" t="s">
        <v>918</v>
      </c>
      <c r="E1173" s="73" t="s">
        <v>705</v>
      </c>
      <c r="F1173" s="73" t="s">
        <v>2863</v>
      </c>
      <c r="G1173" s="73" t="s">
        <v>107</v>
      </c>
      <c r="H1173" s="73" t="s">
        <v>3096</v>
      </c>
      <c r="I1173" s="73" t="s">
        <v>893</v>
      </c>
      <c r="J1173" s="73"/>
      <c r="K1173" s="73"/>
      <c r="L1173" s="103" t="n">
        <v>0</v>
      </c>
    </row>
    <row r="1174" customFormat="false" ht="15" hidden="false" customHeight="true" outlineLevel="0" collapsed="false">
      <c r="A1174" s="73" t="s">
        <v>3097</v>
      </c>
      <c r="B1174" s="73" t="s">
        <v>856</v>
      </c>
      <c r="C1174" s="73" t="s">
        <v>653</v>
      </c>
      <c r="D1174" s="73" t="s">
        <v>918</v>
      </c>
      <c r="E1174" s="73" t="s">
        <v>705</v>
      </c>
      <c r="F1174" s="73" t="s">
        <v>2863</v>
      </c>
      <c r="G1174" s="73" t="s">
        <v>109</v>
      </c>
      <c r="H1174" s="73" t="s">
        <v>3098</v>
      </c>
      <c r="I1174" s="73" t="s">
        <v>893</v>
      </c>
      <c r="J1174" s="73"/>
      <c r="K1174" s="73"/>
      <c r="L1174" s="103" t="n">
        <v>0</v>
      </c>
    </row>
    <row r="1175" customFormat="false" ht="15" hidden="false" customHeight="true" outlineLevel="0" collapsed="false">
      <c r="A1175" s="73" t="s">
        <v>3099</v>
      </c>
      <c r="B1175" s="73" t="s">
        <v>856</v>
      </c>
      <c r="C1175" s="73" t="s">
        <v>653</v>
      </c>
      <c r="D1175" s="73" t="s">
        <v>918</v>
      </c>
      <c r="E1175" s="73" t="s">
        <v>705</v>
      </c>
      <c r="F1175" s="73" t="s">
        <v>2863</v>
      </c>
      <c r="G1175" s="73" t="s">
        <v>111</v>
      </c>
      <c r="H1175" s="73" t="s">
        <v>3100</v>
      </c>
      <c r="I1175" s="73" t="s">
        <v>893</v>
      </c>
      <c r="J1175" s="73"/>
      <c r="K1175" s="73"/>
      <c r="L1175" s="103" t="n">
        <v>0</v>
      </c>
    </row>
    <row r="1176" customFormat="false" ht="15" hidden="false" customHeight="true" outlineLevel="0" collapsed="false">
      <c r="A1176" s="73" t="s">
        <v>3101</v>
      </c>
      <c r="B1176" s="73" t="s">
        <v>856</v>
      </c>
      <c r="C1176" s="73" t="s">
        <v>653</v>
      </c>
      <c r="D1176" s="73" t="s">
        <v>943</v>
      </c>
      <c r="E1176" s="73" t="s">
        <v>705</v>
      </c>
      <c r="F1176" s="73" t="s">
        <v>2863</v>
      </c>
      <c r="G1176" s="73" t="s">
        <v>944</v>
      </c>
      <c r="H1176" s="73" t="s">
        <v>3102</v>
      </c>
      <c r="I1176" s="73" t="s">
        <v>893</v>
      </c>
      <c r="J1176" s="73"/>
      <c r="K1176" s="73"/>
      <c r="L1176" s="103" t="n">
        <v>3.5</v>
      </c>
    </row>
    <row r="1177" customFormat="false" ht="15" hidden="false" customHeight="true" outlineLevel="0" collapsed="false">
      <c r="A1177" s="73" t="s">
        <v>3103</v>
      </c>
      <c r="B1177" s="73" t="s">
        <v>856</v>
      </c>
      <c r="C1177" s="73" t="s">
        <v>653</v>
      </c>
      <c r="D1177" s="73" t="s">
        <v>948</v>
      </c>
      <c r="E1177" s="73" t="s">
        <v>705</v>
      </c>
      <c r="F1177" s="73" t="s">
        <v>2863</v>
      </c>
      <c r="G1177" s="73" t="s">
        <v>655</v>
      </c>
      <c r="H1177" s="73" t="s">
        <v>3104</v>
      </c>
      <c r="I1177" s="73" t="s">
        <v>708</v>
      </c>
      <c r="J1177" s="73"/>
      <c r="K1177" s="73"/>
      <c r="L1177" s="103" t="n">
        <v>0</v>
      </c>
    </row>
    <row r="1178" customFormat="false" ht="15" hidden="false" customHeight="true" outlineLevel="0" collapsed="false">
      <c r="A1178" s="73" t="s">
        <v>3105</v>
      </c>
      <c r="B1178" s="73" t="s">
        <v>856</v>
      </c>
      <c r="C1178" s="73" t="s">
        <v>653</v>
      </c>
      <c r="D1178" s="73" t="s">
        <v>953</v>
      </c>
      <c r="E1178" s="73" t="s">
        <v>705</v>
      </c>
      <c r="F1178" s="73" t="s">
        <v>2863</v>
      </c>
      <c r="G1178" s="73" t="s">
        <v>655</v>
      </c>
      <c r="H1178" s="73" t="s">
        <v>3106</v>
      </c>
      <c r="I1178" s="73" t="s">
        <v>955</v>
      </c>
      <c r="J1178" s="73"/>
      <c r="K1178" s="73"/>
      <c r="L1178" s="103" t="n">
        <v>0</v>
      </c>
    </row>
    <row r="1179" customFormat="false" ht="15" hidden="false" customHeight="true" outlineLevel="0" collapsed="false">
      <c r="A1179" s="73" t="s">
        <v>3107</v>
      </c>
      <c r="B1179" s="73" t="s">
        <v>861</v>
      </c>
      <c r="C1179" s="73" t="s">
        <v>653</v>
      </c>
      <c r="D1179" s="73" t="s">
        <v>867</v>
      </c>
      <c r="E1179" s="73" t="s">
        <v>705</v>
      </c>
      <c r="F1179" s="73" t="s">
        <v>2863</v>
      </c>
      <c r="G1179" s="73" t="s">
        <v>655</v>
      </c>
      <c r="H1179" s="73" t="s">
        <v>3108</v>
      </c>
      <c r="I1179" s="73" t="s">
        <v>869</v>
      </c>
      <c r="J1179" s="73" t="s">
        <v>2914</v>
      </c>
      <c r="K1179" s="73" t="s">
        <v>2915</v>
      </c>
      <c r="L1179" s="107" t="n">
        <v>12</v>
      </c>
    </row>
    <row r="1180" customFormat="false" ht="15" hidden="false" customHeight="true" outlineLevel="0" collapsed="false">
      <c r="A1180" s="73" t="s">
        <v>3109</v>
      </c>
      <c r="B1180" s="73" t="s">
        <v>861</v>
      </c>
      <c r="C1180" s="73" t="s">
        <v>653</v>
      </c>
      <c r="D1180" s="73" t="s">
        <v>873</v>
      </c>
      <c r="E1180" s="73" t="s">
        <v>705</v>
      </c>
      <c r="F1180" s="73" t="s">
        <v>2863</v>
      </c>
      <c r="G1180" s="73" t="s">
        <v>655</v>
      </c>
      <c r="H1180" s="73" t="s">
        <v>3110</v>
      </c>
      <c r="I1180" s="73" t="s">
        <v>875</v>
      </c>
      <c r="J1180" s="73"/>
      <c r="K1180" s="73"/>
      <c r="L1180" s="104" t="n">
        <v>1</v>
      </c>
    </row>
    <row r="1181" customFormat="false" ht="15" hidden="false" customHeight="true" outlineLevel="0" collapsed="false">
      <c r="A1181" s="73" t="s">
        <v>3111</v>
      </c>
      <c r="B1181" s="73" t="s">
        <v>861</v>
      </c>
      <c r="C1181" s="73" t="s">
        <v>653</v>
      </c>
      <c r="D1181" s="73" t="s">
        <v>878</v>
      </c>
      <c r="E1181" s="73" t="s">
        <v>705</v>
      </c>
      <c r="F1181" s="73" t="s">
        <v>2863</v>
      </c>
      <c r="G1181" s="73" t="s">
        <v>655</v>
      </c>
      <c r="H1181" s="73" t="s">
        <v>3112</v>
      </c>
      <c r="I1181" s="73" t="s">
        <v>880</v>
      </c>
      <c r="J1181" s="73"/>
      <c r="K1181" s="73"/>
      <c r="L1181" s="104" t="n">
        <v>0.2</v>
      </c>
    </row>
    <row r="1182" customFormat="false" ht="15" hidden="false" customHeight="true" outlineLevel="0" collapsed="false">
      <c r="A1182" s="73" t="s">
        <v>3113</v>
      </c>
      <c r="B1182" s="73" t="s">
        <v>861</v>
      </c>
      <c r="C1182" s="73" t="s">
        <v>653</v>
      </c>
      <c r="D1182" s="73" t="s">
        <v>883</v>
      </c>
      <c r="E1182" s="73" t="s">
        <v>705</v>
      </c>
      <c r="F1182" s="73" t="s">
        <v>2863</v>
      </c>
      <c r="G1182" s="73" t="s">
        <v>655</v>
      </c>
      <c r="H1182" s="73" t="s">
        <v>3114</v>
      </c>
      <c r="I1182" s="73" t="s">
        <v>880</v>
      </c>
      <c r="J1182" s="73"/>
      <c r="K1182" s="73"/>
      <c r="L1182" s="104" t="n">
        <v>0.05</v>
      </c>
    </row>
    <row r="1183" customFormat="false" ht="15" hidden="false" customHeight="true" outlineLevel="0" collapsed="false">
      <c r="A1183" s="73" t="s">
        <v>3115</v>
      </c>
      <c r="B1183" s="73" t="s">
        <v>861</v>
      </c>
      <c r="C1183" s="73" t="s">
        <v>653</v>
      </c>
      <c r="D1183" s="73" t="s">
        <v>887</v>
      </c>
      <c r="E1183" s="73" t="s">
        <v>705</v>
      </c>
      <c r="F1183" s="73" t="s">
        <v>2863</v>
      </c>
      <c r="G1183" s="73" t="s">
        <v>655</v>
      </c>
      <c r="H1183" s="73" t="s">
        <v>3116</v>
      </c>
      <c r="I1183" s="73" t="s">
        <v>880</v>
      </c>
      <c r="J1183" s="73"/>
      <c r="K1183" s="73"/>
      <c r="L1183" s="104" t="n">
        <v>0.02</v>
      </c>
    </row>
    <row r="1184" customFormat="false" ht="15" hidden="false" customHeight="true" outlineLevel="0" collapsed="false">
      <c r="A1184" s="73" t="s">
        <v>3117</v>
      </c>
      <c r="B1184" s="73" t="s">
        <v>861</v>
      </c>
      <c r="C1184" s="73" t="s">
        <v>653</v>
      </c>
      <c r="D1184" s="73" t="s">
        <v>891</v>
      </c>
      <c r="E1184" s="73" t="s">
        <v>705</v>
      </c>
      <c r="F1184" s="73" t="s">
        <v>2863</v>
      </c>
      <c r="G1184" s="73" t="s">
        <v>96</v>
      </c>
      <c r="H1184" s="73" t="s">
        <v>3118</v>
      </c>
      <c r="I1184" s="73" t="s">
        <v>893</v>
      </c>
      <c r="J1184" s="73" t="s">
        <v>2926</v>
      </c>
      <c r="K1184" s="73" t="s">
        <v>895</v>
      </c>
      <c r="L1184" s="103" t="n">
        <v>2</v>
      </c>
    </row>
    <row r="1185" customFormat="false" ht="15" hidden="false" customHeight="true" outlineLevel="0" collapsed="false">
      <c r="A1185" s="73" t="s">
        <v>3119</v>
      </c>
      <c r="B1185" s="73" t="s">
        <v>861</v>
      </c>
      <c r="C1185" s="73" t="s">
        <v>653</v>
      </c>
      <c r="D1185" s="73" t="s">
        <v>891</v>
      </c>
      <c r="E1185" s="73" t="s">
        <v>705</v>
      </c>
      <c r="F1185" s="73" t="s">
        <v>2863</v>
      </c>
      <c r="G1185" s="73" t="s">
        <v>99</v>
      </c>
      <c r="H1185" s="73" t="s">
        <v>3120</v>
      </c>
      <c r="I1185" s="73" t="s">
        <v>893</v>
      </c>
      <c r="J1185" s="73" t="s">
        <v>2926</v>
      </c>
      <c r="K1185" s="73" t="s">
        <v>895</v>
      </c>
      <c r="L1185" s="103" t="n">
        <v>0.3</v>
      </c>
    </row>
    <row r="1186" customFormat="false" ht="15" hidden="false" customHeight="true" outlineLevel="0" collapsed="false">
      <c r="A1186" s="73" t="s">
        <v>3121</v>
      </c>
      <c r="B1186" s="73" t="s">
        <v>861</v>
      </c>
      <c r="C1186" s="73" t="s">
        <v>653</v>
      </c>
      <c r="D1186" s="73" t="s">
        <v>891</v>
      </c>
      <c r="E1186" s="73" t="s">
        <v>705</v>
      </c>
      <c r="F1186" s="73" t="s">
        <v>2863</v>
      </c>
      <c r="G1186" s="73" t="s">
        <v>101</v>
      </c>
      <c r="H1186" s="73" t="s">
        <v>3122</v>
      </c>
      <c r="I1186" s="73" t="s">
        <v>893</v>
      </c>
      <c r="J1186" s="73" t="s">
        <v>2926</v>
      </c>
      <c r="K1186" s="73" t="s">
        <v>895</v>
      </c>
      <c r="L1186" s="103" t="n">
        <v>0</v>
      </c>
    </row>
    <row r="1187" customFormat="false" ht="15" hidden="false" customHeight="true" outlineLevel="0" collapsed="false">
      <c r="A1187" s="73" t="s">
        <v>3123</v>
      </c>
      <c r="B1187" s="73" t="s">
        <v>861</v>
      </c>
      <c r="C1187" s="73" t="s">
        <v>653</v>
      </c>
      <c r="D1187" s="73" t="s">
        <v>891</v>
      </c>
      <c r="E1187" s="73" t="s">
        <v>705</v>
      </c>
      <c r="F1187" s="73" t="s">
        <v>2863</v>
      </c>
      <c r="G1187" s="73" t="s">
        <v>103</v>
      </c>
      <c r="H1187" s="73" t="s">
        <v>3124</v>
      </c>
      <c r="I1187" s="73" t="s">
        <v>893</v>
      </c>
      <c r="J1187" s="73" t="s">
        <v>2926</v>
      </c>
      <c r="K1187" s="73" t="s">
        <v>895</v>
      </c>
      <c r="L1187" s="103" t="n">
        <v>0</v>
      </c>
    </row>
    <row r="1188" customFormat="false" ht="15" hidden="false" customHeight="true" outlineLevel="0" collapsed="false">
      <c r="A1188" s="73" t="s">
        <v>3125</v>
      </c>
      <c r="B1188" s="73" t="s">
        <v>861</v>
      </c>
      <c r="C1188" s="73" t="s">
        <v>653</v>
      </c>
      <c r="D1188" s="73" t="s">
        <v>891</v>
      </c>
      <c r="E1188" s="73" t="s">
        <v>705</v>
      </c>
      <c r="F1188" s="73" t="s">
        <v>2863</v>
      </c>
      <c r="G1188" s="73" t="s">
        <v>105</v>
      </c>
      <c r="H1188" s="73" t="s">
        <v>3126</v>
      </c>
      <c r="I1188" s="73" t="s">
        <v>893</v>
      </c>
      <c r="J1188" s="73" t="s">
        <v>2926</v>
      </c>
      <c r="K1188" s="73" t="s">
        <v>895</v>
      </c>
      <c r="L1188" s="103" t="n">
        <v>0</v>
      </c>
    </row>
    <row r="1189" customFormat="false" ht="15" hidden="false" customHeight="true" outlineLevel="0" collapsed="false">
      <c r="A1189" s="73" t="s">
        <v>3127</v>
      </c>
      <c r="B1189" s="73" t="s">
        <v>861</v>
      </c>
      <c r="C1189" s="73" t="s">
        <v>653</v>
      </c>
      <c r="D1189" s="73" t="s">
        <v>891</v>
      </c>
      <c r="E1189" s="73" t="s">
        <v>705</v>
      </c>
      <c r="F1189" s="73" t="s">
        <v>2863</v>
      </c>
      <c r="G1189" s="73" t="s">
        <v>107</v>
      </c>
      <c r="H1189" s="73" t="s">
        <v>3128</v>
      </c>
      <c r="I1189" s="73" t="s">
        <v>893</v>
      </c>
      <c r="J1189" s="73" t="s">
        <v>2926</v>
      </c>
      <c r="K1189" s="73" t="s">
        <v>895</v>
      </c>
      <c r="L1189" s="103" t="n">
        <v>0</v>
      </c>
    </row>
    <row r="1190" customFormat="false" ht="15" hidden="false" customHeight="true" outlineLevel="0" collapsed="false">
      <c r="A1190" s="73" t="s">
        <v>3129</v>
      </c>
      <c r="B1190" s="73" t="s">
        <v>861</v>
      </c>
      <c r="C1190" s="73" t="s">
        <v>653</v>
      </c>
      <c r="D1190" s="73" t="s">
        <v>891</v>
      </c>
      <c r="E1190" s="73" t="s">
        <v>705</v>
      </c>
      <c r="F1190" s="73" t="s">
        <v>2863</v>
      </c>
      <c r="G1190" s="73" t="s">
        <v>109</v>
      </c>
      <c r="H1190" s="73" t="s">
        <v>3130</v>
      </c>
      <c r="I1190" s="73" t="s">
        <v>893</v>
      </c>
      <c r="J1190" s="73" t="s">
        <v>2926</v>
      </c>
      <c r="K1190" s="73" t="s">
        <v>895</v>
      </c>
      <c r="L1190" s="103" t="n">
        <v>0</v>
      </c>
    </row>
    <row r="1191" customFormat="false" ht="15" hidden="false" customHeight="true" outlineLevel="0" collapsed="false">
      <c r="A1191" s="73" t="s">
        <v>3131</v>
      </c>
      <c r="B1191" s="73" t="s">
        <v>861</v>
      </c>
      <c r="C1191" s="73" t="s">
        <v>653</v>
      </c>
      <c r="D1191" s="73" t="s">
        <v>891</v>
      </c>
      <c r="E1191" s="73" t="s">
        <v>705</v>
      </c>
      <c r="F1191" s="73" t="s">
        <v>2863</v>
      </c>
      <c r="G1191" s="73" t="s">
        <v>111</v>
      </c>
      <c r="H1191" s="73" t="s">
        <v>3132</v>
      </c>
      <c r="I1191" s="73" t="s">
        <v>893</v>
      </c>
      <c r="J1191" s="73" t="s">
        <v>2926</v>
      </c>
      <c r="K1191" s="73" t="s">
        <v>895</v>
      </c>
      <c r="L1191" s="103" t="n">
        <v>0</v>
      </c>
    </row>
    <row r="1192" customFormat="false" ht="15" hidden="false" customHeight="true" outlineLevel="0" collapsed="false">
      <c r="A1192" s="73" t="s">
        <v>3133</v>
      </c>
      <c r="B1192" s="73" t="s">
        <v>861</v>
      </c>
      <c r="C1192" s="73" t="s">
        <v>653</v>
      </c>
      <c r="D1192" s="73" t="s">
        <v>918</v>
      </c>
      <c r="E1192" s="73" t="s">
        <v>705</v>
      </c>
      <c r="F1192" s="73" t="s">
        <v>2863</v>
      </c>
      <c r="G1192" s="73" t="s">
        <v>96</v>
      </c>
      <c r="H1192" s="73" t="s">
        <v>3134</v>
      </c>
      <c r="I1192" s="73" t="s">
        <v>893</v>
      </c>
      <c r="J1192" s="73"/>
      <c r="K1192" s="73"/>
      <c r="L1192" s="103" t="n">
        <v>10</v>
      </c>
    </row>
    <row r="1193" customFormat="false" ht="15" hidden="false" customHeight="true" outlineLevel="0" collapsed="false">
      <c r="A1193" s="73" t="s">
        <v>3135</v>
      </c>
      <c r="B1193" s="73" t="s">
        <v>861</v>
      </c>
      <c r="C1193" s="73" t="s">
        <v>653</v>
      </c>
      <c r="D1193" s="73" t="s">
        <v>918</v>
      </c>
      <c r="E1193" s="73" t="s">
        <v>705</v>
      </c>
      <c r="F1193" s="73" t="s">
        <v>2863</v>
      </c>
      <c r="G1193" s="73" t="s">
        <v>99</v>
      </c>
      <c r="H1193" s="73" t="s">
        <v>3136</v>
      </c>
      <c r="I1193" s="73" t="s">
        <v>893</v>
      </c>
      <c r="J1193" s="73"/>
      <c r="K1193" s="73"/>
      <c r="L1193" s="103" t="n">
        <v>0</v>
      </c>
    </row>
    <row r="1194" customFormat="false" ht="15" hidden="false" customHeight="true" outlineLevel="0" collapsed="false">
      <c r="A1194" s="73" t="s">
        <v>3137</v>
      </c>
      <c r="B1194" s="73" t="s">
        <v>861</v>
      </c>
      <c r="C1194" s="73" t="s">
        <v>653</v>
      </c>
      <c r="D1194" s="73" t="s">
        <v>918</v>
      </c>
      <c r="E1194" s="73" t="s">
        <v>705</v>
      </c>
      <c r="F1194" s="73" t="s">
        <v>2863</v>
      </c>
      <c r="G1194" s="73" t="s">
        <v>101</v>
      </c>
      <c r="H1194" s="73" t="s">
        <v>3138</v>
      </c>
      <c r="I1194" s="73" t="s">
        <v>893</v>
      </c>
      <c r="J1194" s="73"/>
      <c r="K1194" s="73"/>
      <c r="L1194" s="103" t="n">
        <v>0</v>
      </c>
    </row>
    <row r="1195" customFormat="false" ht="15" hidden="false" customHeight="true" outlineLevel="0" collapsed="false">
      <c r="A1195" s="73" t="s">
        <v>3139</v>
      </c>
      <c r="B1195" s="73" t="s">
        <v>861</v>
      </c>
      <c r="C1195" s="73" t="s">
        <v>653</v>
      </c>
      <c r="D1195" s="73" t="s">
        <v>918</v>
      </c>
      <c r="E1195" s="73" t="s">
        <v>705</v>
      </c>
      <c r="F1195" s="73" t="s">
        <v>2863</v>
      </c>
      <c r="G1195" s="73" t="s">
        <v>103</v>
      </c>
      <c r="H1195" s="73" t="s">
        <v>3140</v>
      </c>
      <c r="I1195" s="73" t="s">
        <v>893</v>
      </c>
      <c r="J1195" s="73"/>
      <c r="K1195" s="73"/>
      <c r="L1195" s="103" t="n">
        <v>0</v>
      </c>
    </row>
    <row r="1196" customFormat="false" ht="15" hidden="false" customHeight="true" outlineLevel="0" collapsed="false">
      <c r="A1196" s="73" t="s">
        <v>3141</v>
      </c>
      <c r="B1196" s="73" t="s">
        <v>861</v>
      </c>
      <c r="C1196" s="73" t="s">
        <v>653</v>
      </c>
      <c r="D1196" s="73" t="s">
        <v>918</v>
      </c>
      <c r="E1196" s="73" t="s">
        <v>705</v>
      </c>
      <c r="F1196" s="73" t="s">
        <v>2863</v>
      </c>
      <c r="G1196" s="73" t="s">
        <v>105</v>
      </c>
      <c r="H1196" s="73" t="s">
        <v>3142</v>
      </c>
      <c r="I1196" s="73" t="s">
        <v>893</v>
      </c>
      <c r="J1196" s="73"/>
      <c r="K1196" s="73"/>
      <c r="L1196" s="103" t="n">
        <v>0</v>
      </c>
    </row>
    <row r="1197" customFormat="false" ht="15" hidden="false" customHeight="true" outlineLevel="0" collapsed="false">
      <c r="A1197" s="73" t="s">
        <v>3143</v>
      </c>
      <c r="B1197" s="73" t="s">
        <v>861</v>
      </c>
      <c r="C1197" s="73" t="s">
        <v>653</v>
      </c>
      <c r="D1197" s="73" t="s">
        <v>918</v>
      </c>
      <c r="E1197" s="73" t="s">
        <v>705</v>
      </c>
      <c r="F1197" s="73" t="s">
        <v>2863</v>
      </c>
      <c r="G1197" s="73" t="s">
        <v>107</v>
      </c>
      <c r="H1197" s="73" t="s">
        <v>3144</v>
      </c>
      <c r="I1197" s="73" t="s">
        <v>893</v>
      </c>
      <c r="J1197" s="73"/>
      <c r="K1197" s="73"/>
      <c r="L1197" s="103" t="n">
        <v>0</v>
      </c>
    </row>
    <row r="1198" customFormat="false" ht="15" hidden="false" customHeight="true" outlineLevel="0" collapsed="false">
      <c r="A1198" s="73" t="s">
        <v>3145</v>
      </c>
      <c r="B1198" s="73" t="s">
        <v>861</v>
      </c>
      <c r="C1198" s="73" t="s">
        <v>653</v>
      </c>
      <c r="D1198" s="73" t="s">
        <v>918</v>
      </c>
      <c r="E1198" s="73" t="s">
        <v>705</v>
      </c>
      <c r="F1198" s="73" t="s">
        <v>2863</v>
      </c>
      <c r="G1198" s="73" t="s">
        <v>109</v>
      </c>
      <c r="H1198" s="73" t="s">
        <v>3146</v>
      </c>
      <c r="I1198" s="73" t="s">
        <v>893</v>
      </c>
      <c r="J1198" s="73"/>
      <c r="K1198" s="73"/>
      <c r="L1198" s="103" t="n">
        <v>0</v>
      </c>
    </row>
    <row r="1199" customFormat="false" ht="15" hidden="false" customHeight="true" outlineLevel="0" collapsed="false">
      <c r="A1199" s="73" t="s">
        <v>3147</v>
      </c>
      <c r="B1199" s="73" t="s">
        <v>861</v>
      </c>
      <c r="C1199" s="73" t="s">
        <v>653</v>
      </c>
      <c r="D1199" s="73" t="s">
        <v>918</v>
      </c>
      <c r="E1199" s="73" t="s">
        <v>705</v>
      </c>
      <c r="F1199" s="73" t="s">
        <v>2863</v>
      </c>
      <c r="G1199" s="73" t="s">
        <v>111</v>
      </c>
      <c r="H1199" s="73" t="s">
        <v>3148</v>
      </c>
      <c r="I1199" s="73" t="s">
        <v>893</v>
      </c>
      <c r="J1199" s="73"/>
      <c r="K1199" s="73"/>
      <c r="L1199" s="103" t="n">
        <v>0</v>
      </c>
    </row>
    <row r="1200" customFormat="false" ht="15" hidden="false" customHeight="true" outlineLevel="0" collapsed="false">
      <c r="A1200" s="73" t="s">
        <v>3149</v>
      </c>
      <c r="B1200" s="73" t="s">
        <v>861</v>
      </c>
      <c r="C1200" s="73" t="s">
        <v>653</v>
      </c>
      <c r="D1200" s="73" t="s">
        <v>943</v>
      </c>
      <c r="E1200" s="73" t="s">
        <v>705</v>
      </c>
      <c r="F1200" s="73" t="s">
        <v>2863</v>
      </c>
      <c r="G1200" s="73" t="s">
        <v>944</v>
      </c>
      <c r="H1200" s="73" t="s">
        <v>3150</v>
      </c>
      <c r="I1200" s="73" t="s">
        <v>893</v>
      </c>
      <c r="J1200" s="73"/>
      <c r="K1200" s="73"/>
      <c r="L1200" s="103" t="n">
        <v>4</v>
      </c>
    </row>
    <row r="1201" customFormat="false" ht="15" hidden="false" customHeight="true" outlineLevel="0" collapsed="false">
      <c r="A1201" s="73" t="s">
        <v>3151</v>
      </c>
      <c r="B1201" s="73" t="s">
        <v>861</v>
      </c>
      <c r="C1201" s="73" t="s">
        <v>653</v>
      </c>
      <c r="D1201" s="73" t="s">
        <v>948</v>
      </c>
      <c r="E1201" s="73" t="s">
        <v>705</v>
      </c>
      <c r="F1201" s="73" t="s">
        <v>2863</v>
      </c>
      <c r="G1201" s="73" t="s">
        <v>655</v>
      </c>
      <c r="H1201" s="73" t="s">
        <v>3152</v>
      </c>
      <c r="I1201" s="73" t="s">
        <v>708</v>
      </c>
      <c r="J1201" s="73"/>
      <c r="K1201" s="73"/>
      <c r="L1201" s="103" t="n">
        <v>0</v>
      </c>
    </row>
    <row r="1202" customFormat="false" ht="15" hidden="false" customHeight="true" outlineLevel="0" collapsed="false">
      <c r="A1202" s="73" t="s">
        <v>3153</v>
      </c>
      <c r="B1202" s="73" t="s">
        <v>861</v>
      </c>
      <c r="C1202" s="73" t="s">
        <v>653</v>
      </c>
      <c r="D1202" s="73" t="s">
        <v>953</v>
      </c>
      <c r="E1202" s="73" t="s">
        <v>705</v>
      </c>
      <c r="F1202" s="73" t="s">
        <v>2863</v>
      </c>
      <c r="G1202" s="73" t="s">
        <v>655</v>
      </c>
      <c r="H1202" s="73" t="s">
        <v>3154</v>
      </c>
      <c r="I1202" s="73" t="s">
        <v>955</v>
      </c>
      <c r="J1202" s="73"/>
      <c r="K1202" s="73"/>
      <c r="L1202" s="103" t="n">
        <v>0</v>
      </c>
    </row>
    <row r="1203" customFormat="false" ht="15" hidden="false" customHeight="true" outlineLevel="0" collapsed="false">
      <c r="A1203" s="73" t="s">
        <v>3155</v>
      </c>
      <c r="B1203" s="73" t="s">
        <v>4</v>
      </c>
      <c r="C1203" s="73" t="s">
        <v>653</v>
      </c>
      <c r="D1203" s="73" t="s">
        <v>867</v>
      </c>
      <c r="E1203" s="73" t="s">
        <v>767</v>
      </c>
      <c r="F1203" s="73" t="s">
        <v>2883</v>
      </c>
      <c r="G1203" s="73" t="s">
        <v>655</v>
      </c>
      <c r="H1203" s="73" t="s">
        <v>3156</v>
      </c>
      <c r="I1203" s="73" t="s">
        <v>3157</v>
      </c>
      <c r="J1203" s="73" t="s">
        <v>3158</v>
      </c>
      <c r="K1203" s="73" t="s">
        <v>2915</v>
      </c>
      <c r="L1203" s="107" t="n">
        <v>0.08</v>
      </c>
    </row>
    <row r="1204" customFormat="false" ht="15" hidden="false" customHeight="true" outlineLevel="0" collapsed="false">
      <c r="A1204" s="73" t="s">
        <v>3159</v>
      </c>
      <c r="B1204" s="73" t="s">
        <v>4</v>
      </c>
      <c r="C1204" s="73" t="s">
        <v>653</v>
      </c>
      <c r="D1204" s="73" t="s">
        <v>873</v>
      </c>
      <c r="E1204" s="73" t="s">
        <v>767</v>
      </c>
      <c r="F1204" s="73" t="s">
        <v>2883</v>
      </c>
      <c r="G1204" s="73" t="s">
        <v>655</v>
      </c>
      <c r="H1204" s="73" t="s">
        <v>3160</v>
      </c>
      <c r="I1204" s="73" t="s">
        <v>875</v>
      </c>
      <c r="J1204" s="73"/>
      <c r="K1204" s="73"/>
      <c r="L1204" s="104" t="n">
        <v>0.5</v>
      </c>
    </row>
    <row r="1205" customFormat="false" ht="15" hidden="false" customHeight="true" outlineLevel="0" collapsed="false">
      <c r="A1205" s="73" t="s">
        <v>3161</v>
      </c>
      <c r="B1205" s="73" t="s">
        <v>4</v>
      </c>
      <c r="C1205" s="73" t="s">
        <v>653</v>
      </c>
      <c r="D1205" s="73" t="s">
        <v>878</v>
      </c>
      <c r="E1205" s="73" t="s">
        <v>767</v>
      </c>
      <c r="F1205" s="73" t="s">
        <v>2883</v>
      </c>
      <c r="G1205" s="73" t="s">
        <v>655</v>
      </c>
      <c r="H1205" s="73" t="s">
        <v>3162</v>
      </c>
      <c r="I1205" s="73" t="s">
        <v>880</v>
      </c>
      <c r="J1205" s="73"/>
      <c r="K1205" s="73"/>
      <c r="L1205" s="104" t="n">
        <v>0.35</v>
      </c>
    </row>
    <row r="1206" customFormat="false" ht="15" hidden="false" customHeight="true" outlineLevel="0" collapsed="false">
      <c r="A1206" s="73" t="s">
        <v>3163</v>
      </c>
      <c r="B1206" s="73" t="s">
        <v>4</v>
      </c>
      <c r="C1206" s="73" t="s">
        <v>653</v>
      </c>
      <c r="D1206" s="73" t="s">
        <v>883</v>
      </c>
      <c r="E1206" s="73" t="s">
        <v>767</v>
      </c>
      <c r="F1206" s="73" t="s">
        <v>2883</v>
      </c>
      <c r="G1206" s="73" t="s">
        <v>655</v>
      </c>
      <c r="H1206" s="73" t="s">
        <v>3164</v>
      </c>
      <c r="I1206" s="73" t="s">
        <v>880</v>
      </c>
      <c r="J1206" s="73"/>
      <c r="K1206" s="73"/>
      <c r="L1206" s="104" t="n">
        <v>0.18</v>
      </c>
    </row>
    <row r="1207" customFormat="false" ht="15" hidden="false" customHeight="true" outlineLevel="0" collapsed="false">
      <c r="A1207" s="73" t="s">
        <v>3165</v>
      </c>
      <c r="B1207" s="73" t="s">
        <v>4</v>
      </c>
      <c r="C1207" s="73" t="s">
        <v>653</v>
      </c>
      <c r="D1207" s="73" t="s">
        <v>887</v>
      </c>
      <c r="E1207" s="73" t="s">
        <v>767</v>
      </c>
      <c r="F1207" s="73" t="s">
        <v>2883</v>
      </c>
      <c r="G1207" s="73" t="s">
        <v>655</v>
      </c>
      <c r="H1207" s="73" t="s">
        <v>3166</v>
      </c>
      <c r="I1207" s="73" t="s">
        <v>880</v>
      </c>
      <c r="J1207" s="73"/>
      <c r="K1207" s="73"/>
      <c r="L1207" s="104" t="n">
        <v>0.05</v>
      </c>
    </row>
    <row r="1208" customFormat="false" ht="15" hidden="false" customHeight="true" outlineLevel="0" collapsed="false">
      <c r="A1208" s="73" t="s">
        <v>3167</v>
      </c>
      <c r="B1208" s="73" t="s">
        <v>4</v>
      </c>
      <c r="C1208" s="73" t="s">
        <v>653</v>
      </c>
      <c r="D1208" s="73" t="s">
        <v>891</v>
      </c>
      <c r="E1208" s="73" t="s">
        <v>767</v>
      </c>
      <c r="F1208" s="73" t="s">
        <v>2883</v>
      </c>
      <c r="G1208" s="73" t="s">
        <v>96</v>
      </c>
      <c r="H1208" s="73" t="s">
        <v>3168</v>
      </c>
      <c r="I1208" s="73" t="s">
        <v>3169</v>
      </c>
      <c r="J1208" s="73" t="s">
        <v>2926</v>
      </c>
      <c r="K1208" s="73" t="s">
        <v>895</v>
      </c>
      <c r="L1208" s="103" t="n">
        <v>0</v>
      </c>
    </row>
    <row r="1209" customFormat="false" ht="15" hidden="false" customHeight="true" outlineLevel="0" collapsed="false">
      <c r="A1209" s="73" t="s">
        <v>3170</v>
      </c>
      <c r="B1209" s="73" t="s">
        <v>4</v>
      </c>
      <c r="C1209" s="73" t="s">
        <v>653</v>
      </c>
      <c r="D1209" s="73" t="s">
        <v>891</v>
      </c>
      <c r="E1209" s="73" t="s">
        <v>767</v>
      </c>
      <c r="F1209" s="73" t="s">
        <v>2883</v>
      </c>
      <c r="G1209" s="73" t="s">
        <v>99</v>
      </c>
      <c r="H1209" s="73" t="s">
        <v>3171</v>
      </c>
      <c r="I1209" s="73" t="s">
        <v>3169</v>
      </c>
      <c r="J1209" s="73" t="s">
        <v>2926</v>
      </c>
      <c r="K1209" s="73" t="s">
        <v>895</v>
      </c>
      <c r="L1209" s="103" t="n">
        <v>5</v>
      </c>
    </row>
    <row r="1210" customFormat="false" ht="15" hidden="false" customHeight="true" outlineLevel="0" collapsed="false">
      <c r="A1210" s="73" t="s">
        <v>3172</v>
      </c>
      <c r="B1210" s="73" t="s">
        <v>4</v>
      </c>
      <c r="C1210" s="73" t="s">
        <v>653</v>
      </c>
      <c r="D1210" s="73" t="s">
        <v>891</v>
      </c>
      <c r="E1210" s="73" t="s">
        <v>767</v>
      </c>
      <c r="F1210" s="73" t="s">
        <v>2883</v>
      </c>
      <c r="G1210" s="73" t="s">
        <v>101</v>
      </c>
      <c r="H1210" s="73" t="s">
        <v>3173</v>
      </c>
      <c r="I1210" s="73" t="s">
        <v>3169</v>
      </c>
      <c r="J1210" s="73" t="s">
        <v>2926</v>
      </c>
      <c r="K1210" s="73" t="s">
        <v>895</v>
      </c>
      <c r="L1210" s="103" t="n">
        <v>0</v>
      </c>
    </row>
    <row r="1211" customFormat="false" ht="15" hidden="false" customHeight="true" outlineLevel="0" collapsed="false">
      <c r="A1211" s="73" t="s">
        <v>3174</v>
      </c>
      <c r="B1211" s="73" t="s">
        <v>4</v>
      </c>
      <c r="C1211" s="73" t="s">
        <v>653</v>
      </c>
      <c r="D1211" s="73" t="s">
        <v>891</v>
      </c>
      <c r="E1211" s="73" t="s">
        <v>767</v>
      </c>
      <c r="F1211" s="73" t="s">
        <v>2883</v>
      </c>
      <c r="G1211" s="73" t="s">
        <v>103</v>
      </c>
      <c r="H1211" s="73" t="s">
        <v>3175</v>
      </c>
      <c r="I1211" s="73" t="s">
        <v>3169</v>
      </c>
      <c r="J1211" s="73" t="s">
        <v>2926</v>
      </c>
      <c r="K1211" s="73" t="s">
        <v>895</v>
      </c>
      <c r="L1211" s="103" t="n">
        <v>0</v>
      </c>
    </row>
    <row r="1212" customFormat="false" ht="15" hidden="false" customHeight="true" outlineLevel="0" collapsed="false">
      <c r="A1212" s="73" t="s">
        <v>3176</v>
      </c>
      <c r="B1212" s="73" t="s">
        <v>4</v>
      </c>
      <c r="C1212" s="73" t="s">
        <v>653</v>
      </c>
      <c r="D1212" s="73" t="s">
        <v>891</v>
      </c>
      <c r="E1212" s="73" t="s">
        <v>767</v>
      </c>
      <c r="F1212" s="73" t="s">
        <v>2883</v>
      </c>
      <c r="G1212" s="73" t="s">
        <v>105</v>
      </c>
      <c r="H1212" s="73" t="s">
        <v>3177</v>
      </c>
      <c r="I1212" s="73" t="s">
        <v>3169</v>
      </c>
      <c r="J1212" s="73" t="s">
        <v>2926</v>
      </c>
      <c r="K1212" s="73" t="s">
        <v>895</v>
      </c>
      <c r="L1212" s="103" t="n">
        <v>0</v>
      </c>
    </row>
    <row r="1213" customFormat="false" ht="15" hidden="false" customHeight="true" outlineLevel="0" collapsed="false">
      <c r="A1213" s="73" t="s">
        <v>3178</v>
      </c>
      <c r="B1213" s="73" t="s">
        <v>4</v>
      </c>
      <c r="C1213" s="73" t="s">
        <v>653</v>
      </c>
      <c r="D1213" s="73" t="s">
        <v>891</v>
      </c>
      <c r="E1213" s="73" t="s">
        <v>767</v>
      </c>
      <c r="F1213" s="73" t="s">
        <v>2883</v>
      </c>
      <c r="G1213" s="73" t="s">
        <v>107</v>
      </c>
      <c r="H1213" s="73" t="s">
        <v>3179</v>
      </c>
      <c r="I1213" s="73" t="s">
        <v>3169</v>
      </c>
      <c r="J1213" s="73" t="s">
        <v>2926</v>
      </c>
      <c r="K1213" s="73" t="s">
        <v>895</v>
      </c>
      <c r="L1213" s="103" t="n">
        <v>0</v>
      </c>
    </row>
    <row r="1214" customFormat="false" ht="15" hidden="false" customHeight="true" outlineLevel="0" collapsed="false">
      <c r="A1214" s="73" t="s">
        <v>3180</v>
      </c>
      <c r="B1214" s="73" t="s">
        <v>4</v>
      </c>
      <c r="C1214" s="73" t="s">
        <v>653</v>
      </c>
      <c r="D1214" s="73" t="s">
        <v>891</v>
      </c>
      <c r="E1214" s="73" t="s">
        <v>767</v>
      </c>
      <c r="F1214" s="73" t="s">
        <v>2883</v>
      </c>
      <c r="G1214" s="73" t="s">
        <v>109</v>
      </c>
      <c r="H1214" s="73" t="s">
        <v>3181</v>
      </c>
      <c r="I1214" s="73" t="s">
        <v>3169</v>
      </c>
      <c r="J1214" s="73" t="s">
        <v>2926</v>
      </c>
      <c r="K1214" s="73" t="s">
        <v>895</v>
      </c>
      <c r="L1214" s="103" t="n">
        <v>0</v>
      </c>
    </row>
    <row r="1215" customFormat="false" ht="15" hidden="false" customHeight="true" outlineLevel="0" collapsed="false">
      <c r="A1215" s="73" t="s">
        <v>3182</v>
      </c>
      <c r="B1215" s="73" t="s">
        <v>4</v>
      </c>
      <c r="C1215" s="73" t="s">
        <v>653</v>
      </c>
      <c r="D1215" s="73" t="s">
        <v>891</v>
      </c>
      <c r="E1215" s="73" t="s">
        <v>767</v>
      </c>
      <c r="F1215" s="73" t="s">
        <v>2883</v>
      </c>
      <c r="G1215" s="73" t="s">
        <v>111</v>
      </c>
      <c r="H1215" s="73" t="s">
        <v>3183</v>
      </c>
      <c r="I1215" s="73" t="s">
        <v>3169</v>
      </c>
      <c r="J1215" s="73" t="s">
        <v>2926</v>
      </c>
      <c r="K1215" s="73" t="s">
        <v>895</v>
      </c>
      <c r="L1215" s="103" t="n">
        <v>0</v>
      </c>
    </row>
    <row r="1216" customFormat="false" ht="15" hidden="false" customHeight="true" outlineLevel="0" collapsed="false">
      <c r="A1216" s="73" t="s">
        <v>3184</v>
      </c>
      <c r="B1216" s="73" t="s">
        <v>4</v>
      </c>
      <c r="C1216" s="73" t="s">
        <v>653</v>
      </c>
      <c r="D1216" s="73" t="s">
        <v>918</v>
      </c>
      <c r="E1216" s="73" t="s">
        <v>767</v>
      </c>
      <c r="F1216" s="73" t="s">
        <v>2883</v>
      </c>
      <c r="G1216" s="73" t="s">
        <v>96</v>
      </c>
      <c r="H1216" s="73" t="s">
        <v>3185</v>
      </c>
      <c r="I1216" s="73" t="s">
        <v>3169</v>
      </c>
      <c r="J1216" s="73"/>
      <c r="K1216" s="73"/>
      <c r="L1216" s="103" t="n">
        <v>0</v>
      </c>
    </row>
    <row r="1217" customFormat="false" ht="15" hidden="false" customHeight="true" outlineLevel="0" collapsed="false">
      <c r="A1217" s="73" t="s">
        <v>3186</v>
      </c>
      <c r="B1217" s="73" t="s">
        <v>4</v>
      </c>
      <c r="C1217" s="73" t="s">
        <v>653</v>
      </c>
      <c r="D1217" s="73" t="s">
        <v>918</v>
      </c>
      <c r="E1217" s="73" t="s">
        <v>767</v>
      </c>
      <c r="F1217" s="73" t="s">
        <v>2883</v>
      </c>
      <c r="G1217" s="73" t="s">
        <v>99</v>
      </c>
      <c r="H1217" s="73" t="s">
        <v>3187</v>
      </c>
      <c r="I1217" s="73" t="s">
        <v>3169</v>
      </c>
      <c r="J1217" s="73"/>
      <c r="K1217" s="73"/>
      <c r="L1217" s="103" t="n">
        <v>0</v>
      </c>
    </row>
    <row r="1218" customFormat="false" ht="15" hidden="false" customHeight="true" outlineLevel="0" collapsed="false">
      <c r="A1218" s="73" t="s">
        <v>3188</v>
      </c>
      <c r="B1218" s="73" t="s">
        <v>4</v>
      </c>
      <c r="C1218" s="73" t="s">
        <v>653</v>
      </c>
      <c r="D1218" s="73" t="s">
        <v>918</v>
      </c>
      <c r="E1218" s="73" t="s">
        <v>767</v>
      </c>
      <c r="F1218" s="73" t="s">
        <v>2883</v>
      </c>
      <c r="G1218" s="73" t="s">
        <v>101</v>
      </c>
      <c r="H1218" s="73" t="s">
        <v>3189</v>
      </c>
      <c r="I1218" s="73" t="s">
        <v>3169</v>
      </c>
      <c r="J1218" s="73"/>
      <c r="K1218" s="73"/>
      <c r="L1218" s="103" t="n">
        <v>0</v>
      </c>
    </row>
    <row r="1219" customFormat="false" ht="15" hidden="false" customHeight="true" outlineLevel="0" collapsed="false">
      <c r="A1219" s="73" t="s">
        <v>3190</v>
      </c>
      <c r="B1219" s="73" t="s">
        <v>4</v>
      </c>
      <c r="C1219" s="73" t="s">
        <v>653</v>
      </c>
      <c r="D1219" s="73" t="s">
        <v>918</v>
      </c>
      <c r="E1219" s="73" t="s">
        <v>767</v>
      </c>
      <c r="F1219" s="73" t="s">
        <v>2883</v>
      </c>
      <c r="G1219" s="73" t="s">
        <v>103</v>
      </c>
      <c r="H1219" s="73" t="s">
        <v>3191</v>
      </c>
      <c r="I1219" s="73" t="s">
        <v>3169</v>
      </c>
      <c r="J1219" s="73"/>
      <c r="K1219" s="73"/>
      <c r="L1219" s="103" t="n">
        <v>0</v>
      </c>
    </row>
    <row r="1220" customFormat="false" ht="15" hidden="false" customHeight="true" outlineLevel="0" collapsed="false">
      <c r="A1220" s="73" t="s">
        <v>3192</v>
      </c>
      <c r="B1220" s="73" t="s">
        <v>4</v>
      </c>
      <c r="C1220" s="73" t="s">
        <v>653</v>
      </c>
      <c r="D1220" s="73" t="s">
        <v>918</v>
      </c>
      <c r="E1220" s="73" t="s">
        <v>767</v>
      </c>
      <c r="F1220" s="73" t="s">
        <v>2883</v>
      </c>
      <c r="G1220" s="73" t="s">
        <v>105</v>
      </c>
      <c r="H1220" s="73" t="s">
        <v>3193</v>
      </c>
      <c r="I1220" s="73" t="s">
        <v>3169</v>
      </c>
      <c r="J1220" s="73"/>
      <c r="K1220" s="73"/>
      <c r="L1220" s="103" t="n">
        <v>0</v>
      </c>
    </row>
    <row r="1221" customFormat="false" ht="15" hidden="false" customHeight="true" outlineLevel="0" collapsed="false">
      <c r="A1221" s="73" t="s">
        <v>3194</v>
      </c>
      <c r="B1221" s="73" t="s">
        <v>4</v>
      </c>
      <c r="C1221" s="73" t="s">
        <v>653</v>
      </c>
      <c r="D1221" s="73" t="s">
        <v>918</v>
      </c>
      <c r="E1221" s="73" t="s">
        <v>767</v>
      </c>
      <c r="F1221" s="73" t="s">
        <v>2883</v>
      </c>
      <c r="G1221" s="73" t="s">
        <v>107</v>
      </c>
      <c r="H1221" s="73" t="s">
        <v>3195</v>
      </c>
      <c r="I1221" s="73" t="s">
        <v>3169</v>
      </c>
      <c r="J1221" s="73"/>
      <c r="K1221" s="73"/>
      <c r="L1221" s="103" t="n">
        <v>0</v>
      </c>
    </row>
    <row r="1222" customFormat="false" ht="15" hidden="false" customHeight="true" outlineLevel="0" collapsed="false">
      <c r="A1222" s="73" t="s">
        <v>3196</v>
      </c>
      <c r="B1222" s="73" t="s">
        <v>4</v>
      </c>
      <c r="C1222" s="73" t="s">
        <v>653</v>
      </c>
      <c r="D1222" s="73" t="s">
        <v>918</v>
      </c>
      <c r="E1222" s="73" t="s">
        <v>767</v>
      </c>
      <c r="F1222" s="73" t="s">
        <v>2883</v>
      </c>
      <c r="G1222" s="73" t="s">
        <v>109</v>
      </c>
      <c r="H1222" s="73" t="s">
        <v>3197</v>
      </c>
      <c r="I1222" s="73" t="s">
        <v>3169</v>
      </c>
      <c r="J1222" s="73"/>
      <c r="K1222" s="73"/>
      <c r="L1222" s="103" t="n">
        <v>0</v>
      </c>
    </row>
    <row r="1223" customFormat="false" ht="15" hidden="false" customHeight="true" outlineLevel="0" collapsed="false">
      <c r="A1223" s="73" t="s">
        <v>3198</v>
      </c>
      <c r="B1223" s="73" t="s">
        <v>4</v>
      </c>
      <c r="C1223" s="73" t="s">
        <v>653</v>
      </c>
      <c r="D1223" s="73" t="s">
        <v>918</v>
      </c>
      <c r="E1223" s="73" t="s">
        <v>767</v>
      </c>
      <c r="F1223" s="73" t="s">
        <v>2883</v>
      </c>
      <c r="G1223" s="73" t="s">
        <v>111</v>
      </c>
      <c r="H1223" s="73" t="s">
        <v>3199</v>
      </c>
      <c r="I1223" s="73" t="s">
        <v>3169</v>
      </c>
      <c r="J1223" s="73"/>
      <c r="K1223" s="73"/>
      <c r="L1223" s="103" t="n">
        <v>0</v>
      </c>
    </row>
    <row r="1224" customFormat="false" ht="15" hidden="false" customHeight="true" outlineLevel="0" collapsed="false">
      <c r="A1224" s="73" t="s">
        <v>3200</v>
      </c>
      <c r="B1224" s="73" t="s">
        <v>4</v>
      </c>
      <c r="C1224" s="73" t="s">
        <v>653</v>
      </c>
      <c r="D1224" s="73" t="s">
        <v>943</v>
      </c>
      <c r="E1224" s="73" t="s">
        <v>767</v>
      </c>
      <c r="F1224" s="73" t="s">
        <v>2883</v>
      </c>
      <c r="G1224" s="73" t="s">
        <v>944</v>
      </c>
      <c r="H1224" s="73" t="s">
        <v>3201</v>
      </c>
      <c r="I1224" s="73" t="s">
        <v>3169</v>
      </c>
      <c r="J1224" s="73"/>
      <c r="K1224" s="73"/>
      <c r="L1224" s="103" t="n">
        <v>0.3</v>
      </c>
    </row>
    <row r="1225" customFormat="false" ht="15" hidden="false" customHeight="true" outlineLevel="0" collapsed="false">
      <c r="A1225" s="73" t="s">
        <v>3202</v>
      </c>
      <c r="B1225" s="73" t="s">
        <v>4</v>
      </c>
      <c r="C1225" s="73" t="s">
        <v>653</v>
      </c>
      <c r="D1225" s="73" t="s">
        <v>948</v>
      </c>
      <c r="E1225" s="73" t="s">
        <v>767</v>
      </c>
      <c r="F1225" s="73" t="s">
        <v>2883</v>
      </c>
      <c r="G1225" s="73" t="s">
        <v>655</v>
      </c>
      <c r="H1225" s="73" t="s">
        <v>3203</v>
      </c>
      <c r="I1225" s="73" t="s">
        <v>708</v>
      </c>
      <c r="J1225" s="73"/>
      <c r="K1225" s="73"/>
      <c r="L1225" s="103" t="n">
        <v>0</v>
      </c>
    </row>
    <row r="1226" customFormat="false" ht="15" hidden="false" customHeight="true" outlineLevel="0" collapsed="false">
      <c r="A1226" s="73" t="s">
        <v>3204</v>
      </c>
      <c r="B1226" s="73" t="s">
        <v>4</v>
      </c>
      <c r="C1226" s="73" t="s">
        <v>653</v>
      </c>
      <c r="D1226" s="73" t="s">
        <v>953</v>
      </c>
      <c r="E1226" s="73" t="s">
        <v>767</v>
      </c>
      <c r="F1226" s="73" t="s">
        <v>2883</v>
      </c>
      <c r="G1226" s="73" t="s">
        <v>655</v>
      </c>
      <c r="H1226" s="73" t="s">
        <v>3205</v>
      </c>
      <c r="I1226" s="73" t="s">
        <v>955</v>
      </c>
      <c r="J1226" s="73"/>
      <c r="K1226" s="73"/>
      <c r="L1226" s="103" t="n">
        <v>0</v>
      </c>
    </row>
    <row r="1227" customFormat="false" ht="15" hidden="false" customHeight="true" outlineLevel="0" collapsed="false">
      <c r="A1227" s="73" t="s">
        <v>3206</v>
      </c>
      <c r="B1227" s="73" t="s">
        <v>846</v>
      </c>
      <c r="C1227" s="73" t="s">
        <v>653</v>
      </c>
      <c r="D1227" s="73" t="s">
        <v>867</v>
      </c>
      <c r="E1227" s="73" t="s">
        <v>767</v>
      </c>
      <c r="F1227" s="73" t="s">
        <v>2883</v>
      </c>
      <c r="G1227" s="73" t="s">
        <v>655</v>
      </c>
      <c r="H1227" s="73" t="s">
        <v>3207</v>
      </c>
      <c r="I1227" s="73" t="s">
        <v>3157</v>
      </c>
      <c r="J1227" s="73" t="s">
        <v>3158</v>
      </c>
      <c r="K1227" s="73" t="s">
        <v>2915</v>
      </c>
      <c r="L1227" s="107" t="n">
        <v>0</v>
      </c>
    </row>
    <row r="1228" customFormat="false" ht="15" hidden="false" customHeight="true" outlineLevel="0" collapsed="false">
      <c r="A1228" s="73" t="s">
        <v>3208</v>
      </c>
      <c r="B1228" s="73" t="s">
        <v>846</v>
      </c>
      <c r="C1228" s="73" t="s">
        <v>653</v>
      </c>
      <c r="D1228" s="73" t="s">
        <v>873</v>
      </c>
      <c r="E1228" s="73" t="s">
        <v>767</v>
      </c>
      <c r="F1228" s="73" t="s">
        <v>2883</v>
      </c>
      <c r="G1228" s="73" t="s">
        <v>655</v>
      </c>
      <c r="H1228" s="73" t="s">
        <v>3209</v>
      </c>
      <c r="I1228" s="73" t="s">
        <v>875</v>
      </c>
      <c r="J1228" s="73"/>
      <c r="K1228" s="73"/>
      <c r="L1228" s="104" t="n">
        <v>0.5</v>
      </c>
    </row>
    <row r="1229" customFormat="false" ht="15" hidden="false" customHeight="true" outlineLevel="0" collapsed="false">
      <c r="A1229" s="73" t="s">
        <v>3210</v>
      </c>
      <c r="B1229" s="73" t="s">
        <v>846</v>
      </c>
      <c r="C1229" s="73" t="s">
        <v>653</v>
      </c>
      <c r="D1229" s="73" t="s">
        <v>878</v>
      </c>
      <c r="E1229" s="73" t="s">
        <v>767</v>
      </c>
      <c r="F1229" s="73" t="s">
        <v>2883</v>
      </c>
      <c r="G1229" s="73" t="s">
        <v>655</v>
      </c>
      <c r="H1229" s="73" t="s">
        <v>3211</v>
      </c>
      <c r="I1229" s="73" t="s">
        <v>880</v>
      </c>
      <c r="J1229" s="73"/>
      <c r="K1229" s="73"/>
      <c r="L1229" s="104" t="n">
        <v>0.2</v>
      </c>
    </row>
    <row r="1230" customFormat="false" ht="15" hidden="false" customHeight="true" outlineLevel="0" collapsed="false">
      <c r="A1230" s="73" t="s">
        <v>3212</v>
      </c>
      <c r="B1230" s="73" t="s">
        <v>846</v>
      </c>
      <c r="C1230" s="73" t="s">
        <v>653</v>
      </c>
      <c r="D1230" s="73" t="s">
        <v>883</v>
      </c>
      <c r="E1230" s="73" t="s">
        <v>767</v>
      </c>
      <c r="F1230" s="73" t="s">
        <v>2883</v>
      </c>
      <c r="G1230" s="73" t="s">
        <v>655</v>
      </c>
      <c r="H1230" s="73" t="s">
        <v>3213</v>
      </c>
      <c r="I1230" s="73" t="s">
        <v>880</v>
      </c>
      <c r="J1230" s="73"/>
      <c r="K1230" s="73"/>
      <c r="L1230" s="104" t="n">
        <v>0.05</v>
      </c>
    </row>
    <row r="1231" customFormat="false" ht="15" hidden="false" customHeight="true" outlineLevel="0" collapsed="false">
      <c r="A1231" s="73" t="s">
        <v>3214</v>
      </c>
      <c r="B1231" s="73" t="s">
        <v>846</v>
      </c>
      <c r="C1231" s="73" t="s">
        <v>653</v>
      </c>
      <c r="D1231" s="73" t="s">
        <v>887</v>
      </c>
      <c r="E1231" s="73" t="s">
        <v>767</v>
      </c>
      <c r="F1231" s="73" t="s">
        <v>2883</v>
      </c>
      <c r="G1231" s="73" t="s">
        <v>655</v>
      </c>
      <c r="H1231" s="73" t="s">
        <v>3215</v>
      </c>
      <c r="I1231" s="73" t="s">
        <v>880</v>
      </c>
      <c r="J1231" s="73"/>
      <c r="K1231" s="73"/>
      <c r="L1231" s="104" t="n">
        <v>0.1</v>
      </c>
    </row>
    <row r="1232" customFormat="false" ht="15" hidden="false" customHeight="true" outlineLevel="0" collapsed="false">
      <c r="A1232" s="73" t="s">
        <v>3216</v>
      </c>
      <c r="B1232" s="73" t="s">
        <v>846</v>
      </c>
      <c r="C1232" s="73" t="s">
        <v>653</v>
      </c>
      <c r="D1232" s="73" t="s">
        <v>891</v>
      </c>
      <c r="E1232" s="73" t="s">
        <v>767</v>
      </c>
      <c r="F1232" s="73" t="s">
        <v>2883</v>
      </c>
      <c r="G1232" s="73" t="s">
        <v>96</v>
      </c>
      <c r="H1232" s="73" t="s">
        <v>3217</v>
      </c>
      <c r="I1232" s="73" t="s">
        <v>3169</v>
      </c>
      <c r="J1232" s="73" t="s">
        <v>2926</v>
      </c>
      <c r="K1232" s="73" t="s">
        <v>895</v>
      </c>
      <c r="L1232" s="103" t="n">
        <v>0</v>
      </c>
    </row>
    <row r="1233" customFormat="false" ht="15" hidden="false" customHeight="true" outlineLevel="0" collapsed="false">
      <c r="A1233" s="73" t="s">
        <v>3218</v>
      </c>
      <c r="B1233" s="73" t="s">
        <v>846</v>
      </c>
      <c r="C1233" s="73" t="s">
        <v>653</v>
      </c>
      <c r="D1233" s="73" t="s">
        <v>891</v>
      </c>
      <c r="E1233" s="73" t="s">
        <v>767</v>
      </c>
      <c r="F1233" s="73" t="s">
        <v>2883</v>
      </c>
      <c r="G1233" s="73" t="s">
        <v>99</v>
      </c>
      <c r="H1233" s="73" t="s">
        <v>3219</v>
      </c>
      <c r="I1233" s="73" t="s">
        <v>3169</v>
      </c>
      <c r="J1233" s="73" t="s">
        <v>2926</v>
      </c>
      <c r="K1233" s="73" t="s">
        <v>895</v>
      </c>
      <c r="L1233" s="103" t="n">
        <v>2</v>
      </c>
    </row>
    <row r="1234" customFormat="false" ht="15" hidden="false" customHeight="true" outlineLevel="0" collapsed="false">
      <c r="A1234" s="73" t="s">
        <v>3220</v>
      </c>
      <c r="B1234" s="73" t="s">
        <v>846</v>
      </c>
      <c r="C1234" s="73" t="s">
        <v>653</v>
      </c>
      <c r="D1234" s="73" t="s">
        <v>891</v>
      </c>
      <c r="E1234" s="73" t="s">
        <v>767</v>
      </c>
      <c r="F1234" s="73" t="s">
        <v>2883</v>
      </c>
      <c r="G1234" s="73" t="s">
        <v>101</v>
      </c>
      <c r="H1234" s="73" t="s">
        <v>3221</v>
      </c>
      <c r="I1234" s="73" t="s">
        <v>3169</v>
      </c>
      <c r="J1234" s="73" t="s">
        <v>2926</v>
      </c>
      <c r="K1234" s="73" t="s">
        <v>895</v>
      </c>
      <c r="L1234" s="103" t="n">
        <v>0</v>
      </c>
    </row>
    <row r="1235" customFormat="false" ht="15" hidden="false" customHeight="true" outlineLevel="0" collapsed="false">
      <c r="A1235" s="73" t="s">
        <v>3222</v>
      </c>
      <c r="B1235" s="73" t="s">
        <v>846</v>
      </c>
      <c r="C1235" s="73" t="s">
        <v>653</v>
      </c>
      <c r="D1235" s="73" t="s">
        <v>891</v>
      </c>
      <c r="E1235" s="73" t="s">
        <v>767</v>
      </c>
      <c r="F1235" s="73" t="s">
        <v>2883</v>
      </c>
      <c r="G1235" s="73" t="s">
        <v>103</v>
      </c>
      <c r="H1235" s="73" t="s">
        <v>3223</v>
      </c>
      <c r="I1235" s="73" t="s">
        <v>3169</v>
      </c>
      <c r="J1235" s="73" t="s">
        <v>2926</v>
      </c>
      <c r="K1235" s="73" t="s">
        <v>895</v>
      </c>
      <c r="L1235" s="103" t="n">
        <v>0</v>
      </c>
    </row>
    <row r="1236" customFormat="false" ht="15" hidden="false" customHeight="true" outlineLevel="0" collapsed="false">
      <c r="A1236" s="73" t="s">
        <v>3224</v>
      </c>
      <c r="B1236" s="73" t="s">
        <v>846</v>
      </c>
      <c r="C1236" s="73" t="s">
        <v>653</v>
      </c>
      <c r="D1236" s="73" t="s">
        <v>891</v>
      </c>
      <c r="E1236" s="73" t="s">
        <v>767</v>
      </c>
      <c r="F1236" s="73" t="s">
        <v>2883</v>
      </c>
      <c r="G1236" s="73" t="s">
        <v>105</v>
      </c>
      <c r="H1236" s="73" t="s">
        <v>3225</v>
      </c>
      <c r="I1236" s="73" t="s">
        <v>3169</v>
      </c>
      <c r="J1236" s="73" t="s">
        <v>2926</v>
      </c>
      <c r="K1236" s="73" t="s">
        <v>895</v>
      </c>
      <c r="L1236" s="103" t="n">
        <v>0</v>
      </c>
    </row>
    <row r="1237" customFormat="false" ht="15" hidden="false" customHeight="true" outlineLevel="0" collapsed="false">
      <c r="A1237" s="73" t="s">
        <v>3226</v>
      </c>
      <c r="B1237" s="73" t="s">
        <v>846</v>
      </c>
      <c r="C1237" s="73" t="s">
        <v>653</v>
      </c>
      <c r="D1237" s="73" t="s">
        <v>891</v>
      </c>
      <c r="E1237" s="73" t="s">
        <v>767</v>
      </c>
      <c r="F1237" s="73" t="s">
        <v>2883</v>
      </c>
      <c r="G1237" s="73" t="s">
        <v>107</v>
      </c>
      <c r="H1237" s="73" t="s">
        <v>3227</v>
      </c>
      <c r="I1237" s="73" t="s">
        <v>3169</v>
      </c>
      <c r="J1237" s="73" t="s">
        <v>2926</v>
      </c>
      <c r="K1237" s="73" t="s">
        <v>895</v>
      </c>
      <c r="L1237" s="103" t="n">
        <v>0</v>
      </c>
    </row>
    <row r="1238" customFormat="false" ht="15" hidden="false" customHeight="true" outlineLevel="0" collapsed="false">
      <c r="A1238" s="73" t="s">
        <v>3228</v>
      </c>
      <c r="B1238" s="73" t="s">
        <v>846</v>
      </c>
      <c r="C1238" s="73" t="s">
        <v>653</v>
      </c>
      <c r="D1238" s="73" t="s">
        <v>891</v>
      </c>
      <c r="E1238" s="73" t="s">
        <v>767</v>
      </c>
      <c r="F1238" s="73" t="s">
        <v>2883</v>
      </c>
      <c r="G1238" s="73" t="s">
        <v>109</v>
      </c>
      <c r="H1238" s="73" t="s">
        <v>3229</v>
      </c>
      <c r="I1238" s="73" t="s">
        <v>3169</v>
      </c>
      <c r="J1238" s="73" t="s">
        <v>2926</v>
      </c>
      <c r="K1238" s="73" t="s">
        <v>895</v>
      </c>
      <c r="L1238" s="103" t="n">
        <v>0</v>
      </c>
    </row>
    <row r="1239" customFormat="false" ht="15" hidden="false" customHeight="true" outlineLevel="0" collapsed="false">
      <c r="A1239" s="73" t="s">
        <v>3230</v>
      </c>
      <c r="B1239" s="73" t="s">
        <v>846</v>
      </c>
      <c r="C1239" s="73" t="s">
        <v>653</v>
      </c>
      <c r="D1239" s="73" t="s">
        <v>891</v>
      </c>
      <c r="E1239" s="73" t="s">
        <v>767</v>
      </c>
      <c r="F1239" s="73" t="s">
        <v>2883</v>
      </c>
      <c r="G1239" s="73" t="s">
        <v>111</v>
      </c>
      <c r="H1239" s="73" t="s">
        <v>3231</v>
      </c>
      <c r="I1239" s="73" t="s">
        <v>3169</v>
      </c>
      <c r="J1239" s="73" t="s">
        <v>2926</v>
      </c>
      <c r="K1239" s="73" t="s">
        <v>895</v>
      </c>
      <c r="L1239" s="103" t="n">
        <v>0</v>
      </c>
    </row>
    <row r="1240" customFormat="false" ht="15" hidden="false" customHeight="true" outlineLevel="0" collapsed="false">
      <c r="A1240" s="73" t="s">
        <v>3232</v>
      </c>
      <c r="B1240" s="73" t="s">
        <v>846</v>
      </c>
      <c r="C1240" s="73" t="s">
        <v>653</v>
      </c>
      <c r="D1240" s="73" t="s">
        <v>918</v>
      </c>
      <c r="E1240" s="73" t="s">
        <v>767</v>
      </c>
      <c r="F1240" s="73" t="s">
        <v>2883</v>
      </c>
      <c r="G1240" s="73" t="s">
        <v>96</v>
      </c>
      <c r="H1240" s="73" t="s">
        <v>3233</v>
      </c>
      <c r="I1240" s="73" t="s">
        <v>3169</v>
      </c>
      <c r="J1240" s="73"/>
      <c r="K1240" s="73"/>
      <c r="L1240" s="103" t="n">
        <v>0</v>
      </c>
    </row>
    <row r="1241" customFormat="false" ht="15" hidden="false" customHeight="true" outlineLevel="0" collapsed="false">
      <c r="A1241" s="73" t="s">
        <v>3234</v>
      </c>
      <c r="B1241" s="73" t="s">
        <v>846</v>
      </c>
      <c r="C1241" s="73" t="s">
        <v>653</v>
      </c>
      <c r="D1241" s="73" t="s">
        <v>918</v>
      </c>
      <c r="E1241" s="73" t="s">
        <v>767</v>
      </c>
      <c r="F1241" s="73" t="s">
        <v>2883</v>
      </c>
      <c r="G1241" s="73" t="s">
        <v>99</v>
      </c>
      <c r="H1241" s="73" t="s">
        <v>3235</v>
      </c>
      <c r="I1241" s="73" t="s">
        <v>3169</v>
      </c>
      <c r="J1241" s="73"/>
      <c r="K1241" s="73"/>
      <c r="L1241" s="103" t="n">
        <v>0</v>
      </c>
    </row>
    <row r="1242" customFormat="false" ht="15" hidden="false" customHeight="true" outlineLevel="0" collapsed="false">
      <c r="A1242" s="73" t="s">
        <v>3236</v>
      </c>
      <c r="B1242" s="73" t="s">
        <v>846</v>
      </c>
      <c r="C1242" s="73" t="s">
        <v>653</v>
      </c>
      <c r="D1242" s="73" t="s">
        <v>918</v>
      </c>
      <c r="E1242" s="73" t="s">
        <v>767</v>
      </c>
      <c r="F1242" s="73" t="s">
        <v>2883</v>
      </c>
      <c r="G1242" s="73" t="s">
        <v>101</v>
      </c>
      <c r="H1242" s="73" t="s">
        <v>3237</v>
      </c>
      <c r="I1242" s="73" t="s">
        <v>3169</v>
      </c>
      <c r="J1242" s="73"/>
      <c r="K1242" s="73"/>
      <c r="L1242" s="103" t="n">
        <v>0</v>
      </c>
    </row>
    <row r="1243" customFormat="false" ht="15" hidden="false" customHeight="true" outlineLevel="0" collapsed="false">
      <c r="A1243" s="73" t="s">
        <v>3238</v>
      </c>
      <c r="B1243" s="73" t="s">
        <v>846</v>
      </c>
      <c r="C1243" s="73" t="s">
        <v>653</v>
      </c>
      <c r="D1243" s="73" t="s">
        <v>918</v>
      </c>
      <c r="E1243" s="73" t="s">
        <v>767</v>
      </c>
      <c r="F1243" s="73" t="s">
        <v>2883</v>
      </c>
      <c r="G1243" s="73" t="s">
        <v>103</v>
      </c>
      <c r="H1243" s="73" t="s">
        <v>3239</v>
      </c>
      <c r="I1243" s="73" t="s">
        <v>3169</v>
      </c>
      <c r="J1243" s="73"/>
      <c r="K1243" s="73"/>
      <c r="L1243" s="103" t="n">
        <v>0</v>
      </c>
    </row>
    <row r="1244" customFormat="false" ht="15" hidden="false" customHeight="true" outlineLevel="0" collapsed="false">
      <c r="A1244" s="73" t="s">
        <v>3240</v>
      </c>
      <c r="B1244" s="73" t="s">
        <v>846</v>
      </c>
      <c r="C1244" s="73" t="s">
        <v>653</v>
      </c>
      <c r="D1244" s="73" t="s">
        <v>918</v>
      </c>
      <c r="E1244" s="73" t="s">
        <v>767</v>
      </c>
      <c r="F1244" s="73" t="s">
        <v>2883</v>
      </c>
      <c r="G1244" s="73" t="s">
        <v>105</v>
      </c>
      <c r="H1244" s="73" t="s">
        <v>3241</v>
      </c>
      <c r="I1244" s="73" t="s">
        <v>3169</v>
      </c>
      <c r="J1244" s="73"/>
      <c r="K1244" s="73"/>
      <c r="L1244" s="103" t="n">
        <v>0</v>
      </c>
    </row>
    <row r="1245" customFormat="false" ht="15" hidden="false" customHeight="true" outlineLevel="0" collapsed="false">
      <c r="A1245" s="73" t="s">
        <v>3242</v>
      </c>
      <c r="B1245" s="73" t="s">
        <v>846</v>
      </c>
      <c r="C1245" s="73" t="s">
        <v>653</v>
      </c>
      <c r="D1245" s="73" t="s">
        <v>918</v>
      </c>
      <c r="E1245" s="73" t="s">
        <v>767</v>
      </c>
      <c r="F1245" s="73" t="s">
        <v>2883</v>
      </c>
      <c r="G1245" s="73" t="s">
        <v>107</v>
      </c>
      <c r="H1245" s="73" t="s">
        <v>3243</v>
      </c>
      <c r="I1245" s="73" t="s">
        <v>3169</v>
      </c>
      <c r="J1245" s="73"/>
      <c r="K1245" s="73"/>
      <c r="L1245" s="103" t="n">
        <v>0</v>
      </c>
    </row>
    <row r="1246" customFormat="false" ht="15" hidden="false" customHeight="true" outlineLevel="0" collapsed="false">
      <c r="A1246" s="73" t="s">
        <v>3244</v>
      </c>
      <c r="B1246" s="73" t="s">
        <v>846</v>
      </c>
      <c r="C1246" s="73" t="s">
        <v>653</v>
      </c>
      <c r="D1246" s="73" t="s">
        <v>918</v>
      </c>
      <c r="E1246" s="73" t="s">
        <v>767</v>
      </c>
      <c r="F1246" s="73" t="s">
        <v>2883</v>
      </c>
      <c r="G1246" s="73" t="s">
        <v>109</v>
      </c>
      <c r="H1246" s="73" t="s">
        <v>3245</v>
      </c>
      <c r="I1246" s="73" t="s">
        <v>3169</v>
      </c>
      <c r="J1246" s="73"/>
      <c r="K1246" s="73"/>
      <c r="L1246" s="103" t="n">
        <v>0</v>
      </c>
    </row>
    <row r="1247" customFormat="false" ht="15" hidden="false" customHeight="true" outlineLevel="0" collapsed="false">
      <c r="A1247" s="73" t="s">
        <v>3246</v>
      </c>
      <c r="B1247" s="73" t="s">
        <v>846</v>
      </c>
      <c r="C1247" s="73" t="s">
        <v>653</v>
      </c>
      <c r="D1247" s="73" t="s">
        <v>918</v>
      </c>
      <c r="E1247" s="73" t="s">
        <v>767</v>
      </c>
      <c r="F1247" s="73" t="s">
        <v>2883</v>
      </c>
      <c r="G1247" s="73" t="s">
        <v>111</v>
      </c>
      <c r="H1247" s="73" t="s">
        <v>3247</v>
      </c>
      <c r="I1247" s="73" t="s">
        <v>3169</v>
      </c>
      <c r="J1247" s="73"/>
      <c r="K1247" s="73"/>
      <c r="L1247" s="103" t="n">
        <v>0</v>
      </c>
    </row>
    <row r="1248" customFormat="false" ht="15" hidden="false" customHeight="true" outlineLevel="0" collapsed="false">
      <c r="A1248" s="73" t="s">
        <v>3248</v>
      </c>
      <c r="B1248" s="73" t="s">
        <v>846</v>
      </c>
      <c r="C1248" s="73" t="s">
        <v>653</v>
      </c>
      <c r="D1248" s="73" t="s">
        <v>943</v>
      </c>
      <c r="E1248" s="73" t="s">
        <v>767</v>
      </c>
      <c r="F1248" s="73" t="s">
        <v>2883</v>
      </c>
      <c r="G1248" s="73" t="s">
        <v>944</v>
      </c>
      <c r="H1248" s="73" t="s">
        <v>3249</v>
      </c>
      <c r="I1248" s="73" t="s">
        <v>3169</v>
      </c>
      <c r="J1248" s="73"/>
      <c r="K1248" s="73"/>
      <c r="L1248" s="103" t="n">
        <v>0.3</v>
      </c>
    </row>
    <row r="1249" customFormat="false" ht="15" hidden="false" customHeight="true" outlineLevel="0" collapsed="false">
      <c r="A1249" s="73" t="s">
        <v>3250</v>
      </c>
      <c r="B1249" s="73" t="s">
        <v>846</v>
      </c>
      <c r="C1249" s="73" t="s">
        <v>653</v>
      </c>
      <c r="D1249" s="73" t="s">
        <v>948</v>
      </c>
      <c r="E1249" s="73" t="s">
        <v>767</v>
      </c>
      <c r="F1249" s="73" t="s">
        <v>2883</v>
      </c>
      <c r="G1249" s="73" t="s">
        <v>655</v>
      </c>
      <c r="H1249" s="73" t="s">
        <v>3251</v>
      </c>
      <c r="I1249" s="73" t="s">
        <v>708</v>
      </c>
      <c r="J1249" s="73"/>
      <c r="K1249" s="73"/>
      <c r="L1249" s="103" t="n">
        <v>0</v>
      </c>
    </row>
    <row r="1250" customFormat="false" ht="15" hidden="false" customHeight="true" outlineLevel="0" collapsed="false">
      <c r="A1250" s="73" t="s">
        <v>3252</v>
      </c>
      <c r="B1250" s="73" t="s">
        <v>846</v>
      </c>
      <c r="C1250" s="73" t="s">
        <v>653</v>
      </c>
      <c r="D1250" s="73" t="s">
        <v>953</v>
      </c>
      <c r="E1250" s="73" t="s">
        <v>767</v>
      </c>
      <c r="F1250" s="73" t="s">
        <v>2883</v>
      </c>
      <c r="G1250" s="73" t="s">
        <v>655</v>
      </c>
      <c r="H1250" s="73" t="s">
        <v>3253</v>
      </c>
      <c r="I1250" s="73" t="s">
        <v>955</v>
      </c>
      <c r="J1250" s="73"/>
      <c r="K1250" s="73"/>
      <c r="L1250" s="103" t="n">
        <v>0</v>
      </c>
    </row>
    <row r="1251" customFormat="false" ht="15" hidden="false" customHeight="true" outlineLevel="0" collapsed="false">
      <c r="A1251" s="73" t="s">
        <v>3254</v>
      </c>
      <c r="B1251" s="73" t="s">
        <v>851</v>
      </c>
      <c r="C1251" s="73" t="s">
        <v>653</v>
      </c>
      <c r="D1251" s="73" t="s">
        <v>867</v>
      </c>
      <c r="E1251" s="73" t="s">
        <v>767</v>
      </c>
      <c r="F1251" s="73" t="s">
        <v>2883</v>
      </c>
      <c r="G1251" s="73" t="s">
        <v>655</v>
      </c>
      <c r="H1251" s="73" t="s">
        <v>3255</v>
      </c>
      <c r="I1251" s="73" t="s">
        <v>3157</v>
      </c>
      <c r="J1251" s="73" t="s">
        <v>3158</v>
      </c>
      <c r="K1251" s="73" t="s">
        <v>2915</v>
      </c>
      <c r="L1251" s="107" t="n">
        <v>0.05</v>
      </c>
    </row>
    <row r="1252" customFormat="false" ht="15" hidden="false" customHeight="true" outlineLevel="0" collapsed="false">
      <c r="A1252" s="73" t="s">
        <v>3256</v>
      </c>
      <c r="B1252" s="73" t="s">
        <v>851</v>
      </c>
      <c r="C1252" s="73" t="s">
        <v>653</v>
      </c>
      <c r="D1252" s="73" t="s">
        <v>873</v>
      </c>
      <c r="E1252" s="73" t="s">
        <v>767</v>
      </c>
      <c r="F1252" s="73" t="s">
        <v>2883</v>
      </c>
      <c r="G1252" s="73" t="s">
        <v>655</v>
      </c>
      <c r="H1252" s="73" t="s">
        <v>3257</v>
      </c>
      <c r="I1252" s="73" t="s">
        <v>875</v>
      </c>
      <c r="J1252" s="73"/>
      <c r="K1252" s="73"/>
      <c r="L1252" s="104" t="n">
        <v>0.5</v>
      </c>
    </row>
    <row r="1253" customFormat="false" ht="15" hidden="false" customHeight="true" outlineLevel="0" collapsed="false">
      <c r="A1253" s="73" t="s">
        <v>3258</v>
      </c>
      <c r="B1253" s="73" t="s">
        <v>851</v>
      </c>
      <c r="C1253" s="73" t="s">
        <v>653</v>
      </c>
      <c r="D1253" s="73" t="s">
        <v>878</v>
      </c>
      <c r="E1253" s="73" t="s">
        <v>767</v>
      </c>
      <c r="F1253" s="73" t="s">
        <v>2883</v>
      </c>
      <c r="G1253" s="73" t="s">
        <v>655</v>
      </c>
      <c r="H1253" s="73" t="s">
        <v>3259</v>
      </c>
      <c r="I1253" s="73" t="s">
        <v>880</v>
      </c>
      <c r="J1253" s="73"/>
      <c r="K1253" s="73"/>
      <c r="L1253" s="104" t="n">
        <v>0.15</v>
      </c>
    </row>
    <row r="1254" customFormat="false" ht="15" hidden="false" customHeight="true" outlineLevel="0" collapsed="false">
      <c r="A1254" s="73" t="s">
        <v>3260</v>
      </c>
      <c r="B1254" s="73" t="s">
        <v>851</v>
      </c>
      <c r="C1254" s="73" t="s">
        <v>653</v>
      </c>
      <c r="D1254" s="73" t="s">
        <v>883</v>
      </c>
      <c r="E1254" s="73" t="s">
        <v>767</v>
      </c>
      <c r="F1254" s="73" t="s">
        <v>2883</v>
      </c>
      <c r="G1254" s="73" t="s">
        <v>655</v>
      </c>
      <c r="H1254" s="73" t="s">
        <v>3261</v>
      </c>
      <c r="I1254" s="73" t="s">
        <v>880</v>
      </c>
      <c r="J1254" s="73"/>
      <c r="K1254" s="73"/>
      <c r="L1254" s="104" t="n">
        <v>0.03</v>
      </c>
    </row>
    <row r="1255" customFormat="false" ht="15" hidden="false" customHeight="true" outlineLevel="0" collapsed="false">
      <c r="A1255" s="73" t="s">
        <v>3262</v>
      </c>
      <c r="B1255" s="73" t="s">
        <v>851</v>
      </c>
      <c r="C1255" s="73" t="s">
        <v>653</v>
      </c>
      <c r="D1255" s="73" t="s">
        <v>887</v>
      </c>
      <c r="E1255" s="73" t="s">
        <v>767</v>
      </c>
      <c r="F1255" s="73" t="s">
        <v>2883</v>
      </c>
      <c r="G1255" s="73" t="s">
        <v>655</v>
      </c>
      <c r="H1255" s="73" t="s">
        <v>3263</v>
      </c>
      <c r="I1255" s="73" t="s">
        <v>880</v>
      </c>
      <c r="J1255" s="73"/>
      <c r="K1255" s="73"/>
      <c r="L1255" s="104" t="n">
        <v>0.1</v>
      </c>
    </row>
    <row r="1256" customFormat="false" ht="15" hidden="false" customHeight="true" outlineLevel="0" collapsed="false">
      <c r="A1256" s="73" t="s">
        <v>3264</v>
      </c>
      <c r="B1256" s="73" t="s">
        <v>851</v>
      </c>
      <c r="C1256" s="73" t="s">
        <v>653</v>
      </c>
      <c r="D1256" s="73" t="s">
        <v>891</v>
      </c>
      <c r="E1256" s="73" t="s">
        <v>767</v>
      </c>
      <c r="F1256" s="73" t="s">
        <v>2883</v>
      </c>
      <c r="G1256" s="73" t="s">
        <v>96</v>
      </c>
      <c r="H1256" s="73" t="s">
        <v>3265</v>
      </c>
      <c r="I1256" s="73" t="s">
        <v>3169</v>
      </c>
      <c r="J1256" s="73" t="s">
        <v>2926</v>
      </c>
      <c r="K1256" s="73" t="s">
        <v>895</v>
      </c>
      <c r="L1256" s="103" t="n">
        <v>0</v>
      </c>
    </row>
    <row r="1257" customFormat="false" ht="15" hidden="false" customHeight="true" outlineLevel="0" collapsed="false">
      <c r="A1257" s="73" t="s">
        <v>3266</v>
      </c>
      <c r="B1257" s="73" t="s">
        <v>851</v>
      </c>
      <c r="C1257" s="73" t="s">
        <v>653</v>
      </c>
      <c r="D1257" s="73" t="s">
        <v>891</v>
      </c>
      <c r="E1257" s="73" t="s">
        <v>767</v>
      </c>
      <c r="F1257" s="73" t="s">
        <v>2883</v>
      </c>
      <c r="G1257" s="73" t="s">
        <v>99</v>
      </c>
      <c r="H1257" s="73" t="s">
        <v>3267</v>
      </c>
      <c r="I1257" s="73" t="s">
        <v>3169</v>
      </c>
      <c r="J1257" s="73" t="s">
        <v>2926</v>
      </c>
      <c r="K1257" s="73" t="s">
        <v>895</v>
      </c>
      <c r="L1257" s="103" t="n">
        <v>5</v>
      </c>
    </row>
    <row r="1258" customFormat="false" ht="15" hidden="false" customHeight="true" outlineLevel="0" collapsed="false">
      <c r="A1258" s="73" t="s">
        <v>3268</v>
      </c>
      <c r="B1258" s="73" t="s">
        <v>851</v>
      </c>
      <c r="C1258" s="73" t="s">
        <v>653</v>
      </c>
      <c r="D1258" s="73" t="s">
        <v>891</v>
      </c>
      <c r="E1258" s="73" t="s">
        <v>767</v>
      </c>
      <c r="F1258" s="73" t="s">
        <v>2883</v>
      </c>
      <c r="G1258" s="73" t="s">
        <v>101</v>
      </c>
      <c r="H1258" s="73" t="s">
        <v>3269</v>
      </c>
      <c r="I1258" s="73" t="s">
        <v>3169</v>
      </c>
      <c r="J1258" s="73" t="s">
        <v>2926</v>
      </c>
      <c r="K1258" s="73" t="s">
        <v>895</v>
      </c>
      <c r="L1258" s="103" t="n">
        <v>0</v>
      </c>
    </row>
    <row r="1259" customFormat="false" ht="15" hidden="false" customHeight="true" outlineLevel="0" collapsed="false">
      <c r="A1259" s="73" t="s">
        <v>3270</v>
      </c>
      <c r="B1259" s="73" t="s">
        <v>851</v>
      </c>
      <c r="C1259" s="73" t="s">
        <v>653</v>
      </c>
      <c r="D1259" s="73" t="s">
        <v>891</v>
      </c>
      <c r="E1259" s="73" t="s">
        <v>767</v>
      </c>
      <c r="F1259" s="73" t="s">
        <v>2883</v>
      </c>
      <c r="G1259" s="73" t="s">
        <v>103</v>
      </c>
      <c r="H1259" s="73" t="s">
        <v>3271</v>
      </c>
      <c r="I1259" s="73" t="s">
        <v>3169</v>
      </c>
      <c r="J1259" s="73" t="s">
        <v>2926</v>
      </c>
      <c r="K1259" s="73" t="s">
        <v>895</v>
      </c>
      <c r="L1259" s="103" t="n">
        <v>0</v>
      </c>
    </row>
    <row r="1260" customFormat="false" ht="15" hidden="false" customHeight="true" outlineLevel="0" collapsed="false">
      <c r="A1260" s="73" t="s">
        <v>3272</v>
      </c>
      <c r="B1260" s="73" t="s">
        <v>851</v>
      </c>
      <c r="C1260" s="73" t="s">
        <v>653</v>
      </c>
      <c r="D1260" s="73" t="s">
        <v>891</v>
      </c>
      <c r="E1260" s="73" t="s">
        <v>767</v>
      </c>
      <c r="F1260" s="73" t="s">
        <v>2883</v>
      </c>
      <c r="G1260" s="73" t="s">
        <v>105</v>
      </c>
      <c r="H1260" s="73" t="s">
        <v>3273</v>
      </c>
      <c r="I1260" s="73" t="s">
        <v>3169</v>
      </c>
      <c r="J1260" s="73" t="s">
        <v>2926</v>
      </c>
      <c r="K1260" s="73" t="s">
        <v>895</v>
      </c>
      <c r="L1260" s="103" t="n">
        <v>0</v>
      </c>
    </row>
    <row r="1261" customFormat="false" ht="15" hidden="false" customHeight="true" outlineLevel="0" collapsed="false">
      <c r="A1261" s="73" t="s">
        <v>3274</v>
      </c>
      <c r="B1261" s="73" t="s">
        <v>851</v>
      </c>
      <c r="C1261" s="73" t="s">
        <v>653</v>
      </c>
      <c r="D1261" s="73" t="s">
        <v>891</v>
      </c>
      <c r="E1261" s="73" t="s">
        <v>767</v>
      </c>
      <c r="F1261" s="73" t="s">
        <v>2883</v>
      </c>
      <c r="G1261" s="73" t="s">
        <v>107</v>
      </c>
      <c r="H1261" s="73" t="s">
        <v>3275</v>
      </c>
      <c r="I1261" s="73" t="s">
        <v>3169</v>
      </c>
      <c r="J1261" s="73" t="s">
        <v>2926</v>
      </c>
      <c r="K1261" s="73" t="s">
        <v>895</v>
      </c>
      <c r="L1261" s="103" t="n">
        <v>0</v>
      </c>
    </row>
    <row r="1262" customFormat="false" ht="15" hidden="false" customHeight="true" outlineLevel="0" collapsed="false">
      <c r="A1262" s="73" t="s">
        <v>3276</v>
      </c>
      <c r="B1262" s="73" t="s">
        <v>851</v>
      </c>
      <c r="C1262" s="73" t="s">
        <v>653</v>
      </c>
      <c r="D1262" s="73" t="s">
        <v>891</v>
      </c>
      <c r="E1262" s="73" t="s">
        <v>767</v>
      </c>
      <c r="F1262" s="73" t="s">
        <v>2883</v>
      </c>
      <c r="G1262" s="73" t="s">
        <v>109</v>
      </c>
      <c r="H1262" s="73" t="s">
        <v>3277</v>
      </c>
      <c r="I1262" s="73" t="s">
        <v>3169</v>
      </c>
      <c r="J1262" s="73" t="s">
        <v>2926</v>
      </c>
      <c r="K1262" s="73" t="s">
        <v>895</v>
      </c>
      <c r="L1262" s="103" t="n">
        <v>0</v>
      </c>
    </row>
    <row r="1263" customFormat="false" ht="15" hidden="false" customHeight="true" outlineLevel="0" collapsed="false">
      <c r="A1263" s="73" t="s">
        <v>3278</v>
      </c>
      <c r="B1263" s="73" t="s">
        <v>851</v>
      </c>
      <c r="C1263" s="73" t="s">
        <v>653</v>
      </c>
      <c r="D1263" s="73" t="s">
        <v>891</v>
      </c>
      <c r="E1263" s="73" t="s">
        <v>767</v>
      </c>
      <c r="F1263" s="73" t="s">
        <v>2883</v>
      </c>
      <c r="G1263" s="73" t="s">
        <v>111</v>
      </c>
      <c r="H1263" s="73" t="s">
        <v>3279</v>
      </c>
      <c r="I1263" s="73" t="s">
        <v>3169</v>
      </c>
      <c r="J1263" s="73" t="s">
        <v>2926</v>
      </c>
      <c r="K1263" s="73" t="s">
        <v>895</v>
      </c>
      <c r="L1263" s="103" t="n">
        <v>0</v>
      </c>
    </row>
    <row r="1264" customFormat="false" ht="15" hidden="false" customHeight="true" outlineLevel="0" collapsed="false">
      <c r="A1264" s="73" t="s">
        <v>3280</v>
      </c>
      <c r="B1264" s="73" t="s">
        <v>851</v>
      </c>
      <c r="C1264" s="73" t="s">
        <v>653</v>
      </c>
      <c r="D1264" s="73" t="s">
        <v>918</v>
      </c>
      <c r="E1264" s="73" t="s">
        <v>767</v>
      </c>
      <c r="F1264" s="73" t="s">
        <v>2883</v>
      </c>
      <c r="G1264" s="73" t="s">
        <v>96</v>
      </c>
      <c r="H1264" s="73" t="s">
        <v>3281</v>
      </c>
      <c r="I1264" s="73" t="s">
        <v>3169</v>
      </c>
      <c r="J1264" s="73"/>
      <c r="K1264" s="73"/>
      <c r="L1264" s="103" t="n">
        <v>0</v>
      </c>
    </row>
    <row r="1265" customFormat="false" ht="15" hidden="false" customHeight="true" outlineLevel="0" collapsed="false">
      <c r="A1265" s="73" t="s">
        <v>3282</v>
      </c>
      <c r="B1265" s="73" t="s">
        <v>851</v>
      </c>
      <c r="C1265" s="73" t="s">
        <v>653</v>
      </c>
      <c r="D1265" s="73" t="s">
        <v>918</v>
      </c>
      <c r="E1265" s="73" t="s">
        <v>767</v>
      </c>
      <c r="F1265" s="73" t="s">
        <v>2883</v>
      </c>
      <c r="G1265" s="73" t="s">
        <v>99</v>
      </c>
      <c r="H1265" s="73" t="s">
        <v>3283</v>
      </c>
      <c r="I1265" s="73" t="s">
        <v>3169</v>
      </c>
      <c r="J1265" s="73"/>
      <c r="K1265" s="73"/>
      <c r="L1265" s="103" t="n">
        <v>0</v>
      </c>
    </row>
    <row r="1266" customFormat="false" ht="15" hidden="false" customHeight="true" outlineLevel="0" collapsed="false">
      <c r="A1266" s="73" t="s">
        <v>3284</v>
      </c>
      <c r="B1266" s="73" t="s">
        <v>851</v>
      </c>
      <c r="C1266" s="73" t="s">
        <v>653</v>
      </c>
      <c r="D1266" s="73" t="s">
        <v>918</v>
      </c>
      <c r="E1266" s="73" t="s">
        <v>767</v>
      </c>
      <c r="F1266" s="73" t="s">
        <v>2883</v>
      </c>
      <c r="G1266" s="73" t="s">
        <v>101</v>
      </c>
      <c r="H1266" s="73" t="s">
        <v>3285</v>
      </c>
      <c r="I1266" s="73" t="s">
        <v>3169</v>
      </c>
      <c r="J1266" s="73"/>
      <c r="K1266" s="73"/>
      <c r="L1266" s="103" t="n">
        <v>0</v>
      </c>
    </row>
    <row r="1267" customFormat="false" ht="15" hidden="false" customHeight="true" outlineLevel="0" collapsed="false">
      <c r="A1267" s="73" t="s">
        <v>3286</v>
      </c>
      <c r="B1267" s="73" t="s">
        <v>851</v>
      </c>
      <c r="C1267" s="73" t="s">
        <v>653</v>
      </c>
      <c r="D1267" s="73" t="s">
        <v>918</v>
      </c>
      <c r="E1267" s="73" t="s">
        <v>767</v>
      </c>
      <c r="F1267" s="73" t="s">
        <v>2883</v>
      </c>
      <c r="G1267" s="73" t="s">
        <v>103</v>
      </c>
      <c r="H1267" s="73" t="s">
        <v>3287</v>
      </c>
      <c r="I1267" s="73" t="s">
        <v>3169</v>
      </c>
      <c r="J1267" s="73"/>
      <c r="K1267" s="73"/>
      <c r="L1267" s="103" t="n">
        <v>0</v>
      </c>
    </row>
    <row r="1268" customFormat="false" ht="15" hidden="false" customHeight="true" outlineLevel="0" collapsed="false">
      <c r="A1268" s="73" t="s">
        <v>3288</v>
      </c>
      <c r="B1268" s="73" t="s">
        <v>851</v>
      </c>
      <c r="C1268" s="73" t="s">
        <v>653</v>
      </c>
      <c r="D1268" s="73" t="s">
        <v>918</v>
      </c>
      <c r="E1268" s="73" t="s">
        <v>767</v>
      </c>
      <c r="F1268" s="73" t="s">
        <v>2883</v>
      </c>
      <c r="G1268" s="73" t="s">
        <v>105</v>
      </c>
      <c r="H1268" s="73" t="s">
        <v>3289</v>
      </c>
      <c r="I1268" s="73" t="s">
        <v>3169</v>
      </c>
      <c r="J1268" s="73"/>
      <c r="K1268" s="73"/>
      <c r="L1268" s="103" t="n">
        <v>0</v>
      </c>
    </row>
    <row r="1269" customFormat="false" ht="15" hidden="false" customHeight="true" outlineLevel="0" collapsed="false">
      <c r="A1269" s="73" t="s">
        <v>3290</v>
      </c>
      <c r="B1269" s="73" t="s">
        <v>851</v>
      </c>
      <c r="C1269" s="73" t="s">
        <v>653</v>
      </c>
      <c r="D1269" s="73" t="s">
        <v>918</v>
      </c>
      <c r="E1269" s="73" t="s">
        <v>767</v>
      </c>
      <c r="F1269" s="73" t="s">
        <v>2883</v>
      </c>
      <c r="G1269" s="73" t="s">
        <v>107</v>
      </c>
      <c r="H1269" s="73" t="s">
        <v>3291</v>
      </c>
      <c r="I1269" s="73" t="s">
        <v>3169</v>
      </c>
      <c r="J1269" s="73"/>
      <c r="K1269" s="73"/>
      <c r="L1269" s="103" t="n">
        <v>0</v>
      </c>
    </row>
    <row r="1270" customFormat="false" ht="15" hidden="false" customHeight="true" outlineLevel="0" collapsed="false">
      <c r="A1270" s="73" t="s">
        <v>3292</v>
      </c>
      <c r="B1270" s="73" t="s">
        <v>851</v>
      </c>
      <c r="C1270" s="73" t="s">
        <v>653</v>
      </c>
      <c r="D1270" s="73" t="s">
        <v>918</v>
      </c>
      <c r="E1270" s="73" t="s">
        <v>767</v>
      </c>
      <c r="F1270" s="73" t="s">
        <v>2883</v>
      </c>
      <c r="G1270" s="73" t="s">
        <v>109</v>
      </c>
      <c r="H1270" s="73" t="s">
        <v>3293</v>
      </c>
      <c r="I1270" s="73" t="s">
        <v>3169</v>
      </c>
      <c r="J1270" s="73"/>
      <c r="K1270" s="73"/>
      <c r="L1270" s="103" t="n">
        <v>0</v>
      </c>
    </row>
    <row r="1271" customFormat="false" ht="15" hidden="false" customHeight="true" outlineLevel="0" collapsed="false">
      <c r="A1271" s="73" t="s">
        <v>3294</v>
      </c>
      <c r="B1271" s="73" t="s">
        <v>851</v>
      </c>
      <c r="C1271" s="73" t="s">
        <v>653</v>
      </c>
      <c r="D1271" s="73" t="s">
        <v>918</v>
      </c>
      <c r="E1271" s="73" t="s">
        <v>767</v>
      </c>
      <c r="F1271" s="73" t="s">
        <v>2883</v>
      </c>
      <c r="G1271" s="73" t="s">
        <v>111</v>
      </c>
      <c r="H1271" s="73" t="s">
        <v>3295</v>
      </c>
      <c r="I1271" s="73" t="s">
        <v>3169</v>
      </c>
      <c r="J1271" s="73"/>
      <c r="K1271" s="73"/>
      <c r="L1271" s="103" t="n">
        <v>0</v>
      </c>
    </row>
    <row r="1272" customFormat="false" ht="15" hidden="false" customHeight="true" outlineLevel="0" collapsed="false">
      <c r="A1272" s="73" t="s">
        <v>3296</v>
      </c>
      <c r="B1272" s="73" t="s">
        <v>851</v>
      </c>
      <c r="C1272" s="73" t="s">
        <v>653</v>
      </c>
      <c r="D1272" s="73" t="s">
        <v>943</v>
      </c>
      <c r="E1272" s="73" t="s">
        <v>767</v>
      </c>
      <c r="F1272" s="73" t="s">
        <v>2883</v>
      </c>
      <c r="G1272" s="73" t="s">
        <v>944</v>
      </c>
      <c r="H1272" s="73" t="s">
        <v>3297</v>
      </c>
      <c r="I1272" s="73" t="s">
        <v>3169</v>
      </c>
      <c r="J1272" s="73"/>
      <c r="K1272" s="73"/>
      <c r="L1272" s="103" t="n">
        <v>0.3</v>
      </c>
    </row>
    <row r="1273" customFormat="false" ht="15" hidden="false" customHeight="true" outlineLevel="0" collapsed="false">
      <c r="A1273" s="73" t="s">
        <v>3298</v>
      </c>
      <c r="B1273" s="73" t="s">
        <v>851</v>
      </c>
      <c r="C1273" s="73" t="s">
        <v>653</v>
      </c>
      <c r="D1273" s="73" t="s">
        <v>948</v>
      </c>
      <c r="E1273" s="73" t="s">
        <v>767</v>
      </c>
      <c r="F1273" s="73" t="s">
        <v>2883</v>
      </c>
      <c r="G1273" s="73" t="s">
        <v>655</v>
      </c>
      <c r="H1273" s="73" t="s">
        <v>3299</v>
      </c>
      <c r="I1273" s="73" t="s">
        <v>708</v>
      </c>
      <c r="J1273" s="73"/>
      <c r="K1273" s="73"/>
      <c r="L1273" s="103" t="n">
        <v>0</v>
      </c>
    </row>
    <row r="1274" customFormat="false" ht="15" hidden="false" customHeight="true" outlineLevel="0" collapsed="false">
      <c r="A1274" s="73" t="s">
        <v>3300</v>
      </c>
      <c r="B1274" s="73" t="s">
        <v>851</v>
      </c>
      <c r="C1274" s="73" t="s">
        <v>653</v>
      </c>
      <c r="D1274" s="73" t="s">
        <v>953</v>
      </c>
      <c r="E1274" s="73" t="s">
        <v>767</v>
      </c>
      <c r="F1274" s="73" t="s">
        <v>2883</v>
      </c>
      <c r="G1274" s="73" t="s">
        <v>655</v>
      </c>
      <c r="H1274" s="73" t="s">
        <v>3301</v>
      </c>
      <c r="I1274" s="73" t="s">
        <v>955</v>
      </c>
      <c r="J1274" s="73"/>
      <c r="K1274" s="73"/>
      <c r="L1274" s="103" t="n">
        <v>0</v>
      </c>
    </row>
    <row r="1275" customFormat="false" ht="15" hidden="false" customHeight="true" outlineLevel="0" collapsed="false">
      <c r="A1275" s="73" t="s">
        <v>3302</v>
      </c>
      <c r="B1275" s="73" t="s">
        <v>856</v>
      </c>
      <c r="C1275" s="73" t="s">
        <v>653</v>
      </c>
      <c r="D1275" s="73" t="s">
        <v>867</v>
      </c>
      <c r="E1275" s="73" t="s">
        <v>767</v>
      </c>
      <c r="F1275" s="73" t="s">
        <v>2883</v>
      </c>
      <c r="G1275" s="73" t="s">
        <v>655</v>
      </c>
      <c r="H1275" s="73" t="s">
        <v>3303</v>
      </c>
      <c r="I1275" s="73" t="s">
        <v>3157</v>
      </c>
      <c r="J1275" s="73" t="s">
        <v>3158</v>
      </c>
      <c r="K1275" s="73" t="s">
        <v>2915</v>
      </c>
      <c r="L1275" s="107" t="n">
        <v>0.02</v>
      </c>
    </row>
    <row r="1276" customFormat="false" ht="15" hidden="false" customHeight="true" outlineLevel="0" collapsed="false">
      <c r="A1276" s="73" t="s">
        <v>3304</v>
      </c>
      <c r="B1276" s="73" t="s">
        <v>856</v>
      </c>
      <c r="C1276" s="73" t="s">
        <v>653</v>
      </c>
      <c r="D1276" s="73" t="s">
        <v>873</v>
      </c>
      <c r="E1276" s="73" t="s">
        <v>767</v>
      </c>
      <c r="F1276" s="73" t="s">
        <v>2883</v>
      </c>
      <c r="G1276" s="73" t="s">
        <v>655</v>
      </c>
      <c r="H1276" s="73" t="s">
        <v>3305</v>
      </c>
      <c r="I1276" s="73" t="s">
        <v>875</v>
      </c>
      <c r="J1276" s="73"/>
      <c r="K1276" s="73"/>
      <c r="L1276" s="104" t="n">
        <v>0.5</v>
      </c>
    </row>
    <row r="1277" customFormat="false" ht="15" hidden="false" customHeight="true" outlineLevel="0" collapsed="false">
      <c r="A1277" s="73" t="s">
        <v>3306</v>
      </c>
      <c r="B1277" s="73" t="s">
        <v>856</v>
      </c>
      <c r="C1277" s="73" t="s">
        <v>653</v>
      </c>
      <c r="D1277" s="73" t="s">
        <v>878</v>
      </c>
      <c r="E1277" s="73" t="s">
        <v>767</v>
      </c>
      <c r="F1277" s="73" t="s">
        <v>2883</v>
      </c>
      <c r="G1277" s="73" t="s">
        <v>655</v>
      </c>
      <c r="H1277" s="73" t="s">
        <v>3307</v>
      </c>
      <c r="I1277" s="73" t="s">
        <v>880</v>
      </c>
      <c r="J1277" s="73"/>
      <c r="K1277" s="73"/>
      <c r="L1277" s="104" t="n">
        <v>0.2</v>
      </c>
    </row>
    <row r="1278" customFormat="false" ht="15" hidden="false" customHeight="true" outlineLevel="0" collapsed="false">
      <c r="A1278" s="73" t="s">
        <v>3308</v>
      </c>
      <c r="B1278" s="73" t="s">
        <v>856</v>
      </c>
      <c r="C1278" s="73" t="s">
        <v>653</v>
      </c>
      <c r="D1278" s="73" t="s">
        <v>883</v>
      </c>
      <c r="E1278" s="73" t="s">
        <v>767</v>
      </c>
      <c r="F1278" s="73" t="s">
        <v>2883</v>
      </c>
      <c r="G1278" s="73" t="s">
        <v>655</v>
      </c>
      <c r="H1278" s="73" t="s">
        <v>3309</v>
      </c>
      <c r="I1278" s="73" t="s">
        <v>880</v>
      </c>
      <c r="J1278" s="73"/>
      <c r="K1278" s="73"/>
      <c r="L1278" s="104" t="n">
        <v>0.03</v>
      </c>
    </row>
    <row r="1279" customFormat="false" ht="15" hidden="false" customHeight="true" outlineLevel="0" collapsed="false">
      <c r="A1279" s="73" t="s">
        <v>3310</v>
      </c>
      <c r="B1279" s="73" t="s">
        <v>856</v>
      </c>
      <c r="C1279" s="73" t="s">
        <v>653</v>
      </c>
      <c r="D1279" s="73" t="s">
        <v>887</v>
      </c>
      <c r="E1279" s="73" t="s">
        <v>767</v>
      </c>
      <c r="F1279" s="73" t="s">
        <v>2883</v>
      </c>
      <c r="G1279" s="73" t="s">
        <v>655</v>
      </c>
      <c r="H1279" s="73" t="s">
        <v>3311</v>
      </c>
      <c r="I1279" s="73" t="s">
        <v>880</v>
      </c>
      <c r="J1279" s="73"/>
      <c r="K1279" s="73"/>
      <c r="L1279" s="104" t="n">
        <v>0.1</v>
      </c>
    </row>
    <row r="1280" customFormat="false" ht="15" hidden="false" customHeight="true" outlineLevel="0" collapsed="false">
      <c r="A1280" s="73" t="s">
        <v>3312</v>
      </c>
      <c r="B1280" s="73" t="s">
        <v>856</v>
      </c>
      <c r="C1280" s="73" t="s">
        <v>653</v>
      </c>
      <c r="D1280" s="73" t="s">
        <v>891</v>
      </c>
      <c r="E1280" s="73" t="s">
        <v>767</v>
      </c>
      <c r="F1280" s="73" t="s">
        <v>2883</v>
      </c>
      <c r="G1280" s="73" t="s">
        <v>96</v>
      </c>
      <c r="H1280" s="73" t="s">
        <v>3313</v>
      </c>
      <c r="I1280" s="73" t="s">
        <v>3169</v>
      </c>
      <c r="J1280" s="73" t="s">
        <v>2926</v>
      </c>
      <c r="K1280" s="73" t="s">
        <v>895</v>
      </c>
      <c r="L1280" s="103" t="n">
        <v>0</v>
      </c>
    </row>
    <row r="1281" customFormat="false" ht="15" hidden="false" customHeight="true" outlineLevel="0" collapsed="false">
      <c r="A1281" s="73" t="s">
        <v>3314</v>
      </c>
      <c r="B1281" s="73" t="s">
        <v>856</v>
      </c>
      <c r="C1281" s="73" t="s">
        <v>653</v>
      </c>
      <c r="D1281" s="73" t="s">
        <v>891</v>
      </c>
      <c r="E1281" s="73" t="s">
        <v>767</v>
      </c>
      <c r="F1281" s="73" t="s">
        <v>2883</v>
      </c>
      <c r="G1281" s="73" t="s">
        <v>99</v>
      </c>
      <c r="H1281" s="73" t="s">
        <v>3315</v>
      </c>
      <c r="I1281" s="73" t="s">
        <v>3169</v>
      </c>
      <c r="J1281" s="73" t="s">
        <v>2926</v>
      </c>
      <c r="K1281" s="73" t="s">
        <v>895</v>
      </c>
      <c r="L1281" s="103" t="n">
        <v>3</v>
      </c>
    </row>
    <row r="1282" customFormat="false" ht="15" hidden="false" customHeight="true" outlineLevel="0" collapsed="false">
      <c r="A1282" s="73" t="s">
        <v>3316</v>
      </c>
      <c r="B1282" s="73" t="s">
        <v>856</v>
      </c>
      <c r="C1282" s="73" t="s">
        <v>653</v>
      </c>
      <c r="D1282" s="73" t="s">
        <v>891</v>
      </c>
      <c r="E1282" s="73" t="s">
        <v>767</v>
      </c>
      <c r="F1282" s="73" t="s">
        <v>2883</v>
      </c>
      <c r="G1282" s="73" t="s">
        <v>101</v>
      </c>
      <c r="H1282" s="73" t="s">
        <v>3317</v>
      </c>
      <c r="I1282" s="73" t="s">
        <v>3169</v>
      </c>
      <c r="J1282" s="73" t="s">
        <v>2926</v>
      </c>
      <c r="K1282" s="73" t="s">
        <v>895</v>
      </c>
      <c r="L1282" s="103" t="n">
        <v>0</v>
      </c>
    </row>
    <row r="1283" customFormat="false" ht="15" hidden="false" customHeight="true" outlineLevel="0" collapsed="false">
      <c r="A1283" s="73" t="s">
        <v>3318</v>
      </c>
      <c r="B1283" s="73" t="s">
        <v>856</v>
      </c>
      <c r="C1283" s="73" t="s">
        <v>653</v>
      </c>
      <c r="D1283" s="73" t="s">
        <v>891</v>
      </c>
      <c r="E1283" s="73" t="s">
        <v>767</v>
      </c>
      <c r="F1283" s="73" t="s">
        <v>2883</v>
      </c>
      <c r="G1283" s="73" t="s">
        <v>103</v>
      </c>
      <c r="H1283" s="73" t="s">
        <v>3319</v>
      </c>
      <c r="I1283" s="73" t="s">
        <v>3169</v>
      </c>
      <c r="J1283" s="73" t="s">
        <v>2926</v>
      </c>
      <c r="K1283" s="73" t="s">
        <v>895</v>
      </c>
      <c r="L1283" s="103" t="n">
        <v>0</v>
      </c>
    </row>
    <row r="1284" customFormat="false" ht="15" hidden="false" customHeight="true" outlineLevel="0" collapsed="false">
      <c r="A1284" s="73" t="s">
        <v>3320</v>
      </c>
      <c r="B1284" s="73" t="s">
        <v>856</v>
      </c>
      <c r="C1284" s="73" t="s">
        <v>653</v>
      </c>
      <c r="D1284" s="73" t="s">
        <v>891</v>
      </c>
      <c r="E1284" s="73" t="s">
        <v>767</v>
      </c>
      <c r="F1284" s="73" t="s">
        <v>2883</v>
      </c>
      <c r="G1284" s="73" t="s">
        <v>105</v>
      </c>
      <c r="H1284" s="73" t="s">
        <v>3321</v>
      </c>
      <c r="I1284" s="73" t="s">
        <v>3169</v>
      </c>
      <c r="J1284" s="73" t="s">
        <v>2926</v>
      </c>
      <c r="K1284" s="73" t="s">
        <v>895</v>
      </c>
      <c r="L1284" s="103" t="n">
        <v>0</v>
      </c>
    </row>
    <row r="1285" customFormat="false" ht="15" hidden="false" customHeight="true" outlineLevel="0" collapsed="false">
      <c r="A1285" s="73" t="s">
        <v>3322</v>
      </c>
      <c r="B1285" s="73" t="s">
        <v>856</v>
      </c>
      <c r="C1285" s="73" t="s">
        <v>653</v>
      </c>
      <c r="D1285" s="73" t="s">
        <v>891</v>
      </c>
      <c r="E1285" s="73" t="s">
        <v>767</v>
      </c>
      <c r="F1285" s="73" t="s">
        <v>2883</v>
      </c>
      <c r="G1285" s="73" t="s">
        <v>107</v>
      </c>
      <c r="H1285" s="73" t="s">
        <v>3323</v>
      </c>
      <c r="I1285" s="73" t="s">
        <v>3169</v>
      </c>
      <c r="J1285" s="73" t="s">
        <v>2926</v>
      </c>
      <c r="K1285" s="73" t="s">
        <v>895</v>
      </c>
      <c r="L1285" s="103" t="n">
        <v>0</v>
      </c>
    </row>
    <row r="1286" customFormat="false" ht="15" hidden="false" customHeight="true" outlineLevel="0" collapsed="false">
      <c r="A1286" s="73" t="s">
        <v>3324</v>
      </c>
      <c r="B1286" s="73" t="s">
        <v>856</v>
      </c>
      <c r="C1286" s="73" t="s">
        <v>653</v>
      </c>
      <c r="D1286" s="73" t="s">
        <v>891</v>
      </c>
      <c r="E1286" s="73" t="s">
        <v>767</v>
      </c>
      <c r="F1286" s="73" t="s">
        <v>2883</v>
      </c>
      <c r="G1286" s="73" t="s">
        <v>109</v>
      </c>
      <c r="H1286" s="73" t="s">
        <v>3325</v>
      </c>
      <c r="I1286" s="73" t="s">
        <v>3169</v>
      </c>
      <c r="J1286" s="73" t="s">
        <v>2926</v>
      </c>
      <c r="K1286" s="73" t="s">
        <v>895</v>
      </c>
      <c r="L1286" s="103" t="n">
        <v>0</v>
      </c>
    </row>
    <row r="1287" customFormat="false" ht="15" hidden="false" customHeight="true" outlineLevel="0" collapsed="false">
      <c r="A1287" s="73" t="s">
        <v>3326</v>
      </c>
      <c r="B1287" s="73" t="s">
        <v>856</v>
      </c>
      <c r="C1287" s="73" t="s">
        <v>653</v>
      </c>
      <c r="D1287" s="73" t="s">
        <v>891</v>
      </c>
      <c r="E1287" s="73" t="s">
        <v>767</v>
      </c>
      <c r="F1287" s="73" t="s">
        <v>2883</v>
      </c>
      <c r="G1287" s="73" t="s">
        <v>111</v>
      </c>
      <c r="H1287" s="73" t="s">
        <v>3327</v>
      </c>
      <c r="I1287" s="73" t="s">
        <v>3169</v>
      </c>
      <c r="J1287" s="73" t="s">
        <v>2926</v>
      </c>
      <c r="K1287" s="73" t="s">
        <v>895</v>
      </c>
      <c r="L1287" s="103" t="n">
        <v>0</v>
      </c>
    </row>
    <row r="1288" customFormat="false" ht="15" hidden="false" customHeight="true" outlineLevel="0" collapsed="false">
      <c r="A1288" s="73" t="s">
        <v>3328</v>
      </c>
      <c r="B1288" s="73" t="s">
        <v>856</v>
      </c>
      <c r="C1288" s="73" t="s">
        <v>653</v>
      </c>
      <c r="D1288" s="73" t="s">
        <v>918</v>
      </c>
      <c r="E1288" s="73" t="s">
        <v>767</v>
      </c>
      <c r="F1288" s="73" t="s">
        <v>2883</v>
      </c>
      <c r="G1288" s="73" t="s">
        <v>96</v>
      </c>
      <c r="H1288" s="73" t="s">
        <v>3329</v>
      </c>
      <c r="I1288" s="73" t="s">
        <v>3169</v>
      </c>
      <c r="J1288" s="73"/>
      <c r="K1288" s="73"/>
      <c r="L1288" s="103" t="n">
        <v>0</v>
      </c>
    </row>
    <row r="1289" customFormat="false" ht="15" hidden="false" customHeight="true" outlineLevel="0" collapsed="false">
      <c r="A1289" s="73" t="s">
        <v>3330</v>
      </c>
      <c r="B1289" s="73" t="s">
        <v>856</v>
      </c>
      <c r="C1289" s="73" t="s">
        <v>653</v>
      </c>
      <c r="D1289" s="73" t="s">
        <v>918</v>
      </c>
      <c r="E1289" s="73" t="s">
        <v>767</v>
      </c>
      <c r="F1289" s="73" t="s">
        <v>2883</v>
      </c>
      <c r="G1289" s="73" t="s">
        <v>99</v>
      </c>
      <c r="H1289" s="73" t="s">
        <v>3331</v>
      </c>
      <c r="I1289" s="73" t="s">
        <v>3169</v>
      </c>
      <c r="J1289" s="73"/>
      <c r="K1289" s="73"/>
      <c r="L1289" s="103" t="n">
        <v>0</v>
      </c>
    </row>
    <row r="1290" customFormat="false" ht="15" hidden="false" customHeight="true" outlineLevel="0" collapsed="false">
      <c r="A1290" s="73" t="s">
        <v>3332</v>
      </c>
      <c r="B1290" s="73" t="s">
        <v>856</v>
      </c>
      <c r="C1290" s="73" t="s">
        <v>653</v>
      </c>
      <c r="D1290" s="73" t="s">
        <v>918</v>
      </c>
      <c r="E1290" s="73" t="s">
        <v>767</v>
      </c>
      <c r="F1290" s="73" t="s">
        <v>2883</v>
      </c>
      <c r="G1290" s="73" t="s">
        <v>101</v>
      </c>
      <c r="H1290" s="73" t="s">
        <v>3333</v>
      </c>
      <c r="I1290" s="73" t="s">
        <v>3169</v>
      </c>
      <c r="J1290" s="73"/>
      <c r="K1290" s="73"/>
      <c r="L1290" s="103" t="n">
        <v>0</v>
      </c>
    </row>
    <row r="1291" customFormat="false" ht="15" hidden="false" customHeight="true" outlineLevel="0" collapsed="false">
      <c r="A1291" s="73" t="s">
        <v>3334</v>
      </c>
      <c r="B1291" s="73" t="s">
        <v>856</v>
      </c>
      <c r="C1291" s="73" t="s">
        <v>653</v>
      </c>
      <c r="D1291" s="73" t="s">
        <v>918</v>
      </c>
      <c r="E1291" s="73" t="s">
        <v>767</v>
      </c>
      <c r="F1291" s="73" t="s">
        <v>2883</v>
      </c>
      <c r="G1291" s="73" t="s">
        <v>103</v>
      </c>
      <c r="H1291" s="73" t="s">
        <v>3335</v>
      </c>
      <c r="I1291" s="73" t="s">
        <v>3169</v>
      </c>
      <c r="J1291" s="73"/>
      <c r="K1291" s="73"/>
      <c r="L1291" s="103" t="n">
        <v>0</v>
      </c>
    </row>
    <row r="1292" customFormat="false" ht="15" hidden="false" customHeight="true" outlineLevel="0" collapsed="false">
      <c r="A1292" s="73" t="s">
        <v>3336</v>
      </c>
      <c r="B1292" s="73" t="s">
        <v>856</v>
      </c>
      <c r="C1292" s="73" t="s">
        <v>653</v>
      </c>
      <c r="D1292" s="73" t="s">
        <v>918</v>
      </c>
      <c r="E1292" s="73" t="s">
        <v>767</v>
      </c>
      <c r="F1292" s="73" t="s">
        <v>2883</v>
      </c>
      <c r="G1292" s="73" t="s">
        <v>105</v>
      </c>
      <c r="H1292" s="73" t="s">
        <v>3337</v>
      </c>
      <c r="I1292" s="73" t="s">
        <v>3169</v>
      </c>
      <c r="J1292" s="73"/>
      <c r="K1292" s="73"/>
      <c r="L1292" s="103" t="n">
        <v>0</v>
      </c>
    </row>
    <row r="1293" customFormat="false" ht="15" hidden="false" customHeight="true" outlineLevel="0" collapsed="false">
      <c r="A1293" s="73" t="s">
        <v>3338</v>
      </c>
      <c r="B1293" s="73" t="s">
        <v>856</v>
      </c>
      <c r="C1293" s="73" t="s">
        <v>653</v>
      </c>
      <c r="D1293" s="73" t="s">
        <v>918</v>
      </c>
      <c r="E1293" s="73" t="s">
        <v>767</v>
      </c>
      <c r="F1293" s="73" t="s">
        <v>2883</v>
      </c>
      <c r="G1293" s="73" t="s">
        <v>107</v>
      </c>
      <c r="H1293" s="73" t="s">
        <v>3339</v>
      </c>
      <c r="I1293" s="73" t="s">
        <v>3169</v>
      </c>
      <c r="J1293" s="73"/>
      <c r="K1293" s="73"/>
      <c r="L1293" s="103" t="n">
        <v>0</v>
      </c>
    </row>
    <row r="1294" customFormat="false" ht="15" hidden="false" customHeight="true" outlineLevel="0" collapsed="false">
      <c r="A1294" s="73" t="s">
        <v>3340</v>
      </c>
      <c r="B1294" s="73" t="s">
        <v>856</v>
      </c>
      <c r="C1294" s="73" t="s">
        <v>653</v>
      </c>
      <c r="D1294" s="73" t="s">
        <v>918</v>
      </c>
      <c r="E1294" s="73" t="s">
        <v>767</v>
      </c>
      <c r="F1294" s="73" t="s">
        <v>2883</v>
      </c>
      <c r="G1294" s="73" t="s">
        <v>109</v>
      </c>
      <c r="H1294" s="73" t="s">
        <v>3341</v>
      </c>
      <c r="I1294" s="73" t="s">
        <v>3169</v>
      </c>
      <c r="J1294" s="73"/>
      <c r="K1294" s="73"/>
      <c r="L1294" s="103" t="n">
        <v>0</v>
      </c>
    </row>
    <row r="1295" customFormat="false" ht="15" hidden="false" customHeight="true" outlineLevel="0" collapsed="false">
      <c r="A1295" s="73" t="s">
        <v>3342</v>
      </c>
      <c r="B1295" s="73" t="s">
        <v>856</v>
      </c>
      <c r="C1295" s="73" t="s">
        <v>653</v>
      </c>
      <c r="D1295" s="73" t="s">
        <v>918</v>
      </c>
      <c r="E1295" s="73" t="s">
        <v>767</v>
      </c>
      <c r="F1295" s="73" t="s">
        <v>2883</v>
      </c>
      <c r="G1295" s="73" t="s">
        <v>111</v>
      </c>
      <c r="H1295" s="73" t="s">
        <v>3343</v>
      </c>
      <c r="I1295" s="73" t="s">
        <v>3169</v>
      </c>
      <c r="J1295" s="73"/>
      <c r="K1295" s="73"/>
      <c r="L1295" s="103" t="n">
        <v>0</v>
      </c>
    </row>
    <row r="1296" customFormat="false" ht="15" hidden="false" customHeight="true" outlineLevel="0" collapsed="false">
      <c r="A1296" s="73" t="s">
        <v>3344</v>
      </c>
      <c r="B1296" s="73" t="s">
        <v>856</v>
      </c>
      <c r="C1296" s="73" t="s">
        <v>653</v>
      </c>
      <c r="D1296" s="73" t="s">
        <v>943</v>
      </c>
      <c r="E1296" s="73" t="s">
        <v>767</v>
      </c>
      <c r="F1296" s="73" t="s">
        <v>2883</v>
      </c>
      <c r="G1296" s="73" t="s">
        <v>944</v>
      </c>
      <c r="H1296" s="73" t="s">
        <v>3345</v>
      </c>
      <c r="I1296" s="73" t="s">
        <v>3169</v>
      </c>
      <c r="J1296" s="73"/>
      <c r="K1296" s="73"/>
      <c r="L1296" s="103" t="n">
        <v>0.3</v>
      </c>
    </row>
    <row r="1297" customFormat="false" ht="15" hidden="false" customHeight="true" outlineLevel="0" collapsed="false">
      <c r="A1297" s="73" t="s">
        <v>3346</v>
      </c>
      <c r="B1297" s="73" t="s">
        <v>856</v>
      </c>
      <c r="C1297" s="73" t="s">
        <v>653</v>
      </c>
      <c r="D1297" s="73" t="s">
        <v>948</v>
      </c>
      <c r="E1297" s="73" t="s">
        <v>767</v>
      </c>
      <c r="F1297" s="73" t="s">
        <v>2883</v>
      </c>
      <c r="G1297" s="73" t="s">
        <v>655</v>
      </c>
      <c r="H1297" s="73" t="s">
        <v>3347</v>
      </c>
      <c r="I1297" s="73" t="s">
        <v>708</v>
      </c>
      <c r="J1297" s="73"/>
      <c r="K1297" s="73"/>
      <c r="L1297" s="103" t="n">
        <v>0</v>
      </c>
    </row>
    <row r="1298" customFormat="false" ht="15" hidden="false" customHeight="true" outlineLevel="0" collapsed="false">
      <c r="A1298" s="73" t="s">
        <v>3348</v>
      </c>
      <c r="B1298" s="73" t="s">
        <v>856</v>
      </c>
      <c r="C1298" s="73" t="s">
        <v>653</v>
      </c>
      <c r="D1298" s="73" t="s">
        <v>953</v>
      </c>
      <c r="E1298" s="73" t="s">
        <v>767</v>
      </c>
      <c r="F1298" s="73" t="s">
        <v>2883</v>
      </c>
      <c r="G1298" s="73" t="s">
        <v>655</v>
      </c>
      <c r="H1298" s="73" t="s">
        <v>3349</v>
      </c>
      <c r="I1298" s="73" t="s">
        <v>955</v>
      </c>
      <c r="J1298" s="73"/>
      <c r="K1298" s="73"/>
      <c r="L1298" s="103" t="n">
        <v>0</v>
      </c>
    </row>
    <row r="1299" customFormat="false" ht="15" hidden="false" customHeight="true" outlineLevel="0" collapsed="false">
      <c r="A1299" s="73" t="s">
        <v>3350</v>
      </c>
      <c r="B1299" s="73" t="s">
        <v>861</v>
      </c>
      <c r="C1299" s="73" t="s">
        <v>653</v>
      </c>
      <c r="D1299" s="73" t="s">
        <v>867</v>
      </c>
      <c r="E1299" s="73" t="s">
        <v>767</v>
      </c>
      <c r="F1299" s="73" t="s">
        <v>2883</v>
      </c>
      <c r="G1299" s="73" t="s">
        <v>655</v>
      </c>
      <c r="H1299" s="73" t="s">
        <v>3351</v>
      </c>
      <c r="I1299" s="73" t="s">
        <v>3157</v>
      </c>
      <c r="J1299" s="73" t="s">
        <v>3158</v>
      </c>
      <c r="K1299" s="73" t="s">
        <v>2915</v>
      </c>
      <c r="L1299" s="107" t="n">
        <v>0.8</v>
      </c>
    </row>
    <row r="1300" customFormat="false" ht="15" hidden="false" customHeight="true" outlineLevel="0" collapsed="false">
      <c r="A1300" s="73" t="s">
        <v>3352</v>
      </c>
      <c r="B1300" s="73" t="s">
        <v>861</v>
      </c>
      <c r="C1300" s="73" t="s">
        <v>653</v>
      </c>
      <c r="D1300" s="73" t="s">
        <v>873</v>
      </c>
      <c r="E1300" s="73" t="s">
        <v>767</v>
      </c>
      <c r="F1300" s="73" t="s">
        <v>2883</v>
      </c>
      <c r="G1300" s="73" t="s">
        <v>655</v>
      </c>
      <c r="H1300" s="73" t="s">
        <v>3353</v>
      </c>
      <c r="I1300" s="73" t="s">
        <v>875</v>
      </c>
      <c r="J1300" s="73"/>
      <c r="K1300" s="73"/>
      <c r="L1300" s="104" t="n">
        <v>0.5</v>
      </c>
    </row>
    <row r="1301" customFormat="false" ht="15" hidden="false" customHeight="true" outlineLevel="0" collapsed="false">
      <c r="A1301" s="73" t="s">
        <v>3354</v>
      </c>
      <c r="B1301" s="73" t="s">
        <v>861</v>
      </c>
      <c r="C1301" s="73" t="s">
        <v>653</v>
      </c>
      <c r="D1301" s="73" t="s">
        <v>878</v>
      </c>
      <c r="E1301" s="73" t="s">
        <v>767</v>
      </c>
      <c r="F1301" s="73" t="s">
        <v>2883</v>
      </c>
      <c r="G1301" s="73" t="s">
        <v>655</v>
      </c>
      <c r="H1301" s="73" t="s">
        <v>3355</v>
      </c>
      <c r="I1301" s="73" t="s">
        <v>880</v>
      </c>
      <c r="J1301" s="73"/>
      <c r="K1301" s="73"/>
      <c r="L1301" s="104" t="n">
        <v>0.08</v>
      </c>
    </row>
    <row r="1302" customFormat="false" ht="15" hidden="false" customHeight="true" outlineLevel="0" collapsed="false">
      <c r="A1302" s="73" t="s">
        <v>3356</v>
      </c>
      <c r="B1302" s="73" t="s">
        <v>861</v>
      </c>
      <c r="C1302" s="73" t="s">
        <v>653</v>
      </c>
      <c r="D1302" s="73" t="s">
        <v>883</v>
      </c>
      <c r="E1302" s="73" t="s">
        <v>767</v>
      </c>
      <c r="F1302" s="73" t="s">
        <v>2883</v>
      </c>
      <c r="G1302" s="73" t="s">
        <v>655</v>
      </c>
      <c r="H1302" s="73" t="s">
        <v>3357</v>
      </c>
      <c r="I1302" s="73" t="s">
        <v>880</v>
      </c>
      <c r="J1302" s="73"/>
      <c r="K1302" s="73"/>
      <c r="L1302" s="104" t="n">
        <v>0.03</v>
      </c>
    </row>
    <row r="1303" customFormat="false" ht="15" hidden="false" customHeight="true" outlineLevel="0" collapsed="false">
      <c r="A1303" s="73" t="s">
        <v>3358</v>
      </c>
      <c r="B1303" s="73" t="s">
        <v>861</v>
      </c>
      <c r="C1303" s="73" t="s">
        <v>653</v>
      </c>
      <c r="D1303" s="73" t="s">
        <v>887</v>
      </c>
      <c r="E1303" s="73" t="s">
        <v>767</v>
      </c>
      <c r="F1303" s="73" t="s">
        <v>2883</v>
      </c>
      <c r="G1303" s="73" t="s">
        <v>655</v>
      </c>
      <c r="H1303" s="73" t="s">
        <v>3359</v>
      </c>
      <c r="I1303" s="73" t="s">
        <v>880</v>
      </c>
      <c r="J1303" s="73"/>
      <c r="K1303" s="73"/>
      <c r="L1303" s="104" t="n">
        <v>0.05</v>
      </c>
    </row>
    <row r="1304" customFormat="false" ht="15" hidden="false" customHeight="true" outlineLevel="0" collapsed="false">
      <c r="A1304" s="73" t="s">
        <v>3360</v>
      </c>
      <c r="B1304" s="73" t="s">
        <v>861</v>
      </c>
      <c r="C1304" s="73" t="s">
        <v>653</v>
      </c>
      <c r="D1304" s="73" t="s">
        <v>891</v>
      </c>
      <c r="E1304" s="73" t="s">
        <v>767</v>
      </c>
      <c r="F1304" s="73" t="s">
        <v>2883</v>
      </c>
      <c r="G1304" s="73" t="s">
        <v>96</v>
      </c>
      <c r="H1304" s="73" t="s">
        <v>3361</v>
      </c>
      <c r="I1304" s="73" t="s">
        <v>3169</v>
      </c>
      <c r="J1304" s="73" t="s">
        <v>2926</v>
      </c>
      <c r="K1304" s="73" t="s">
        <v>895</v>
      </c>
      <c r="L1304" s="103" t="n">
        <v>2</v>
      </c>
    </row>
    <row r="1305" customFormat="false" ht="15" hidden="false" customHeight="true" outlineLevel="0" collapsed="false">
      <c r="A1305" s="73" t="s">
        <v>3362</v>
      </c>
      <c r="B1305" s="73" t="s">
        <v>861</v>
      </c>
      <c r="C1305" s="73" t="s">
        <v>653</v>
      </c>
      <c r="D1305" s="73" t="s">
        <v>891</v>
      </c>
      <c r="E1305" s="73" t="s">
        <v>767</v>
      </c>
      <c r="F1305" s="73" t="s">
        <v>2883</v>
      </c>
      <c r="G1305" s="73" t="s">
        <v>99</v>
      </c>
      <c r="H1305" s="73" t="s">
        <v>3363</v>
      </c>
      <c r="I1305" s="73" t="s">
        <v>3169</v>
      </c>
      <c r="J1305" s="73" t="s">
        <v>2926</v>
      </c>
      <c r="K1305" s="73" t="s">
        <v>895</v>
      </c>
      <c r="L1305" s="103" t="n">
        <v>3</v>
      </c>
    </row>
    <row r="1306" customFormat="false" ht="15" hidden="false" customHeight="true" outlineLevel="0" collapsed="false">
      <c r="A1306" s="73" t="s">
        <v>3364</v>
      </c>
      <c r="B1306" s="73" t="s">
        <v>861</v>
      </c>
      <c r="C1306" s="73" t="s">
        <v>653</v>
      </c>
      <c r="D1306" s="73" t="s">
        <v>891</v>
      </c>
      <c r="E1306" s="73" t="s">
        <v>767</v>
      </c>
      <c r="F1306" s="73" t="s">
        <v>2883</v>
      </c>
      <c r="G1306" s="73" t="s">
        <v>101</v>
      </c>
      <c r="H1306" s="73" t="s">
        <v>3365</v>
      </c>
      <c r="I1306" s="73" t="s">
        <v>3169</v>
      </c>
      <c r="J1306" s="73" t="s">
        <v>2926</v>
      </c>
      <c r="K1306" s="73" t="s">
        <v>895</v>
      </c>
      <c r="L1306" s="103" t="n">
        <v>0</v>
      </c>
    </row>
    <row r="1307" customFormat="false" ht="15" hidden="false" customHeight="true" outlineLevel="0" collapsed="false">
      <c r="A1307" s="73" t="s">
        <v>3366</v>
      </c>
      <c r="B1307" s="73" t="s">
        <v>861</v>
      </c>
      <c r="C1307" s="73" t="s">
        <v>653</v>
      </c>
      <c r="D1307" s="73" t="s">
        <v>891</v>
      </c>
      <c r="E1307" s="73" t="s">
        <v>767</v>
      </c>
      <c r="F1307" s="73" t="s">
        <v>2883</v>
      </c>
      <c r="G1307" s="73" t="s">
        <v>103</v>
      </c>
      <c r="H1307" s="73" t="s">
        <v>3367</v>
      </c>
      <c r="I1307" s="73" t="s">
        <v>3169</v>
      </c>
      <c r="J1307" s="73" t="s">
        <v>2926</v>
      </c>
      <c r="K1307" s="73" t="s">
        <v>895</v>
      </c>
      <c r="L1307" s="103" t="n">
        <v>0</v>
      </c>
    </row>
    <row r="1308" customFormat="false" ht="15" hidden="false" customHeight="true" outlineLevel="0" collapsed="false">
      <c r="A1308" s="73" t="s">
        <v>3368</v>
      </c>
      <c r="B1308" s="73" t="s">
        <v>861</v>
      </c>
      <c r="C1308" s="73" t="s">
        <v>653</v>
      </c>
      <c r="D1308" s="73" t="s">
        <v>891</v>
      </c>
      <c r="E1308" s="73" t="s">
        <v>767</v>
      </c>
      <c r="F1308" s="73" t="s">
        <v>2883</v>
      </c>
      <c r="G1308" s="73" t="s">
        <v>105</v>
      </c>
      <c r="H1308" s="73" t="s">
        <v>3369</v>
      </c>
      <c r="I1308" s="73" t="s">
        <v>3169</v>
      </c>
      <c r="J1308" s="73" t="s">
        <v>2926</v>
      </c>
      <c r="K1308" s="73" t="s">
        <v>895</v>
      </c>
      <c r="L1308" s="103" t="n">
        <v>0</v>
      </c>
    </row>
    <row r="1309" customFormat="false" ht="15" hidden="false" customHeight="true" outlineLevel="0" collapsed="false">
      <c r="A1309" s="73" t="s">
        <v>3370</v>
      </c>
      <c r="B1309" s="73" t="s">
        <v>861</v>
      </c>
      <c r="C1309" s="73" t="s">
        <v>653</v>
      </c>
      <c r="D1309" s="73" t="s">
        <v>891</v>
      </c>
      <c r="E1309" s="73" t="s">
        <v>767</v>
      </c>
      <c r="F1309" s="73" t="s">
        <v>2883</v>
      </c>
      <c r="G1309" s="73" t="s">
        <v>107</v>
      </c>
      <c r="H1309" s="73" t="s">
        <v>3371</v>
      </c>
      <c r="I1309" s="73" t="s">
        <v>3169</v>
      </c>
      <c r="J1309" s="73" t="s">
        <v>2926</v>
      </c>
      <c r="K1309" s="73" t="s">
        <v>895</v>
      </c>
      <c r="L1309" s="103" t="n">
        <v>0</v>
      </c>
    </row>
    <row r="1310" customFormat="false" ht="15" hidden="false" customHeight="true" outlineLevel="0" collapsed="false">
      <c r="A1310" s="73" t="s">
        <v>3372</v>
      </c>
      <c r="B1310" s="73" t="s">
        <v>861</v>
      </c>
      <c r="C1310" s="73" t="s">
        <v>653</v>
      </c>
      <c r="D1310" s="73" t="s">
        <v>891</v>
      </c>
      <c r="E1310" s="73" t="s">
        <v>767</v>
      </c>
      <c r="F1310" s="73" t="s">
        <v>2883</v>
      </c>
      <c r="G1310" s="73" t="s">
        <v>109</v>
      </c>
      <c r="H1310" s="73" t="s">
        <v>3373</v>
      </c>
      <c r="I1310" s="73" t="s">
        <v>3169</v>
      </c>
      <c r="J1310" s="73" t="s">
        <v>2926</v>
      </c>
      <c r="K1310" s="73" t="s">
        <v>895</v>
      </c>
      <c r="L1310" s="103" t="n">
        <v>0</v>
      </c>
    </row>
    <row r="1311" customFormat="false" ht="15" hidden="false" customHeight="true" outlineLevel="0" collapsed="false">
      <c r="A1311" s="73" t="s">
        <v>3374</v>
      </c>
      <c r="B1311" s="73" t="s">
        <v>861</v>
      </c>
      <c r="C1311" s="73" t="s">
        <v>653</v>
      </c>
      <c r="D1311" s="73" t="s">
        <v>891</v>
      </c>
      <c r="E1311" s="73" t="s">
        <v>767</v>
      </c>
      <c r="F1311" s="73" t="s">
        <v>2883</v>
      </c>
      <c r="G1311" s="73" t="s">
        <v>111</v>
      </c>
      <c r="H1311" s="73" t="s">
        <v>3375</v>
      </c>
      <c r="I1311" s="73" t="s">
        <v>3169</v>
      </c>
      <c r="J1311" s="73" t="s">
        <v>2926</v>
      </c>
      <c r="K1311" s="73" t="s">
        <v>895</v>
      </c>
      <c r="L1311" s="103" t="n">
        <v>0</v>
      </c>
    </row>
    <row r="1312" customFormat="false" ht="15" hidden="false" customHeight="true" outlineLevel="0" collapsed="false">
      <c r="A1312" s="73" t="s">
        <v>3376</v>
      </c>
      <c r="B1312" s="73" t="s">
        <v>861</v>
      </c>
      <c r="C1312" s="73" t="s">
        <v>653</v>
      </c>
      <c r="D1312" s="73" t="s">
        <v>918</v>
      </c>
      <c r="E1312" s="73" t="s">
        <v>767</v>
      </c>
      <c r="F1312" s="73" t="s">
        <v>2883</v>
      </c>
      <c r="G1312" s="73" t="s">
        <v>96</v>
      </c>
      <c r="H1312" s="73" t="s">
        <v>3377</v>
      </c>
      <c r="I1312" s="73" t="s">
        <v>3169</v>
      </c>
      <c r="J1312" s="73"/>
      <c r="K1312" s="73"/>
      <c r="L1312" s="103" t="n">
        <v>0</v>
      </c>
    </row>
    <row r="1313" customFormat="false" ht="15" hidden="false" customHeight="true" outlineLevel="0" collapsed="false">
      <c r="A1313" s="73" t="s">
        <v>3378</v>
      </c>
      <c r="B1313" s="73" t="s">
        <v>861</v>
      </c>
      <c r="C1313" s="73" t="s">
        <v>653</v>
      </c>
      <c r="D1313" s="73" t="s">
        <v>918</v>
      </c>
      <c r="E1313" s="73" t="s">
        <v>767</v>
      </c>
      <c r="F1313" s="73" t="s">
        <v>2883</v>
      </c>
      <c r="G1313" s="73" t="s">
        <v>99</v>
      </c>
      <c r="H1313" s="73" t="s">
        <v>3379</v>
      </c>
      <c r="I1313" s="73" t="s">
        <v>3169</v>
      </c>
      <c r="J1313" s="73"/>
      <c r="K1313" s="73"/>
      <c r="L1313" s="103" t="n">
        <v>0</v>
      </c>
    </row>
    <row r="1314" customFormat="false" ht="15" hidden="false" customHeight="true" outlineLevel="0" collapsed="false">
      <c r="A1314" s="73" t="s">
        <v>3380</v>
      </c>
      <c r="B1314" s="73" t="s">
        <v>861</v>
      </c>
      <c r="C1314" s="73" t="s">
        <v>653</v>
      </c>
      <c r="D1314" s="73" t="s">
        <v>918</v>
      </c>
      <c r="E1314" s="73" t="s">
        <v>767</v>
      </c>
      <c r="F1314" s="73" t="s">
        <v>2883</v>
      </c>
      <c r="G1314" s="73" t="s">
        <v>101</v>
      </c>
      <c r="H1314" s="73" t="s">
        <v>3381</v>
      </c>
      <c r="I1314" s="73" t="s">
        <v>3169</v>
      </c>
      <c r="J1314" s="73"/>
      <c r="K1314" s="73"/>
      <c r="L1314" s="103" t="n">
        <v>0</v>
      </c>
    </row>
    <row r="1315" customFormat="false" ht="15" hidden="false" customHeight="true" outlineLevel="0" collapsed="false">
      <c r="A1315" s="73" t="s">
        <v>3382</v>
      </c>
      <c r="B1315" s="73" t="s">
        <v>861</v>
      </c>
      <c r="C1315" s="73" t="s">
        <v>653</v>
      </c>
      <c r="D1315" s="73" t="s">
        <v>918</v>
      </c>
      <c r="E1315" s="73" t="s">
        <v>767</v>
      </c>
      <c r="F1315" s="73" t="s">
        <v>2883</v>
      </c>
      <c r="G1315" s="73" t="s">
        <v>103</v>
      </c>
      <c r="H1315" s="73" t="s">
        <v>3383</v>
      </c>
      <c r="I1315" s="73" t="s">
        <v>3169</v>
      </c>
      <c r="J1315" s="73"/>
      <c r="K1315" s="73"/>
      <c r="L1315" s="103" t="n">
        <v>0</v>
      </c>
    </row>
    <row r="1316" customFormat="false" ht="15" hidden="false" customHeight="true" outlineLevel="0" collapsed="false">
      <c r="A1316" s="73" t="s">
        <v>3384</v>
      </c>
      <c r="B1316" s="73" t="s">
        <v>861</v>
      </c>
      <c r="C1316" s="73" t="s">
        <v>653</v>
      </c>
      <c r="D1316" s="73" t="s">
        <v>918</v>
      </c>
      <c r="E1316" s="73" t="s">
        <v>767</v>
      </c>
      <c r="F1316" s="73" t="s">
        <v>2883</v>
      </c>
      <c r="G1316" s="73" t="s">
        <v>105</v>
      </c>
      <c r="H1316" s="73" t="s">
        <v>3385</v>
      </c>
      <c r="I1316" s="73" t="s">
        <v>3169</v>
      </c>
      <c r="J1316" s="73"/>
      <c r="K1316" s="73"/>
      <c r="L1316" s="103" t="n">
        <v>0</v>
      </c>
    </row>
    <row r="1317" customFormat="false" ht="15" hidden="false" customHeight="true" outlineLevel="0" collapsed="false">
      <c r="A1317" s="73" t="s">
        <v>3386</v>
      </c>
      <c r="B1317" s="73" t="s">
        <v>861</v>
      </c>
      <c r="C1317" s="73" t="s">
        <v>653</v>
      </c>
      <c r="D1317" s="73" t="s">
        <v>918</v>
      </c>
      <c r="E1317" s="73" t="s">
        <v>767</v>
      </c>
      <c r="F1317" s="73" t="s">
        <v>2883</v>
      </c>
      <c r="G1317" s="73" t="s">
        <v>107</v>
      </c>
      <c r="H1317" s="73" t="s">
        <v>3387</v>
      </c>
      <c r="I1317" s="73" t="s">
        <v>3169</v>
      </c>
      <c r="J1317" s="73"/>
      <c r="K1317" s="73"/>
      <c r="L1317" s="103" t="n">
        <v>0</v>
      </c>
    </row>
    <row r="1318" customFormat="false" ht="15" hidden="false" customHeight="true" outlineLevel="0" collapsed="false">
      <c r="A1318" s="73" t="s">
        <v>3388</v>
      </c>
      <c r="B1318" s="73" t="s">
        <v>861</v>
      </c>
      <c r="C1318" s="73" t="s">
        <v>653</v>
      </c>
      <c r="D1318" s="73" t="s">
        <v>918</v>
      </c>
      <c r="E1318" s="73" t="s">
        <v>767</v>
      </c>
      <c r="F1318" s="73" t="s">
        <v>2883</v>
      </c>
      <c r="G1318" s="73" t="s">
        <v>109</v>
      </c>
      <c r="H1318" s="73" t="s">
        <v>3389</v>
      </c>
      <c r="I1318" s="73" t="s">
        <v>3169</v>
      </c>
      <c r="J1318" s="73"/>
      <c r="K1318" s="73"/>
      <c r="L1318" s="103" t="n">
        <v>0</v>
      </c>
    </row>
    <row r="1319" customFormat="false" ht="15" hidden="false" customHeight="true" outlineLevel="0" collapsed="false">
      <c r="A1319" s="73" t="s">
        <v>3390</v>
      </c>
      <c r="B1319" s="73" t="s">
        <v>861</v>
      </c>
      <c r="C1319" s="73" t="s">
        <v>653</v>
      </c>
      <c r="D1319" s="73" t="s">
        <v>918</v>
      </c>
      <c r="E1319" s="73" t="s">
        <v>767</v>
      </c>
      <c r="F1319" s="73" t="s">
        <v>2883</v>
      </c>
      <c r="G1319" s="73" t="s">
        <v>111</v>
      </c>
      <c r="H1319" s="73" t="s">
        <v>3391</v>
      </c>
      <c r="I1319" s="73" t="s">
        <v>3169</v>
      </c>
      <c r="J1319" s="73"/>
      <c r="K1319" s="73"/>
      <c r="L1319" s="103" t="n">
        <v>0</v>
      </c>
    </row>
    <row r="1320" customFormat="false" ht="15" hidden="false" customHeight="true" outlineLevel="0" collapsed="false">
      <c r="A1320" s="73" t="s">
        <v>3392</v>
      </c>
      <c r="B1320" s="73" t="s">
        <v>861</v>
      </c>
      <c r="C1320" s="73" t="s">
        <v>653</v>
      </c>
      <c r="D1320" s="73" t="s">
        <v>943</v>
      </c>
      <c r="E1320" s="73" t="s">
        <v>767</v>
      </c>
      <c r="F1320" s="73" t="s">
        <v>2883</v>
      </c>
      <c r="G1320" s="73" t="s">
        <v>944</v>
      </c>
      <c r="H1320" s="73" t="s">
        <v>3393</v>
      </c>
      <c r="I1320" s="73" t="s">
        <v>3169</v>
      </c>
      <c r="J1320" s="73"/>
      <c r="K1320" s="73"/>
      <c r="L1320" s="103" t="n">
        <v>0.35</v>
      </c>
    </row>
    <row r="1321" customFormat="false" ht="15" hidden="false" customHeight="true" outlineLevel="0" collapsed="false">
      <c r="A1321" s="73" t="s">
        <v>3394</v>
      </c>
      <c r="B1321" s="73" t="s">
        <v>861</v>
      </c>
      <c r="C1321" s="73" t="s">
        <v>653</v>
      </c>
      <c r="D1321" s="73" t="s">
        <v>948</v>
      </c>
      <c r="E1321" s="73" t="s">
        <v>767</v>
      </c>
      <c r="F1321" s="73" t="s">
        <v>2883</v>
      </c>
      <c r="G1321" s="73" t="s">
        <v>655</v>
      </c>
      <c r="H1321" s="73" t="s">
        <v>3395</v>
      </c>
      <c r="I1321" s="73" t="s">
        <v>708</v>
      </c>
      <c r="J1321" s="73"/>
      <c r="K1321" s="73"/>
      <c r="L1321" s="103" t="n">
        <v>0</v>
      </c>
    </row>
    <row r="1322" customFormat="false" ht="15" hidden="false" customHeight="true" outlineLevel="0" collapsed="false">
      <c r="A1322" s="73" t="s">
        <v>3396</v>
      </c>
      <c r="B1322" s="73" t="s">
        <v>861</v>
      </c>
      <c r="C1322" s="73" t="s">
        <v>653</v>
      </c>
      <c r="D1322" s="73" t="s">
        <v>953</v>
      </c>
      <c r="E1322" s="73" t="s">
        <v>767</v>
      </c>
      <c r="F1322" s="73" t="s">
        <v>2883</v>
      </c>
      <c r="G1322" s="73" t="s">
        <v>655</v>
      </c>
      <c r="H1322" s="73" t="s">
        <v>3397</v>
      </c>
      <c r="I1322" s="73" t="s">
        <v>955</v>
      </c>
      <c r="J1322" s="73"/>
      <c r="K1322" s="73"/>
      <c r="L1322" s="103" t="n">
        <v>0</v>
      </c>
    </row>
  </sheetData>
  <mergeCells count="16">
    <mergeCell ref="A1:X1"/>
    <mergeCell ref="A2:X2"/>
    <mergeCell ref="A5:X5"/>
    <mergeCell ref="A11:X11"/>
    <mergeCell ref="A21:X21"/>
    <mergeCell ref="A63:X63"/>
    <mergeCell ref="A73:X73"/>
    <mergeCell ref="A85:X85"/>
    <mergeCell ref="A279:X279"/>
    <mergeCell ref="A473:X473"/>
    <mergeCell ref="A667:X667"/>
    <mergeCell ref="A861:X861"/>
    <mergeCell ref="A1055:X1055"/>
    <mergeCell ref="A1066:X1066"/>
    <mergeCell ref="A1079:N1079"/>
    <mergeCell ref="A1082:X1082"/>
  </mergeCells>
  <dataValidations count="16">
    <dataValidation allowBlank="false" errorStyle="stop" operator="between" showDropDown="false" showErrorMessage="false" showInputMessage="false" sqref="L25" type="list">
      <formula1>"0,1"</formula1>
      <formula2>0</formula2>
    </dataValidation>
    <dataValidation allowBlank="false" errorStyle="stop" operator="between" showDropDown="false" showErrorMessage="false" showInputMessage="false" sqref="L30" type="list">
      <formula1>"0,1"</formula1>
      <formula2>0</formula2>
    </dataValidation>
    <dataValidation allowBlank="false" errorStyle="stop" operator="between" showDropDown="false" showErrorMessage="false" showInputMessage="false" sqref="L35" type="list">
      <formula1>"0,1"</formula1>
      <formula2>0</formula2>
    </dataValidation>
    <dataValidation allowBlank="false" errorStyle="stop" operator="between" showDropDown="false" showErrorMessage="false" showInputMessage="false" sqref="L40" type="list">
      <formula1>"0,1"</formula1>
      <formula2>0</formula2>
    </dataValidation>
    <dataValidation allowBlank="false" errorStyle="stop" operator="between" showDropDown="false" showErrorMessage="false" showInputMessage="false" sqref="L45" type="list">
      <formula1>"0,1"</formula1>
      <formula2>0</formula2>
    </dataValidation>
    <dataValidation allowBlank="false" errorStyle="stop" operator="between" showDropDown="false" showErrorMessage="false" showInputMessage="false" sqref="L50" type="list">
      <formula1>"0,1"</formula1>
      <formula2>0</formula2>
    </dataValidation>
    <dataValidation allowBlank="false" errorStyle="stop" operator="between" showDropDown="false" showErrorMessage="false" showInputMessage="false" sqref="L55" type="list">
      <formula1>"0,1"</formula1>
      <formula2>0</formula2>
    </dataValidation>
    <dataValidation allowBlank="false" errorStyle="stop" operator="between" showDropDown="false" showErrorMessage="false" showInputMessage="false" sqref="L60" type="list">
      <formula1>"0,1"</formula1>
      <formula2>0</formula2>
    </dataValidation>
    <dataValidation allowBlank="false" errorStyle="stop" operator="between" showDropDown="false" showErrorMessage="false" showInputMessage="false" sqref="L64" type="list">
      <formula1>"0,1"</formula1>
      <formula2>0</formula2>
    </dataValidation>
    <dataValidation allowBlank="false" errorStyle="stop" operator="between" showDropDown="false" showErrorMessage="false" showInputMessage="false" sqref="L65" type="list">
      <formula1>"0,1"</formula1>
      <formula2>0</formula2>
    </dataValidation>
    <dataValidation allowBlank="false" errorStyle="stop" operator="between" showDropDown="false" showErrorMessage="false" showInputMessage="false" sqref="L66" type="list">
      <formula1>"0,1"</formula1>
      <formula2>0</formula2>
    </dataValidation>
    <dataValidation allowBlank="false" errorStyle="stop" operator="between" showDropDown="false" showErrorMessage="false" showInputMessage="false" sqref="L67" type="list">
      <formula1>"0,1"</formula1>
      <formula2>0</formula2>
    </dataValidation>
    <dataValidation allowBlank="false" errorStyle="stop" operator="between" showDropDown="false" showErrorMessage="false" showInputMessage="false" sqref="L68" type="list">
      <formula1>"0,1"</formula1>
      <formula2>0</formula2>
    </dataValidation>
    <dataValidation allowBlank="false" errorStyle="stop" operator="between" showDropDown="false" showErrorMessage="false" showInputMessage="false" sqref="L69" type="list">
      <formula1>"0,1"</formula1>
      <formula2>0</formula2>
    </dataValidation>
    <dataValidation allowBlank="false" errorStyle="stop" operator="between" showDropDown="false" showErrorMessage="false" showInputMessage="false" sqref="L70" type="list">
      <formula1>"0,1"</formula1>
      <formula2>0</formula2>
    </dataValidation>
    <dataValidation allowBlank="false" errorStyle="stop" operator="between" showDropDown="false" showErrorMessage="false" showInputMessage="false" sqref="L71"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7" min="2" style="1" width="6"/>
    <col collapsed="false" customWidth="true" hidden="false" outlineLevel="0" max="8" min="8" style="1" width="40"/>
    <col collapsed="false" customWidth="true" hidden="false" outlineLevel="0" max="9" min="9" style="1" width="10"/>
    <col collapsed="false" customWidth="true" hidden="false" outlineLevel="0" max="10" min="10" style="1" width="36"/>
    <col collapsed="false" customWidth="true" hidden="false" outlineLevel="0" max="12" min="11" style="1" width="4"/>
    <col collapsed="false" customWidth="true" hidden="false" outlineLevel="0" max="24" min="13" style="1" width="11"/>
  </cols>
  <sheetData>
    <row r="1" customFormat="false" ht="27.75" hidden="false" customHeight="true" outlineLevel="0" collapsed="false">
      <c r="A1" s="2" t="s">
        <v>3398</v>
      </c>
      <c r="B1" s="2"/>
      <c r="C1" s="2"/>
      <c r="D1" s="2"/>
      <c r="E1" s="2"/>
      <c r="F1" s="2"/>
      <c r="G1" s="2"/>
      <c r="H1" s="2"/>
      <c r="I1" s="2"/>
      <c r="J1" s="2"/>
      <c r="K1" s="2"/>
      <c r="L1" s="2"/>
      <c r="M1" s="2"/>
      <c r="N1" s="2"/>
      <c r="O1" s="2"/>
      <c r="P1" s="2"/>
      <c r="Q1" s="2"/>
      <c r="R1" s="2"/>
      <c r="S1" s="2"/>
      <c r="T1" s="2"/>
      <c r="U1" s="2"/>
      <c r="V1" s="2"/>
      <c r="W1" s="2"/>
      <c r="X1" s="2"/>
    </row>
    <row r="2" customFormat="false" ht="18" hidden="false" customHeight="true" outlineLevel="0" collapsed="false">
      <c r="A2" s="3" t="s">
        <v>3399</v>
      </c>
      <c r="B2" s="3"/>
      <c r="C2" s="3"/>
      <c r="D2" s="3"/>
      <c r="E2" s="3"/>
      <c r="F2" s="3"/>
      <c r="G2" s="3"/>
      <c r="H2" s="3"/>
      <c r="I2" s="3"/>
      <c r="J2" s="3"/>
      <c r="K2" s="3"/>
      <c r="L2" s="3"/>
      <c r="M2" s="3"/>
      <c r="N2" s="3"/>
      <c r="O2" s="3"/>
      <c r="P2" s="3"/>
      <c r="Q2" s="3"/>
      <c r="R2" s="3"/>
      <c r="S2" s="3"/>
      <c r="T2" s="3"/>
      <c r="U2" s="3"/>
      <c r="V2" s="3"/>
      <c r="W2" s="3"/>
      <c r="X2" s="3"/>
    </row>
    <row r="3" customFormat="false" ht="21.75" hidden="false" customHeight="true" outlineLevel="0" collapsed="false">
      <c r="A3" s="17" t="s">
        <v>639</v>
      </c>
      <c r="B3" s="17" t="s">
        <v>640</v>
      </c>
      <c r="C3" s="17" t="s">
        <v>641</v>
      </c>
      <c r="D3" s="17" t="s">
        <v>642</v>
      </c>
      <c r="E3" s="17" t="s">
        <v>643</v>
      </c>
      <c r="F3" s="17" t="s">
        <v>644</v>
      </c>
      <c r="G3" s="17" t="s">
        <v>645</v>
      </c>
      <c r="H3" s="17" t="s">
        <v>646</v>
      </c>
      <c r="I3" s="17" t="s">
        <v>39</v>
      </c>
      <c r="J3" s="17" t="s">
        <v>647</v>
      </c>
      <c r="K3" s="17"/>
      <c r="L3" s="17"/>
      <c r="M3" s="17" t="s">
        <v>40</v>
      </c>
      <c r="N3" s="17" t="s">
        <v>41</v>
      </c>
      <c r="O3" s="17" t="s">
        <v>42</v>
      </c>
      <c r="P3" s="17" t="s">
        <v>43</v>
      </c>
      <c r="Q3" s="17" t="s">
        <v>44</v>
      </c>
      <c r="R3" s="17" t="s">
        <v>45</v>
      </c>
      <c r="S3" s="17" t="s">
        <v>46</v>
      </c>
      <c r="T3" s="17" t="s">
        <v>47</v>
      </c>
      <c r="U3" s="17" t="s">
        <v>48</v>
      </c>
      <c r="V3" s="17" t="s">
        <v>49</v>
      </c>
      <c r="W3" s="17" t="s">
        <v>50</v>
      </c>
      <c r="X3" s="17" t="s">
        <v>51</v>
      </c>
    </row>
    <row r="5" customFormat="false" ht="21.75" hidden="false" customHeight="true" outlineLevel="0" collapsed="false">
      <c r="A5" s="70" t="s">
        <v>3400</v>
      </c>
      <c r="B5" s="70"/>
      <c r="C5" s="70"/>
      <c r="D5" s="70"/>
      <c r="E5" s="70"/>
      <c r="F5" s="70"/>
      <c r="G5" s="70"/>
      <c r="H5" s="70"/>
      <c r="I5" s="70"/>
      <c r="J5" s="70"/>
      <c r="K5" s="70"/>
      <c r="L5" s="70"/>
      <c r="M5" s="70"/>
      <c r="N5" s="70"/>
      <c r="O5" s="70"/>
      <c r="P5" s="70"/>
      <c r="Q5" s="70"/>
      <c r="R5" s="70"/>
      <c r="S5" s="70"/>
      <c r="T5" s="70"/>
      <c r="U5" s="70"/>
      <c r="V5" s="70"/>
      <c r="W5" s="70"/>
      <c r="X5" s="70"/>
    </row>
    <row r="6" customFormat="false" ht="15" hidden="false" customHeight="true" outlineLevel="0" collapsed="false">
      <c r="A6" s="73" t="str">
        <f aca="false">dashboard!$B$5&amp;".pj.grw.---.---.---"</f>
        <v>egy.pj.grw.---.---.---</v>
      </c>
      <c r="B6" s="73" t="str">
        <f aca="false">dashboard!$B$5</f>
        <v>egy</v>
      </c>
      <c r="C6" s="73" t="s">
        <v>3401</v>
      </c>
      <c r="D6" s="73" t="s">
        <v>834</v>
      </c>
      <c r="E6" s="73" t="s">
        <v>655</v>
      </c>
      <c r="F6" s="73" t="s">
        <v>655</v>
      </c>
      <c r="G6" s="73" t="s">
        <v>655</v>
      </c>
      <c r="H6" s="73" t="s">
        <v>3402</v>
      </c>
      <c r="I6" s="73" t="s">
        <v>836</v>
      </c>
      <c r="J6" s="73" t="s">
        <v>3403</v>
      </c>
      <c r="K6" s="73"/>
      <c r="L6" s="73"/>
      <c r="M6" s="111" t="n">
        <f aca="false">INDEX(input_data!$L:$L,MATCH(dashboard!$B$5&amp;".in.grw.---.---.---",input_data!$A:$A,0))</f>
        <v>0.055</v>
      </c>
      <c r="N6" s="111" t="n">
        <f aca="false">INDEX(input_data!$L:$L,MATCH(dashboard!$B$5&amp;".in.grw.---.---.---",input_data!$A:$A,0))</f>
        <v>0.055</v>
      </c>
      <c r="O6" s="111" t="n">
        <f aca="false">INDEX(input_data!$L:$L,MATCH(dashboard!$B$5&amp;".in.grw.---.---.---",input_data!$A:$A,0))</f>
        <v>0.055</v>
      </c>
      <c r="P6" s="111" t="n">
        <f aca="false">INDEX(input_data!$L:$L,MATCH(dashboard!$B$5&amp;".in.grw.---.---.---",input_data!$A:$A,0))</f>
        <v>0.055</v>
      </c>
      <c r="Q6" s="111" t="n">
        <f aca="false">INDEX(input_data!$L:$L,MATCH(dashboard!$B$5&amp;".in.grw.---.---.---",input_data!$A:$A,0))</f>
        <v>0.055</v>
      </c>
      <c r="R6" s="111" t="n">
        <f aca="false">INDEX(input_data!$L:$L,MATCH(dashboard!$B$5&amp;".in.grw.---.---.---",input_data!$A:$A,0))</f>
        <v>0.055</v>
      </c>
      <c r="S6" s="111" t="n">
        <f aca="false">INDEX(input_data!$L:$L,MATCH(dashboard!$B$5&amp;".in.grw.---.---.---",input_data!$A:$A,0))</f>
        <v>0.055</v>
      </c>
      <c r="T6" s="111" t="n">
        <f aca="false">INDEX(input_data!$L:$L,MATCH(dashboard!$B$5&amp;".in.grw.---.---.---",input_data!$A:$A,0))</f>
        <v>0.055</v>
      </c>
      <c r="U6" s="111" t="n">
        <f aca="false">INDEX(input_data!$L:$L,MATCH(dashboard!$B$5&amp;".in.grw.---.---.---",input_data!$A:$A,0))</f>
        <v>0.055</v>
      </c>
      <c r="V6" s="111" t="n">
        <f aca="false">INDEX(input_data!$L:$L,MATCH(dashboard!$B$5&amp;".in.grw.---.---.---",input_data!$A:$A,0))</f>
        <v>0.055</v>
      </c>
      <c r="W6" s="111" t="n">
        <f aca="false">INDEX(input_data!$L:$L,MATCH(dashboard!$B$5&amp;".in.grw.---.---.---",input_data!$A:$A,0))</f>
        <v>0.055</v>
      </c>
      <c r="X6" s="111" t="n">
        <f aca="false">INDEX(input_data!$L:$L,MATCH(dashboard!$B$5&amp;".in.grw.---.---.---",input_data!$A:$A,0))</f>
        <v>0.055</v>
      </c>
    </row>
    <row r="7" customFormat="false" ht="15" hidden="false" customHeight="true" outlineLevel="0" collapsed="false">
      <c r="A7" s="73" t="str">
        <f aca="false">dashboard!$B$5&amp;".pj.idx.---.---.---"</f>
        <v>egy.pj.idx.---.---.---</v>
      </c>
      <c r="B7" s="73" t="str">
        <f aca="false">dashboard!$B$5</f>
        <v>egy</v>
      </c>
      <c r="C7" s="73" t="s">
        <v>3401</v>
      </c>
      <c r="D7" s="73" t="s">
        <v>3404</v>
      </c>
      <c r="E7" s="73" t="s">
        <v>655</v>
      </c>
      <c r="F7" s="73" t="s">
        <v>655</v>
      </c>
      <c r="G7" s="73" t="s">
        <v>655</v>
      </c>
      <c r="H7" s="73" t="s">
        <v>3405</v>
      </c>
      <c r="I7" s="73" t="s">
        <v>3406</v>
      </c>
      <c r="J7" s="73" t="s">
        <v>3407</v>
      </c>
      <c r="K7" s="73"/>
      <c r="L7" s="73"/>
      <c r="M7" s="112" t="n">
        <f aca="false">1</f>
        <v>1</v>
      </c>
      <c r="N7" s="112" t="n">
        <f aca="false">M7*(1+N6)</f>
        <v>1.055</v>
      </c>
      <c r="O7" s="112" t="n">
        <f aca="false">N7*(1+O6)</f>
        <v>1.113025</v>
      </c>
      <c r="P7" s="112" t="n">
        <f aca="false">O7*(1+P6)</f>
        <v>1.174241375</v>
      </c>
      <c r="Q7" s="112" t="n">
        <f aca="false">P7*(1+Q6)</f>
        <v>1.238824650625</v>
      </c>
      <c r="R7" s="112" t="n">
        <f aca="false">Q7*(1+R6)</f>
        <v>1.30696000640937</v>
      </c>
      <c r="S7" s="112" t="n">
        <f aca="false">R7*(1+S6)</f>
        <v>1.37884280676189</v>
      </c>
      <c r="T7" s="112" t="n">
        <f aca="false">S7*(1+T6)</f>
        <v>1.45467916113379</v>
      </c>
      <c r="U7" s="112" t="n">
        <f aca="false">T7*(1+U6)</f>
        <v>1.53468651499615</v>
      </c>
      <c r="V7" s="112" t="n">
        <f aca="false">U7*(1+V6)</f>
        <v>1.61909427332094</v>
      </c>
      <c r="W7" s="112" t="n">
        <f aca="false">V7*(1+W6)</f>
        <v>1.70814445835359</v>
      </c>
      <c r="X7" s="112" t="n">
        <f aca="false">W7*(1+X6)</f>
        <v>1.80209240356304</v>
      </c>
    </row>
    <row r="9" customFormat="false" ht="21.75" hidden="false" customHeight="true" outlineLevel="0" collapsed="false">
      <c r="A9" s="70" t="s">
        <v>3408</v>
      </c>
      <c r="B9" s="70"/>
      <c r="C9" s="70"/>
      <c r="D9" s="70"/>
      <c r="E9" s="70"/>
      <c r="F9" s="70"/>
      <c r="G9" s="70"/>
      <c r="H9" s="70"/>
      <c r="I9" s="70"/>
      <c r="J9" s="70"/>
      <c r="K9" s="70"/>
      <c r="L9" s="70"/>
      <c r="M9" s="70"/>
      <c r="N9" s="70"/>
      <c r="O9" s="70"/>
      <c r="P9" s="70"/>
      <c r="Q9" s="70"/>
      <c r="R9" s="70"/>
      <c r="S9" s="70"/>
      <c r="T9" s="70"/>
      <c r="U9" s="70"/>
      <c r="V9" s="70"/>
      <c r="W9" s="70"/>
      <c r="X9" s="70"/>
    </row>
    <row r="10" customFormat="false" ht="15" hidden="false" customHeight="true" outlineLevel="0" collapsed="false">
      <c r="A10" s="73" t="str">
        <f aca="false">dashboard!$B$5&amp;".ef.eff.---.---.coa"</f>
        <v>egy.ef.eff.---.---.coa</v>
      </c>
      <c r="B10" s="73" t="str">
        <f aca="false">dashboard!$B$5</f>
        <v>egy</v>
      </c>
      <c r="C10" s="73" t="s">
        <v>3409</v>
      </c>
      <c r="D10" s="73" t="s">
        <v>676</v>
      </c>
      <c r="E10" s="73" t="s">
        <v>655</v>
      </c>
      <c r="F10" s="73" t="s">
        <v>655</v>
      </c>
      <c r="G10" s="73" t="s">
        <v>96</v>
      </c>
      <c r="H10" s="73" t="s">
        <v>677</v>
      </c>
      <c r="I10" s="73" t="s">
        <v>678</v>
      </c>
      <c r="J10" s="73" t="s">
        <v>3410</v>
      </c>
      <c r="K10" s="73"/>
      <c r="L10" s="73"/>
      <c r="M10" s="113" t="n">
        <f aca="false">INDEX(input_data!$L:$L,MATCH("all.in.eff.---.---.coa",input_data!$A:$A,0))</f>
        <v>96.1</v>
      </c>
      <c r="N10" s="113" t="n">
        <f aca="false">INDEX(input_data!$L:$L,MATCH("all.in.eff.---.---.coa",input_data!$A:$A,0))</f>
        <v>96.1</v>
      </c>
      <c r="O10" s="113" t="n">
        <f aca="false">INDEX(input_data!$L:$L,MATCH("all.in.eff.---.---.coa",input_data!$A:$A,0))</f>
        <v>96.1</v>
      </c>
      <c r="P10" s="113" t="n">
        <f aca="false">INDEX(input_data!$L:$L,MATCH("all.in.eff.---.---.coa",input_data!$A:$A,0))</f>
        <v>96.1</v>
      </c>
      <c r="Q10" s="113" t="n">
        <f aca="false">INDEX(input_data!$L:$L,MATCH("all.in.eff.---.---.coa",input_data!$A:$A,0))</f>
        <v>96.1</v>
      </c>
      <c r="R10" s="113" t="n">
        <f aca="false">INDEX(input_data!$L:$L,MATCH("all.in.eff.---.---.coa",input_data!$A:$A,0))</f>
        <v>96.1</v>
      </c>
      <c r="S10" s="113" t="n">
        <f aca="false">INDEX(input_data!$L:$L,MATCH("all.in.eff.---.---.coa",input_data!$A:$A,0))</f>
        <v>96.1</v>
      </c>
      <c r="T10" s="113" t="n">
        <f aca="false">INDEX(input_data!$L:$L,MATCH("all.in.eff.---.---.coa",input_data!$A:$A,0))</f>
        <v>96.1</v>
      </c>
      <c r="U10" s="113" t="n">
        <f aca="false">INDEX(input_data!$L:$L,MATCH("all.in.eff.---.---.coa",input_data!$A:$A,0))</f>
        <v>96.1</v>
      </c>
      <c r="V10" s="113" t="n">
        <f aca="false">INDEX(input_data!$L:$L,MATCH("all.in.eff.---.---.coa",input_data!$A:$A,0))</f>
        <v>96.1</v>
      </c>
      <c r="W10" s="113" t="n">
        <f aca="false">INDEX(input_data!$L:$L,MATCH("all.in.eff.---.---.coa",input_data!$A:$A,0))</f>
        <v>96.1</v>
      </c>
      <c r="X10" s="113" t="n">
        <f aca="false">INDEX(input_data!$L:$L,MATCH("all.in.eff.---.---.coa",input_data!$A:$A,0))</f>
        <v>96.1</v>
      </c>
    </row>
    <row r="11" customFormat="false" ht="15" hidden="false" customHeight="true" outlineLevel="0" collapsed="false">
      <c r="A11" s="73" t="str">
        <f aca="false">dashboard!$B$5&amp;".ef.eff.---.---.nga"</f>
        <v>egy.ef.eff.---.---.nga</v>
      </c>
      <c r="B11" s="73" t="str">
        <f aca="false">dashboard!$B$5</f>
        <v>egy</v>
      </c>
      <c r="C11" s="73" t="s">
        <v>3409</v>
      </c>
      <c r="D11" s="73" t="s">
        <v>676</v>
      </c>
      <c r="E11" s="73" t="s">
        <v>655</v>
      </c>
      <c r="F11" s="73" t="s">
        <v>655</v>
      </c>
      <c r="G11" s="73" t="s">
        <v>99</v>
      </c>
      <c r="H11" s="73" t="s">
        <v>682</v>
      </c>
      <c r="I11" s="73" t="s">
        <v>678</v>
      </c>
      <c r="J11" s="73" t="s">
        <v>3410</v>
      </c>
      <c r="K11" s="73"/>
      <c r="L11" s="73"/>
      <c r="M11" s="113" t="n">
        <f aca="false">INDEX(input_data!$L:$L,MATCH("all.in.eff.---.---.nga",input_data!$A:$A,0))</f>
        <v>56.1</v>
      </c>
      <c r="N11" s="113" t="n">
        <f aca="false">INDEX(input_data!$L:$L,MATCH("all.in.eff.---.---.nga",input_data!$A:$A,0))</f>
        <v>56.1</v>
      </c>
      <c r="O11" s="113" t="n">
        <f aca="false">INDEX(input_data!$L:$L,MATCH("all.in.eff.---.---.nga",input_data!$A:$A,0))</f>
        <v>56.1</v>
      </c>
      <c r="P11" s="113" t="n">
        <f aca="false">INDEX(input_data!$L:$L,MATCH("all.in.eff.---.---.nga",input_data!$A:$A,0))</f>
        <v>56.1</v>
      </c>
      <c r="Q11" s="113" t="n">
        <f aca="false">INDEX(input_data!$L:$L,MATCH("all.in.eff.---.---.nga",input_data!$A:$A,0))</f>
        <v>56.1</v>
      </c>
      <c r="R11" s="113" t="n">
        <f aca="false">INDEX(input_data!$L:$L,MATCH("all.in.eff.---.---.nga",input_data!$A:$A,0))</f>
        <v>56.1</v>
      </c>
      <c r="S11" s="113" t="n">
        <f aca="false">INDEX(input_data!$L:$L,MATCH("all.in.eff.---.---.nga",input_data!$A:$A,0))</f>
        <v>56.1</v>
      </c>
      <c r="T11" s="113" t="n">
        <f aca="false">INDEX(input_data!$L:$L,MATCH("all.in.eff.---.---.nga",input_data!$A:$A,0))</f>
        <v>56.1</v>
      </c>
      <c r="U11" s="113" t="n">
        <f aca="false">INDEX(input_data!$L:$L,MATCH("all.in.eff.---.---.nga",input_data!$A:$A,0))</f>
        <v>56.1</v>
      </c>
      <c r="V11" s="113" t="n">
        <f aca="false">INDEX(input_data!$L:$L,MATCH("all.in.eff.---.---.nga",input_data!$A:$A,0))</f>
        <v>56.1</v>
      </c>
      <c r="W11" s="113" t="n">
        <f aca="false">INDEX(input_data!$L:$L,MATCH("all.in.eff.---.---.nga",input_data!$A:$A,0))</f>
        <v>56.1</v>
      </c>
      <c r="X11" s="113" t="n">
        <f aca="false">INDEX(input_data!$L:$L,MATCH("all.in.eff.---.---.nga",input_data!$A:$A,0))</f>
        <v>56.1</v>
      </c>
    </row>
    <row r="12" customFormat="false" ht="15" hidden="false" customHeight="true" outlineLevel="0" collapsed="false">
      <c r="A12" s="73" t="str">
        <f aca="false">dashboard!$B$5&amp;".ef.eff.---.---.gso"</f>
        <v>egy.ef.eff.---.---.gso</v>
      </c>
      <c r="B12" s="73" t="str">
        <f aca="false">dashboard!$B$5</f>
        <v>egy</v>
      </c>
      <c r="C12" s="73" t="s">
        <v>3409</v>
      </c>
      <c r="D12" s="73" t="s">
        <v>676</v>
      </c>
      <c r="E12" s="73" t="s">
        <v>655</v>
      </c>
      <c r="F12" s="73" t="s">
        <v>655</v>
      </c>
      <c r="G12" s="73" t="s">
        <v>101</v>
      </c>
      <c r="H12" s="73" t="s">
        <v>685</v>
      </c>
      <c r="I12" s="73" t="s">
        <v>678</v>
      </c>
      <c r="J12" s="73" t="s">
        <v>3410</v>
      </c>
      <c r="K12" s="73"/>
      <c r="L12" s="73"/>
      <c r="M12" s="113" t="n">
        <f aca="false">INDEX(input_data!$L:$L,MATCH("all.in.eff.---.---.gso",input_data!$A:$A,0))</f>
        <v>69.3</v>
      </c>
      <c r="N12" s="113" t="n">
        <f aca="false">INDEX(input_data!$L:$L,MATCH("all.in.eff.---.---.gso",input_data!$A:$A,0))</f>
        <v>69.3</v>
      </c>
      <c r="O12" s="113" t="n">
        <f aca="false">INDEX(input_data!$L:$L,MATCH("all.in.eff.---.---.gso",input_data!$A:$A,0))</f>
        <v>69.3</v>
      </c>
      <c r="P12" s="113" t="n">
        <f aca="false">INDEX(input_data!$L:$L,MATCH("all.in.eff.---.---.gso",input_data!$A:$A,0))</f>
        <v>69.3</v>
      </c>
      <c r="Q12" s="113" t="n">
        <f aca="false">INDEX(input_data!$L:$L,MATCH("all.in.eff.---.---.gso",input_data!$A:$A,0))</f>
        <v>69.3</v>
      </c>
      <c r="R12" s="113" t="n">
        <f aca="false">INDEX(input_data!$L:$L,MATCH("all.in.eff.---.---.gso",input_data!$A:$A,0))</f>
        <v>69.3</v>
      </c>
      <c r="S12" s="113" t="n">
        <f aca="false">INDEX(input_data!$L:$L,MATCH("all.in.eff.---.---.gso",input_data!$A:$A,0))</f>
        <v>69.3</v>
      </c>
      <c r="T12" s="113" t="n">
        <f aca="false">INDEX(input_data!$L:$L,MATCH("all.in.eff.---.---.gso",input_data!$A:$A,0))</f>
        <v>69.3</v>
      </c>
      <c r="U12" s="113" t="n">
        <f aca="false">INDEX(input_data!$L:$L,MATCH("all.in.eff.---.---.gso",input_data!$A:$A,0))</f>
        <v>69.3</v>
      </c>
      <c r="V12" s="113" t="n">
        <f aca="false">INDEX(input_data!$L:$L,MATCH("all.in.eff.---.---.gso",input_data!$A:$A,0))</f>
        <v>69.3</v>
      </c>
      <c r="W12" s="113" t="n">
        <f aca="false">INDEX(input_data!$L:$L,MATCH("all.in.eff.---.---.gso",input_data!$A:$A,0))</f>
        <v>69.3</v>
      </c>
      <c r="X12" s="113" t="n">
        <f aca="false">INDEX(input_data!$L:$L,MATCH("all.in.eff.---.---.gso",input_data!$A:$A,0))</f>
        <v>69.3</v>
      </c>
    </row>
    <row r="13" customFormat="false" ht="15" hidden="false" customHeight="true" outlineLevel="0" collapsed="false">
      <c r="A13" s="73" t="str">
        <f aca="false">dashboard!$B$5&amp;".ef.eff.---.---.die"</f>
        <v>egy.ef.eff.---.---.die</v>
      </c>
      <c r="B13" s="73" t="str">
        <f aca="false">dashboard!$B$5</f>
        <v>egy</v>
      </c>
      <c r="C13" s="73" t="s">
        <v>3409</v>
      </c>
      <c r="D13" s="73" t="s">
        <v>676</v>
      </c>
      <c r="E13" s="73" t="s">
        <v>655</v>
      </c>
      <c r="F13" s="73" t="s">
        <v>655</v>
      </c>
      <c r="G13" s="73" t="s">
        <v>103</v>
      </c>
      <c r="H13" s="73" t="s">
        <v>688</v>
      </c>
      <c r="I13" s="73" t="s">
        <v>678</v>
      </c>
      <c r="J13" s="73" t="s">
        <v>3410</v>
      </c>
      <c r="K13" s="73"/>
      <c r="L13" s="73"/>
      <c r="M13" s="113" t="n">
        <f aca="false">INDEX(input_data!$L:$L,MATCH("all.in.eff.---.---.die",input_data!$A:$A,0))</f>
        <v>74.1</v>
      </c>
      <c r="N13" s="113" t="n">
        <f aca="false">INDEX(input_data!$L:$L,MATCH("all.in.eff.---.---.die",input_data!$A:$A,0))</f>
        <v>74.1</v>
      </c>
      <c r="O13" s="113" t="n">
        <f aca="false">INDEX(input_data!$L:$L,MATCH("all.in.eff.---.---.die",input_data!$A:$A,0))</f>
        <v>74.1</v>
      </c>
      <c r="P13" s="113" t="n">
        <f aca="false">INDEX(input_data!$L:$L,MATCH("all.in.eff.---.---.die",input_data!$A:$A,0))</f>
        <v>74.1</v>
      </c>
      <c r="Q13" s="113" t="n">
        <f aca="false">INDEX(input_data!$L:$L,MATCH("all.in.eff.---.---.die",input_data!$A:$A,0))</f>
        <v>74.1</v>
      </c>
      <c r="R13" s="113" t="n">
        <f aca="false">INDEX(input_data!$L:$L,MATCH("all.in.eff.---.---.die",input_data!$A:$A,0))</f>
        <v>74.1</v>
      </c>
      <c r="S13" s="113" t="n">
        <f aca="false">INDEX(input_data!$L:$L,MATCH("all.in.eff.---.---.die",input_data!$A:$A,0))</f>
        <v>74.1</v>
      </c>
      <c r="T13" s="113" t="n">
        <f aca="false">INDEX(input_data!$L:$L,MATCH("all.in.eff.---.---.die",input_data!$A:$A,0))</f>
        <v>74.1</v>
      </c>
      <c r="U13" s="113" t="n">
        <f aca="false">INDEX(input_data!$L:$L,MATCH("all.in.eff.---.---.die",input_data!$A:$A,0))</f>
        <v>74.1</v>
      </c>
      <c r="V13" s="113" t="n">
        <f aca="false">INDEX(input_data!$L:$L,MATCH("all.in.eff.---.---.die",input_data!$A:$A,0))</f>
        <v>74.1</v>
      </c>
      <c r="W13" s="113" t="n">
        <f aca="false">INDEX(input_data!$L:$L,MATCH("all.in.eff.---.---.die",input_data!$A:$A,0))</f>
        <v>74.1</v>
      </c>
      <c r="X13" s="113" t="n">
        <f aca="false">INDEX(input_data!$L:$L,MATCH("all.in.eff.---.---.die",input_data!$A:$A,0))</f>
        <v>74.1</v>
      </c>
    </row>
    <row r="14" customFormat="false" ht="15" hidden="false" customHeight="true" outlineLevel="0" collapsed="false">
      <c r="A14" s="73" t="str">
        <f aca="false">dashboard!$B$5&amp;".ef.eff.---.---.ker"</f>
        <v>egy.ef.eff.---.---.ker</v>
      </c>
      <c r="B14" s="73" t="str">
        <f aca="false">dashboard!$B$5</f>
        <v>egy</v>
      </c>
      <c r="C14" s="73" t="s">
        <v>3409</v>
      </c>
      <c r="D14" s="73" t="s">
        <v>676</v>
      </c>
      <c r="E14" s="73" t="s">
        <v>655</v>
      </c>
      <c r="F14" s="73" t="s">
        <v>655</v>
      </c>
      <c r="G14" s="73" t="s">
        <v>105</v>
      </c>
      <c r="H14" s="73" t="s">
        <v>691</v>
      </c>
      <c r="I14" s="73" t="s">
        <v>678</v>
      </c>
      <c r="J14" s="73" t="s">
        <v>3410</v>
      </c>
      <c r="K14" s="73"/>
      <c r="L14" s="73"/>
      <c r="M14" s="113" t="n">
        <f aca="false">INDEX(input_data!$L:$L,MATCH("all.in.eff.---.---.ker",input_data!$A:$A,0))</f>
        <v>71.9</v>
      </c>
      <c r="N14" s="113" t="n">
        <f aca="false">INDEX(input_data!$L:$L,MATCH("all.in.eff.---.---.ker",input_data!$A:$A,0))</f>
        <v>71.9</v>
      </c>
      <c r="O14" s="113" t="n">
        <f aca="false">INDEX(input_data!$L:$L,MATCH("all.in.eff.---.---.ker",input_data!$A:$A,0))</f>
        <v>71.9</v>
      </c>
      <c r="P14" s="113" t="n">
        <f aca="false">INDEX(input_data!$L:$L,MATCH("all.in.eff.---.---.ker",input_data!$A:$A,0))</f>
        <v>71.9</v>
      </c>
      <c r="Q14" s="113" t="n">
        <f aca="false">INDEX(input_data!$L:$L,MATCH("all.in.eff.---.---.ker",input_data!$A:$A,0))</f>
        <v>71.9</v>
      </c>
      <c r="R14" s="113" t="n">
        <f aca="false">INDEX(input_data!$L:$L,MATCH("all.in.eff.---.---.ker",input_data!$A:$A,0))</f>
        <v>71.9</v>
      </c>
      <c r="S14" s="113" t="n">
        <f aca="false">INDEX(input_data!$L:$L,MATCH("all.in.eff.---.---.ker",input_data!$A:$A,0))</f>
        <v>71.9</v>
      </c>
      <c r="T14" s="113" t="n">
        <f aca="false">INDEX(input_data!$L:$L,MATCH("all.in.eff.---.---.ker",input_data!$A:$A,0))</f>
        <v>71.9</v>
      </c>
      <c r="U14" s="113" t="n">
        <f aca="false">INDEX(input_data!$L:$L,MATCH("all.in.eff.---.---.ker",input_data!$A:$A,0))</f>
        <v>71.9</v>
      </c>
      <c r="V14" s="113" t="n">
        <f aca="false">INDEX(input_data!$L:$L,MATCH("all.in.eff.---.---.ker",input_data!$A:$A,0))</f>
        <v>71.9</v>
      </c>
      <c r="W14" s="113" t="n">
        <f aca="false">INDEX(input_data!$L:$L,MATCH("all.in.eff.---.---.ker",input_data!$A:$A,0))</f>
        <v>71.9</v>
      </c>
      <c r="X14" s="113" t="n">
        <f aca="false">INDEX(input_data!$L:$L,MATCH("all.in.eff.---.---.ker",input_data!$A:$A,0))</f>
        <v>71.9</v>
      </c>
    </row>
    <row r="15" customFormat="false" ht="15" hidden="false" customHeight="true" outlineLevel="0" collapsed="false">
      <c r="A15" s="73" t="str">
        <f aca="false">dashboard!$B$5&amp;".ef.eff.---.---.lpg"</f>
        <v>egy.ef.eff.---.---.lpg</v>
      </c>
      <c r="B15" s="73" t="str">
        <f aca="false">dashboard!$B$5</f>
        <v>egy</v>
      </c>
      <c r="C15" s="73" t="s">
        <v>3409</v>
      </c>
      <c r="D15" s="73" t="s">
        <v>676</v>
      </c>
      <c r="E15" s="73" t="s">
        <v>655</v>
      </c>
      <c r="F15" s="73" t="s">
        <v>655</v>
      </c>
      <c r="G15" s="73" t="s">
        <v>107</v>
      </c>
      <c r="H15" s="73" t="s">
        <v>694</v>
      </c>
      <c r="I15" s="73" t="s">
        <v>678</v>
      </c>
      <c r="J15" s="73" t="s">
        <v>3410</v>
      </c>
      <c r="K15" s="73"/>
      <c r="L15" s="73"/>
      <c r="M15" s="113" t="n">
        <f aca="false">INDEX(input_data!$L:$L,MATCH("all.in.eff.---.---.lpg",input_data!$A:$A,0))</f>
        <v>63.1</v>
      </c>
      <c r="N15" s="113" t="n">
        <f aca="false">INDEX(input_data!$L:$L,MATCH("all.in.eff.---.---.lpg",input_data!$A:$A,0))</f>
        <v>63.1</v>
      </c>
      <c r="O15" s="113" t="n">
        <f aca="false">INDEX(input_data!$L:$L,MATCH("all.in.eff.---.---.lpg",input_data!$A:$A,0))</f>
        <v>63.1</v>
      </c>
      <c r="P15" s="113" t="n">
        <f aca="false">INDEX(input_data!$L:$L,MATCH("all.in.eff.---.---.lpg",input_data!$A:$A,0))</f>
        <v>63.1</v>
      </c>
      <c r="Q15" s="113" t="n">
        <f aca="false">INDEX(input_data!$L:$L,MATCH("all.in.eff.---.---.lpg",input_data!$A:$A,0))</f>
        <v>63.1</v>
      </c>
      <c r="R15" s="113" t="n">
        <f aca="false">INDEX(input_data!$L:$L,MATCH("all.in.eff.---.---.lpg",input_data!$A:$A,0))</f>
        <v>63.1</v>
      </c>
      <c r="S15" s="113" t="n">
        <f aca="false">INDEX(input_data!$L:$L,MATCH("all.in.eff.---.---.lpg",input_data!$A:$A,0))</f>
        <v>63.1</v>
      </c>
      <c r="T15" s="113" t="n">
        <f aca="false">INDEX(input_data!$L:$L,MATCH("all.in.eff.---.---.lpg",input_data!$A:$A,0))</f>
        <v>63.1</v>
      </c>
      <c r="U15" s="113" t="n">
        <f aca="false">INDEX(input_data!$L:$L,MATCH("all.in.eff.---.---.lpg",input_data!$A:$A,0))</f>
        <v>63.1</v>
      </c>
      <c r="V15" s="113" t="n">
        <f aca="false">INDEX(input_data!$L:$L,MATCH("all.in.eff.---.---.lpg",input_data!$A:$A,0))</f>
        <v>63.1</v>
      </c>
      <c r="W15" s="113" t="n">
        <f aca="false">INDEX(input_data!$L:$L,MATCH("all.in.eff.---.---.lpg",input_data!$A:$A,0))</f>
        <v>63.1</v>
      </c>
      <c r="X15" s="113" t="n">
        <f aca="false">INDEX(input_data!$L:$L,MATCH("all.in.eff.---.---.lpg",input_data!$A:$A,0))</f>
        <v>63.1</v>
      </c>
    </row>
    <row r="16" customFormat="false" ht="15" hidden="false" customHeight="true" outlineLevel="0" collapsed="false">
      <c r="A16" s="73" t="str">
        <f aca="false">dashboard!$B$5&amp;".ef.eff.---.---.bio"</f>
        <v>egy.ef.eff.---.---.bio</v>
      </c>
      <c r="B16" s="73" t="str">
        <f aca="false">dashboard!$B$5</f>
        <v>egy</v>
      </c>
      <c r="C16" s="73" t="s">
        <v>3409</v>
      </c>
      <c r="D16" s="73" t="s">
        <v>676</v>
      </c>
      <c r="E16" s="73" t="s">
        <v>655</v>
      </c>
      <c r="F16" s="73" t="s">
        <v>655</v>
      </c>
      <c r="G16" s="73" t="s">
        <v>109</v>
      </c>
      <c r="H16" s="73" t="s">
        <v>697</v>
      </c>
      <c r="I16" s="73" t="s">
        <v>678</v>
      </c>
      <c r="J16" s="73" t="s">
        <v>3410</v>
      </c>
      <c r="K16" s="73"/>
      <c r="L16" s="73"/>
      <c r="M16" s="113" t="n">
        <f aca="false">INDEX(input_data!$L:$L,MATCH("all.in.eff.---.---.bio",input_data!$A:$A,0))</f>
        <v>0</v>
      </c>
      <c r="N16" s="113" t="n">
        <f aca="false">INDEX(input_data!$L:$L,MATCH("all.in.eff.---.---.bio",input_data!$A:$A,0))</f>
        <v>0</v>
      </c>
      <c r="O16" s="113" t="n">
        <f aca="false">INDEX(input_data!$L:$L,MATCH("all.in.eff.---.---.bio",input_data!$A:$A,0))</f>
        <v>0</v>
      </c>
      <c r="P16" s="113" t="n">
        <f aca="false">INDEX(input_data!$L:$L,MATCH("all.in.eff.---.---.bio",input_data!$A:$A,0))</f>
        <v>0</v>
      </c>
      <c r="Q16" s="113" t="n">
        <f aca="false">INDEX(input_data!$L:$L,MATCH("all.in.eff.---.---.bio",input_data!$A:$A,0))</f>
        <v>0</v>
      </c>
      <c r="R16" s="113" t="n">
        <f aca="false">INDEX(input_data!$L:$L,MATCH("all.in.eff.---.---.bio",input_data!$A:$A,0))</f>
        <v>0</v>
      </c>
      <c r="S16" s="113" t="n">
        <f aca="false">INDEX(input_data!$L:$L,MATCH("all.in.eff.---.---.bio",input_data!$A:$A,0))</f>
        <v>0</v>
      </c>
      <c r="T16" s="113" t="n">
        <f aca="false">INDEX(input_data!$L:$L,MATCH("all.in.eff.---.---.bio",input_data!$A:$A,0))</f>
        <v>0</v>
      </c>
      <c r="U16" s="113" t="n">
        <f aca="false">INDEX(input_data!$L:$L,MATCH("all.in.eff.---.---.bio",input_data!$A:$A,0))</f>
        <v>0</v>
      </c>
      <c r="V16" s="113" t="n">
        <f aca="false">INDEX(input_data!$L:$L,MATCH("all.in.eff.---.---.bio",input_data!$A:$A,0))</f>
        <v>0</v>
      </c>
      <c r="W16" s="113" t="n">
        <f aca="false">INDEX(input_data!$L:$L,MATCH("all.in.eff.---.---.bio",input_data!$A:$A,0))</f>
        <v>0</v>
      </c>
      <c r="X16" s="113" t="n">
        <f aca="false">INDEX(input_data!$L:$L,MATCH("all.in.eff.---.---.bio",input_data!$A:$A,0))</f>
        <v>0</v>
      </c>
    </row>
    <row r="17" customFormat="false" ht="15" hidden="false" customHeight="true" outlineLevel="0" collapsed="false">
      <c r="A17" s="73" t="str">
        <f aca="false">dashboard!$B$5&amp;".ef.eff.---.---.ren"</f>
        <v>egy.ef.eff.---.---.ren</v>
      </c>
      <c r="B17" s="73" t="str">
        <f aca="false">dashboard!$B$5</f>
        <v>egy</v>
      </c>
      <c r="C17" s="73" t="s">
        <v>3409</v>
      </c>
      <c r="D17" s="73" t="s">
        <v>676</v>
      </c>
      <c r="E17" s="73" t="s">
        <v>655</v>
      </c>
      <c r="F17" s="73" t="s">
        <v>655</v>
      </c>
      <c r="G17" s="73" t="s">
        <v>111</v>
      </c>
      <c r="H17" s="73" t="s">
        <v>700</v>
      </c>
      <c r="I17" s="73" t="s">
        <v>678</v>
      </c>
      <c r="J17" s="73" t="s">
        <v>3410</v>
      </c>
      <c r="K17" s="73"/>
      <c r="L17" s="73"/>
      <c r="M17" s="113" t="n">
        <f aca="false">INDEX(input_data!$L:$L,MATCH("all.in.eff.---.---.ren",input_data!$A:$A,0))</f>
        <v>0</v>
      </c>
      <c r="N17" s="113" t="n">
        <f aca="false">INDEX(input_data!$L:$L,MATCH("all.in.eff.---.---.ren",input_data!$A:$A,0))</f>
        <v>0</v>
      </c>
      <c r="O17" s="113" t="n">
        <f aca="false">INDEX(input_data!$L:$L,MATCH("all.in.eff.---.---.ren",input_data!$A:$A,0))</f>
        <v>0</v>
      </c>
      <c r="P17" s="113" t="n">
        <f aca="false">INDEX(input_data!$L:$L,MATCH("all.in.eff.---.---.ren",input_data!$A:$A,0))</f>
        <v>0</v>
      </c>
      <c r="Q17" s="113" t="n">
        <f aca="false">INDEX(input_data!$L:$L,MATCH("all.in.eff.---.---.ren",input_data!$A:$A,0))</f>
        <v>0</v>
      </c>
      <c r="R17" s="113" t="n">
        <f aca="false">INDEX(input_data!$L:$L,MATCH("all.in.eff.---.---.ren",input_data!$A:$A,0))</f>
        <v>0</v>
      </c>
      <c r="S17" s="113" t="n">
        <f aca="false">INDEX(input_data!$L:$L,MATCH("all.in.eff.---.---.ren",input_data!$A:$A,0))</f>
        <v>0</v>
      </c>
      <c r="T17" s="113" t="n">
        <f aca="false">INDEX(input_data!$L:$L,MATCH("all.in.eff.---.---.ren",input_data!$A:$A,0))</f>
        <v>0</v>
      </c>
      <c r="U17" s="113" t="n">
        <f aca="false">INDEX(input_data!$L:$L,MATCH("all.in.eff.---.---.ren",input_data!$A:$A,0))</f>
        <v>0</v>
      </c>
      <c r="V17" s="113" t="n">
        <f aca="false">INDEX(input_data!$L:$L,MATCH("all.in.eff.---.---.ren",input_data!$A:$A,0))</f>
        <v>0</v>
      </c>
      <c r="W17" s="113" t="n">
        <f aca="false">INDEX(input_data!$L:$L,MATCH("all.in.eff.---.---.ren",input_data!$A:$A,0))</f>
        <v>0</v>
      </c>
      <c r="X17" s="113" t="n">
        <f aca="false">INDEX(input_data!$L:$L,MATCH("all.in.eff.---.---.ren",input_data!$A:$A,0))</f>
        <v>0</v>
      </c>
    </row>
    <row r="19" customFormat="false" ht="21.75" hidden="false" customHeight="true" outlineLevel="0" collapsed="false">
      <c r="A19" s="70" t="s">
        <v>3411</v>
      </c>
      <c r="B19" s="70"/>
      <c r="C19" s="70"/>
      <c r="D19" s="70"/>
      <c r="E19" s="70"/>
      <c r="F19" s="70"/>
      <c r="G19" s="70"/>
      <c r="H19" s="70"/>
      <c r="I19" s="70"/>
      <c r="J19" s="70"/>
      <c r="K19" s="70"/>
      <c r="L19" s="70"/>
      <c r="M19" s="70"/>
      <c r="N19" s="70"/>
      <c r="O19" s="70"/>
      <c r="P19" s="70"/>
      <c r="Q19" s="70"/>
      <c r="R19" s="70"/>
      <c r="S19" s="70"/>
      <c r="T19" s="70"/>
      <c r="U19" s="70"/>
      <c r="V19" s="70"/>
      <c r="W19" s="70"/>
      <c r="X19" s="70"/>
    </row>
    <row r="20" customFormat="false" ht="15" hidden="false" customHeight="true" outlineLevel="0" collapsed="false">
      <c r="A20" s="73" t="str">
        <f aca="false">dashboard!$B$5&amp;".pj.prd.stl.drg.---"</f>
        <v>egy.pj.prd.stl.drg.---</v>
      </c>
      <c r="B20" s="73" t="str">
        <f aca="false">dashboard!$B$5</f>
        <v>egy</v>
      </c>
      <c r="C20" s="73" t="s">
        <v>3401</v>
      </c>
      <c r="D20" s="73" t="s">
        <v>3412</v>
      </c>
      <c r="E20" s="73" t="s">
        <v>705</v>
      </c>
      <c r="F20" s="73" t="s">
        <v>706</v>
      </c>
      <c r="G20" s="73" t="s">
        <v>655</v>
      </c>
      <c r="H20" s="73" t="s">
        <v>3413</v>
      </c>
      <c r="I20" s="73" t="s">
        <v>869</v>
      </c>
      <c r="J20" s="73" t="s">
        <v>3414</v>
      </c>
      <c r="K20" s="73"/>
      <c r="L20" s="73"/>
      <c r="M20" s="114" t="n">
        <f aca="false">IFERROR(INDEX(input_data!$L:$L,MATCH(dashboard!$B$5&amp;".in.prb.stl.drg.---",input_data!$A:$A,0))*POWER(M7,INDEX(input_data!$L:$L,MATCH(dashboard!$B$5&amp;".in.els.stl.drg.---",input_data!$A:$A,0))),0)</f>
        <v>5.1</v>
      </c>
      <c r="N20" s="114" t="n">
        <f aca="false">IFERROR(INDEX(input_data!$L:$L,MATCH(dashboard!$B$5&amp;".in.prb.stl.drg.---",input_data!$A:$A,0))*POWER(N7,INDEX(input_data!$L:$L,MATCH(dashboard!$B$5&amp;".in.els.stl.drg.---",input_data!$A:$A,0))),0)</f>
        <v>5.3805</v>
      </c>
      <c r="O20" s="114" t="n">
        <f aca="false">IFERROR(INDEX(input_data!$L:$L,MATCH(dashboard!$B$5&amp;".in.prb.stl.drg.---",input_data!$A:$A,0))*POWER(O7,INDEX(input_data!$L:$L,MATCH(dashboard!$B$5&amp;".in.els.stl.drg.---",input_data!$A:$A,0))),0)</f>
        <v>5.6764275</v>
      </c>
      <c r="P20" s="114" t="n">
        <f aca="false">IFERROR(INDEX(input_data!$L:$L,MATCH(dashboard!$B$5&amp;".in.prb.stl.drg.---",input_data!$A:$A,0))*POWER(P7,INDEX(input_data!$L:$L,MATCH(dashboard!$B$5&amp;".in.els.stl.drg.---",input_data!$A:$A,0))),0)</f>
        <v>5.9886310125</v>
      </c>
      <c r="Q20" s="114" t="n">
        <f aca="false">IFERROR(INDEX(input_data!$L:$L,MATCH(dashboard!$B$5&amp;".in.prb.stl.drg.---",input_data!$A:$A,0))*POWER(Q7,INDEX(input_data!$L:$L,MATCH(dashboard!$B$5&amp;".in.els.stl.drg.---",input_data!$A:$A,0))),0)</f>
        <v>6.3180057181875</v>
      </c>
      <c r="R20" s="114" t="n">
        <f aca="false">IFERROR(INDEX(input_data!$L:$L,MATCH(dashboard!$B$5&amp;".in.prb.stl.drg.---",input_data!$A:$A,0))*POWER(R7,INDEX(input_data!$L:$L,MATCH(dashboard!$B$5&amp;".in.els.stl.drg.---",input_data!$A:$A,0))),0)</f>
        <v>6.66549603268781</v>
      </c>
      <c r="S20" s="114" t="n">
        <f aca="false">IFERROR(INDEX(input_data!$L:$L,MATCH(dashboard!$B$5&amp;".in.prb.stl.drg.---",input_data!$A:$A,0))*POWER(S7,INDEX(input_data!$L:$L,MATCH(dashboard!$B$5&amp;".in.els.stl.drg.---",input_data!$A:$A,0))),0)</f>
        <v>7.03209831448564</v>
      </c>
      <c r="T20" s="114" t="n">
        <f aca="false">IFERROR(INDEX(input_data!$L:$L,MATCH(dashboard!$B$5&amp;".in.prb.stl.drg.---",input_data!$A:$A,0))*POWER(T7,INDEX(input_data!$L:$L,MATCH(dashboard!$B$5&amp;".in.els.stl.drg.---",input_data!$A:$A,0))),0)</f>
        <v>7.41886372178235</v>
      </c>
      <c r="U20" s="114" t="n">
        <f aca="false">IFERROR(INDEX(input_data!$L:$L,MATCH(dashboard!$B$5&amp;".in.prb.stl.drg.---",input_data!$A:$A,0))*POWER(U7,INDEX(input_data!$L:$L,MATCH(dashboard!$B$5&amp;".in.els.stl.drg.---",input_data!$A:$A,0))),0)</f>
        <v>7.82690122648038</v>
      </c>
      <c r="V20" s="114" t="n">
        <f aca="false">IFERROR(INDEX(input_data!$L:$L,MATCH(dashboard!$B$5&amp;".in.prb.stl.drg.---",input_data!$A:$A,0))*POWER(V7,INDEX(input_data!$L:$L,MATCH(dashboard!$B$5&amp;".in.els.stl.drg.---",input_data!$A:$A,0))),0)</f>
        <v>8.2573807939368</v>
      </c>
      <c r="W20" s="114" t="n">
        <f aca="false">IFERROR(INDEX(input_data!$L:$L,MATCH(dashboard!$B$5&amp;".in.prb.stl.drg.---",input_data!$A:$A,0))*POWER(W7,INDEX(input_data!$L:$L,MATCH(dashboard!$B$5&amp;".in.els.stl.drg.---",input_data!$A:$A,0))),0)</f>
        <v>8.71153673760332</v>
      </c>
      <c r="X20" s="114" t="n">
        <f aca="false">IFERROR(INDEX(input_data!$L:$L,MATCH(dashboard!$B$5&amp;".in.prb.stl.drg.---",input_data!$A:$A,0))*POWER(X7,INDEX(input_data!$L:$L,MATCH(dashboard!$B$5&amp;".in.els.stl.drg.---",input_data!$A:$A,0))),0)</f>
        <v>9.19067125817151</v>
      </c>
    </row>
    <row r="21" customFormat="false" ht="15" hidden="false" customHeight="true" outlineLevel="0" collapsed="false">
      <c r="A21" s="73" t="str">
        <f aca="false">dashboard!$B$5&amp;".pj.eux.stl.drg.---"</f>
        <v>egy.pj.eux.stl.drg.---</v>
      </c>
      <c r="B21" s="73" t="str">
        <f aca="false">dashboard!$B$5</f>
        <v>egy</v>
      </c>
      <c r="C21" s="73" t="s">
        <v>3401</v>
      </c>
      <c r="D21" s="73" t="s">
        <v>3415</v>
      </c>
      <c r="E21" s="73" t="s">
        <v>705</v>
      </c>
      <c r="F21" s="73" t="s">
        <v>706</v>
      </c>
      <c r="G21" s="73" t="s">
        <v>655</v>
      </c>
      <c r="H21" s="73" t="s">
        <v>3416</v>
      </c>
      <c r="I21" s="73" t="s">
        <v>869</v>
      </c>
      <c r="J21" s="73" t="s">
        <v>3417</v>
      </c>
      <c r="K21" s="73"/>
      <c r="L21" s="73"/>
      <c r="M21" s="114" t="n">
        <f aca="false">M20*INDEX(input_data!$L:$L,MATCH(dashboard!$B$5&amp;".in.exe.stl.drg.---",input_data!$A:$A,0))</f>
        <v>0.918</v>
      </c>
      <c r="N21" s="114" t="n">
        <f aca="false">N20*INDEX(input_data!$L:$L,MATCH(dashboard!$B$5&amp;".in.exe.stl.drg.---",input_data!$A:$A,0))</f>
        <v>0.96849</v>
      </c>
      <c r="O21" s="114" t="n">
        <f aca="false">O20*INDEX(input_data!$L:$L,MATCH(dashboard!$B$5&amp;".in.exe.stl.drg.---",input_data!$A:$A,0))</f>
        <v>1.02175695</v>
      </c>
      <c r="P21" s="114" t="n">
        <f aca="false">P20*INDEX(input_data!$L:$L,MATCH(dashboard!$B$5&amp;".in.exe.stl.drg.---",input_data!$A:$A,0))</f>
        <v>1.07795358225</v>
      </c>
      <c r="Q21" s="114" t="n">
        <f aca="false">Q20*INDEX(input_data!$L:$L,MATCH(dashboard!$B$5&amp;".in.exe.stl.drg.---",input_data!$A:$A,0))</f>
        <v>1.13724102927375</v>
      </c>
      <c r="R21" s="114" t="n">
        <f aca="false">R20*INDEX(input_data!$L:$L,MATCH(dashboard!$B$5&amp;".in.exe.stl.drg.---",input_data!$A:$A,0))</f>
        <v>1.19978928588381</v>
      </c>
      <c r="S21" s="114" t="n">
        <f aca="false">S20*INDEX(input_data!$L:$L,MATCH(dashboard!$B$5&amp;".in.exe.stl.drg.---",input_data!$A:$A,0))</f>
        <v>1.26577769660742</v>
      </c>
      <c r="T21" s="114" t="n">
        <f aca="false">T20*INDEX(input_data!$L:$L,MATCH(dashboard!$B$5&amp;".in.exe.stl.drg.---",input_data!$A:$A,0))</f>
        <v>1.33539546992082</v>
      </c>
      <c r="U21" s="114" t="n">
        <f aca="false">U20*INDEX(input_data!$L:$L,MATCH(dashboard!$B$5&amp;".in.exe.stl.drg.---",input_data!$A:$A,0))</f>
        <v>1.40884222076647</v>
      </c>
      <c r="V21" s="114" t="n">
        <f aca="false">V20*INDEX(input_data!$L:$L,MATCH(dashboard!$B$5&amp;".in.exe.stl.drg.---",input_data!$A:$A,0))</f>
        <v>1.48632854290862</v>
      </c>
      <c r="W21" s="114" t="n">
        <f aca="false">W20*INDEX(input_data!$L:$L,MATCH(dashboard!$B$5&amp;".in.exe.stl.drg.---",input_data!$A:$A,0))</f>
        <v>1.5680766127686</v>
      </c>
      <c r="X21" s="114" t="n">
        <f aca="false">X20*INDEX(input_data!$L:$L,MATCH(dashboard!$B$5&amp;".in.exe.stl.drg.---",input_data!$A:$A,0))</f>
        <v>1.65432082647087</v>
      </c>
    </row>
    <row r="22" customFormat="false" ht="15" hidden="false" customHeight="true" outlineLevel="0" collapsed="false">
      <c r="A22" s="73" t="str">
        <f aca="false">dashboard!$B$5&amp;".pj.nex.stl.drg.---"</f>
        <v>egy.pj.nex.stl.drg.---</v>
      </c>
      <c r="B22" s="73" t="str">
        <f aca="false">dashboard!$B$5</f>
        <v>egy</v>
      </c>
      <c r="C22" s="73" t="s">
        <v>3401</v>
      </c>
      <c r="D22" s="73" t="s">
        <v>3418</v>
      </c>
      <c r="E22" s="73" t="s">
        <v>705</v>
      </c>
      <c r="F22" s="73" t="s">
        <v>706</v>
      </c>
      <c r="G22" s="73" t="s">
        <v>655</v>
      </c>
      <c r="H22" s="73" t="s">
        <v>3419</v>
      </c>
      <c r="I22" s="73" t="s">
        <v>869</v>
      </c>
      <c r="J22" s="73" t="s">
        <v>3420</v>
      </c>
      <c r="K22" s="73"/>
      <c r="L22" s="73"/>
      <c r="M22" s="114" t="n">
        <f aca="false">M20*(INDEX(input_data!$L:$L,MATCH(dashboard!$B$5&amp;".in.ext.stl.drg.---",input_data!$A:$A,0))-INDEX(input_data!$L:$L,MATCH(dashboard!$B$5&amp;".in.exe.stl.drg.---",input_data!$A:$A,0)))</f>
        <v>1.122</v>
      </c>
      <c r="N22" s="114" t="n">
        <f aca="false">N20*(INDEX(input_data!$L:$L,MATCH(dashboard!$B$5&amp;".in.ext.stl.drg.---",input_data!$A:$A,0))-INDEX(input_data!$L:$L,MATCH(dashboard!$B$5&amp;".in.exe.stl.drg.---",input_data!$A:$A,0)))</f>
        <v>1.18371</v>
      </c>
      <c r="O22" s="114" t="n">
        <f aca="false">O20*(INDEX(input_data!$L:$L,MATCH(dashboard!$B$5&amp;".in.ext.stl.drg.---",input_data!$A:$A,0))-INDEX(input_data!$L:$L,MATCH(dashboard!$B$5&amp;".in.exe.stl.drg.---",input_data!$A:$A,0)))</f>
        <v>1.24881405</v>
      </c>
      <c r="P22" s="114" t="n">
        <f aca="false">P20*(INDEX(input_data!$L:$L,MATCH(dashboard!$B$5&amp;".in.ext.stl.drg.---",input_data!$A:$A,0))-INDEX(input_data!$L:$L,MATCH(dashboard!$B$5&amp;".in.exe.stl.drg.---",input_data!$A:$A,0)))</f>
        <v>1.31749882275</v>
      </c>
      <c r="Q22" s="114" t="n">
        <f aca="false">Q20*(INDEX(input_data!$L:$L,MATCH(dashboard!$B$5&amp;".in.ext.stl.drg.---",input_data!$A:$A,0))-INDEX(input_data!$L:$L,MATCH(dashboard!$B$5&amp;".in.exe.stl.drg.---",input_data!$A:$A,0)))</f>
        <v>1.38996125800125</v>
      </c>
      <c r="R22" s="114" t="n">
        <f aca="false">R20*(INDEX(input_data!$L:$L,MATCH(dashboard!$B$5&amp;".in.ext.stl.drg.---",input_data!$A:$A,0))-INDEX(input_data!$L:$L,MATCH(dashboard!$B$5&amp;".in.exe.stl.drg.---",input_data!$A:$A,0)))</f>
        <v>1.46640912719132</v>
      </c>
      <c r="S22" s="114" t="n">
        <f aca="false">S20*(INDEX(input_data!$L:$L,MATCH(dashboard!$B$5&amp;".in.ext.stl.drg.---",input_data!$A:$A,0))-INDEX(input_data!$L:$L,MATCH(dashboard!$B$5&amp;".in.exe.stl.drg.---",input_data!$A:$A,0)))</f>
        <v>1.54706162918684</v>
      </c>
      <c r="T22" s="114" t="n">
        <f aca="false">T20*(INDEX(input_data!$L:$L,MATCH(dashboard!$B$5&amp;".in.ext.stl.drg.---",input_data!$A:$A,0))-INDEX(input_data!$L:$L,MATCH(dashboard!$B$5&amp;".in.exe.stl.drg.---",input_data!$A:$A,0)))</f>
        <v>1.63215001879212</v>
      </c>
      <c r="U22" s="114" t="n">
        <f aca="false">U20*(INDEX(input_data!$L:$L,MATCH(dashboard!$B$5&amp;".in.ext.stl.drg.---",input_data!$A:$A,0))-INDEX(input_data!$L:$L,MATCH(dashboard!$B$5&amp;".in.exe.stl.drg.---",input_data!$A:$A,0)))</f>
        <v>1.72191826982568</v>
      </c>
      <c r="V22" s="114" t="n">
        <f aca="false">V20*(INDEX(input_data!$L:$L,MATCH(dashboard!$B$5&amp;".in.ext.stl.drg.---",input_data!$A:$A,0))-INDEX(input_data!$L:$L,MATCH(dashboard!$B$5&amp;".in.exe.stl.drg.---",input_data!$A:$A,0)))</f>
        <v>1.8166237746661</v>
      </c>
      <c r="W22" s="114" t="n">
        <f aca="false">W20*(INDEX(input_data!$L:$L,MATCH(dashboard!$B$5&amp;".in.ext.stl.drg.---",input_data!$A:$A,0))-INDEX(input_data!$L:$L,MATCH(dashboard!$B$5&amp;".in.exe.stl.drg.---",input_data!$A:$A,0)))</f>
        <v>1.91653808227273</v>
      </c>
      <c r="X22" s="114" t="n">
        <f aca="false">X20*(INDEX(input_data!$L:$L,MATCH(dashboard!$B$5&amp;".in.ext.stl.drg.---",input_data!$A:$A,0))-INDEX(input_data!$L:$L,MATCH(dashboard!$B$5&amp;".in.exe.stl.drg.---",input_data!$A:$A,0)))</f>
        <v>2.02194767679773</v>
      </c>
    </row>
    <row r="23" customFormat="false" ht="15" hidden="false" customHeight="true" outlineLevel="0" collapsed="false">
      <c r="A23" s="73" t="str">
        <f aca="false">dashboard!$B$5&amp;".pj.dom.stl.drg.---"</f>
        <v>egy.pj.dom.stl.drg.---</v>
      </c>
      <c r="B23" s="73" t="str">
        <f aca="false">dashboard!$B$5</f>
        <v>egy</v>
      </c>
      <c r="C23" s="73" t="s">
        <v>3401</v>
      </c>
      <c r="D23" s="73" t="s">
        <v>641</v>
      </c>
      <c r="E23" s="73" t="s">
        <v>705</v>
      </c>
      <c r="F23" s="73" t="s">
        <v>706</v>
      </c>
      <c r="G23" s="73" t="s">
        <v>655</v>
      </c>
      <c r="H23" s="73" t="s">
        <v>3421</v>
      </c>
      <c r="I23" s="73" t="s">
        <v>869</v>
      </c>
      <c r="J23" s="73" t="s">
        <v>3422</v>
      </c>
      <c r="K23" s="73"/>
      <c r="L23" s="73"/>
      <c r="M23" s="114" t="n">
        <f aca="false">M20*(1-INDEX(input_data!$L:$L,MATCH(dashboard!$B$5&amp;".in.ext.stl.drg.---",input_data!$A:$A,0)))*(1+INDEX(input_data!$L:$L,MATCH(dashboard!$B$5&amp;".in.imp.stl.drg.---",input_data!$A:$A,0)))</f>
        <v>3.213</v>
      </c>
      <c r="N23" s="114" t="n">
        <f aca="false">N20*(1-INDEX(input_data!$L:$L,MATCH(dashboard!$B$5&amp;".in.ext.stl.drg.---",input_data!$A:$A,0)))*(1+INDEX(input_data!$L:$L,MATCH(dashboard!$B$5&amp;".in.imp.stl.drg.---",input_data!$A:$A,0)))</f>
        <v>3.389715</v>
      </c>
      <c r="O23" s="114" t="n">
        <f aca="false">O20*(1-INDEX(input_data!$L:$L,MATCH(dashboard!$B$5&amp;".in.ext.stl.drg.---",input_data!$A:$A,0)))*(1+INDEX(input_data!$L:$L,MATCH(dashboard!$B$5&amp;".in.imp.stl.drg.---",input_data!$A:$A,0)))</f>
        <v>3.576149325</v>
      </c>
      <c r="P23" s="114" t="n">
        <f aca="false">P20*(1-INDEX(input_data!$L:$L,MATCH(dashboard!$B$5&amp;".in.ext.stl.drg.---",input_data!$A:$A,0)))*(1+INDEX(input_data!$L:$L,MATCH(dashboard!$B$5&amp;".in.imp.stl.drg.---",input_data!$A:$A,0)))</f>
        <v>3.772837537875</v>
      </c>
      <c r="Q23" s="114" t="n">
        <f aca="false">Q20*(1-INDEX(input_data!$L:$L,MATCH(dashboard!$B$5&amp;".in.ext.stl.drg.---",input_data!$A:$A,0)))*(1+INDEX(input_data!$L:$L,MATCH(dashboard!$B$5&amp;".in.imp.stl.drg.---",input_data!$A:$A,0)))</f>
        <v>3.98034360245812</v>
      </c>
      <c r="R23" s="114" t="n">
        <f aca="false">R20*(1-INDEX(input_data!$L:$L,MATCH(dashboard!$B$5&amp;".in.ext.stl.drg.---",input_data!$A:$A,0)))*(1+INDEX(input_data!$L:$L,MATCH(dashboard!$B$5&amp;".in.imp.stl.drg.---",input_data!$A:$A,0)))</f>
        <v>4.19926250059332</v>
      </c>
      <c r="S23" s="114" t="n">
        <f aca="false">S20*(1-INDEX(input_data!$L:$L,MATCH(dashboard!$B$5&amp;".in.ext.stl.drg.---",input_data!$A:$A,0)))*(1+INDEX(input_data!$L:$L,MATCH(dashboard!$B$5&amp;".in.imp.stl.drg.---",input_data!$A:$A,0)))</f>
        <v>4.43022193812595</v>
      </c>
      <c r="T23" s="114" t="n">
        <f aca="false">T20*(1-INDEX(input_data!$L:$L,MATCH(dashboard!$B$5&amp;".in.ext.stl.drg.---",input_data!$A:$A,0)))*(1+INDEX(input_data!$L:$L,MATCH(dashboard!$B$5&amp;".in.imp.stl.drg.---",input_data!$A:$A,0)))</f>
        <v>4.67388414472288</v>
      </c>
      <c r="U23" s="114" t="n">
        <f aca="false">U20*(1-INDEX(input_data!$L:$L,MATCH(dashboard!$B$5&amp;".in.ext.stl.drg.---",input_data!$A:$A,0)))*(1+INDEX(input_data!$L:$L,MATCH(dashboard!$B$5&amp;".in.imp.stl.drg.---",input_data!$A:$A,0)))</f>
        <v>4.93094777268264</v>
      </c>
      <c r="V23" s="114" t="n">
        <f aca="false">V20*(1-INDEX(input_data!$L:$L,MATCH(dashboard!$B$5&amp;".in.ext.stl.drg.---",input_data!$A:$A,0)))*(1+INDEX(input_data!$L:$L,MATCH(dashboard!$B$5&amp;".in.imp.stl.drg.---",input_data!$A:$A,0)))</f>
        <v>5.20214990018018</v>
      </c>
      <c r="W23" s="114" t="n">
        <f aca="false">W20*(1-INDEX(input_data!$L:$L,MATCH(dashboard!$B$5&amp;".in.ext.stl.drg.---",input_data!$A:$A,0)))*(1+INDEX(input_data!$L:$L,MATCH(dashboard!$B$5&amp;".in.imp.stl.drg.---",input_data!$A:$A,0)))</f>
        <v>5.48826814469009</v>
      </c>
      <c r="X23" s="114" t="n">
        <f aca="false">X20*(1-INDEX(input_data!$L:$L,MATCH(dashboard!$B$5&amp;".in.ext.stl.drg.---",input_data!$A:$A,0)))*(1+INDEX(input_data!$L:$L,MATCH(dashboard!$B$5&amp;".in.imp.stl.drg.---",input_data!$A:$A,0)))</f>
        <v>5.79012289264805</v>
      </c>
    </row>
    <row r="24" customFormat="false" ht="15" hidden="false" customHeight="true" outlineLevel="0" collapsed="false">
      <c r="A24" s="73" t="str">
        <f aca="false">dashboard!$B$5&amp;".pj.enc.stl.drg.coa"</f>
        <v>egy.pj.enc.stl.drg.coa</v>
      </c>
      <c r="B24" s="73" t="str">
        <f aca="false">dashboard!$B$5</f>
        <v>egy</v>
      </c>
      <c r="C24" s="73" t="s">
        <v>3401</v>
      </c>
      <c r="D24" s="73" t="s">
        <v>891</v>
      </c>
      <c r="E24" s="73" t="s">
        <v>705</v>
      </c>
      <c r="F24" s="73" t="s">
        <v>706</v>
      </c>
      <c r="G24" s="73" t="s">
        <v>96</v>
      </c>
      <c r="H24" s="73" t="s">
        <v>3423</v>
      </c>
      <c r="I24" s="73" t="s">
        <v>3424</v>
      </c>
      <c r="J24" s="73" t="s">
        <v>3425</v>
      </c>
      <c r="K24" s="73"/>
      <c r="L24" s="73"/>
      <c r="M24" s="114" t="n">
        <f aca="false">M20*INDEX(input_data!$L:$L,MATCH(dashboard!$B$5&amp;".in.enc.stl.drg.coa",input_data!$A:$A,0))</f>
        <v>0</v>
      </c>
      <c r="N24" s="114" t="n">
        <f aca="false">N20*INDEX(input_data!$L:$L,MATCH(dashboard!$B$5&amp;".in.enc.stl.drg.coa",input_data!$A:$A,0))</f>
        <v>0</v>
      </c>
      <c r="O24" s="114" t="n">
        <f aca="false">O20*INDEX(input_data!$L:$L,MATCH(dashboard!$B$5&amp;".in.enc.stl.drg.coa",input_data!$A:$A,0))</f>
        <v>0</v>
      </c>
      <c r="P24" s="114" t="n">
        <f aca="false">P20*INDEX(input_data!$L:$L,MATCH(dashboard!$B$5&amp;".in.enc.stl.drg.coa",input_data!$A:$A,0))</f>
        <v>0</v>
      </c>
      <c r="Q24" s="114" t="n">
        <f aca="false">Q20*INDEX(input_data!$L:$L,MATCH(dashboard!$B$5&amp;".in.enc.stl.drg.coa",input_data!$A:$A,0))</f>
        <v>0</v>
      </c>
      <c r="R24" s="114" t="n">
        <f aca="false">R20*INDEX(input_data!$L:$L,MATCH(dashboard!$B$5&amp;".in.enc.stl.drg.coa",input_data!$A:$A,0))</f>
        <v>0</v>
      </c>
      <c r="S24" s="114" t="n">
        <f aca="false">S20*INDEX(input_data!$L:$L,MATCH(dashboard!$B$5&amp;".in.enc.stl.drg.coa",input_data!$A:$A,0))</f>
        <v>0</v>
      </c>
      <c r="T24" s="114" t="n">
        <f aca="false">T20*INDEX(input_data!$L:$L,MATCH(dashboard!$B$5&amp;".in.enc.stl.drg.coa",input_data!$A:$A,0))</f>
        <v>0</v>
      </c>
      <c r="U24" s="114" t="n">
        <f aca="false">U20*INDEX(input_data!$L:$L,MATCH(dashboard!$B$5&amp;".in.enc.stl.drg.coa",input_data!$A:$A,0))</f>
        <v>0</v>
      </c>
      <c r="V24" s="114" t="n">
        <f aca="false">V20*INDEX(input_data!$L:$L,MATCH(dashboard!$B$5&amp;".in.enc.stl.drg.coa",input_data!$A:$A,0))</f>
        <v>0</v>
      </c>
      <c r="W24" s="114" t="n">
        <f aca="false">W20*INDEX(input_data!$L:$L,MATCH(dashboard!$B$5&amp;".in.enc.stl.drg.coa",input_data!$A:$A,0))</f>
        <v>0</v>
      </c>
      <c r="X24" s="114" t="n">
        <f aca="false">X20*INDEX(input_data!$L:$L,MATCH(dashboard!$B$5&amp;".in.enc.stl.drg.coa",input_data!$A:$A,0))</f>
        <v>0</v>
      </c>
    </row>
    <row r="25" customFormat="false" ht="15" hidden="false" customHeight="true" outlineLevel="0" collapsed="false">
      <c r="A25" s="73" t="str">
        <f aca="false">dashboard!$B$5&amp;".pj.enc.stl.drg.nga"</f>
        <v>egy.pj.enc.stl.drg.nga</v>
      </c>
      <c r="B25" s="73" t="str">
        <f aca="false">dashboard!$B$5</f>
        <v>egy</v>
      </c>
      <c r="C25" s="73" t="s">
        <v>3401</v>
      </c>
      <c r="D25" s="73" t="s">
        <v>891</v>
      </c>
      <c r="E25" s="73" t="s">
        <v>705</v>
      </c>
      <c r="F25" s="73" t="s">
        <v>706</v>
      </c>
      <c r="G25" s="73" t="s">
        <v>99</v>
      </c>
      <c r="H25" s="73" t="s">
        <v>3426</v>
      </c>
      <c r="I25" s="73" t="s">
        <v>3424</v>
      </c>
      <c r="J25" s="73" t="s">
        <v>3425</v>
      </c>
      <c r="K25" s="73"/>
      <c r="L25" s="73"/>
      <c r="M25" s="114" t="n">
        <f aca="false">M20*INDEX(input_data!$L:$L,MATCH(dashboard!$B$5&amp;".in.enc.stl.drg.nga",input_data!$A:$A,0))</f>
        <v>25.5</v>
      </c>
      <c r="N25" s="114" t="n">
        <f aca="false">N20*INDEX(input_data!$L:$L,MATCH(dashboard!$B$5&amp;".in.enc.stl.drg.nga",input_data!$A:$A,0))</f>
        <v>26.9025</v>
      </c>
      <c r="O25" s="114" t="n">
        <f aca="false">O20*INDEX(input_data!$L:$L,MATCH(dashboard!$B$5&amp;".in.enc.stl.drg.nga",input_data!$A:$A,0))</f>
        <v>28.3821375</v>
      </c>
      <c r="P25" s="114" t="n">
        <f aca="false">P20*INDEX(input_data!$L:$L,MATCH(dashboard!$B$5&amp;".in.enc.stl.drg.nga",input_data!$A:$A,0))</f>
        <v>29.9431550625</v>
      </c>
      <c r="Q25" s="114" t="n">
        <f aca="false">Q20*INDEX(input_data!$L:$L,MATCH(dashboard!$B$5&amp;".in.enc.stl.drg.nga",input_data!$A:$A,0))</f>
        <v>31.5900285909375</v>
      </c>
      <c r="R25" s="114" t="n">
        <f aca="false">R20*INDEX(input_data!$L:$L,MATCH(dashboard!$B$5&amp;".in.enc.stl.drg.nga",input_data!$A:$A,0))</f>
        <v>33.3274801634391</v>
      </c>
      <c r="S25" s="114" t="n">
        <f aca="false">S20*INDEX(input_data!$L:$L,MATCH(dashboard!$B$5&amp;".in.enc.stl.drg.nga",input_data!$A:$A,0))</f>
        <v>35.1604915724282</v>
      </c>
      <c r="T25" s="114" t="n">
        <f aca="false">T20*INDEX(input_data!$L:$L,MATCH(dashboard!$B$5&amp;".in.enc.stl.drg.nga",input_data!$A:$A,0))</f>
        <v>37.0943186089118</v>
      </c>
      <c r="U25" s="114" t="n">
        <f aca="false">U20*INDEX(input_data!$L:$L,MATCH(dashboard!$B$5&amp;".in.enc.stl.drg.nga",input_data!$A:$A,0))</f>
        <v>39.1345061324019</v>
      </c>
      <c r="V25" s="114" t="n">
        <f aca="false">V20*INDEX(input_data!$L:$L,MATCH(dashboard!$B$5&amp;".in.enc.stl.drg.nga",input_data!$A:$A,0))</f>
        <v>41.286903969684</v>
      </c>
      <c r="W25" s="114" t="n">
        <f aca="false">W20*INDEX(input_data!$L:$L,MATCH(dashboard!$B$5&amp;".in.enc.stl.drg.nga",input_data!$A:$A,0))</f>
        <v>43.5576836880166</v>
      </c>
      <c r="X25" s="114" t="n">
        <f aca="false">X20*INDEX(input_data!$L:$L,MATCH(dashboard!$B$5&amp;".in.enc.stl.drg.nga",input_data!$A:$A,0))</f>
        <v>45.9533562908575</v>
      </c>
    </row>
    <row r="26" customFormat="false" ht="15" hidden="false" customHeight="true" outlineLevel="0" collapsed="false">
      <c r="A26" s="73" t="str">
        <f aca="false">dashboard!$B$5&amp;".pj.enc.stl.drg.gso"</f>
        <v>egy.pj.enc.stl.drg.gso</v>
      </c>
      <c r="B26" s="73" t="str">
        <f aca="false">dashboard!$B$5</f>
        <v>egy</v>
      </c>
      <c r="C26" s="73" t="s">
        <v>3401</v>
      </c>
      <c r="D26" s="73" t="s">
        <v>891</v>
      </c>
      <c r="E26" s="73" t="s">
        <v>705</v>
      </c>
      <c r="F26" s="73" t="s">
        <v>706</v>
      </c>
      <c r="G26" s="73" t="s">
        <v>101</v>
      </c>
      <c r="H26" s="73" t="s">
        <v>3427</v>
      </c>
      <c r="I26" s="73" t="s">
        <v>3424</v>
      </c>
      <c r="J26" s="73" t="s">
        <v>3425</v>
      </c>
      <c r="K26" s="73"/>
      <c r="L26" s="73"/>
      <c r="M26" s="114" t="n">
        <f aca="false">M20*INDEX(input_data!$L:$L,MATCH(dashboard!$B$5&amp;".in.enc.stl.drg.gso",input_data!$A:$A,0))</f>
        <v>0</v>
      </c>
      <c r="N26" s="114" t="n">
        <f aca="false">N20*INDEX(input_data!$L:$L,MATCH(dashboard!$B$5&amp;".in.enc.stl.drg.gso",input_data!$A:$A,0))</f>
        <v>0</v>
      </c>
      <c r="O26" s="114" t="n">
        <f aca="false">O20*INDEX(input_data!$L:$L,MATCH(dashboard!$B$5&amp;".in.enc.stl.drg.gso",input_data!$A:$A,0))</f>
        <v>0</v>
      </c>
      <c r="P26" s="114" t="n">
        <f aca="false">P20*INDEX(input_data!$L:$L,MATCH(dashboard!$B$5&amp;".in.enc.stl.drg.gso",input_data!$A:$A,0))</f>
        <v>0</v>
      </c>
      <c r="Q26" s="114" t="n">
        <f aca="false">Q20*INDEX(input_data!$L:$L,MATCH(dashboard!$B$5&amp;".in.enc.stl.drg.gso",input_data!$A:$A,0))</f>
        <v>0</v>
      </c>
      <c r="R26" s="114" t="n">
        <f aca="false">R20*INDEX(input_data!$L:$L,MATCH(dashboard!$B$5&amp;".in.enc.stl.drg.gso",input_data!$A:$A,0))</f>
        <v>0</v>
      </c>
      <c r="S26" s="114" t="n">
        <f aca="false">S20*INDEX(input_data!$L:$L,MATCH(dashboard!$B$5&amp;".in.enc.stl.drg.gso",input_data!$A:$A,0))</f>
        <v>0</v>
      </c>
      <c r="T26" s="114" t="n">
        <f aca="false">T20*INDEX(input_data!$L:$L,MATCH(dashboard!$B$5&amp;".in.enc.stl.drg.gso",input_data!$A:$A,0))</f>
        <v>0</v>
      </c>
      <c r="U26" s="114" t="n">
        <f aca="false">U20*INDEX(input_data!$L:$L,MATCH(dashboard!$B$5&amp;".in.enc.stl.drg.gso",input_data!$A:$A,0))</f>
        <v>0</v>
      </c>
      <c r="V26" s="114" t="n">
        <f aca="false">V20*INDEX(input_data!$L:$L,MATCH(dashboard!$B$5&amp;".in.enc.stl.drg.gso",input_data!$A:$A,0))</f>
        <v>0</v>
      </c>
      <c r="W26" s="114" t="n">
        <f aca="false">W20*INDEX(input_data!$L:$L,MATCH(dashboard!$B$5&amp;".in.enc.stl.drg.gso",input_data!$A:$A,0))</f>
        <v>0</v>
      </c>
      <c r="X26" s="114" t="n">
        <f aca="false">X20*INDEX(input_data!$L:$L,MATCH(dashboard!$B$5&amp;".in.enc.stl.drg.gso",input_data!$A:$A,0))</f>
        <v>0</v>
      </c>
    </row>
    <row r="27" customFormat="false" ht="15" hidden="false" customHeight="true" outlineLevel="0" collapsed="false">
      <c r="A27" s="73" t="str">
        <f aca="false">dashboard!$B$5&amp;".pj.enc.stl.drg.die"</f>
        <v>egy.pj.enc.stl.drg.die</v>
      </c>
      <c r="B27" s="73" t="str">
        <f aca="false">dashboard!$B$5</f>
        <v>egy</v>
      </c>
      <c r="C27" s="73" t="s">
        <v>3401</v>
      </c>
      <c r="D27" s="73" t="s">
        <v>891</v>
      </c>
      <c r="E27" s="73" t="s">
        <v>705</v>
      </c>
      <c r="F27" s="73" t="s">
        <v>706</v>
      </c>
      <c r="G27" s="73" t="s">
        <v>103</v>
      </c>
      <c r="H27" s="73" t="s">
        <v>3428</v>
      </c>
      <c r="I27" s="73" t="s">
        <v>3424</v>
      </c>
      <c r="J27" s="73" t="s">
        <v>3425</v>
      </c>
      <c r="K27" s="73"/>
      <c r="L27" s="73"/>
      <c r="M27" s="114" t="n">
        <f aca="false">M20*INDEX(input_data!$L:$L,MATCH(dashboard!$B$5&amp;".in.enc.stl.drg.die",input_data!$A:$A,0))</f>
        <v>2.55</v>
      </c>
      <c r="N27" s="114" t="n">
        <f aca="false">N20*INDEX(input_data!$L:$L,MATCH(dashboard!$B$5&amp;".in.enc.stl.drg.die",input_data!$A:$A,0))</f>
        <v>2.69025</v>
      </c>
      <c r="O27" s="114" t="n">
        <f aca="false">O20*INDEX(input_data!$L:$L,MATCH(dashboard!$B$5&amp;".in.enc.stl.drg.die",input_data!$A:$A,0))</f>
        <v>2.83821375</v>
      </c>
      <c r="P27" s="114" t="n">
        <f aca="false">P20*INDEX(input_data!$L:$L,MATCH(dashboard!$B$5&amp;".in.enc.stl.drg.die",input_data!$A:$A,0))</f>
        <v>2.99431550625</v>
      </c>
      <c r="Q27" s="114" t="n">
        <f aca="false">Q20*INDEX(input_data!$L:$L,MATCH(dashboard!$B$5&amp;".in.enc.stl.drg.die",input_data!$A:$A,0))</f>
        <v>3.15900285909375</v>
      </c>
      <c r="R27" s="114" t="n">
        <f aca="false">R20*INDEX(input_data!$L:$L,MATCH(dashboard!$B$5&amp;".in.enc.stl.drg.die",input_data!$A:$A,0))</f>
        <v>3.33274801634391</v>
      </c>
      <c r="S27" s="114" t="n">
        <f aca="false">S20*INDEX(input_data!$L:$L,MATCH(dashboard!$B$5&amp;".in.enc.stl.drg.die",input_data!$A:$A,0))</f>
        <v>3.51604915724282</v>
      </c>
      <c r="T27" s="114" t="n">
        <f aca="false">T20*INDEX(input_data!$L:$L,MATCH(dashboard!$B$5&amp;".in.enc.stl.drg.die",input_data!$A:$A,0))</f>
        <v>3.70943186089117</v>
      </c>
      <c r="U27" s="114" t="n">
        <f aca="false">U20*INDEX(input_data!$L:$L,MATCH(dashboard!$B$5&amp;".in.enc.stl.drg.die",input_data!$A:$A,0))</f>
        <v>3.91345061324019</v>
      </c>
      <c r="V27" s="114" t="n">
        <f aca="false">V20*INDEX(input_data!$L:$L,MATCH(dashboard!$B$5&amp;".in.enc.stl.drg.die",input_data!$A:$A,0))</f>
        <v>4.1286903969684</v>
      </c>
      <c r="W27" s="114" t="n">
        <f aca="false">W20*INDEX(input_data!$L:$L,MATCH(dashboard!$B$5&amp;".in.enc.stl.drg.die",input_data!$A:$A,0))</f>
        <v>4.35576836880166</v>
      </c>
      <c r="X27" s="114" t="n">
        <f aca="false">X20*INDEX(input_data!$L:$L,MATCH(dashboard!$B$5&amp;".in.enc.stl.drg.die",input_data!$A:$A,0))</f>
        <v>4.59533562908575</v>
      </c>
    </row>
    <row r="28" customFormat="false" ht="15" hidden="false" customHeight="true" outlineLevel="0" collapsed="false">
      <c r="A28" s="73" t="str">
        <f aca="false">dashboard!$B$5&amp;".pj.enc.stl.drg.ker"</f>
        <v>egy.pj.enc.stl.drg.ker</v>
      </c>
      <c r="B28" s="73" t="str">
        <f aca="false">dashboard!$B$5</f>
        <v>egy</v>
      </c>
      <c r="C28" s="73" t="s">
        <v>3401</v>
      </c>
      <c r="D28" s="73" t="s">
        <v>891</v>
      </c>
      <c r="E28" s="73" t="s">
        <v>705</v>
      </c>
      <c r="F28" s="73" t="s">
        <v>706</v>
      </c>
      <c r="G28" s="73" t="s">
        <v>105</v>
      </c>
      <c r="H28" s="73" t="s">
        <v>3429</v>
      </c>
      <c r="I28" s="73" t="s">
        <v>3424</v>
      </c>
      <c r="J28" s="73" t="s">
        <v>3425</v>
      </c>
      <c r="K28" s="73"/>
      <c r="L28" s="73"/>
      <c r="M28" s="114" t="n">
        <f aca="false">M20*INDEX(input_data!$L:$L,MATCH(dashboard!$B$5&amp;".in.enc.stl.drg.ker",input_data!$A:$A,0))</f>
        <v>0</v>
      </c>
      <c r="N28" s="114" t="n">
        <f aca="false">N20*INDEX(input_data!$L:$L,MATCH(dashboard!$B$5&amp;".in.enc.stl.drg.ker",input_data!$A:$A,0))</f>
        <v>0</v>
      </c>
      <c r="O28" s="114" t="n">
        <f aca="false">O20*INDEX(input_data!$L:$L,MATCH(dashboard!$B$5&amp;".in.enc.stl.drg.ker",input_data!$A:$A,0))</f>
        <v>0</v>
      </c>
      <c r="P28" s="114" t="n">
        <f aca="false">P20*INDEX(input_data!$L:$L,MATCH(dashboard!$B$5&amp;".in.enc.stl.drg.ker",input_data!$A:$A,0))</f>
        <v>0</v>
      </c>
      <c r="Q28" s="114" t="n">
        <f aca="false">Q20*INDEX(input_data!$L:$L,MATCH(dashboard!$B$5&amp;".in.enc.stl.drg.ker",input_data!$A:$A,0))</f>
        <v>0</v>
      </c>
      <c r="R28" s="114" t="n">
        <f aca="false">R20*INDEX(input_data!$L:$L,MATCH(dashboard!$B$5&amp;".in.enc.stl.drg.ker",input_data!$A:$A,0))</f>
        <v>0</v>
      </c>
      <c r="S28" s="114" t="n">
        <f aca="false">S20*INDEX(input_data!$L:$L,MATCH(dashboard!$B$5&amp;".in.enc.stl.drg.ker",input_data!$A:$A,0))</f>
        <v>0</v>
      </c>
      <c r="T28" s="114" t="n">
        <f aca="false">T20*INDEX(input_data!$L:$L,MATCH(dashboard!$B$5&amp;".in.enc.stl.drg.ker",input_data!$A:$A,0))</f>
        <v>0</v>
      </c>
      <c r="U28" s="114" t="n">
        <f aca="false">U20*INDEX(input_data!$L:$L,MATCH(dashboard!$B$5&amp;".in.enc.stl.drg.ker",input_data!$A:$A,0))</f>
        <v>0</v>
      </c>
      <c r="V28" s="114" t="n">
        <f aca="false">V20*INDEX(input_data!$L:$L,MATCH(dashboard!$B$5&amp;".in.enc.stl.drg.ker",input_data!$A:$A,0))</f>
        <v>0</v>
      </c>
      <c r="W28" s="114" t="n">
        <f aca="false">W20*INDEX(input_data!$L:$L,MATCH(dashboard!$B$5&amp;".in.enc.stl.drg.ker",input_data!$A:$A,0))</f>
        <v>0</v>
      </c>
      <c r="X28" s="114" t="n">
        <f aca="false">X20*INDEX(input_data!$L:$L,MATCH(dashboard!$B$5&amp;".in.enc.stl.drg.ker",input_data!$A:$A,0))</f>
        <v>0</v>
      </c>
    </row>
    <row r="29" customFormat="false" ht="15" hidden="false" customHeight="true" outlineLevel="0" collapsed="false">
      <c r="A29" s="73" t="str">
        <f aca="false">dashboard!$B$5&amp;".pj.enc.stl.drg.lpg"</f>
        <v>egy.pj.enc.stl.drg.lpg</v>
      </c>
      <c r="B29" s="73" t="str">
        <f aca="false">dashboard!$B$5</f>
        <v>egy</v>
      </c>
      <c r="C29" s="73" t="s">
        <v>3401</v>
      </c>
      <c r="D29" s="73" t="s">
        <v>891</v>
      </c>
      <c r="E29" s="73" t="s">
        <v>705</v>
      </c>
      <c r="F29" s="73" t="s">
        <v>706</v>
      </c>
      <c r="G29" s="73" t="s">
        <v>107</v>
      </c>
      <c r="H29" s="73" t="s">
        <v>3430</v>
      </c>
      <c r="I29" s="73" t="s">
        <v>3424</v>
      </c>
      <c r="J29" s="73" t="s">
        <v>3425</v>
      </c>
      <c r="K29" s="73"/>
      <c r="L29" s="73"/>
      <c r="M29" s="114" t="n">
        <f aca="false">M20*INDEX(input_data!$L:$L,MATCH(dashboard!$B$5&amp;".in.enc.stl.drg.lpg",input_data!$A:$A,0))</f>
        <v>0</v>
      </c>
      <c r="N29" s="114" t="n">
        <f aca="false">N20*INDEX(input_data!$L:$L,MATCH(dashboard!$B$5&amp;".in.enc.stl.drg.lpg",input_data!$A:$A,0))</f>
        <v>0</v>
      </c>
      <c r="O29" s="114" t="n">
        <f aca="false">O20*INDEX(input_data!$L:$L,MATCH(dashboard!$B$5&amp;".in.enc.stl.drg.lpg",input_data!$A:$A,0))</f>
        <v>0</v>
      </c>
      <c r="P29" s="114" t="n">
        <f aca="false">P20*INDEX(input_data!$L:$L,MATCH(dashboard!$B$5&amp;".in.enc.stl.drg.lpg",input_data!$A:$A,0))</f>
        <v>0</v>
      </c>
      <c r="Q29" s="114" t="n">
        <f aca="false">Q20*INDEX(input_data!$L:$L,MATCH(dashboard!$B$5&amp;".in.enc.stl.drg.lpg",input_data!$A:$A,0))</f>
        <v>0</v>
      </c>
      <c r="R29" s="114" t="n">
        <f aca="false">R20*INDEX(input_data!$L:$L,MATCH(dashboard!$B$5&amp;".in.enc.stl.drg.lpg",input_data!$A:$A,0))</f>
        <v>0</v>
      </c>
      <c r="S29" s="114" t="n">
        <f aca="false">S20*INDEX(input_data!$L:$L,MATCH(dashboard!$B$5&amp;".in.enc.stl.drg.lpg",input_data!$A:$A,0))</f>
        <v>0</v>
      </c>
      <c r="T29" s="114" t="n">
        <f aca="false">T20*INDEX(input_data!$L:$L,MATCH(dashboard!$B$5&amp;".in.enc.stl.drg.lpg",input_data!$A:$A,0))</f>
        <v>0</v>
      </c>
      <c r="U29" s="114" t="n">
        <f aca="false">U20*INDEX(input_data!$L:$L,MATCH(dashboard!$B$5&amp;".in.enc.stl.drg.lpg",input_data!$A:$A,0))</f>
        <v>0</v>
      </c>
      <c r="V29" s="114" t="n">
        <f aca="false">V20*INDEX(input_data!$L:$L,MATCH(dashboard!$B$5&amp;".in.enc.stl.drg.lpg",input_data!$A:$A,0))</f>
        <v>0</v>
      </c>
      <c r="W29" s="114" t="n">
        <f aca="false">W20*INDEX(input_data!$L:$L,MATCH(dashboard!$B$5&amp;".in.enc.stl.drg.lpg",input_data!$A:$A,0))</f>
        <v>0</v>
      </c>
      <c r="X29" s="114" t="n">
        <f aca="false">X20*INDEX(input_data!$L:$L,MATCH(dashboard!$B$5&amp;".in.enc.stl.drg.lpg",input_data!$A:$A,0))</f>
        <v>0</v>
      </c>
    </row>
    <row r="30" customFormat="false" ht="15" hidden="false" customHeight="true" outlineLevel="0" collapsed="false">
      <c r="A30" s="73" t="str">
        <f aca="false">dashboard!$B$5&amp;".pj.enc.stl.drg.bio"</f>
        <v>egy.pj.enc.stl.drg.bio</v>
      </c>
      <c r="B30" s="73" t="str">
        <f aca="false">dashboard!$B$5</f>
        <v>egy</v>
      </c>
      <c r="C30" s="73" t="s">
        <v>3401</v>
      </c>
      <c r="D30" s="73" t="s">
        <v>891</v>
      </c>
      <c r="E30" s="73" t="s">
        <v>705</v>
      </c>
      <c r="F30" s="73" t="s">
        <v>706</v>
      </c>
      <c r="G30" s="73" t="s">
        <v>109</v>
      </c>
      <c r="H30" s="73" t="s">
        <v>3431</v>
      </c>
      <c r="I30" s="73" t="s">
        <v>3424</v>
      </c>
      <c r="J30" s="73" t="s">
        <v>3425</v>
      </c>
      <c r="K30" s="73"/>
      <c r="L30" s="73"/>
      <c r="M30" s="114" t="n">
        <f aca="false">M20*INDEX(input_data!$L:$L,MATCH(dashboard!$B$5&amp;".in.enc.stl.drg.bio",input_data!$A:$A,0))</f>
        <v>0</v>
      </c>
      <c r="N30" s="114" t="n">
        <f aca="false">N20*INDEX(input_data!$L:$L,MATCH(dashboard!$B$5&amp;".in.enc.stl.drg.bio",input_data!$A:$A,0))</f>
        <v>0</v>
      </c>
      <c r="O30" s="114" t="n">
        <f aca="false">O20*INDEX(input_data!$L:$L,MATCH(dashboard!$B$5&amp;".in.enc.stl.drg.bio",input_data!$A:$A,0))</f>
        <v>0</v>
      </c>
      <c r="P30" s="114" t="n">
        <f aca="false">P20*INDEX(input_data!$L:$L,MATCH(dashboard!$B$5&amp;".in.enc.stl.drg.bio",input_data!$A:$A,0))</f>
        <v>0</v>
      </c>
      <c r="Q30" s="114" t="n">
        <f aca="false">Q20*INDEX(input_data!$L:$L,MATCH(dashboard!$B$5&amp;".in.enc.stl.drg.bio",input_data!$A:$A,0))</f>
        <v>0</v>
      </c>
      <c r="R30" s="114" t="n">
        <f aca="false">R20*INDEX(input_data!$L:$L,MATCH(dashboard!$B$5&amp;".in.enc.stl.drg.bio",input_data!$A:$A,0))</f>
        <v>0</v>
      </c>
      <c r="S30" s="114" t="n">
        <f aca="false">S20*INDEX(input_data!$L:$L,MATCH(dashboard!$B$5&amp;".in.enc.stl.drg.bio",input_data!$A:$A,0))</f>
        <v>0</v>
      </c>
      <c r="T30" s="114" t="n">
        <f aca="false">T20*INDEX(input_data!$L:$L,MATCH(dashboard!$B$5&amp;".in.enc.stl.drg.bio",input_data!$A:$A,0))</f>
        <v>0</v>
      </c>
      <c r="U30" s="114" t="n">
        <f aca="false">U20*INDEX(input_data!$L:$L,MATCH(dashboard!$B$5&amp;".in.enc.stl.drg.bio",input_data!$A:$A,0))</f>
        <v>0</v>
      </c>
      <c r="V30" s="114" t="n">
        <f aca="false">V20*INDEX(input_data!$L:$L,MATCH(dashboard!$B$5&amp;".in.enc.stl.drg.bio",input_data!$A:$A,0))</f>
        <v>0</v>
      </c>
      <c r="W30" s="114" t="n">
        <f aca="false">W20*INDEX(input_data!$L:$L,MATCH(dashboard!$B$5&amp;".in.enc.stl.drg.bio",input_data!$A:$A,0))</f>
        <v>0</v>
      </c>
      <c r="X30" s="114" t="n">
        <f aca="false">X20*INDEX(input_data!$L:$L,MATCH(dashboard!$B$5&amp;".in.enc.stl.drg.bio",input_data!$A:$A,0))</f>
        <v>0</v>
      </c>
    </row>
    <row r="31" customFormat="false" ht="15" hidden="false" customHeight="true" outlineLevel="0" collapsed="false">
      <c r="A31" s="73" t="str">
        <f aca="false">dashboard!$B$5&amp;".pj.enc.stl.drg.ren"</f>
        <v>egy.pj.enc.stl.drg.ren</v>
      </c>
      <c r="B31" s="73" t="str">
        <f aca="false">dashboard!$B$5</f>
        <v>egy</v>
      </c>
      <c r="C31" s="73" t="s">
        <v>3401</v>
      </c>
      <c r="D31" s="73" t="s">
        <v>891</v>
      </c>
      <c r="E31" s="73" t="s">
        <v>705</v>
      </c>
      <c r="F31" s="73" t="s">
        <v>706</v>
      </c>
      <c r="G31" s="73" t="s">
        <v>111</v>
      </c>
      <c r="H31" s="73" t="s">
        <v>3432</v>
      </c>
      <c r="I31" s="73" t="s">
        <v>3424</v>
      </c>
      <c r="J31" s="73" t="s">
        <v>3425</v>
      </c>
      <c r="K31" s="73"/>
      <c r="L31" s="73"/>
      <c r="M31" s="114" t="n">
        <f aca="false">M20*INDEX(input_data!$L:$L,MATCH(dashboard!$B$5&amp;".in.enc.stl.drg.ren",input_data!$A:$A,0))</f>
        <v>0</v>
      </c>
      <c r="N31" s="114" t="n">
        <f aca="false">N20*INDEX(input_data!$L:$L,MATCH(dashboard!$B$5&amp;".in.enc.stl.drg.ren",input_data!$A:$A,0))</f>
        <v>0</v>
      </c>
      <c r="O31" s="114" t="n">
        <f aca="false">O20*INDEX(input_data!$L:$L,MATCH(dashboard!$B$5&amp;".in.enc.stl.drg.ren",input_data!$A:$A,0))</f>
        <v>0</v>
      </c>
      <c r="P31" s="114" t="n">
        <f aca="false">P20*INDEX(input_data!$L:$L,MATCH(dashboard!$B$5&amp;".in.enc.stl.drg.ren",input_data!$A:$A,0))</f>
        <v>0</v>
      </c>
      <c r="Q31" s="114" t="n">
        <f aca="false">Q20*INDEX(input_data!$L:$L,MATCH(dashboard!$B$5&amp;".in.enc.stl.drg.ren",input_data!$A:$A,0))</f>
        <v>0</v>
      </c>
      <c r="R31" s="114" t="n">
        <f aca="false">R20*INDEX(input_data!$L:$L,MATCH(dashboard!$B$5&amp;".in.enc.stl.drg.ren",input_data!$A:$A,0))</f>
        <v>0</v>
      </c>
      <c r="S31" s="114" t="n">
        <f aca="false">S20*INDEX(input_data!$L:$L,MATCH(dashboard!$B$5&amp;".in.enc.stl.drg.ren",input_data!$A:$A,0))</f>
        <v>0</v>
      </c>
      <c r="T31" s="114" t="n">
        <f aca="false">T20*INDEX(input_data!$L:$L,MATCH(dashboard!$B$5&amp;".in.enc.stl.drg.ren",input_data!$A:$A,0))</f>
        <v>0</v>
      </c>
      <c r="U31" s="114" t="n">
        <f aca="false">U20*INDEX(input_data!$L:$L,MATCH(dashboard!$B$5&amp;".in.enc.stl.drg.ren",input_data!$A:$A,0))</f>
        <v>0</v>
      </c>
      <c r="V31" s="114" t="n">
        <f aca="false">V20*INDEX(input_data!$L:$L,MATCH(dashboard!$B$5&amp;".in.enc.stl.drg.ren",input_data!$A:$A,0))</f>
        <v>0</v>
      </c>
      <c r="W31" s="114" t="n">
        <f aca="false">W20*INDEX(input_data!$L:$L,MATCH(dashboard!$B$5&amp;".in.enc.stl.drg.ren",input_data!$A:$A,0))</f>
        <v>0</v>
      </c>
      <c r="X31" s="114" t="n">
        <f aca="false">X20*INDEX(input_data!$L:$L,MATCH(dashboard!$B$5&amp;".in.enc.stl.drg.ren",input_data!$A:$A,0))</f>
        <v>0</v>
      </c>
    </row>
    <row r="32" customFormat="false" ht="15" hidden="false" customHeight="true" outlineLevel="0" collapsed="false">
      <c r="A32" s="73" t="str">
        <f aca="false">dashboard!$B$5&amp;".pj.enp.stl.drg.coa"</f>
        <v>egy.pj.enp.stl.drg.coa</v>
      </c>
      <c r="B32" s="73" t="str">
        <f aca="false">dashboard!$B$5</f>
        <v>egy</v>
      </c>
      <c r="C32" s="73" t="s">
        <v>3401</v>
      </c>
      <c r="D32" s="73" t="s">
        <v>918</v>
      </c>
      <c r="E32" s="73" t="s">
        <v>705</v>
      </c>
      <c r="F32" s="73" t="s">
        <v>706</v>
      </c>
      <c r="G32" s="73" t="s">
        <v>96</v>
      </c>
      <c r="H32" s="73" t="s">
        <v>3433</v>
      </c>
      <c r="I32" s="73" t="s">
        <v>3424</v>
      </c>
      <c r="J32" s="73" t="s">
        <v>3434</v>
      </c>
      <c r="K32" s="73"/>
      <c r="L32" s="73"/>
      <c r="M32" s="114" t="n">
        <f aca="false">M20*INDEX(input_data!$L:$L,MATCH(dashboard!$B$5&amp;".in.enp.stl.drg.coa",input_data!$A:$A,0))</f>
        <v>0</v>
      </c>
      <c r="N32" s="114" t="n">
        <f aca="false">N20*INDEX(input_data!$L:$L,MATCH(dashboard!$B$5&amp;".in.enp.stl.drg.coa",input_data!$A:$A,0))</f>
        <v>0</v>
      </c>
      <c r="O32" s="114" t="n">
        <f aca="false">O20*INDEX(input_data!$L:$L,MATCH(dashboard!$B$5&amp;".in.enp.stl.drg.coa",input_data!$A:$A,0))</f>
        <v>0</v>
      </c>
      <c r="P32" s="114" t="n">
        <f aca="false">P20*INDEX(input_data!$L:$L,MATCH(dashboard!$B$5&amp;".in.enp.stl.drg.coa",input_data!$A:$A,0))</f>
        <v>0</v>
      </c>
      <c r="Q32" s="114" t="n">
        <f aca="false">Q20*INDEX(input_data!$L:$L,MATCH(dashboard!$B$5&amp;".in.enp.stl.drg.coa",input_data!$A:$A,0))</f>
        <v>0</v>
      </c>
      <c r="R32" s="114" t="n">
        <f aca="false">R20*INDEX(input_data!$L:$L,MATCH(dashboard!$B$5&amp;".in.enp.stl.drg.coa",input_data!$A:$A,0))</f>
        <v>0</v>
      </c>
      <c r="S32" s="114" t="n">
        <f aca="false">S20*INDEX(input_data!$L:$L,MATCH(dashboard!$B$5&amp;".in.enp.stl.drg.coa",input_data!$A:$A,0))</f>
        <v>0</v>
      </c>
      <c r="T32" s="114" t="n">
        <f aca="false">T20*INDEX(input_data!$L:$L,MATCH(dashboard!$B$5&amp;".in.enp.stl.drg.coa",input_data!$A:$A,0))</f>
        <v>0</v>
      </c>
      <c r="U32" s="114" t="n">
        <f aca="false">U20*INDEX(input_data!$L:$L,MATCH(dashboard!$B$5&amp;".in.enp.stl.drg.coa",input_data!$A:$A,0))</f>
        <v>0</v>
      </c>
      <c r="V32" s="114" t="n">
        <f aca="false">V20*INDEX(input_data!$L:$L,MATCH(dashboard!$B$5&amp;".in.enp.stl.drg.coa",input_data!$A:$A,0))</f>
        <v>0</v>
      </c>
      <c r="W32" s="114" t="n">
        <f aca="false">W20*INDEX(input_data!$L:$L,MATCH(dashboard!$B$5&amp;".in.enp.stl.drg.coa",input_data!$A:$A,0))</f>
        <v>0</v>
      </c>
      <c r="X32" s="114" t="n">
        <f aca="false">X20*INDEX(input_data!$L:$L,MATCH(dashboard!$B$5&amp;".in.enp.stl.drg.coa",input_data!$A:$A,0))</f>
        <v>0</v>
      </c>
    </row>
    <row r="33" customFormat="false" ht="15" hidden="false" customHeight="true" outlineLevel="0" collapsed="false">
      <c r="A33" s="73" t="str">
        <f aca="false">dashboard!$B$5&amp;".pj.enp.stl.drg.nga"</f>
        <v>egy.pj.enp.stl.drg.nga</v>
      </c>
      <c r="B33" s="73" t="str">
        <f aca="false">dashboard!$B$5</f>
        <v>egy</v>
      </c>
      <c r="C33" s="73" t="s">
        <v>3401</v>
      </c>
      <c r="D33" s="73" t="s">
        <v>918</v>
      </c>
      <c r="E33" s="73" t="s">
        <v>705</v>
      </c>
      <c r="F33" s="73" t="s">
        <v>706</v>
      </c>
      <c r="G33" s="73" t="s">
        <v>99</v>
      </c>
      <c r="H33" s="73" t="s">
        <v>3435</v>
      </c>
      <c r="I33" s="73" t="s">
        <v>3424</v>
      </c>
      <c r="J33" s="73" t="s">
        <v>3434</v>
      </c>
      <c r="K33" s="73"/>
      <c r="L33" s="73"/>
      <c r="M33" s="114" t="n">
        <f aca="false">M20*INDEX(input_data!$L:$L,MATCH(dashboard!$B$5&amp;".in.enp.stl.drg.nga",input_data!$A:$A,0))</f>
        <v>122.4</v>
      </c>
      <c r="N33" s="114" t="n">
        <f aca="false">N20*INDEX(input_data!$L:$L,MATCH(dashboard!$B$5&amp;".in.enp.stl.drg.nga",input_data!$A:$A,0))</f>
        <v>129.132</v>
      </c>
      <c r="O33" s="114" t="n">
        <f aca="false">O20*INDEX(input_data!$L:$L,MATCH(dashboard!$B$5&amp;".in.enp.stl.drg.nga",input_data!$A:$A,0))</f>
        <v>136.23426</v>
      </c>
      <c r="P33" s="114" t="n">
        <f aca="false">P20*INDEX(input_data!$L:$L,MATCH(dashboard!$B$5&amp;".in.enp.stl.drg.nga",input_data!$A:$A,0))</f>
        <v>143.7271443</v>
      </c>
      <c r="Q33" s="114" t="n">
        <f aca="false">Q20*INDEX(input_data!$L:$L,MATCH(dashboard!$B$5&amp;".in.enp.stl.drg.nga",input_data!$A:$A,0))</f>
        <v>151.6321372365</v>
      </c>
      <c r="R33" s="114" t="n">
        <f aca="false">R20*INDEX(input_data!$L:$L,MATCH(dashboard!$B$5&amp;".in.enp.stl.drg.nga",input_data!$A:$A,0))</f>
        <v>159.971904784507</v>
      </c>
      <c r="S33" s="114" t="n">
        <f aca="false">S20*INDEX(input_data!$L:$L,MATCH(dashboard!$B$5&amp;".in.enp.stl.drg.nga",input_data!$A:$A,0))</f>
        <v>168.770359547655</v>
      </c>
      <c r="T33" s="114" t="n">
        <f aca="false">T20*INDEX(input_data!$L:$L,MATCH(dashboard!$B$5&amp;".in.enp.stl.drg.nga",input_data!$A:$A,0))</f>
        <v>178.052729322776</v>
      </c>
      <c r="U33" s="114" t="n">
        <f aca="false">U20*INDEX(input_data!$L:$L,MATCH(dashboard!$B$5&amp;".in.enp.stl.drg.nga",input_data!$A:$A,0))</f>
        <v>187.845629435529</v>
      </c>
      <c r="V33" s="114" t="n">
        <f aca="false">V20*INDEX(input_data!$L:$L,MATCH(dashboard!$B$5&amp;".in.enp.stl.drg.nga",input_data!$A:$A,0))</f>
        <v>198.177139054483</v>
      </c>
      <c r="W33" s="114" t="n">
        <f aca="false">W20*INDEX(input_data!$L:$L,MATCH(dashboard!$B$5&amp;".in.enp.stl.drg.nga",input_data!$A:$A,0))</f>
        <v>209.07688170248</v>
      </c>
      <c r="X33" s="114" t="n">
        <f aca="false">X20*INDEX(input_data!$L:$L,MATCH(dashboard!$B$5&amp;".in.enp.stl.drg.nga",input_data!$A:$A,0))</f>
        <v>220.576110196116</v>
      </c>
    </row>
    <row r="34" customFormat="false" ht="15" hidden="false" customHeight="true" outlineLevel="0" collapsed="false">
      <c r="A34" s="73" t="str">
        <f aca="false">dashboard!$B$5&amp;".pj.enp.stl.drg.gso"</f>
        <v>egy.pj.enp.stl.drg.gso</v>
      </c>
      <c r="B34" s="73" t="str">
        <f aca="false">dashboard!$B$5</f>
        <v>egy</v>
      </c>
      <c r="C34" s="73" t="s">
        <v>3401</v>
      </c>
      <c r="D34" s="73" t="s">
        <v>918</v>
      </c>
      <c r="E34" s="73" t="s">
        <v>705</v>
      </c>
      <c r="F34" s="73" t="s">
        <v>706</v>
      </c>
      <c r="G34" s="73" t="s">
        <v>101</v>
      </c>
      <c r="H34" s="73" t="s">
        <v>3436</v>
      </c>
      <c r="I34" s="73" t="s">
        <v>3424</v>
      </c>
      <c r="J34" s="73" t="s">
        <v>3434</v>
      </c>
      <c r="K34" s="73"/>
      <c r="L34" s="73"/>
      <c r="M34" s="114" t="n">
        <f aca="false">M20*INDEX(input_data!$L:$L,MATCH(dashboard!$B$5&amp;".in.enp.stl.drg.gso",input_data!$A:$A,0))</f>
        <v>0</v>
      </c>
      <c r="N34" s="114" t="n">
        <f aca="false">N20*INDEX(input_data!$L:$L,MATCH(dashboard!$B$5&amp;".in.enp.stl.drg.gso",input_data!$A:$A,0))</f>
        <v>0</v>
      </c>
      <c r="O34" s="114" t="n">
        <f aca="false">O20*INDEX(input_data!$L:$L,MATCH(dashboard!$B$5&amp;".in.enp.stl.drg.gso",input_data!$A:$A,0))</f>
        <v>0</v>
      </c>
      <c r="P34" s="114" t="n">
        <f aca="false">P20*INDEX(input_data!$L:$L,MATCH(dashboard!$B$5&amp;".in.enp.stl.drg.gso",input_data!$A:$A,0))</f>
        <v>0</v>
      </c>
      <c r="Q34" s="114" t="n">
        <f aca="false">Q20*INDEX(input_data!$L:$L,MATCH(dashboard!$B$5&amp;".in.enp.stl.drg.gso",input_data!$A:$A,0))</f>
        <v>0</v>
      </c>
      <c r="R34" s="114" t="n">
        <f aca="false">R20*INDEX(input_data!$L:$L,MATCH(dashboard!$B$5&amp;".in.enp.stl.drg.gso",input_data!$A:$A,0))</f>
        <v>0</v>
      </c>
      <c r="S34" s="114" t="n">
        <f aca="false">S20*INDEX(input_data!$L:$L,MATCH(dashboard!$B$5&amp;".in.enp.stl.drg.gso",input_data!$A:$A,0))</f>
        <v>0</v>
      </c>
      <c r="T34" s="114" t="n">
        <f aca="false">T20*INDEX(input_data!$L:$L,MATCH(dashboard!$B$5&amp;".in.enp.stl.drg.gso",input_data!$A:$A,0))</f>
        <v>0</v>
      </c>
      <c r="U34" s="114" t="n">
        <f aca="false">U20*INDEX(input_data!$L:$L,MATCH(dashboard!$B$5&amp;".in.enp.stl.drg.gso",input_data!$A:$A,0))</f>
        <v>0</v>
      </c>
      <c r="V34" s="114" t="n">
        <f aca="false">V20*INDEX(input_data!$L:$L,MATCH(dashboard!$B$5&amp;".in.enp.stl.drg.gso",input_data!$A:$A,0))</f>
        <v>0</v>
      </c>
      <c r="W34" s="114" t="n">
        <f aca="false">W20*INDEX(input_data!$L:$L,MATCH(dashboard!$B$5&amp;".in.enp.stl.drg.gso",input_data!$A:$A,0))</f>
        <v>0</v>
      </c>
      <c r="X34" s="114" t="n">
        <f aca="false">X20*INDEX(input_data!$L:$L,MATCH(dashboard!$B$5&amp;".in.enp.stl.drg.gso",input_data!$A:$A,0))</f>
        <v>0</v>
      </c>
    </row>
    <row r="35" customFormat="false" ht="15" hidden="false" customHeight="true" outlineLevel="0" collapsed="false">
      <c r="A35" s="73" t="str">
        <f aca="false">dashboard!$B$5&amp;".pj.enp.stl.drg.die"</f>
        <v>egy.pj.enp.stl.drg.die</v>
      </c>
      <c r="B35" s="73" t="str">
        <f aca="false">dashboard!$B$5</f>
        <v>egy</v>
      </c>
      <c r="C35" s="73" t="s">
        <v>3401</v>
      </c>
      <c r="D35" s="73" t="s">
        <v>918</v>
      </c>
      <c r="E35" s="73" t="s">
        <v>705</v>
      </c>
      <c r="F35" s="73" t="s">
        <v>706</v>
      </c>
      <c r="G35" s="73" t="s">
        <v>103</v>
      </c>
      <c r="H35" s="73" t="s">
        <v>3437</v>
      </c>
      <c r="I35" s="73" t="s">
        <v>3424</v>
      </c>
      <c r="J35" s="73" t="s">
        <v>3434</v>
      </c>
      <c r="K35" s="73"/>
      <c r="L35" s="73"/>
      <c r="M35" s="114" t="n">
        <f aca="false">M20*INDEX(input_data!$L:$L,MATCH(dashboard!$B$5&amp;".in.enp.stl.drg.die",input_data!$A:$A,0))</f>
        <v>0</v>
      </c>
      <c r="N35" s="114" t="n">
        <f aca="false">N20*INDEX(input_data!$L:$L,MATCH(dashboard!$B$5&amp;".in.enp.stl.drg.die",input_data!$A:$A,0))</f>
        <v>0</v>
      </c>
      <c r="O35" s="114" t="n">
        <f aca="false">O20*INDEX(input_data!$L:$L,MATCH(dashboard!$B$5&amp;".in.enp.stl.drg.die",input_data!$A:$A,0))</f>
        <v>0</v>
      </c>
      <c r="P35" s="114" t="n">
        <f aca="false">P20*INDEX(input_data!$L:$L,MATCH(dashboard!$B$5&amp;".in.enp.stl.drg.die",input_data!$A:$A,0))</f>
        <v>0</v>
      </c>
      <c r="Q35" s="114" t="n">
        <f aca="false">Q20*INDEX(input_data!$L:$L,MATCH(dashboard!$B$5&amp;".in.enp.stl.drg.die",input_data!$A:$A,0))</f>
        <v>0</v>
      </c>
      <c r="R35" s="114" t="n">
        <f aca="false">R20*INDEX(input_data!$L:$L,MATCH(dashboard!$B$5&amp;".in.enp.stl.drg.die",input_data!$A:$A,0))</f>
        <v>0</v>
      </c>
      <c r="S35" s="114" t="n">
        <f aca="false">S20*INDEX(input_data!$L:$L,MATCH(dashboard!$B$5&amp;".in.enp.stl.drg.die",input_data!$A:$A,0))</f>
        <v>0</v>
      </c>
      <c r="T35" s="114" t="n">
        <f aca="false">T20*INDEX(input_data!$L:$L,MATCH(dashboard!$B$5&amp;".in.enp.stl.drg.die",input_data!$A:$A,0))</f>
        <v>0</v>
      </c>
      <c r="U35" s="114" t="n">
        <f aca="false">U20*INDEX(input_data!$L:$L,MATCH(dashboard!$B$5&amp;".in.enp.stl.drg.die",input_data!$A:$A,0))</f>
        <v>0</v>
      </c>
      <c r="V35" s="114" t="n">
        <f aca="false">V20*INDEX(input_data!$L:$L,MATCH(dashboard!$B$5&amp;".in.enp.stl.drg.die",input_data!$A:$A,0))</f>
        <v>0</v>
      </c>
      <c r="W35" s="114" t="n">
        <f aca="false">W20*INDEX(input_data!$L:$L,MATCH(dashboard!$B$5&amp;".in.enp.stl.drg.die",input_data!$A:$A,0))</f>
        <v>0</v>
      </c>
      <c r="X35" s="114" t="n">
        <f aca="false">X20*INDEX(input_data!$L:$L,MATCH(dashboard!$B$5&amp;".in.enp.stl.drg.die",input_data!$A:$A,0))</f>
        <v>0</v>
      </c>
    </row>
    <row r="36" customFormat="false" ht="15" hidden="false" customHeight="true" outlineLevel="0" collapsed="false">
      <c r="A36" s="73" t="str">
        <f aca="false">dashboard!$B$5&amp;".pj.enp.stl.drg.ker"</f>
        <v>egy.pj.enp.stl.drg.ker</v>
      </c>
      <c r="B36" s="73" t="str">
        <f aca="false">dashboard!$B$5</f>
        <v>egy</v>
      </c>
      <c r="C36" s="73" t="s">
        <v>3401</v>
      </c>
      <c r="D36" s="73" t="s">
        <v>918</v>
      </c>
      <c r="E36" s="73" t="s">
        <v>705</v>
      </c>
      <c r="F36" s="73" t="s">
        <v>706</v>
      </c>
      <c r="G36" s="73" t="s">
        <v>105</v>
      </c>
      <c r="H36" s="73" t="s">
        <v>3438</v>
      </c>
      <c r="I36" s="73" t="s">
        <v>3424</v>
      </c>
      <c r="J36" s="73" t="s">
        <v>3434</v>
      </c>
      <c r="K36" s="73"/>
      <c r="L36" s="73"/>
      <c r="M36" s="114" t="n">
        <f aca="false">M20*INDEX(input_data!$L:$L,MATCH(dashboard!$B$5&amp;".in.enp.stl.drg.ker",input_data!$A:$A,0))</f>
        <v>0</v>
      </c>
      <c r="N36" s="114" t="n">
        <f aca="false">N20*INDEX(input_data!$L:$L,MATCH(dashboard!$B$5&amp;".in.enp.stl.drg.ker",input_data!$A:$A,0))</f>
        <v>0</v>
      </c>
      <c r="O36" s="114" t="n">
        <f aca="false">O20*INDEX(input_data!$L:$L,MATCH(dashboard!$B$5&amp;".in.enp.stl.drg.ker",input_data!$A:$A,0))</f>
        <v>0</v>
      </c>
      <c r="P36" s="114" t="n">
        <f aca="false">P20*INDEX(input_data!$L:$L,MATCH(dashboard!$B$5&amp;".in.enp.stl.drg.ker",input_data!$A:$A,0))</f>
        <v>0</v>
      </c>
      <c r="Q36" s="114" t="n">
        <f aca="false">Q20*INDEX(input_data!$L:$L,MATCH(dashboard!$B$5&amp;".in.enp.stl.drg.ker",input_data!$A:$A,0))</f>
        <v>0</v>
      </c>
      <c r="R36" s="114" t="n">
        <f aca="false">R20*INDEX(input_data!$L:$L,MATCH(dashboard!$B$5&amp;".in.enp.stl.drg.ker",input_data!$A:$A,0))</f>
        <v>0</v>
      </c>
      <c r="S36" s="114" t="n">
        <f aca="false">S20*INDEX(input_data!$L:$L,MATCH(dashboard!$B$5&amp;".in.enp.stl.drg.ker",input_data!$A:$A,0))</f>
        <v>0</v>
      </c>
      <c r="T36" s="114" t="n">
        <f aca="false">T20*INDEX(input_data!$L:$L,MATCH(dashboard!$B$5&amp;".in.enp.stl.drg.ker",input_data!$A:$A,0))</f>
        <v>0</v>
      </c>
      <c r="U36" s="114" t="n">
        <f aca="false">U20*INDEX(input_data!$L:$L,MATCH(dashboard!$B$5&amp;".in.enp.stl.drg.ker",input_data!$A:$A,0))</f>
        <v>0</v>
      </c>
      <c r="V36" s="114" t="n">
        <f aca="false">V20*INDEX(input_data!$L:$L,MATCH(dashboard!$B$5&amp;".in.enp.stl.drg.ker",input_data!$A:$A,0))</f>
        <v>0</v>
      </c>
      <c r="W36" s="114" t="n">
        <f aca="false">W20*INDEX(input_data!$L:$L,MATCH(dashboard!$B$5&amp;".in.enp.stl.drg.ker",input_data!$A:$A,0))</f>
        <v>0</v>
      </c>
      <c r="X36" s="114" t="n">
        <f aca="false">X20*INDEX(input_data!$L:$L,MATCH(dashboard!$B$5&amp;".in.enp.stl.drg.ker",input_data!$A:$A,0))</f>
        <v>0</v>
      </c>
    </row>
    <row r="37" customFormat="false" ht="15" hidden="false" customHeight="true" outlineLevel="0" collapsed="false">
      <c r="A37" s="73" t="str">
        <f aca="false">dashboard!$B$5&amp;".pj.enp.stl.drg.lpg"</f>
        <v>egy.pj.enp.stl.drg.lpg</v>
      </c>
      <c r="B37" s="73" t="str">
        <f aca="false">dashboard!$B$5</f>
        <v>egy</v>
      </c>
      <c r="C37" s="73" t="s">
        <v>3401</v>
      </c>
      <c r="D37" s="73" t="s">
        <v>918</v>
      </c>
      <c r="E37" s="73" t="s">
        <v>705</v>
      </c>
      <c r="F37" s="73" t="s">
        <v>706</v>
      </c>
      <c r="G37" s="73" t="s">
        <v>107</v>
      </c>
      <c r="H37" s="73" t="s">
        <v>3439</v>
      </c>
      <c r="I37" s="73" t="s">
        <v>3424</v>
      </c>
      <c r="J37" s="73" t="s">
        <v>3434</v>
      </c>
      <c r="K37" s="73"/>
      <c r="L37" s="73"/>
      <c r="M37" s="114" t="n">
        <f aca="false">M20*INDEX(input_data!$L:$L,MATCH(dashboard!$B$5&amp;".in.enp.stl.drg.lpg",input_data!$A:$A,0))</f>
        <v>0</v>
      </c>
      <c r="N37" s="114" t="n">
        <f aca="false">N20*INDEX(input_data!$L:$L,MATCH(dashboard!$B$5&amp;".in.enp.stl.drg.lpg",input_data!$A:$A,0))</f>
        <v>0</v>
      </c>
      <c r="O37" s="114" t="n">
        <f aca="false">O20*INDEX(input_data!$L:$L,MATCH(dashboard!$B$5&amp;".in.enp.stl.drg.lpg",input_data!$A:$A,0))</f>
        <v>0</v>
      </c>
      <c r="P37" s="114" t="n">
        <f aca="false">P20*INDEX(input_data!$L:$L,MATCH(dashboard!$B$5&amp;".in.enp.stl.drg.lpg",input_data!$A:$A,0))</f>
        <v>0</v>
      </c>
      <c r="Q37" s="114" t="n">
        <f aca="false">Q20*INDEX(input_data!$L:$L,MATCH(dashboard!$B$5&amp;".in.enp.stl.drg.lpg",input_data!$A:$A,0))</f>
        <v>0</v>
      </c>
      <c r="R37" s="114" t="n">
        <f aca="false">R20*INDEX(input_data!$L:$L,MATCH(dashboard!$B$5&amp;".in.enp.stl.drg.lpg",input_data!$A:$A,0))</f>
        <v>0</v>
      </c>
      <c r="S37" s="114" t="n">
        <f aca="false">S20*INDEX(input_data!$L:$L,MATCH(dashboard!$B$5&amp;".in.enp.stl.drg.lpg",input_data!$A:$A,0))</f>
        <v>0</v>
      </c>
      <c r="T37" s="114" t="n">
        <f aca="false">T20*INDEX(input_data!$L:$L,MATCH(dashboard!$B$5&amp;".in.enp.stl.drg.lpg",input_data!$A:$A,0))</f>
        <v>0</v>
      </c>
      <c r="U37" s="114" t="n">
        <f aca="false">U20*INDEX(input_data!$L:$L,MATCH(dashboard!$B$5&amp;".in.enp.stl.drg.lpg",input_data!$A:$A,0))</f>
        <v>0</v>
      </c>
      <c r="V37" s="114" t="n">
        <f aca="false">V20*INDEX(input_data!$L:$L,MATCH(dashboard!$B$5&amp;".in.enp.stl.drg.lpg",input_data!$A:$A,0))</f>
        <v>0</v>
      </c>
      <c r="W37" s="114" t="n">
        <f aca="false">W20*INDEX(input_data!$L:$L,MATCH(dashboard!$B$5&amp;".in.enp.stl.drg.lpg",input_data!$A:$A,0))</f>
        <v>0</v>
      </c>
      <c r="X37" s="114" t="n">
        <f aca="false">X20*INDEX(input_data!$L:$L,MATCH(dashboard!$B$5&amp;".in.enp.stl.drg.lpg",input_data!$A:$A,0))</f>
        <v>0</v>
      </c>
    </row>
    <row r="38" customFormat="false" ht="15" hidden="false" customHeight="true" outlineLevel="0" collapsed="false">
      <c r="A38" s="73" t="str">
        <f aca="false">dashboard!$B$5&amp;".pj.enp.stl.drg.bio"</f>
        <v>egy.pj.enp.stl.drg.bio</v>
      </c>
      <c r="B38" s="73" t="str">
        <f aca="false">dashboard!$B$5</f>
        <v>egy</v>
      </c>
      <c r="C38" s="73" t="s">
        <v>3401</v>
      </c>
      <c r="D38" s="73" t="s">
        <v>918</v>
      </c>
      <c r="E38" s="73" t="s">
        <v>705</v>
      </c>
      <c r="F38" s="73" t="s">
        <v>706</v>
      </c>
      <c r="G38" s="73" t="s">
        <v>109</v>
      </c>
      <c r="H38" s="73" t="s">
        <v>3440</v>
      </c>
      <c r="I38" s="73" t="s">
        <v>3424</v>
      </c>
      <c r="J38" s="73" t="s">
        <v>3434</v>
      </c>
      <c r="K38" s="73"/>
      <c r="L38" s="73"/>
      <c r="M38" s="114" t="n">
        <f aca="false">M20*INDEX(input_data!$L:$L,MATCH(dashboard!$B$5&amp;".in.enp.stl.drg.bio",input_data!$A:$A,0))</f>
        <v>0</v>
      </c>
      <c r="N38" s="114" t="n">
        <f aca="false">N20*INDEX(input_data!$L:$L,MATCH(dashboard!$B$5&amp;".in.enp.stl.drg.bio",input_data!$A:$A,0))</f>
        <v>0</v>
      </c>
      <c r="O38" s="114" t="n">
        <f aca="false">O20*INDEX(input_data!$L:$L,MATCH(dashboard!$B$5&amp;".in.enp.stl.drg.bio",input_data!$A:$A,0))</f>
        <v>0</v>
      </c>
      <c r="P38" s="114" t="n">
        <f aca="false">P20*INDEX(input_data!$L:$L,MATCH(dashboard!$B$5&amp;".in.enp.stl.drg.bio",input_data!$A:$A,0))</f>
        <v>0</v>
      </c>
      <c r="Q38" s="114" t="n">
        <f aca="false">Q20*INDEX(input_data!$L:$L,MATCH(dashboard!$B$5&amp;".in.enp.stl.drg.bio",input_data!$A:$A,0))</f>
        <v>0</v>
      </c>
      <c r="R38" s="114" t="n">
        <f aca="false">R20*INDEX(input_data!$L:$L,MATCH(dashboard!$B$5&amp;".in.enp.stl.drg.bio",input_data!$A:$A,0))</f>
        <v>0</v>
      </c>
      <c r="S38" s="114" t="n">
        <f aca="false">S20*INDEX(input_data!$L:$L,MATCH(dashboard!$B$5&amp;".in.enp.stl.drg.bio",input_data!$A:$A,0))</f>
        <v>0</v>
      </c>
      <c r="T38" s="114" t="n">
        <f aca="false">T20*INDEX(input_data!$L:$L,MATCH(dashboard!$B$5&amp;".in.enp.stl.drg.bio",input_data!$A:$A,0))</f>
        <v>0</v>
      </c>
      <c r="U38" s="114" t="n">
        <f aca="false">U20*INDEX(input_data!$L:$L,MATCH(dashboard!$B$5&amp;".in.enp.stl.drg.bio",input_data!$A:$A,0))</f>
        <v>0</v>
      </c>
      <c r="V38" s="114" t="n">
        <f aca="false">V20*INDEX(input_data!$L:$L,MATCH(dashboard!$B$5&amp;".in.enp.stl.drg.bio",input_data!$A:$A,0))</f>
        <v>0</v>
      </c>
      <c r="W38" s="114" t="n">
        <f aca="false">W20*INDEX(input_data!$L:$L,MATCH(dashboard!$B$5&amp;".in.enp.stl.drg.bio",input_data!$A:$A,0))</f>
        <v>0</v>
      </c>
      <c r="X38" s="114" t="n">
        <f aca="false">X20*INDEX(input_data!$L:$L,MATCH(dashboard!$B$5&amp;".in.enp.stl.drg.bio",input_data!$A:$A,0))</f>
        <v>0</v>
      </c>
    </row>
    <row r="39" customFormat="false" ht="15" hidden="false" customHeight="true" outlineLevel="0" collapsed="false">
      <c r="A39" s="73" t="str">
        <f aca="false">dashboard!$B$5&amp;".pj.enp.stl.drg.ren"</f>
        <v>egy.pj.enp.stl.drg.ren</v>
      </c>
      <c r="B39" s="73" t="str">
        <f aca="false">dashboard!$B$5</f>
        <v>egy</v>
      </c>
      <c r="C39" s="73" t="s">
        <v>3401</v>
      </c>
      <c r="D39" s="73" t="s">
        <v>918</v>
      </c>
      <c r="E39" s="73" t="s">
        <v>705</v>
      </c>
      <c r="F39" s="73" t="s">
        <v>706</v>
      </c>
      <c r="G39" s="73" t="s">
        <v>111</v>
      </c>
      <c r="H39" s="73" t="s">
        <v>3441</v>
      </c>
      <c r="I39" s="73" t="s">
        <v>3424</v>
      </c>
      <c r="J39" s="73" t="s">
        <v>3434</v>
      </c>
      <c r="K39" s="73"/>
      <c r="L39" s="73"/>
      <c r="M39" s="114" t="n">
        <f aca="false">M20*INDEX(input_data!$L:$L,MATCH(dashboard!$B$5&amp;".in.enp.stl.drg.ren",input_data!$A:$A,0))</f>
        <v>0</v>
      </c>
      <c r="N39" s="114" t="n">
        <f aca="false">N20*INDEX(input_data!$L:$L,MATCH(dashboard!$B$5&amp;".in.enp.stl.drg.ren",input_data!$A:$A,0))</f>
        <v>0</v>
      </c>
      <c r="O39" s="114" t="n">
        <f aca="false">O20*INDEX(input_data!$L:$L,MATCH(dashboard!$B$5&amp;".in.enp.stl.drg.ren",input_data!$A:$A,0))</f>
        <v>0</v>
      </c>
      <c r="P39" s="114" t="n">
        <f aca="false">P20*INDEX(input_data!$L:$L,MATCH(dashboard!$B$5&amp;".in.enp.stl.drg.ren",input_data!$A:$A,0))</f>
        <v>0</v>
      </c>
      <c r="Q39" s="114" t="n">
        <f aca="false">Q20*INDEX(input_data!$L:$L,MATCH(dashboard!$B$5&amp;".in.enp.stl.drg.ren",input_data!$A:$A,0))</f>
        <v>0</v>
      </c>
      <c r="R39" s="114" t="n">
        <f aca="false">R20*INDEX(input_data!$L:$L,MATCH(dashboard!$B$5&amp;".in.enp.stl.drg.ren",input_data!$A:$A,0))</f>
        <v>0</v>
      </c>
      <c r="S39" s="114" t="n">
        <f aca="false">S20*INDEX(input_data!$L:$L,MATCH(dashboard!$B$5&amp;".in.enp.stl.drg.ren",input_data!$A:$A,0))</f>
        <v>0</v>
      </c>
      <c r="T39" s="114" t="n">
        <f aca="false">T20*INDEX(input_data!$L:$L,MATCH(dashboard!$B$5&amp;".in.enp.stl.drg.ren",input_data!$A:$A,0))</f>
        <v>0</v>
      </c>
      <c r="U39" s="114" t="n">
        <f aca="false">U20*INDEX(input_data!$L:$L,MATCH(dashboard!$B$5&amp;".in.enp.stl.drg.ren",input_data!$A:$A,0))</f>
        <v>0</v>
      </c>
      <c r="V39" s="114" t="n">
        <f aca="false">V20*INDEX(input_data!$L:$L,MATCH(dashboard!$B$5&amp;".in.enp.stl.drg.ren",input_data!$A:$A,0))</f>
        <v>0</v>
      </c>
      <c r="W39" s="114" t="n">
        <f aca="false">W20*INDEX(input_data!$L:$L,MATCH(dashboard!$B$5&amp;".in.enp.stl.drg.ren",input_data!$A:$A,0))</f>
        <v>0</v>
      </c>
      <c r="X39" s="114" t="n">
        <f aca="false">X20*INDEX(input_data!$L:$L,MATCH(dashboard!$B$5&amp;".in.enp.stl.drg.ren",input_data!$A:$A,0))</f>
        <v>0</v>
      </c>
    </row>
    <row r="40" customFormat="false" ht="15" hidden="false" customHeight="true" outlineLevel="0" collapsed="false">
      <c r="A40" s="73" t="str">
        <f aca="false">dashboard!$B$5&amp;".pj.ele.stl.drg.elc"</f>
        <v>egy.pj.ele.stl.drg.elc</v>
      </c>
      <c r="B40" s="73" t="str">
        <f aca="false">dashboard!$B$5</f>
        <v>egy</v>
      </c>
      <c r="C40" s="73" t="s">
        <v>3401</v>
      </c>
      <c r="D40" s="73" t="s">
        <v>943</v>
      </c>
      <c r="E40" s="73" t="s">
        <v>705</v>
      </c>
      <c r="F40" s="73" t="s">
        <v>706</v>
      </c>
      <c r="G40" s="73" t="s">
        <v>944</v>
      </c>
      <c r="H40" s="73" t="s">
        <v>3442</v>
      </c>
      <c r="I40" s="73" t="s">
        <v>3424</v>
      </c>
      <c r="J40" s="73" t="s">
        <v>3443</v>
      </c>
      <c r="K40" s="73"/>
      <c r="L40" s="73"/>
      <c r="M40" s="114" t="n">
        <f aca="false">M20*INDEX(input_data!$L:$L,MATCH(dashboard!$B$5&amp;".in.ele.stl.drg.elc",input_data!$A:$A,0))</f>
        <v>12.75</v>
      </c>
      <c r="N40" s="114" t="n">
        <f aca="false">N20*INDEX(input_data!$L:$L,MATCH(dashboard!$B$5&amp;".in.ele.stl.drg.elc",input_data!$A:$A,0))</f>
        <v>13.45125</v>
      </c>
      <c r="O40" s="114" t="n">
        <f aca="false">O20*INDEX(input_data!$L:$L,MATCH(dashboard!$B$5&amp;".in.ele.stl.drg.elc",input_data!$A:$A,0))</f>
        <v>14.19106875</v>
      </c>
      <c r="P40" s="114" t="n">
        <f aca="false">P20*INDEX(input_data!$L:$L,MATCH(dashboard!$B$5&amp;".in.ele.stl.drg.elc",input_data!$A:$A,0))</f>
        <v>14.97157753125</v>
      </c>
      <c r="Q40" s="114" t="n">
        <f aca="false">Q20*INDEX(input_data!$L:$L,MATCH(dashboard!$B$5&amp;".in.ele.stl.drg.elc",input_data!$A:$A,0))</f>
        <v>15.7950142954687</v>
      </c>
      <c r="R40" s="114" t="n">
        <f aca="false">R20*INDEX(input_data!$L:$L,MATCH(dashboard!$B$5&amp;".in.ele.stl.drg.elc",input_data!$A:$A,0))</f>
        <v>16.6637400817195</v>
      </c>
      <c r="S40" s="114" t="n">
        <f aca="false">S20*INDEX(input_data!$L:$L,MATCH(dashboard!$B$5&amp;".in.ele.stl.drg.elc",input_data!$A:$A,0))</f>
        <v>17.5802457862141</v>
      </c>
      <c r="T40" s="114" t="n">
        <f aca="false">T20*INDEX(input_data!$L:$L,MATCH(dashboard!$B$5&amp;".in.ele.stl.drg.elc",input_data!$A:$A,0))</f>
        <v>18.5471593044559</v>
      </c>
      <c r="U40" s="114" t="n">
        <f aca="false">U20*INDEX(input_data!$L:$L,MATCH(dashboard!$B$5&amp;".in.ele.stl.drg.elc",input_data!$A:$A,0))</f>
        <v>19.5672530662009</v>
      </c>
      <c r="V40" s="114" t="n">
        <f aca="false">V20*INDEX(input_data!$L:$L,MATCH(dashboard!$B$5&amp;".in.ele.stl.drg.elc",input_data!$A:$A,0))</f>
        <v>20.643451984842</v>
      </c>
      <c r="W40" s="114" t="n">
        <f aca="false">W20*INDEX(input_data!$L:$L,MATCH(dashboard!$B$5&amp;".in.ele.stl.drg.elc",input_data!$A:$A,0))</f>
        <v>21.7788418440083</v>
      </c>
      <c r="X40" s="114" t="n">
        <f aca="false">X20*INDEX(input_data!$L:$L,MATCH(dashboard!$B$5&amp;".in.ele.stl.drg.elc",input_data!$A:$A,0))</f>
        <v>22.9766781454288</v>
      </c>
    </row>
    <row r="41" customFormat="false" ht="15" hidden="false" customHeight="true" outlineLevel="0" collapsed="false">
      <c r="A41" s="73" t="str">
        <f aca="false">dashboard!$B$5&amp;".em.sfc.stl.drg.---"</f>
        <v>egy.em.sfc.stl.drg.---</v>
      </c>
      <c r="B41" s="73" t="str">
        <f aca="false">dashboard!$B$5</f>
        <v>egy</v>
      </c>
      <c r="C41" s="73" t="s">
        <v>3444</v>
      </c>
      <c r="D41" s="73" t="s">
        <v>3445</v>
      </c>
      <c r="E41" s="73" t="s">
        <v>705</v>
      </c>
      <c r="F41" s="73" t="s">
        <v>706</v>
      </c>
      <c r="G41" s="73" t="s">
        <v>655</v>
      </c>
      <c r="H41" s="73" t="s">
        <v>3446</v>
      </c>
      <c r="I41" s="73" t="s">
        <v>3447</v>
      </c>
      <c r="J41" s="73" t="s">
        <v>3448</v>
      </c>
      <c r="K41" s="73"/>
      <c r="L41" s="73"/>
      <c r="M41" s="114" t="n">
        <f aca="false">SUMPRODUCT(M24:M31,M10:M17)/1000</f>
        <v>1.619505</v>
      </c>
      <c r="N41" s="114" t="n">
        <f aca="false">SUMPRODUCT(N24:N31,N10:N17)/1000</f>
        <v>1.708577775</v>
      </c>
      <c r="O41" s="114" t="n">
        <f aca="false">SUMPRODUCT(O24:O31,O10:O17)/1000</f>
        <v>1.802549552625</v>
      </c>
      <c r="P41" s="114" t="n">
        <f aca="false">SUMPRODUCT(P24:P31,P10:P17)/1000</f>
        <v>1.90168977801937</v>
      </c>
      <c r="Q41" s="114" t="n">
        <f aca="false">SUMPRODUCT(Q24:Q31,Q10:Q17)/1000</f>
        <v>2.00628271581044</v>
      </c>
      <c r="R41" s="114" t="n">
        <f aca="false">SUMPRODUCT(R24:R31,R10:R17)/1000</f>
        <v>2.11662826518001</v>
      </c>
      <c r="S41" s="114" t="n">
        <f aca="false">SUMPRODUCT(S24:S31,S10:S17)/1000</f>
        <v>2.23304281976492</v>
      </c>
      <c r="T41" s="114" t="n">
        <f aca="false">SUMPRODUCT(T24:T31,T10:T17)/1000</f>
        <v>2.35586017485199</v>
      </c>
      <c r="U41" s="114" t="n">
        <f aca="false">SUMPRODUCT(U24:U31,U10:U17)/1000</f>
        <v>2.48543248446884</v>
      </c>
      <c r="V41" s="114" t="n">
        <f aca="false">SUMPRODUCT(V24:V31,V10:V17)/1000</f>
        <v>2.62213127111463</v>
      </c>
      <c r="W41" s="114" t="n">
        <f aca="false">SUMPRODUCT(W24:W31,W10:W17)/1000</f>
        <v>2.76634849102594</v>
      </c>
      <c r="X41" s="114" t="n">
        <f aca="false">SUMPRODUCT(X24:X31,X10:X17)/1000</f>
        <v>2.91849765803236</v>
      </c>
    </row>
    <row r="42" customFormat="false" ht="15" hidden="false" customHeight="true" outlineLevel="0" collapsed="false">
      <c r="A42" s="73" t="str">
        <f aca="false">dashboard!$B$5&amp;".em.sfp.stl.drg.---"</f>
        <v>egy.em.sfp.stl.drg.---</v>
      </c>
      <c r="B42" s="73" t="str">
        <f aca="false">dashboard!$B$5</f>
        <v>egy</v>
      </c>
      <c r="C42" s="73" t="s">
        <v>3444</v>
      </c>
      <c r="D42" s="73" t="s">
        <v>3449</v>
      </c>
      <c r="E42" s="73" t="s">
        <v>705</v>
      </c>
      <c r="F42" s="73" t="s">
        <v>706</v>
      </c>
      <c r="G42" s="73" t="s">
        <v>655</v>
      </c>
      <c r="H42" s="73" t="s">
        <v>3450</v>
      </c>
      <c r="I42" s="73" t="s">
        <v>3447</v>
      </c>
      <c r="J42" s="73" t="s">
        <v>3451</v>
      </c>
      <c r="K42" s="73"/>
      <c r="L42" s="73"/>
      <c r="M42" s="114" t="n">
        <f aca="false">SUMPRODUCT(M32:M39,M10:M17)/1000</f>
        <v>6.86664</v>
      </c>
      <c r="N42" s="114" t="n">
        <f aca="false">SUMPRODUCT(N32:N39,N10:N17)/1000</f>
        <v>7.2443052</v>
      </c>
      <c r="O42" s="114" t="n">
        <f aca="false">SUMPRODUCT(O32:O39,O10:O17)/1000</f>
        <v>7.642741986</v>
      </c>
      <c r="P42" s="114" t="n">
        <f aca="false">SUMPRODUCT(P32:P39,P10:P17)/1000</f>
        <v>8.06309279523</v>
      </c>
      <c r="Q42" s="114" t="n">
        <f aca="false">SUMPRODUCT(Q32:Q39,Q10:Q17)/1000</f>
        <v>8.50656289896765</v>
      </c>
      <c r="R42" s="114" t="n">
        <f aca="false">SUMPRODUCT(R32:R39,R10:R17)/1000</f>
        <v>8.97442385841087</v>
      </c>
      <c r="S42" s="114" t="n">
        <f aca="false">SUMPRODUCT(S32:S39,S10:S17)/1000</f>
        <v>9.46801717062347</v>
      </c>
      <c r="T42" s="114" t="n">
        <f aca="false">SUMPRODUCT(T32:T39,T10:T17)/1000</f>
        <v>9.98875811500776</v>
      </c>
      <c r="U42" s="114" t="n">
        <f aca="false">SUMPRODUCT(U32:U39,U10:U17)/1000</f>
        <v>10.5381398113332</v>
      </c>
      <c r="V42" s="114" t="n">
        <f aca="false">SUMPRODUCT(V32:V39,V10:V17)/1000</f>
        <v>11.1177375009565</v>
      </c>
      <c r="W42" s="114" t="n">
        <f aca="false">SUMPRODUCT(W32:W39,W10:W17)/1000</f>
        <v>11.7292130635091</v>
      </c>
      <c r="X42" s="114" t="n">
        <f aca="false">SUMPRODUCT(X32:X39,X10:X17)/1000</f>
        <v>12.3743197820021</v>
      </c>
    </row>
    <row r="43" customFormat="false" ht="15" hidden="false" customHeight="true" outlineLevel="0" collapsed="false">
      <c r="A43" s="73" t="str">
        <f aca="false">dashboard!$B$5&amp;".em.snp.stl.drg.---"</f>
        <v>egy.em.snp.stl.drg.---</v>
      </c>
      <c r="B43" s="73" t="str">
        <f aca="false">dashboard!$B$5</f>
        <v>egy</v>
      </c>
      <c r="C43" s="73" t="s">
        <v>3444</v>
      </c>
      <c r="D43" s="73" t="s">
        <v>3452</v>
      </c>
      <c r="E43" s="73" t="s">
        <v>705</v>
      </c>
      <c r="F43" s="73" t="s">
        <v>706</v>
      </c>
      <c r="G43" s="73" t="s">
        <v>655</v>
      </c>
      <c r="H43" s="73" t="s">
        <v>3453</v>
      </c>
      <c r="I43" s="73" t="s">
        <v>3447</v>
      </c>
      <c r="J43" s="73" t="s">
        <v>3454</v>
      </c>
      <c r="K43" s="73"/>
      <c r="L43" s="73"/>
      <c r="M43" s="114" t="n">
        <f aca="false">M20*INDEX(input_data!$L:$L,MATCH(dashboard!$B$5&amp;".in.efn.stl.drg.---",input_data!$A:$A,0))</f>
        <v>0</v>
      </c>
      <c r="N43" s="114" t="n">
        <f aca="false">N20*INDEX(input_data!$L:$L,MATCH(dashboard!$B$5&amp;".in.efn.stl.drg.---",input_data!$A:$A,0))</f>
        <v>0</v>
      </c>
      <c r="O43" s="114" t="n">
        <f aca="false">O20*INDEX(input_data!$L:$L,MATCH(dashboard!$B$5&amp;".in.efn.stl.drg.---",input_data!$A:$A,0))</f>
        <v>0</v>
      </c>
      <c r="P43" s="114" t="n">
        <f aca="false">P20*INDEX(input_data!$L:$L,MATCH(dashboard!$B$5&amp;".in.efn.stl.drg.---",input_data!$A:$A,0))</f>
        <v>0</v>
      </c>
      <c r="Q43" s="114" t="n">
        <f aca="false">Q20*INDEX(input_data!$L:$L,MATCH(dashboard!$B$5&amp;".in.efn.stl.drg.---",input_data!$A:$A,0))</f>
        <v>0</v>
      </c>
      <c r="R43" s="114" t="n">
        <f aca="false">R20*INDEX(input_data!$L:$L,MATCH(dashboard!$B$5&amp;".in.efn.stl.drg.---",input_data!$A:$A,0))</f>
        <v>0</v>
      </c>
      <c r="S43" s="114" t="n">
        <f aca="false">S20*INDEX(input_data!$L:$L,MATCH(dashboard!$B$5&amp;".in.efn.stl.drg.---",input_data!$A:$A,0))</f>
        <v>0</v>
      </c>
      <c r="T43" s="114" t="n">
        <f aca="false">T20*INDEX(input_data!$L:$L,MATCH(dashboard!$B$5&amp;".in.efn.stl.drg.---",input_data!$A:$A,0))</f>
        <v>0</v>
      </c>
      <c r="U43" s="114" t="n">
        <f aca="false">U20*INDEX(input_data!$L:$L,MATCH(dashboard!$B$5&amp;".in.efn.stl.drg.---",input_data!$A:$A,0))</f>
        <v>0</v>
      </c>
      <c r="V43" s="114" t="n">
        <f aca="false">V20*INDEX(input_data!$L:$L,MATCH(dashboard!$B$5&amp;".in.efn.stl.drg.---",input_data!$A:$A,0))</f>
        <v>0</v>
      </c>
      <c r="W43" s="114" t="n">
        <f aca="false">W20*INDEX(input_data!$L:$L,MATCH(dashboard!$B$5&amp;".in.efn.stl.drg.---",input_data!$A:$A,0))</f>
        <v>0</v>
      </c>
      <c r="X43" s="114" t="n">
        <f aca="false">X20*INDEX(input_data!$L:$L,MATCH(dashboard!$B$5&amp;".in.efn.stl.drg.---",input_data!$A:$A,0))</f>
        <v>0</v>
      </c>
    </row>
    <row r="44" customFormat="false" ht="15" hidden="false" customHeight="true" outlineLevel="0" collapsed="false">
      <c r="A44" s="73" t="str">
        <f aca="false">dashboard!$B$5&amp;".em.sno.stl.drg.---"</f>
        <v>egy.em.sno.stl.drg.---</v>
      </c>
      <c r="B44" s="73" t="str">
        <f aca="false">dashboard!$B$5</f>
        <v>egy</v>
      </c>
      <c r="C44" s="73" t="s">
        <v>3444</v>
      </c>
      <c r="D44" s="73" t="s">
        <v>3455</v>
      </c>
      <c r="E44" s="73" t="s">
        <v>705</v>
      </c>
      <c r="F44" s="73" t="s">
        <v>706</v>
      </c>
      <c r="G44" s="73" t="s">
        <v>655</v>
      </c>
      <c r="H44" s="73" t="s">
        <v>3456</v>
      </c>
      <c r="I44" s="73" t="s">
        <v>3457</v>
      </c>
      <c r="J44" s="73" t="s">
        <v>3458</v>
      </c>
      <c r="K44" s="73"/>
      <c r="L44" s="73"/>
      <c r="M44" s="114" t="n">
        <f aca="false">M20*INDEX(input_data!$L:$L,MATCH(dashboard!$B$5&amp;".in.efo.stl.drg.---",input_data!$A:$A,0))</f>
        <v>0</v>
      </c>
      <c r="N44" s="114" t="n">
        <f aca="false">N20*INDEX(input_data!$L:$L,MATCH(dashboard!$B$5&amp;".in.efo.stl.drg.---",input_data!$A:$A,0))</f>
        <v>0</v>
      </c>
      <c r="O44" s="114" t="n">
        <f aca="false">O20*INDEX(input_data!$L:$L,MATCH(dashboard!$B$5&amp;".in.efo.stl.drg.---",input_data!$A:$A,0))</f>
        <v>0</v>
      </c>
      <c r="P44" s="114" t="n">
        <f aca="false">P20*INDEX(input_data!$L:$L,MATCH(dashboard!$B$5&amp;".in.efo.stl.drg.---",input_data!$A:$A,0))</f>
        <v>0</v>
      </c>
      <c r="Q44" s="114" t="n">
        <f aca="false">Q20*INDEX(input_data!$L:$L,MATCH(dashboard!$B$5&amp;".in.efo.stl.drg.---",input_data!$A:$A,0))</f>
        <v>0</v>
      </c>
      <c r="R44" s="114" t="n">
        <f aca="false">R20*INDEX(input_data!$L:$L,MATCH(dashboard!$B$5&amp;".in.efo.stl.drg.---",input_data!$A:$A,0))</f>
        <v>0</v>
      </c>
      <c r="S44" s="114" t="n">
        <f aca="false">S20*INDEX(input_data!$L:$L,MATCH(dashboard!$B$5&amp;".in.efo.stl.drg.---",input_data!$A:$A,0))</f>
        <v>0</v>
      </c>
      <c r="T44" s="114" t="n">
        <f aca="false">T20*INDEX(input_data!$L:$L,MATCH(dashboard!$B$5&amp;".in.efo.stl.drg.---",input_data!$A:$A,0))</f>
        <v>0</v>
      </c>
      <c r="U44" s="114" t="n">
        <f aca="false">U20*INDEX(input_data!$L:$L,MATCH(dashboard!$B$5&amp;".in.efo.stl.drg.---",input_data!$A:$A,0))</f>
        <v>0</v>
      </c>
      <c r="V44" s="114" t="n">
        <f aca="false">V20*INDEX(input_data!$L:$L,MATCH(dashboard!$B$5&amp;".in.efo.stl.drg.---",input_data!$A:$A,0))</f>
        <v>0</v>
      </c>
      <c r="W44" s="114" t="n">
        <f aca="false">W20*INDEX(input_data!$L:$L,MATCH(dashboard!$B$5&amp;".in.efo.stl.drg.---",input_data!$A:$A,0))</f>
        <v>0</v>
      </c>
      <c r="X44" s="114" t="n">
        <f aca="false">X20*INDEX(input_data!$L:$L,MATCH(dashboard!$B$5&amp;".in.efo.stl.drg.---",input_data!$A:$A,0))</f>
        <v>0</v>
      </c>
    </row>
    <row r="45" customFormat="false" ht="15" hidden="false" customHeight="true" outlineLevel="0" collapsed="false">
      <c r="A45" s="73" t="str">
        <f aca="false">dashboard!$B$5&amp;".em.s2e.stl.drg.elc"</f>
        <v>egy.em.s2e.stl.drg.elc</v>
      </c>
      <c r="B45" s="73" t="str">
        <f aca="false">dashboard!$B$5</f>
        <v>egy</v>
      </c>
      <c r="C45" s="73" t="s">
        <v>3444</v>
      </c>
      <c r="D45" s="73" t="s">
        <v>3459</v>
      </c>
      <c r="E45" s="73" t="s">
        <v>705</v>
      </c>
      <c r="F45" s="73" t="s">
        <v>706</v>
      </c>
      <c r="G45" s="73" t="s">
        <v>944</v>
      </c>
      <c r="H45" s="73" t="s">
        <v>3460</v>
      </c>
      <c r="I45" s="73" t="s">
        <v>3447</v>
      </c>
      <c r="J45" s="73" t="s">
        <v>3461</v>
      </c>
      <c r="K45" s="73"/>
      <c r="L45" s="73"/>
      <c r="M45" s="114" t="n">
        <f aca="false">M40*INDEX(input_data!$M:$X,MATCH(dashboard!$B$5&amp;".in.gef.---.---.---",input_data!$A:$A,0),COLUMNS($M:M))/3.6</f>
        <v>1.80625</v>
      </c>
      <c r="N45" s="114" t="n">
        <f aca="false">N40*INDEX(input_data!$M:$X,MATCH(dashboard!$B$5&amp;".in.gef.---.---.---",input_data!$A:$A,0),COLUMNS($M:N))/3.6</f>
        <v>1.86822916666667</v>
      </c>
      <c r="O45" s="114" t="n">
        <f aca="false">O40*INDEX(input_data!$M:$X,MATCH(dashboard!$B$5&amp;".in.gef.---.---.---",input_data!$A:$A,0),COLUMNS($M:O))/3.6</f>
        <v>1.93156213541667</v>
      </c>
      <c r="P45" s="114" t="n">
        <f aca="false">P40*INDEX(input_data!$M:$X,MATCH(dashboard!$B$5&amp;".in.gef.---.---.---",input_data!$A:$A,0),COLUMNS($M:P))/3.6</f>
        <v>1.9962103375</v>
      </c>
      <c r="Q45" s="114" t="n">
        <f aca="false">Q40*INDEX(input_data!$M:$X,MATCH(dashboard!$B$5&amp;".in.gef.---.---.---",input_data!$A:$A,0),COLUMNS($M:Q))/3.6</f>
        <v>2.06212686635286</v>
      </c>
      <c r="R45" s="114" t="n">
        <f aca="false">R40*INDEX(input_data!$M:$X,MATCH(dashboard!$B$5&amp;".in.gef.---.---.---",input_data!$A:$A,0),COLUMNS($M:R))/3.6</f>
        <v>2.12925567710861</v>
      </c>
      <c r="S45" s="114" t="n">
        <f aca="false">S40*INDEX(input_data!$M:$X,MATCH(dashboard!$B$5&amp;".in.gef.---.---.---",input_data!$A:$A,0),COLUMNS($M:S))/3.6</f>
        <v>2.19753072327676</v>
      </c>
      <c r="T45" s="114" t="n">
        <f aca="false">T40*INDEX(input_data!$M:$X,MATCH(dashboard!$B$5&amp;".in.gef.---.---.---",input_data!$A:$A,0),COLUMNS($M:T))/3.6</f>
        <v>2.26687502610016</v>
      </c>
      <c r="U45" s="114" t="n">
        <f aca="false">U40*INDEX(input_data!$M:$X,MATCH(dashboard!$B$5&amp;".in.gef.---.---.---",input_data!$A:$A,0),COLUMNS($M:U))/3.6</f>
        <v>2.33719967179622</v>
      </c>
      <c r="V45" s="114" t="n">
        <f aca="false">V40*INDEX(input_data!$M:$X,MATCH(dashboard!$B$5&amp;".in.gef.---.---.---",input_data!$A:$A,0),COLUMNS($M:V))/3.6</f>
        <v>2.4084027315649</v>
      </c>
      <c r="W45" s="114" t="n">
        <f aca="false">W40*INDEX(input_data!$M:$X,MATCH(dashboard!$B$5&amp;".in.gef.---.---.---",input_data!$A:$A,0),COLUMNS($M:W))/3.6</f>
        <v>2.48036809890095</v>
      </c>
      <c r="X45" s="114" t="n">
        <f aca="false">X40*INDEX(input_data!$M:$X,MATCH(dashboard!$B$5&amp;".in.gef.---.---.---",input_data!$A:$A,0),COLUMNS($M:X))/3.6</f>
        <v>2.55296423838097</v>
      </c>
    </row>
    <row r="47" customFormat="false" ht="21.75" hidden="false" customHeight="true" outlineLevel="0" collapsed="false">
      <c r="A47" s="70" t="s">
        <v>3462</v>
      </c>
      <c r="B47" s="70"/>
      <c r="C47" s="70"/>
      <c r="D47" s="70"/>
      <c r="E47" s="70"/>
      <c r="F47" s="70"/>
      <c r="G47" s="70"/>
      <c r="H47" s="70"/>
      <c r="I47" s="70"/>
      <c r="J47" s="70"/>
      <c r="K47" s="70"/>
      <c r="L47" s="70"/>
      <c r="M47" s="70"/>
      <c r="N47" s="70"/>
      <c r="O47" s="70"/>
      <c r="P47" s="70"/>
      <c r="Q47" s="70"/>
      <c r="R47" s="70"/>
      <c r="S47" s="70"/>
      <c r="T47" s="70"/>
      <c r="U47" s="70"/>
      <c r="V47" s="70"/>
      <c r="W47" s="70"/>
      <c r="X47" s="70"/>
    </row>
    <row r="48" customFormat="false" ht="15" hidden="false" customHeight="true" outlineLevel="0" collapsed="false">
      <c r="A48" s="73" t="str">
        <f aca="false">dashboard!$B$5&amp;".pj.prd.stl.scr.---"</f>
        <v>egy.pj.prd.stl.scr.---</v>
      </c>
      <c r="B48" s="73" t="str">
        <f aca="false">dashboard!$B$5</f>
        <v>egy</v>
      </c>
      <c r="C48" s="73" t="s">
        <v>3401</v>
      </c>
      <c r="D48" s="73" t="s">
        <v>3412</v>
      </c>
      <c r="E48" s="73" t="s">
        <v>705</v>
      </c>
      <c r="F48" s="73" t="s">
        <v>733</v>
      </c>
      <c r="G48" s="73" t="s">
        <v>655</v>
      </c>
      <c r="H48" s="73" t="s">
        <v>3463</v>
      </c>
      <c r="I48" s="73" t="s">
        <v>869</v>
      </c>
      <c r="J48" s="73" t="s">
        <v>3414</v>
      </c>
      <c r="K48" s="73"/>
      <c r="L48" s="73"/>
      <c r="M48" s="114" t="n">
        <f aca="false">IFERROR(INDEX(input_data!$L:$L,MATCH(dashboard!$B$5&amp;".in.prb.stl.scr.---",input_data!$A:$A,0))*POWER(M7,INDEX(input_data!$L:$L,MATCH(dashboard!$B$5&amp;".in.els.stl.scr.---",input_data!$A:$A,0))),0)</f>
        <v>4.58</v>
      </c>
      <c r="N48" s="114" t="n">
        <f aca="false">IFERROR(INDEX(input_data!$L:$L,MATCH(dashboard!$B$5&amp;".in.prb.stl.scr.---",input_data!$A:$A,0))*POWER(N7,INDEX(input_data!$L:$L,MATCH(dashboard!$B$5&amp;".in.els.stl.scr.---",input_data!$A:$A,0))),0)</f>
        <v>4.78043531130998</v>
      </c>
      <c r="O48" s="114" t="n">
        <f aca="false">IFERROR(INDEX(input_data!$L:$L,MATCH(dashboard!$B$5&amp;".in.prb.stl.scr.---",input_data!$A:$A,0))*POWER(O7,INDEX(input_data!$L:$L,MATCH(dashboard!$B$5&amp;".in.els.stl.scr.---",input_data!$A:$A,0))),0)</f>
        <v>4.98964230690378</v>
      </c>
      <c r="P48" s="114" t="n">
        <f aca="false">IFERROR(INDEX(input_data!$L:$L,MATCH(dashboard!$B$5&amp;".in.prb.stl.scr.---",input_data!$A:$A,0))*POWER(P7,INDEX(input_data!$L:$L,MATCH(dashboard!$B$5&amp;".in.els.stl.scr.---",input_data!$A:$A,0))),0)</f>
        <v>5.20800486347795</v>
      </c>
      <c r="Q48" s="114" t="n">
        <f aca="false">IFERROR(INDEX(input_data!$L:$L,MATCH(dashboard!$B$5&amp;".in.prb.stl.scr.---",input_data!$A:$A,0))*POWER(Q7,INDEX(input_data!$L:$L,MATCH(dashboard!$B$5&amp;".in.els.stl.scr.---",input_data!$A:$A,0))),0)</f>
        <v>5.43592365738954</v>
      </c>
      <c r="R48" s="114" t="n">
        <f aca="false">IFERROR(INDEX(input_data!$L:$L,MATCH(dashboard!$B$5&amp;".in.prb.stl.scr.---",input_data!$A:$A,0))*POWER(R7,INDEX(input_data!$L:$L,MATCH(dashboard!$B$5&amp;".in.els.stl.scr.---",input_data!$A:$A,0))),0)</f>
        <v>5.6738168998625</v>
      </c>
      <c r="S48" s="114" t="n">
        <f aca="false">IFERROR(INDEX(input_data!$L:$L,MATCH(dashboard!$B$5&amp;".in.prb.stl.scr.---",input_data!$A:$A,0))*POWER(S7,INDEX(input_data!$L:$L,MATCH(dashboard!$B$5&amp;".in.els.stl.scr.---",input_data!$A:$A,0))),0)</f>
        <v>5.922121104369</v>
      </c>
      <c r="T48" s="114" t="n">
        <f aca="false">IFERROR(INDEX(input_data!$L:$L,MATCH(dashboard!$B$5&amp;".in.prb.stl.scr.---",input_data!$A:$A,0))*POWER(T7,INDEX(input_data!$L:$L,MATCH(dashboard!$B$5&amp;".in.els.stl.scr.---",input_data!$A:$A,0))),0)</f>
        <v>6.1812918875938</v>
      </c>
      <c r="U48" s="114" t="n">
        <f aca="false">IFERROR(INDEX(input_data!$L:$L,MATCH(dashboard!$B$5&amp;".in.prb.stl.scr.---",input_data!$A:$A,0))*POWER(U7,INDEX(input_data!$L:$L,MATCH(dashboard!$B$5&amp;".in.els.stl.scr.---",input_data!$A:$A,0))),0)</f>
        <v>6.45180480545137</v>
      </c>
      <c r="V48" s="114" t="n">
        <f aca="false">IFERROR(INDEX(input_data!$L:$L,MATCH(dashboard!$B$5&amp;".in.prb.stl.scr.---",input_data!$A:$A,0))*POWER(V7,INDEX(input_data!$L:$L,MATCH(dashboard!$B$5&amp;".in.els.stl.scr.---",input_data!$A:$A,0))),0)</f>
        <v>6.73415622568977</v>
      </c>
      <c r="W48" s="114" t="n">
        <f aca="false">IFERROR(INDEX(input_data!$L:$L,MATCH(dashboard!$B$5&amp;".in.prb.stl.scr.---",input_data!$A:$A,0))*POWER(W7,INDEX(input_data!$L:$L,MATCH(dashboard!$B$5&amp;".in.els.stl.scr.---",input_data!$A:$A,0))),0)</f>
        <v>7.02886423868238</v>
      </c>
      <c r="X48" s="114" t="n">
        <f aca="false">IFERROR(INDEX(input_data!$L:$L,MATCH(dashboard!$B$5&amp;".in.prb.stl.scr.---",input_data!$A:$A,0))*POWER(X7,INDEX(input_data!$L:$L,MATCH(dashboard!$B$5&amp;".in.els.stl.scr.---",input_data!$A:$A,0))),0)</f>
        <v>7.33646960807886</v>
      </c>
    </row>
    <row r="49" customFormat="false" ht="15" hidden="false" customHeight="true" outlineLevel="0" collapsed="false">
      <c r="A49" s="73" t="str">
        <f aca="false">dashboard!$B$5&amp;".pj.eux.stl.scr.---"</f>
        <v>egy.pj.eux.stl.scr.---</v>
      </c>
      <c r="B49" s="73" t="str">
        <f aca="false">dashboard!$B$5</f>
        <v>egy</v>
      </c>
      <c r="C49" s="73" t="s">
        <v>3401</v>
      </c>
      <c r="D49" s="73" t="s">
        <v>3415</v>
      </c>
      <c r="E49" s="73" t="s">
        <v>705</v>
      </c>
      <c r="F49" s="73" t="s">
        <v>733</v>
      </c>
      <c r="G49" s="73" t="s">
        <v>655</v>
      </c>
      <c r="H49" s="73" t="s">
        <v>3464</v>
      </c>
      <c r="I49" s="73" t="s">
        <v>869</v>
      </c>
      <c r="J49" s="73" t="s">
        <v>3417</v>
      </c>
      <c r="K49" s="73"/>
      <c r="L49" s="73"/>
      <c r="M49" s="114" t="n">
        <f aca="false">M48*INDEX(input_data!$L:$L,MATCH(dashboard!$B$5&amp;".in.exe.stl.scr.---",input_data!$A:$A,0))</f>
        <v>0.458</v>
      </c>
      <c r="N49" s="114" t="n">
        <f aca="false">N48*INDEX(input_data!$L:$L,MATCH(dashboard!$B$5&amp;".in.exe.stl.scr.---",input_data!$A:$A,0))</f>
        <v>0.478043531130998</v>
      </c>
      <c r="O49" s="114" t="n">
        <f aca="false">O48*INDEX(input_data!$L:$L,MATCH(dashboard!$B$5&amp;".in.exe.stl.scr.---",input_data!$A:$A,0))</f>
        <v>0.498964230690378</v>
      </c>
      <c r="P49" s="114" t="n">
        <f aca="false">P48*INDEX(input_data!$L:$L,MATCH(dashboard!$B$5&amp;".in.exe.stl.scr.---",input_data!$A:$A,0))</f>
        <v>0.520800486347795</v>
      </c>
      <c r="Q49" s="114" t="n">
        <f aca="false">Q48*INDEX(input_data!$L:$L,MATCH(dashboard!$B$5&amp;".in.exe.stl.scr.---",input_data!$A:$A,0))</f>
        <v>0.543592365738954</v>
      </c>
      <c r="R49" s="114" t="n">
        <f aca="false">R48*INDEX(input_data!$L:$L,MATCH(dashboard!$B$5&amp;".in.exe.stl.scr.---",input_data!$A:$A,0))</f>
        <v>0.56738168998625</v>
      </c>
      <c r="S49" s="114" t="n">
        <f aca="false">S48*INDEX(input_data!$L:$L,MATCH(dashboard!$B$5&amp;".in.exe.stl.scr.---",input_data!$A:$A,0))</f>
        <v>0.5922121104369</v>
      </c>
      <c r="T49" s="114" t="n">
        <f aca="false">T48*INDEX(input_data!$L:$L,MATCH(dashboard!$B$5&amp;".in.exe.stl.scr.---",input_data!$A:$A,0))</f>
        <v>0.61812918875938</v>
      </c>
      <c r="U49" s="114" t="n">
        <f aca="false">U48*INDEX(input_data!$L:$L,MATCH(dashboard!$B$5&amp;".in.exe.stl.scr.---",input_data!$A:$A,0))</f>
        <v>0.645180480545137</v>
      </c>
      <c r="V49" s="114" t="n">
        <f aca="false">V48*INDEX(input_data!$L:$L,MATCH(dashboard!$B$5&amp;".in.exe.stl.scr.---",input_data!$A:$A,0))</f>
        <v>0.673415622568977</v>
      </c>
      <c r="W49" s="114" t="n">
        <f aca="false">W48*INDEX(input_data!$L:$L,MATCH(dashboard!$B$5&amp;".in.exe.stl.scr.---",input_data!$A:$A,0))</f>
        <v>0.702886423868238</v>
      </c>
      <c r="X49" s="114" t="n">
        <f aca="false">X48*INDEX(input_data!$L:$L,MATCH(dashboard!$B$5&amp;".in.exe.stl.scr.---",input_data!$A:$A,0))</f>
        <v>0.733646960807886</v>
      </c>
    </row>
    <row r="50" customFormat="false" ht="15" hidden="false" customHeight="true" outlineLevel="0" collapsed="false">
      <c r="A50" s="73" t="str">
        <f aca="false">dashboard!$B$5&amp;".pj.nex.stl.scr.---"</f>
        <v>egy.pj.nex.stl.scr.---</v>
      </c>
      <c r="B50" s="73" t="str">
        <f aca="false">dashboard!$B$5</f>
        <v>egy</v>
      </c>
      <c r="C50" s="73" t="s">
        <v>3401</v>
      </c>
      <c r="D50" s="73" t="s">
        <v>3418</v>
      </c>
      <c r="E50" s="73" t="s">
        <v>705</v>
      </c>
      <c r="F50" s="73" t="s">
        <v>733</v>
      </c>
      <c r="G50" s="73" t="s">
        <v>655</v>
      </c>
      <c r="H50" s="73" t="s">
        <v>3465</v>
      </c>
      <c r="I50" s="73" t="s">
        <v>869</v>
      </c>
      <c r="J50" s="73" t="s">
        <v>3420</v>
      </c>
      <c r="K50" s="73"/>
      <c r="L50" s="73"/>
      <c r="M50" s="114" t="n">
        <f aca="false">M48*(INDEX(input_data!$L:$L,MATCH(dashboard!$B$5&amp;".in.ext.stl.scr.---",input_data!$A:$A,0))-INDEX(input_data!$L:$L,MATCH(dashboard!$B$5&amp;".in.exe.stl.scr.---",input_data!$A:$A,0)))</f>
        <v>0.916</v>
      </c>
      <c r="N50" s="114" t="n">
        <f aca="false">N48*(INDEX(input_data!$L:$L,MATCH(dashboard!$B$5&amp;".in.ext.stl.scr.---",input_data!$A:$A,0))-INDEX(input_data!$L:$L,MATCH(dashboard!$B$5&amp;".in.exe.stl.scr.---",input_data!$A:$A,0)))</f>
        <v>0.956087062261996</v>
      </c>
      <c r="O50" s="114" t="n">
        <f aca="false">O48*(INDEX(input_data!$L:$L,MATCH(dashboard!$B$5&amp;".in.ext.stl.scr.---",input_data!$A:$A,0))-INDEX(input_data!$L:$L,MATCH(dashboard!$B$5&amp;".in.exe.stl.scr.---",input_data!$A:$A,0)))</f>
        <v>0.997928461380757</v>
      </c>
      <c r="P50" s="114" t="n">
        <f aca="false">P48*(INDEX(input_data!$L:$L,MATCH(dashboard!$B$5&amp;".in.ext.stl.scr.---",input_data!$A:$A,0))-INDEX(input_data!$L:$L,MATCH(dashboard!$B$5&amp;".in.exe.stl.scr.---",input_data!$A:$A,0)))</f>
        <v>1.04160097269559</v>
      </c>
      <c r="Q50" s="114" t="n">
        <f aca="false">Q48*(INDEX(input_data!$L:$L,MATCH(dashboard!$B$5&amp;".in.ext.stl.scr.---",input_data!$A:$A,0))-INDEX(input_data!$L:$L,MATCH(dashboard!$B$5&amp;".in.exe.stl.scr.---",input_data!$A:$A,0)))</f>
        <v>1.08718473147791</v>
      </c>
      <c r="R50" s="114" t="n">
        <f aca="false">R48*(INDEX(input_data!$L:$L,MATCH(dashboard!$B$5&amp;".in.ext.stl.scr.---",input_data!$A:$A,0))-INDEX(input_data!$L:$L,MATCH(dashboard!$B$5&amp;".in.exe.stl.scr.---",input_data!$A:$A,0)))</f>
        <v>1.1347633799725</v>
      </c>
      <c r="S50" s="114" t="n">
        <f aca="false">S48*(INDEX(input_data!$L:$L,MATCH(dashboard!$B$5&amp;".in.ext.stl.scr.---",input_data!$A:$A,0))-INDEX(input_data!$L:$L,MATCH(dashboard!$B$5&amp;".in.exe.stl.scr.---",input_data!$A:$A,0)))</f>
        <v>1.1844242208738</v>
      </c>
      <c r="T50" s="114" t="n">
        <f aca="false">T48*(INDEX(input_data!$L:$L,MATCH(dashboard!$B$5&amp;".in.ext.stl.scr.---",input_data!$A:$A,0))-INDEX(input_data!$L:$L,MATCH(dashboard!$B$5&amp;".in.exe.stl.scr.---",input_data!$A:$A,0)))</f>
        <v>1.23625837751876</v>
      </c>
      <c r="U50" s="114" t="n">
        <f aca="false">U48*(INDEX(input_data!$L:$L,MATCH(dashboard!$B$5&amp;".in.ext.stl.scr.---",input_data!$A:$A,0))-INDEX(input_data!$L:$L,MATCH(dashboard!$B$5&amp;".in.exe.stl.scr.---",input_data!$A:$A,0)))</f>
        <v>1.29036096109027</v>
      </c>
      <c r="V50" s="114" t="n">
        <f aca="false">V48*(INDEX(input_data!$L:$L,MATCH(dashboard!$B$5&amp;".in.ext.stl.scr.---",input_data!$A:$A,0))-INDEX(input_data!$L:$L,MATCH(dashboard!$B$5&amp;".in.exe.stl.scr.---",input_data!$A:$A,0)))</f>
        <v>1.34683124513795</v>
      </c>
      <c r="W50" s="114" t="n">
        <f aca="false">W48*(INDEX(input_data!$L:$L,MATCH(dashboard!$B$5&amp;".in.ext.stl.scr.---",input_data!$A:$A,0))-INDEX(input_data!$L:$L,MATCH(dashboard!$B$5&amp;".in.exe.stl.scr.---",input_data!$A:$A,0)))</f>
        <v>1.40577284773648</v>
      </c>
      <c r="X50" s="114" t="n">
        <f aca="false">X48*(INDEX(input_data!$L:$L,MATCH(dashboard!$B$5&amp;".in.ext.stl.scr.---",input_data!$A:$A,0))-INDEX(input_data!$L:$L,MATCH(dashboard!$B$5&amp;".in.exe.stl.scr.---",input_data!$A:$A,0)))</f>
        <v>1.46729392161577</v>
      </c>
    </row>
    <row r="51" customFormat="false" ht="15" hidden="false" customHeight="true" outlineLevel="0" collapsed="false">
      <c r="A51" s="73" t="str">
        <f aca="false">dashboard!$B$5&amp;".pj.dom.stl.scr.---"</f>
        <v>egy.pj.dom.stl.scr.---</v>
      </c>
      <c r="B51" s="73" t="str">
        <f aca="false">dashboard!$B$5</f>
        <v>egy</v>
      </c>
      <c r="C51" s="73" t="s">
        <v>3401</v>
      </c>
      <c r="D51" s="73" t="s">
        <v>641</v>
      </c>
      <c r="E51" s="73" t="s">
        <v>705</v>
      </c>
      <c r="F51" s="73" t="s">
        <v>733</v>
      </c>
      <c r="G51" s="73" t="s">
        <v>655</v>
      </c>
      <c r="H51" s="73" t="s">
        <v>3466</v>
      </c>
      <c r="I51" s="73" t="s">
        <v>869</v>
      </c>
      <c r="J51" s="73" t="s">
        <v>3422</v>
      </c>
      <c r="K51" s="73"/>
      <c r="L51" s="73"/>
      <c r="M51" s="114" t="n">
        <f aca="false">M48*(1-INDEX(input_data!$L:$L,MATCH(dashboard!$B$5&amp;".in.ext.stl.scr.---",input_data!$A:$A,0)))*(1+INDEX(input_data!$L:$L,MATCH(dashboard!$B$5&amp;".in.imp.stl.scr.---",input_data!$A:$A,0)))</f>
        <v>3.5266</v>
      </c>
      <c r="N51" s="114" t="n">
        <f aca="false">N48*(1-INDEX(input_data!$L:$L,MATCH(dashboard!$B$5&amp;".in.ext.stl.scr.---",input_data!$A:$A,0)))*(1+INDEX(input_data!$L:$L,MATCH(dashboard!$B$5&amp;".in.imp.stl.scr.---",input_data!$A:$A,0)))</f>
        <v>3.68093518970868</v>
      </c>
      <c r="O51" s="114" t="n">
        <f aca="false">O48*(1-INDEX(input_data!$L:$L,MATCH(dashboard!$B$5&amp;".in.ext.stl.scr.---",input_data!$A:$A,0)))*(1+INDEX(input_data!$L:$L,MATCH(dashboard!$B$5&amp;".in.imp.stl.scr.---",input_data!$A:$A,0)))</f>
        <v>3.84202457631591</v>
      </c>
      <c r="P51" s="114" t="n">
        <f aca="false">P48*(1-INDEX(input_data!$L:$L,MATCH(dashboard!$B$5&amp;".in.ext.stl.scr.---",input_data!$A:$A,0)))*(1+INDEX(input_data!$L:$L,MATCH(dashboard!$B$5&amp;".in.imp.stl.scr.---",input_data!$A:$A,0)))</f>
        <v>4.01016374487802</v>
      </c>
      <c r="Q51" s="114" t="n">
        <f aca="false">Q48*(1-INDEX(input_data!$L:$L,MATCH(dashboard!$B$5&amp;".in.ext.stl.scr.---",input_data!$A:$A,0)))*(1+INDEX(input_data!$L:$L,MATCH(dashboard!$B$5&amp;".in.imp.stl.scr.---",input_data!$A:$A,0)))</f>
        <v>4.18566121618995</v>
      </c>
      <c r="R51" s="114" t="n">
        <f aca="false">R48*(1-INDEX(input_data!$L:$L,MATCH(dashboard!$B$5&amp;".in.ext.stl.scr.---",input_data!$A:$A,0)))*(1+INDEX(input_data!$L:$L,MATCH(dashboard!$B$5&amp;".in.imp.stl.scr.---",input_data!$A:$A,0)))</f>
        <v>4.36883901289412</v>
      </c>
      <c r="S51" s="114" t="n">
        <f aca="false">S48*(1-INDEX(input_data!$L:$L,MATCH(dashboard!$B$5&amp;".in.ext.stl.scr.---",input_data!$A:$A,0)))*(1+INDEX(input_data!$L:$L,MATCH(dashboard!$B$5&amp;".in.imp.stl.scr.---",input_data!$A:$A,0)))</f>
        <v>4.56003325036413</v>
      </c>
      <c r="T51" s="114" t="n">
        <f aca="false">T48*(1-INDEX(input_data!$L:$L,MATCH(dashboard!$B$5&amp;".in.ext.stl.scr.---",input_data!$A:$A,0)))*(1+INDEX(input_data!$L:$L,MATCH(dashboard!$B$5&amp;".in.imp.stl.scr.---",input_data!$A:$A,0)))</f>
        <v>4.75959475344722</v>
      </c>
      <c r="U51" s="114" t="n">
        <f aca="false">U48*(1-INDEX(input_data!$L:$L,MATCH(dashboard!$B$5&amp;".in.ext.stl.scr.---",input_data!$A:$A,0)))*(1+INDEX(input_data!$L:$L,MATCH(dashboard!$B$5&amp;".in.imp.stl.scr.---",input_data!$A:$A,0)))</f>
        <v>4.96788970019756</v>
      </c>
      <c r="V51" s="114" t="n">
        <f aca="false">V48*(1-INDEX(input_data!$L:$L,MATCH(dashboard!$B$5&amp;".in.ext.stl.scr.---",input_data!$A:$A,0)))*(1+INDEX(input_data!$L:$L,MATCH(dashboard!$B$5&amp;".in.imp.stl.scr.---",input_data!$A:$A,0)))</f>
        <v>5.18530029378112</v>
      </c>
      <c r="W51" s="114" t="n">
        <f aca="false">W48*(1-INDEX(input_data!$L:$L,MATCH(dashboard!$B$5&amp;".in.ext.stl.scr.---",input_data!$A:$A,0)))*(1+INDEX(input_data!$L:$L,MATCH(dashboard!$B$5&amp;".in.imp.stl.scr.---",input_data!$A:$A,0)))</f>
        <v>5.41222546378543</v>
      </c>
      <c r="X51" s="114" t="n">
        <f aca="false">X48*(1-INDEX(input_data!$L:$L,MATCH(dashboard!$B$5&amp;".in.ext.stl.scr.---",input_data!$A:$A,0)))*(1+INDEX(input_data!$L:$L,MATCH(dashboard!$B$5&amp;".in.imp.stl.scr.---",input_data!$A:$A,0)))</f>
        <v>5.64908159822072</v>
      </c>
    </row>
    <row r="52" customFormat="false" ht="15" hidden="false" customHeight="true" outlineLevel="0" collapsed="false">
      <c r="A52" s="73" t="str">
        <f aca="false">dashboard!$B$5&amp;".pj.enc.stl.scr.coa"</f>
        <v>egy.pj.enc.stl.scr.coa</v>
      </c>
      <c r="B52" s="73" t="str">
        <f aca="false">dashboard!$B$5</f>
        <v>egy</v>
      </c>
      <c r="C52" s="73" t="s">
        <v>3401</v>
      </c>
      <c r="D52" s="73" t="s">
        <v>891</v>
      </c>
      <c r="E52" s="73" t="s">
        <v>705</v>
      </c>
      <c r="F52" s="73" t="s">
        <v>733</v>
      </c>
      <c r="G52" s="73" t="s">
        <v>96</v>
      </c>
      <c r="H52" s="73" t="s">
        <v>3467</v>
      </c>
      <c r="I52" s="73" t="s">
        <v>3424</v>
      </c>
      <c r="J52" s="73" t="s">
        <v>3425</v>
      </c>
      <c r="K52" s="73"/>
      <c r="L52" s="73"/>
      <c r="M52" s="114" t="n">
        <f aca="false">M48*INDEX(input_data!$L:$L,MATCH(dashboard!$B$5&amp;".in.enc.stl.scr.coa",input_data!$A:$A,0))</f>
        <v>0</v>
      </c>
      <c r="N52" s="114" t="n">
        <f aca="false">N48*INDEX(input_data!$L:$L,MATCH(dashboard!$B$5&amp;".in.enc.stl.scr.coa",input_data!$A:$A,0))</f>
        <v>0</v>
      </c>
      <c r="O52" s="114" t="n">
        <f aca="false">O48*INDEX(input_data!$L:$L,MATCH(dashboard!$B$5&amp;".in.enc.stl.scr.coa",input_data!$A:$A,0))</f>
        <v>0</v>
      </c>
      <c r="P52" s="114" t="n">
        <f aca="false">P48*INDEX(input_data!$L:$L,MATCH(dashboard!$B$5&amp;".in.enc.stl.scr.coa",input_data!$A:$A,0))</f>
        <v>0</v>
      </c>
      <c r="Q52" s="114" t="n">
        <f aca="false">Q48*INDEX(input_data!$L:$L,MATCH(dashboard!$B$5&amp;".in.enc.stl.scr.coa",input_data!$A:$A,0))</f>
        <v>0</v>
      </c>
      <c r="R52" s="114" t="n">
        <f aca="false">R48*INDEX(input_data!$L:$L,MATCH(dashboard!$B$5&amp;".in.enc.stl.scr.coa",input_data!$A:$A,0))</f>
        <v>0</v>
      </c>
      <c r="S52" s="114" t="n">
        <f aca="false">S48*INDEX(input_data!$L:$L,MATCH(dashboard!$B$5&amp;".in.enc.stl.scr.coa",input_data!$A:$A,0))</f>
        <v>0</v>
      </c>
      <c r="T52" s="114" t="n">
        <f aca="false">T48*INDEX(input_data!$L:$L,MATCH(dashboard!$B$5&amp;".in.enc.stl.scr.coa",input_data!$A:$A,0))</f>
        <v>0</v>
      </c>
      <c r="U52" s="114" t="n">
        <f aca="false">U48*INDEX(input_data!$L:$L,MATCH(dashboard!$B$5&amp;".in.enc.stl.scr.coa",input_data!$A:$A,0))</f>
        <v>0</v>
      </c>
      <c r="V52" s="114" t="n">
        <f aca="false">V48*INDEX(input_data!$L:$L,MATCH(dashboard!$B$5&amp;".in.enc.stl.scr.coa",input_data!$A:$A,0))</f>
        <v>0</v>
      </c>
      <c r="W52" s="114" t="n">
        <f aca="false">W48*INDEX(input_data!$L:$L,MATCH(dashboard!$B$5&amp;".in.enc.stl.scr.coa",input_data!$A:$A,0))</f>
        <v>0</v>
      </c>
      <c r="X52" s="114" t="n">
        <f aca="false">X48*INDEX(input_data!$L:$L,MATCH(dashboard!$B$5&amp;".in.enc.stl.scr.coa",input_data!$A:$A,0))</f>
        <v>0</v>
      </c>
    </row>
    <row r="53" customFormat="false" ht="15" hidden="false" customHeight="true" outlineLevel="0" collapsed="false">
      <c r="A53" s="73" t="str">
        <f aca="false">dashboard!$B$5&amp;".pj.enc.stl.scr.nga"</f>
        <v>egy.pj.enc.stl.scr.nga</v>
      </c>
      <c r="B53" s="73" t="str">
        <f aca="false">dashboard!$B$5</f>
        <v>egy</v>
      </c>
      <c r="C53" s="73" t="s">
        <v>3401</v>
      </c>
      <c r="D53" s="73" t="s">
        <v>891</v>
      </c>
      <c r="E53" s="73" t="s">
        <v>705</v>
      </c>
      <c r="F53" s="73" t="s">
        <v>733</v>
      </c>
      <c r="G53" s="73" t="s">
        <v>99</v>
      </c>
      <c r="H53" s="73" t="s">
        <v>3468</v>
      </c>
      <c r="I53" s="73" t="s">
        <v>3424</v>
      </c>
      <c r="J53" s="73" t="s">
        <v>3425</v>
      </c>
      <c r="K53" s="73"/>
      <c r="L53" s="73"/>
      <c r="M53" s="114" t="n">
        <f aca="false">M48*INDEX(input_data!$L:$L,MATCH(dashboard!$B$5&amp;".in.enc.stl.scr.nga",input_data!$A:$A,0))</f>
        <v>11.45</v>
      </c>
      <c r="N53" s="114" t="n">
        <f aca="false">N48*INDEX(input_data!$L:$L,MATCH(dashboard!$B$5&amp;".in.enc.stl.scr.nga",input_data!$A:$A,0))</f>
        <v>11.9510882782749</v>
      </c>
      <c r="O53" s="114" t="n">
        <f aca="false">O48*INDEX(input_data!$L:$L,MATCH(dashboard!$B$5&amp;".in.enc.stl.scr.nga",input_data!$A:$A,0))</f>
        <v>12.4741057672595</v>
      </c>
      <c r="P53" s="114" t="n">
        <f aca="false">P48*INDEX(input_data!$L:$L,MATCH(dashboard!$B$5&amp;".in.enc.stl.scr.nga",input_data!$A:$A,0))</f>
        <v>13.0200121586949</v>
      </c>
      <c r="Q53" s="114" t="n">
        <f aca="false">Q48*INDEX(input_data!$L:$L,MATCH(dashboard!$B$5&amp;".in.enc.stl.scr.nga",input_data!$A:$A,0))</f>
        <v>13.5898091434739</v>
      </c>
      <c r="R53" s="114" t="n">
        <f aca="false">R48*INDEX(input_data!$L:$L,MATCH(dashboard!$B$5&amp;".in.enc.stl.scr.nga",input_data!$A:$A,0))</f>
        <v>14.1845422496563</v>
      </c>
      <c r="S53" s="114" t="n">
        <f aca="false">S48*INDEX(input_data!$L:$L,MATCH(dashboard!$B$5&amp;".in.enc.stl.scr.nga",input_data!$A:$A,0))</f>
        <v>14.8053027609225</v>
      </c>
      <c r="T53" s="114" t="n">
        <f aca="false">T48*INDEX(input_data!$L:$L,MATCH(dashboard!$B$5&amp;".in.enc.stl.scr.nga",input_data!$A:$A,0))</f>
        <v>15.4532297189845</v>
      </c>
      <c r="U53" s="114" t="n">
        <f aca="false">U48*INDEX(input_data!$L:$L,MATCH(dashboard!$B$5&amp;".in.enc.stl.scr.nga",input_data!$A:$A,0))</f>
        <v>16.1295120136284</v>
      </c>
      <c r="V53" s="114" t="n">
        <f aca="false">V48*INDEX(input_data!$L:$L,MATCH(dashboard!$B$5&amp;".in.enc.stl.scr.nga",input_data!$A:$A,0))</f>
        <v>16.8353905642244</v>
      </c>
      <c r="W53" s="114" t="n">
        <f aca="false">W48*INDEX(input_data!$L:$L,MATCH(dashboard!$B$5&amp;".in.enc.stl.scr.nga",input_data!$A:$A,0))</f>
        <v>17.572160596706</v>
      </c>
      <c r="X53" s="114" t="n">
        <f aca="false">X48*INDEX(input_data!$L:$L,MATCH(dashboard!$B$5&amp;".in.enc.stl.scr.nga",input_data!$A:$A,0))</f>
        <v>18.3411740201971</v>
      </c>
    </row>
    <row r="54" customFormat="false" ht="15" hidden="false" customHeight="true" outlineLevel="0" collapsed="false">
      <c r="A54" s="73" t="str">
        <f aca="false">dashboard!$B$5&amp;".pj.enc.stl.scr.gso"</f>
        <v>egy.pj.enc.stl.scr.gso</v>
      </c>
      <c r="B54" s="73" t="str">
        <f aca="false">dashboard!$B$5</f>
        <v>egy</v>
      </c>
      <c r="C54" s="73" t="s">
        <v>3401</v>
      </c>
      <c r="D54" s="73" t="s">
        <v>891</v>
      </c>
      <c r="E54" s="73" t="s">
        <v>705</v>
      </c>
      <c r="F54" s="73" t="s">
        <v>733</v>
      </c>
      <c r="G54" s="73" t="s">
        <v>101</v>
      </c>
      <c r="H54" s="73" t="s">
        <v>3469</v>
      </c>
      <c r="I54" s="73" t="s">
        <v>3424</v>
      </c>
      <c r="J54" s="73" t="s">
        <v>3425</v>
      </c>
      <c r="K54" s="73"/>
      <c r="L54" s="73"/>
      <c r="M54" s="114" t="n">
        <f aca="false">M48*INDEX(input_data!$L:$L,MATCH(dashboard!$B$5&amp;".in.enc.stl.scr.gso",input_data!$A:$A,0))</f>
        <v>0</v>
      </c>
      <c r="N54" s="114" t="n">
        <f aca="false">N48*INDEX(input_data!$L:$L,MATCH(dashboard!$B$5&amp;".in.enc.stl.scr.gso",input_data!$A:$A,0))</f>
        <v>0</v>
      </c>
      <c r="O54" s="114" t="n">
        <f aca="false">O48*INDEX(input_data!$L:$L,MATCH(dashboard!$B$5&amp;".in.enc.stl.scr.gso",input_data!$A:$A,0))</f>
        <v>0</v>
      </c>
      <c r="P54" s="114" t="n">
        <f aca="false">P48*INDEX(input_data!$L:$L,MATCH(dashboard!$B$5&amp;".in.enc.stl.scr.gso",input_data!$A:$A,0))</f>
        <v>0</v>
      </c>
      <c r="Q54" s="114" t="n">
        <f aca="false">Q48*INDEX(input_data!$L:$L,MATCH(dashboard!$B$5&amp;".in.enc.stl.scr.gso",input_data!$A:$A,0))</f>
        <v>0</v>
      </c>
      <c r="R54" s="114" t="n">
        <f aca="false">R48*INDEX(input_data!$L:$L,MATCH(dashboard!$B$5&amp;".in.enc.stl.scr.gso",input_data!$A:$A,0))</f>
        <v>0</v>
      </c>
      <c r="S54" s="114" t="n">
        <f aca="false">S48*INDEX(input_data!$L:$L,MATCH(dashboard!$B$5&amp;".in.enc.stl.scr.gso",input_data!$A:$A,0))</f>
        <v>0</v>
      </c>
      <c r="T54" s="114" t="n">
        <f aca="false">T48*INDEX(input_data!$L:$L,MATCH(dashboard!$B$5&amp;".in.enc.stl.scr.gso",input_data!$A:$A,0))</f>
        <v>0</v>
      </c>
      <c r="U54" s="114" t="n">
        <f aca="false">U48*INDEX(input_data!$L:$L,MATCH(dashboard!$B$5&amp;".in.enc.stl.scr.gso",input_data!$A:$A,0))</f>
        <v>0</v>
      </c>
      <c r="V54" s="114" t="n">
        <f aca="false">V48*INDEX(input_data!$L:$L,MATCH(dashboard!$B$5&amp;".in.enc.stl.scr.gso",input_data!$A:$A,0))</f>
        <v>0</v>
      </c>
      <c r="W54" s="114" t="n">
        <f aca="false">W48*INDEX(input_data!$L:$L,MATCH(dashboard!$B$5&amp;".in.enc.stl.scr.gso",input_data!$A:$A,0))</f>
        <v>0</v>
      </c>
      <c r="X54" s="114" t="n">
        <f aca="false">X48*INDEX(input_data!$L:$L,MATCH(dashboard!$B$5&amp;".in.enc.stl.scr.gso",input_data!$A:$A,0))</f>
        <v>0</v>
      </c>
    </row>
    <row r="55" customFormat="false" ht="15" hidden="false" customHeight="true" outlineLevel="0" collapsed="false">
      <c r="A55" s="73" t="str">
        <f aca="false">dashboard!$B$5&amp;".pj.enc.stl.scr.die"</f>
        <v>egy.pj.enc.stl.scr.die</v>
      </c>
      <c r="B55" s="73" t="str">
        <f aca="false">dashboard!$B$5</f>
        <v>egy</v>
      </c>
      <c r="C55" s="73" t="s">
        <v>3401</v>
      </c>
      <c r="D55" s="73" t="s">
        <v>891</v>
      </c>
      <c r="E55" s="73" t="s">
        <v>705</v>
      </c>
      <c r="F55" s="73" t="s">
        <v>733</v>
      </c>
      <c r="G55" s="73" t="s">
        <v>103</v>
      </c>
      <c r="H55" s="73" t="s">
        <v>3470</v>
      </c>
      <c r="I55" s="73" t="s">
        <v>3424</v>
      </c>
      <c r="J55" s="73" t="s">
        <v>3425</v>
      </c>
      <c r="K55" s="73"/>
      <c r="L55" s="73"/>
      <c r="M55" s="114" t="n">
        <f aca="false">M48*INDEX(input_data!$L:$L,MATCH(dashboard!$B$5&amp;".in.enc.stl.scr.die",input_data!$A:$A,0))</f>
        <v>0.916</v>
      </c>
      <c r="N55" s="114" t="n">
        <f aca="false">N48*INDEX(input_data!$L:$L,MATCH(dashboard!$B$5&amp;".in.enc.stl.scr.die",input_data!$A:$A,0))</f>
        <v>0.956087062261996</v>
      </c>
      <c r="O55" s="114" t="n">
        <f aca="false">O48*INDEX(input_data!$L:$L,MATCH(dashboard!$B$5&amp;".in.enc.stl.scr.die",input_data!$A:$A,0))</f>
        <v>0.997928461380757</v>
      </c>
      <c r="P55" s="114" t="n">
        <f aca="false">P48*INDEX(input_data!$L:$L,MATCH(dashboard!$B$5&amp;".in.enc.stl.scr.die",input_data!$A:$A,0))</f>
        <v>1.04160097269559</v>
      </c>
      <c r="Q55" s="114" t="n">
        <f aca="false">Q48*INDEX(input_data!$L:$L,MATCH(dashboard!$B$5&amp;".in.enc.stl.scr.die",input_data!$A:$A,0))</f>
        <v>1.08718473147791</v>
      </c>
      <c r="R55" s="114" t="n">
        <f aca="false">R48*INDEX(input_data!$L:$L,MATCH(dashboard!$B$5&amp;".in.enc.stl.scr.die",input_data!$A:$A,0))</f>
        <v>1.1347633799725</v>
      </c>
      <c r="S55" s="114" t="n">
        <f aca="false">S48*INDEX(input_data!$L:$L,MATCH(dashboard!$B$5&amp;".in.enc.stl.scr.die",input_data!$A:$A,0))</f>
        <v>1.1844242208738</v>
      </c>
      <c r="T55" s="114" t="n">
        <f aca="false">T48*INDEX(input_data!$L:$L,MATCH(dashboard!$B$5&amp;".in.enc.stl.scr.die",input_data!$A:$A,0))</f>
        <v>1.23625837751876</v>
      </c>
      <c r="U55" s="114" t="n">
        <f aca="false">U48*INDEX(input_data!$L:$L,MATCH(dashboard!$B$5&amp;".in.enc.stl.scr.die",input_data!$A:$A,0))</f>
        <v>1.29036096109027</v>
      </c>
      <c r="V55" s="114" t="n">
        <f aca="false">V48*INDEX(input_data!$L:$L,MATCH(dashboard!$B$5&amp;".in.enc.stl.scr.die",input_data!$A:$A,0))</f>
        <v>1.34683124513795</v>
      </c>
      <c r="W55" s="114" t="n">
        <f aca="false">W48*INDEX(input_data!$L:$L,MATCH(dashboard!$B$5&amp;".in.enc.stl.scr.die",input_data!$A:$A,0))</f>
        <v>1.40577284773648</v>
      </c>
      <c r="X55" s="114" t="n">
        <f aca="false">X48*INDEX(input_data!$L:$L,MATCH(dashboard!$B$5&amp;".in.enc.stl.scr.die",input_data!$A:$A,0))</f>
        <v>1.46729392161577</v>
      </c>
    </row>
    <row r="56" customFormat="false" ht="15" hidden="false" customHeight="true" outlineLevel="0" collapsed="false">
      <c r="A56" s="73" t="str">
        <f aca="false">dashboard!$B$5&amp;".pj.enc.stl.scr.ker"</f>
        <v>egy.pj.enc.stl.scr.ker</v>
      </c>
      <c r="B56" s="73" t="str">
        <f aca="false">dashboard!$B$5</f>
        <v>egy</v>
      </c>
      <c r="C56" s="73" t="s">
        <v>3401</v>
      </c>
      <c r="D56" s="73" t="s">
        <v>891</v>
      </c>
      <c r="E56" s="73" t="s">
        <v>705</v>
      </c>
      <c r="F56" s="73" t="s">
        <v>733</v>
      </c>
      <c r="G56" s="73" t="s">
        <v>105</v>
      </c>
      <c r="H56" s="73" t="s">
        <v>3471</v>
      </c>
      <c r="I56" s="73" t="s">
        <v>3424</v>
      </c>
      <c r="J56" s="73" t="s">
        <v>3425</v>
      </c>
      <c r="K56" s="73"/>
      <c r="L56" s="73"/>
      <c r="M56" s="114" t="n">
        <f aca="false">M48*INDEX(input_data!$L:$L,MATCH(dashboard!$B$5&amp;".in.enc.stl.scr.ker",input_data!$A:$A,0))</f>
        <v>0</v>
      </c>
      <c r="N56" s="114" t="n">
        <f aca="false">N48*INDEX(input_data!$L:$L,MATCH(dashboard!$B$5&amp;".in.enc.stl.scr.ker",input_data!$A:$A,0))</f>
        <v>0</v>
      </c>
      <c r="O56" s="114" t="n">
        <f aca="false">O48*INDEX(input_data!$L:$L,MATCH(dashboard!$B$5&amp;".in.enc.stl.scr.ker",input_data!$A:$A,0))</f>
        <v>0</v>
      </c>
      <c r="P56" s="114" t="n">
        <f aca="false">P48*INDEX(input_data!$L:$L,MATCH(dashboard!$B$5&amp;".in.enc.stl.scr.ker",input_data!$A:$A,0))</f>
        <v>0</v>
      </c>
      <c r="Q56" s="114" t="n">
        <f aca="false">Q48*INDEX(input_data!$L:$L,MATCH(dashboard!$B$5&amp;".in.enc.stl.scr.ker",input_data!$A:$A,0))</f>
        <v>0</v>
      </c>
      <c r="R56" s="114" t="n">
        <f aca="false">R48*INDEX(input_data!$L:$L,MATCH(dashboard!$B$5&amp;".in.enc.stl.scr.ker",input_data!$A:$A,0))</f>
        <v>0</v>
      </c>
      <c r="S56" s="114" t="n">
        <f aca="false">S48*INDEX(input_data!$L:$L,MATCH(dashboard!$B$5&amp;".in.enc.stl.scr.ker",input_data!$A:$A,0))</f>
        <v>0</v>
      </c>
      <c r="T56" s="114" t="n">
        <f aca="false">T48*INDEX(input_data!$L:$L,MATCH(dashboard!$B$5&amp;".in.enc.stl.scr.ker",input_data!$A:$A,0))</f>
        <v>0</v>
      </c>
      <c r="U56" s="114" t="n">
        <f aca="false">U48*INDEX(input_data!$L:$L,MATCH(dashboard!$B$5&amp;".in.enc.stl.scr.ker",input_data!$A:$A,0))</f>
        <v>0</v>
      </c>
      <c r="V56" s="114" t="n">
        <f aca="false">V48*INDEX(input_data!$L:$L,MATCH(dashboard!$B$5&amp;".in.enc.stl.scr.ker",input_data!$A:$A,0))</f>
        <v>0</v>
      </c>
      <c r="W56" s="114" t="n">
        <f aca="false">W48*INDEX(input_data!$L:$L,MATCH(dashboard!$B$5&amp;".in.enc.stl.scr.ker",input_data!$A:$A,0))</f>
        <v>0</v>
      </c>
      <c r="X56" s="114" t="n">
        <f aca="false">X48*INDEX(input_data!$L:$L,MATCH(dashboard!$B$5&amp;".in.enc.stl.scr.ker",input_data!$A:$A,0))</f>
        <v>0</v>
      </c>
    </row>
    <row r="57" customFormat="false" ht="15" hidden="false" customHeight="true" outlineLevel="0" collapsed="false">
      <c r="A57" s="73" t="str">
        <f aca="false">dashboard!$B$5&amp;".pj.enc.stl.scr.lpg"</f>
        <v>egy.pj.enc.stl.scr.lpg</v>
      </c>
      <c r="B57" s="73" t="str">
        <f aca="false">dashboard!$B$5</f>
        <v>egy</v>
      </c>
      <c r="C57" s="73" t="s">
        <v>3401</v>
      </c>
      <c r="D57" s="73" t="s">
        <v>891</v>
      </c>
      <c r="E57" s="73" t="s">
        <v>705</v>
      </c>
      <c r="F57" s="73" t="s">
        <v>733</v>
      </c>
      <c r="G57" s="73" t="s">
        <v>107</v>
      </c>
      <c r="H57" s="73" t="s">
        <v>3472</v>
      </c>
      <c r="I57" s="73" t="s">
        <v>3424</v>
      </c>
      <c r="J57" s="73" t="s">
        <v>3425</v>
      </c>
      <c r="K57" s="73"/>
      <c r="L57" s="73"/>
      <c r="M57" s="114" t="n">
        <f aca="false">M48*INDEX(input_data!$L:$L,MATCH(dashboard!$B$5&amp;".in.enc.stl.scr.lpg",input_data!$A:$A,0))</f>
        <v>0</v>
      </c>
      <c r="N57" s="114" t="n">
        <f aca="false">N48*INDEX(input_data!$L:$L,MATCH(dashboard!$B$5&amp;".in.enc.stl.scr.lpg",input_data!$A:$A,0))</f>
        <v>0</v>
      </c>
      <c r="O57" s="114" t="n">
        <f aca="false">O48*INDEX(input_data!$L:$L,MATCH(dashboard!$B$5&amp;".in.enc.stl.scr.lpg",input_data!$A:$A,0))</f>
        <v>0</v>
      </c>
      <c r="P57" s="114" t="n">
        <f aca="false">P48*INDEX(input_data!$L:$L,MATCH(dashboard!$B$5&amp;".in.enc.stl.scr.lpg",input_data!$A:$A,0))</f>
        <v>0</v>
      </c>
      <c r="Q57" s="114" t="n">
        <f aca="false">Q48*INDEX(input_data!$L:$L,MATCH(dashboard!$B$5&amp;".in.enc.stl.scr.lpg",input_data!$A:$A,0))</f>
        <v>0</v>
      </c>
      <c r="R57" s="114" t="n">
        <f aca="false">R48*INDEX(input_data!$L:$L,MATCH(dashboard!$B$5&amp;".in.enc.stl.scr.lpg",input_data!$A:$A,0))</f>
        <v>0</v>
      </c>
      <c r="S57" s="114" t="n">
        <f aca="false">S48*INDEX(input_data!$L:$L,MATCH(dashboard!$B$5&amp;".in.enc.stl.scr.lpg",input_data!$A:$A,0))</f>
        <v>0</v>
      </c>
      <c r="T57" s="114" t="n">
        <f aca="false">T48*INDEX(input_data!$L:$L,MATCH(dashboard!$B$5&amp;".in.enc.stl.scr.lpg",input_data!$A:$A,0))</f>
        <v>0</v>
      </c>
      <c r="U57" s="114" t="n">
        <f aca="false">U48*INDEX(input_data!$L:$L,MATCH(dashboard!$B$5&amp;".in.enc.stl.scr.lpg",input_data!$A:$A,0))</f>
        <v>0</v>
      </c>
      <c r="V57" s="114" t="n">
        <f aca="false">V48*INDEX(input_data!$L:$L,MATCH(dashboard!$B$5&amp;".in.enc.stl.scr.lpg",input_data!$A:$A,0))</f>
        <v>0</v>
      </c>
      <c r="W57" s="114" t="n">
        <f aca="false">W48*INDEX(input_data!$L:$L,MATCH(dashboard!$B$5&amp;".in.enc.stl.scr.lpg",input_data!$A:$A,0))</f>
        <v>0</v>
      </c>
      <c r="X57" s="114" t="n">
        <f aca="false">X48*INDEX(input_data!$L:$L,MATCH(dashboard!$B$5&amp;".in.enc.stl.scr.lpg",input_data!$A:$A,0))</f>
        <v>0</v>
      </c>
    </row>
    <row r="58" customFormat="false" ht="15" hidden="false" customHeight="true" outlineLevel="0" collapsed="false">
      <c r="A58" s="73" t="str">
        <f aca="false">dashboard!$B$5&amp;".pj.enc.stl.scr.bio"</f>
        <v>egy.pj.enc.stl.scr.bio</v>
      </c>
      <c r="B58" s="73" t="str">
        <f aca="false">dashboard!$B$5</f>
        <v>egy</v>
      </c>
      <c r="C58" s="73" t="s">
        <v>3401</v>
      </c>
      <c r="D58" s="73" t="s">
        <v>891</v>
      </c>
      <c r="E58" s="73" t="s">
        <v>705</v>
      </c>
      <c r="F58" s="73" t="s">
        <v>733</v>
      </c>
      <c r="G58" s="73" t="s">
        <v>109</v>
      </c>
      <c r="H58" s="73" t="s">
        <v>3473</v>
      </c>
      <c r="I58" s="73" t="s">
        <v>3424</v>
      </c>
      <c r="J58" s="73" t="s">
        <v>3425</v>
      </c>
      <c r="K58" s="73"/>
      <c r="L58" s="73"/>
      <c r="M58" s="114" t="n">
        <f aca="false">M48*INDEX(input_data!$L:$L,MATCH(dashboard!$B$5&amp;".in.enc.stl.scr.bio",input_data!$A:$A,0))</f>
        <v>0</v>
      </c>
      <c r="N58" s="114" t="n">
        <f aca="false">N48*INDEX(input_data!$L:$L,MATCH(dashboard!$B$5&amp;".in.enc.stl.scr.bio",input_data!$A:$A,0))</f>
        <v>0</v>
      </c>
      <c r="O58" s="114" t="n">
        <f aca="false">O48*INDEX(input_data!$L:$L,MATCH(dashboard!$B$5&amp;".in.enc.stl.scr.bio",input_data!$A:$A,0))</f>
        <v>0</v>
      </c>
      <c r="P58" s="114" t="n">
        <f aca="false">P48*INDEX(input_data!$L:$L,MATCH(dashboard!$B$5&amp;".in.enc.stl.scr.bio",input_data!$A:$A,0))</f>
        <v>0</v>
      </c>
      <c r="Q58" s="114" t="n">
        <f aca="false">Q48*INDEX(input_data!$L:$L,MATCH(dashboard!$B$5&amp;".in.enc.stl.scr.bio",input_data!$A:$A,0))</f>
        <v>0</v>
      </c>
      <c r="R58" s="114" t="n">
        <f aca="false">R48*INDEX(input_data!$L:$L,MATCH(dashboard!$B$5&amp;".in.enc.stl.scr.bio",input_data!$A:$A,0))</f>
        <v>0</v>
      </c>
      <c r="S58" s="114" t="n">
        <f aca="false">S48*INDEX(input_data!$L:$L,MATCH(dashboard!$B$5&amp;".in.enc.stl.scr.bio",input_data!$A:$A,0))</f>
        <v>0</v>
      </c>
      <c r="T58" s="114" t="n">
        <f aca="false">T48*INDEX(input_data!$L:$L,MATCH(dashboard!$B$5&amp;".in.enc.stl.scr.bio",input_data!$A:$A,0))</f>
        <v>0</v>
      </c>
      <c r="U58" s="114" t="n">
        <f aca="false">U48*INDEX(input_data!$L:$L,MATCH(dashboard!$B$5&amp;".in.enc.stl.scr.bio",input_data!$A:$A,0))</f>
        <v>0</v>
      </c>
      <c r="V58" s="114" t="n">
        <f aca="false">V48*INDEX(input_data!$L:$L,MATCH(dashboard!$B$5&amp;".in.enc.stl.scr.bio",input_data!$A:$A,0))</f>
        <v>0</v>
      </c>
      <c r="W58" s="114" t="n">
        <f aca="false">W48*INDEX(input_data!$L:$L,MATCH(dashboard!$B$5&amp;".in.enc.stl.scr.bio",input_data!$A:$A,0))</f>
        <v>0</v>
      </c>
      <c r="X58" s="114" t="n">
        <f aca="false">X48*INDEX(input_data!$L:$L,MATCH(dashboard!$B$5&amp;".in.enc.stl.scr.bio",input_data!$A:$A,0))</f>
        <v>0</v>
      </c>
    </row>
    <row r="59" customFormat="false" ht="15" hidden="false" customHeight="true" outlineLevel="0" collapsed="false">
      <c r="A59" s="73" t="str">
        <f aca="false">dashboard!$B$5&amp;".pj.enc.stl.scr.ren"</f>
        <v>egy.pj.enc.stl.scr.ren</v>
      </c>
      <c r="B59" s="73" t="str">
        <f aca="false">dashboard!$B$5</f>
        <v>egy</v>
      </c>
      <c r="C59" s="73" t="s">
        <v>3401</v>
      </c>
      <c r="D59" s="73" t="s">
        <v>891</v>
      </c>
      <c r="E59" s="73" t="s">
        <v>705</v>
      </c>
      <c r="F59" s="73" t="s">
        <v>733</v>
      </c>
      <c r="G59" s="73" t="s">
        <v>111</v>
      </c>
      <c r="H59" s="73" t="s">
        <v>3474</v>
      </c>
      <c r="I59" s="73" t="s">
        <v>3424</v>
      </c>
      <c r="J59" s="73" t="s">
        <v>3425</v>
      </c>
      <c r="K59" s="73"/>
      <c r="L59" s="73"/>
      <c r="M59" s="114" t="n">
        <f aca="false">M48*INDEX(input_data!$L:$L,MATCH(dashboard!$B$5&amp;".in.enc.stl.scr.ren",input_data!$A:$A,0))</f>
        <v>0</v>
      </c>
      <c r="N59" s="114" t="n">
        <f aca="false">N48*INDEX(input_data!$L:$L,MATCH(dashboard!$B$5&amp;".in.enc.stl.scr.ren",input_data!$A:$A,0))</f>
        <v>0</v>
      </c>
      <c r="O59" s="114" t="n">
        <f aca="false">O48*INDEX(input_data!$L:$L,MATCH(dashboard!$B$5&amp;".in.enc.stl.scr.ren",input_data!$A:$A,0))</f>
        <v>0</v>
      </c>
      <c r="P59" s="114" t="n">
        <f aca="false">P48*INDEX(input_data!$L:$L,MATCH(dashboard!$B$5&amp;".in.enc.stl.scr.ren",input_data!$A:$A,0))</f>
        <v>0</v>
      </c>
      <c r="Q59" s="114" t="n">
        <f aca="false">Q48*INDEX(input_data!$L:$L,MATCH(dashboard!$B$5&amp;".in.enc.stl.scr.ren",input_data!$A:$A,0))</f>
        <v>0</v>
      </c>
      <c r="R59" s="114" t="n">
        <f aca="false">R48*INDEX(input_data!$L:$L,MATCH(dashboard!$B$5&amp;".in.enc.stl.scr.ren",input_data!$A:$A,0))</f>
        <v>0</v>
      </c>
      <c r="S59" s="114" t="n">
        <f aca="false">S48*INDEX(input_data!$L:$L,MATCH(dashboard!$B$5&amp;".in.enc.stl.scr.ren",input_data!$A:$A,0))</f>
        <v>0</v>
      </c>
      <c r="T59" s="114" t="n">
        <f aca="false">T48*INDEX(input_data!$L:$L,MATCH(dashboard!$B$5&amp;".in.enc.stl.scr.ren",input_data!$A:$A,0))</f>
        <v>0</v>
      </c>
      <c r="U59" s="114" t="n">
        <f aca="false">U48*INDEX(input_data!$L:$L,MATCH(dashboard!$B$5&amp;".in.enc.stl.scr.ren",input_data!$A:$A,0))</f>
        <v>0</v>
      </c>
      <c r="V59" s="114" t="n">
        <f aca="false">V48*INDEX(input_data!$L:$L,MATCH(dashboard!$B$5&amp;".in.enc.stl.scr.ren",input_data!$A:$A,0))</f>
        <v>0</v>
      </c>
      <c r="W59" s="114" t="n">
        <f aca="false">W48*INDEX(input_data!$L:$L,MATCH(dashboard!$B$5&amp;".in.enc.stl.scr.ren",input_data!$A:$A,0))</f>
        <v>0</v>
      </c>
      <c r="X59" s="114" t="n">
        <f aca="false">X48*INDEX(input_data!$L:$L,MATCH(dashboard!$B$5&amp;".in.enc.stl.scr.ren",input_data!$A:$A,0))</f>
        <v>0</v>
      </c>
    </row>
    <row r="60" customFormat="false" ht="15" hidden="false" customHeight="true" outlineLevel="0" collapsed="false">
      <c r="A60" s="73" t="str">
        <f aca="false">dashboard!$B$5&amp;".pj.enp.stl.scr.coa"</f>
        <v>egy.pj.enp.stl.scr.coa</v>
      </c>
      <c r="B60" s="73" t="str">
        <f aca="false">dashboard!$B$5</f>
        <v>egy</v>
      </c>
      <c r="C60" s="73" t="s">
        <v>3401</v>
      </c>
      <c r="D60" s="73" t="s">
        <v>918</v>
      </c>
      <c r="E60" s="73" t="s">
        <v>705</v>
      </c>
      <c r="F60" s="73" t="s">
        <v>733</v>
      </c>
      <c r="G60" s="73" t="s">
        <v>96</v>
      </c>
      <c r="H60" s="73" t="s">
        <v>3475</v>
      </c>
      <c r="I60" s="73" t="s">
        <v>3424</v>
      </c>
      <c r="J60" s="73" t="s">
        <v>3434</v>
      </c>
      <c r="K60" s="73"/>
      <c r="L60" s="73"/>
      <c r="M60" s="114" t="n">
        <f aca="false">M48*INDEX(input_data!$L:$L,MATCH(dashboard!$B$5&amp;".in.enp.stl.scr.coa",input_data!$A:$A,0))</f>
        <v>0</v>
      </c>
      <c r="N60" s="114" t="n">
        <f aca="false">N48*INDEX(input_data!$L:$L,MATCH(dashboard!$B$5&amp;".in.enp.stl.scr.coa",input_data!$A:$A,0))</f>
        <v>0</v>
      </c>
      <c r="O60" s="114" t="n">
        <f aca="false">O48*INDEX(input_data!$L:$L,MATCH(dashboard!$B$5&amp;".in.enp.stl.scr.coa",input_data!$A:$A,0))</f>
        <v>0</v>
      </c>
      <c r="P60" s="114" t="n">
        <f aca="false">P48*INDEX(input_data!$L:$L,MATCH(dashboard!$B$5&amp;".in.enp.stl.scr.coa",input_data!$A:$A,0))</f>
        <v>0</v>
      </c>
      <c r="Q60" s="114" t="n">
        <f aca="false">Q48*INDEX(input_data!$L:$L,MATCH(dashboard!$B$5&amp;".in.enp.stl.scr.coa",input_data!$A:$A,0))</f>
        <v>0</v>
      </c>
      <c r="R60" s="114" t="n">
        <f aca="false">R48*INDEX(input_data!$L:$L,MATCH(dashboard!$B$5&amp;".in.enp.stl.scr.coa",input_data!$A:$A,0))</f>
        <v>0</v>
      </c>
      <c r="S60" s="114" t="n">
        <f aca="false">S48*INDEX(input_data!$L:$L,MATCH(dashboard!$B$5&amp;".in.enp.stl.scr.coa",input_data!$A:$A,0))</f>
        <v>0</v>
      </c>
      <c r="T60" s="114" t="n">
        <f aca="false">T48*INDEX(input_data!$L:$L,MATCH(dashboard!$B$5&amp;".in.enp.stl.scr.coa",input_data!$A:$A,0))</f>
        <v>0</v>
      </c>
      <c r="U60" s="114" t="n">
        <f aca="false">U48*INDEX(input_data!$L:$L,MATCH(dashboard!$B$5&amp;".in.enp.stl.scr.coa",input_data!$A:$A,0))</f>
        <v>0</v>
      </c>
      <c r="V60" s="114" t="n">
        <f aca="false">V48*INDEX(input_data!$L:$L,MATCH(dashboard!$B$5&amp;".in.enp.stl.scr.coa",input_data!$A:$A,0))</f>
        <v>0</v>
      </c>
      <c r="W60" s="114" t="n">
        <f aca="false">W48*INDEX(input_data!$L:$L,MATCH(dashboard!$B$5&amp;".in.enp.stl.scr.coa",input_data!$A:$A,0))</f>
        <v>0</v>
      </c>
      <c r="X60" s="114" t="n">
        <f aca="false">X48*INDEX(input_data!$L:$L,MATCH(dashboard!$B$5&amp;".in.enp.stl.scr.coa",input_data!$A:$A,0))</f>
        <v>0</v>
      </c>
    </row>
    <row r="61" customFormat="false" ht="15" hidden="false" customHeight="true" outlineLevel="0" collapsed="false">
      <c r="A61" s="73" t="str">
        <f aca="false">dashboard!$B$5&amp;".pj.enp.stl.scr.nga"</f>
        <v>egy.pj.enp.stl.scr.nga</v>
      </c>
      <c r="B61" s="73" t="str">
        <f aca="false">dashboard!$B$5</f>
        <v>egy</v>
      </c>
      <c r="C61" s="73" t="s">
        <v>3401</v>
      </c>
      <c r="D61" s="73" t="s">
        <v>918</v>
      </c>
      <c r="E61" s="73" t="s">
        <v>705</v>
      </c>
      <c r="F61" s="73" t="s">
        <v>733</v>
      </c>
      <c r="G61" s="73" t="s">
        <v>99</v>
      </c>
      <c r="H61" s="73" t="s">
        <v>3476</v>
      </c>
      <c r="I61" s="73" t="s">
        <v>3424</v>
      </c>
      <c r="J61" s="73" t="s">
        <v>3434</v>
      </c>
      <c r="K61" s="73"/>
      <c r="L61" s="73"/>
      <c r="M61" s="114" t="n">
        <f aca="false">M48*INDEX(input_data!$L:$L,MATCH(dashboard!$B$5&amp;".in.enp.stl.scr.nga",input_data!$A:$A,0))</f>
        <v>0</v>
      </c>
      <c r="N61" s="114" t="n">
        <f aca="false">N48*INDEX(input_data!$L:$L,MATCH(dashboard!$B$5&amp;".in.enp.stl.scr.nga",input_data!$A:$A,0))</f>
        <v>0</v>
      </c>
      <c r="O61" s="114" t="n">
        <f aca="false">O48*INDEX(input_data!$L:$L,MATCH(dashboard!$B$5&amp;".in.enp.stl.scr.nga",input_data!$A:$A,0))</f>
        <v>0</v>
      </c>
      <c r="P61" s="114" t="n">
        <f aca="false">P48*INDEX(input_data!$L:$L,MATCH(dashboard!$B$5&amp;".in.enp.stl.scr.nga",input_data!$A:$A,0))</f>
        <v>0</v>
      </c>
      <c r="Q61" s="114" t="n">
        <f aca="false">Q48*INDEX(input_data!$L:$L,MATCH(dashboard!$B$5&amp;".in.enp.stl.scr.nga",input_data!$A:$A,0))</f>
        <v>0</v>
      </c>
      <c r="R61" s="114" t="n">
        <f aca="false">R48*INDEX(input_data!$L:$L,MATCH(dashboard!$B$5&amp;".in.enp.stl.scr.nga",input_data!$A:$A,0))</f>
        <v>0</v>
      </c>
      <c r="S61" s="114" t="n">
        <f aca="false">S48*INDEX(input_data!$L:$L,MATCH(dashboard!$B$5&amp;".in.enp.stl.scr.nga",input_data!$A:$A,0))</f>
        <v>0</v>
      </c>
      <c r="T61" s="114" t="n">
        <f aca="false">T48*INDEX(input_data!$L:$L,MATCH(dashboard!$B$5&amp;".in.enp.stl.scr.nga",input_data!$A:$A,0))</f>
        <v>0</v>
      </c>
      <c r="U61" s="114" t="n">
        <f aca="false">U48*INDEX(input_data!$L:$L,MATCH(dashboard!$B$5&amp;".in.enp.stl.scr.nga",input_data!$A:$A,0))</f>
        <v>0</v>
      </c>
      <c r="V61" s="114" t="n">
        <f aca="false">V48*INDEX(input_data!$L:$L,MATCH(dashboard!$B$5&amp;".in.enp.stl.scr.nga",input_data!$A:$A,0))</f>
        <v>0</v>
      </c>
      <c r="W61" s="114" t="n">
        <f aca="false">W48*INDEX(input_data!$L:$L,MATCH(dashboard!$B$5&amp;".in.enp.stl.scr.nga",input_data!$A:$A,0))</f>
        <v>0</v>
      </c>
      <c r="X61" s="114" t="n">
        <f aca="false">X48*INDEX(input_data!$L:$L,MATCH(dashboard!$B$5&amp;".in.enp.stl.scr.nga",input_data!$A:$A,0))</f>
        <v>0</v>
      </c>
    </row>
    <row r="62" customFormat="false" ht="15" hidden="false" customHeight="true" outlineLevel="0" collapsed="false">
      <c r="A62" s="73" t="str">
        <f aca="false">dashboard!$B$5&amp;".pj.enp.stl.scr.gso"</f>
        <v>egy.pj.enp.stl.scr.gso</v>
      </c>
      <c r="B62" s="73" t="str">
        <f aca="false">dashboard!$B$5</f>
        <v>egy</v>
      </c>
      <c r="C62" s="73" t="s">
        <v>3401</v>
      </c>
      <c r="D62" s="73" t="s">
        <v>918</v>
      </c>
      <c r="E62" s="73" t="s">
        <v>705</v>
      </c>
      <c r="F62" s="73" t="s">
        <v>733</v>
      </c>
      <c r="G62" s="73" t="s">
        <v>101</v>
      </c>
      <c r="H62" s="73" t="s">
        <v>3477</v>
      </c>
      <c r="I62" s="73" t="s">
        <v>3424</v>
      </c>
      <c r="J62" s="73" t="s">
        <v>3434</v>
      </c>
      <c r="K62" s="73"/>
      <c r="L62" s="73"/>
      <c r="M62" s="114" t="n">
        <f aca="false">M48*INDEX(input_data!$L:$L,MATCH(dashboard!$B$5&amp;".in.enp.stl.scr.gso",input_data!$A:$A,0))</f>
        <v>0</v>
      </c>
      <c r="N62" s="114" t="n">
        <f aca="false">N48*INDEX(input_data!$L:$L,MATCH(dashboard!$B$5&amp;".in.enp.stl.scr.gso",input_data!$A:$A,0))</f>
        <v>0</v>
      </c>
      <c r="O62" s="114" t="n">
        <f aca="false">O48*INDEX(input_data!$L:$L,MATCH(dashboard!$B$5&amp;".in.enp.stl.scr.gso",input_data!$A:$A,0))</f>
        <v>0</v>
      </c>
      <c r="P62" s="114" t="n">
        <f aca="false">P48*INDEX(input_data!$L:$L,MATCH(dashboard!$B$5&amp;".in.enp.stl.scr.gso",input_data!$A:$A,0))</f>
        <v>0</v>
      </c>
      <c r="Q62" s="114" t="n">
        <f aca="false">Q48*INDEX(input_data!$L:$L,MATCH(dashboard!$B$5&amp;".in.enp.stl.scr.gso",input_data!$A:$A,0))</f>
        <v>0</v>
      </c>
      <c r="R62" s="114" t="n">
        <f aca="false">R48*INDEX(input_data!$L:$L,MATCH(dashboard!$B$5&amp;".in.enp.stl.scr.gso",input_data!$A:$A,0))</f>
        <v>0</v>
      </c>
      <c r="S62" s="114" t="n">
        <f aca="false">S48*INDEX(input_data!$L:$L,MATCH(dashboard!$B$5&amp;".in.enp.stl.scr.gso",input_data!$A:$A,0))</f>
        <v>0</v>
      </c>
      <c r="T62" s="114" t="n">
        <f aca="false">T48*INDEX(input_data!$L:$L,MATCH(dashboard!$B$5&amp;".in.enp.stl.scr.gso",input_data!$A:$A,0))</f>
        <v>0</v>
      </c>
      <c r="U62" s="114" t="n">
        <f aca="false">U48*INDEX(input_data!$L:$L,MATCH(dashboard!$B$5&amp;".in.enp.stl.scr.gso",input_data!$A:$A,0))</f>
        <v>0</v>
      </c>
      <c r="V62" s="114" t="n">
        <f aca="false">V48*INDEX(input_data!$L:$L,MATCH(dashboard!$B$5&amp;".in.enp.stl.scr.gso",input_data!$A:$A,0))</f>
        <v>0</v>
      </c>
      <c r="W62" s="114" t="n">
        <f aca="false">W48*INDEX(input_data!$L:$L,MATCH(dashboard!$B$5&amp;".in.enp.stl.scr.gso",input_data!$A:$A,0))</f>
        <v>0</v>
      </c>
      <c r="X62" s="114" t="n">
        <f aca="false">X48*INDEX(input_data!$L:$L,MATCH(dashboard!$B$5&amp;".in.enp.stl.scr.gso",input_data!$A:$A,0))</f>
        <v>0</v>
      </c>
    </row>
    <row r="63" customFormat="false" ht="15" hidden="false" customHeight="true" outlineLevel="0" collapsed="false">
      <c r="A63" s="73" t="str">
        <f aca="false">dashboard!$B$5&amp;".pj.enp.stl.scr.die"</f>
        <v>egy.pj.enp.stl.scr.die</v>
      </c>
      <c r="B63" s="73" t="str">
        <f aca="false">dashboard!$B$5</f>
        <v>egy</v>
      </c>
      <c r="C63" s="73" t="s">
        <v>3401</v>
      </c>
      <c r="D63" s="73" t="s">
        <v>918</v>
      </c>
      <c r="E63" s="73" t="s">
        <v>705</v>
      </c>
      <c r="F63" s="73" t="s">
        <v>733</v>
      </c>
      <c r="G63" s="73" t="s">
        <v>103</v>
      </c>
      <c r="H63" s="73" t="s">
        <v>3478</v>
      </c>
      <c r="I63" s="73" t="s">
        <v>3424</v>
      </c>
      <c r="J63" s="73" t="s">
        <v>3434</v>
      </c>
      <c r="K63" s="73"/>
      <c r="L63" s="73"/>
      <c r="M63" s="114" t="n">
        <f aca="false">M48*INDEX(input_data!$L:$L,MATCH(dashboard!$B$5&amp;".in.enp.stl.scr.die",input_data!$A:$A,0))</f>
        <v>0</v>
      </c>
      <c r="N63" s="114" t="n">
        <f aca="false">N48*INDEX(input_data!$L:$L,MATCH(dashboard!$B$5&amp;".in.enp.stl.scr.die",input_data!$A:$A,0))</f>
        <v>0</v>
      </c>
      <c r="O63" s="114" t="n">
        <f aca="false">O48*INDEX(input_data!$L:$L,MATCH(dashboard!$B$5&amp;".in.enp.stl.scr.die",input_data!$A:$A,0))</f>
        <v>0</v>
      </c>
      <c r="P63" s="114" t="n">
        <f aca="false">P48*INDEX(input_data!$L:$L,MATCH(dashboard!$B$5&amp;".in.enp.stl.scr.die",input_data!$A:$A,0))</f>
        <v>0</v>
      </c>
      <c r="Q63" s="114" t="n">
        <f aca="false">Q48*INDEX(input_data!$L:$L,MATCH(dashboard!$B$5&amp;".in.enp.stl.scr.die",input_data!$A:$A,0))</f>
        <v>0</v>
      </c>
      <c r="R63" s="114" t="n">
        <f aca="false">R48*INDEX(input_data!$L:$L,MATCH(dashboard!$B$5&amp;".in.enp.stl.scr.die",input_data!$A:$A,0))</f>
        <v>0</v>
      </c>
      <c r="S63" s="114" t="n">
        <f aca="false">S48*INDEX(input_data!$L:$L,MATCH(dashboard!$B$5&amp;".in.enp.stl.scr.die",input_data!$A:$A,0))</f>
        <v>0</v>
      </c>
      <c r="T63" s="114" t="n">
        <f aca="false">T48*INDEX(input_data!$L:$L,MATCH(dashboard!$B$5&amp;".in.enp.stl.scr.die",input_data!$A:$A,0))</f>
        <v>0</v>
      </c>
      <c r="U63" s="114" t="n">
        <f aca="false">U48*INDEX(input_data!$L:$L,MATCH(dashboard!$B$5&amp;".in.enp.stl.scr.die",input_data!$A:$A,0))</f>
        <v>0</v>
      </c>
      <c r="V63" s="114" t="n">
        <f aca="false">V48*INDEX(input_data!$L:$L,MATCH(dashboard!$B$5&amp;".in.enp.stl.scr.die",input_data!$A:$A,0))</f>
        <v>0</v>
      </c>
      <c r="W63" s="114" t="n">
        <f aca="false">W48*INDEX(input_data!$L:$L,MATCH(dashboard!$B$5&amp;".in.enp.stl.scr.die",input_data!$A:$A,0))</f>
        <v>0</v>
      </c>
      <c r="X63" s="114" t="n">
        <f aca="false">X48*INDEX(input_data!$L:$L,MATCH(dashboard!$B$5&amp;".in.enp.stl.scr.die",input_data!$A:$A,0))</f>
        <v>0</v>
      </c>
    </row>
    <row r="64" customFormat="false" ht="15" hidden="false" customHeight="true" outlineLevel="0" collapsed="false">
      <c r="A64" s="73" t="str">
        <f aca="false">dashboard!$B$5&amp;".pj.enp.stl.scr.ker"</f>
        <v>egy.pj.enp.stl.scr.ker</v>
      </c>
      <c r="B64" s="73" t="str">
        <f aca="false">dashboard!$B$5</f>
        <v>egy</v>
      </c>
      <c r="C64" s="73" t="s">
        <v>3401</v>
      </c>
      <c r="D64" s="73" t="s">
        <v>918</v>
      </c>
      <c r="E64" s="73" t="s">
        <v>705</v>
      </c>
      <c r="F64" s="73" t="s">
        <v>733</v>
      </c>
      <c r="G64" s="73" t="s">
        <v>105</v>
      </c>
      <c r="H64" s="73" t="s">
        <v>3479</v>
      </c>
      <c r="I64" s="73" t="s">
        <v>3424</v>
      </c>
      <c r="J64" s="73" t="s">
        <v>3434</v>
      </c>
      <c r="K64" s="73"/>
      <c r="L64" s="73"/>
      <c r="M64" s="114" t="n">
        <f aca="false">M48*INDEX(input_data!$L:$L,MATCH(dashboard!$B$5&amp;".in.enp.stl.scr.ker",input_data!$A:$A,0))</f>
        <v>0</v>
      </c>
      <c r="N64" s="114" t="n">
        <f aca="false">N48*INDEX(input_data!$L:$L,MATCH(dashboard!$B$5&amp;".in.enp.stl.scr.ker",input_data!$A:$A,0))</f>
        <v>0</v>
      </c>
      <c r="O64" s="114" t="n">
        <f aca="false">O48*INDEX(input_data!$L:$L,MATCH(dashboard!$B$5&amp;".in.enp.stl.scr.ker",input_data!$A:$A,0))</f>
        <v>0</v>
      </c>
      <c r="P64" s="114" t="n">
        <f aca="false">P48*INDEX(input_data!$L:$L,MATCH(dashboard!$B$5&amp;".in.enp.stl.scr.ker",input_data!$A:$A,0))</f>
        <v>0</v>
      </c>
      <c r="Q64" s="114" t="n">
        <f aca="false">Q48*INDEX(input_data!$L:$L,MATCH(dashboard!$B$5&amp;".in.enp.stl.scr.ker",input_data!$A:$A,0))</f>
        <v>0</v>
      </c>
      <c r="R64" s="114" t="n">
        <f aca="false">R48*INDEX(input_data!$L:$L,MATCH(dashboard!$B$5&amp;".in.enp.stl.scr.ker",input_data!$A:$A,0))</f>
        <v>0</v>
      </c>
      <c r="S64" s="114" t="n">
        <f aca="false">S48*INDEX(input_data!$L:$L,MATCH(dashboard!$B$5&amp;".in.enp.stl.scr.ker",input_data!$A:$A,0))</f>
        <v>0</v>
      </c>
      <c r="T64" s="114" t="n">
        <f aca="false">T48*INDEX(input_data!$L:$L,MATCH(dashboard!$B$5&amp;".in.enp.stl.scr.ker",input_data!$A:$A,0))</f>
        <v>0</v>
      </c>
      <c r="U64" s="114" t="n">
        <f aca="false">U48*INDEX(input_data!$L:$L,MATCH(dashboard!$B$5&amp;".in.enp.stl.scr.ker",input_data!$A:$A,0))</f>
        <v>0</v>
      </c>
      <c r="V64" s="114" t="n">
        <f aca="false">V48*INDEX(input_data!$L:$L,MATCH(dashboard!$B$5&amp;".in.enp.stl.scr.ker",input_data!$A:$A,0))</f>
        <v>0</v>
      </c>
      <c r="W64" s="114" t="n">
        <f aca="false">W48*INDEX(input_data!$L:$L,MATCH(dashboard!$B$5&amp;".in.enp.stl.scr.ker",input_data!$A:$A,0))</f>
        <v>0</v>
      </c>
      <c r="X64" s="114" t="n">
        <f aca="false">X48*INDEX(input_data!$L:$L,MATCH(dashboard!$B$5&amp;".in.enp.stl.scr.ker",input_data!$A:$A,0))</f>
        <v>0</v>
      </c>
    </row>
    <row r="65" customFormat="false" ht="15" hidden="false" customHeight="true" outlineLevel="0" collapsed="false">
      <c r="A65" s="73" t="str">
        <f aca="false">dashboard!$B$5&amp;".pj.enp.stl.scr.lpg"</f>
        <v>egy.pj.enp.stl.scr.lpg</v>
      </c>
      <c r="B65" s="73" t="str">
        <f aca="false">dashboard!$B$5</f>
        <v>egy</v>
      </c>
      <c r="C65" s="73" t="s">
        <v>3401</v>
      </c>
      <c r="D65" s="73" t="s">
        <v>918</v>
      </c>
      <c r="E65" s="73" t="s">
        <v>705</v>
      </c>
      <c r="F65" s="73" t="s">
        <v>733</v>
      </c>
      <c r="G65" s="73" t="s">
        <v>107</v>
      </c>
      <c r="H65" s="73" t="s">
        <v>3480</v>
      </c>
      <c r="I65" s="73" t="s">
        <v>3424</v>
      </c>
      <c r="J65" s="73" t="s">
        <v>3434</v>
      </c>
      <c r="K65" s="73"/>
      <c r="L65" s="73"/>
      <c r="M65" s="114" t="n">
        <f aca="false">M48*INDEX(input_data!$L:$L,MATCH(dashboard!$B$5&amp;".in.enp.stl.scr.lpg",input_data!$A:$A,0))</f>
        <v>0</v>
      </c>
      <c r="N65" s="114" t="n">
        <f aca="false">N48*INDEX(input_data!$L:$L,MATCH(dashboard!$B$5&amp;".in.enp.stl.scr.lpg",input_data!$A:$A,0))</f>
        <v>0</v>
      </c>
      <c r="O65" s="114" t="n">
        <f aca="false">O48*INDEX(input_data!$L:$L,MATCH(dashboard!$B$5&amp;".in.enp.stl.scr.lpg",input_data!$A:$A,0))</f>
        <v>0</v>
      </c>
      <c r="P65" s="114" t="n">
        <f aca="false">P48*INDEX(input_data!$L:$L,MATCH(dashboard!$B$5&amp;".in.enp.stl.scr.lpg",input_data!$A:$A,0))</f>
        <v>0</v>
      </c>
      <c r="Q65" s="114" t="n">
        <f aca="false">Q48*INDEX(input_data!$L:$L,MATCH(dashboard!$B$5&amp;".in.enp.stl.scr.lpg",input_data!$A:$A,0))</f>
        <v>0</v>
      </c>
      <c r="R65" s="114" t="n">
        <f aca="false">R48*INDEX(input_data!$L:$L,MATCH(dashboard!$B$5&amp;".in.enp.stl.scr.lpg",input_data!$A:$A,0))</f>
        <v>0</v>
      </c>
      <c r="S65" s="114" t="n">
        <f aca="false">S48*INDEX(input_data!$L:$L,MATCH(dashboard!$B$5&amp;".in.enp.stl.scr.lpg",input_data!$A:$A,0))</f>
        <v>0</v>
      </c>
      <c r="T65" s="114" t="n">
        <f aca="false">T48*INDEX(input_data!$L:$L,MATCH(dashboard!$B$5&amp;".in.enp.stl.scr.lpg",input_data!$A:$A,0))</f>
        <v>0</v>
      </c>
      <c r="U65" s="114" t="n">
        <f aca="false">U48*INDEX(input_data!$L:$L,MATCH(dashboard!$B$5&amp;".in.enp.stl.scr.lpg",input_data!$A:$A,0))</f>
        <v>0</v>
      </c>
      <c r="V65" s="114" t="n">
        <f aca="false">V48*INDEX(input_data!$L:$L,MATCH(dashboard!$B$5&amp;".in.enp.stl.scr.lpg",input_data!$A:$A,0))</f>
        <v>0</v>
      </c>
      <c r="W65" s="114" t="n">
        <f aca="false">W48*INDEX(input_data!$L:$L,MATCH(dashboard!$B$5&amp;".in.enp.stl.scr.lpg",input_data!$A:$A,0))</f>
        <v>0</v>
      </c>
      <c r="X65" s="114" t="n">
        <f aca="false">X48*INDEX(input_data!$L:$L,MATCH(dashboard!$B$5&amp;".in.enp.stl.scr.lpg",input_data!$A:$A,0))</f>
        <v>0</v>
      </c>
    </row>
    <row r="66" customFormat="false" ht="15" hidden="false" customHeight="true" outlineLevel="0" collapsed="false">
      <c r="A66" s="73" t="str">
        <f aca="false">dashboard!$B$5&amp;".pj.enp.stl.scr.bio"</f>
        <v>egy.pj.enp.stl.scr.bio</v>
      </c>
      <c r="B66" s="73" t="str">
        <f aca="false">dashboard!$B$5</f>
        <v>egy</v>
      </c>
      <c r="C66" s="73" t="s">
        <v>3401</v>
      </c>
      <c r="D66" s="73" t="s">
        <v>918</v>
      </c>
      <c r="E66" s="73" t="s">
        <v>705</v>
      </c>
      <c r="F66" s="73" t="s">
        <v>733</v>
      </c>
      <c r="G66" s="73" t="s">
        <v>109</v>
      </c>
      <c r="H66" s="73" t="s">
        <v>3481</v>
      </c>
      <c r="I66" s="73" t="s">
        <v>3424</v>
      </c>
      <c r="J66" s="73" t="s">
        <v>3434</v>
      </c>
      <c r="K66" s="73"/>
      <c r="L66" s="73"/>
      <c r="M66" s="114" t="n">
        <f aca="false">M48*INDEX(input_data!$L:$L,MATCH(dashboard!$B$5&amp;".in.enp.stl.scr.bio",input_data!$A:$A,0))</f>
        <v>0</v>
      </c>
      <c r="N66" s="114" t="n">
        <f aca="false">N48*INDEX(input_data!$L:$L,MATCH(dashboard!$B$5&amp;".in.enp.stl.scr.bio",input_data!$A:$A,0))</f>
        <v>0</v>
      </c>
      <c r="O66" s="114" t="n">
        <f aca="false">O48*INDEX(input_data!$L:$L,MATCH(dashboard!$B$5&amp;".in.enp.stl.scr.bio",input_data!$A:$A,0))</f>
        <v>0</v>
      </c>
      <c r="P66" s="114" t="n">
        <f aca="false">P48*INDEX(input_data!$L:$L,MATCH(dashboard!$B$5&amp;".in.enp.stl.scr.bio",input_data!$A:$A,0))</f>
        <v>0</v>
      </c>
      <c r="Q66" s="114" t="n">
        <f aca="false">Q48*INDEX(input_data!$L:$L,MATCH(dashboard!$B$5&amp;".in.enp.stl.scr.bio",input_data!$A:$A,0))</f>
        <v>0</v>
      </c>
      <c r="R66" s="114" t="n">
        <f aca="false">R48*INDEX(input_data!$L:$L,MATCH(dashboard!$B$5&amp;".in.enp.stl.scr.bio",input_data!$A:$A,0))</f>
        <v>0</v>
      </c>
      <c r="S66" s="114" t="n">
        <f aca="false">S48*INDEX(input_data!$L:$L,MATCH(dashboard!$B$5&amp;".in.enp.stl.scr.bio",input_data!$A:$A,0))</f>
        <v>0</v>
      </c>
      <c r="T66" s="114" t="n">
        <f aca="false">T48*INDEX(input_data!$L:$L,MATCH(dashboard!$B$5&amp;".in.enp.stl.scr.bio",input_data!$A:$A,0))</f>
        <v>0</v>
      </c>
      <c r="U66" s="114" t="n">
        <f aca="false">U48*INDEX(input_data!$L:$L,MATCH(dashboard!$B$5&amp;".in.enp.stl.scr.bio",input_data!$A:$A,0))</f>
        <v>0</v>
      </c>
      <c r="V66" s="114" t="n">
        <f aca="false">V48*INDEX(input_data!$L:$L,MATCH(dashboard!$B$5&amp;".in.enp.stl.scr.bio",input_data!$A:$A,0))</f>
        <v>0</v>
      </c>
      <c r="W66" s="114" t="n">
        <f aca="false">W48*INDEX(input_data!$L:$L,MATCH(dashboard!$B$5&amp;".in.enp.stl.scr.bio",input_data!$A:$A,0))</f>
        <v>0</v>
      </c>
      <c r="X66" s="114" t="n">
        <f aca="false">X48*INDEX(input_data!$L:$L,MATCH(dashboard!$B$5&amp;".in.enp.stl.scr.bio",input_data!$A:$A,0))</f>
        <v>0</v>
      </c>
    </row>
    <row r="67" customFormat="false" ht="15" hidden="false" customHeight="true" outlineLevel="0" collapsed="false">
      <c r="A67" s="73" t="str">
        <f aca="false">dashboard!$B$5&amp;".pj.enp.stl.scr.ren"</f>
        <v>egy.pj.enp.stl.scr.ren</v>
      </c>
      <c r="B67" s="73" t="str">
        <f aca="false">dashboard!$B$5</f>
        <v>egy</v>
      </c>
      <c r="C67" s="73" t="s">
        <v>3401</v>
      </c>
      <c r="D67" s="73" t="s">
        <v>918</v>
      </c>
      <c r="E67" s="73" t="s">
        <v>705</v>
      </c>
      <c r="F67" s="73" t="s">
        <v>733</v>
      </c>
      <c r="G67" s="73" t="s">
        <v>111</v>
      </c>
      <c r="H67" s="73" t="s">
        <v>3482</v>
      </c>
      <c r="I67" s="73" t="s">
        <v>3424</v>
      </c>
      <c r="J67" s="73" t="s">
        <v>3434</v>
      </c>
      <c r="K67" s="73"/>
      <c r="L67" s="73"/>
      <c r="M67" s="114" t="n">
        <f aca="false">M48*INDEX(input_data!$L:$L,MATCH(dashboard!$B$5&amp;".in.enp.stl.scr.ren",input_data!$A:$A,0))</f>
        <v>0</v>
      </c>
      <c r="N67" s="114" t="n">
        <f aca="false">N48*INDEX(input_data!$L:$L,MATCH(dashboard!$B$5&amp;".in.enp.stl.scr.ren",input_data!$A:$A,0))</f>
        <v>0</v>
      </c>
      <c r="O67" s="114" t="n">
        <f aca="false">O48*INDEX(input_data!$L:$L,MATCH(dashboard!$B$5&amp;".in.enp.stl.scr.ren",input_data!$A:$A,0))</f>
        <v>0</v>
      </c>
      <c r="P67" s="114" t="n">
        <f aca="false">P48*INDEX(input_data!$L:$L,MATCH(dashboard!$B$5&amp;".in.enp.stl.scr.ren",input_data!$A:$A,0))</f>
        <v>0</v>
      </c>
      <c r="Q67" s="114" t="n">
        <f aca="false">Q48*INDEX(input_data!$L:$L,MATCH(dashboard!$B$5&amp;".in.enp.stl.scr.ren",input_data!$A:$A,0))</f>
        <v>0</v>
      </c>
      <c r="R67" s="114" t="n">
        <f aca="false">R48*INDEX(input_data!$L:$L,MATCH(dashboard!$B$5&amp;".in.enp.stl.scr.ren",input_data!$A:$A,0))</f>
        <v>0</v>
      </c>
      <c r="S67" s="114" t="n">
        <f aca="false">S48*INDEX(input_data!$L:$L,MATCH(dashboard!$B$5&amp;".in.enp.stl.scr.ren",input_data!$A:$A,0))</f>
        <v>0</v>
      </c>
      <c r="T67" s="114" t="n">
        <f aca="false">T48*INDEX(input_data!$L:$L,MATCH(dashboard!$B$5&amp;".in.enp.stl.scr.ren",input_data!$A:$A,0))</f>
        <v>0</v>
      </c>
      <c r="U67" s="114" t="n">
        <f aca="false">U48*INDEX(input_data!$L:$L,MATCH(dashboard!$B$5&amp;".in.enp.stl.scr.ren",input_data!$A:$A,0))</f>
        <v>0</v>
      </c>
      <c r="V67" s="114" t="n">
        <f aca="false">V48*INDEX(input_data!$L:$L,MATCH(dashboard!$B$5&amp;".in.enp.stl.scr.ren",input_data!$A:$A,0))</f>
        <v>0</v>
      </c>
      <c r="W67" s="114" t="n">
        <f aca="false">W48*INDEX(input_data!$L:$L,MATCH(dashboard!$B$5&amp;".in.enp.stl.scr.ren",input_data!$A:$A,0))</f>
        <v>0</v>
      </c>
      <c r="X67" s="114" t="n">
        <f aca="false">X48*INDEX(input_data!$L:$L,MATCH(dashboard!$B$5&amp;".in.enp.stl.scr.ren",input_data!$A:$A,0))</f>
        <v>0</v>
      </c>
    </row>
    <row r="68" customFormat="false" ht="15" hidden="false" customHeight="true" outlineLevel="0" collapsed="false">
      <c r="A68" s="73" t="str">
        <f aca="false">dashboard!$B$5&amp;".pj.ele.stl.scr.elc"</f>
        <v>egy.pj.ele.stl.scr.elc</v>
      </c>
      <c r="B68" s="73" t="str">
        <f aca="false">dashboard!$B$5</f>
        <v>egy</v>
      </c>
      <c r="C68" s="73" t="s">
        <v>3401</v>
      </c>
      <c r="D68" s="73" t="s">
        <v>943</v>
      </c>
      <c r="E68" s="73" t="s">
        <v>705</v>
      </c>
      <c r="F68" s="73" t="s">
        <v>733</v>
      </c>
      <c r="G68" s="73" t="s">
        <v>944</v>
      </c>
      <c r="H68" s="73" t="s">
        <v>3483</v>
      </c>
      <c r="I68" s="73" t="s">
        <v>3424</v>
      </c>
      <c r="J68" s="73" t="s">
        <v>3443</v>
      </c>
      <c r="K68" s="73"/>
      <c r="L68" s="73"/>
      <c r="M68" s="114" t="n">
        <f aca="false">M48*INDEX(input_data!$L:$L,MATCH(dashboard!$B$5&amp;".in.ele.stl.scr.elc",input_data!$A:$A,0))</f>
        <v>20.61</v>
      </c>
      <c r="N68" s="114" t="n">
        <f aca="false">N48*INDEX(input_data!$L:$L,MATCH(dashboard!$B$5&amp;".in.ele.stl.scr.elc",input_data!$A:$A,0))</f>
        <v>21.5119589008949</v>
      </c>
      <c r="O68" s="114" t="n">
        <f aca="false">O48*INDEX(input_data!$L:$L,MATCH(dashboard!$B$5&amp;".in.ele.stl.scr.elc",input_data!$A:$A,0))</f>
        <v>22.453390381067</v>
      </c>
      <c r="P68" s="114" t="n">
        <f aca="false">P48*INDEX(input_data!$L:$L,MATCH(dashboard!$B$5&amp;".in.ele.stl.scr.elc",input_data!$A:$A,0))</f>
        <v>23.4360218856508</v>
      </c>
      <c r="Q68" s="114" t="n">
        <f aca="false">Q48*INDEX(input_data!$L:$L,MATCH(dashboard!$B$5&amp;".in.ele.stl.scr.elc",input_data!$A:$A,0))</f>
        <v>24.4616564582529</v>
      </c>
      <c r="R68" s="114" t="n">
        <f aca="false">R48*INDEX(input_data!$L:$L,MATCH(dashboard!$B$5&amp;".in.ele.stl.scr.elc",input_data!$A:$A,0))</f>
        <v>25.5321760493813</v>
      </c>
      <c r="S68" s="114" t="n">
        <f aca="false">S48*INDEX(input_data!$L:$L,MATCH(dashboard!$B$5&amp;".in.ele.stl.scr.elc",input_data!$A:$A,0))</f>
        <v>26.6495449696605</v>
      </c>
      <c r="T68" s="114" t="n">
        <f aca="false">T48*INDEX(input_data!$L:$L,MATCH(dashboard!$B$5&amp;".in.ele.stl.scr.elc",input_data!$A:$A,0))</f>
        <v>27.8158134941721</v>
      </c>
      <c r="U68" s="114" t="n">
        <f aca="false">U48*INDEX(input_data!$L:$L,MATCH(dashboard!$B$5&amp;".in.ele.stl.scr.elc",input_data!$A:$A,0))</f>
        <v>29.0331216245312</v>
      </c>
      <c r="V68" s="114" t="n">
        <f aca="false">V48*INDEX(input_data!$L:$L,MATCH(dashboard!$B$5&amp;".in.ele.stl.scr.elc",input_data!$A:$A,0))</f>
        <v>30.303703015604</v>
      </c>
      <c r="W68" s="114" t="n">
        <f aca="false">W48*INDEX(input_data!$L:$L,MATCH(dashboard!$B$5&amp;".in.ele.stl.scr.elc",input_data!$A:$A,0))</f>
        <v>31.6298890740707</v>
      </c>
      <c r="X68" s="114" t="n">
        <f aca="false">X48*INDEX(input_data!$L:$L,MATCH(dashboard!$B$5&amp;".in.ele.stl.scr.elc",input_data!$A:$A,0))</f>
        <v>33.0141132363549</v>
      </c>
    </row>
    <row r="69" customFormat="false" ht="15" hidden="false" customHeight="true" outlineLevel="0" collapsed="false">
      <c r="A69" s="73" t="str">
        <f aca="false">dashboard!$B$5&amp;".em.sfc.stl.scr.---"</f>
        <v>egy.em.sfc.stl.scr.---</v>
      </c>
      <c r="B69" s="73" t="str">
        <f aca="false">dashboard!$B$5</f>
        <v>egy</v>
      </c>
      <c r="C69" s="73" t="s">
        <v>3444</v>
      </c>
      <c r="D69" s="73" t="s">
        <v>3445</v>
      </c>
      <c r="E69" s="73" t="s">
        <v>705</v>
      </c>
      <c r="F69" s="73" t="s">
        <v>733</v>
      </c>
      <c r="G69" s="73" t="s">
        <v>655</v>
      </c>
      <c r="H69" s="73" t="s">
        <v>3484</v>
      </c>
      <c r="I69" s="73" t="s">
        <v>3447</v>
      </c>
      <c r="J69" s="73" t="s">
        <v>3448</v>
      </c>
      <c r="K69" s="73"/>
      <c r="L69" s="73"/>
      <c r="M69" s="114" t="n">
        <f aca="false">SUMPRODUCT(M52:M59,M10:M17)/1000</f>
        <v>0.7102206</v>
      </c>
      <c r="N69" s="114" t="n">
        <f aca="false">SUMPRODUCT(N52:N59,N10:N17)/1000</f>
        <v>0.741302103724838</v>
      </c>
      <c r="O69" s="114" t="n">
        <f aca="false">SUMPRODUCT(O52:O59,O10:O17)/1000</f>
        <v>0.77374383253157</v>
      </c>
      <c r="P69" s="114" t="n">
        <f aca="false">SUMPRODUCT(P52:P59,P10:P17)/1000</f>
        <v>0.807605314179526</v>
      </c>
      <c r="Q69" s="114" t="n">
        <f aca="false">SUMPRODUCT(Q52:Q59,Q10:Q17)/1000</f>
        <v>0.842948681551396</v>
      </c>
      <c r="R69" s="114" t="n">
        <f aca="false">SUMPRODUCT(R52:R59,R10:R17)/1000</f>
        <v>0.879838786661678</v>
      </c>
      <c r="S69" s="114" t="n">
        <f aca="false">SUMPRODUCT(S52:S59,S10:S17)/1000</f>
        <v>0.9183433196545</v>
      </c>
      <c r="T69" s="114" t="n">
        <f aca="false">SUMPRODUCT(T52:T59,T10:T17)/1000</f>
        <v>0.95853293300917</v>
      </c>
      <c r="U69" s="114" t="n">
        <f aca="false">SUMPRODUCT(U52:U59,U10:U17)/1000</f>
        <v>1.00048137118134</v>
      </c>
      <c r="V69" s="114" t="n">
        <f aca="false">SUMPRODUCT(V52:V59,V10:V17)/1000</f>
        <v>1.04426560591771</v>
      </c>
      <c r="W69" s="114" t="n">
        <f aca="false">SUMPRODUCT(W52:W59,W10:W17)/1000</f>
        <v>1.08996597749248</v>
      </c>
      <c r="X69" s="114" t="n">
        <f aca="false">SUMPRODUCT(X52:X59,X10:X17)/1000</f>
        <v>1.13766634212479</v>
      </c>
    </row>
    <row r="70" customFormat="false" ht="15" hidden="false" customHeight="true" outlineLevel="0" collapsed="false">
      <c r="A70" s="73" t="str">
        <f aca="false">dashboard!$B$5&amp;".em.sfp.stl.scr.---"</f>
        <v>egy.em.sfp.stl.scr.---</v>
      </c>
      <c r="B70" s="73" t="str">
        <f aca="false">dashboard!$B$5</f>
        <v>egy</v>
      </c>
      <c r="C70" s="73" t="s">
        <v>3444</v>
      </c>
      <c r="D70" s="73" t="s">
        <v>3449</v>
      </c>
      <c r="E70" s="73" t="s">
        <v>705</v>
      </c>
      <c r="F70" s="73" t="s">
        <v>733</v>
      </c>
      <c r="G70" s="73" t="s">
        <v>655</v>
      </c>
      <c r="H70" s="73" t="s">
        <v>3485</v>
      </c>
      <c r="I70" s="73" t="s">
        <v>3447</v>
      </c>
      <c r="J70" s="73" t="s">
        <v>3451</v>
      </c>
      <c r="K70" s="73"/>
      <c r="L70" s="73"/>
      <c r="M70" s="114" t="n">
        <f aca="false">SUMPRODUCT(M60:M67,M10:M17)/1000</f>
        <v>0</v>
      </c>
      <c r="N70" s="114" t="n">
        <f aca="false">SUMPRODUCT(N60:N67,N10:N17)/1000</f>
        <v>0</v>
      </c>
      <c r="O70" s="114" t="n">
        <f aca="false">SUMPRODUCT(O60:O67,O10:O17)/1000</f>
        <v>0</v>
      </c>
      <c r="P70" s="114" t="n">
        <f aca="false">SUMPRODUCT(P60:P67,P10:P17)/1000</f>
        <v>0</v>
      </c>
      <c r="Q70" s="114" t="n">
        <f aca="false">SUMPRODUCT(Q60:Q67,Q10:Q17)/1000</f>
        <v>0</v>
      </c>
      <c r="R70" s="114" t="n">
        <f aca="false">SUMPRODUCT(R60:R67,R10:R17)/1000</f>
        <v>0</v>
      </c>
      <c r="S70" s="114" t="n">
        <f aca="false">SUMPRODUCT(S60:S67,S10:S17)/1000</f>
        <v>0</v>
      </c>
      <c r="T70" s="114" t="n">
        <f aca="false">SUMPRODUCT(T60:T67,T10:T17)/1000</f>
        <v>0</v>
      </c>
      <c r="U70" s="114" t="n">
        <f aca="false">SUMPRODUCT(U60:U67,U10:U17)/1000</f>
        <v>0</v>
      </c>
      <c r="V70" s="114" t="n">
        <f aca="false">SUMPRODUCT(V60:V67,V10:V17)/1000</f>
        <v>0</v>
      </c>
      <c r="W70" s="114" t="n">
        <f aca="false">SUMPRODUCT(W60:W67,W10:W17)/1000</f>
        <v>0</v>
      </c>
      <c r="X70" s="114" t="n">
        <f aca="false">SUMPRODUCT(X60:X67,X10:X17)/1000</f>
        <v>0</v>
      </c>
    </row>
    <row r="71" customFormat="false" ht="15" hidden="false" customHeight="true" outlineLevel="0" collapsed="false">
      <c r="A71" s="73" t="str">
        <f aca="false">dashboard!$B$5&amp;".em.snp.stl.scr.---"</f>
        <v>egy.em.snp.stl.scr.---</v>
      </c>
      <c r="B71" s="73" t="str">
        <f aca="false">dashboard!$B$5</f>
        <v>egy</v>
      </c>
      <c r="C71" s="73" t="s">
        <v>3444</v>
      </c>
      <c r="D71" s="73" t="s">
        <v>3452</v>
      </c>
      <c r="E71" s="73" t="s">
        <v>705</v>
      </c>
      <c r="F71" s="73" t="s">
        <v>733</v>
      </c>
      <c r="G71" s="73" t="s">
        <v>655</v>
      </c>
      <c r="H71" s="73" t="s">
        <v>3486</v>
      </c>
      <c r="I71" s="73" t="s">
        <v>3447</v>
      </c>
      <c r="J71" s="73" t="s">
        <v>3454</v>
      </c>
      <c r="K71" s="73"/>
      <c r="L71" s="73"/>
      <c r="M71" s="114" t="n">
        <f aca="false">M48*INDEX(input_data!$L:$L,MATCH(dashboard!$B$5&amp;".in.efn.stl.scr.---",input_data!$A:$A,0))</f>
        <v>0</v>
      </c>
      <c r="N71" s="114" t="n">
        <f aca="false">N48*INDEX(input_data!$L:$L,MATCH(dashboard!$B$5&amp;".in.efn.stl.scr.---",input_data!$A:$A,0))</f>
        <v>0</v>
      </c>
      <c r="O71" s="114" t="n">
        <f aca="false">O48*INDEX(input_data!$L:$L,MATCH(dashboard!$B$5&amp;".in.efn.stl.scr.---",input_data!$A:$A,0))</f>
        <v>0</v>
      </c>
      <c r="P71" s="114" t="n">
        <f aca="false">P48*INDEX(input_data!$L:$L,MATCH(dashboard!$B$5&amp;".in.efn.stl.scr.---",input_data!$A:$A,0))</f>
        <v>0</v>
      </c>
      <c r="Q71" s="114" t="n">
        <f aca="false">Q48*INDEX(input_data!$L:$L,MATCH(dashboard!$B$5&amp;".in.efn.stl.scr.---",input_data!$A:$A,0))</f>
        <v>0</v>
      </c>
      <c r="R71" s="114" t="n">
        <f aca="false">R48*INDEX(input_data!$L:$L,MATCH(dashboard!$B$5&amp;".in.efn.stl.scr.---",input_data!$A:$A,0))</f>
        <v>0</v>
      </c>
      <c r="S71" s="114" t="n">
        <f aca="false">S48*INDEX(input_data!$L:$L,MATCH(dashboard!$B$5&amp;".in.efn.stl.scr.---",input_data!$A:$A,0))</f>
        <v>0</v>
      </c>
      <c r="T71" s="114" t="n">
        <f aca="false">T48*INDEX(input_data!$L:$L,MATCH(dashboard!$B$5&amp;".in.efn.stl.scr.---",input_data!$A:$A,0))</f>
        <v>0</v>
      </c>
      <c r="U71" s="114" t="n">
        <f aca="false">U48*INDEX(input_data!$L:$L,MATCH(dashboard!$B$5&amp;".in.efn.stl.scr.---",input_data!$A:$A,0))</f>
        <v>0</v>
      </c>
      <c r="V71" s="114" t="n">
        <f aca="false">V48*INDEX(input_data!$L:$L,MATCH(dashboard!$B$5&amp;".in.efn.stl.scr.---",input_data!$A:$A,0))</f>
        <v>0</v>
      </c>
      <c r="W71" s="114" t="n">
        <f aca="false">W48*INDEX(input_data!$L:$L,MATCH(dashboard!$B$5&amp;".in.efn.stl.scr.---",input_data!$A:$A,0))</f>
        <v>0</v>
      </c>
      <c r="X71" s="114" t="n">
        <f aca="false">X48*INDEX(input_data!$L:$L,MATCH(dashboard!$B$5&amp;".in.efn.stl.scr.---",input_data!$A:$A,0))</f>
        <v>0</v>
      </c>
    </row>
    <row r="72" customFormat="false" ht="15" hidden="false" customHeight="true" outlineLevel="0" collapsed="false">
      <c r="A72" s="73" t="str">
        <f aca="false">dashboard!$B$5&amp;".em.sno.stl.scr.---"</f>
        <v>egy.em.sno.stl.scr.---</v>
      </c>
      <c r="B72" s="73" t="str">
        <f aca="false">dashboard!$B$5</f>
        <v>egy</v>
      </c>
      <c r="C72" s="73" t="s">
        <v>3444</v>
      </c>
      <c r="D72" s="73" t="s">
        <v>3455</v>
      </c>
      <c r="E72" s="73" t="s">
        <v>705</v>
      </c>
      <c r="F72" s="73" t="s">
        <v>733</v>
      </c>
      <c r="G72" s="73" t="s">
        <v>655</v>
      </c>
      <c r="H72" s="73" t="s">
        <v>3487</v>
      </c>
      <c r="I72" s="73" t="s">
        <v>3457</v>
      </c>
      <c r="J72" s="73" t="s">
        <v>3458</v>
      </c>
      <c r="K72" s="73"/>
      <c r="L72" s="73"/>
      <c r="M72" s="114" t="n">
        <f aca="false">M48*INDEX(input_data!$L:$L,MATCH(dashboard!$B$5&amp;".in.efo.stl.scr.---",input_data!$A:$A,0))</f>
        <v>0</v>
      </c>
      <c r="N72" s="114" t="n">
        <f aca="false">N48*INDEX(input_data!$L:$L,MATCH(dashboard!$B$5&amp;".in.efo.stl.scr.---",input_data!$A:$A,0))</f>
        <v>0</v>
      </c>
      <c r="O72" s="114" t="n">
        <f aca="false">O48*INDEX(input_data!$L:$L,MATCH(dashboard!$B$5&amp;".in.efo.stl.scr.---",input_data!$A:$A,0))</f>
        <v>0</v>
      </c>
      <c r="P72" s="114" t="n">
        <f aca="false">P48*INDEX(input_data!$L:$L,MATCH(dashboard!$B$5&amp;".in.efo.stl.scr.---",input_data!$A:$A,0))</f>
        <v>0</v>
      </c>
      <c r="Q72" s="114" t="n">
        <f aca="false">Q48*INDEX(input_data!$L:$L,MATCH(dashboard!$B$5&amp;".in.efo.stl.scr.---",input_data!$A:$A,0))</f>
        <v>0</v>
      </c>
      <c r="R72" s="114" t="n">
        <f aca="false">R48*INDEX(input_data!$L:$L,MATCH(dashboard!$B$5&amp;".in.efo.stl.scr.---",input_data!$A:$A,0))</f>
        <v>0</v>
      </c>
      <c r="S72" s="114" t="n">
        <f aca="false">S48*INDEX(input_data!$L:$L,MATCH(dashboard!$B$5&amp;".in.efo.stl.scr.---",input_data!$A:$A,0))</f>
        <v>0</v>
      </c>
      <c r="T72" s="114" t="n">
        <f aca="false">T48*INDEX(input_data!$L:$L,MATCH(dashboard!$B$5&amp;".in.efo.stl.scr.---",input_data!$A:$A,0))</f>
        <v>0</v>
      </c>
      <c r="U72" s="114" t="n">
        <f aca="false">U48*INDEX(input_data!$L:$L,MATCH(dashboard!$B$5&amp;".in.efo.stl.scr.---",input_data!$A:$A,0))</f>
        <v>0</v>
      </c>
      <c r="V72" s="114" t="n">
        <f aca="false">V48*INDEX(input_data!$L:$L,MATCH(dashboard!$B$5&amp;".in.efo.stl.scr.---",input_data!$A:$A,0))</f>
        <v>0</v>
      </c>
      <c r="W72" s="114" t="n">
        <f aca="false">W48*INDEX(input_data!$L:$L,MATCH(dashboard!$B$5&amp;".in.efo.stl.scr.---",input_data!$A:$A,0))</f>
        <v>0</v>
      </c>
      <c r="X72" s="114" t="n">
        <f aca="false">X48*INDEX(input_data!$L:$L,MATCH(dashboard!$B$5&amp;".in.efo.stl.scr.---",input_data!$A:$A,0))</f>
        <v>0</v>
      </c>
    </row>
    <row r="73" customFormat="false" ht="15" hidden="false" customHeight="true" outlineLevel="0" collapsed="false">
      <c r="A73" s="73" t="str">
        <f aca="false">dashboard!$B$5&amp;".em.s2e.stl.scr.elc"</f>
        <v>egy.em.s2e.stl.scr.elc</v>
      </c>
      <c r="B73" s="73" t="str">
        <f aca="false">dashboard!$B$5</f>
        <v>egy</v>
      </c>
      <c r="C73" s="73" t="s">
        <v>3444</v>
      </c>
      <c r="D73" s="73" t="s">
        <v>3459</v>
      </c>
      <c r="E73" s="73" t="s">
        <v>705</v>
      </c>
      <c r="F73" s="73" t="s">
        <v>733</v>
      </c>
      <c r="G73" s="73" t="s">
        <v>944</v>
      </c>
      <c r="H73" s="73" t="s">
        <v>3488</v>
      </c>
      <c r="I73" s="73" t="s">
        <v>3447</v>
      </c>
      <c r="J73" s="73" t="s">
        <v>3461</v>
      </c>
      <c r="K73" s="73"/>
      <c r="L73" s="73"/>
      <c r="M73" s="114" t="n">
        <f aca="false">M68*INDEX(input_data!$M:$X,MATCH(dashboard!$B$5&amp;".in.gef.---.---.---",input_data!$A:$A,0),COLUMNS($M:M))/3.6</f>
        <v>2.91975</v>
      </c>
      <c r="N73" s="114" t="n">
        <f aca="false">N68*INDEX(input_data!$M:$X,MATCH(dashboard!$B$5&amp;".in.gef.---.---.---",input_data!$A:$A,0),COLUMNS($M:N))/3.6</f>
        <v>2.98777206956874</v>
      </c>
      <c r="O73" s="114" t="n">
        <f aca="false">O68*INDEX(input_data!$M:$X,MATCH(dashboard!$B$5&amp;".in.gef.---.---.---",input_data!$A:$A,0),COLUMNS($M:O))/3.6</f>
        <v>3.05615591297857</v>
      </c>
      <c r="P73" s="114" t="n">
        <f aca="false">P68*INDEX(input_data!$M:$X,MATCH(dashboard!$B$5&amp;".in.gef.---.---.---",input_data!$A:$A,0),COLUMNS($M:P))/3.6</f>
        <v>3.12480291808677</v>
      </c>
      <c r="Q73" s="114" t="n">
        <f aca="false">Q68*INDEX(input_data!$M:$X,MATCH(dashboard!$B$5&amp;".in.gef.---.---.---",input_data!$A:$A,0),COLUMNS($M:Q))/3.6</f>
        <v>3.19360514871636</v>
      </c>
      <c r="R73" s="114" t="n">
        <f aca="false">R68*INDEX(input_data!$M:$X,MATCH(dashboard!$B$5&amp;".in.gef.---.---.---",input_data!$A:$A,0),COLUMNS($M:R))/3.6</f>
        <v>3.26244471742094</v>
      </c>
      <c r="S73" s="114" t="n">
        <f aca="false">S68*INDEX(input_data!$M:$X,MATCH(dashboard!$B$5&amp;".in.gef.---.---.---",input_data!$A:$A,0),COLUMNS($M:S))/3.6</f>
        <v>3.33119312120756</v>
      </c>
      <c r="T73" s="114" t="n">
        <f aca="false">T68*INDEX(input_data!$M:$X,MATCH(dashboard!$B$5&amp;".in.gef.---.---.---",input_data!$A:$A,0),COLUMNS($M:T))/3.6</f>
        <v>3.39971053817659</v>
      </c>
      <c r="U73" s="114" t="n">
        <f aca="false">U68*INDEX(input_data!$M:$X,MATCH(dashboard!$B$5&amp;".in.gef.---.---.---",input_data!$A:$A,0),COLUMNS($M:U))/3.6</f>
        <v>3.46784508293011</v>
      </c>
      <c r="V73" s="114" t="n">
        <f aca="false">V68*INDEX(input_data!$M:$X,MATCH(dashboard!$B$5&amp;".in.gef.---.---.---",input_data!$A:$A,0),COLUMNS($M:V))/3.6</f>
        <v>3.53543201848713</v>
      </c>
      <c r="W73" s="114" t="n">
        <f aca="false">W68*INDEX(input_data!$M:$X,MATCH(dashboard!$B$5&amp;".in.gef.---.---.---",input_data!$A:$A,0),COLUMNS($M:W))/3.6</f>
        <v>3.60229292232472</v>
      </c>
      <c r="X73" s="114" t="n">
        <f aca="false">X68*INDEX(input_data!$M:$X,MATCH(dashboard!$B$5&amp;".in.gef.---.---.---",input_data!$A:$A,0),COLUMNS($M:X))/3.6</f>
        <v>3.66823480403943</v>
      </c>
    </row>
    <row r="75" customFormat="false" ht="21.75" hidden="false" customHeight="true" outlineLevel="0" collapsed="false">
      <c r="A75" s="70" t="s">
        <v>3489</v>
      </c>
      <c r="B75" s="70"/>
      <c r="C75" s="70"/>
      <c r="D75" s="70"/>
      <c r="E75" s="70"/>
      <c r="F75" s="70"/>
      <c r="G75" s="70"/>
      <c r="H75" s="70"/>
      <c r="I75" s="70"/>
      <c r="J75" s="70"/>
      <c r="K75" s="70"/>
      <c r="L75" s="70"/>
      <c r="M75" s="70"/>
      <c r="N75" s="70"/>
      <c r="O75" s="70"/>
      <c r="P75" s="70"/>
      <c r="Q75" s="70"/>
      <c r="R75" s="70"/>
      <c r="S75" s="70"/>
      <c r="T75" s="70"/>
      <c r="U75" s="70"/>
      <c r="V75" s="70"/>
      <c r="W75" s="70"/>
      <c r="X75" s="70"/>
    </row>
    <row r="76" customFormat="false" ht="15" hidden="false" customHeight="true" outlineLevel="0" collapsed="false">
      <c r="A76" s="73" t="str">
        <f aca="false">dashboard!$B$5&amp;".pj.prd.stl.bof.---"</f>
        <v>egy.pj.prd.stl.bof.---</v>
      </c>
      <c r="B76" s="73" t="str">
        <f aca="false">dashboard!$B$5</f>
        <v>egy</v>
      </c>
      <c r="C76" s="73" t="s">
        <v>3401</v>
      </c>
      <c r="D76" s="73" t="s">
        <v>3412</v>
      </c>
      <c r="E76" s="73" t="s">
        <v>705</v>
      </c>
      <c r="F76" s="73" t="s">
        <v>744</v>
      </c>
      <c r="G76" s="73" t="s">
        <v>655</v>
      </c>
      <c r="H76" s="73" t="s">
        <v>3490</v>
      </c>
      <c r="I76" s="73" t="s">
        <v>869</v>
      </c>
      <c r="J76" s="73" t="s">
        <v>3414</v>
      </c>
      <c r="K76" s="73"/>
      <c r="L76" s="73"/>
      <c r="M76" s="114" t="n">
        <f aca="false">IFERROR(INDEX(input_data!$L:$L,MATCH(dashboard!$B$5&amp;".in.prb.stl.bof.---",input_data!$A:$A,0))*POWER(M7,INDEX(input_data!$L:$L,MATCH(dashboard!$B$5&amp;".in.els.stl.bof.---",input_data!$A:$A,0))),0)</f>
        <v>0</v>
      </c>
      <c r="N76" s="114" t="n">
        <f aca="false">IFERROR(INDEX(input_data!$L:$L,MATCH(dashboard!$B$5&amp;".in.prb.stl.bof.---",input_data!$A:$A,0))*POWER(N7,INDEX(input_data!$L:$L,MATCH(dashboard!$B$5&amp;".in.els.stl.bof.---",input_data!$A:$A,0))),0)</f>
        <v>0</v>
      </c>
      <c r="O76" s="114" t="n">
        <f aca="false">IFERROR(INDEX(input_data!$L:$L,MATCH(dashboard!$B$5&amp;".in.prb.stl.bof.---",input_data!$A:$A,0))*POWER(O7,INDEX(input_data!$L:$L,MATCH(dashboard!$B$5&amp;".in.els.stl.bof.---",input_data!$A:$A,0))),0)</f>
        <v>0</v>
      </c>
      <c r="P76" s="114" t="n">
        <f aca="false">IFERROR(INDEX(input_data!$L:$L,MATCH(dashboard!$B$5&amp;".in.prb.stl.bof.---",input_data!$A:$A,0))*POWER(P7,INDEX(input_data!$L:$L,MATCH(dashboard!$B$5&amp;".in.els.stl.bof.---",input_data!$A:$A,0))),0)</f>
        <v>0</v>
      </c>
      <c r="Q76" s="114" t="n">
        <f aca="false">IFERROR(INDEX(input_data!$L:$L,MATCH(dashboard!$B$5&amp;".in.prb.stl.bof.---",input_data!$A:$A,0))*POWER(Q7,INDEX(input_data!$L:$L,MATCH(dashboard!$B$5&amp;".in.els.stl.bof.---",input_data!$A:$A,0))),0)</f>
        <v>0</v>
      </c>
      <c r="R76" s="114" t="n">
        <f aca="false">IFERROR(INDEX(input_data!$L:$L,MATCH(dashboard!$B$5&amp;".in.prb.stl.bof.---",input_data!$A:$A,0))*POWER(R7,INDEX(input_data!$L:$L,MATCH(dashboard!$B$5&amp;".in.els.stl.bof.---",input_data!$A:$A,0))),0)</f>
        <v>0</v>
      </c>
      <c r="S76" s="114" t="n">
        <f aca="false">IFERROR(INDEX(input_data!$L:$L,MATCH(dashboard!$B$5&amp;".in.prb.stl.bof.---",input_data!$A:$A,0))*POWER(S7,INDEX(input_data!$L:$L,MATCH(dashboard!$B$5&amp;".in.els.stl.bof.---",input_data!$A:$A,0))),0)</f>
        <v>0</v>
      </c>
      <c r="T76" s="114" t="n">
        <f aca="false">IFERROR(INDEX(input_data!$L:$L,MATCH(dashboard!$B$5&amp;".in.prb.stl.bof.---",input_data!$A:$A,0))*POWER(T7,INDEX(input_data!$L:$L,MATCH(dashboard!$B$5&amp;".in.els.stl.bof.---",input_data!$A:$A,0))),0)</f>
        <v>0</v>
      </c>
      <c r="U76" s="114" t="n">
        <f aca="false">IFERROR(INDEX(input_data!$L:$L,MATCH(dashboard!$B$5&amp;".in.prb.stl.bof.---",input_data!$A:$A,0))*POWER(U7,INDEX(input_data!$L:$L,MATCH(dashboard!$B$5&amp;".in.els.stl.bof.---",input_data!$A:$A,0))),0)</f>
        <v>0</v>
      </c>
      <c r="V76" s="114" t="n">
        <f aca="false">IFERROR(INDEX(input_data!$L:$L,MATCH(dashboard!$B$5&amp;".in.prb.stl.bof.---",input_data!$A:$A,0))*POWER(V7,INDEX(input_data!$L:$L,MATCH(dashboard!$B$5&amp;".in.els.stl.bof.---",input_data!$A:$A,0))),0)</f>
        <v>0</v>
      </c>
      <c r="W76" s="114" t="n">
        <f aca="false">IFERROR(INDEX(input_data!$L:$L,MATCH(dashboard!$B$5&amp;".in.prb.stl.bof.---",input_data!$A:$A,0))*POWER(W7,INDEX(input_data!$L:$L,MATCH(dashboard!$B$5&amp;".in.els.stl.bof.---",input_data!$A:$A,0))),0)</f>
        <v>0</v>
      </c>
      <c r="X76" s="114" t="n">
        <f aca="false">IFERROR(INDEX(input_data!$L:$L,MATCH(dashboard!$B$5&amp;".in.prb.stl.bof.---",input_data!$A:$A,0))*POWER(X7,INDEX(input_data!$L:$L,MATCH(dashboard!$B$5&amp;".in.els.stl.bof.---",input_data!$A:$A,0))),0)</f>
        <v>0</v>
      </c>
    </row>
    <row r="77" customFormat="false" ht="15" hidden="false" customHeight="true" outlineLevel="0" collapsed="false">
      <c r="A77" s="73" t="str">
        <f aca="false">dashboard!$B$5&amp;".pj.eux.stl.bof.---"</f>
        <v>egy.pj.eux.stl.bof.---</v>
      </c>
      <c r="B77" s="73" t="str">
        <f aca="false">dashboard!$B$5</f>
        <v>egy</v>
      </c>
      <c r="C77" s="73" t="s">
        <v>3401</v>
      </c>
      <c r="D77" s="73" t="s">
        <v>3415</v>
      </c>
      <c r="E77" s="73" t="s">
        <v>705</v>
      </c>
      <c r="F77" s="73" t="s">
        <v>744</v>
      </c>
      <c r="G77" s="73" t="s">
        <v>655</v>
      </c>
      <c r="H77" s="73" t="s">
        <v>3491</v>
      </c>
      <c r="I77" s="73" t="s">
        <v>869</v>
      </c>
      <c r="J77" s="73" t="s">
        <v>3417</v>
      </c>
      <c r="K77" s="73"/>
      <c r="L77" s="73"/>
      <c r="M77" s="114" t="n">
        <f aca="false">M76*INDEX(input_data!$L:$L,MATCH(dashboard!$B$5&amp;".in.exe.stl.bof.---",input_data!$A:$A,0))</f>
        <v>0</v>
      </c>
      <c r="N77" s="114" t="n">
        <f aca="false">N76*INDEX(input_data!$L:$L,MATCH(dashboard!$B$5&amp;".in.exe.stl.bof.---",input_data!$A:$A,0))</f>
        <v>0</v>
      </c>
      <c r="O77" s="114" t="n">
        <f aca="false">O76*INDEX(input_data!$L:$L,MATCH(dashboard!$B$5&amp;".in.exe.stl.bof.---",input_data!$A:$A,0))</f>
        <v>0</v>
      </c>
      <c r="P77" s="114" t="n">
        <f aca="false">P76*INDEX(input_data!$L:$L,MATCH(dashboard!$B$5&amp;".in.exe.stl.bof.---",input_data!$A:$A,0))</f>
        <v>0</v>
      </c>
      <c r="Q77" s="114" t="n">
        <f aca="false">Q76*INDEX(input_data!$L:$L,MATCH(dashboard!$B$5&amp;".in.exe.stl.bof.---",input_data!$A:$A,0))</f>
        <v>0</v>
      </c>
      <c r="R77" s="114" t="n">
        <f aca="false">R76*INDEX(input_data!$L:$L,MATCH(dashboard!$B$5&amp;".in.exe.stl.bof.---",input_data!$A:$A,0))</f>
        <v>0</v>
      </c>
      <c r="S77" s="114" t="n">
        <f aca="false">S76*INDEX(input_data!$L:$L,MATCH(dashboard!$B$5&amp;".in.exe.stl.bof.---",input_data!$A:$A,0))</f>
        <v>0</v>
      </c>
      <c r="T77" s="114" t="n">
        <f aca="false">T76*INDEX(input_data!$L:$L,MATCH(dashboard!$B$5&amp;".in.exe.stl.bof.---",input_data!$A:$A,0))</f>
        <v>0</v>
      </c>
      <c r="U77" s="114" t="n">
        <f aca="false">U76*INDEX(input_data!$L:$L,MATCH(dashboard!$B$5&amp;".in.exe.stl.bof.---",input_data!$A:$A,0))</f>
        <v>0</v>
      </c>
      <c r="V77" s="114" t="n">
        <f aca="false">V76*INDEX(input_data!$L:$L,MATCH(dashboard!$B$5&amp;".in.exe.stl.bof.---",input_data!$A:$A,0))</f>
        <v>0</v>
      </c>
      <c r="W77" s="114" t="n">
        <f aca="false">W76*INDEX(input_data!$L:$L,MATCH(dashboard!$B$5&amp;".in.exe.stl.bof.---",input_data!$A:$A,0))</f>
        <v>0</v>
      </c>
      <c r="X77" s="114" t="n">
        <f aca="false">X76*INDEX(input_data!$L:$L,MATCH(dashboard!$B$5&amp;".in.exe.stl.bof.---",input_data!$A:$A,0))</f>
        <v>0</v>
      </c>
    </row>
    <row r="78" customFormat="false" ht="15" hidden="false" customHeight="true" outlineLevel="0" collapsed="false">
      <c r="A78" s="73" t="str">
        <f aca="false">dashboard!$B$5&amp;".pj.nex.stl.bof.---"</f>
        <v>egy.pj.nex.stl.bof.---</v>
      </c>
      <c r="B78" s="73" t="str">
        <f aca="false">dashboard!$B$5</f>
        <v>egy</v>
      </c>
      <c r="C78" s="73" t="s">
        <v>3401</v>
      </c>
      <c r="D78" s="73" t="s">
        <v>3418</v>
      </c>
      <c r="E78" s="73" t="s">
        <v>705</v>
      </c>
      <c r="F78" s="73" t="s">
        <v>744</v>
      </c>
      <c r="G78" s="73" t="s">
        <v>655</v>
      </c>
      <c r="H78" s="73" t="s">
        <v>3492</v>
      </c>
      <c r="I78" s="73" t="s">
        <v>869</v>
      </c>
      <c r="J78" s="73" t="s">
        <v>3420</v>
      </c>
      <c r="K78" s="73"/>
      <c r="L78" s="73"/>
      <c r="M78" s="114" t="n">
        <f aca="false">M76*(INDEX(input_data!$L:$L,MATCH(dashboard!$B$5&amp;".in.ext.stl.bof.---",input_data!$A:$A,0))-INDEX(input_data!$L:$L,MATCH(dashboard!$B$5&amp;".in.exe.stl.bof.---",input_data!$A:$A,0)))</f>
        <v>0</v>
      </c>
      <c r="N78" s="114" t="n">
        <f aca="false">N76*(INDEX(input_data!$L:$L,MATCH(dashboard!$B$5&amp;".in.ext.stl.bof.---",input_data!$A:$A,0))-INDEX(input_data!$L:$L,MATCH(dashboard!$B$5&amp;".in.exe.stl.bof.---",input_data!$A:$A,0)))</f>
        <v>0</v>
      </c>
      <c r="O78" s="114" t="n">
        <f aca="false">O76*(INDEX(input_data!$L:$L,MATCH(dashboard!$B$5&amp;".in.ext.stl.bof.---",input_data!$A:$A,0))-INDEX(input_data!$L:$L,MATCH(dashboard!$B$5&amp;".in.exe.stl.bof.---",input_data!$A:$A,0)))</f>
        <v>0</v>
      </c>
      <c r="P78" s="114" t="n">
        <f aca="false">P76*(INDEX(input_data!$L:$L,MATCH(dashboard!$B$5&amp;".in.ext.stl.bof.---",input_data!$A:$A,0))-INDEX(input_data!$L:$L,MATCH(dashboard!$B$5&amp;".in.exe.stl.bof.---",input_data!$A:$A,0)))</f>
        <v>0</v>
      </c>
      <c r="Q78" s="114" t="n">
        <f aca="false">Q76*(INDEX(input_data!$L:$L,MATCH(dashboard!$B$5&amp;".in.ext.stl.bof.---",input_data!$A:$A,0))-INDEX(input_data!$L:$L,MATCH(dashboard!$B$5&amp;".in.exe.stl.bof.---",input_data!$A:$A,0)))</f>
        <v>0</v>
      </c>
      <c r="R78" s="114" t="n">
        <f aca="false">R76*(INDEX(input_data!$L:$L,MATCH(dashboard!$B$5&amp;".in.ext.stl.bof.---",input_data!$A:$A,0))-INDEX(input_data!$L:$L,MATCH(dashboard!$B$5&amp;".in.exe.stl.bof.---",input_data!$A:$A,0)))</f>
        <v>0</v>
      </c>
      <c r="S78" s="114" t="n">
        <f aca="false">S76*(INDEX(input_data!$L:$L,MATCH(dashboard!$B$5&amp;".in.ext.stl.bof.---",input_data!$A:$A,0))-INDEX(input_data!$L:$L,MATCH(dashboard!$B$5&amp;".in.exe.stl.bof.---",input_data!$A:$A,0)))</f>
        <v>0</v>
      </c>
      <c r="T78" s="114" t="n">
        <f aca="false">T76*(INDEX(input_data!$L:$L,MATCH(dashboard!$B$5&amp;".in.ext.stl.bof.---",input_data!$A:$A,0))-INDEX(input_data!$L:$L,MATCH(dashboard!$B$5&amp;".in.exe.stl.bof.---",input_data!$A:$A,0)))</f>
        <v>0</v>
      </c>
      <c r="U78" s="114" t="n">
        <f aca="false">U76*(INDEX(input_data!$L:$L,MATCH(dashboard!$B$5&amp;".in.ext.stl.bof.---",input_data!$A:$A,0))-INDEX(input_data!$L:$L,MATCH(dashboard!$B$5&amp;".in.exe.stl.bof.---",input_data!$A:$A,0)))</f>
        <v>0</v>
      </c>
      <c r="V78" s="114" t="n">
        <f aca="false">V76*(INDEX(input_data!$L:$L,MATCH(dashboard!$B$5&amp;".in.ext.stl.bof.---",input_data!$A:$A,0))-INDEX(input_data!$L:$L,MATCH(dashboard!$B$5&amp;".in.exe.stl.bof.---",input_data!$A:$A,0)))</f>
        <v>0</v>
      </c>
      <c r="W78" s="114" t="n">
        <f aca="false">W76*(INDEX(input_data!$L:$L,MATCH(dashboard!$B$5&amp;".in.ext.stl.bof.---",input_data!$A:$A,0))-INDEX(input_data!$L:$L,MATCH(dashboard!$B$5&amp;".in.exe.stl.bof.---",input_data!$A:$A,0)))</f>
        <v>0</v>
      </c>
      <c r="X78" s="114" t="n">
        <f aca="false">X76*(INDEX(input_data!$L:$L,MATCH(dashboard!$B$5&amp;".in.ext.stl.bof.---",input_data!$A:$A,0))-INDEX(input_data!$L:$L,MATCH(dashboard!$B$5&amp;".in.exe.stl.bof.---",input_data!$A:$A,0)))</f>
        <v>0</v>
      </c>
    </row>
    <row r="79" customFormat="false" ht="15" hidden="false" customHeight="true" outlineLevel="0" collapsed="false">
      <c r="A79" s="73" t="str">
        <f aca="false">dashboard!$B$5&amp;".pj.dom.stl.bof.---"</f>
        <v>egy.pj.dom.stl.bof.---</v>
      </c>
      <c r="B79" s="73" t="str">
        <f aca="false">dashboard!$B$5</f>
        <v>egy</v>
      </c>
      <c r="C79" s="73" t="s">
        <v>3401</v>
      </c>
      <c r="D79" s="73" t="s">
        <v>641</v>
      </c>
      <c r="E79" s="73" t="s">
        <v>705</v>
      </c>
      <c r="F79" s="73" t="s">
        <v>744</v>
      </c>
      <c r="G79" s="73" t="s">
        <v>655</v>
      </c>
      <c r="H79" s="73" t="s">
        <v>3493</v>
      </c>
      <c r="I79" s="73" t="s">
        <v>869</v>
      </c>
      <c r="J79" s="73" t="s">
        <v>3422</v>
      </c>
      <c r="K79" s="73"/>
      <c r="L79" s="73"/>
      <c r="M79" s="114" t="n">
        <f aca="false">M76*(1-INDEX(input_data!$L:$L,MATCH(dashboard!$B$5&amp;".in.ext.stl.bof.---",input_data!$A:$A,0)))*(1+INDEX(input_data!$L:$L,MATCH(dashboard!$B$5&amp;".in.imp.stl.bof.---",input_data!$A:$A,0)))</f>
        <v>0</v>
      </c>
      <c r="N79" s="114" t="n">
        <f aca="false">N76*(1-INDEX(input_data!$L:$L,MATCH(dashboard!$B$5&amp;".in.ext.stl.bof.---",input_data!$A:$A,0)))*(1+INDEX(input_data!$L:$L,MATCH(dashboard!$B$5&amp;".in.imp.stl.bof.---",input_data!$A:$A,0)))</f>
        <v>0</v>
      </c>
      <c r="O79" s="114" t="n">
        <f aca="false">O76*(1-INDEX(input_data!$L:$L,MATCH(dashboard!$B$5&amp;".in.ext.stl.bof.---",input_data!$A:$A,0)))*(1+INDEX(input_data!$L:$L,MATCH(dashboard!$B$5&amp;".in.imp.stl.bof.---",input_data!$A:$A,0)))</f>
        <v>0</v>
      </c>
      <c r="P79" s="114" t="n">
        <f aca="false">P76*(1-INDEX(input_data!$L:$L,MATCH(dashboard!$B$5&amp;".in.ext.stl.bof.---",input_data!$A:$A,0)))*(1+INDEX(input_data!$L:$L,MATCH(dashboard!$B$5&amp;".in.imp.stl.bof.---",input_data!$A:$A,0)))</f>
        <v>0</v>
      </c>
      <c r="Q79" s="114" t="n">
        <f aca="false">Q76*(1-INDEX(input_data!$L:$L,MATCH(dashboard!$B$5&amp;".in.ext.stl.bof.---",input_data!$A:$A,0)))*(1+INDEX(input_data!$L:$L,MATCH(dashboard!$B$5&amp;".in.imp.stl.bof.---",input_data!$A:$A,0)))</f>
        <v>0</v>
      </c>
      <c r="R79" s="114" t="n">
        <f aca="false">R76*(1-INDEX(input_data!$L:$L,MATCH(dashboard!$B$5&amp;".in.ext.stl.bof.---",input_data!$A:$A,0)))*(1+INDEX(input_data!$L:$L,MATCH(dashboard!$B$5&amp;".in.imp.stl.bof.---",input_data!$A:$A,0)))</f>
        <v>0</v>
      </c>
      <c r="S79" s="114" t="n">
        <f aca="false">S76*(1-INDEX(input_data!$L:$L,MATCH(dashboard!$B$5&amp;".in.ext.stl.bof.---",input_data!$A:$A,0)))*(1+INDEX(input_data!$L:$L,MATCH(dashboard!$B$5&amp;".in.imp.stl.bof.---",input_data!$A:$A,0)))</f>
        <v>0</v>
      </c>
      <c r="T79" s="114" t="n">
        <f aca="false">T76*(1-INDEX(input_data!$L:$L,MATCH(dashboard!$B$5&amp;".in.ext.stl.bof.---",input_data!$A:$A,0)))*(1+INDEX(input_data!$L:$L,MATCH(dashboard!$B$5&amp;".in.imp.stl.bof.---",input_data!$A:$A,0)))</f>
        <v>0</v>
      </c>
      <c r="U79" s="114" t="n">
        <f aca="false">U76*(1-INDEX(input_data!$L:$L,MATCH(dashboard!$B$5&amp;".in.ext.stl.bof.---",input_data!$A:$A,0)))*(1+INDEX(input_data!$L:$L,MATCH(dashboard!$B$5&amp;".in.imp.stl.bof.---",input_data!$A:$A,0)))</f>
        <v>0</v>
      </c>
      <c r="V79" s="114" t="n">
        <f aca="false">V76*(1-INDEX(input_data!$L:$L,MATCH(dashboard!$B$5&amp;".in.ext.stl.bof.---",input_data!$A:$A,0)))*(1+INDEX(input_data!$L:$L,MATCH(dashboard!$B$5&amp;".in.imp.stl.bof.---",input_data!$A:$A,0)))</f>
        <v>0</v>
      </c>
      <c r="W79" s="114" t="n">
        <f aca="false">W76*(1-INDEX(input_data!$L:$L,MATCH(dashboard!$B$5&amp;".in.ext.stl.bof.---",input_data!$A:$A,0)))*(1+INDEX(input_data!$L:$L,MATCH(dashboard!$B$5&amp;".in.imp.stl.bof.---",input_data!$A:$A,0)))</f>
        <v>0</v>
      </c>
      <c r="X79" s="114" t="n">
        <f aca="false">X76*(1-INDEX(input_data!$L:$L,MATCH(dashboard!$B$5&amp;".in.ext.stl.bof.---",input_data!$A:$A,0)))*(1+INDEX(input_data!$L:$L,MATCH(dashboard!$B$5&amp;".in.imp.stl.bof.---",input_data!$A:$A,0)))</f>
        <v>0</v>
      </c>
    </row>
    <row r="80" customFormat="false" ht="15" hidden="false" customHeight="true" outlineLevel="0" collapsed="false">
      <c r="A80" s="73" t="str">
        <f aca="false">dashboard!$B$5&amp;".pj.enc.stl.bof.coa"</f>
        <v>egy.pj.enc.stl.bof.coa</v>
      </c>
      <c r="B80" s="73" t="str">
        <f aca="false">dashboard!$B$5</f>
        <v>egy</v>
      </c>
      <c r="C80" s="73" t="s">
        <v>3401</v>
      </c>
      <c r="D80" s="73" t="s">
        <v>891</v>
      </c>
      <c r="E80" s="73" t="s">
        <v>705</v>
      </c>
      <c r="F80" s="73" t="s">
        <v>744</v>
      </c>
      <c r="G80" s="73" t="s">
        <v>96</v>
      </c>
      <c r="H80" s="73" t="s">
        <v>3494</v>
      </c>
      <c r="I80" s="73" t="s">
        <v>3424</v>
      </c>
      <c r="J80" s="73" t="s">
        <v>3425</v>
      </c>
      <c r="K80" s="73"/>
      <c r="L80" s="73"/>
      <c r="M80" s="114" t="n">
        <f aca="false">M76*INDEX(input_data!$L:$L,MATCH(dashboard!$B$5&amp;".in.enc.stl.bof.coa",input_data!$A:$A,0))</f>
        <v>0</v>
      </c>
      <c r="N80" s="114" t="n">
        <f aca="false">N76*INDEX(input_data!$L:$L,MATCH(dashboard!$B$5&amp;".in.enc.stl.bof.coa",input_data!$A:$A,0))</f>
        <v>0</v>
      </c>
      <c r="O80" s="114" t="n">
        <f aca="false">O76*INDEX(input_data!$L:$L,MATCH(dashboard!$B$5&amp;".in.enc.stl.bof.coa",input_data!$A:$A,0))</f>
        <v>0</v>
      </c>
      <c r="P80" s="114" t="n">
        <f aca="false">P76*INDEX(input_data!$L:$L,MATCH(dashboard!$B$5&amp;".in.enc.stl.bof.coa",input_data!$A:$A,0))</f>
        <v>0</v>
      </c>
      <c r="Q80" s="114" t="n">
        <f aca="false">Q76*INDEX(input_data!$L:$L,MATCH(dashboard!$B$5&amp;".in.enc.stl.bof.coa",input_data!$A:$A,0))</f>
        <v>0</v>
      </c>
      <c r="R80" s="114" t="n">
        <f aca="false">R76*INDEX(input_data!$L:$L,MATCH(dashboard!$B$5&amp;".in.enc.stl.bof.coa",input_data!$A:$A,0))</f>
        <v>0</v>
      </c>
      <c r="S80" s="114" t="n">
        <f aca="false">S76*INDEX(input_data!$L:$L,MATCH(dashboard!$B$5&amp;".in.enc.stl.bof.coa",input_data!$A:$A,0))</f>
        <v>0</v>
      </c>
      <c r="T80" s="114" t="n">
        <f aca="false">T76*INDEX(input_data!$L:$L,MATCH(dashboard!$B$5&amp;".in.enc.stl.bof.coa",input_data!$A:$A,0))</f>
        <v>0</v>
      </c>
      <c r="U80" s="114" t="n">
        <f aca="false">U76*INDEX(input_data!$L:$L,MATCH(dashboard!$B$5&amp;".in.enc.stl.bof.coa",input_data!$A:$A,0))</f>
        <v>0</v>
      </c>
      <c r="V80" s="114" t="n">
        <f aca="false">V76*INDEX(input_data!$L:$L,MATCH(dashboard!$B$5&amp;".in.enc.stl.bof.coa",input_data!$A:$A,0))</f>
        <v>0</v>
      </c>
      <c r="W80" s="114" t="n">
        <f aca="false">W76*INDEX(input_data!$L:$L,MATCH(dashboard!$B$5&amp;".in.enc.stl.bof.coa",input_data!$A:$A,0))</f>
        <v>0</v>
      </c>
      <c r="X80" s="114" t="n">
        <f aca="false">X76*INDEX(input_data!$L:$L,MATCH(dashboard!$B$5&amp;".in.enc.stl.bof.coa",input_data!$A:$A,0))</f>
        <v>0</v>
      </c>
    </row>
    <row r="81" customFormat="false" ht="15" hidden="false" customHeight="true" outlineLevel="0" collapsed="false">
      <c r="A81" s="73" t="str">
        <f aca="false">dashboard!$B$5&amp;".pj.enc.stl.bof.nga"</f>
        <v>egy.pj.enc.stl.bof.nga</v>
      </c>
      <c r="B81" s="73" t="str">
        <f aca="false">dashboard!$B$5</f>
        <v>egy</v>
      </c>
      <c r="C81" s="73" t="s">
        <v>3401</v>
      </c>
      <c r="D81" s="73" t="s">
        <v>891</v>
      </c>
      <c r="E81" s="73" t="s">
        <v>705</v>
      </c>
      <c r="F81" s="73" t="s">
        <v>744</v>
      </c>
      <c r="G81" s="73" t="s">
        <v>99</v>
      </c>
      <c r="H81" s="73" t="s">
        <v>3495</v>
      </c>
      <c r="I81" s="73" t="s">
        <v>3424</v>
      </c>
      <c r="J81" s="73" t="s">
        <v>3425</v>
      </c>
      <c r="K81" s="73"/>
      <c r="L81" s="73"/>
      <c r="M81" s="114" t="n">
        <f aca="false">M76*INDEX(input_data!$L:$L,MATCH(dashboard!$B$5&amp;".in.enc.stl.bof.nga",input_data!$A:$A,0))</f>
        <v>0</v>
      </c>
      <c r="N81" s="114" t="n">
        <f aca="false">N76*INDEX(input_data!$L:$L,MATCH(dashboard!$B$5&amp;".in.enc.stl.bof.nga",input_data!$A:$A,0))</f>
        <v>0</v>
      </c>
      <c r="O81" s="114" t="n">
        <f aca="false">O76*INDEX(input_data!$L:$L,MATCH(dashboard!$B$5&amp;".in.enc.stl.bof.nga",input_data!$A:$A,0))</f>
        <v>0</v>
      </c>
      <c r="P81" s="114" t="n">
        <f aca="false">P76*INDEX(input_data!$L:$L,MATCH(dashboard!$B$5&amp;".in.enc.stl.bof.nga",input_data!$A:$A,0))</f>
        <v>0</v>
      </c>
      <c r="Q81" s="114" t="n">
        <f aca="false">Q76*INDEX(input_data!$L:$L,MATCH(dashboard!$B$5&amp;".in.enc.stl.bof.nga",input_data!$A:$A,0))</f>
        <v>0</v>
      </c>
      <c r="R81" s="114" t="n">
        <f aca="false">R76*INDEX(input_data!$L:$L,MATCH(dashboard!$B$5&amp;".in.enc.stl.bof.nga",input_data!$A:$A,0))</f>
        <v>0</v>
      </c>
      <c r="S81" s="114" t="n">
        <f aca="false">S76*INDEX(input_data!$L:$L,MATCH(dashboard!$B$5&amp;".in.enc.stl.bof.nga",input_data!$A:$A,0))</f>
        <v>0</v>
      </c>
      <c r="T81" s="114" t="n">
        <f aca="false">T76*INDEX(input_data!$L:$L,MATCH(dashboard!$B$5&amp;".in.enc.stl.bof.nga",input_data!$A:$A,0))</f>
        <v>0</v>
      </c>
      <c r="U81" s="114" t="n">
        <f aca="false">U76*INDEX(input_data!$L:$L,MATCH(dashboard!$B$5&amp;".in.enc.stl.bof.nga",input_data!$A:$A,0))</f>
        <v>0</v>
      </c>
      <c r="V81" s="114" t="n">
        <f aca="false">V76*INDEX(input_data!$L:$L,MATCH(dashboard!$B$5&amp;".in.enc.stl.bof.nga",input_data!$A:$A,0))</f>
        <v>0</v>
      </c>
      <c r="W81" s="114" t="n">
        <f aca="false">W76*INDEX(input_data!$L:$L,MATCH(dashboard!$B$5&amp;".in.enc.stl.bof.nga",input_data!$A:$A,0))</f>
        <v>0</v>
      </c>
      <c r="X81" s="114" t="n">
        <f aca="false">X76*INDEX(input_data!$L:$L,MATCH(dashboard!$B$5&amp;".in.enc.stl.bof.nga",input_data!$A:$A,0))</f>
        <v>0</v>
      </c>
    </row>
    <row r="82" customFormat="false" ht="15" hidden="false" customHeight="true" outlineLevel="0" collapsed="false">
      <c r="A82" s="73" t="str">
        <f aca="false">dashboard!$B$5&amp;".pj.enc.stl.bof.gso"</f>
        <v>egy.pj.enc.stl.bof.gso</v>
      </c>
      <c r="B82" s="73" t="str">
        <f aca="false">dashboard!$B$5</f>
        <v>egy</v>
      </c>
      <c r="C82" s="73" t="s">
        <v>3401</v>
      </c>
      <c r="D82" s="73" t="s">
        <v>891</v>
      </c>
      <c r="E82" s="73" t="s">
        <v>705</v>
      </c>
      <c r="F82" s="73" t="s">
        <v>744</v>
      </c>
      <c r="G82" s="73" t="s">
        <v>101</v>
      </c>
      <c r="H82" s="73" t="s">
        <v>3496</v>
      </c>
      <c r="I82" s="73" t="s">
        <v>3424</v>
      </c>
      <c r="J82" s="73" t="s">
        <v>3425</v>
      </c>
      <c r="K82" s="73"/>
      <c r="L82" s="73"/>
      <c r="M82" s="114" t="n">
        <f aca="false">M76*INDEX(input_data!$L:$L,MATCH(dashboard!$B$5&amp;".in.enc.stl.bof.gso",input_data!$A:$A,0))</f>
        <v>0</v>
      </c>
      <c r="N82" s="114" t="n">
        <f aca="false">N76*INDEX(input_data!$L:$L,MATCH(dashboard!$B$5&amp;".in.enc.stl.bof.gso",input_data!$A:$A,0))</f>
        <v>0</v>
      </c>
      <c r="O82" s="114" t="n">
        <f aca="false">O76*INDEX(input_data!$L:$L,MATCH(dashboard!$B$5&amp;".in.enc.stl.bof.gso",input_data!$A:$A,0))</f>
        <v>0</v>
      </c>
      <c r="P82" s="114" t="n">
        <f aca="false">P76*INDEX(input_data!$L:$L,MATCH(dashboard!$B$5&amp;".in.enc.stl.bof.gso",input_data!$A:$A,0))</f>
        <v>0</v>
      </c>
      <c r="Q82" s="114" t="n">
        <f aca="false">Q76*INDEX(input_data!$L:$L,MATCH(dashboard!$B$5&amp;".in.enc.stl.bof.gso",input_data!$A:$A,0))</f>
        <v>0</v>
      </c>
      <c r="R82" s="114" t="n">
        <f aca="false">R76*INDEX(input_data!$L:$L,MATCH(dashboard!$B$5&amp;".in.enc.stl.bof.gso",input_data!$A:$A,0))</f>
        <v>0</v>
      </c>
      <c r="S82" s="114" t="n">
        <f aca="false">S76*INDEX(input_data!$L:$L,MATCH(dashboard!$B$5&amp;".in.enc.stl.bof.gso",input_data!$A:$A,0))</f>
        <v>0</v>
      </c>
      <c r="T82" s="114" t="n">
        <f aca="false">T76*INDEX(input_data!$L:$L,MATCH(dashboard!$B$5&amp;".in.enc.stl.bof.gso",input_data!$A:$A,0))</f>
        <v>0</v>
      </c>
      <c r="U82" s="114" t="n">
        <f aca="false">U76*INDEX(input_data!$L:$L,MATCH(dashboard!$B$5&amp;".in.enc.stl.bof.gso",input_data!$A:$A,0))</f>
        <v>0</v>
      </c>
      <c r="V82" s="114" t="n">
        <f aca="false">V76*INDEX(input_data!$L:$L,MATCH(dashboard!$B$5&amp;".in.enc.stl.bof.gso",input_data!$A:$A,0))</f>
        <v>0</v>
      </c>
      <c r="W82" s="114" t="n">
        <f aca="false">W76*INDEX(input_data!$L:$L,MATCH(dashboard!$B$5&amp;".in.enc.stl.bof.gso",input_data!$A:$A,0))</f>
        <v>0</v>
      </c>
      <c r="X82" s="114" t="n">
        <f aca="false">X76*INDEX(input_data!$L:$L,MATCH(dashboard!$B$5&amp;".in.enc.stl.bof.gso",input_data!$A:$A,0))</f>
        <v>0</v>
      </c>
    </row>
    <row r="83" customFormat="false" ht="15" hidden="false" customHeight="true" outlineLevel="0" collapsed="false">
      <c r="A83" s="73" t="str">
        <f aca="false">dashboard!$B$5&amp;".pj.enc.stl.bof.die"</f>
        <v>egy.pj.enc.stl.bof.die</v>
      </c>
      <c r="B83" s="73" t="str">
        <f aca="false">dashboard!$B$5</f>
        <v>egy</v>
      </c>
      <c r="C83" s="73" t="s">
        <v>3401</v>
      </c>
      <c r="D83" s="73" t="s">
        <v>891</v>
      </c>
      <c r="E83" s="73" t="s">
        <v>705</v>
      </c>
      <c r="F83" s="73" t="s">
        <v>744</v>
      </c>
      <c r="G83" s="73" t="s">
        <v>103</v>
      </c>
      <c r="H83" s="73" t="s">
        <v>3497</v>
      </c>
      <c r="I83" s="73" t="s">
        <v>3424</v>
      </c>
      <c r="J83" s="73" t="s">
        <v>3425</v>
      </c>
      <c r="K83" s="73"/>
      <c r="L83" s="73"/>
      <c r="M83" s="114" t="n">
        <f aca="false">M76*INDEX(input_data!$L:$L,MATCH(dashboard!$B$5&amp;".in.enc.stl.bof.die",input_data!$A:$A,0))</f>
        <v>0</v>
      </c>
      <c r="N83" s="114" t="n">
        <f aca="false">N76*INDEX(input_data!$L:$L,MATCH(dashboard!$B$5&amp;".in.enc.stl.bof.die",input_data!$A:$A,0))</f>
        <v>0</v>
      </c>
      <c r="O83" s="114" t="n">
        <f aca="false">O76*INDEX(input_data!$L:$L,MATCH(dashboard!$B$5&amp;".in.enc.stl.bof.die",input_data!$A:$A,0))</f>
        <v>0</v>
      </c>
      <c r="P83" s="114" t="n">
        <f aca="false">P76*INDEX(input_data!$L:$L,MATCH(dashboard!$B$5&amp;".in.enc.stl.bof.die",input_data!$A:$A,0))</f>
        <v>0</v>
      </c>
      <c r="Q83" s="114" t="n">
        <f aca="false">Q76*INDEX(input_data!$L:$L,MATCH(dashboard!$B$5&amp;".in.enc.stl.bof.die",input_data!$A:$A,0))</f>
        <v>0</v>
      </c>
      <c r="R83" s="114" t="n">
        <f aca="false">R76*INDEX(input_data!$L:$L,MATCH(dashboard!$B$5&amp;".in.enc.stl.bof.die",input_data!$A:$A,0))</f>
        <v>0</v>
      </c>
      <c r="S83" s="114" t="n">
        <f aca="false">S76*INDEX(input_data!$L:$L,MATCH(dashboard!$B$5&amp;".in.enc.stl.bof.die",input_data!$A:$A,0))</f>
        <v>0</v>
      </c>
      <c r="T83" s="114" t="n">
        <f aca="false">T76*INDEX(input_data!$L:$L,MATCH(dashboard!$B$5&amp;".in.enc.stl.bof.die",input_data!$A:$A,0))</f>
        <v>0</v>
      </c>
      <c r="U83" s="114" t="n">
        <f aca="false">U76*INDEX(input_data!$L:$L,MATCH(dashboard!$B$5&amp;".in.enc.stl.bof.die",input_data!$A:$A,0))</f>
        <v>0</v>
      </c>
      <c r="V83" s="114" t="n">
        <f aca="false">V76*INDEX(input_data!$L:$L,MATCH(dashboard!$B$5&amp;".in.enc.stl.bof.die",input_data!$A:$A,0))</f>
        <v>0</v>
      </c>
      <c r="W83" s="114" t="n">
        <f aca="false">W76*INDEX(input_data!$L:$L,MATCH(dashboard!$B$5&amp;".in.enc.stl.bof.die",input_data!$A:$A,0))</f>
        <v>0</v>
      </c>
      <c r="X83" s="114" t="n">
        <f aca="false">X76*INDEX(input_data!$L:$L,MATCH(dashboard!$B$5&amp;".in.enc.stl.bof.die",input_data!$A:$A,0))</f>
        <v>0</v>
      </c>
    </row>
    <row r="84" customFormat="false" ht="15" hidden="false" customHeight="true" outlineLevel="0" collapsed="false">
      <c r="A84" s="73" t="str">
        <f aca="false">dashboard!$B$5&amp;".pj.enc.stl.bof.ker"</f>
        <v>egy.pj.enc.stl.bof.ker</v>
      </c>
      <c r="B84" s="73" t="str">
        <f aca="false">dashboard!$B$5</f>
        <v>egy</v>
      </c>
      <c r="C84" s="73" t="s">
        <v>3401</v>
      </c>
      <c r="D84" s="73" t="s">
        <v>891</v>
      </c>
      <c r="E84" s="73" t="s">
        <v>705</v>
      </c>
      <c r="F84" s="73" t="s">
        <v>744</v>
      </c>
      <c r="G84" s="73" t="s">
        <v>105</v>
      </c>
      <c r="H84" s="73" t="s">
        <v>3498</v>
      </c>
      <c r="I84" s="73" t="s">
        <v>3424</v>
      </c>
      <c r="J84" s="73" t="s">
        <v>3425</v>
      </c>
      <c r="K84" s="73"/>
      <c r="L84" s="73"/>
      <c r="M84" s="114" t="n">
        <f aca="false">M76*INDEX(input_data!$L:$L,MATCH(dashboard!$B$5&amp;".in.enc.stl.bof.ker",input_data!$A:$A,0))</f>
        <v>0</v>
      </c>
      <c r="N84" s="114" t="n">
        <f aca="false">N76*INDEX(input_data!$L:$L,MATCH(dashboard!$B$5&amp;".in.enc.stl.bof.ker",input_data!$A:$A,0))</f>
        <v>0</v>
      </c>
      <c r="O84" s="114" t="n">
        <f aca="false">O76*INDEX(input_data!$L:$L,MATCH(dashboard!$B$5&amp;".in.enc.stl.bof.ker",input_data!$A:$A,0))</f>
        <v>0</v>
      </c>
      <c r="P84" s="114" t="n">
        <f aca="false">P76*INDEX(input_data!$L:$L,MATCH(dashboard!$B$5&amp;".in.enc.stl.bof.ker",input_data!$A:$A,0))</f>
        <v>0</v>
      </c>
      <c r="Q84" s="114" t="n">
        <f aca="false">Q76*INDEX(input_data!$L:$L,MATCH(dashboard!$B$5&amp;".in.enc.stl.bof.ker",input_data!$A:$A,0))</f>
        <v>0</v>
      </c>
      <c r="R84" s="114" t="n">
        <f aca="false">R76*INDEX(input_data!$L:$L,MATCH(dashboard!$B$5&amp;".in.enc.stl.bof.ker",input_data!$A:$A,0))</f>
        <v>0</v>
      </c>
      <c r="S84" s="114" t="n">
        <f aca="false">S76*INDEX(input_data!$L:$L,MATCH(dashboard!$B$5&amp;".in.enc.stl.bof.ker",input_data!$A:$A,0))</f>
        <v>0</v>
      </c>
      <c r="T84" s="114" t="n">
        <f aca="false">T76*INDEX(input_data!$L:$L,MATCH(dashboard!$B$5&amp;".in.enc.stl.bof.ker",input_data!$A:$A,0))</f>
        <v>0</v>
      </c>
      <c r="U84" s="114" t="n">
        <f aca="false">U76*INDEX(input_data!$L:$L,MATCH(dashboard!$B$5&amp;".in.enc.stl.bof.ker",input_data!$A:$A,0))</f>
        <v>0</v>
      </c>
      <c r="V84" s="114" t="n">
        <f aca="false">V76*INDEX(input_data!$L:$L,MATCH(dashboard!$B$5&amp;".in.enc.stl.bof.ker",input_data!$A:$A,0))</f>
        <v>0</v>
      </c>
      <c r="W84" s="114" t="n">
        <f aca="false">W76*INDEX(input_data!$L:$L,MATCH(dashboard!$B$5&amp;".in.enc.stl.bof.ker",input_data!$A:$A,0))</f>
        <v>0</v>
      </c>
      <c r="X84" s="114" t="n">
        <f aca="false">X76*INDEX(input_data!$L:$L,MATCH(dashboard!$B$5&amp;".in.enc.stl.bof.ker",input_data!$A:$A,0))</f>
        <v>0</v>
      </c>
    </row>
    <row r="85" customFormat="false" ht="15" hidden="false" customHeight="true" outlineLevel="0" collapsed="false">
      <c r="A85" s="73" t="str">
        <f aca="false">dashboard!$B$5&amp;".pj.enc.stl.bof.lpg"</f>
        <v>egy.pj.enc.stl.bof.lpg</v>
      </c>
      <c r="B85" s="73" t="str">
        <f aca="false">dashboard!$B$5</f>
        <v>egy</v>
      </c>
      <c r="C85" s="73" t="s">
        <v>3401</v>
      </c>
      <c r="D85" s="73" t="s">
        <v>891</v>
      </c>
      <c r="E85" s="73" t="s">
        <v>705</v>
      </c>
      <c r="F85" s="73" t="s">
        <v>744</v>
      </c>
      <c r="G85" s="73" t="s">
        <v>107</v>
      </c>
      <c r="H85" s="73" t="s">
        <v>3499</v>
      </c>
      <c r="I85" s="73" t="s">
        <v>3424</v>
      </c>
      <c r="J85" s="73" t="s">
        <v>3425</v>
      </c>
      <c r="K85" s="73"/>
      <c r="L85" s="73"/>
      <c r="M85" s="114" t="n">
        <f aca="false">M76*INDEX(input_data!$L:$L,MATCH(dashboard!$B$5&amp;".in.enc.stl.bof.lpg",input_data!$A:$A,0))</f>
        <v>0</v>
      </c>
      <c r="N85" s="114" t="n">
        <f aca="false">N76*INDEX(input_data!$L:$L,MATCH(dashboard!$B$5&amp;".in.enc.stl.bof.lpg",input_data!$A:$A,0))</f>
        <v>0</v>
      </c>
      <c r="O85" s="114" t="n">
        <f aca="false">O76*INDEX(input_data!$L:$L,MATCH(dashboard!$B$5&amp;".in.enc.stl.bof.lpg",input_data!$A:$A,0))</f>
        <v>0</v>
      </c>
      <c r="P85" s="114" t="n">
        <f aca="false">P76*INDEX(input_data!$L:$L,MATCH(dashboard!$B$5&amp;".in.enc.stl.bof.lpg",input_data!$A:$A,0))</f>
        <v>0</v>
      </c>
      <c r="Q85" s="114" t="n">
        <f aca="false">Q76*INDEX(input_data!$L:$L,MATCH(dashboard!$B$5&amp;".in.enc.stl.bof.lpg",input_data!$A:$A,0))</f>
        <v>0</v>
      </c>
      <c r="R85" s="114" t="n">
        <f aca="false">R76*INDEX(input_data!$L:$L,MATCH(dashboard!$B$5&amp;".in.enc.stl.bof.lpg",input_data!$A:$A,0))</f>
        <v>0</v>
      </c>
      <c r="S85" s="114" t="n">
        <f aca="false">S76*INDEX(input_data!$L:$L,MATCH(dashboard!$B$5&amp;".in.enc.stl.bof.lpg",input_data!$A:$A,0))</f>
        <v>0</v>
      </c>
      <c r="T85" s="114" t="n">
        <f aca="false">T76*INDEX(input_data!$L:$L,MATCH(dashboard!$B$5&amp;".in.enc.stl.bof.lpg",input_data!$A:$A,0))</f>
        <v>0</v>
      </c>
      <c r="U85" s="114" t="n">
        <f aca="false">U76*INDEX(input_data!$L:$L,MATCH(dashboard!$B$5&amp;".in.enc.stl.bof.lpg",input_data!$A:$A,0))</f>
        <v>0</v>
      </c>
      <c r="V85" s="114" t="n">
        <f aca="false">V76*INDEX(input_data!$L:$L,MATCH(dashboard!$B$5&amp;".in.enc.stl.bof.lpg",input_data!$A:$A,0))</f>
        <v>0</v>
      </c>
      <c r="W85" s="114" t="n">
        <f aca="false">W76*INDEX(input_data!$L:$L,MATCH(dashboard!$B$5&amp;".in.enc.stl.bof.lpg",input_data!$A:$A,0))</f>
        <v>0</v>
      </c>
      <c r="X85" s="114" t="n">
        <f aca="false">X76*INDEX(input_data!$L:$L,MATCH(dashboard!$B$5&amp;".in.enc.stl.bof.lpg",input_data!$A:$A,0))</f>
        <v>0</v>
      </c>
    </row>
    <row r="86" customFormat="false" ht="15" hidden="false" customHeight="true" outlineLevel="0" collapsed="false">
      <c r="A86" s="73" t="str">
        <f aca="false">dashboard!$B$5&amp;".pj.enc.stl.bof.bio"</f>
        <v>egy.pj.enc.stl.bof.bio</v>
      </c>
      <c r="B86" s="73" t="str">
        <f aca="false">dashboard!$B$5</f>
        <v>egy</v>
      </c>
      <c r="C86" s="73" t="s">
        <v>3401</v>
      </c>
      <c r="D86" s="73" t="s">
        <v>891</v>
      </c>
      <c r="E86" s="73" t="s">
        <v>705</v>
      </c>
      <c r="F86" s="73" t="s">
        <v>744</v>
      </c>
      <c r="G86" s="73" t="s">
        <v>109</v>
      </c>
      <c r="H86" s="73" t="s">
        <v>3500</v>
      </c>
      <c r="I86" s="73" t="s">
        <v>3424</v>
      </c>
      <c r="J86" s="73" t="s">
        <v>3425</v>
      </c>
      <c r="K86" s="73"/>
      <c r="L86" s="73"/>
      <c r="M86" s="114" t="n">
        <f aca="false">M76*INDEX(input_data!$L:$L,MATCH(dashboard!$B$5&amp;".in.enc.stl.bof.bio",input_data!$A:$A,0))</f>
        <v>0</v>
      </c>
      <c r="N86" s="114" t="n">
        <f aca="false">N76*INDEX(input_data!$L:$L,MATCH(dashboard!$B$5&amp;".in.enc.stl.bof.bio",input_data!$A:$A,0))</f>
        <v>0</v>
      </c>
      <c r="O86" s="114" t="n">
        <f aca="false">O76*INDEX(input_data!$L:$L,MATCH(dashboard!$B$5&amp;".in.enc.stl.bof.bio",input_data!$A:$A,0))</f>
        <v>0</v>
      </c>
      <c r="P86" s="114" t="n">
        <f aca="false">P76*INDEX(input_data!$L:$L,MATCH(dashboard!$B$5&amp;".in.enc.stl.bof.bio",input_data!$A:$A,0))</f>
        <v>0</v>
      </c>
      <c r="Q86" s="114" t="n">
        <f aca="false">Q76*INDEX(input_data!$L:$L,MATCH(dashboard!$B$5&amp;".in.enc.stl.bof.bio",input_data!$A:$A,0))</f>
        <v>0</v>
      </c>
      <c r="R86" s="114" t="n">
        <f aca="false">R76*INDEX(input_data!$L:$L,MATCH(dashboard!$B$5&amp;".in.enc.stl.bof.bio",input_data!$A:$A,0))</f>
        <v>0</v>
      </c>
      <c r="S86" s="114" t="n">
        <f aca="false">S76*INDEX(input_data!$L:$L,MATCH(dashboard!$B$5&amp;".in.enc.stl.bof.bio",input_data!$A:$A,0))</f>
        <v>0</v>
      </c>
      <c r="T86" s="114" t="n">
        <f aca="false">T76*INDEX(input_data!$L:$L,MATCH(dashboard!$B$5&amp;".in.enc.stl.bof.bio",input_data!$A:$A,0))</f>
        <v>0</v>
      </c>
      <c r="U86" s="114" t="n">
        <f aca="false">U76*INDEX(input_data!$L:$L,MATCH(dashboard!$B$5&amp;".in.enc.stl.bof.bio",input_data!$A:$A,0))</f>
        <v>0</v>
      </c>
      <c r="V86" s="114" t="n">
        <f aca="false">V76*INDEX(input_data!$L:$L,MATCH(dashboard!$B$5&amp;".in.enc.stl.bof.bio",input_data!$A:$A,0))</f>
        <v>0</v>
      </c>
      <c r="W86" s="114" t="n">
        <f aca="false">W76*INDEX(input_data!$L:$L,MATCH(dashboard!$B$5&amp;".in.enc.stl.bof.bio",input_data!$A:$A,0))</f>
        <v>0</v>
      </c>
      <c r="X86" s="114" t="n">
        <f aca="false">X76*INDEX(input_data!$L:$L,MATCH(dashboard!$B$5&amp;".in.enc.stl.bof.bio",input_data!$A:$A,0))</f>
        <v>0</v>
      </c>
    </row>
    <row r="87" customFormat="false" ht="15" hidden="false" customHeight="true" outlineLevel="0" collapsed="false">
      <c r="A87" s="73" t="str">
        <f aca="false">dashboard!$B$5&amp;".pj.enc.stl.bof.ren"</f>
        <v>egy.pj.enc.stl.bof.ren</v>
      </c>
      <c r="B87" s="73" t="str">
        <f aca="false">dashboard!$B$5</f>
        <v>egy</v>
      </c>
      <c r="C87" s="73" t="s">
        <v>3401</v>
      </c>
      <c r="D87" s="73" t="s">
        <v>891</v>
      </c>
      <c r="E87" s="73" t="s">
        <v>705</v>
      </c>
      <c r="F87" s="73" t="s">
        <v>744</v>
      </c>
      <c r="G87" s="73" t="s">
        <v>111</v>
      </c>
      <c r="H87" s="73" t="s">
        <v>3501</v>
      </c>
      <c r="I87" s="73" t="s">
        <v>3424</v>
      </c>
      <c r="J87" s="73" t="s">
        <v>3425</v>
      </c>
      <c r="K87" s="73"/>
      <c r="L87" s="73"/>
      <c r="M87" s="114" t="n">
        <f aca="false">M76*INDEX(input_data!$L:$L,MATCH(dashboard!$B$5&amp;".in.enc.stl.bof.ren",input_data!$A:$A,0))</f>
        <v>0</v>
      </c>
      <c r="N87" s="114" t="n">
        <f aca="false">N76*INDEX(input_data!$L:$L,MATCH(dashboard!$B$5&amp;".in.enc.stl.bof.ren",input_data!$A:$A,0))</f>
        <v>0</v>
      </c>
      <c r="O87" s="114" t="n">
        <f aca="false">O76*INDEX(input_data!$L:$L,MATCH(dashboard!$B$5&amp;".in.enc.stl.bof.ren",input_data!$A:$A,0))</f>
        <v>0</v>
      </c>
      <c r="P87" s="114" t="n">
        <f aca="false">P76*INDEX(input_data!$L:$L,MATCH(dashboard!$B$5&amp;".in.enc.stl.bof.ren",input_data!$A:$A,0))</f>
        <v>0</v>
      </c>
      <c r="Q87" s="114" t="n">
        <f aca="false">Q76*INDEX(input_data!$L:$L,MATCH(dashboard!$B$5&amp;".in.enc.stl.bof.ren",input_data!$A:$A,0))</f>
        <v>0</v>
      </c>
      <c r="R87" s="114" t="n">
        <f aca="false">R76*INDEX(input_data!$L:$L,MATCH(dashboard!$B$5&amp;".in.enc.stl.bof.ren",input_data!$A:$A,0))</f>
        <v>0</v>
      </c>
      <c r="S87" s="114" t="n">
        <f aca="false">S76*INDEX(input_data!$L:$L,MATCH(dashboard!$B$5&amp;".in.enc.stl.bof.ren",input_data!$A:$A,0))</f>
        <v>0</v>
      </c>
      <c r="T87" s="114" t="n">
        <f aca="false">T76*INDEX(input_data!$L:$L,MATCH(dashboard!$B$5&amp;".in.enc.stl.bof.ren",input_data!$A:$A,0))</f>
        <v>0</v>
      </c>
      <c r="U87" s="114" t="n">
        <f aca="false">U76*INDEX(input_data!$L:$L,MATCH(dashboard!$B$5&amp;".in.enc.stl.bof.ren",input_data!$A:$A,0))</f>
        <v>0</v>
      </c>
      <c r="V87" s="114" t="n">
        <f aca="false">V76*INDEX(input_data!$L:$L,MATCH(dashboard!$B$5&amp;".in.enc.stl.bof.ren",input_data!$A:$A,0))</f>
        <v>0</v>
      </c>
      <c r="W87" s="114" t="n">
        <f aca="false">W76*INDEX(input_data!$L:$L,MATCH(dashboard!$B$5&amp;".in.enc.stl.bof.ren",input_data!$A:$A,0))</f>
        <v>0</v>
      </c>
      <c r="X87" s="114" t="n">
        <f aca="false">X76*INDEX(input_data!$L:$L,MATCH(dashboard!$B$5&amp;".in.enc.stl.bof.ren",input_data!$A:$A,0))</f>
        <v>0</v>
      </c>
    </row>
    <row r="88" customFormat="false" ht="15" hidden="false" customHeight="true" outlineLevel="0" collapsed="false">
      <c r="A88" s="73" t="str">
        <f aca="false">dashboard!$B$5&amp;".pj.enp.stl.bof.coa"</f>
        <v>egy.pj.enp.stl.bof.coa</v>
      </c>
      <c r="B88" s="73" t="str">
        <f aca="false">dashboard!$B$5</f>
        <v>egy</v>
      </c>
      <c r="C88" s="73" t="s">
        <v>3401</v>
      </c>
      <c r="D88" s="73" t="s">
        <v>918</v>
      </c>
      <c r="E88" s="73" t="s">
        <v>705</v>
      </c>
      <c r="F88" s="73" t="s">
        <v>744</v>
      </c>
      <c r="G88" s="73" t="s">
        <v>96</v>
      </c>
      <c r="H88" s="73" t="s">
        <v>3502</v>
      </c>
      <c r="I88" s="73" t="s">
        <v>3424</v>
      </c>
      <c r="J88" s="73" t="s">
        <v>3434</v>
      </c>
      <c r="K88" s="73"/>
      <c r="L88" s="73"/>
      <c r="M88" s="114" t="n">
        <f aca="false">M76*INDEX(input_data!$L:$L,MATCH(dashboard!$B$5&amp;".in.enp.stl.bof.coa",input_data!$A:$A,0))</f>
        <v>0</v>
      </c>
      <c r="N88" s="114" t="n">
        <f aca="false">N76*INDEX(input_data!$L:$L,MATCH(dashboard!$B$5&amp;".in.enp.stl.bof.coa",input_data!$A:$A,0))</f>
        <v>0</v>
      </c>
      <c r="O88" s="114" t="n">
        <f aca="false">O76*INDEX(input_data!$L:$L,MATCH(dashboard!$B$5&amp;".in.enp.stl.bof.coa",input_data!$A:$A,0))</f>
        <v>0</v>
      </c>
      <c r="P88" s="114" t="n">
        <f aca="false">P76*INDEX(input_data!$L:$L,MATCH(dashboard!$B$5&amp;".in.enp.stl.bof.coa",input_data!$A:$A,0))</f>
        <v>0</v>
      </c>
      <c r="Q88" s="114" t="n">
        <f aca="false">Q76*INDEX(input_data!$L:$L,MATCH(dashboard!$B$5&amp;".in.enp.stl.bof.coa",input_data!$A:$A,0))</f>
        <v>0</v>
      </c>
      <c r="R88" s="114" t="n">
        <f aca="false">R76*INDEX(input_data!$L:$L,MATCH(dashboard!$B$5&amp;".in.enp.stl.bof.coa",input_data!$A:$A,0))</f>
        <v>0</v>
      </c>
      <c r="S88" s="114" t="n">
        <f aca="false">S76*INDEX(input_data!$L:$L,MATCH(dashboard!$B$5&amp;".in.enp.stl.bof.coa",input_data!$A:$A,0))</f>
        <v>0</v>
      </c>
      <c r="T88" s="114" t="n">
        <f aca="false">T76*INDEX(input_data!$L:$L,MATCH(dashboard!$B$5&amp;".in.enp.stl.bof.coa",input_data!$A:$A,0))</f>
        <v>0</v>
      </c>
      <c r="U88" s="114" t="n">
        <f aca="false">U76*INDEX(input_data!$L:$L,MATCH(dashboard!$B$5&amp;".in.enp.stl.bof.coa",input_data!$A:$A,0))</f>
        <v>0</v>
      </c>
      <c r="V88" s="114" t="n">
        <f aca="false">V76*INDEX(input_data!$L:$L,MATCH(dashboard!$B$5&amp;".in.enp.stl.bof.coa",input_data!$A:$A,0))</f>
        <v>0</v>
      </c>
      <c r="W88" s="114" t="n">
        <f aca="false">W76*INDEX(input_data!$L:$L,MATCH(dashboard!$B$5&amp;".in.enp.stl.bof.coa",input_data!$A:$A,0))</f>
        <v>0</v>
      </c>
      <c r="X88" s="114" t="n">
        <f aca="false">X76*INDEX(input_data!$L:$L,MATCH(dashboard!$B$5&amp;".in.enp.stl.bof.coa",input_data!$A:$A,0))</f>
        <v>0</v>
      </c>
    </row>
    <row r="89" customFormat="false" ht="15" hidden="false" customHeight="true" outlineLevel="0" collapsed="false">
      <c r="A89" s="73" t="str">
        <f aca="false">dashboard!$B$5&amp;".pj.enp.stl.bof.nga"</f>
        <v>egy.pj.enp.stl.bof.nga</v>
      </c>
      <c r="B89" s="73" t="str">
        <f aca="false">dashboard!$B$5</f>
        <v>egy</v>
      </c>
      <c r="C89" s="73" t="s">
        <v>3401</v>
      </c>
      <c r="D89" s="73" t="s">
        <v>918</v>
      </c>
      <c r="E89" s="73" t="s">
        <v>705</v>
      </c>
      <c r="F89" s="73" t="s">
        <v>744</v>
      </c>
      <c r="G89" s="73" t="s">
        <v>99</v>
      </c>
      <c r="H89" s="73" t="s">
        <v>3503</v>
      </c>
      <c r="I89" s="73" t="s">
        <v>3424</v>
      </c>
      <c r="J89" s="73" t="s">
        <v>3434</v>
      </c>
      <c r="K89" s="73"/>
      <c r="L89" s="73"/>
      <c r="M89" s="114" t="n">
        <f aca="false">M76*INDEX(input_data!$L:$L,MATCH(dashboard!$B$5&amp;".in.enp.stl.bof.nga",input_data!$A:$A,0))</f>
        <v>0</v>
      </c>
      <c r="N89" s="114" t="n">
        <f aca="false">N76*INDEX(input_data!$L:$L,MATCH(dashboard!$B$5&amp;".in.enp.stl.bof.nga",input_data!$A:$A,0))</f>
        <v>0</v>
      </c>
      <c r="O89" s="114" t="n">
        <f aca="false">O76*INDEX(input_data!$L:$L,MATCH(dashboard!$B$5&amp;".in.enp.stl.bof.nga",input_data!$A:$A,0))</f>
        <v>0</v>
      </c>
      <c r="P89" s="114" t="n">
        <f aca="false">P76*INDEX(input_data!$L:$L,MATCH(dashboard!$B$5&amp;".in.enp.stl.bof.nga",input_data!$A:$A,0))</f>
        <v>0</v>
      </c>
      <c r="Q89" s="114" t="n">
        <f aca="false">Q76*INDEX(input_data!$L:$L,MATCH(dashboard!$B$5&amp;".in.enp.stl.bof.nga",input_data!$A:$A,0))</f>
        <v>0</v>
      </c>
      <c r="R89" s="114" t="n">
        <f aca="false">R76*INDEX(input_data!$L:$L,MATCH(dashboard!$B$5&amp;".in.enp.stl.bof.nga",input_data!$A:$A,0))</f>
        <v>0</v>
      </c>
      <c r="S89" s="114" t="n">
        <f aca="false">S76*INDEX(input_data!$L:$L,MATCH(dashboard!$B$5&amp;".in.enp.stl.bof.nga",input_data!$A:$A,0))</f>
        <v>0</v>
      </c>
      <c r="T89" s="114" t="n">
        <f aca="false">T76*INDEX(input_data!$L:$L,MATCH(dashboard!$B$5&amp;".in.enp.stl.bof.nga",input_data!$A:$A,0))</f>
        <v>0</v>
      </c>
      <c r="U89" s="114" t="n">
        <f aca="false">U76*INDEX(input_data!$L:$L,MATCH(dashboard!$B$5&amp;".in.enp.stl.bof.nga",input_data!$A:$A,0))</f>
        <v>0</v>
      </c>
      <c r="V89" s="114" t="n">
        <f aca="false">V76*INDEX(input_data!$L:$L,MATCH(dashboard!$B$5&amp;".in.enp.stl.bof.nga",input_data!$A:$A,0))</f>
        <v>0</v>
      </c>
      <c r="W89" s="114" t="n">
        <f aca="false">W76*INDEX(input_data!$L:$L,MATCH(dashboard!$B$5&amp;".in.enp.stl.bof.nga",input_data!$A:$A,0))</f>
        <v>0</v>
      </c>
      <c r="X89" s="114" t="n">
        <f aca="false">X76*INDEX(input_data!$L:$L,MATCH(dashboard!$B$5&amp;".in.enp.stl.bof.nga",input_data!$A:$A,0))</f>
        <v>0</v>
      </c>
    </row>
    <row r="90" customFormat="false" ht="15" hidden="false" customHeight="true" outlineLevel="0" collapsed="false">
      <c r="A90" s="73" t="str">
        <f aca="false">dashboard!$B$5&amp;".pj.enp.stl.bof.gso"</f>
        <v>egy.pj.enp.stl.bof.gso</v>
      </c>
      <c r="B90" s="73" t="str">
        <f aca="false">dashboard!$B$5</f>
        <v>egy</v>
      </c>
      <c r="C90" s="73" t="s">
        <v>3401</v>
      </c>
      <c r="D90" s="73" t="s">
        <v>918</v>
      </c>
      <c r="E90" s="73" t="s">
        <v>705</v>
      </c>
      <c r="F90" s="73" t="s">
        <v>744</v>
      </c>
      <c r="G90" s="73" t="s">
        <v>101</v>
      </c>
      <c r="H90" s="73" t="s">
        <v>3504</v>
      </c>
      <c r="I90" s="73" t="s">
        <v>3424</v>
      </c>
      <c r="J90" s="73" t="s">
        <v>3434</v>
      </c>
      <c r="K90" s="73"/>
      <c r="L90" s="73"/>
      <c r="M90" s="114" t="n">
        <f aca="false">M76*INDEX(input_data!$L:$L,MATCH(dashboard!$B$5&amp;".in.enp.stl.bof.gso",input_data!$A:$A,0))</f>
        <v>0</v>
      </c>
      <c r="N90" s="114" t="n">
        <f aca="false">N76*INDEX(input_data!$L:$L,MATCH(dashboard!$B$5&amp;".in.enp.stl.bof.gso",input_data!$A:$A,0))</f>
        <v>0</v>
      </c>
      <c r="O90" s="114" t="n">
        <f aca="false">O76*INDEX(input_data!$L:$L,MATCH(dashboard!$B$5&amp;".in.enp.stl.bof.gso",input_data!$A:$A,0))</f>
        <v>0</v>
      </c>
      <c r="P90" s="114" t="n">
        <f aca="false">P76*INDEX(input_data!$L:$L,MATCH(dashboard!$B$5&amp;".in.enp.stl.bof.gso",input_data!$A:$A,0))</f>
        <v>0</v>
      </c>
      <c r="Q90" s="114" t="n">
        <f aca="false">Q76*INDEX(input_data!$L:$L,MATCH(dashboard!$B$5&amp;".in.enp.stl.bof.gso",input_data!$A:$A,0))</f>
        <v>0</v>
      </c>
      <c r="R90" s="114" t="n">
        <f aca="false">R76*INDEX(input_data!$L:$L,MATCH(dashboard!$B$5&amp;".in.enp.stl.bof.gso",input_data!$A:$A,0))</f>
        <v>0</v>
      </c>
      <c r="S90" s="114" t="n">
        <f aca="false">S76*INDEX(input_data!$L:$L,MATCH(dashboard!$B$5&amp;".in.enp.stl.bof.gso",input_data!$A:$A,0))</f>
        <v>0</v>
      </c>
      <c r="T90" s="114" t="n">
        <f aca="false">T76*INDEX(input_data!$L:$L,MATCH(dashboard!$B$5&amp;".in.enp.stl.bof.gso",input_data!$A:$A,0))</f>
        <v>0</v>
      </c>
      <c r="U90" s="114" t="n">
        <f aca="false">U76*INDEX(input_data!$L:$L,MATCH(dashboard!$B$5&amp;".in.enp.stl.bof.gso",input_data!$A:$A,0))</f>
        <v>0</v>
      </c>
      <c r="V90" s="114" t="n">
        <f aca="false">V76*INDEX(input_data!$L:$L,MATCH(dashboard!$B$5&amp;".in.enp.stl.bof.gso",input_data!$A:$A,0))</f>
        <v>0</v>
      </c>
      <c r="W90" s="114" t="n">
        <f aca="false">W76*INDEX(input_data!$L:$L,MATCH(dashboard!$B$5&amp;".in.enp.stl.bof.gso",input_data!$A:$A,0))</f>
        <v>0</v>
      </c>
      <c r="X90" s="114" t="n">
        <f aca="false">X76*INDEX(input_data!$L:$L,MATCH(dashboard!$B$5&amp;".in.enp.stl.bof.gso",input_data!$A:$A,0))</f>
        <v>0</v>
      </c>
    </row>
    <row r="91" customFormat="false" ht="15" hidden="false" customHeight="true" outlineLevel="0" collapsed="false">
      <c r="A91" s="73" t="str">
        <f aca="false">dashboard!$B$5&amp;".pj.enp.stl.bof.die"</f>
        <v>egy.pj.enp.stl.bof.die</v>
      </c>
      <c r="B91" s="73" t="str">
        <f aca="false">dashboard!$B$5</f>
        <v>egy</v>
      </c>
      <c r="C91" s="73" t="s">
        <v>3401</v>
      </c>
      <c r="D91" s="73" t="s">
        <v>918</v>
      </c>
      <c r="E91" s="73" t="s">
        <v>705</v>
      </c>
      <c r="F91" s="73" t="s">
        <v>744</v>
      </c>
      <c r="G91" s="73" t="s">
        <v>103</v>
      </c>
      <c r="H91" s="73" t="s">
        <v>3505</v>
      </c>
      <c r="I91" s="73" t="s">
        <v>3424</v>
      </c>
      <c r="J91" s="73" t="s">
        <v>3434</v>
      </c>
      <c r="K91" s="73"/>
      <c r="L91" s="73"/>
      <c r="M91" s="114" t="n">
        <f aca="false">M76*INDEX(input_data!$L:$L,MATCH(dashboard!$B$5&amp;".in.enp.stl.bof.die",input_data!$A:$A,0))</f>
        <v>0</v>
      </c>
      <c r="N91" s="114" t="n">
        <f aca="false">N76*INDEX(input_data!$L:$L,MATCH(dashboard!$B$5&amp;".in.enp.stl.bof.die",input_data!$A:$A,0))</f>
        <v>0</v>
      </c>
      <c r="O91" s="114" t="n">
        <f aca="false">O76*INDEX(input_data!$L:$L,MATCH(dashboard!$B$5&amp;".in.enp.stl.bof.die",input_data!$A:$A,0))</f>
        <v>0</v>
      </c>
      <c r="P91" s="114" t="n">
        <f aca="false">P76*INDEX(input_data!$L:$L,MATCH(dashboard!$B$5&amp;".in.enp.stl.bof.die",input_data!$A:$A,0))</f>
        <v>0</v>
      </c>
      <c r="Q91" s="114" t="n">
        <f aca="false">Q76*INDEX(input_data!$L:$L,MATCH(dashboard!$B$5&amp;".in.enp.stl.bof.die",input_data!$A:$A,0))</f>
        <v>0</v>
      </c>
      <c r="R91" s="114" t="n">
        <f aca="false">R76*INDEX(input_data!$L:$L,MATCH(dashboard!$B$5&amp;".in.enp.stl.bof.die",input_data!$A:$A,0))</f>
        <v>0</v>
      </c>
      <c r="S91" s="114" t="n">
        <f aca="false">S76*INDEX(input_data!$L:$L,MATCH(dashboard!$B$5&amp;".in.enp.stl.bof.die",input_data!$A:$A,0))</f>
        <v>0</v>
      </c>
      <c r="T91" s="114" t="n">
        <f aca="false">T76*INDEX(input_data!$L:$L,MATCH(dashboard!$B$5&amp;".in.enp.stl.bof.die",input_data!$A:$A,0))</f>
        <v>0</v>
      </c>
      <c r="U91" s="114" t="n">
        <f aca="false">U76*INDEX(input_data!$L:$L,MATCH(dashboard!$B$5&amp;".in.enp.stl.bof.die",input_data!$A:$A,0))</f>
        <v>0</v>
      </c>
      <c r="V91" s="114" t="n">
        <f aca="false">V76*INDEX(input_data!$L:$L,MATCH(dashboard!$B$5&amp;".in.enp.stl.bof.die",input_data!$A:$A,0))</f>
        <v>0</v>
      </c>
      <c r="W91" s="114" t="n">
        <f aca="false">W76*INDEX(input_data!$L:$L,MATCH(dashboard!$B$5&amp;".in.enp.stl.bof.die",input_data!$A:$A,0))</f>
        <v>0</v>
      </c>
      <c r="X91" s="114" t="n">
        <f aca="false">X76*INDEX(input_data!$L:$L,MATCH(dashboard!$B$5&amp;".in.enp.stl.bof.die",input_data!$A:$A,0))</f>
        <v>0</v>
      </c>
    </row>
    <row r="92" customFormat="false" ht="15" hidden="false" customHeight="true" outlineLevel="0" collapsed="false">
      <c r="A92" s="73" t="str">
        <f aca="false">dashboard!$B$5&amp;".pj.enp.stl.bof.ker"</f>
        <v>egy.pj.enp.stl.bof.ker</v>
      </c>
      <c r="B92" s="73" t="str">
        <f aca="false">dashboard!$B$5</f>
        <v>egy</v>
      </c>
      <c r="C92" s="73" t="s">
        <v>3401</v>
      </c>
      <c r="D92" s="73" t="s">
        <v>918</v>
      </c>
      <c r="E92" s="73" t="s">
        <v>705</v>
      </c>
      <c r="F92" s="73" t="s">
        <v>744</v>
      </c>
      <c r="G92" s="73" t="s">
        <v>105</v>
      </c>
      <c r="H92" s="73" t="s">
        <v>3506</v>
      </c>
      <c r="I92" s="73" t="s">
        <v>3424</v>
      </c>
      <c r="J92" s="73" t="s">
        <v>3434</v>
      </c>
      <c r="K92" s="73"/>
      <c r="L92" s="73"/>
      <c r="M92" s="114" t="n">
        <f aca="false">M76*INDEX(input_data!$L:$L,MATCH(dashboard!$B$5&amp;".in.enp.stl.bof.ker",input_data!$A:$A,0))</f>
        <v>0</v>
      </c>
      <c r="N92" s="114" t="n">
        <f aca="false">N76*INDEX(input_data!$L:$L,MATCH(dashboard!$B$5&amp;".in.enp.stl.bof.ker",input_data!$A:$A,0))</f>
        <v>0</v>
      </c>
      <c r="O92" s="114" t="n">
        <f aca="false">O76*INDEX(input_data!$L:$L,MATCH(dashboard!$B$5&amp;".in.enp.stl.bof.ker",input_data!$A:$A,0))</f>
        <v>0</v>
      </c>
      <c r="P92" s="114" t="n">
        <f aca="false">P76*INDEX(input_data!$L:$L,MATCH(dashboard!$B$5&amp;".in.enp.stl.bof.ker",input_data!$A:$A,0))</f>
        <v>0</v>
      </c>
      <c r="Q92" s="114" t="n">
        <f aca="false">Q76*INDEX(input_data!$L:$L,MATCH(dashboard!$B$5&amp;".in.enp.stl.bof.ker",input_data!$A:$A,0))</f>
        <v>0</v>
      </c>
      <c r="R92" s="114" t="n">
        <f aca="false">R76*INDEX(input_data!$L:$L,MATCH(dashboard!$B$5&amp;".in.enp.stl.bof.ker",input_data!$A:$A,0))</f>
        <v>0</v>
      </c>
      <c r="S92" s="114" t="n">
        <f aca="false">S76*INDEX(input_data!$L:$L,MATCH(dashboard!$B$5&amp;".in.enp.stl.bof.ker",input_data!$A:$A,0))</f>
        <v>0</v>
      </c>
      <c r="T92" s="114" t="n">
        <f aca="false">T76*INDEX(input_data!$L:$L,MATCH(dashboard!$B$5&amp;".in.enp.stl.bof.ker",input_data!$A:$A,0))</f>
        <v>0</v>
      </c>
      <c r="U92" s="114" t="n">
        <f aca="false">U76*INDEX(input_data!$L:$L,MATCH(dashboard!$B$5&amp;".in.enp.stl.bof.ker",input_data!$A:$A,0))</f>
        <v>0</v>
      </c>
      <c r="V92" s="114" t="n">
        <f aca="false">V76*INDEX(input_data!$L:$L,MATCH(dashboard!$B$5&amp;".in.enp.stl.bof.ker",input_data!$A:$A,0))</f>
        <v>0</v>
      </c>
      <c r="W92" s="114" t="n">
        <f aca="false">W76*INDEX(input_data!$L:$L,MATCH(dashboard!$B$5&amp;".in.enp.stl.bof.ker",input_data!$A:$A,0))</f>
        <v>0</v>
      </c>
      <c r="X92" s="114" t="n">
        <f aca="false">X76*INDEX(input_data!$L:$L,MATCH(dashboard!$B$5&amp;".in.enp.stl.bof.ker",input_data!$A:$A,0))</f>
        <v>0</v>
      </c>
    </row>
    <row r="93" customFormat="false" ht="15" hidden="false" customHeight="true" outlineLevel="0" collapsed="false">
      <c r="A93" s="73" t="str">
        <f aca="false">dashboard!$B$5&amp;".pj.enp.stl.bof.lpg"</f>
        <v>egy.pj.enp.stl.bof.lpg</v>
      </c>
      <c r="B93" s="73" t="str">
        <f aca="false">dashboard!$B$5</f>
        <v>egy</v>
      </c>
      <c r="C93" s="73" t="s">
        <v>3401</v>
      </c>
      <c r="D93" s="73" t="s">
        <v>918</v>
      </c>
      <c r="E93" s="73" t="s">
        <v>705</v>
      </c>
      <c r="F93" s="73" t="s">
        <v>744</v>
      </c>
      <c r="G93" s="73" t="s">
        <v>107</v>
      </c>
      <c r="H93" s="73" t="s">
        <v>3507</v>
      </c>
      <c r="I93" s="73" t="s">
        <v>3424</v>
      </c>
      <c r="J93" s="73" t="s">
        <v>3434</v>
      </c>
      <c r="K93" s="73"/>
      <c r="L93" s="73"/>
      <c r="M93" s="114" t="n">
        <f aca="false">M76*INDEX(input_data!$L:$L,MATCH(dashboard!$B$5&amp;".in.enp.stl.bof.lpg",input_data!$A:$A,0))</f>
        <v>0</v>
      </c>
      <c r="N93" s="114" t="n">
        <f aca="false">N76*INDEX(input_data!$L:$L,MATCH(dashboard!$B$5&amp;".in.enp.stl.bof.lpg",input_data!$A:$A,0))</f>
        <v>0</v>
      </c>
      <c r="O93" s="114" t="n">
        <f aca="false">O76*INDEX(input_data!$L:$L,MATCH(dashboard!$B$5&amp;".in.enp.stl.bof.lpg",input_data!$A:$A,0))</f>
        <v>0</v>
      </c>
      <c r="P93" s="114" t="n">
        <f aca="false">P76*INDEX(input_data!$L:$L,MATCH(dashboard!$B$5&amp;".in.enp.stl.bof.lpg",input_data!$A:$A,0))</f>
        <v>0</v>
      </c>
      <c r="Q93" s="114" t="n">
        <f aca="false">Q76*INDEX(input_data!$L:$L,MATCH(dashboard!$B$5&amp;".in.enp.stl.bof.lpg",input_data!$A:$A,0))</f>
        <v>0</v>
      </c>
      <c r="R93" s="114" t="n">
        <f aca="false">R76*INDEX(input_data!$L:$L,MATCH(dashboard!$B$5&amp;".in.enp.stl.bof.lpg",input_data!$A:$A,0))</f>
        <v>0</v>
      </c>
      <c r="S93" s="114" t="n">
        <f aca="false">S76*INDEX(input_data!$L:$L,MATCH(dashboard!$B$5&amp;".in.enp.stl.bof.lpg",input_data!$A:$A,0))</f>
        <v>0</v>
      </c>
      <c r="T93" s="114" t="n">
        <f aca="false">T76*INDEX(input_data!$L:$L,MATCH(dashboard!$B$5&amp;".in.enp.stl.bof.lpg",input_data!$A:$A,0))</f>
        <v>0</v>
      </c>
      <c r="U93" s="114" t="n">
        <f aca="false">U76*INDEX(input_data!$L:$L,MATCH(dashboard!$B$5&amp;".in.enp.stl.bof.lpg",input_data!$A:$A,0))</f>
        <v>0</v>
      </c>
      <c r="V93" s="114" t="n">
        <f aca="false">V76*INDEX(input_data!$L:$L,MATCH(dashboard!$B$5&amp;".in.enp.stl.bof.lpg",input_data!$A:$A,0))</f>
        <v>0</v>
      </c>
      <c r="W93" s="114" t="n">
        <f aca="false">W76*INDEX(input_data!$L:$L,MATCH(dashboard!$B$5&amp;".in.enp.stl.bof.lpg",input_data!$A:$A,0))</f>
        <v>0</v>
      </c>
      <c r="X93" s="114" t="n">
        <f aca="false">X76*INDEX(input_data!$L:$L,MATCH(dashboard!$B$5&amp;".in.enp.stl.bof.lpg",input_data!$A:$A,0))</f>
        <v>0</v>
      </c>
    </row>
    <row r="94" customFormat="false" ht="15" hidden="false" customHeight="true" outlineLevel="0" collapsed="false">
      <c r="A94" s="73" t="str">
        <f aca="false">dashboard!$B$5&amp;".pj.enp.stl.bof.bio"</f>
        <v>egy.pj.enp.stl.bof.bio</v>
      </c>
      <c r="B94" s="73" t="str">
        <f aca="false">dashboard!$B$5</f>
        <v>egy</v>
      </c>
      <c r="C94" s="73" t="s">
        <v>3401</v>
      </c>
      <c r="D94" s="73" t="s">
        <v>918</v>
      </c>
      <c r="E94" s="73" t="s">
        <v>705</v>
      </c>
      <c r="F94" s="73" t="s">
        <v>744</v>
      </c>
      <c r="G94" s="73" t="s">
        <v>109</v>
      </c>
      <c r="H94" s="73" t="s">
        <v>3508</v>
      </c>
      <c r="I94" s="73" t="s">
        <v>3424</v>
      </c>
      <c r="J94" s="73" t="s">
        <v>3434</v>
      </c>
      <c r="K94" s="73"/>
      <c r="L94" s="73"/>
      <c r="M94" s="114" t="n">
        <f aca="false">M76*INDEX(input_data!$L:$L,MATCH(dashboard!$B$5&amp;".in.enp.stl.bof.bio",input_data!$A:$A,0))</f>
        <v>0</v>
      </c>
      <c r="N94" s="114" t="n">
        <f aca="false">N76*INDEX(input_data!$L:$L,MATCH(dashboard!$B$5&amp;".in.enp.stl.bof.bio",input_data!$A:$A,0))</f>
        <v>0</v>
      </c>
      <c r="O94" s="114" t="n">
        <f aca="false">O76*INDEX(input_data!$L:$L,MATCH(dashboard!$B$5&amp;".in.enp.stl.bof.bio",input_data!$A:$A,0))</f>
        <v>0</v>
      </c>
      <c r="P94" s="114" t="n">
        <f aca="false">P76*INDEX(input_data!$L:$L,MATCH(dashboard!$B$5&amp;".in.enp.stl.bof.bio",input_data!$A:$A,0))</f>
        <v>0</v>
      </c>
      <c r="Q94" s="114" t="n">
        <f aca="false">Q76*INDEX(input_data!$L:$L,MATCH(dashboard!$B$5&amp;".in.enp.stl.bof.bio",input_data!$A:$A,0))</f>
        <v>0</v>
      </c>
      <c r="R94" s="114" t="n">
        <f aca="false">R76*INDEX(input_data!$L:$L,MATCH(dashboard!$B$5&amp;".in.enp.stl.bof.bio",input_data!$A:$A,0))</f>
        <v>0</v>
      </c>
      <c r="S94" s="114" t="n">
        <f aca="false">S76*INDEX(input_data!$L:$L,MATCH(dashboard!$B$5&amp;".in.enp.stl.bof.bio",input_data!$A:$A,0))</f>
        <v>0</v>
      </c>
      <c r="T94" s="114" t="n">
        <f aca="false">T76*INDEX(input_data!$L:$L,MATCH(dashboard!$B$5&amp;".in.enp.stl.bof.bio",input_data!$A:$A,0))</f>
        <v>0</v>
      </c>
      <c r="U94" s="114" t="n">
        <f aca="false">U76*INDEX(input_data!$L:$L,MATCH(dashboard!$B$5&amp;".in.enp.stl.bof.bio",input_data!$A:$A,0))</f>
        <v>0</v>
      </c>
      <c r="V94" s="114" t="n">
        <f aca="false">V76*INDEX(input_data!$L:$L,MATCH(dashboard!$B$5&amp;".in.enp.stl.bof.bio",input_data!$A:$A,0))</f>
        <v>0</v>
      </c>
      <c r="W94" s="114" t="n">
        <f aca="false">W76*INDEX(input_data!$L:$L,MATCH(dashboard!$B$5&amp;".in.enp.stl.bof.bio",input_data!$A:$A,0))</f>
        <v>0</v>
      </c>
      <c r="X94" s="114" t="n">
        <f aca="false">X76*INDEX(input_data!$L:$L,MATCH(dashboard!$B$5&amp;".in.enp.stl.bof.bio",input_data!$A:$A,0))</f>
        <v>0</v>
      </c>
    </row>
    <row r="95" customFormat="false" ht="15" hidden="false" customHeight="true" outlineLevel="0" collapsed="false">
      <c r="A95" s="73" t="str">
        <f aca="false">dashboard!$B$5&amp;".pj.enp.stl.bof.ren"</f>
        <v>egy.pj.enp.stl.bof.ren</v>
      </c>
      <c r="B95" s="73" t="str">
        <f aca="false">dashboard!$B$5</f>
        <v>egy</v>
      </c>
      <c r="C95" s="73" t="s">
        <v>3401</v>
      </c>
      <c r="D95" s="73" t="s">
        <v>918</v>
      </c>
      <c r="E95" s="73" t="s">
        <v>705</v>
      </c>
      <c r="F95" s="73" t="s">
        <v>744</v>
      </c>
      <c r="G95" s="73" t="s">
        <v>111</v>
      </c>
      <c r="H95" s="73" t="s">
        <v>3509</v>
      </c>
      <c r="I95" s="73" t="s">
        <v>3424</v>
      </c>
      <c r="J95" s="73" t="s">
        <v>3434</v>
      </c>
      <c r="K95" s="73"/>
      <c r="L95" s="73"/>
      <c r="M95" s="114" t="n">
        <f aca="false">M76*INDEX(input_data!$L:$L,MATCH(dashboard!$B$5&amp;".in.enp.stl.bof.ren",input_data!$A:$A,0))</f>
        <v>0</v>
      </c>
      <c r="N95" s="114" t="n">
        <f aca="false">N76*INDEX(input_data!$L:$L,MATCH(dashboard!$B$5&amp;".in.enp.stl.bof.ren",input_data!$A:$A,0))</f>
        <v>0</v>
      </c>
      <c r="O95" s="114" t="n">
        <f aca="false">O76*INDEX(input_data!$L:$L,MATCH(dashboard!$B$5&amp;".in.enp.stl.bof.ren",input_data!$A:$A,0))</f>
        <v>0</v>
      </c>
      <c r="P95" s="114" t="n">
        <f aca="false">P76*INDEX(input_data!$L:$L,MATCH(dashboard!$B$5&amp;".in.enp.stl.bof.ren",input_data!$A:$A,0))</f>
        <v>0</v>
      </c>
      <c r="Q95" s="114" t="n">
        <f aca="false">Q76*INDEX(input_data!$L:$L,MATCH(dashboard!$B$5&amp;".in.enp.stl.bof.ren",input_data!$A:$A,0))</f>
        <v>0</v>
      </c>
      <c r="R95" s="114" t="n">
        <f aca="false">R76*INDEX(input_data!$L:$L,MATCH(dashboard!$B$5&amp;".in.enp.stl.bof.ren",input_data!$A:$A,0))</f>
        <v>0</v>
      </c>
      <c r="S95" s="114" t="n">
        <f aca="false">S76*INDEX(input_data!$L:$L,MATCH(dashboard!$B$5&amp;".in.enp.stl.bof.ren",input_data!$A:$A,0))</f>
        <v>0</v>
      </c>
      <c r="T95" s="114" t="n">
        <f aca="false">T76*INDEX(input_data!$L:$L,MATCH(dashboard!$B$5&amp;".in.enp.stl.bof.ren",input_data!$A:$A,0))</f>
        <v>0</v>
      </c>
      <c r="U95" s="114" t="n">
        <f aca="false">U76*INDEX(input_data!$L:$L,MATCH(dashboard!$B$5&amp;".in.enp.stl.bof.ren",input_data!$A:$A,0))</f>
        <v>0</v>
      </c>
      <c r="V95" s="114" t="n">
        <f aca="false">V76*INDEX(input_data!$L:$L,MATCH(dashboard!$B$5&amp;".in.enp.stl.bof.ren",input_data!$A:$A,0))</f>
        <v>0</v>
      </c>
      <c r="W95" s="114" t="n">
        <f aca="false">W76*INDEX(input_data!$L:$L,MATCH(dashboard!$B$5&amp;".in.enp.stl.bof.ren",input_data!$A:$A,0))</f>
        <v>0</v>
      </c>
      <c r="X95" s="114" t="n">
        <f aca="false">X76*INDEX(input_data!$L:$L,MATCH(dashboard!$B$5&amp;".in.enp.stl.bof.ren",input_data!$A:$A,0))</f>
        <v>0</v>
      </c>
    </row>
    <row r="96" customFormat="false" ht="15" hidden="false" customHeight="true" outlineLevel="0" collapsed="false">
      <c r="A96" s="73" t="str">
        <f aca="false">dashboard!$B$5&amp;".pj.ele.stl.bof.elc"</f>
        <v>egy.pj.ele.stl.bof.elc</v>
      </c>
      <c r="B96" s="73" t="str">
        <f aca="false">dashboard!$B$5</f>
        <v>egy</v>
      </c>
      <c r="C96" s="73" t="s">
        <v>3401</v>
      </c>
      <c r="D96" s="73" t="s">
        <v>943</v>
      </c>
      <c r="E96" s="73" t="s">
        <v>705</v>
      </c>
      <c r="F96" s="73" t="s">
        <v>744</v>
      </c>
      <c r="G96" s="73" t="s">
        <v>944</v>
      </c>
      <c r="H96" s="73" t="s">
        <v>3510</v>
      </c>
      <c r="I96" s="73" t="s">
        <v>3424</v>
      </c>
      <c r="J96" s="73" t="s">
        <v>3443</v>
      </c>
      <c r="K96" s="73"/>
      <c r="L96" s="73"/>
      <c r="M96" s="114" t="n">
        <f aca="false">M76*INDEX(input_data!$L:$L,MATCH(dashboard!$B$5&amp;".in.ele.stl.bof.elc",input_data!$A:$A,0))</f>
        <v>0</v>
      </c>
      <c r="N96" s="114" t="n">
        <f aca="false">N76*INDEX(input_data!$L:$L,MATCH(dashboard!$B$5&amp;".in.ele.stl.bof.elc",input_data!$A:$A,0))</f>
        <v>0</v>
      </c>
      <c r="O96" s="114" t="n">
        <f aca="false">O76*INDEX(input_data!$L:$L,MATCH(dashboard!$B$5&amp;".in.ele.stl.bof.elc",input_data!$A:$A,0))</f>
        <v>0</v>
      </c>
      <c r="P96" s="114" t="n">
        <f aca="false">P76*INDEX(input_data!$L:$L,MATCH(dashboard!$B$5&amp;".in.ele.stl.bof.elc",input_data!$A:$A,0))</f>
        <v>0</v>
      </c>
      <c r="Q96" s="114" t="n">
        <f aca="false">Q76*INDEX(input_data!$L:$L,MATCH(dashboard!$B$5&amp;".in.ele.stl.bof.elc",input_data!$A:$A,0))</f>
        <v>0</v>
      </c>
      <c r="R96" s="114" t="n">
        <f aca="false">R76*INDEX(input_data!$L:$L,MATCH(dashboard!$B$5&amp;".in.ele.stl.bof.elc",input_data!$A:$A,0))</f>
        <v>0</v>
      </c>
      <c r="S96" s="114" t="n">
        <f aca="false">S76*INDEX(input_data!$L:$L,MATCH(dashboard!$B$5&amp;".in.ele.stl.bof.elc",input_data!$A:$A,0))</f>
        <v>0</v>
      </c>
      <c r="T96" s="114" t="n">
        <f aca="false">T76*INDEX(input_data!$L:$L,MATCH(dashboard!$B$5&amp;".in.ele.stl.bof.elc",input_data!$A:$A,0))</f>
        <v>0</v>
      </c>
      <c r="U96" s="114" t="n">
        <f aca="false">U76*INDEX(input_data!$L:$L,MATCH(dashboard!$B$5&amp;".in.ele.stl.bof.elc",input_data!$A:$A,0))</f>
        <v>0</v>
      </c>
      <c r="V96" s="114" t="n">
        <f aca="false">V76*INDEX(input_data!$L:$L,MATCH(dashboard!$B$5&amp;".in.ele.stl.bof.elc",input_data!$A:$A,0))</f>
        <v>0</v>
      </c>
      <c r="W96" s="114" t="n">
        <f aca="false">W76*INDEX(input_data!$L:$L,MATCH(dashboard!$B$5&amp;".in.ele.stl.bof.elc",input_data!$A:$A,0))</f>
        <v>0</v>
      </c>
      <c r="X96" s="114" t="n">
        <f aca="false">X76*INDEX(input_data!$L:$L,MATCH(dashboard!$B$5&amp;".in.ele.stl.bof.elc",input_data!$A:$A,0))</f>
        <v>0</v>
      </c>
    </row>
    <row r="97" customFormat="false" ht="15" hidden="false" customHeight="true" outlineLevel="0" collapsed="false">
      <c r="A97" s="73" t="str">
        <f aca="false">dashboard!$B$5&amp;".em.sfc.stl.bof.---"</f>
        <v>egy.em.sfc.stl.bof.---</v>
      </c>
      <c r="B97" s="73" t="str">
        <f aca="false">dashboard!$B$5</f>
        <v>egy</v>
      </c>
      <c r="C97" s="73" t="s">
        <v>3444</v>
      </c>
      <c r="D97" s="73" t="s">
        <v>3445</v>
      </c>
      <c r="E97" s="73" t="s">
        <v>705</v>
      </c>
      <c r="F97" s="73" t="s">
        <v>744</v>
      </c>
      <c r="G97" s="73" t="s">
        <v>655</v>
      </c>
      <c r="H97" s="73" t="s">
        <v>3511</v>
      </c>
      <c r="I97" s="73" t="s">
        <v>3447</v>
      </c>
      <c r="J97" s="73" t="s">
        <v>3448</v>
      </c>
      <c r="K97" s="73"/>
      <c r="L97" s="73"/>
      <c r="M97" s="114" t="n">
        <f aca="false">SUMPRODUCT(M80:M87,M10:M17)/1000</f>
        <v>0</v>
      </c>
      <c r="N97" s="114" t="n">
        <f aca="false">SUMPRODUCT(N80:N87,N10:N17)/1000</f>
        <v>0</v>
      </c>
      <c r="O97" s="114" t="n">
        <f aca="false">SUMPRODUCT(O80:O87,O10:O17)/1000</f>
        <v>0</v>
      </c>
      <c r="P97" s="114" t="n">
        <f aca="false">SUMPRODUCT(P80:P87,P10:P17)/1000</f>
        <v>0</v>
      </c>
      <c r="Q97" s="114" t="n">
        <f aca="false">SUMPRODUCT(Q80:Q87,Q10:Q17)/1000</f>
        <v>0</v>
      </c>
      <c r="R97" s="114" t="n">
        <f aca="false">SUMPRODUCT(R80:R87,R10:R17)/1000</f>
        <v>0</v>
      </c>
      <c r="S97" s="114" t="n">
        <f aca="false">SUMPRODUCT(S80:S87,S10:S17)/1000</f>
        <v>0</v>
      </c>
      <c r="T97" s="114" t="n">
        <f aca="false">SUMPRODUCT(T80:T87,T10:T17)/1000</f>
        <v>0</v>
      </c>
      <c r="U97" s="114" t="n">
        <f aca="false">SUMPRODUCT(U80:U87,U10:U17)/1000</f>
        <v>0</v>
      </c>
      <c r="V97" s="114" t="n">
        <f aca="false">SUMPRODUCT(V80:V87,V10:V17)/1000</f>
        <v>0</v>
      </c>
      <c r="W97" s="114" t="n">
        <f aca="false">SUMPRODUCT(W80:W87,W10:W17)/1000</f>
        <v>0</v>
      </c>
      <c r="X97" s="114" t="n">
        <f aca="false">SUMPRODUCT(X80:X87,X10:X17)/1000</f>
        <v>0</v>
      </c>
    </row>
    <row r="98" customFormat="false" ht="15" hidden="false" customHeight="true" outlineLevel="0" collapsed="false">
      <c r="A98" s="73" t="str">
        <f aca="false">dashboard!$B$5&amp;".em.sfp.stl.bof.---"</f>
        <v>egy.em.sfp.stl.bof.---</v>
      </c>
      <c r="B98" s="73" t="str">
        <f aca="false">dashboard!$B$5</f>
        <v>egy</v>
      </c>
      <c r="C98" s="73" t="s">
        <v>3444</v>
      </c>
      <c r="D98" s="73" t="s">
        <v>3449</v>
      </c>
      <c r="E98" s="73" t="s">
        <v>705</v>
      </c>
      <c r="F98" s="73" t="s">
        <v>744</v>
      </c>
      <c r="G98" s="73" t="s">
        <v>655</v>
      </c>
      <c r="H98" s="73" t="s">
        <v>3512</v>
      </c>
      <c r="I98" s="73" t="s">
        <v>3447</v>
      </c>
      <c r="J98" s="73" t="s">
        <v>3451</v>
      </c>
      <c r="K98" s="73"/>
      <c r="L98" s="73"/>
      <c r="M98" s="114" t="n">
        <f aca="false">SUMPRODUCT(M88:M95,M10:M17)/1000</f>
        <v>0</v>
      </c>
      <c r="N98" s="114" t="n">
        <f aca="false">SUMPRODUCT(N88:N95,N10:N17)/1000</f>
        <v>0</v>
      </c>
      <c r="O98" s="114" t="n">
        <f aca="false">SUMPRODUCT(O88:O95,O10:O17)/1000</f>
        <v>0</v>
      </c>
      <c r="P98" s="114" t="n">
        <f aca="false">SUMPRODUCT(P88:P95,P10:P17)/1000</f>
        <v>0</v>
      </c>
      <c r="Q98" s="114" t="n">
        <f aca="false">SUMPRODUCT(Q88:Q95,Q10:Q17)/1000</f>
        <v>0</v>
      </c>
      <c r="R98" s="114" t="n">
        <f aca="false">SUMPRODUCT(R88:R95,R10:R17)/1000</f>
        <v>0</v>
      </c>
      <c r="S98" s="114" t="n">
        <f aca="false">SUMPRODUCT(S88:S95,S10:S17)/1000</f>
        <v>0</v>
      </c>
      <c r="T98" s="114" t="n">
        <f aca="false">SUMPRODUCT(T88:T95,T10:T17)/1000</f>
        <v>0</v>
      </c>
      <c r="U98" s="114" t="n">
        <f aca="false">SUMPRODUCT(U88:U95,U10:U17)/1000</f>
        <v>0</v>
      </c>
      <c r="V98" s="114" t="n">
        <f aca="false">SUMPRODUCT(V88:V95,V10:V17)/1000</f>
        <v>0</v>
      </c>
      <c r="W98" s="114" t="n">
        <f aca="false">SUMPRODUCT(W88:W95,W10:W17)/1000</f>
        <v>0</v>
      </c>
      <c r="X98" s="114" t="n">
        <f aca="false">SUMPRODUCT(X88:X95,X10:X17)/1000</f>
        <v>0</v>
      </c>
    </row>
    <row r="99" customFormat="false" ht="15" hidden="false" customHeight="true" outlineLevel="0" collapsed="false">
      <c r="A99" s="73" t="str">
        <f aca="false">dashboard!$B$5&amp;".em.snp.stl.bof.---"</f>
        <v>egy.em.snp.stl.bof.---</v>
      </c>
      <c r="B99" s="73" t="str">
        <f aca="false">dashboard!$B$5</f>
        <v>egy</v>
      </c>
      <c r="C99" s="73" t="s">
        <v>3444</v>
      </c>
      <c r="D99" s="73" t="s">
        <v>3452</v>
      </c>
      <c r="E99" s="73" t="s">
        <v>705</v>
      </c>
      <c r="F99" s="73" t="s">
        <v>744</v>
      </c>
      <c r="G99" s="73" t="s">
        <v>655</v>
      </c>
      <c r="H99" s="73" t="s">
        <v>3513</v>
      </c>
      <c r="I99" s="73" t="s">
        <v>3447</v>
      </c>
      <c r="J99" s="73" t="s">
        <v>3454</v>
      </c>
      <c r="K99" s="73"/>
      <c r="L99" s="73"/>
      <c r="M99" s="114" t="n">
        <f aca="false">M76*INDEX(input_data!$L:$L,MATCH(dashboard!$B$5&amp;".in.efn.stl.bof.---",input_data!$A:$A,0))</f>
        <v>0</v>
      </c>
      <c r="N99" s="114" t="n">
        <f aca="false">N76*INDEX(input_data!$L:$L,MATCH(dashboard!$B$5&amp;".in.efn.stl.bof.---",input_data!$A:$A,0))</f>
        <v>0</v>
      </c>
      <c r="O99" s="114" t="n">
        <f aca="false">O76*INDEX(input_data!$L:$L,MATCH(dashboard!$B$5&amp;".in.efn.stl.bof.---",input_data!$A:$A,0))</f>
        <v>0</v>
      </c>
      <c r="P99" s="114" t="n">
        <f aca="false">P76*INDEX(input_data!$L:$L,MATCH(dashboard!$B$5&amp;".in.efn.stl.bof.---",input_data!$A:$A,0))</f>
        <v>0</v>
      </c>
      <c r="Q99" s="114" t="n">
        <f aca="false">Q76*INDEX(input_data!$L:$L,MATCH(dashboard!$B$5&amp;".in.efn.stl.bof.---",input_data!$A:$A,0))</f>
        <v>0</v>
      </c>
      <c r="R99" s="114" t="n">
        <f aca="false">R76*INDEX(input_data!$L:$L,MATCH(dashboard!$B$5&amp;".in.efn.stl.bof.---",input_data!$A:$A,0))</f>
        <v>0</v>
      </c>
      <c r="S99" s="114" t="n">
        <f aca="false">S76*INDEX(input_data!$L:$L,MATCH(dashboard!$B$5&amp;".in.efn.stl.bof.---",input_data!$A:$A,0))</f>
        <v>0</v>
      </c>
      <c r="T99" s="114" t="n">
        <f aca="false">T76*INDEX(input_data!$L:$L,MATCH(dashboard!$B$5&amp;".in.efn.stl.bof.---",input_data!$A:$A,0))</f>
        <v>0</v>
      </c>
      <c r="U99" s="114" t="n">
        <f aca="false">U76*INDEX(input_data!$L:$L,MATCH(dashboard!$B$5&amp;".in.efn.stl.bof.---",input_data!$A:$A,0))</f>
        <v>0</v>
      </c>
      <c r="V99" s="114" t="n">
        <f aca="false">V76*INDEX(input_data!$L:$L,MATCH(dashboard!$B$5&amp;".in.efn.stl.bof.---",input_data!$A:$A,0))</f>
        <v>0</v>
      </c>
      <c r="W99" s="114" t="n">
        <f aca="false">W76*INDEX(input_data!$L:$L,MATCH(dashboard!$B$5&amp;".in.efn.stl.bof.---",input_data!$A:$A,0))</f>
        <v>0</v>
      </c>
      <c r="X99" s="114" t="n">
        <f aca="false">X76*INDEX(input_data!$L:$L,MATCH(dashboard!$B$5&amp;".in.efn.stl.bof.---",input_data!$A:$A,0))</f>
        <v>0</v>
      </c>
    </row>
    <row r="100" customFormat="false" ht="15" hidden="false" customHeight="true" outlineLevel="0" collapsed="false">
      <c r="A100" s="73" t="str">
        <f aca="false">dashboard!$B$5&amp;".em.sno.stl.bof.---"</f>
        <v>egy.em.sno.stl.bof.---</v>
      </c>
      <c r="B100" s="73" t="str">
        <f aca="false">dashboard!$B$5</f>
        <v>egy</v>
      </c>
      <c r="C100" s="73" t="s">
        <v>3444</v>
      </c>
      <c r="D100" s="73" t="s">
        <v>3455</v>
      </c>
      <c r="E100" s="73" t="s">
        <v>705</v>
      </c>
      <c r="F100" s="73" t="s">
        <v>744</v>
      </c>
      <c r="G100" s="73" t="s">
        <v>655</v>
      </c>
      <c r="H100" s="73" t="s">
        <v>3514</v>
      </c>
      <c r="I100" s="73" t="s">
        <v>3457</v>
      </c>
      <c r="J100" s="73" t="s">
        <v>3458</v>
      </c>
      <c r="K100" s="73"/>
      <c r="L100" s="73"/>
      <c r="M100" s="114" t="n">
        <f aca="false">M76*INDEX(input_data!$L:$L,MATCH(dashboard!$B$5&amp;".in.efo.stl.bof.---",input_data!$A:$A,0))</f>
        <v>0</v>
      </c>
      <c r="N100" s="114" t="n">
        <f aca="false">N76*INDEX(input_data!$L:$L,MATCH(dashboard!$B$5&amp;".in.efo.stl.bof.---",input_data!$A:$A,0))</f>
        <v>0</v>
      </c>
      <c r="O100" s="114" t="n">
        <f aca="false">O76*INDEX(input_data!$L:$L,MATCH(dashboard!$B$5&amp;".in.efo.stl.bof.---",input_data!$A:$A,0))</f>
        <v>0</v>
      </c>
      <c r="P100" s="114" t="n">
        <f aca="false">P76*INDEX(input_data!$L:$L,MATCH(dashboard!$B$5&amp;".in.efo.stl.bof.---",input_data!$A:$A,0))</f>
        <v>0</v>
      </c>
      <c r="Q100" s="114" t="n">
        <f aca="false">Q76*INDEX(input_data!$L:$L,MATCH(dashboard!$B$5&amp;".in.efo.stl.bof.---",input_data!$A:$A,0))</f>
        <v>0</v>
      </c>
      <c r="R100" s="114" t="n">
        <f aca="false">R76*INDEX(input_data!$L:$L,MATCH(dashboard!$B$5&amp;".in.efo.stl.bof.---",input_data!$A:$A,0))</f>
        <v>0</v>
      </c>
      <c r="S100" s="114" t="n">
        <f aca="false">S76*INDEX(input_data!$L:$L,MATCH(dashboard!$B$5&amp;".in.efo.stl.bof.---",input_data!$A:$A,0))</f>
        <v>0</v>
      </c>
      <c r="T100" s="114" t="n">
        <f aca="false">T76*INDEX(input_data!$L:$L,MATCH(dashboard!$B$5&amp;".in.efo.stl.bof.---",input_data!$A:$A,0))</f>
        <v>0</v>
      </c>
      <c r="U100" s="114" t="n">
        <f aca="false">U76*INDEX(input_data!$L:$L,MATCH(dashboard!$B$5&amp;".in.efo.stl.bof.---",input_data!$A:$A,0))</f>
        <v>0</v>
      </c>
      <c r="V100" s="114" t="n">
        <f aca="false">V76*INDEX(input_data!$L:$L,MATCH(dashboard!$B$5&amp;".in.efo.stl.bof.---",input_data!$A:$A,0))</f>
        <v>0</v>
      </c>
      <c r="W100" s="114" t="n">
        <f aca="false">W76*INDEX(input_data!$L:$L,MATCH(dashboard!$B$5&amp;".in.efo.stl.bof.---",input_data!$A:$A,0))</f>
        <v>0</v>
      </c>
      <c r="X100" s="114" t="n">
        <f aca="false">X76*INDEX(input_data!$L:$L,MATCH(dashboard!$B$5&amp;".in.efo.stl.bof.---",input_data!$A:$A,0))</f>
        <v>0</v>
      </c>
    </row>
    <row r="101" customFormat="false" ht="15" hidden="false" customHeight="true" outlineLevel="0" collapsed="false">
      <c r="A101" s="73" t="str">
        <f aca="false">dashboard!$B$5&amp;".em.s2e.stl.bof.elc"</f>
        <v>egy.em.s2e.stl.bof.elc</v>
      </c>
      <c r="B101" s="73" t="str">
        <f aca="false">dashboard!$B$5</f>
        <v>egy</v>
      </c>
      <c r="C101" s="73" t="s">
        <v>3444</v>
      </c>
      <c r="D101" s="73" t="s">
        <v>3459</v>
      </c>
      <c r="E101" s="73" t="s">
        <v>705</v>
      </c>
      <c r="F101" s="73" t="s">
        <v>744</v>
      </c>
      <c r="G101" s="73" t="s">
        <v>944</v>
      </c>
      <c r="H101" s="73" t="s">
        <v>3515</v>
      </c>
      <c r="I101" s="73" t="s">
        <v>3447</v>
      </c>
      <c r="J101" s="73" t="s">
        <v>3461</v>
      </c>
      <c r="K101" s="73"/>
      <c r="L101" s="73"/>
      <c r="M101" s="114" t="n">
        <f aca="false">M96*INDEX(input_data!$M:$X,MATCH(dashboard!$B$5&amp;".in.gef.---.---.---",input_data!$A:$A,0),COLUMNS($M:M))/3.6</f>
        <v>0</v>
      </c>
      <c r="N101" s="114" t="n">
        <f aca="false">N96*INDEX(input_data!$M:$X,MATCH(dashboard!$B$5&amp;".in.gef.---.---.---",input_data!$A:$A,0),COLUMNS($M:N))/3.6</f>
        <v>0</v>
      </c>
      <c r="O101" s="114" t="n">
        <f aca="false">O96*INDEX(input_data!$M:$X,MATCH(dashboard!$B$5&amp;".in.gef.---.---.---",input_data!$A:$A,0),COLUMNS($M:O))/3.6</f>
        <v>0</v>
      </c>
      <c r="P101" s="114" t="n">
        <f aca="false">P96*INDEX(input_data!$M:$X,MATCH(dashboard!$B$5&amp;".in.gef.---.---.---",input_data!$A:$A,0),COLUMNS($M:P))/3.6</f>
        <v>0</v>
      </c>
      <c r="Q101" s="114" t="n">
        <f aca="false">Q96*INDEX(input_data!$M:$X,MATCH(dashboard!$B$5&amp;".in.gef.---.---.---",input_data!$A:$A,0),COLUMNS($M:Q))/3.6</f>
        <v>0</v>
      </c>
      <c r="R101" s="114" t="n">
        <f aca="false">R96*INDEX(input_data!$M:$X,MATCH(dashboard!$B$5&amp;".in.gef.---.---.---",input_data!$A:$A,0),COLUMNS($M:R))/3.6</f>
        <v>0</v>
      </c>
      <c r="S101" s="114" t="n">
        <f aca="false">S96*INDEX(input_data!$M:$X,MATCH(dashboard!$B$5&amp;".in.gef.---.---.---",input_data!$A:$A,0),COLUMNS($M:S))/3.6</f>
        <v>0</v>
      </c>
      <c r="T101" s="114" t="n">
        <f aca="false">T96*INDEX(input_data!$M:$X,MATCH(dashboard!$B$5&amp;".in.gef.---.---.---",input_data!$A:$A,0),COLUMNS($M:T))/3.6</f>
        <v>0</v>
      </c>
      <c r="U101" s="114" t="n">
        <f aca="false">U96*INDEX(input_data!$M:$X,MATCH(dashboard!$B$5&amp;".in.gef.---.---.---",input_data!$A:$A,0),COLUMNS($M:U))/3.6</f>
        <v>0</v>
      </c>
      <c r="V101" s="114" t="n">
        <f aca="false">V96*INDEX(input_data!$M:$X,MATCH(dashboard!$B$5&amp;".in.gef.---.---.---",input_data!$A:$A,0),COLUMNS($M:V))/3.6</f>
        <v>0</v>
      </c>
      <c r="W101" s="114" t="n">
        <f aca="false">W96*INDEX(input_data!$M:$X,MATCH(dashboard!$B$5&amp;".in.gef.---.---.---",input_data!$A:$A,0),COLUMNS($M:W))/3.6</f>
        <v>0</v>
      </c>
      <c r="X101" s="114" t="n">
        <f aca="false">X96*INDEX(input_data!$M:$X,MATCH(dashboard!$B$5&amp;".in.gef.---.---.---",input_data!$A:$A,0),COLUMNS($M:X))/3.6</f>
        <v>0</v>
      </c>
    </row>
    <row r="103" customFormat="false" ht="21.75" hidden="false" customHeight="true" outlineLevel="0" collapsed="false">
      <c r="A103" s="70" t="s">
        <v>3516</v>
      </c>
      <c r="B103" s="70"/>
      <c r="C103" s="70"/>
      <c r="D103" s="70"/>
      <c r="E103" s="70"/>
      <c r="F103" s="70"/>
      <c r="G103" s="70"/>
      <c r="H103" s="70"/>
      <c r="I103" s="70"/>
      <c r="J103" s="70"/>
      <c r="K103" s="70"/>
      <c r="L103" s="70"/>
      <c r="M103" s="70"/>
      <c r="N103" s="70"/>
      <c r="O103" s="70"/>
      <c r="P103" s="70"/>
      <c r="Q103" s="70"/>
      <c r="R103" s="70"/>
      <c r="S103" s="70"/>
      <c r="T103" s="70"/>
      <c r="U103" s="70"/>
      <c r="V103" s="70"/>
      <c r="W103" s="70"/>
      <c r="X103" s="70"/>
    </row>
    <row r="104" customFormat="false" ht="15" hidden="false" customHeight="true" outlineLevel="0" collapsed="false">
      <c r="A104" s="73" t="str">
        <f aca="false">dashboard!$B$5&amp;".pj.prd.cmt.dry.---"</f>
        <v>egy.pj.prd.cmt.dry.---</v>
      </c>
      <c r="B104" s="73" t="str">
        <f aca="false">dashboard!$B$5</f>
        <v>egy</v>
      </c>
      <c r="C104" s="73" t="s">
        <v>3401</v>
      </c>
      <c r="D104" s="73" t="s">
        <v>3412</v>
      </c>
      <c r="E104" s="73" t="s">
        <v>755</v>
      </c>
      <c r="F104" s="73" t="s">
        <v>756</v>
      </c>
      <c r="G104" s="73" t="s">
        <v>655</v>
      </c>
      <c r="H104" s="73" t="s">
        <v>3517</v>
      </c>
      <c r="I104" s="73" t="s">
        <v>869</v>
      </c>
      <c r="J104" s="73" t="s">
        <v>3414</v>
      </c>
      <c r="K104" s="73"/>
      <c r="L104" s="73"/>
      <c r="M104" s="114" t="n">
        <f aca="false">IFERROR(INDEX(input_data!$L:$L,MATCH(dashboard!$B$5&amp;".in.prb.cmt.dry.---",input_data!$A:$A,0))*POWER(M7,INDEX(input_data!$L:$L,MATCH(dashboard!$B$5&amp;".in.els.cmt.dry.---",input_data!$A:$A,0))),0)</f>
        <v>50</v>
      </c>
      <c r="N104" s="114" t="n">
        <f aca="false">IFERROR(INDEX(input_data!$L:$L,MATCH(dashboard!$B$5&amp;".in.prb.cmt.dry.---",input_data!$A:$A,0))*POWER(N7,INDEX(input_data!$L:$L,MATCH(dashboard!$B$5&amp;".in.els.cmt.dry.---",input_data!$A:$A,0))),0)</f>
        <v>52.4683271762772</v>
      </c>
      <c r="O104" s="114" t="n">
        <f aca="false">IFERROR(INDEX(input_data!$L:$L,MATCH(dashboard!$B$5&amp;".in.prb.cmt.dry.---",input_data!$A:$A,0))*POWER(O7,INDEX(input_data!$L:$L,MATCH(dashboard!$B$5&amp;".in.els.cmt.dry.---",input_data!$A:$A,0))),0)</f>
        <v>55.0585071335374</v>
      </c>
      <c r="P104" s="114" t="n">
        <f aca="false">IFERROR(INDEX(input_data!$L:$L,MATCH(dashboard!$B$5&amp;".in.prb.cmt.dry.---",input_data!$A:$A,0))*POWER(P7,INDEX(input_data!$L:$L,MATCH(dashboard!$B$5&amp;".in.els.cmt.dry.---",input_data!$A:$A,0))),0)</f>
        <v>57.7765553223967</v>
      </c>
      <c r="Q104" s="114" t="n">
        <f aca="false">IFERROR(INDEX(input_data!$L:$L,MATCH(dashboard!$B$5&amp;".in.prb.cmt.dry.---",input_data!$A:$A,0))*POWER(Q7,INDEX(input_data!$L:$L,MATCH(dashboard!$B$5&amp;".in.els.cmt.dry.---",input_data!$A:$A,0))),0)</f>
        <v>60.6287841554758</v>
      </c>
      <c r="R104" s="114" t="n">
        <f aca="false">IFERROR(INDEX(input_data!$L:$L,MATCH(dashboard!$B$5&amp;".in.prb.cmt.dry.---",input_data!$A:$A,0))*POWER(R7,INDEX(input_data!$L:$L,MATCH(dashboard!$B$5&amp;".in.els.cmt.dry.---",input_data!$A:$A,0))),0)</f>
        <v>63.6218176673879</v>
      </c>
      <c r="S104" s="114" t="n">
        <f aca="false">IFERROR(INDEX(input_data!$L:$L,MATCH(dashboard!$B$5&amp;".in.prb.cmt.dry.---",input_data!$A:$A,0))*POWER(S7,INDEX(input_data!$L:$L,MATCH(dashboard!$B$5&amp;".in.els.cmt.dry.---",input_data!$A:$A,0))),0)</f>
        <v>66.7626068984393</v>
      </c>
      <c r="T104" s="114" t="n">
        <f aca="false">IFERROR(INDEX(input_data!$L:$L,MATCH(dashboard!$B$5&amp;".in.prb.cmt.dry.---",input_data!$A:$A,0))*POWER(T7,INDEX(input_data!$L:$L,MATCH(dashboard!$B$5&amp;".in.els.cmt.dry.---",input_data!$A:$A,0))),0)</f>
        <v>70.0584460377699</v>
      </c>
      <c r="U104" s="114" t="n">
        <f aca="false">IFERROR(INDEX(input_data!$L:$L,MATCH(dashboard!$B$5&amp;".in.prb.cmt.dry.---",input_data!$A:$A,0))*POWER(U7,INDEX(input_data!$L:$L,MATCH(dashboard!$B$5&amp;".in.els.cmt.dry.---",input_data!$A:$A,0))),0)</f>
        <v>73.5169893634254</v>
      </c>
      <c r="V104" s="114" t="n">
        <f aca="false">IFERROR(INDEX(input_data!$L:$L,MATCH(dashboard!$B$5&amp;".in.prb.cmt.dry.---",input_data!$A:$A,0))*POWER(V7,INDEX(input_data!$L:$L,MATCH(dashboard!$B$5&amp;".in.els.cmt.dry.---",input_data!$A:$A,0))),0)</f>
        <v>77.146269018702</v>
      </c>
      <c r="W104" s="114" t="n">
        <f aca="false">IFERROR(INDEX(input_data!$L:$L,MATCH(dashboard!$B$5&amp;".in.prb.cmt.dry.---",input_data!$A:$A,0))*POWER(W7,INDEX(input_data!$L:$L,MATCH(dashboard!$B$5&amp;".in.els.cmt.dry.---",input_data!$A:$A,0))),0)</f>
        <v>80.9547136660471</v>
      </c>
      <c r="X104" s="114" t="n">
        <f aca="false">IFERROR(INDEX(input_data!$L:$L,MATCH(dashboard!$B$5&amp;".in.prb.cmt.dry.---",input_data!$A:$A,0))*POWER(X7,INDEX(input_data!$L:$L,MATCH(dashboard!$B$5&amp;".in.els.cmt.dry.---",input_data!$A:$A,0))),0)</f>
        <v>84.95116806184</v>
      </c>
    </row>
    <row r="105" customFormat="false" ht="15" hidden="false" customHeight="true" outlineLevel="0" collapsed="false">
      <c r="A105" s="73" t="str">
        <f aca="false">dashboard!$B$5&amp;".pj.eux.cmt.dry.---"</f>
        <v>egy.pj.eux.cmt.dry.---</v>
      </c>
      <c r="B105" s="73" t="str">
        <f aca="false">dashboard!$B$5</f>
        <v>egy</v>
      </c>
      <c r="C105" s="73" t="s">
        <v>3401</v>
      </c>
      <c r="D105" s="73" t="s">
        <v>3415</v>
      </c>
      <c r="E105" s="73" t="s">
        <v>755</v>
      </c>
      <c r="F105" s="73" t="s">
        <v>756</v>
      </c>
      <c r="G105" s="73" t="s">
        <v>655</v>
      </c>
      <c r="H105" s="73" t="s">
        <v>3518</v>
      </c>
      <c r="I105" s="73" t="s">
        <v>869</v>
      </c>
      <c r="J105" s="73" t="s">
        <v>3417</v>
      </c>
      <c r="K105" s="73"/>
      <c r="L105" s="73"/>
      <c r="M105" s="114" t="n">
        <f aca="false">M104*INDEX(input_data!$L:$L,MATCH(dashboard!$B$5&amp;".in.exe.cmt.dry.---",input_data!$A:$A,0))</f>
        <v>0.5</v>
      </c>
      <c r="N105" s="114" t="n">
        <f aca="false">N104*INDEX(input_data!$L:$L,MATCH(dashboard!$B$5&amp;".in.exe.cmt.dry.---",input_data!$A:$A,0))</f>
        <v>0.524683271762772</v>
      </c>
      <c r="O105" s="114" t="n">
        <f aca="false">O104*INDEX(input_data!$L:$L,MATCH(dashboard!$B$5&amp;".in.exe.cmt.dry.---",input_data!$A:$A,0))</f>
        <v>0.550585071335374</v>
      </c>
      <c r="P105" s="114" t="n">
        <f aca="false">P104*INDEX(input_data!$L:$L,MATCH(dashboard!$B$5&amp;".in.exe.cmt.dry.---",input_data!$A:$A,0))</f>
        <v>0.577765553223967</v>
      </c>
      <c r="Q105" s="114" t="n">
        <f aca="false">Q104*INDEX(input_data!$L:$L,MATCH(dashboard!$B$5&amp;".in.exe.cmt.dry.---",input_data!$A:$A,0))</f>
        <v>0.606287841554758</v>
      </c>
      <c r="R105" s="114" t="n">
        <f aca="false">R104*INDEX(input_data!$L:$L,MATCH(dashboard!$B$5&amp;".in.exe.cmt.dry.---",input_data!$A:$A,0))</f>
        <v>0.636218176673879</v>
      </c>
      <c r="S105" s="114" t="n">
        <f aca="false">S104*INDEX(input_data!$L:$L,MATCH(dashboard!$B$5&amp;".in.exe.cmt.dry.---",input_data!$A:$A,0))</f>
        <v>0.667626068984393</v>
      </c>
      <c r="T105" s="114" t="n">
        <f aca="false">T104*INDEX(input_data!$L:$L,MATCH(dashboard!$B$5&amp;".in.exe.cmt.dry.---",input_data!$A:$A,0))</f>
        <v>0.700584460377699</v>
      </c>
      <c r="U105" s="114" t="n">
        <f aca="false">U104*INDEX(input_data!$L:$L,MATCH(dashboard!$B$5&amp;".in.exe.cmt.dry.---",input_data!$A:$A,0))</f>
        <v>0.735169893634254</v>
      </c>
      <c r="V105" s="114" t="n">
        <f aca="false">V104*INDEX(input_data!$L:$L,MATCH(dashboard!$B$5&amp;".in.exe.cmt.dry.---",input_data!$A:$A,0))</f>
        <v>0.77146269018702</v>
      </c>
      <c r="W105" s="114" t="n">
        <f aca="false">W104*INDEX(input_data!$L:$L,MATCH(dashboard!$B$5&amp;".in.exe.cmt.dry.---",input_data!$A:$A,0))</f>
        <v>0.809547136660471</v>
      </c>
      <c r="X105" s="114" t="n">
        <f aca="false">X104*INDEX(input_data!$L:$L,MATCH(dashboard!$B$5&amp;".in.exe.cmt.dry.---",input_data!$A:$A,0))</f>
        <v>0.8495116806184</v>
      </c>
    </row>
    <row r="106" customFormat="false" ht="15" hidden="false" customHeight="true" outlineLevel="0" collapsed="false">
      <c r="A106" s="73" t="str">
        <f aca="false">dashboard!$B$5&amp;".pj.nex.cmt.dry.---"</f>
        <v>egy.pj.nex.cmt.dry.---</v>
      </c>
      <c r="B106" s="73" t="str">
        <f aca="false">dashboard!$B$5</f>
        <v>egy</v>
      </c>
      <c r="C106" s="73" t="s">
        <v>3401</v>
      </c>
      <c r="D106" s="73" t="s">
        <v>3418</v>
      </c>
      <c r="E106" s="73" t="s">
        <v>755</v>
      </c>
      <c r="F106" s="73" t="s">
        <v>756</v>
      </c>
      <c r="G106" s="73" t="s">
        <v>655</v>
      </c>
      <c r="H106" s="73" t="s">
        <v>3519</v>
      </c>
      <c r="I106" s="73" t="s">
        <v>869</v>
      </c>
      <c r="J106" s="73" t="s">
        <v>3420</v>
      </c>
      <c r="K106" s="73"/>
      <c r="L106" s="73"/>
      <c r="M106" s="114" t="n">
        <f aca="false">M104*(INDEX(input_data!$L:$L,MATCH(dashboard!$B$5&amp;".in.ext.cmt.dry.---",input_data!$A:$A,0))-INDEX(input_data!$L:$L,MATCH(dashboard!$B$5&amp;".in.exe.cmt.dry.---",input_data!$A:$A,0)))</f>
        <v>2</v>
      </c>
      <c r="N106" s="114" t="n">
        <f aca="false">N104*(INDEX(input_data!$L:$L,MATCH(dashboard!$B$5&amp;".in.ext.cmt.dry.---",input_data!$A:$A,0))-INDEX(input_data!$L:$L,MATCH(dashboard!$B$5&amp;".in.exe.cmt.dry.---",input_data!$A:$A,0)))</f>
        <v>2.09873308705109</v>
      </c>
      <c r="O106" s="114" t="n">
        <f aca="false">O104*(INDEX(input_data!$L:$L,MATCH(dashboard!$B$5&amp;".in.ext.cmt.dry.---",input_data!$A:$A,0))-INDEX(input_data!$L:$L,MATCH(dashboard!$B$5&amp;".in.exe.cmt.dry.---",input_data!$A:$A,0)))</f>
        <v>2.2023402853415</v>
      </c>
      <c r="P106" s="114" t="n">
        <f aca="false">P104*(INDEX(input_data!$L:$L,MATCH(dashboard!$B$5&amp;".in.ext.cmt.dry.---",input_data!$A:$A,0))-INDEX(input_data!$L:$L,MATCH(dashboard!$B$5&amp;".in.exe.cmt.dry.---",input_data!$A:$A,0)))</f>
        <v>2.31106221289587</v>
      </c>
      <c r="Q106" s="114" t="n">
        <f aca="false">Q104*(INDEX(input_data!$L:$L,MATCH(dashboard!$B$5&amp;".in.ext.cmt.dry.---",input_data!$A:$A,0))-INDEX(input_data!$L:$L,MATCH(dashboard!$B$5&amp;".in.exe.cmt.dry.---",input_data!$A:$A,0)))</f>
        <v>2.42515136621903</v>
      </c>
      <c r="R106" s="114" t="n">
        <f aca="false">R104*(INDEX(input_data!$L:$L,MATCH(dashboard!$B$5&amp;".in.ext.cmt.dry.---",input_data!$A:$A,0))-INDEX(input_data!$L:$L,MATCH(dashboard!$B$5&amp;".in.exe.cmt.dry.---",input_data!$A:$A,0)))</f>
        <v>2.54487270669552</v>
      </c>
      <c r="S106" s="114" t="n">
        <f aca="false">S104*(INDEX(input_data!$L:$L,MATCH(dashboard!$B$5&amp;".in.ext.cmt.dry.---",input_data!$A:$A,0))-INDEX(input_data!$L:$L,MATCH(dashboard!$B$5&amp;".in.exe.cmt.dry.---",input_data!$A:$A,0)))</f>
        <v>2.67050427593757</v>
      </c>
      <c r="T106" s="114" t="n">
        <f aca="false">T104*(INDEX(input_data!$L:$L,MATCH(dashboard!$B$5&amp;".in.ext.cmt.dry.---",input_data!$A:$A,0))-INDEX(input_data!$L:$L,MATCH(dashboard!$B$5&amp;".in.exe.cmt.dry.---",input_data!$A:$A,0)))</f>
        <v>2.8023378415108</v>
      </c>
      <c r="U106" s="114" t="n">
        <f aca="false">U104*(INDEX(input_data!$L:$L,MATCH(dashboard!$B$5&amp;".in.ext.cmt.dry.---",input_data!$A:$A,0))-INDEX(input_data!$L:$L,MATCH(dashboard!$B$5&amp;".in.exe.cmt.dry.---",input_data!$A:$A,0)))</f>
        <v>2.94067957453702</v>
      </c>
      <c r="V106" s="114" t="n">
        <f aca="false">V104*(INDEX(input_data!$L:$L,MATCH(dashboard!$B$5&amp;".in.ext.cmt.dry.---",input_data!$A:$A,0))-INDEX(input_data!$L:$L,MATCH(dashboard!$B$5&amp;".in.exe.cmt.dry.---",input_data!$A:$A,0)))</f>
        <v>3.08585076074808</v>
      </c>
      <c r="W106" s="114" t="n">
        <f aca="false">W104*(INDEX(input_data!$L:$L,MATCH(dashboard!$B$5&amp;".in.ext.cmt.dry.---",input_data!$A:$A,0))-INDEX(input_data!$L:$L,MATCH(dashboard!$B$5&amp;".in.exe.cmt.dry.---",input_data!$A:$A,0)))</f>
        <v>3.23818854664188</v>
      </c>
      <c r="X106" s="114" t="n">
        <f aca="false">X104*(INDEX(input_data!$L:$L,MATCH(dashboard!$B$5&amp;".in.ext.cmt.dry.---",input_data!$A:$A,0))-INDEX(input_data!$L:$L,MATCH(dashboard!$B$5&amp;".in.exe.cmt.dry.---",input_data!$A:$A,0)))</f>
        <v>3.3980467224736</v>
      </c>
    </row>
    <row r="107" customFormat="false" ht="15" hidden="false" customHeight="true" outlineLevel="0" collapsed="false">
      <c r="A107" s="73" t="str">
        <f aca="false">dashboard!$B$5&amp;".pj.dom.cmt.dry.---"</f>
        <v>egy.pj.dom.cmt.dry.---</v>
      </c>
      <c r="B107" s="73" t="str">
        <f aca="false">dashboard!$B$5</f>
        <v>egy</v>
      </c>
      <c r="C107" s="73" t="s">
        <v>3401</v>
      </c>
      <c r="D107" s="73" t="s">
        <v>641</v>
      </c>
      <c r="E107" s="73" t="s">
        <v>755</v>
      </c>
      <c r="F107" s="73" t="s">
        <v>756</v>
      </c>
      <c r="G107" s="73" t="s">
        <v>655</v>
      </c>
      <c r="H107" s="73" t="s">
        <v>3520</v>
      </c>
      <c r="I107" s="73" t="s">
        <v>869</v>
      </c>
      <c r="J107" s="73" t="s">
        <v>3422</v>
      </c>
      <c r="K107" s="73"/>
      <c r="L107" s="73"/>
      <c r="M107" s="114" t="n">
        <f aca="false">M104*(1-INDEX(input_data!$L:$L,MATCH(dashboard!$B$5&amp;".in.ext.cmt.dry.---",input_data!$A:$A,0)))*(1+INDEX(input_data!$L:$L,MATCH(dashboard!$B$5&amp;".in.imp.cmt.dry.---",input_data!$A:$A,0)))</f>
        <v>48.45</v>
      </c>
      <c r="N107" s="114" t="n">
        <f aca="false">N104*(1-INDEX(input_data!$L:$L,MATCH(dashboard!$B$5&amp;".in.ext.cmt.dry.---",input_data!$A:$A,0)))*(1+INDEX(input_data!$L:$L,MATCH(dashboard!$B$5&amp;".in.imp.cmt.dry.---",input_data!$A:$A,0)))</f>
        <v>50.8418090338126</v>
      </c>
      <c r="O107" s="114" t="n">
        <f aca="false">O104*(1-INDEX(input_data!$L:$L,MATCH(dashboard!$B$5&amp;".in.ext.cmt.dry.---",input_data!$A:$A,0)))*(1+INDEX(input_data!$L:$L,MATCH(dashboard!$B$5&amp;".in.imp.cmt.dry.---",input_data!$A:$A,0)))</f>
        <v>53.3516934123977</v>
      </c>
      <c r="P107" s="114" t="n">
        <f aca="false">P104*(1-INDEX(input_data!$L:$L,MATCH(dashboard!$B$5&amp;".in.ext.cmt.dry.---",input_data!$A:$A,0)))*(1+INDEX(input_data!$L:$L,MATCH(dashboard!$B$5&amp;".in.imp.cmt.dry.---",input_data!$A:$A,0)))</f>
        <v>55.9854821074024</v>
      </c>
      <c r="Q107" s="114" t="n">
        <f aca="false">Q104*(1-INDEX(input_data!$L:$L,MATCH(dashboard!$B$5&amp;".in.ext.cmt.dry.---",input_data!$A:$A,0)))*(1+INDEX(input_data!$L:$L,MATCH(dashboard!$B$5&amp;".in.imp.cmt.dry.---",input_data!$A:$A,0)))</f>
        <v>58.749291846656</v>
      </c>
      <c r="R107" s="114" t="n">
        <f aca="false">R104*(1-INDEX(input_data!$L:$L,MATCH(dashboard!$B$5&amp;".in.ext.cmt.dry.---",input_data!$A:$A,0)))*(1+INDEX(input_data!$L:$L,MATCH(dashboard!$B$5&amp;".in.imp.cmt.dry.---",input_data!$A:$A,0)))</f>
        <v>61.6495413196989</v>
      </c>
      <c r="S107" s="114" t="n">
        <f aca="false">S104*(1-INDEX(input_data!$L:$L,MATCH(dashboard!$B$5&amp;".in.ext.cmt.dry.---",input_data!$A:$A,0)))*(1+INDEX(input_data!$L:$L,MATCH(dashboard!$B$5&amp;".in.imp.cmt.dry.---",input_data!$A:$A,0)))</f>
        <v>64.6929660845877</v>
      </c>
      <c r="T107" s="114" t="n">
        <f aca="false">T104*(1-INDEX(input_data!$L:$L,MATCH(dashboard!$B$5&amp;".in.ext.cmt.dry.---",input_data!$A:$A,0)))*(1+INDEX(input_data!$L:$L,MATCH(dashboard!$B$5&amp;".in.imp.cmt.dry.---",input_data!$A:$A,0)))</f>
        <v>67.886634210599</v>
      </c>
      <c r="U107" s="114" t="n">
        <f aca="false">U104*(1-INDEX(input_data!$L:$L,MATCH(dashboard!$B$5&amp;".in.ext.cmt.dry.---",input_data!$A:$A,0)))*(1+INDEX(input_data!$L:$L,MATCH(dashboard!$B$5&amp;".in.imp.cmt.dry.---",input_data!$A:$A,0)))</f>
        <v>71.2379626931593</v>
      </c>
      <c r="V107" s="114" t="n">
        <f aca="false">V104*(1-INDEX(input_data!$L:$L,MATCH(dashboard!$B$5&amp;".in.ext.cmt.dry.---",input_data!$A:$A,0)))*(1+INDEX(input_data!$L:$L,MATCH(dashboard!$B$5&amp;".in.imp.cmt.dry.---",input_data!$A:$A,0)))</f>
        <v>74.7547346791222</v>
      </c>
      <c r="W107" s="114" t="n">
        <f aca="false">W104*(1-INDEX(input_data!$L:$L,MATCH(dashboard!$B$5&amp;".in.ext.cmt.dry.---",input_data!$A:$A,0)))*(1+INDEX(input_data!$L:$L,MATCH(dashboard!$B$5&amp;".in.imp.cmt.dry.---",input_data!$A:$A,0)))</f>
        <v>78.4451175423996</v>
      </c>
      <c r="X107" s="114" t="n">
        <f aca="false">X104*(1-INDEX(input_data!$L:$L,MATCH(dashboard!$B$5&amp;".in.ext.cmt.dry.---",input_data!$A:$A,0)))*(1+INDEX(input_data!$L:$L,MATCH(dashboard!$B$5&amp;".in.imp.cmt.dry.---",input_data!$A:$A,0)))</f>
        <v>82.3176818519229</v>
      </c>
    </row>
    <row r="108" customFormat="false" ht="15" hidden="false" customHeight="true" outlineLevel="0" collapsed="false">
      <c r="A108" s="73" t="str">
        <f aca="false">dashboard!$B$5&amp;".pj.enc.cmt.dry.coa"</f>
        <v>egy.pj.enc.cmt.dry.coa</v>
      </c>
      <c r="B108" s="73" t="str">
        <f aca="false">dashboard!$B$5</f>
        <v>egy</v>
      </c>
      <c r="C108" s="73" t="s">
        <v>3401</v>
      </c>
      <c r="D108" s="73" t="s">
        <v>891</v>
      </c>
      <c r="E108" s="73" t="s">
        <v>755</v>
      </c>
      <c r="F108" s="73" t="s">
        <v>756</v>
      </c>
      <c r="G108" s="73" t="s">
        <v>96</v>
      </c>
      <c r="H108" s="73" t="s">
        <v>3521</v>
      </c>
      <c r="I108" s="73" t="s">
        <v>3424</v>
      </c>
      <c r="J108" s="73" t="s">
        <v>3425</v>
      </c>
      <c r="K108" s="73"/>
      <c r="L108" s="73"/>
      <c r="M108" s="114" t="n">
        <f aca="false">M104*INDEX(input_data!$L:$L,MATCH(dashboard!$B$5&amp;".in.enc.cmt.dry.coa",input_data!$A:$A,0))</f>
        <v>125</v>
      </c>
      <c r="N108" s="114" t="n">
        <f aca="false">N104*INDEX(input_data!$L:$L,MATCH(dashboard!$B$5&amp;".in.enc.cmt.dry.coa",input_data!$A:$A,0))</f>
        <v>131.170817940693</v>
      </c>
      <c r="O108" s="114" t="n">
        <f aca="false">O104*INDEX(input_data!$L:$L,MATCH(dashboard!$B$5&amp;".in.enc.cmt.dry.coa",input_data!$A:$A,0))</f>
        <v>137.646267833844</v>
      </c>
      <c r="P108" s="114" t="n">
        <f aca="false">P104*INDEX(input_data!$L:$L,MATCH(dashboard!$B$5&amp;".in.enc.cmt.dry.coa",input_data!$A:$A,0))</f>
        <v>144.441388305992</v>
      </c>
      <c r="Q108" s="114" t="n">
        <f aca="false">Q104*INDEX(input_data!$L:$L,MATCH(dashboard!$B$5&amp;".in.enc.cmt.dry.coa",input_data!$A:$A,0))</f>
        <v>151.57196038869</v>
      </c>
      <c r="R108" s="114" t="n">
        <f aca="false">R104*INDEX(input_data!$L:$L,MATCH(dashboard!$B$5&amp;".in.enc.cmt.dry.coa",input_data!$A:$A,0))</f>
        <v>159.05454416847</v>
      </c>
      <c r="S108" s="114" t="n">
        <f aca="false">S104*INDEX(input_data!$L:$L,MATCH(dashboard!$B$5&amp;".in.enc.cmt.dry.coa",input_data!$A:$A,0))</f>
        <v>166.906517246098</v>
      </c>
      <c r="T108" s="114" t="n">
        <f aca="false">T104*INDEX(input_data!$L:$L,MATCH(dashboard!$B$5&amp;".in.enc.cmt.dry.coa",input_data!$A:$A,0))</f>
        <v>175.146115094425</v>
      </c>
      <c r="U108" s="114" t="n">
        <f aca="false">U104*INDEX(input_data!$L:$L,MATCH(dashboard!$B$5&amp;".in.enc.cmt.dry.coa",input_data!$A:$A,0))</f>
        <v>183.792473408564</v>
      </c>
      <c r="V108" s="114" t="n">
        <f aca="false">V104*INDEX(input_data!$L:$L,MATCH(dashboard!$B$5&amp;".in.enc.cmt.dry.coa",input_data!$A:$A,0))</f>
        <v>192.865672546755</v>
      </c>
      <c r="W108" s="114" t="n">
        <f aca="false">W104*INDEX(input_data!$L:$L,MATCH(dashboard!$B$5&amp;".in.enc.cmt.dry.coa",input_data!$A:$A,0))</f>
        <v>202.386784165118</v>
      </c>
      <c r="X108" s="114" t="n">
        <f aca="false">X104*INDEX(input_data!$L:$L,MATCH(dashboard!$B$5&amp;".in.enc.cmt.dry.coa",input_data!$A:$A,0))</f>
        <v>212.3779201546</v>
      </c>
    </row>
    <row r="109" customFormat="false" ht="15" hidden="false" customHeight="true" outlineLevel="0" collapsed="false">
      <c r="A109" s="73" t="str">
        <f aca="false">dashboard!$B$5&amp;".pj.enc.cmt.dry.nga"</f>
        <v>egy.pj.enc.cmt.dry.nga</v>
      </c>
      <c r="B109" s="73" t="str">
        <f aca="false">dashboard!$B$5</f>
        <v>egy</v>
      </c>
      <c r="C109" s="73" t="s">
        <v>3401</v>
      </c>
      <c r="D109" s="73" t="s">
        <v>891</v>
      </c>
      <c r="E109" s="73" t="s">
        <v>755</v>
      </c>
      <c r="F109" s="73" t="s">
        <v>756</v>
      </c>
      <c r="G109" s="73" t="s">
        <v>99</v>
      </c>
      <c r="H109" s="73" t="s">
        <v>3522</v>
      </c>
      <c r="I109" s="73" t="s">
        <v>3424</v>
      </c>
      <c r="J109" s="73" t="s">
        <v>3425</v>
      </c>
      <c r="K109" s="73"/>
      <c r="L109" s="73"/>
      <c r="M109" s="114" t="n">
        <f aca="false">M104*INDEX(input_data!$L:$L,MATCH(dashboard!$B$5&amp;".in.enc.cmt.dry.nga",input_data!$A:$A,0))</f>
        <v>25</v>
      </c>
      <c r="N109" s="114" t="n">
        <f aca="false">N104*INDEX(input_data!$L:$L,MATCH(dashboard!$B$5&amp;".in.enc.cmt.dry.nga",input_data!$A:$A,0))</f>
        <v>26.2341635881386</v>
      </c>
      <c r="O109" s="114" t="n">
        <f aca="false">O104*INDEX(input_data!$L:$L,MATCH(dashboard!$B$5&amp;".in.enc.cmt.dry.nga",input_data!$A:$A,0))</f>
        <v>27.5292535667687</v>
      </c>
      <c r="P109" s="114" t="n">
        <f aca="false">P104*INDEX(input_data!$L:$L,MATCH(dashboard!$B$5&amp;".in.enc.cmt.dry.nga",input_data!$A:$A,0))</f>
        <v>28.8882776611983</v>
      </c>
      <c r="Q109" s="114" t="n">
        <f aca="false">Q104*INDEX(input_data!$L:$L,MATCH(dashboard!$B$5&amp;".in.enc.cmt.dry.nga",input_data!$A:$A,0))</f>
        <v>30.3143920777379</v>
      </c>
      <c r="R109" s="114" t="n">
        <f aca="false">R104*INDEX(input_data!$L:$L,MATCH(dashboard!$B$5&amp;".in.enc.cmt.dry.nga",input_data!$A:$A,0))</f>
        <v>31.810908833694</v>
      </c>
      <c r="S109" s="114" t="n">
        <f aca="false">S104*INDEX(input_data!$L:$L,MATCH(dashboard!$B$5&amp;".in.enc.cmt.dry.nga",input_data!$A:$A,0))</f>
        <v>33.3813034492196</v>
      </c>
      <c r="T109" s="114" t="n">
        <f aca="false">T104*INDEX(input_data!$L:$L,MATCH(dashboard!$B$5&amp;".in.enc.cmt.dry.nga",input_data!$A:$A,0))</f>
        <v>35.0292230188849</v>
      </c>
      <c r="U109" s="114" t="n">
        <f aca="false">U104*INDEX(input_data!$L:$L,MATCH(dashboard!$B$5&amp;".in.enc.cmt.dry.nga",input_data!$A:$A,0))</f>
        <v>36.7584946817127</v>
      </c>
      <c r="V109" s="114" t="n">
        <f aca="false">V104*INDEX(input_data!$L:$L,MATCH(dashboard!$B$5&amp;".in.enc.cmt.dry.nga",input_data!$A:$A,0))</f>
        <v>38.573134509351</v>
      </c>
      <c r="W109" s="114" t="n">
        <f aca="false">W104*INDEX(input_data!$L:$L,MATCH(dashboard!$B$5&amp;".in.enc.cmt.dry.nga",input_data!$A:$A,0))</f>
        <v>40.4773568330235</v>
      </c>
      <c r="X109" s="114" t="n">
        <f aca="false">X104*INDEX(input_data!$L:$L,MATCH(dashboard!$B$5&amp;".in.enc.cmt.dry.nga",input_data!$A:$A,0))</f>
        <v>42.47558403092</v>
      </c>
    </row>
    <row r="110" customFormat="false" ht="15" hidden="false" customHeight="true" outlineLevel="0" collapsed="false">
      <c r="A110" s="73" t="str">
        <f aca="false">dashboard!$B$5&amp;".pj.enc.cmt.dry.gso"</f>
        <v>egy.pj.enc.cmt.dry.gso</v>
      </c>
      <c r="B110" s="73" t="str">
        <f aca="false">dashboard!$B$5</f>
        <v>egy</v>
      </c>
      <c r="C110" s="73" t="s">
        <v>3401</v>
      </c>
      <c r="D110" s="73" t="s">
        <v>891</v>
      </c>
      <c r="E110" s="73" t="s">
        <v>755</v>
      </c>
      <c r="F110" s="73" t="s">
        <v>756</v>
      </c>
      <c r="G110" s="73" t="s">
        <v>101</v>
      </c>
      <c r="H110" s="73" t="s">
        <v>3523</v>
      </c>
      <c r="I110" s="73" t="s">
        <v>3424</v>
      </c>
      <c r="J110" s="73" t="s">
        <v>3425</v>
      </c>
      <c r="K110" s="73"/>
      <c r="L110" s="73"/>
      <c r="M110" s="114" t="n">
        <f aca="false">M104*INDEX(input_data!$L:$L,MATCH(dashboard!$B$5&amp;".in.enc.cmt.dry.gso",input_data!$A:$A,0))</f>
        <v>0</v>
      </c>
      <c r="N110" s="114" t="n">
        <f aca="false">N104*INDEX(input_data!$L:$L,MATCH(dashboard!$B$5&amp;".in.enc.cmt.dry.gso",input_data!$A:$A,0))</f>
        <v>0</v>
      </c>
      <c r="O110" s="114" t="n">
        <f aca="false">O104*INDEX(input_data!$L:$L,MATCH(dashboard!$B$5&amp;".in.enc.cmt.dry.gso",input_data!$A:$A,0))</f>
        <v>0</v>
      </c>
      <c r="P110" s="114" t="n">
        <f aca="false">P104*INDEX(input_data!$L:$L,MATCH(dashboard!$B$5&amp;".in.enc.cmt.dry.gso",input_data!$A:$A,0))</f>
        <v>0</v>
      </c>
      <c r="Q110" s="114" t="n">
        <f aca="false">Q104*INDEX(input_data!$L:$L,MATCH(dashboard!$B$5&amp;".in.enc.cmt.dry.gso",input_data!$A:$A,0))</f>
        <v>0</v>
      </c>
      <c r="R110" s="114" t="n">
        <f aca="false">R104*INDEX(input_data!$L:$L,MATCH(dashboard!$B$5&amp;".in.enc.cmt.dry.gso",input_data!$A:$A,0))</f>
        <v>0</v>
      </c>
      <c r="S110" s="114" t="n">
        <f aca="false">S104*INDEX(input_data!$L:$L,MATCH(dashboard!$B$5&amp;".in.enc.cmt.dry.gso",input_data!$A:$A,0))</f>
        <v>0</v>
      </c>
      <c r="T110" s="114" t="n">
        <f aca="false">T104*INDEX(input_data!$L:$L,MATCH(dashboard!$B$5&amp;".in.enc.cmt.dry.gso",input_data!$A:$A,0))</f>
        <v>0</v>
      </c>
      <c r="U110" s="114" t="n">
        <f aca="false">U104*INDEX(input_data!$L:$L,MATCH(dashboard!$B$5&amp;".in.enc.cmt.dry.gso",input_data!$A:$A,0))</f>
        <v>0</v>
      </c>
      <c r="V110" s="114" t="n">
        <f aca="false">V104*INDEX(input_data!$L:$L,MATCH(dashboard!$B$5&amp;".in.enc.cmt.dry.gso",input_data!$A:$A,0))</f>
        <v>0</v>
      </c>
      <c r="W110" s="114" t="n">
        <f aca="false">W104*INDEX(input_data!$L:$L,MATCH(dashboard!$B$5&amp;".in.enc.cmt.dry.gso",input_data!$A:$A,0))</f>
        <v>0</v>
      </c>
      <c r="X110" s="114" t="n">
        <f aca="false">X104*INDEX(input_data!$L:$L,MATCH(dashboard!$B$5&amp;".in.enc.cmt.dry.gso",input_data!$A:$A,0))</f>
        <v>0</v>
      </c>
    </row>
    <row r="111" customFormat="false" ht="15" hidden="false" customHeight="true" outlineLevel="0" collapsed="false">
      <c r="A111" s="73" t="str">
        <f aca="false">dashboard!$B$5&amp;".pj.enc.cmt.dry.die"</f>
        <v>egy.pj.enc.cmt.dry.die</v>
      </c>
      <c r="B111" s="73" t="str">
        <f aca="false">dashboard!$B$5</f>
        <v>egy</v>
      </c>
      <c r="C111" s="73" t="s">
        <v>3401</v>
      </c>
      <c r="D111" s="73" t="s">
        <v>891</v>
      </c>
      <c r="E111" s="73" t="s">
        <v>755</v>
      </c>
      <c r="F111" s="73" t="s">
        <v>756</v>
      </c>
      <c r="G111" s="73" t="s">
        <v>103</v>
      </c>
      <c r="H111" s="73" t="s">
        <v>3524</v>
      </c>
      <c r="I111" s="73" t="s">
        <v>3424</v>
      </c>
      <c r="J111" s="73" t="s">
        <v>3425</v>
      </c>
      <c r="K111" s="73"/>
      <c r="L111" s="73"/>
      <c r="M111" s="114" t="n">
        <f aca="false">M104*INDEX(input_data!$L:$L,MATCH(dashboard!$B$5&amp;".in.enc.cmt.dry.die",input_data!$A:$A,0))</f>
        <v>0</v>
      </c>
      <c r="N111" s="114" t="n">
        <f aca="false">N104*INDEX(input_data!$L:$L,MATCH(dashboard!$B$5&amp;".in.enc.cmt.dry.die",input_data!$A:$A,0))</f>
        <v>0</v>
      </c>
      <c r="O111" s="114" t="n">
        <f aca="false">O104*INDEX(input_data!$L:$L,MATCH(dashboard!$B$5&amp;".in.enc.cmt.dry.die",input_data!$A:$A,0))</f>
        <v>0</v>
      </c>
      <c r="P111" s="114" t="n">
        <f aca="false">P104*INDEX(input_data!$L:$L,MATCH(dashboard!$B$5&amp;".in.enc.cmt.dry.die",input_data!$A:$A,0))</f>
        <v>0</v>
      </c>
      <c r="Q111" s="114" t="n">
        <f aca="false">Q104*INDEX(input_data!$L:$L,MATCH(dashboard!$B$5&amp;".in.enc.cmt.dry.die",input_data!$A:$A,0))</f>
        <v>0</v>
      </c>
      <c r="R111" s="114" t="n">
        <f aca="false">R104*INDEX(input_data!$L:$L,MATCH(dashboard!$B$5&amp;".in.enc.cmt.dry.die",input_data!$A:$A,0))</f>
        <v>0</v>
      </c>
      <c r="S111" s="114" t="n">
        <f aca="false">S104*INDEX(input_data!$L:$L,MATCH(dashboard!$B$5&amp;".in.enc.cmt.dry.die",input_data!$A:$A,0))</f>
        <v>0</v>
      </c>
      <c r="T111" s="114" t="n">
        <f aca="false">T104*INDEX(input_data!$L:$L,MATCH(dashboard!$B$5&amp;".in.enc.cmt.dry.die",input_data!$A:$A,0))</f>
        <v>0</v>
      </c>
      <c r="U111" s="114" t="n">
        <f aca="false">U104*INDEX(input_data!$L:$L,MATCH(dashboard!$B$5&amp;".in.enc.cmt.dry.die",input_data!$A:$A,0))</f>
        <v>0</v>
      </c>
      <c r="V111" s="114" t="n">
        <f aca="false">V104*INDEX(input_data!$L:$L,MATCH(dashboard!$B$5&amp;".in.enc.cmt.dry.die",input_data!$A:$A,0))</f>
        <v>0</v>
      </c>
      <c r="W111" s="114" t="n">
        <f aca="false">W104*INDEX(input_data!$L:$L,MATCH(dashboard!$B$5&amp;".in.enc.cmt.dry.die",input_data!$A:$A,0))</f>
        <v>0</v>
      </c>
      <c r="X111" s="114" t="n">
        <f aca="false">X104*INDEX(input_data!$L:$L,MATCH(dashboard!$B$5&amp;".in.enc.cmt.dry.die",input_data!$A:$A,0))</f>
        <v>0</v>
      </c>
    </row>
    <row r="112" customFormat="false" ht="15" hidden="false" customHeight="true" outlineLevel="0" collapsed="false">
      <c r="A112" s="73" t="str">
        <f aca="false">dashboard!$B$5&amp;".pj.enc.cmt.dry.ker"</f>
        <v>egy.pj.enc.cmt.dry.ker</v>
      </c>
      <c r="B112" s="73" t="str">
        <f aca="false">dashboard!$B$5</f>
        <v>egy</v>
      </c>
      <c r="C112" s="73" t="s">
        <v>3401</v>
      </c>
      <c r="D112" s="73" t="s">
        <v>891</v>
      </c>
      <c r="E112" s="73" t="s">
        <v>755</v>
      </c>
      <c r="F112" s="73" t="s">
        <v>756</v>
      </c>
      <c r="G112" s="73" t="s">
        <v>105</v>
      </c>
      <c r="H112" s="73" t="s">
        <v>3525</v>
      </c>
      <c r="I112" s="73" t="s">
        <v>3424</v>
      </c>
      <c r="J112" s="73" t="s">
        <v>3425</v>
      </c>
      <c r="K112" s="73"/>
      <c r="L112" s="73"/>
      <c r="M112" s="114" t="n">
        <f aca="false">M104*INDEX(input_data!$L:$L,MATCH(dashboard!$B$5&amp;".in.enc.cmt.dry.ker",input_data!$A:$A,0))</f>
        <v>0</v>
      </c>
      <c r="N112" s="114" t="n">
        <f aca="false">N104*INDEX(input_data!$L:$L,MATCH(dashboard!$B$5&amp;".in.enc.cmt.dry.ker",input_data!$A:$A,0))</f>
        <v>0</v>
      </c>
      <c r="O112" s="114" t="n">
        <f aca="false">O104*INDEX(input_data!$L:$L,MATCH(dashboard!$B$5&amp;".in.enc.cmt.dry.ker",input_data!$A:$A,0))</f>
        <v>0</v>
      </c>
      <c r="P112" s="114" t="n">
        <f aca="false">P104*INDEX(input_data!$L:$L,MATCH(dashboard!$B$5&amp;".in.enc.cmt.dry.ker",input_data!$A:$A,0))</f>
        <v>0</v>
      </c>
      <c r="Q112" s="114" t="n">
        <f aca="false">Q104*INDEX(input_data!$L:$L,MATCH(dashboard!$B$5&amp;".in.enc.cmt.dry.ker",input_data!$A:$A,0))</f>
        <v>0</v>
      </c>
      <c r="R112" s="114" t="n">
        <f aca="false">R104*INDEX(input_data!$L:$L,MATCH(dashboard!$B$5&amp;".in.enc.cmt.dry.ker",input_data!$A:$A,0))</f>
        <v>0</v>
      </c>
      <c r="S112" s="114" t="n">
        <f aca="false">S104*INDEX(input_data!$L:$L,MATCH(dashboard!$B$5&amp;".in.enc.cmt.dry.ker",input_data!$A:$A,0))</f>
        <v>0</v>
      </c>
      <c r="T112" s="114" t="n">
        <f aca="false">T104*INDEX(input_data!$L:$L,MATCH(dashboard!$B$5&amp;".in.enc.cmt.dry.ker",input_data!$A:$A,0))</f>
        <v>0</v>
      </c>
      <c r="U112" s="114" t="n">
        <f aca="false">U104*INDEX(input_data!$L:$L,MATCH(dashboard!$B$5&amp;".in.enc.cmt.dry.ker",input_data!$A:$A,0))</f>
        <v>0</v>
      </c>
      <c r="V112" s="114" t="n">
        <f aca="false">V104*INDEX(input_data!$L:$L,MATCH(dashboard!$B$5&amp;".in.enc.cmt.dry.ker",input_data!$A:$A,0))</f>
        <v>0</v>
      </c>
      <c r="W112" s="114" t="n">
        <f aca="false">W104*INDEX(input_data!$L:$L,MATCH(dashboard!$B$5&amp;".in.enc.cmt.dry.ker",input_data!$A:$A,0))</f>
        <v>0</v>
      </c>
      <c r="X112" s="114" t="n">
        <f aca="false">X104*INDEX(input_data!$L:$L,MATCH(dashboard!$B$5&amp;".in.enc.cmt.dry.ker",input_data!$A:$A,0))</f>
        <v>0</v>
      </c>
    </row>
    <row r="113" customFormat="false" ht="15" hidden="false" customHeight="true" outlineLevel="0" collapsed="false">
      <c r="A113" s="73" t="str">
        <f aca="false">dashboard!$B$5&amp;".pj.enc.cmt.dry.lpg"</f>
        <v>egy.pj.enc.cmt.dry.lpg</v>
      </c>
      <c r="B113" s="73" t="str">
        <f aca="false">dashboard!$B$5</f>
        <v>egy</v>
      </c>
      <c r="C113" s="73" t="s">
        <v>3401</v>
      </c>
      <c r="D113" s="73" t="s">
        <v>891</v>
      </c>
      <c r="E113" s="73" t="s">
        <v>755</v>
      </c>
      <c r="F113" s="73" t="s">
        <v>756</v>
      </c>
      <c r="G113" s="73" t="s">
        <v>107</v>
      </c>
      <c r="H113" s="73" t="s">
        <v>3526</v>
      </c>
      <c r="I113" s="73" t="s">
        <v>3424</v>
      </c>
      <c r="J113" s="73" t="s">
        <v>3425</v>
      </c>
      <c r="K113" s="73"/>
      <c r="L113" s="73"/>
      <c r="M113" s="114" t="n">
        <f aca="false">M104*INDEX(input_data!$L:$L,MATCH(dashboard!$B$5&amp;".in.enc.cmt.dry.lpg",input_data!$A:$A,0))</f>
        <v>0</v>
      </c>
      <c r="N113" s="114" t="n">
        <f aca="false">N104*INDEX(input_data!$L:$L,MATCH(dashboard!$B$5&amp;".in.enc.cmt.dry.lpg",input_data!$A:$A,0))</f>
        <v>0</v>
      </c>
      <c r="O113" s="114" t="n">
        <f aca="false">O104*INDEX(input_data!$L:$L,MATCH(dashboard!$B$5&amp;".in.enc.cmt.dry.lpg",input_data!$A:$A,0))</f>
        <v>0</v>
      </c>
      <c r="P113" s="114" t="n">
        <f aca="false">P104*INDEX(input_data!$L:$L,MATCH(dashboard!$B$5&amp;".in.enc.cmt.dry.lpg",input_data!$A:$A,0))</f>
        <v>0</v>
      </c>
      <c r="Q113" s="114" t="n">
        <f aca="false">Q104*INDEX(input_data!$L:$L,MATCH(dashboard!$B$5&amp;".in.enc.cmt.dry.lpg",input_data!$A:$A,0))</f>
        <v>0</v>
      </c>
      <c r="R113" s="114" t="n">
        <f aca="false">R104*INDEX(input_data!$L:$L,MATCH(dashboard!$B$5&amp;".in.enc.cmt.dry.lpg",input_data!$A:$A,0))</f>
        <v>0</v>
      </c>
      <c r="S113" s="114" t="n">
        <f aca="false">S104*INDEX(input_data!$L:$L,MATCH(dashboard!$B$5&amp;".in.enc.cmt.dry.lpg",input_data!$A:$A,0))</f>
        <v>0</v>
      </c>
      <c r="T113" s="114" t="n">
        <f aca="false">T104*INDEX(input_data!$L:$L,MATCH(dashboard!$B$5&amp;".in.enc.cmt.dry.lpg",input_data!$A:$A,0))</f>
        <v>0</v>
      </c>
      <c r="U113" s="114" t="n">
        <f aca="false">U104*INDEX(input_data!$L:$L,MATCH(dashboard!$B$5&amp;".in.enc.cmt.dry.lpg",input_data!$A:$A,0))</f>
        <v>0</v>
      </c>
      <c r="V113" s="114" t="n">
        <f aca="false">V104*INDEX(input_data!$L:$L,MATCH(dashboard!$B$5&amp;".in.enc.cmt.dry.lpg",input_data!$A:$A,0))</f>
        <v>0</v>
      </c>
      <c r="W113" s="114" t="n">
        <f aca="false">W104*INDEX(input_data!$L:$L,MATCH(dashboard!$B$5&amp;".in.enc.cmt.dry.lpg",input_data!$A:$A,0))</f>
        <v>0</v>
      </c>
      <c r="X113" s="114" t="n">
        <f aca="false">X104*INDEX(input_data!$L:$L,MATCH(dashboard!$B$5&amp;".in.enc.cmt.dry.lpg",input_data!$A:$A,0))</f>
        <v>0</v>
      </c>
    </row>
    <row r="114" customFormat="false" ht="15" hidden="false" customHeight="true" outlineLevel="0" collapsed="false">
      <c r="A114" s="73" t="str">
        <f aca="false">dashboard!$B$5&amp;".pj.enc.cmt.dry.bio"</f>
        <v>egy.pj.enc.cmt.dry.bio</v>
      </c>
      <c r="B114" s="73" t="str">
        <f aca="false">dashboard!$B$5</f>
        <v>egy</v>
      </c>
      <c r="C114" s="73" t="s">
        <v>3401</v>
      </c>
      <c r="D114" s="73" t="s">
        <v>891</v>
      </c>
      <c r="E114" s="73" t="s">
        <v>755</v>
      </c>
      <c r="F114" s="73" t="s">
        <v>756</v>
      </c>
      <c r="G114" s="73" t="s">
        <v>109</v>
      </c>
      <c r="H114" s="73" t="s">
        <v>3527</v>
      </c>
      <c r="I114" s="73" t="s">
        <v>3424</v>
      </c>
      <c r="J114" s="73" t="s">
        <v>3425</v>
      </c>
      <c r="K114" s="73"/>
      <c r="L114" s="73"/>
      <c r="M114" s="114" t="n">
        <f aca="false">M104*INDEX(input_data!$L:$L,MATCH(dashboard!$B$5&amp;".in.enc.cmt.dry.bio",input_data!$A:$A,0))</f>
        <v>0</v>
      </c>
      <c r="N114" s="114" t="n">
        <f aca="false">N104*INDEX(input_data!$L:$L,MATCH(dashboard!$B$5&amp;".in.enc.cmt.dry.bio",input_data!$A:$A,0))</f>
        <v>0</v>
      </c>
      <c r="O114" s="114" t="n">
        <f aca="false">O104*INDEX(input_data!$L:$L,MATCH(dashboard!$B$5&amp;".in.enc.cmt.dry.bio",input_data!$A:$A,0))</f>
        <v>0</v>
      </c>
      <c r="P114" s="114" t="n">
        <f aca="false">P104*INDEX(input_data!$L:$L,MATCH(dashboard!$B$5&amp;".in.enc.cmt.dry.bio",input_data!$A:$A,0))</f>
        <v>0</v>
      </c>
      <c r="Q114" s="114" t="n">
        <f aca="false">Q104*INDEX(input_data!$L:$L,MATCH(dashboard!$B$5&amp;".in.enc.cmt.dry.bio",input_data!$A:$A,0))</f>
        <v>0</v>
      </c>
      <c r="R114" s="114" t="n">
        <f aca="false">R104*INDEX(input_data!$L:$L,MATCH(dashboard!$B$5&amp;".in.enc.cmt.dry.bio",input_data!$A:$A,0))</f>
        <v>0</v>
      </c>
      <c r="S114" s="114" t="n">
        <f aca="false">S104*INDEX(input_data!$L:$L,MATCH(dashboard!$B$5&amp;".in.enc.cmt.dry.bio",input_data!$A:$A,0))</f>
        <v>0</v>
      </c>
      <c r="T114" s="114" t="n">
        <f aca="false">T104*INDEX(input_data!$L:$L,MATCH(dashboard!$B$5&amp;".in.enc.cmt.dry.bio",input_data!$A:$A,0))</f>
        <v>0</v>
      </c>
      <c r="U114" s="114" t="n">
        <f aca="false">U104*INDEX(input_data!$L:$L,MATCH(dashboard!$B$5&amp;".in.enc.cmt.dry.bio",input_data!$A:$A,0))</f>
        <v>0</v>
      </c>
      <c r="V114" s="114" t="n">
        <f aca="false">V104*INDEX(input_data!$L:$L,MATCH(dashboard!$B$5&amp;".in.enc.cmt.dry.bio",input_data!$A:$A,0))</f>
        <v>0</v>
      </c>
      <c r="W114" s="114" t="n">
        <f aca="false">W104*INDEX(input_data!$L:$L,MATCH(dashboard!$B$5&amp;".in.enc.cmt.dry.bio",input_data!$A:$A,0))</f>
        <v>0</v>
      </c>
      <c r="X114" s="114" t="n">
        <f aca="false">X104*INDEX(input_data!$L:$L,MATCH(dashboard!$B$5&amp;".in.enc.cmt.dry.bio",input_data!$A:$A,0))</f>
        <v>0</v>
      </c>
    </row>
    <row r="115" customFormat="false" ht="15" hidden="false" customHeight="true" outlineLevel="0" collapsed="false">
      <c r="A115" s="73" t="str">
        <f aca="false">dashboard!$B$5&amp;".pj.enc.cmt.dry.ren"</f>
        <v>egy.pj.enc.cmt.dry.ren</v>
      </c>
      <c r="B115" s="73" t="str">
        <f aca="false">dashboard!$B$5</f>
        <v>egy</v>
      </c>
      <c r="C115" s="73" t="s">
        <v>3401</v>
      </c>
      <c r="D115" s="73" t="s">
        <v>891</v>
      </c>
      <c r="E115" s="73" t="s">
        <v>755</v>
      </c>
      <c r="F115" s="73" t="s">
        <v>756</v>
      </c>
      <c r="G115" s="73" t="s">
        <v>111</v>
      </c>
      <c r="H115" s="73" t="s">
        <v>3528</v>
      </c>
      <c r="I115" s="73" t="s">
        <v>3424</v>
      </c>
      <c r="J115" s="73" t="s">
        <v>3425</v>
      </c>
      <c r="K115" s="73"/>
      <c r="L115" s="73"/>
      <c r="M115" s="114" t="n">
        <f aca="false">M104*INDEX(input_data!$L:$L,MATCH(dashboard!$B$5&amp;".in.enc.cmt.dry.ren",input_data!$A:$A,0))</f>
        <v>0</v>
      </c>
      <c r="N115" s="114" t="n">
        <f aca="false">N104*INDEX(input_data!$L:$L,MATCH(dashboard!$B$5&amp;".in.enc.cmt.dry.ren",input_data!$A:$A,0))</f>
        <v>0</v>
      </c>
      <c r="O115" s="114" t="n">
        <f aca="false">O104*INDEX(input_data!$L:$L,MATCH(dashboard!$B$5&amp;".in.enc.cmt.dry.ren",input_data!$A:$A,0))</f>
        <v>0</v>
      </c>
      <c r="P115" s="114" t="n">
        <f aca="false">P104*INDEX(input_data!$L:$L,MATCH(dashboard!$B$5&amp;".in.enc.cmt.dry.ren",input_data!$A:$A,0))</f>
        <v>0</v>
      </c>
      <c r="Q115" s="114" t="n">
        <f aca="false">Q104*INDEX(input_data!$L:$L,MATCH(dashboard!$B$5&amp;".in.enc.cmt.dry.ren",input_data!$A:$A,0))</f>
        <v>0</v>
      </c>
      <c r="R115" s="114" t="n">
        <f aca="false">R104*INDEX(input_data!$L:$L,MATCH(dashboard!$B$5&amp;".in.enc.cmt.dry.ren",input_data!$A:$A,0))</f>
        <v>0</v>
      </c>
      <c r="S115" s="114" t="n">
        <f aca="false">S104*INDEX(input_data!$L:$L,MATCH(dashboard!$B$5&amp;".in.enc.cmt.dry.ren",input_data!$A:$A,0))</f>
        <v>0</v>
      </c>
      <c r="T115" s="114" t="n">
        <f aca="false">T104*INDEX(input_data!$L:$L,MATCH(dashboard!$B$5&amp;".in.enc.cmt.dry.ren",input_data!$A:$A,0))</f>
        <v>0</v>
      </c>
      <c r="U115" s="114" t="n">
        <f aca="false">U104*INDEX(input_data!$L:$L,MATCH(dashboard!$B$5&amp;".in.enc.cmt.dry.ren",input_data!$A:$A,0))</f>
        <v>0</v>
      </c>
      <c r="V115" s="114" t="n">
        <f aca="false">V104*INDEX(input_data!$L:$L,MATCH(dashboard!$B$5&amp;".in.enc.cmt.dry.ren",input_data!$A:$A,0))</f>
        <v>0</v>
      </c>
      <c r="W115" s="114" t="n">
        <f aca="false">W104*INDEX(input_data!$L:$L,MATCH(dashboard!$B$5&amp;".in.enc.cmt.dry.ren",input_data!$A:$A,0))</f>
        <v>0</v>
      </c>
      <c r="X115" s="114" t="n">
        <f aca="false">X104*INDEX(input_data!$L:$L,MATCH(dashboard!$B$5&amp;".in.enc.cmt.dry.ren",input_data!$A:$A,0))</f>
        <v>0</v>
      </c>
    </row>
    <row r="116" customFormat="false" ht="15" hidden="false" customHeight="true" outlineLevel="0" collapsed="false">
      <c r="A116" s="73" t="str">
        <f aca="false">dashboard!$B$5&amp;".pj.enp.cmt.dry.coa"</f>
        <v>egy.pj.enp.cmt.dry.coa</v>
      </c>
      <c r="B116" s="73" t="str">
        <f aca="false">dashboard!$B$5</f>
        <v>egy</v>
      </c>
      <c r="C116" s="73" t="s">
        <v>3401</v>
      </c>
      <c r="D116" s="73" t="s">
        <v>918</v>
      </c>
      <c r="E116" s="73" t="s">
        <v>755</v>
      </c>
      <c r="F116" s="73" t="s">
        <v>756</v>
      </c>
      <c r="G116" s="73" t="s">
        <v>96</v>
      </c>
      <c r="H116" s="73" t="s">
        <v>3529</v>
      </c>
      <c r="I116" s="73" t="s">
        <v>3424</v>
      </c>
      <c r="J116" s="73" t="s">
        <v>3434</v>
      </c>
      <c r="K116" s="73"/>
      <c r="L116" s="73"/>
      <c r="M116" s="114" t="n">
        <f aca="false">M104*INDEX(input_data!$L:$L,MATCH(dashboard!$B$5&amp;".in.enp.cmt.dry.coa",input_data!$A:$A,0))</f>
        <v>0</v>
      </c>
      <c r="N116" s="114" t="n">
        <f aca="false">N104*INDEX(input_data!$L:$L,MATCH(dashboard!$B$5&amp;".in.enp.cmt.dry.coa",input_data!$A:$A,0))</f>
        <v>0</v>
      </c>
      <c r="O116" s="114" t="n">
        <f aca="false">O104*INDEX(input_data!$L:$L,MATCH(dashboard!$B$5&amp;".in.enp.cmt.dry.coa",input_data!$A:$A,0))</f>
        <v>0</v>
      </c>
      <c r="P116" s="114" t="n">
        <f aca="false">P104*INDEX(input_data!$L:$L,MATCH(dashboard!$B$5&amp;".in.enp.cmt.dry.coa",input_data!$A:$A,0))</f>
        <v>0</v>
      </c>
      <c r="Q116" s="114" t="n">
        <f aca="false">Q104*INDEX(input_data!$L:$L,MATCH(dashboard!$B$5&amp;".in.enp.cmt.dry.coa",input_data!$A:$A,0))</f>
        <v>0</v>
      </c>
      <c r="R116" s="114" t="n">
        <f aca="false">R104*INDEX(input_data!$L:$L,MATCH(dashboard!$B$5&amp;".in.enp.cmt.dry.coa",input_data!$A:$A,0))</f>
        <v>0</v>
      </c>
      <c r="S116" s="114" t="n">
        <f aca="false">S104*INDEX(input_data!$L:$L,MATCH(dashboard!$B$5&amp;".in.enp.cmt.dry.coa",input_data!$A:$A,0))</f>
        <v>0</v>
      </c>
      <c r="T116" s="114" t="n">
        <f aca="false">T104*INDEX(input_data!$L:$L,MATCH(dashboard!$B$5&amp;".in.enp.cmt.dry.coa",input_data!$A:$A,0))</f>
        <v>0</v>
      </c>
      <c r="U116" s="114" t="n">
        <f aca="false">U104*INDEX(input_data!$L:$L,MATCH(dashboard!$B$5&amp;".in.enp.cmt.dry.coa",input_data!$A:$A,0))</f>
        <v>0</v>
      </c>
      <c r="V116" s="114" t="n">
        <f aca="false">V104*INDEX(input_data!$L:$L,MATCH(dashboard!$B$5&amp;".in.enp.cmt.dry.coa",input_data!$A:$A,0))</f>
        <v>0</v>
      </c>
      <c r="W116" s="114" t="n">
        <f aca="false">W104*INDEX(input_data!$L:$L,MATCH(dashboard!$B$5&amp;".in.enp.cmt.dry.coa",input_data!$A:$A,0))</f>
        <v>0</v>
      </c>
      <c r="X116" s="114" t="n">
        <f aca="false">X104*INDEX(input_data!$L:$L,MATCH(dashboard!$B$5&amp;".in.enp.cmt.dry.coa",input_data!$A:$A,0))</f>
        <v>0</v>
      </c>
    </row>
    <row r="117" customFormat="false" ht="15" hidden="false" customHeight="true" outlineLevel="0" collapsed="false">
      <c r="A117" s="73" t="str">
        <f aca="false">dashboard!$B$5&amp;".pj.enp.cmt.dry.nga"</f>
        <v>egy.pj.enp.cmt.dry.nga</v>
      </c>
      <c r="B117" s="73" t="str">
        <f aca="false">dashboard!$B$5</f>
        <v>egy</v>
      </c>
      <c r="C117" s="73" t="s">
        <v>3401</v>
      </c>
      <c r="D117" s="73" t="s">
        <v>918</v>
      </c>
      <c r="E117" s="73" t="s">
        <v>755</v>
      </c>
      <c r="F117" s="73" t="s">
        <v>756</v>
      </c>
      <c r="G117" s="73" t="s">
        <v>99</v>
      </c>
      <c r="H117" s="73" t="s">
        <v>3530</v>
      </c>
      <c r="I117" s="73" t="s">
        <v>3424</v>
      </c>
      <c r="J117" s="73" t="s">
        <v>3434</v>
      </c>
      <c r="K117" s="73"/>
      <c r="L117" s="73"/>
      <c r="M117" s="114" t="n">
        <f aca="false">M104*INDEX(input_data!$L:$L,MATCH(dashboard!$B$5&amp;".in.enp.cmt.dry.nga",input_data!$A:$A,0))</f>
        <v>0</v>
      </c>
      <c r="N117" s="114" t="n">
        <f aca="false">N104*INDEX(input_data!$L:$L,MATCH(dashboard!$B$5&amp;".in.enp.cmt.dry.nga",input_data!$A:$A,0))</f>
        <v>0</v>
      </c>
      <c r="O117" s="114" t="n">
        <f aca="false">O104*INDEX(input_data!$L:$L,MATCH(dashboard!$B$5&amp;".in.enp.cmt.dry.nga",input_data!$A:$A,0))</f>
        <v>0</v>
      </c>
      <c r="P117" s="114" t="n">
        <f aca="false">P104*INDEX(input_data!$L:$L,MATCH(dashboard!$B$5&amp;".in.enp.cmt.dry.nga",input_data!$A:$A,0))</f>
        <v>0</v>
      </c>
      <c r="Q117" s="114" t="n">
        <f aca="false">Q104*INDEX(input_data!$L:$L,MATCH(dashboard!$B$5&amp;".in.enp.cmt.dry.nga",input_data!$A:$A,0))</f>
        <v>0</v>
      </c>
      <c r="R117" s="114" t="n">
        <f aca="false">R104*INDEX(input_data!$L:$L,MATCH(dashboard!$B$5&amp;".in.enp.cmt.dry.nga",input_data!$A:$A,0))</f>
        <v>0</v>
      </c>
      <c r="S117" s="114" t="n">
        <f aca="false">S104*INDEX(input_data!$L:$L,MATCH(dashboard!$B$5&amp;".in.enp.cmt.dry.nga",input_data!$A:$A,0))</f>
        <v>0</v>
      </c>
      <c r="T117" s="114" t="n">
        <f aca="false">T104*INDEX(input_data!$L:$L,MATCH(dashboard!$B$5&amp;".in.enp.cmt.dry.nga",input_data!$A:$A,0))</f>
        <v>0</v>
      </c>
      <c r="U117" s="114" t="n">
        <f aca="false">U104*INDEX(input_data!$L:$L,MATCH(dashboard!$B$5&amp;".in.enp.cmt.dry.nga",input_data!$A:$A,0))</f>
        <v>0</v>
      </c>
      <c r="V117" s="114" t="n">
        <f aca="false">V104*INDEX(input_data!$L:$L,MATCH(dashboard!$B$5&amp;".in.enp.cmt.dry.nga",input_data!$A:$A,0))</f>
        <v>0</v>
      </c>
      <c r="W117" s="114" t="n">
        <f aca="false">W104*INDEX(input_data!$L:$L,MATCH(dashboard!$B$5&amp;".in.enp.cmt.dry.nga",input_data!$A:$A,0))</f>
        <v>0</v>
      </c>
      <c r="X117" s="114" t="n">
        <f aca="false">X104*INDEX(input_data!$L:$L,MATCH(dashboard!$B$5&amp;".in.enp.cmt.dry.nga",input_data!$A:$A,0))</f>
        <v>0</v>
      </c>
    </row>
    <row r="118" customFormat="false" ht="15" hidden="false" customHeight="true" outlineLevel="0" collapsed="false">
      <c r="A118" s="73" t="str">
        <f aca="false">dashboard!$B$5&amp;".pj.enp.cmt.dry.gso"</f>
        <v>egy.pj.enp.cmt.dry.gso</v>
      </c>
      <c r="B118" s="73" t="str">
        <f aca="false">dashboard!$B$5</f>
        <v>egy</v>
      </c>
      <c r="C118" s="73" t="s">
        <v>3401</v>
      </c>
      <c r="D118" s="73" t="s">
        <v>918</v>
      </c>
      <c r="E118" s="73" t="s">
        <v>755</v>
      </c>
      <c r="F118" s="73" t="s">
        <v>756</v>
      </c>
      <c r="G118" s="73" t="s">
        <v>101</v>
      </c>
      <c r="H118" s="73" t="s">
        <v>3531</v>
      </c>
      <c r="I118" s="73" t="s">
        <v>3424</v>
      </c>
      <c r="J118" s="73" t="s">
        <v>3434</v>
      </c>
      <c r="K118" s="73"/>
      <c r="L118" s="73"/>
      <c r="M118" s="114" t="n">
        <f aca="false">M104*INDEX(input_data!$L:$L,MATCH(dashboard!$B$5&amp;".in.enp.cmt.dry.gso",input_data!$A:$A,0))</f>
        <v>0</v>
      </c>
      <c r="N118" s="114" t="n">
        <f aca="false">N104*INDEX(input_data!$L:$L,MATCH(dashboard!$B$5&amp;".in.enp.cmt.dry.gso",input_data!$A:$A,0))</f>
        <v>0</v>
      </c>
      <c r="O118" s="114" t="n">
        <f aca="false">O104*INDEX(input_data!$L:$L,MATCH(dashboard!$B$5&amp;".in.enp.cmt.dry.gso",input_data!$A:$A,0))</f>
        <v>0</v>
      </c>
      <c r="P118" s="114" t="n">
        <f aca="false">P104*INDEX(input_data!$L:$L,MATCH(dashboard!$B$5&amp;".in.enp.cmt.dry.gso",input_data!$A:$A,0))</f>
        <v>0</v>
      </c>
      <c r="Q118" s="114" t="n">
        <f aca="false">Q104*INDEX(input_data!$L:$L,MATCH(dashboard!$B$5&amp;".in.enp.cmt.dry.gso",input_data!$A:$A,0))</f>
        <v>0</v>
      </c>
      <c r="R118" s="114" t="n">
        <f aca="false">R104*INDEX(input_data!$L:$L,MATCH(dashboard!$B$5&amp;".in.enp.cmt.dry.gso",input_data!$A:$A,0))</f>
        <v>0</v>
      </c>
      <c r="S118" s="114" t="n">
        <f aca="false">S104*INDEX(input_data!$L:$L,MATCH(dashboard!$B$5&amp;".in.enp.cmt.dry.gso",input_data!$A:$A,0))</f>
        <v>0</v>
      </c>
      <c r="T118" s="114" t="n">
        <f aca="false">T104*INDEX(input_data!$L:$L,MATCH(dashboard!$B$5&amp;".in.enp.cmt.dry.gso",input_data!$A:$A,0))</f>
        <v>0</v>
      </c>
      <c r="U118" s="114" t="n">
        <f aca="false">U104*INDEX(input_data!$L:$L,MATCH(dashboard!$B$5&amp;".in.enp.cmt.dry.gso",input_data!$A:$A,0))</f>
        <v>0</v>
      </c>
      <c r="V118" s="114" t="n">
        <f aca="false">V104*INDEX(input_data!$L:$L,MATCH(dashboard!$B$5&amp;".in.enp.cmt.dry.gso",input_data!$A:$A,0))</f>
        <v>0</v>
      </c>
      <c r="W118" s="114" t="n">
        <f aca="false">W104*INDEX(input_data!$L:$L,MATCH(dashboard!$B$5&amp;".in.enp.cmt.dry.gso",input_data!$A:$A,0))</f>
        <v>0</v>
      </c>
      <c r="X118" s="114" t="n">
        <f aca="false">X104*INDEX(input_data!$L:$L,MATCH(dashboard!$B$5&amp;".in.enp.cmt.dry.gso",input_data!$A:$A,0))</f>
        <v>0</v>
      </c>
    </row>
    <row r="119" customFormat="false" ht="15" hidden="false" customHeight="true" outlineLevel="0" collapsed="false">
      <c r="A119" s="73" t="str">
        <f aca="false">dashboard!$B$5&amp;".pj.enp.cmt.dry.die"</f>
        <v>egy.pj.enp.cmt.dry.die</v>
      </c>
      <c r="B119" s="73" t="str">
        <f aca="false">dashboard!$B$5</f>
        <v>egy</v>
      </c>
      <c r="C119" s="73" t="s">
        <v>3401</v>
      </c>
      <c r="D119" s="73" t="s">
        <v>918</v>
      </c>
      <c r="E119" s="73" t="s">
        <v>755</v>
      </c>
      <c r="F119" s="73" t="s">
        <v>756</v>
      </c>
      <c r="G119" s="73" t="s">
        <v>103</v>
      </c>
      <c r="H119" s="73" t="s">
        <v>3532</v>
      </c>
      <c r="I119" s="73" t="s">
        <v>3424</v>
      </c>
      <c r="J119" s="73" t="s">
        <v>3434</v>
      </c>
      <c r="K119" s="73"/>
      <c r="L119" s="73"/>
      <c r="M119" s="114" t="n">
        <f aca="false">M104*INDEX(input_data!$L:$L,MATCH(dashboard!$B$5&amp;".in.enp.cmt.dry.die",input_data!$A:$A,0))</f>
        <v>0</v>
      </c>
      <c r="N119" s="114" t="n">
        <f aca="false">N104*INDEX(input_data!$L:$L,MATCH(dashboard!$B$5&amp;".in.enp.cmt.dry.die",input_data!$A:$A,0))</f>
        <v>0</v>
      </c>
      <c r="O119" s="114" t="n">
        <f aca="false">O104*INDEX(input_data!$L:$L,MATCH(dashboard!$B$5&amp;".in.enp.cmt.dry.die",input_data!$A:$A,0))</f>
        <v>0</v>
      </c>
      <c r="P119" s="114" t="n">
        <f aca="false">P104*INDEX(input_data!$L:$L,MATCH(dashboard!$B$5&amp;".in.enp.cmt.dry.die",input_data!$A:$A,0))</f>
        <v>0</v>
      </c>
      <c r="Q119" s="114" t="n">
        <f aca="false">Q104*INDEX(input_data!$L:$L,MATCH(dashboard!$B$5&amp;".in.enp.cmt.dry.die",input_data!$A:$A,0))</f>
        <v>0</v>
      </c>
      <c r="R119" s="114" t="n">
        <f aca="false">R104*INDEX(input_data!$L:$L,MATCH(dashboard!$B$5&amp;".in.enp.cmt.dry.die",input_data!$A:$A,0))</f>
        <v>0</v>
      </c>
      <c r="S119" s="114" t="n">
        <f aca="false">S104*INDEX(input_data!$L:$L,MATCH(dashboard!$B$5&amp;".in.enp.cmt.dry.die",input_data!$A:$A,0))</f>
        <v>0</v>
      </c>
      <c r="T119" s="114" t="n">
        <f aca="false">T104*INDEX(input_data!$L:$L,MATCH(dashboard!$B$5&amp;".in.enp.cmt.dry.die",input_data!$A:$A,0))</f>
        <v>0</v>
      </c>
      <c r="U119" s="114" t="n">
        <f aca="false">U104*INDEX(input_data!$L:$L,MATCH(dashboard!$B$5&amp;".in.enp.cmt.dry.die",input_data!$A:$A,0))</f>
        <v>0</v>
      </c>
      <c r="V119" s="114" t="n">
        <f aca="false">V104*INDEX(input_data!$L:$L,MATCH(dashboard!$B$5&amp;".in.enp.cmt.dry.die",input_data!$A:$A,0))</f>
        <v>0</v>
      </c>
      <c r="W119" s="114" t="n">
        <f aca="false">W104*INDEX(input_data!$L:$L,MATCH(dashboard!$B$5&amp;".in.enp.cmt.dry.die",input_data!$A:$A,0))</f>
        <v>0</v>
      </c>
      <c r="X119" s="114" t="n">
        <f aca="false">X104*INDEX(input_data!$L:$L,MATCH(dashboard!$B$5&amp;".in.enp.cmt.dry.die",input_data!$A:$A,0))</f>
        <v>0</v>
      </c>
    </row>
    <row r="120" customFormat="false" ht="15" hidden="false" customHeight="true" outlineLevel="0" collapsed="false">
      <c r="A120" s="73" t="str">
        <f aca="false">dashboard!$B$5&amp;".pj.enp.cmt.dry.ker"</f>
        <v>egy.pj.enp.cmt.dry.ker</v>
      </c>
      <c r="B120" s="73" t="str">
        <f aca="false">dashboard!$B$5</f>
        <v>egy</v>
      </c>
      <c r="C120" s="73" t="s">
        <v>3401</v>
      </c>
      <c r="D120" s="73" t="s">
        <v>918</v>
      </c>
      <c r="E120" s="73" t="s">
        <v>755</v>
      </c>
      <c r="F120" s="73" t="s">
        <v>756</v>
      </c>
      <c r="G120" s="73" t="s">
        <v>105</v>
      </c>
      <c r="H120" s="73" t="s">
        <v>3533</v>
      </c>
      <c r="I120" s="73" t="s">
        <v>3424</v>
      </c>
      <c r="J120" s="73" t="s">
        <v>3434</v>
      </c>
      <c r="K120" s="73"/>
      <c r="L120" s="73"/>
      <c r="M120" s="114" t="n">
        <f aca="false">M104*INDEX(input_data!$L:$L,MATCH(dashboard!$B$5&amp;".in.enp.cmt.dry.ker",input_data!$A:$A,0))</f>
        <v>0</v>
      </c>
      <c r="N120" s="114" t="n">
        <f aca="false">N104*INDEX(input_data!$L:$L,MATCH(dashboard!$B$5&amp;".in.enp.cmt.dry.ker",input_data!$A:$A,0))</f>
        <v>0</v>
      </c>
      <c r="O120" s="114" t="n">
        <f aca="false">O104*INDEX(input_data!$L:$L,MATCH(dashboard!$B$5&amp;".in.enp.cmt.dry.ker",input_data!$A:$A,0))</f>
        <v>0</v>
      </c>
      <c r="P120" s="114" t="n">
        <f aca="false">P104*INDEX(input_data!$L:$L,MATCH(dashboard!$B$5&amp;".in.enp.cmt.dry.ker",input_data!$A:$A,0))</f>
        <v>0</v>
      </c>
      <c r="Q120" s="114" t="n">
        <f aca="false">Q104*INDEX(input_data!$L:$L,MATCH(dashboard!$B$5&amp;".in.enp.cmt.dry.ker",input_data!$A:$A,0))</f>
        <v>0</v>
      </c>
      <c r="R120" s="114" t="n">
        <f aca="false">R104*INDEX(input_data!$L:$L,MATCH(dashboard!$B$5&amp;".in.enp.cmt.dry.ker",input_data!$A:$A,0))</f>
        <v>0</v>
      </c>
      <c r="S120" s="114" t="n">
        <f aca="false">S104*INDEX(input_data!$L:$L,MATCH(dashboard!$B$5&amp;".in.enp.cmt.dry.ker",input_data!$A:$A,0))</f>
        <v>0</v>
      </c>
      <c r="T120" s="114" t="n">
        <f aca="false">T104*INDEX(input_data!$L:$L,MATCH(dashboard!$B$5&amp;".in.enp.cmt.dry.ker",input_data!$A:$A,0))</f>
        <v>0</v>
      </c>
      <c r="U120" s="114" t="n">
        <f aca="false">U104*INDEX(input_data!$L:$L,MATCH(dashboard!$B$5&amp;".in.enp.cmt.dry.ker",input_data!$A:$A,0))</f>
        <v>0</v>
      </c>
      <c r="V120" s="114" t="n">
        <f aca="false">V104*INDEX(input_data!$L:$L,MATCH(dashboard!$B$5&amp;".in.enp.cmt.dry.ker",input_data!$A:$A,0))</f>
        <v>0</v>
      </c>
      <c r="W120" s="114" t="n">
        <f aca="false">W104*INDEX(input_data!$L:$L,MATCH(dashboard!$B$5&amp;".in.enp.cmt.dry.ker",input_data!$A:$A,0))</f>
        <v>0</v>
      </c>
      <c r="X120" s="114" t="n">
        <f aca="false">X104*INDEX(input_data!$L:$L,MATCH(dashboard!$B$5&amp;".in.enp.cmt.dry.ker",input_data!$A:$A,0))</f>
        <v>0</v>
      </c>
    </row>
    <row r="121" customFormat="false" ht="15" hidden="false" customHeight="true" outlineLevel="0" collapsed="false">
      <c r="A121" s="73" t="str">
        <f aca="false">dashboard!$B$5&amp;".pj.enp.cmt.dry.lpg"</f>
        <v>egy.pj.enp.cmt.dry.lpg</v>
      </c>
      <c r="B121" s="73" t="str">
        <f aca="false">dashboard!$B$5</f>
        <v>egy</v>
      </c>
      <c r="C121" s="73" t="s">
        <v>3401</v>
      </c>
      <c r="D121" s="73" t="s">
        <v>918</v>
      </c>
      <c r="E121" s="73" t="s">
        <v>755</v>
      </c>
      <c r="F121" s="73" t="s">
        <v>756</v>
      </c>
      <c r="G121" s="73" t="s">
        <v>107</v>
      </c>
      <c r="H121" s="73" t="s">
        <v>3534</v>
      </c>
      <c r="I121" s="73" t="s">
        <v>3424</v>
      </c>
      <c r="J121" s="73" t="s">
        <v>3434</v>
      </c>
      <c r="K121" s="73"/>
      <c r="L121" s="73"/>
      <c r="M121" s="114" t="n">
        <f aca="false">M104*INDEX(input_data!$L:$L,MATCH(dashboard!$B$5&amp;".in.enp.cmt.dry.lpg",input_data!$A:$A,0))</f>
        <v>0</v>
      </c>
      <c r="N121" s="114" t="n">
        <f aca="false">N104*INDEX(input_data!$L:$L,MATCH(dashboard!$B$5&amp;".in.enp.cmt.dry.lpg",input_data!$A:$A,0))</f>
        <v>0</v>
      </c>
      <c r="O121" s="114" t="n">
        <f aca="false">O104*INDEX(input_data!$L:$L,MATCH(dashboard!$B$5&amp;".in.enp.cmt.dry.lpg",input_data!$A:$A,0))</f>
        <v>0</v>
      </c>
      <c r="P121" s="114" t="n">
        <f aca="false">P104*INDEX(input_data!$L:$L,MATCH(dashboard!$B$5&amp;".in.enp.cmt.dry.lpg",input_data!$A:$A,0))</f>
        <v>0</v>
      </c>
      <c r="Q121" s="114" t="n">
        <f aca="false">Q104*INDEX(input_data!$L:$L,MATCH(dashboard!$B$5&amp;".in.enp.cmt.dry.lpg",input_data!$A:$A,0))</f>
        <v>0</v>
      </c>
      <c r="R121" s="114" t="n">
        <f aca="false">R104*INDEX(input_data!$L:$L,MATCH(dashboard!$B$5&amp;".in.enp.cmt.dry.lpg",input_data!$A:$A,0))</f>
        <v>0</v>
      </c>
      <c r="S121" s="114" t="n">
        <f aca="false">S104*INDEX(input_data!$L:$L,MATCH(dashboard!$B$5&amp;".in.enp.cmt.dry.lpg",input_data!$A:$A,0))</f>
        <v>0</v>
      </c>
      <c r="T121" s="114" t="n">
        <f aca="false">T104*INDEX(input_data!$L:$L,MATCH(dashboard!$B$5&amp;".in.enp.cmt.dry.lpg",input_data!$A:$A,0))</f>
        <v>0</v>
      </c>
      <c r="U121" s="114" t="n">
        <f aca="false">U104*INDEX(input_data!$L:$L,MATCH(dashboard!$B$5&amp;".in.enp.cmt.dry.lpg",input_data!$A:$A,0))</f>
        <v>0</v>
      </c>
      <c r="V121" s="114" t="n">
        <f aca="false">V104*INDEX(input_data!$L:$L,MATCH(dashboard!$B$5&amp;".in.enp.cmt.dry.lpg",input_data!$A:$A,0))</f>
        <v>0</v>
      </c>
      <c r="W121" s="114" t="n">
        <f aca="false">W104*INDEX(input_data!$L:$L,MATCH(dashboard!$B$5&amp;".in.enp.cmt.dry.lpg",input_data!$A:$A,0))</f>
        <v>0</v>
      </c>
      <c r="X121" s="114" t="n">
        <f aca="false">X104*INDEX(input_data!$L:$L,MATCH(dashboard!$B$5&amp;".in.enp.cmt.dry.lpg",input_data!$A:$A,0))</f>
        <v>0</v>
      </c>
    </row>
    <row r="122" customFormat="false" ht="15" hidden="false" customHeight="true" outlineLevel="0" collapsed="false">
      <c r="A122" s="73" t="str">
        <f aca="false">dashboard!$B$5&amp;".pj.enp.cmt.dry.bio"</f>
        <v>egy.pj.enp.cmt.dry.bio</v>
      </c>
      <c r="B122" s="73" t="str">
        <f aca="false">dashboard!$B$5</f>
        <v>egy</v>
      </c>
      <c r="C122" s="73" t="s">
        <v>3401</v>
      </c>
      <c r="D122" s="73" t="s">
        <v>918</v>
      </c>
      <c r="E122" s="73" t="s">
        <v>755</v>
      </c>
      <c r="F122" s="73" t="s">
        <v>756</v>
      </c>
      <c r="G122" s="73" t="s">
        <v>109</v>
      </c>
      <c r="H122" s="73" t="s">
        <v>3535</v>
      </c>
      <c r="I122" s="73" t="s">
        <v>3424</v>
      </c>
      <c r="J122" s="73" t="s">
        <v>3434</v>
      </c>
      <c r="K122" s="73"/>
      <c r="L122" s="73"/>
      <c r="M122" s="114" t="n">
        <f aca="false">M104*INDEX(input_data!$L:$L,MATCH(dashboard!$B$5&amp;".in.enp.cmt.dry.bio",input_data!$A:$A,0))</f>
        <v>0</v>
      </c>
      <c r="N122" s="114" t="n">
        <f aca="false">N104*INDEX(input_data!$L:$L,MATCH(dashboard!$B$5&amp;".in.enp.cmt.dry.bio",input_data!$A:$A,0))</f>
        <v>0</v>
      </c>
      <c r="O122" s="114" t="n">
        <f aca="false">O104*INDEX(input_data!$L:$L,MATCH(dashboard!$B$5&amp;".in.enp.cmt.dry.bio",input_data!$A:$A,0))</f>
        <v>0</v>
      </c>
      <c r="P122" s="114" t="n">
        <f aca="false">P104*INDEX(input_data!$L:$L,MATCH(dashboard!$B$5&amp;".in.enp.cmt.dry.bio",input_data!$A:$A,0))</f>
        <v>0</v>
      </c>
      <c r="Q122" s="114" t="n">
        <f aca="false">Q104*INDEX(input_data!$L:$L,MATCH(dashboard!$B$5&amp;".in.enp.cmt.dry.bio",input_data!$A:$A,0))</f>
        <v>0</v>
      </c>
      <c r="R122" s="114" t="n">
        <f aca="false">R104*INDEX(input_data!$L:$L,MATCH(dashboard!$B$5&amp;".in.enp.cmt.dry.bio",input_data!$A:$A,0))</f>
        <v>0</v>
      </c>
      <c r="S122" s="114" t="n">
        <f aca="false">S104*INDEX(input_data!$L:$L,MATCH(dashboard!$B$5&amp;".in.enp.cmt.dry.bio",input_data!$A:$A,0))</f>
        <v>0</v>
      </c>
      <c r="T122" s="114" t="n">
        <f aca="false">T104*INDEX(input_data!$L:$L,MATCH(dashboard!$B$5&amp;".in.enp.cmt.dry.bio",input_data!$A:$A,0))</f>
        <v>0</v>
      </c>
      <c r="U122" s="114" t="n">
        <f aca="false">U104*INDEX(input_data!$L:$L,MATCH(dashboard!$B$5&amp;".in.enp.cmt.dry.bio",input_data!$A:$A,0))</f>
        <v>0</v>
      </c>
      <c r="V122" s="114" t="n">
        <f aca="false">V104*INDEX(input_data!$L:$L,MATCH(dashboard!$B$5&amp;".in.enp.cmt.dry.bio",input_data!$A:$A,0))</f>
        <v>0</v>
      </c>
      <c r="W122" s="114" t="n">
        <f aca="false">W104*INDEX(input_data!$L:$L,MATCH(dashboard!$B$5&amp;".in.enp.cmt.dry.bio",input_data!$A:$A,0))</f>
        <v>0</v>
      </c>
      <c r="X122" s="114" t="n">
        <f aca="false">X104*INDEX(input_data!$L:$L,MATCH(dashboard!$B$5&amp;".in.enp.cmt.dry.bio",input_data!$A:$A,0))</f>
        <v>0</v>
      </c>
    </row>
    <row r="123" customFormat="false" ht="15" hidden="false" customHeight="true" outlineLevel="0" collapsed="false">
      <c r="A123" s="73" t="str">
        <f aca="false">dashboard!$B$5&amp;".pj.enp.cmt.dry.ren"</f>
        <v>egy.pj.enp.cmt.dry.ren</v>
      </c>
      <c r="B123" s="73" t="str">
        <f aca="false">dashboard!$B$5</f>
        <v>egy</v>
      </c>
      <c r="C123" s="73" t="s">
        <v>3401</v>
      </c>
      <c r="D123" s="73" t="s">
        <v>918</v>
      </c>
      <c r="E123" s="73" t="s">
        <v>755</v>
      </c>
      <c r="F123" s="73" t="s">
        <v>756</v>
      </c>
      <c r="G123" s="73" t="s">
        <v>111</v>
      </c>
      <c r="H123" s="73" t="s">
        <v>3536</v>
      </c>
      <c r="I123" s="73" t="s">
        <v>3424</v>
      </c>
      <c r="J123" s="73" t="s">
        <v>3434</v>
      </c>
      <c r="K123" s="73"/>
      <c r="L123" s="73"/>
      <c r="M123" s="114" t="n">
        <f aca="false">M104*INDEX(input_data!$L:$L,MATCH(dashboard!$B$5&amp;".in.enp.cmt.dry.ren",input_data!$A:$A,0))</f>
        <v>0</v>
      </c>
      <c r="N123" s="114" t="n">
        <f aca="false">N104*INDEX(input_data!$L:$L,MATCH(dashboard!$B$5&amp;".in.enp.cmt.dry.ren",input_data!$A:$A,0))</f>
        <v>0</v>
      </c>
      <c r="O123" s="114" t="n">
        <f aca="false">O104*INDEX(input_data!$L:$L,MATCH(dashboard!$B$5&amp;".in.enp.cmt.dry.ren",input_data!$A:$A,0))</f>
        <v>0</v>
      </c>
      <c r="P123" s="114" t="n">
        <f aca="false">P104*INDEX(input_data!$L:$L,MATCH(dashboard!$B$5&amp;".in.enp.cmt.dry.ren",input_data!$A:$A,0))</f>
        <v>0</v>
      </c>
      <c r="Q123" s="114" t="n">
        <f aca="false">Q104*INDEX(input_data!$L:$L,MATCH(dashboard!$B$5&amp;".in.enp.cmt.dry.ren",input_data!$A:$A,0))</f>
        <v>0</v>
      </c>
      <c r="R123" s="114" t="n">
        <f aca="false">R104*INDEX(input_data!$L:$L,MATCH(dashboard!$B$5&amp;".in.enp.cmt.dry.ren",input_data!$A:$A,0))</f>
        <v>0</v>
      </c>
      <c r="S123" s="114" t="n">
        <f aca="false">S104*INDEX(input_data!$L:$L,MATCH(dashboard!$B$5&amp;".in.enp.cmt.dry.ren",input_data!$A:$A,0))</f>
        <v>0</v>
      </c>
      <c r="T123" s="114" t="n">
        <f aca="false">T104*INDEX(input_data!$L:$L,MATCH(dashboard!$B$5&amp;".in.enp.cmt.dry.ren",input_data!$A:$A,0))</f>
        <v>0</v>
      </c>
      <c r="U123" s="114" t="n">
        <f aca="false">U104*INDEX(input_data!$L:$L,MATCH(dashboard!$B$5&amp;".in.enp.cmt.dry.ren",input_data!$A:$A,0))</f>
        <v>0</v>
      </c>
      <c r="V123" s="114" t="n">
        <f aca="false">V104*INDEX(input_data!$L:$L,MATCH(dashboard!$B$5&amp;".in.enp.cmt.dry.ren",input_data!$A:$A,0))</f>
        <v>0</v>
      </c>
      <c r="W123" s="114" t="n">
        <f aca="false">W104*INDEX(input_data!$L:$L,MATCH(dashboard!$B$5&amp;".in.enp.cmt.dry.ren",input_data!$A:$A,0))</f>
        <v>0</v>
      </c>
      <c r="X123" s="114" t="n">
        <f aca="false">X104*INDEX(input_data!$L:$L,MATCH(dashboard!$B$5&amp;".in.enp.cmt.dry.ren",input_data!$A:$A,0))</f>
        <v>0</v>
      </c>
    </row>
    <row r="124" customFormat="false" ht="15" hidden="false" customHeight="true" outlineLevel="0" collapsed="false">
      <c r="A124" s="73" t="str">
        <f aca="false">dashboard!$B$5&amp;".pj.ele.cmt.dry.elc"</f>
        <v>egy.pj.ele.cmt.dry.elc</v>
      </c>
      <c r="B124" s="73" t="str">
        <f aca="false">dashboard!$B$5</f>
        <v>egy</v>
      </c>
      <c r="C124" s="73" t="s">
        <v>3401</v>
      </c>
      <c r="D124" s="73" t="s">
        <v>943</v>
      </c>
      <c r="E124" s="73" t="s">
        <v>755</v>
      </c>
      <c r="F124" s="73" t="s">
        <v>756</v>
      </c>
      <c r="G124" s="73" t="s">
        <v>944</v>
      </c>
      <c r="H124" s="73" t="s">
        <v>3537</v>
      </c>
      <c r="I124" s="73" t="s">
        <v>3424</v>
      </c>
      <c r="J124" s="73" t="s">
        <v>3443</v>
      </c>
      <c r="K124" s="73"/>
      <c r="L124" s="73"/>
      <c r="M124" s="114" t="n">
        <f aca="false">M104*INDEX(input_data!$L:$L,MATCH(dashboard!$B$5&amp;".in.ele.cmt.dry.elc",input_data!$A:$A,0))</f>
        <v>22.5</v>
      </c>
      <c r="N124" s="114" t="n">
        <f aca="false">N104*INDEX(input_data!$L:$L,MATCH(dashboard!$B$5&amp;".in.ele.cmt.dry.elc",input_data!$A:$A,0))</f>
        <v>23.6107472293248</v>
      </c>
      <c r="O124" s="114" t="n">
        <f aca="false">O104*INDEX(input_data!$L:$L,MATCH(dashboard!$B$5&amp;".in.ele.cmt.dry.elc",input_data!$A:$A,0))</f>
        <v>24.7763282100918</v>
      </c>
      <c r="P124" s="114" t="n">
        <f aca="false">P104*INDEX(input_data!$L:$L,MATCH(dashboard!$B$5&amp;".in.ele.cmt.dry.elc",input_data!$A:$A,0))</f>
        <v>25.9994498950785</v>
      </c>
      <c r="Q124" s="114" t="n">
        <f aca="false">Q104*INDEX(input_data!$L:$L,MATCH(dashboard!$B$5&amp;".in.ele.cmt.dry.elc",input_data!$A:$A,0))</f>
        <v>27.2829528699641</v>
      </c>
      <c r="R124" s="114" t="n">
        <f aca="false">R104*INDEX(input_data!$L:$L,MATCH(dashboard!$B$5&amp;".in.ele.cmt.dry.elc",input_data!$A:$A,0))</f>
        <v>28.6298179503246</v>
      </c>
      <c r="S124" s="114" t="n">
        <f aca="false">S104*INDEX(input_data!$L:$L,MATCH(dashboard!$B$5&amp;".in.ele.cmt.dry.elc",input_data!$A:$A,0))</f>
        <v>30.0431731042977</v>
      </c>
      <c r="T124" s="114" t="n">
        <f aca="false">T104*INDEX(input_data!$L:$L,MATCH(dashboard!$B$5&amp;".in.ele.cmt.dry.elc",input_data!$A:$A,0))</f>
        <v>31.5263007169964</v>
      </c>
      <c r="U124" s="114" t="n">
        <f aca="false">U104*INDEX(input_data!$L:$L,MATCH(dashboard!$B$5&amp;".in.ele.cmt.dry.elc",input_data!$A:$A,0))</f>
        <v>33.0826452135415</v>
      </c>
      <c r="V124" s="114" t="n">
        <f aca="false">V104*INDEX(input_data!$L:$L,MATCH(dashboard!$B$5&amp;".in.ele.cmt.dry.elc",input_data!$A:$A,0))</f>
        <v>34.7158210584159</v>
      </c>
      <c r="W124" s="114" t="n">
        <f aca="false">W104*INDEX(input_data!$L:$L,MATCH(dashboard!$B$5&amp;".in.ele.cmt.dry.elc",input_data!$A:$A,0))</f>
        <v>36.4296211497212</v>
      </c>
      <c r="X124" s="114" t="n">
        <f aca="false">X104*INDEX(input_data!$L:$L,MATCH(dashboard!$B$5&amp;".in.ele.cmt.dry.elc",input_data!$A:$A,0))</f>
        <v>38.228025627828</v>
      </c>
    </row>
    <row r="125" customFormat="false" ht="15" hidden="false" customHeight="true" outlineLevel="0" collapsed="false">
      <c r="A125" s="73" t="str">
        <f aca="false">dashboard!$B$5&amp;".em.sfc.cmt.dry.---"</f>
        <v>egy.em.sfc.cmt.dry.---</v>
      </c>
      <c r="B125" s="73" t="str">
        <f aca="false">dashboard!$B$5</f>
        <v>egy</v>
      </c>
      <c r="C125" s="73" t="s">
        <v>3444</v>
      </c>
      <c r="D125" s="73" t="s">
        <v>3445</v>
      </c>
      <c r="E125" s="73" t="s">
        <v>755</v>
      </c>
      <c r="F125" s="73" t="s">
        <v>756</v>
      </c>
      <c r="G125" s="73" t="s">
        <v>655</v>
      </c>
      <c r="H125" s="73" t="s">
        <v>3538</v>
      </c>
      <c r="I125" s="73" t="s">
        <v>3447</v>
      </c>
      <c r="J125" s="73" t="s">
        <v>3448</v>
      </c>
      <c r="K125" s="73"/>
      <c r="L125" s="73"/>
      <c r="M125" s="114" t="n">
        <f aca="false">SUMPRODUCT(M108:M115,M10:M17)/1000</f>
        <v>13.415</v>
      </c>
      <c r="N125" s="114" t="n">
        <f aca="false">SUMPRODUCT(N108:N115,N10:N17)/1000</f>
        <v>14.0772521813952</v>
      </c>
      <c r="O125" s="114" t="n">
        <f aca="false">SUMPRODUCT(O108:O115,O10:O17)/1000</f>
        <v>14.7721974639281</v>
      </c>
      <c r="P125" s="114" t="n">
        <f aca="false">SUMPRODUCT(P108:P115,P10:P17)/1000</f>
        <v>15.501449792999</v>
      </c>
      <c r="Q125" s="114" t="n">
        <f aca="false">SUMPRODUCT(Q108:Q115,Q10:Q17)/1000</f>
        <v>16.2667027889142</v>
      </c>
      <c r="R125" s="114" t="n">
        <f aca="false">SUMPRODUCT(R108:R115,R10:R17)/1000</f>
        <v>17.0697336801602</v>
      </c>
      <c r="S125" s="114" t="n">
        <f aca="false">SUMPRODUCT(S108:S115,S10:S17)/1000</f>
        <v>17.9124074308513</v>
      </c>
      <c r="T125" s="114" t="n">
        <f aca="false">SUMPRODUCT(T108:T115,T10:T17)/1000</f>
        <v>18.7966810719337</v>
      </c>
      <c r="U125" s="114" t="n">
        <f aca="false">SUMPRODUCT(U108:U115,U10:U17)/1000</f>
        <v>19.724608246207</v>
      </c>
      <c r="V125" s="114" t="n">
        <f aca="false">SUMPRODUCT(V108:V115,V10:V17)/1000</f>
        <v>20.6983439777177</v>
      </c>
      <c r="W125" s="114" t="n">
        <f aca="false">SUMPRODUCT(W108:W115,W10:W17)/1000</f>
        <v>21.7201496766004</v>
      </c>
      <c r="X125" s="114" t="n">
        <f aca="false">SUMPRODUCT(X108:X115,X10:X17)/1000</f>
        <v>22.7923983909917</v>
      </c>
    </row>
    <row r="126" customFormat="false" ht="15" hidden="false" customHeight="true" outlineLevel="0" collapsed="false">
      <c r="A126" s="73" t="str">
        <f aca="false">dashboard!$B$5&amp;".em.sfp.cmt.dry.---"</f>
        <v>egy.em.sfp.cmt.dry.---</v>
      </c>
      <c r="B126" s="73" t="str">
        <f aca="false">dashboard!$B$5</f>
        <v>egy</v>
      </c>
      <c r="C126" s="73" t="s">
        <v>3444</v>
      </c>
      <c r="D126" s="73" t="s">
        <v>3449</v>
      </c>
      <c r="E126" s="73" t="s">
        <v>755</v>
      </c>
      <c r="F126" s="73" t="s">
        <v>756</v>
      </c>
      <c r="G126" s="73" t="s">
        <v>655</v>
      </c>
      <c r="H126" s="73" t="s">
        <v>3539</v>
      </c>
      <c r="I126" s="73" t="s">
        <v>3447</v>
      </c>
      <c r="J126" s="73" t="s">
        <v>3451</v>
      </c>
      <c r="K126" s="73"/>
      <c r="L126" s="73"/>
      <c r="M126" s="114" t="n">
        <f aca="false">SUMPRODUCT(M116:M123,M10:M17)/1000</f>
        <v>0</v>
      </c>
      <c r="N126" s="114" t="n">
        <f aca="false">SUMPRODUCT(N116:N123,N10:N17)/1000</f>
        <v>0</v>
      </c>
      <c r="O126" s="114" t="n">
        <f aca="false">SUMPRODUCT(O116:O123,O10:O17)/1000</f>
        <v>0</v>
      </c>
      <c r="P126" s="114" t="n">
        <f aca="false">SUMPRODUCT(P116:P123,P10:P17)/1000</f>
        <v>0</v>
      </c>
      <c r="Q126" s="114" t="n">
        <f aca="false">SUMPRODUCT(Q116:Q123,Q10:Q17)/1000</f>
        <v>0</v>
      </c>
      <c r="R126" s="114" t="n">
        <f aca="false">SUMPRODUCT(R116:R123,R10:R17)/1000</f>
        <v>0</v>
      </c>
      <c r="S126" s="114" t="n">
        <f aca="false">SUMPRODUCT(S116:S123,S10:S17)/1000</f>
        <v>0</v>
      </c>
      <c r="T126" s="114" t="n">
        <f aca="false">SUMPRODUCT(T116:T123,T10:T17)/1000</f>
        <v>0</v>
      </c>
      <c r="U126" s="114" t="n">
        <f aca="false">SUMPRODUCT(U116:U123,U10:U17)/1000</f>
        <v>0</v>
      </c>
      <c r="V126" s="114" t="n">
        <f aca="false">SUMPRODUCT(V116:V123,V10:V17)/1000</f>
        <v>0</v>
      </c>
      <c r="W126" s="114" t="n">
        <f aca="false">SUMPRODUCT(W116:W123,W10:W17)/1000</f>
        <v>0</v>
      </c>
      <c r="X126" s="114" t="n">
        <f aca="false">SUMPRODUCT(X116:X123,X10:X17)/1000</f>
        <v>0</v>
      </c>
    </row>
    <row r="127" customFormat="false" ht="15" hidden="false" customHeight="true" outlineLevel="0" collapsed="false">
      <c r="A127" s="73" t="str">
        <f aca="false">dashboard!$B$5&amp;".em.snp.cmt.dry.---"</f>
        <v>egy.em.snp.cmt.dry.---</v>
      </c>
      <c r="B127" s="73" t="str">
        <f aca="false">dashboard!$B$5</f>
        <v>egy</v>
      </c>
      <c r="C127" s="73" t="s">
        <v>3444</v>
      </c>
      <c r="D127" s="73" t="s">
        <v>3452</v>
      </c>
      <c r="E127" s="73" t="s">
        <v>755</v>
      </c>
      <c r="F127" s="73" t="s">
        <v>756</v>
      </c>
      <c r="G127" s="73" t="s">
        <v>655</v>
      </c>
      <c r="H127" s="73" t="s">
        <v>3540</v>
      </c>
      <c r="I127" s="73" t="s">
        <v>3447</v>
      </c>
      <c r="J127" s="73" t="s">
        <v>3454</v>
      </c>
      <c r="K127" s="73"/>
      <c r="L127" s="73"/>
      <c r="M127" s="114" t="n">
        <f aca="false">M104*INDEX(input_data!$L:$L,MATCH(dashboard!$B$5&amp;".in.efn.cmt.dry.---",input_data!$A:$A,0))</f>
        <v>26.3</v>
      </c>
      <c r="N127" s="114" t="n">
        <f aca="false">N104*INDEX(input_data!$L:$L,MATCH(dashboard!$B$5&amp;".in.efn.cmt.dry.---",input_data!$A:$A,0))</f>
        <v>27.5983400947218</v>
      </c>
      <c r="O127" s="114" t="n">
        <f aca="false">O104*INDEX(input_data!$L:$L,MATCH(dashboard!$B$5&amp;".in.efn.cmt.dry.---",input_data!$A:$A,0))</f>
        <v>28.9607747522407</v>
      </c>
      <c r="P127" s="114" t="n">
        <f aca="false">P104*INDEX(input_data!$L:$L,MATCH(dashboard!$B$5&amp;".in.efn.cmt.dry.---",input_data!$A:$A,0))</f>
        <v>30.3904680995807</v>
      </c>
      <c r="Q127" s="114" t="n">
        <f aca="false">Q104*INDEX(input_data!$L:$L,MATCH(dashboard!$B$5&amp;".in.efn.cmt.dry.---",input_data!$A:$A,0))</f>
        <v>31.8907404657803</v>
      </c>
      <c r="R127" s="114" t="n">
        <f aca="false">R104*INDEX(input_data!$L:$L,MATCH(dashboard!$B$5&amp;".in.efn.cmt.dry.---",input_data!$A:$A,0))</f>
        <v>33.465076093046</v>
      </c>
      <c r="S127" s="114" t="n">
        <f aca="false">S104*INDEX(input_data!$L:$L,MATCH(dashboard!$B$5&amp;".in.efn.cmt.dry.---",input_data!$A:$A,0))</f>
        <v>35.1171312285791</v>
      </c>
      <c r="T127" s="114" t="n">
        <f aca="false">T104*INDEX(input_data!$L:$L,MATCH(dashboard!$B$5&amp;".in.efn.cmt.dry.---",input_data!$A:$A,0))</f>
        <v>36.850742615867</v>
      </c>
      <c r="U127" s="114" t="n">
        <f aca="false">U104*INDEX(input_data!$L:$L,MATCH(dashboard!$B$5&amp;".in.efn.cmt.dry.---",input_data!$A:$A,0))</f>
        <v>38.6699364051618</v>
      </c>
      <c r="V127" s="114" t="n">
        <f aca="false">V104*INDEX(input_data!$L:$L,MATCH(dashboard!$B$5&amp;".in.efn.cmt.dry.---",input_data!$A:$A,0))</f>
        <v>40.5789375038372</v>
      </c>
      <c r="W127" s="114" t="n">
        <f aca="false">W104*INDEX(input_data!$L:$L,MATCH(dashboard!$B$5&amp;".in.efn.cmt.dry.---",input_data!$A:$A,0))</f>
        <v>42.5821793883408</v>
      </c>
      <c r="X127" s="114" t="n">
        <f aca="false">X104*INDEX(input_data!$L:$L,MATCH(dashboard!$B$5&amp;".in.efn.cmt.dry.---",input_data!$A:$A,0))</f>
        <v>44.6843144005278</v>
      </c>
    </row>
    <row r="128" customFormat="false" ht="15" hidden="false" customHeight="true" outlineLevel="0" collapsed="false">
      <c r="A128" s="73" t="str">
        <f aca="false">dashboard!$B$5&amp;".em.sno.cmt.dry.---"</f>
        <v>egy.em.sno.cmt.dry.---</v>
      </c>
      <c r="B128" s="73" t="str">
        <f aca="false">dashboard!$B$5</f>
        <v>egy</v>
      </c>
      <c r="C128" s="73" t="s">
        <v>3444</v>
      </c>
      <c r="D128" s="73" t="s">
        <v>3455</v>
      </c>
      <c r="E128" s="73" t="s">
        <v>755</v>
      </c>
      <c r="F128" s="73" t="s">
        <v>756</v>
      </c>
      <c r="G128" s="73" t="s">
        <v>655</v>
      </c>
      <c r="H128" s="73" t="s">
        <v>3541</v>
      </c>
      <c r="I128" s="73" t="s">
        <v>3457</v>
      </c>
      <c r="J128" s="73" t="s">
        <v>3458</v>
      </c>
      <c r="K128" s="73"/>
      <c r="L128" s="73"/>
      <c r="M128" s="114" t="n">
        <f aca="false">M104*INDEX(input_data!$L:$L,MATCH(dashboard!$B$5&amp;".in.efo.cmt.dry.---",input_data!$A:$A,0))</f>
        <v>0</v>
      </c>
      <c r="N128" s="114" t="n">
        <f aca="false">N104*INDEX(input_data!$L:$L,MATCH(dashboard!$B$5&amp;".in.efo.cmt.dry.---",input_data!$A:$A,0))</f>
        <v>0</v>
      </c>
      <c r="O128" s="114" t="n">
        <f aca="false">O104*INDEX(input_data!$L:$L,MATCH(dashboard!$B$5&amp;".in.efo.cmt.dry.---",input_data!$A:$A,0))</f>
        <v>0</v>
      </c>
      <c r="P128" s="114" t="n">
        <f aca="false">P104*INDEX(input_data!$L:$L,MATCH(dashboard!$B$5&amp;".in.efo.cmt.dry.---",input_data!$A:$A,0))</f>
        <v>0</v>
      </c>
      <c r="Q128" s="114" t="n">
        <f aca="false">Q104*INDEX(input_data!$L:$L,MATCH(dashboard!$B$5&amp;".in.efo.cmt.dry.---",input_data!$A:$A,0))</f>
        <v>0</v>
      </c>
      <c r="R128" s="114" t="n">
        <f aca="false">R104*INDEX(input_data!$L:$L,MATCH(dashboard!$B$5&amp;".in.efo.cmt.dry.---",input_data!$A:$A,0))</f>
        <v>0</v>
      </c>
      <c r="S128" s="114" t="n">
        <f aca="false">S104*INDEX(input_data!$L:$L,MATCH(dashboard!$B$5&amp;".in.efo.cmt.dry.---",input_data!$A:$A,0))</f>
        <v>0</v>
      </c>
      <c r="T128" s="114" t="n">
        <f aca="false">T104*INDEX(input_data!$L:$L,MATCH(dashboard!$B$5&amp;".in.efo.cmt.dry.---",input_data!$A:$A,0))</f>
        <v>0</v>
      </c>
      <c r="U128" s="114" t="n">
        <f aca="false">U104*INDEX(input_data!$L:$L,MATCH(dashboard!$B$5&amp;".in.efo.cmt.dry.---",input_data!$A:$A,0))</f>
        <v>0</v>
      </c>
      <c r="V128" s="114" t="n">
        <f aca="false">V104*INDEX(input_data!$L:$L,MATCH(dashboard!$B$5&amp;".in.efo.cmt.dry.---",input_data!$A:$A,0))</f>
        <v>0</v>
      </c>
      <c r="W128" s="114" t="n">
        <f aca="false">W104*INDEX(input_data!$L:$L,MATCH(dashboard!$B$5&amp;".in.efo.cmt.dry.---",input_data!$A:$A,0))</f>
        <v>0</v>
      </c>
      <c r="X128" s="114" t="n">
        <f aca="false">X104*INDEX(input_data!$L:$L,MATCH(dashboard!$B$5&amp;".in.efo.cmt.dry.---",input_data!$A:$A,0))</f>
        <v>0</v>
      </c>
    </row>
    <row r="129" customFormat="false" ht="15" hidden="false" customHeight="true" outlineLevel="0" collapsed="false">
      <c r="A129" s="73" t="str">
        <f aca="false">dashboard!$B$5&amp;".em.s2e.cmt.dry.elc"</f>
        <v>egy.em.s2e.cmt.dry.elc</v>
      </c>
      <c r="B129" s="73" t="str">
        <f aca="false">dashboard!$B$5</f>
        <v>egy</v>
      </c>
      <c r="C129" s="73" t="s">
        <v>3444</v>
      </c>
      <c r="D129" s="73" t="s">
        <v>3459</v>
      </c>
      <c r="E129" s="73" t="s">
        <v>755</v>
      </c>
      <c r="F129" s="73" t="s">
        <v>756</v>
      </c>
      <c r="G129" s="73" t="s">
        <v>944</v>
      </c>
      <c r="H129" s="73" t="s">
        <v>3542</v>
      </c>
      <c r="I129" s="73" t="s">
        <v>3447</v>
      </c>
      <c r="J129" s="73" t="s">
        <v>3461</v>
      </c>
      <c r="K129" s="73"/>
      <c r="L129" s="73"/>
      <c r="M129" s="114" t="n">
        <f aca="false">M124*INDEX(input_data!$M:$X,MATCH(dashboard!$B$5&amp;".in.gef.---.---.---",input_data!$A:$A,0),COLUMNS($M:M))/3.6</f>
        <v>3.1875</v>
      </c>
      <c r="N129" s="114" t="n">
        <f aca="false">N124*INDEX(input_data!$M:$X,MATCH(dashboard!$B$5&amp;".in.gef.---.---.---",input_data!$A:$A,0),COLUMNS($M:N))/3.6</f>
        <v>3.27927044851733</v>
      </c>
      <c r="O129" s="114" t="n">
        <f aca="false">O124*INDEX(input_data!$M:$X,MATCH(dashboard!$B$5&amp;".in.gef.---.---.---",input_data!$A:$A,0),COLUMNS($M:O))/3.6</f>
        <v>3.37233356192917</v>
      </c>
      <c r="P129" s="114" t="n">
        <f aca="false">P124*INDEX(input_data!$M:$X,MATCH(dashboard!$B$5&amp;".in.gef.---.---.---",input_data!$A:$A,0),COLUMNS($M:P))/3.6</f>
        <v>3.4665933193438</v>
      </c>
      <c r="Q129" s="114" t="n">
        <f aca="false">Q124*INDEX(input_data!$M:$X,MATCH(dashboard!$B$5&amp;".in.gef.---.---.---",input_data!$A:$A,0),COLUMNS($M:Q))/3.6</f>
        <v>3.5619410691342</v>
      </c>
      <c r="R129" s="114" t="n">
        <f aca="false">R124*INDEX(input_data!$M:$X,MATCH(dashboard!$B$5&amp;".in.gef.---.---.---",input_data!$A:$A,0),COLUMNS($M:R))/3.6</f>
        <v>3.65825451587481</v>
      </c>
      <c r="S129" s="114" t="n">
        <f aca="false">S124*INDEX(input_data!$M:$X,MATCH(dashboard!$B$5&amp;".in.gef.---.---.---",input_data!$A:$A,0),COLUMNS($M:S))/3.6</f>
        <v>3.75539663803721</v>
      </c>
      <c r="T129" s="114" t="n">
        <f aca="false">T124*INDEX(input_data!$M:$X,MATCH(dashboard!$B$5&amp;".in.gef.---.---.---",input_data!$A:$A,0),COLUMNS($M:T))/3.6</f>
        <v>3.85321453207734</v>
      </c>
      <c r="U129" s="114" t="n">
        <f aca="false">U124*INDEX(input_data!$M:$X,MATCH(dashboard!$B$5&amp;".in.gef.---.---.---",input_data!$A:$A,0),COLUMNS($M:U))/3.6</f>
        <v>3.95153817828412</v>
      </c>
      <c r="V129" s="114" t="n">
        <f aca="false">V124*INDEX(input_data!$M:$X,MATCH(dashboard!$B$5&amp;".in.gef.---.---.---",input_data!$A:$A,0),COLUMNS($M:V))/3.6</f>
        <v>4.05017912348185</v>
      </c>
      <c r="W129" s="114" t="n">
        <f aca="false">W124*INDEX(input_data!$M:$X,MATCH(dashboard!$B$5&amp;".in.gef.---.---.---",input_data!$A:$A,0),COLUMNS($M:W))/3.6</f>
        <v>4.14892907538491</v>
      </c>
      <c r="X129" s="114" t="n">
        <f aca="false">X124*INDEX(input_data!$M:$X,MATCH(dashboard!$B$5&amp;".in.gef.---.---.---",input_data!$A:$A,0),COLUMNS($M:X))/3.6</f>
        <v>4.247558403092</v>
      </c>
    </row>
    <row r="131" customFormat="false" ht="21.75" hidden="false" customHeight="true" outlineLevel="0" collapsed="false">
      <c r="A131" s="70" t="s">
        <v>3543</v>
      </c>
      <c r="B131" s="70"/>
      <c r="C131" s="70"/>
      <c r="D131" s="70"/>
      <c r="E131" s="70"/>
      <c r="F131" s="70"/>
      <c r="G131" s="70"/>
      <c r="H131" s="70"/>
      <c r="I131" s="70"/>
      <c r="J131" s="70"/>
      <c r="K131" s="70"/>
      <c r="L131" s="70"/>
      <c r="M131" s="70"/>
      <c r="N131" s="70"/>
      <c r="O131" s="70"/>
      <c r="P131" s="70"/>
      <c r="Q131" s="70"/>
      <c r="R131" s="70"/>
      <c r="S131" s="70"/>
      <c r="T131" s="70"/>
      <c r="U131" s="70"/>
      <c r="V131" s="70"/>
      <c r="W131" s="70"/>
      <c r="X131" s="70"/>
    </row>
    <row r="132" customFormat="false" ht="15" hidden="false" customHeight="true" outlineLevel="0" collapsed="false">
      <c r="A132" s="73" t="str">
        <f aca="false">dashboard!$B$5&amp;".pj.prd.frt.amc.---"</f>
        <v>egy.pj.prd.frt.amc.---</v>
      </c>
      <c r="B132" s="73" t="str">
        <f aca="false">dashboard!$B$5</f>
        <v>egy</v>
      </c>
      <c r="C132" s="73" t="s">
        <v>3401</v>
      </c>
      <c r="D132" s="73" t="s">
        <v>3412</v>
      </c>
      <c r="E132" s="73" t="s">
        <v>767</v>
      </c>
      <c r="F132" s="73" t="s">
        <v>768</v>
      </c>
      <c r="G132" s="73" t="s">
        <v>655</v>
      </c>
      <c r="H132" s="73" t="s">
        <v>3544</v>
      </c>
      <c r="I132" s="73" t="s">
        <v>869</v>
      </c>
      <c r="J132" s="73" t="s">
        <v>3414</v>
      </c>
      <c r="K132" s="73"/>
      <c r="L132" s="73"/>
      <c r="M132" s="114" t="n">
        <f aca="false">IFERROR(INDEX(input_data!$L:$L,MATCH(dashboard!$B$5&amp;".in.prb.frt.amc.---",input_data!$A:$A,0))*POWER(M7,INDEX(input_data!$L:$L,MATCH(dashboard!$B$5&amp;".in.els.frt.amc.---",input_data!$A:$A,0))),0)</f>
        <v>1.2</v>
      </c>
      <c r="N132" s="114" t="n">
        <f aca="false">IFERROR(INDEX(input_data!$L:$L,MATCH(dashboard!$B$5&amp;".in.prb.frt.amc.---",input_data!$A:$A,0))*POWER(N7,INDEX(input_data!$L:$L,MATCH(dashboard!$B$5&amp;".in.els.frt.amc.---",input_data!$A:$A,0))),0)</f>
        <v>1.23255831505045</v>
      </c>
      <c r="O132" s="114" t="n">
        <f aca="false">IFERROR(INDEX(input_data!$L:$L,MATCH(dashboard!$B$5&amp;".in.prb.frt.amc.---",input_data!$A:$A,0))*POWER(O7,INDEX(input_data!$L:$L,MATCH(dashboard!$B$5&amp;".in.els.frt.amc.---",input_data!$A:$A,0))),0)</f>
        <v>1.266</v>
      </c>
      <c r="P132" s="114" t="n">
        <f aca="false">IFERROR(INDEX(input_data!$L:$L,MATCH(dashboard!$B$5&amp;".in.prb.frt.amc.---",input_data!$A:$A,0))*POWER(P7,INDEX(input_data!$L:$L,MATCH(dashboard!$B$5&amp;".in.els.frt.amc.---",input_data!$A:$A,0))),0)</f>
        <v>1.30034902237822</v>
      </c>
      <c r="Q132" s="114" t="n">
        <f aca="false">IFERROR(INDEX(input_data!$L:$L,MATCH(dashboard!$B$5&amp;".in.prb.frt.amc.---",input_data!$A:$A,0))*POWER(Q7,INDEX(input_data!$L:$L,MATCH(dashboard!$B$5&amp;".in.els.frt.amc.---",input_data!$A:$A,0))),0)</f>
        <v>1.33563</v>
      </c>
      <c r="R132" s="114" t="n">
        <f aca="false">IFERROR(INDEX(input_data!$L:$L,MATCH(dashboard!$B$5&amp;".in.prb.frt.amc.---",input_data!$A:$A,0))*POWER(R7,INDEX(input_data!$L:$L,MATCH(dashboard!$B$5&amp;".in.els.frt.amc.---",input_data!$A:$A,0))),0)</f>
        <v>1.37186821860903</v>
      </c>
      <c r="S132" s="114" t="n">
        <f aca="false">IFERROR(INDEX(input_data!$L:$L,MATCH(dashboard!$B$5&amp;".in.prb.frt.amc.---",input_data!$A:$A,0))*POWER(S7,INDEX(input_data!$L:$L,MATCH(dashboard!$B$5&amp;".in.els.frt.amc.---",input_data!$A:$A,0))),0)</f>
        <v>1.40908965</v>
      </c>
      <c r="T132" s="114" t="n">
        <f aca="false">IFERROR(INDEX(input_data!$L:$L,MATCH(dashboard!$B$5&amp;".in.prb.frt.amc.---",input_data!$A:$A,0))*POWER(T7,INDEX(input_data!$L:$L,MATCH(dashboard!$B$5&amp;".in.els.frt.amc.---",input_data!$A:$A,0))),0)</f>
        <v>1.44732097063252</v>
      </c>
      <c r="U132" s="114" t="n">
        <f aca="false">IFERROR(INDEX(input_data!$L:$L,MATCH(dashboard!$B$5&amp;".in.prb.frt.amc.---",input_data!$A:$A,0))*POWER(U7,INDEX(input_data!$L:$L,MATCH(dashboard!$B$5&amp;".in.els.frt.amc.---",input_data!$A:$A,0))),0)</f>
        <v>1.48658958075</v>
      </c>
      <c r="V132" s="114" t="n">
        <f aca="false">IFERROR(INDEX(input_data!$L:$L,MATCH(dashboard!$B$5&amp;".in.prb.frt.amc.---",input_data!$A:$A,0))*POWER(V7,INDEX(input_data!$L:$L,MATCH(dashboard!$B$5&amp;".in.els.frt.amc.---",input_data!$A:$A,0))),0)</f>
        <v>1.52692362401731</v>
      </c>
      <c r="W132" s="114" t="n">
        <f aca="false">IFERROR(INDEX(input_data!$L:$L,MATCH(dashboard!$B$5&amp;".in.prb.frt.amc.---",input_data!$A:$A,0))*POWER(W7,INDEX(input_data!$L:$L,MATCH(dashboard!$B$5&amp;".in.els.frt.amc.---",input_data!$A:$A,0))),0)</f>
        <v>1.56835200769125</v>
      </c>
      <c r="X132" s="114" t="n">
        <f aca="false">IFERROR(INDEX(input_data!$L:$L,MATCH(dashboard!$B$5&amp;".in.prb.frt.amc.---",input_data!$A:$A,0))*POWER(X7,INDEX(input_data!$L:$L,MATCH(dashboard!$B$5&amp;".in.els.frt.amc.---",input_data!$A:$A,0))),0)</f>
        <v>1.61090442333826</v>
      </c>
    </row>
    <row r="133" customFormat="false" ht="15" hidden="false" customHeight="true" outlineLevel="0" collapsed="false">
      <c r="A133" s="73" t="str">
        <f aca="false">dashboard!$B$5&amp;".pj.eux.frt.amc.---"</f>
        <v>egy.pj.eux.frt.amc.---</v>
      </c>
      <c r="B133" s="73" t="str">
        <f aca="false">dashboard!$B$5</f>
        <v>egy</v>
      </c>
      <c r="C133" s="73" t="s">
        <v>3401</v>
      </c>
      <c r="D133" s="73" t="s">
        <v>3415</v>
      </c>
      <c r="E133" s="73" t="s">
        <v>767</v>
      </c>
      <c r="F133" s="73" t="s">
        <v>768</v>
      </c>
      <c r="G133" s="73" t="s">
        <v>655</v>
      </c>
      <c r="H133" s="73" t="s">
        <v>3545</v>
      </c>
      <c r="I133" s="73" t="s">
        <v>869</v>
      </c>
      <c r="J133" s="73" t="s">
        <v>3417</v>
      </c>
      <c r="K133" s="73"/>
      <c r="L133" s="73"/>
      <c r="M133" s="114" t="n">
        <f aca="false">M132*INDEX(input_data!$L:$L,MATCH(dashboard!$B$5&amp;".in.exe.frt.amc.---",input_data!$A:$A,0))</f>
        <v>0.24</v>
      </c>
      <c r="N133" s="114" t="n">
        <f aca="false">N132*INDEX(input_data!$L:$L,MATCH(dashboard!$B$5&amp;".in.exe.frt.amc.---",input_data!$A:$A,0))</f>
        <v>0.24651166301009</v>
      </c>
      <c r="O133" s="114" t="n">
        <f aca="false">O132*INDEX(input_data!$L:$L,MATCH(dashboard!$B$5&amp;".in.exe.frt.amc.---",input_data!$A:$A,0))</f>
        <v>0.2532</v>
      </c>
      <c r="P133" s="114" t="n">
        <f aca="false">P132*INDEX(input_data!$L:$L,MATCH(dashboard!$B$5&amp;".in.exe.frt.amc.---",input_data!$A:$A,0))</f>
        <v>0.260069804475645</v>
      </c>
      <c r="Q133" s="114" t="n">
        <f aca="false">Q132*INDEX(input_data!$L:$L,MATCH(dashboard!$B$5&amp;".in.exe.frt.amc.---",input_data!$A:$A,0))</f>
        <v>0.267126</v>
      </c>
      <c r="R133" s="114" t="n">
        <f aca="false">R132*INDEX(input_data!$L:$L,MATCH(dashboard!$B$5&amp;".in.exe.frt.amc.---",input_data!$A:$A,0))</f>
        <v>0.274373643721805</v>
      </c>
      <c r="S133" s="114" t="n">
        <f aca="false">S132*INDEX(input_data!$L:$L,MATCH(dashboard!$B$5&amp;".in.exe.frt.amc.---",input_data!$A:$A,0))</f>
        <v>0.28181793</v>
      </c>
      <c r="T133" s="114" t="n">
        <f aca="false">T132*INDEX(input_data!$L:$L,MATCH(dashboard!$B$5&amp;".in.exe.frt.amc.---",input_data!$A:$A,0))</f>
        <v>0.289464194126504</v>
      </c>
      <c r="U133" s="114" t="n">
        <f aca="false">U132*INDEX(input_data!$L:$L,MATCH(dashboard!$B$5&amp;".in.exe.frt.amc.---",input_data!$A:$A,0))</f>
        <v>0.29731791615</v>
      </c>
      <c r="V133" s="114" t="n">
        <f aca="false">V132*INDEX(input_data!$L:$L,MATCH(dashboard!$B$5&amp;".in.exe.frt.amc.---",input_data!$A:$A,0))</f>
        <v>0.305384724803462</v>
      </c>
      <c r="W133" s="114" t="n">
        <f aca="false">W132*INDEX(input_data!$L:$L,MATCH(dashboard!$B$5&amp;".in.exe.frt.amc.---",input_data!$A:$A,0))</f>
        <v>0.31367040153825</v>
      </c>
      <c r="X133" s="114" t="n">
        <f aca="false">X132*INDEX(input_data!$L:$L,MATCH(dashboard!$B$5&amp;".in.exe.frt.amc.---",input_data!$A:$A,0))</f>
        <v>0.322180884667652</v>
      </c>
    </row>
    <row r="134" customFormat="false" ht="15" hidden="false" customHeight="true" outlineLevel="0" collapsed="false">
      <c r="A134" s="73" t="str">
        <f aca="false">dashboard!$B$5&amp;".pj.nex.frt.amc.---"</f>
        <v>egy.pj.nex.frt.amc.---</v>
      </c>
      <c r="B134" s="73" t="str">
        <f aca="false">dashboard!$B$5</f>
        <v>egy</v>
      </c>
      <c r="C134" s="73" t="s">
        <v>3401</v>
      </c>
      <c r="D134" s="73" t="s">
        <v>3418</v>
      </c>
      <c r="E134" s="73" t="s">
        <v>767</v>
      </c>
      <c r="F134" s="73" t="s">
        <v>768</v>
      </c>
      <c r="G134" s="73" t="s">
        <v>655</v>
      </c>
      <c r="H134" s="73" t="s">
        <v>3546</v>
      </c>
      <c r="I134" s="73" t="s">
        <v>869</v>
      </c>
      <c r="J134" s="73" t="s">
        <v>3420</v>
      </c>
      <c r="K134" s="73"/>
      <c r="L134" s="73"/>
      <c r="M134" s="114" t="n">
        <f aca="false">M132*(INDEX(input_data!$L:$L,MATCH(dashboard!$B$5&amp;".in.ext.frt.amc.---",input_data!$A:$A,0))-INDEX(input_data!$L:$L,MATCH(dashboard!$B$5&amp;".in.exe.frt.amc.---",input_data!$A:$A,0)))</f>
        <v>0.24</v>
      </c>
      <c r="N134" s="114" t="n">
        <f aca="false">N132*(INDEX(input_data!$L:$L,MATCH(dashboard!$B$5&amp;".in.ext.frt.amc.---",input_data!$A:$A,0))-INDEX(input_data!$L:$L,MATCH(dashboard!$B$5&amp;".in.exe.frt.amc.---",input_data!$A:$A,0)))</f>
        <v>0.24651166301009</v>
      </c>
      <c r="O134" s="114" t="n">
        <f aca="false">O132*(INDEX(input_data!$L:$L,MATCH(dashboard!$B$5&amp;".in.ext.frt.amc.---",input_data!$A:$A,0))-INDEX(input_data!$L:$L,MATCH(dashboard!$B$5&amp;".in.exe.frt.amc.---",input_data!$A:$A,0)))</f>
        <v>0.2532</v>
      </c>
      <c r="P134" s="114" t="n">
        <f aca="false">P132*(INDEX(input_data!$L:$L,MATCH(dashboard!$B$5&amp;".in.ext.frt.amc.---",input_data!$A:$A,0))-INDEX(input_data!$L:$L,MATCH(dashboard!$B$5&amp;".in.exe.frt.amc.---",input_data!$A:$A,0)))</f>
        <v>0.260069804475645</v>
      </c>
      <c r="Q134" s="114" t="n">
        <f aca="false">Q132*(INDEX(input_data!$L:$L,MATCH(dashboard!$B$5&amp;".in.ext.frt.amc.---",input_data!$A:$A,0))-INDEX(input_data!$L:$L,MATCH(dashboard!$B$5&amp;".in.exe.frt.amc.---",input_data!$A:$A,0)))</f>
        <v>0.267126</v>
      </c>
      <c r="R134" s="114" t="n">
        <f aca="false">R132*(INDEX(input_data!$L:$L,MATCH(dashboard!$B$5&amp;".in.ext.frt.amc.---",input_data!$A:$A,0))-INDEX(input_data!$L:$L,MATCH(dashboard!$B$5&amp;".in.exe.frt.amc.---",input_data!$A:$A,0)))</f>
        <v>0.274373643721805</v>
      </c>
      <c r="S134" s="114" t="n">
        <f aca="false">S132*(INDEX(input_data!$L:$L,MATCH(dashboard!$B$5&amp;".in.ext.frt.amc.---",input_data!$A:$A,0))-INDEX(input_data!$L:$L,MATCH(dashboard!$B$5&amp;".in.exe.frt.amc.---",input_data!$A:$A,0)))</f>
        <v>0.28181793</v>
      </c>
      <c r="T134" s="114" t="n">
        <f aca="false">T132*(INDEX(input_data!$L:$L,MATCH(dashboard!$B$5&amp;".in.ext.frt.amc.---",input_data!$A:$A,0))-INDEX(input_data!$L:$L,MATCH(dashboard!$B$5&amp;".in.exe.frt.amc.---",input_data!$A:$A,0)))</f>
        <v>0.289464194126504</v>
      </c>
      <c r="U134" s="114" t="n">
        <f aca="false">U132*(INDEX(input_data!$L:$L,MATCH(dashboard!$B$5&amp;".in.ext.frt.amc.---",input_data!$A:$A,0))-INDEX(input_data!$L:$L,MATCH(dashboard!$B$5&amp;".in.exe.frt.amc.---",input_data!$A:$A,0)))</f>
        <v>0.29731791615</v>
      </c>
      <c r="V134" s="114" t="n">
        <f aca="false">V132*(INDEX(input_data!$L:$L,MATCH(dashboard!$B$5&amp;".in.ext.frt.amc.---",input_data!$A:$A,0))-INDEX(input_data!$L:$L,MATCH(dashboard!$B$5&amp;".in.exe.frt.amc.---",input_data!$A:$A,0)))</f>
        <v>0.305384724803462</v>
      </c>
      <c r="W134" s="114" t="n">
        <f aca="false">W132*(INDEX(input_data!$L:$L,MATCH(dashboard!$B$5&amp;".in.ext.frt.amc.---",input_data!$A:$A,0))-INDEX(input_data!$L:$L,MATCH(dashboard!$B$5&amp;".in.exe.frt.amc.---",input_data!$A:$A,0)))</f>
        <v>0.31367040153825</v>
      </c>
      <c r="X134" s="114" t="n">
        <f aca="false">X132*(INDEX(input_data!$L:$L,MATCH(dashboard!$B$5&amp;".in.ext.frt.amc.---",input_data!$A:$A,0))-INDEX(input_data!$L:$L,MATCH(dashboard!$B$5&amp;".in.exe.frt.amc.---",input_data!$A:$A,0)))</f>
        <v>0.322180884667652</v>
      </c>
    </row>
    <row r="135" customFormat="false" ht="15" hidden="false" customHeight="true" outlineLevel="0" collapsed="false">
      <c r="A135" s="73" t="str">
        <f aca="false">dashboard!$B$5&amp;".pj.dom.frt.amc.---"</f>
        <v>egy.pj.dom.frt.amc.---</v>
      </c>
      <c r="B135" s="73" t="str">
        <f aca="false">dashboard!$B$5</f>
        <v>egy</v>
      </c>
      <c r="C135" s="73" t="s">
        <v>3401</v>
      </c>
      <c r="D135" s="73" t="s">
        <v>641</v>
      </c>
      <c r="E135" s="73" t="s">
        <v>767</v>
      </c>
      <c r="F135" s="73" t="s">
        <v>768</v>
      </c>
      <c r="G135" s="73" t="s">
        <v>655</v>
      </c>
      <c r="H135" s="73" t="s">
        <v>3547</v>
      </c>
      <c r="I135" s="73" t="s">
        <v>869</v>
      </c>
      <c r="J135" s="73" t="s">
        <v>3422</v>
      </c>
      <c r="K135" s="73"/>
      <c r="L135" s="73"/>
      <c r="M135" s="114" t="n">
        <f aca="false">M132*(1-INDEX(input_data!$L:$L,MATCH(dashboard!$B$5&amp;".in.ext.frt.amc.---",input_data!$A:$A,0)))*(1+INDEX(input_data!$L:$L,MATCH(dashboard!$B$5&amp;".in.imp.frt.amc.---",input_data!$A:$A,0)))</f>
        <v>0.756</v>
      </c>
      <c r="N135" s="114" t="n">
        <f aca="false">N132*(1-INDEX(input_data!$L:$L,MATCH(dashboard!$B$5&amp;".in.ext.frt.amc.---",input_data!$A:$A,0)))*(1+INDEX(input_data!$L:$L,MATCH(dashboard!$B$5&amp;".in.imp.frt.amc.---",input_data!$A:$A,0)))</f>
        <v>0.776511738481783</v>
      </c>
      <c r="O135" s="114" t="n">
        <f aca="false">O132*(1-INDEX(input_data!$L:$L,MATCH(dashboard!$B$5&amp;".in.ext.frt.amc.---",input_data!$A:$A,0)))*(1+INDEX(input_data!$L:$L,MATCH(dashboard!$B$5&amp;".in.imp.frt.amc.---",input_data!$A:$A,0)))</f>
        <v>0.79758</v>
      </c>
      <c r="P135" s="114" t="n">
        <f aca="false">P132*(1-INDEX(input_data!$L:$L,MATCH(dashboard!$B$5&amp;".in.ext.frt.amc.---",input_data!$A:$A,0)))*(1+INDEX(input_data!$L:$L,MATCH(dashboard!$B$5&amp;".in.imp.frt.amc.---",input_data!$A:$A,0)))</f>
        <v>0.81921988409828</v>
      </c>
      <c r="Q135" s="114" t="n">
        <f aca="false">Q132*(1-INDEX(input_data!$L:$L,MATCH(dashboard!$B$5&amp;".in.ext.frt.amc.---",input_data!$A:$A,0)))*(1+INDEX(input_data!$L:$L,MATCH(dashboard!$B$5&amp;".in.imp.frt.amc.---",input_data!$A:$A,0)))</f>
        <v>0.8414469</v>
      </c>
      <c r="R135" s="114" t="n">
        <f aca="false">R132*(1-INDEX(input_data!$L:$L,MATCH(dashboard!$B$5&amp;".in.ext.frt.amc.---",input_data!$A:$A,0)))*(1+INDEX(input_data!$L:$L,MATCH(dashboard!$B$5&amp;".in.imp.frt.amc.---",input_data!$A:$A,0)))</f>
        <v>0.864276977723686</v>
      </c>
      <c r="S135" s="114" t="n">
        <f aca="false">S132*(1-INDEX(input_data!$L:$L,MATCH(dashboard!$B$5&amp;".in.ext.frt.amc.---",input_data!$A:$A,0)))*(1+INDEX(input_data!$L:$L,MATCH(dashboard!$B$5&amp;".in.imp.frt.amc.---",input_data!$A:$A,0)))</f>
        <v>0.8877264795</v>
      </c>
      <c r="T135" s="114" t="n">
        <f aca="false">T132*(1-INDEX(input_data!$L:$L,MATCH(dashboard!$B$5&amp;".in.ext.frt.amc.---",input_data!$A:$A,0)))*(1+INDEX(input_data!$L:$L,MATCH(dashboard!$B$5&amp;".in.imp.frt.amc.---",input_data!$A:$A,0)))</f>
        <v>0.911812211498488</v>
      </c>
      <c r="U135" s="114" t="n">
        <f aca="false">U132*(1-INDEX(input_data!$L:$L,MATCH(dashboard!$B$5&amp;".in.ext.frt.amc.---",input_data!$A:$A,0)))*(1+INDEX(input_data!$L:$L,MATCH(dashboard!$B$5&amp;".in.imp.frt.amc.---",input_data!$A:$A,0)))</f>
        <v>0.9365514358725</v>
      </c>
      <c r="V135" s="114" t="n">
        <f aca="false">V132*(1-INDEX(input_data!$L:$L,MATCH(dashboard!$B$5&amp;".in.ext.frt.amc.---",input_data!$A:$A,0)))*(1+INDEX(input_data!$L:$L,MATCH(dashboard!$B$5&amp;".in.imp.frt.amc.---",input_data!$A:$A,0)))</f>
        <v>0.961961883130905</v>
      </c>
      <c r="W135" s="114" t="n">
        <f aca="false">W132*(1-INDEX(input_data!$L:$L,MATCH(dashboard!$B$5&amp;".in.ext.frt.amc.---",input_data!$A:$A,0)))*(1+INDEX(input_data!$L:$L,MATCH(dashboard!$B$5&amp;".in.imp.frt.amc.---",input_data!$A:$A,0)))</f>
        <v>0.988061764845487</v>
      </c>
      <c r="X135" s="114" t="n">
        <f aca="false">X132*(1-INDEX(input_data!$L:$L,MATCH(dashboard!$B$5&amp;".in.ext.frt.amc.---",input_data!$A:$A,0)))*(1+INDEX(input_data!$L:$L,MATCH(dashboard!$B$5&amp;".in.imp.frt.amc.---",input_data!$A:$A,0)))</f>
        <v>1.01486978670311</v>
      </c>
    </row>
    <row r="136" customFormat="false" ht="15" hidden="false" customHeight="true" outlineLevel="0" collapsed="false">
      <c r="A136" s="73" t="str">
        <f aca="false">dashboard!$B$5&amp;".pj.enc.frt.amc.coa"</f>
        <v>egy.pj.enc.frt.amc.coa</v>
      </c>
      <c r="B136" s="73" t="str">
        <f aca="false">dashboard!$B$5</f>
        <v>egy</v>
      </c>
      <c r="C136" s="73" t="s">
        <v>3401</v>
      </c>
      <c r="D136" s="73" t="s">
        <v>891</v>
      </c>
      <c r="E136" s="73" t="s">
        <v>767</v>
      </c>
      <c r="F136" s="73" t="s">
        <v>768</v>
      </c>
      <c r="G136" s="73" t="s">
        <v>96</v>
      </c>
      <c r="H136" s="73" t="s">
        <v>3548</v>
      </c>
      <c r="I136" s="73" t="s">
        <v>3424</v>
      </c>
      <c r="J136" s="73" t="s">
        <v>3425</v>
      </c>
      <c r="K136" s="73"/>
      <c r="L136" s="73"/>
      <c r="M136" s="114" t="n">
        <f aca="false">M132*INDEX(input_data!$L:$L,MATCH(dashboard!$B$5&amp;".in.enc.frt.amc.coa",input_data!$A:$A,0))</f>
        <v>0</v>
      </c>
      <c r="N136" s="114" t="n">
        <f aca="false">N132*INDEX(input_data!$L:$L,MATCH(dashboard!$B$5&amp;".in.enc.frt.amc.coa",input_data!$A:$A,0))</f>
        <v>0</v>
      </c>
      <c r="O136" s="114" t="n">
        <f aca="false">O132*INDEX(input_data!$L:$L,MATCH(dashboard!$B$5&amp;".in.enc.frt.amc.coa",input_data!$A:$A,0))</f>
        <v>0</v>
      </c>
      <c r="P136" s="114" t="n">
        <f aca="false">P132*INDEX(input_data!$L:$L,MATCH(dashboard!$B$5&amp;".in.enc.frt.amc.coa",input_data!$A:$A,0))</f>
        <v>0</v>
      </c>
      <c r="Q136" s="114" t="n">
        <f aca="false">Q132*INDEX(input_data!$L:$L,MATCH(dashboard!$B$5&amp;".in.enc.frt.amc.coa",input_data!$A:$A,0))</f>
        <v>0</v>
      </c>
      <c r="R136" s="114" t="n">
        <f aca="false">R132*INDEX(input_data!$L:$L,MATCH(dashboard!$B$5&amp;".in.enc.frt.amc.coa",input_data!$A:$A,0))</f>
        <v>0</v>
      </c>
      <c r="S136" s="114" t="n">
        <f aca="false">S132*INDEX(input_data!$L:$L,MATCH(dashboard!$B$5&amp;".in.enc.frt.amc.coa",input_data!$A:$A,0))</f>
        <v>0</v>
      </c>
      <c r="T136" s="114" t="n">
        <f aca="false">T132*INDEX(input_data!$L:$L,MATCH(dashboard!$B$5&amp;".in.enc.frt.amc.coa",input_data!$A:$A,0))</f>
        <v>0</v>
      </c>
      <c r="U136" s="114" t="n">
        <f aca="false">U132*INDEX(input_data!$L:$L,MATCH(dashboard!$B$5&amp;".in.enc.frt.amc.coa",input_data!$A:$A,0))</f>
        <v>0</v>
      </c>
      <c r="V136" s="114" t="n">
        <f aca="false">V132*INDEX(input_data!$L:$L,MATCH(dashboard!$B$5&amp;".in.enc.frt.amc.coa",input_data!$A:$A,0))</f>
        <v>0</v>
      </c>
      <c r="W136" s="114" t="n">
        <f aca="false">W132*INDEX(input_data!$L:$L,MATCH(dashboard!$B$5&amp;".in.enc.frt.amc.coa",input_data!$A:$A,0))</f>
        <v>0</v>
      </c>
      <c r="X136" s="114" t="n">
        <f aca="false">X132*INDEX(input_data!$L:$L,MATCH(dashboard!$B$5&amp;".in.enc.frt.amc.coa",input_data!$A:$A,0))</f>
        <v>0</v>
      </c>
    </row>
    <row r="137" customFormat="false" ht="15" hidden="false" customHeight="true" outlineLevel="0" collapsed="false">
      <c r="A137" s="73" t="str">
        <f aca="false">dashboard!$B$5&amp;".pj.enc.frt.amc.nga"</f>
        <v>egy.pj.enc.frt.amc.nga</v>
      </c>
      <c r="B137" s="73" t="str">
        <f aca="false">dashboard!$B$5</f>
        <v>egy</v>
      </c>
      <c r="C137" s="73" t="s">
        <v>3401</v>
      </c>
      <c r="D137" s="73" t="s">
        <v>891</v>
      </c>
      <c r="E137" s="73" t="s">
        <v>767</v>
      </c>
      <c r="F137" s="73" t="s">
        <v>768</v>
      </c>
      <c r="G137" s="73" t="s">
        <v>99</v>
      </c>
      <c r="H137" s="73" t="s">
        <v>3549</v>
      </c>
      <c r="I137" s="73" t="s">
        <v>3424</v>
      </c>
      <c r="J137" s="73" t="s">
        <v>3425</v>
      </c>
      <c r="K137" s="73"/>
      <c r="L137" s="73"/>
      <c r="M137" s="114" t="n">
        <f aca="false">M132*INDEX(input_data!$L:$L,MATCH(dashboard!$B$5&amp;".in.enc.frt.amc.nga",input_data!$A:$A,0))</f>
        <v>14.4</v>
      </c>
      <c r="N137" s="114" t="n">
        <f aca="false">N132*INDEX(input_data!$L:$L,MATCH(dashboard!$B$5&amp;".in.enc.frt.amc.nga",input_data!$A:$A,0))</f>
        <v>14.7906997806054</v>
      </c>
      <c r="O137" s="114" t="n">
        <f aca="false">O132*INDEX(input_data!$L:$L,MATCH(dashboard!$B$5&amp;".in.enc.frt.amc.nga",input_data!$A:$A,0))</f>
        <v>15.192</v>
      </c>
      <c r="P137" s="114" t="n">
        <f aca="false">P132*INDEX(input_data!$L:$L,MATCH(dashboard!$B$5&amp;".in.enc.frt.amc.nga",input_data!$A:$A,0))</f>
        <v>15.6041882685387</v>
      </c>
      <c r="Q137" s="114" t="n">
        <f aca="false">Q132*INDEX(input_data!$L:$L,MATCH(dashboard!$B$5&amp;".in.enc.frt.amc.nga",input_data!$A:$A,0))</f>
        <v>16.02756</v>
      </c>
      <c r="R137" s="114" t="n">
        <f aca="false">R132*INDEX(input_data!$L:$L,MATCH(dashboard!$B$5&amp;".in.enc.frt.amc.nga",input_data!$A:$A,0))</f>
        <v>16.4624186233083</v>
      </c>
      <c r="S137" s="114" t="n">
        <f aca="false">S132*INDEX(input_data!$L:$L,MATCH(dashboard!$B$5&amp;".in.enc.frt.amc.nga",input_data!$A:$A,0))</f>
        <v>16.9090758</v>
      </c>
      <c r="T137" s="114" t="n">
        <f aca="false">T132*INDEX(input_data!$L:$L,MATCH(dashboard!$B$5&amp;".in.enc.frt.amc.nga",input_data!$A:$A,0))</f>
        <v>17.3678516475903</v>
      </c>
      <c r="U137" s="114" t="n">
        <f aca="false">U132*INDEX(input_data!$L:$L,MATCH(dashboard!$B$5&amp;".in.enc.frt.amc.nga",input_data!$A:$A,0))</f>
        <v>17.839074969</v>
      </c>
      <c r="V137" s="114" t="n">
        <f aca="false">V132*INDEX(input_data!$L:$L,MATCH(dashboard!$B$5&amp;".in.enc.frt.amc.nga",input_data!$A:$A,0))</f>
        <v>18.3230834882077</v>
      </c>
      <c r="W137" s="114" t="n">
        <f aca="false">W132*INDEX(input_data!$L:$L,MATCH(dashboard!$B$5&amp;".in.enc.frt.amc.nga",input_data!$A:$A,0))</f>
        <v>18.820224092295</v>
      </c>
      <c r="X137" s="114" t="n">
        <f aca="false">X132*INDEX(input_data!$L:$L,MATCH(dashboard!$B$5&amp;".in.enc.frt.amc.nga",input_data!$A:$A,0))</f>
        <v>19.3308530800591</v>
      </c>
    </row>
    <row r="138" customFormat="false" ht="15" hidden="false" customHeight="true" outlineLevel="0" collapsed="false">
      <c r="A138" s="73" t="str">
        <f aca="false">dashboard!$B$5&amp;".pj.enc.frt.amc.gso"</f>
        <v>egy.pj.enc.frt.amc.gso</v>
      </c>
      <c r="B138" s="73" t="str">
        <f aca="false">dashboard!$B$5</f>
        <v>egy</v>
      </c>
      <c r="C138" s="73" t="s">
        <v>3401</v>
      </c>
      <c r="D138" s="73" t="s">
        <v>891</v>
      </c>
      <c r="E138" s="73" t="s">
        <v>767</v>
      </c>
      <c r="F138" s="73" t="s">
        <v>768</v>
      </c>
      <c r="G138" s="73" t="s">
        <v>101</v>
      </c>
      <c r="H138" s="73" t="s">
        <v>3550</v>
      </c>
      <c r="I138" s="73" t="s">
        <v>3424</v>
      </c>
      <c r="J138" s="73" t="s">
        <v>3425</v>
      </c>
      <c r="K138" s="73"/>
      <c r="L138" s="73"/>
      <c r="M138" s="114" t="n">
        <f aca="false">M132*INDEX(input_data!$L:$L,MATCH(dashboard!$B$5&amp;".in.enc.frt.amc.gso",input_data!$A:$A,0))</f>
        <v>0</v>
      </c>
      <c r="N138" s="114" t="n">
        <f aca="false">N132*INDEX(input_data!$L:$L,MATCH(dashboard!$B$5&amp;".in.enc.frt.amc.gso",input_data!$A:$A,0))</f>
        <v>0</v>
      </c>
      <c r="O138" s="114" t="n">
        <f aca="false">O132*INDEX(input_data!$L:$L,MATCH(dashboard!$B$5&amp;".in.enc.frt.amc.gso",input_data!$A:$A,0))</f>
        <v>0</v>
      </c>
      <c r="P138" s="114" t="n">
        <f aca="false">P132*INDEX(input_data!$L:$L,MATCH(dashboard!$B$5&amp;".in.enc.frt.amc.gso",input_data!$A:$A,0))</f>
        <v>0</v>
      </c>
      <c r="Q138" s="114" t="n">
        <f aca="false">Q132*INDEX(input_data!$L:$L,MATCH(dashboard!$B$5&amp;".in.enc.frt.amc.gso",input_data!$A:$A,0))</f>
        <v>0</v>
      </c>
      <c r="R138" s="114" t="n">
        <f aca="false">R132*INDEX(input_data!$L:$L,MATCH(dashboard!$B$5&amp;".in.enc.frt.amc.gso",input_data!$A:$A,0))</f>
        <v>0</v>
      </c>
      <c r="S138" s="114" t="n">
        <f aca="false">S132*INDEX(input_data!$L:$L,MATCH(dashboard!$B$5&amp;".in.enc.frt.amc.gso",input_data!$A:$A,0))</f>
        <v>0</v>
      </c>
      <c r="T138" s="114" t="n">
        <f aca="false">T132*INDEX(input_data!$L:$L,MATCH(dashboard!$B$5&amp;".in.enc.frt.amc.gso",input_data!$A:$A,0))</f>
        <v>0</v>
      </c>
      <c r="U138" s="114" t="n">
        <f aca="false">U132*INDEX(input_data!$L:$L,MATCH(dashboard!$B$5&amp;".in.enc.frt.amc.gso",input_data!$A:$A,0))</f>
        <v>0</v>
      </c>
      <c r="V138" s="114" t="n">
        <f aca="false">V132*INDEX(input_data!$L:$L,MATCH(dashboard!$B$5&amp;".in.enc.frt.amc.gso",input_data!$A:$A,0))</f>
        <v>0</v>
      </c>
      <c r="W138" s="114" t="n">
        <f aca="false">W132*INDEX(input_data!$L:$L,MATCH(dashboard!$B$5&amp;".in.enc.frt.amc.gso",input_data!$A:$A,0))</f>
        <v>0</v>
      </c>
      <c r="X138" s="114" t="n">
        <f aca="false">X132*INDEX(input_data!$L:$L,MATCH(dashboard!$B$5&amp;".in.enc.frt.amc.gso",input_data!$A:$A,0))</f>
        <v>0</v>
      </c>
    </row>
    <row r="139" customFormat="false" ht="15" hidden="false" customHeight="true" outlineLevel="0" collapsed="false">
      <c r="A139" s="73" t="str">
        <f aca="false">dashboard!$B$5&amp;".pj.enc.frt.amc.die"</f>
        <v>egy.pj.enc.frt.amc.die</v>
      </c>
      <c r="B139" s="73" t="str">
        <f aca="false">dashboard!$B$5</f>
        <v>egy</v>
      </c>
      <c r="C139" s="73" t="s">
        <v>3401</v>
      </c>
      <c r="D139" s="73" t="s">
        <v>891</v>
      </c>
      <c r="E139" s="73" t="s">
        <v>767</v>
      </c>
      <c r="F139" s="73" t="s">
        <v>768</v>
      </c>
      <c r="G139" s="73" t="s">
        <v>103</v>
      </c>
      <c r="H139" s="73" t="s">
        <v>3551</v>
      </c>
      <c r="I139" s="73" t="s">
        <v>3424</v>
      </c>
      <c r="J139" s="73" t="s">
        <v>3425</v>
      </c>
      <c r="K139" s="73"/>
      <c r="L139" s="73"/>
      <c r="M139" s="114" t="n">
        <f aca="false">M132*INDEX(input_data!$L:$L,MATCH(dashboard!$B$5&amp;".in.enc.frt.amc.die",input_data!$A:$A,0))</f>
        <v>0</v>
      </c>
      <c r="N139" s="114" t="n">
        <f aca="false">N132*INDEX(input_data!$L:$L,MATCH(dashboard!$B$5&amp;".in.enc.frt.amc.die",input_data!$A:$A,0))</f>
        <v>0</v>
      </c>
      <c r="O139" s="114" t="n">
        <f aca="false">O132*INDEX(input_data!$L:$L,MATCH(dashboard!$B$5&amp;".in.enc.frt.amc.die",input_data!$A:$A,0))</f>
        <v>0</v>
      </c>
      <c r="P139" s="114" t="n">
        <f aca="false">P132*INDEX(input_data!$L:$L,MATCH(dashboard!$B$5&amp;".in.enc.frt.amc.die",input_data!$A:$A,0))</f>
        <v>0</v>
      </c>
      <c r="Q139" s="114" t="n">
        <f aca="false">Q132*INDEX(input_data!$L:$L,MATCH(dashboard!$B$5&amp;".in.enc.frt.amc.die",input_data!$A:$A,0))</f>
        <v>0</v>
      </c>
      <c r="R139" s="114" t="n">
        <f aca="false">R132*INDEX(input_data!$L:$L,MATCH(dashboard!$B$5&amp;".in.enc.frt.amc.die",input_data!$A:$A,0))</f>
        <v>0</v>
      </c>
      <c r="S139" s="114" t="n">
        <f aca="false">S132*INDEX(input_data!$L:$L,MATCH(dashboard!$B$5&amp;".in.enc.frt.amc.die",input_data!$A:$A,0))</f>
        <v>0</v>
      </c>
      <c r="T139" s="114" t="n">
        <f aca="false">T132*INDEX(input_data!$L:$L,MATCH(dashboard!$B$5&amp;".in.enc.frt.amc.die",input_data!$A:$A,0))</f>
        <v>0</v>
      </c>
      <c r="U139" s="114" t="n">
        <f aca="false">U132*INDEX(input_data!$L:$L,MATCH(dashboard!$B$5&amp;".in.enc.frt.amc.die",input_data!$A:$A,0))</f>
        <v>0</v>
      </c>
      <c r="V139" s="114" t="n">
        <f aca="false">V132*INDEX(input_data!$L:$L,MATCH(dashboard!$B$5&amp;".in.enc.frt.amc.die",input_data!$A:$A,0))</f>
        <v>0</v>
      </c>
      <c r="W139" s="114" t="n">
        <f aca="false">W132*INDEX(input_data!$L:$L,MATCH(dashboard!$B$5&amp;".in.enc.frt.amc.die",input_data!$A:$A,0))</f>
        <v>0</v>
      </c>
      <c r="X139" s="114" t="n">
        <f aca="false">X132*INDEX(input_data!$L:$L,MATCH(dashboard!$B$5&amp;".in.enc.frt.amc.die",input_data!$A:$A,0))</f>
        <v>0</v>
      </c>
    </row>
    <row r="140" customFormat="false" ht="15" hidden="false" customHeight="true" outlineLevel="0" collapsed="false">
      <c r="A140" s="73" t="str">
        <f aca="false">dashboard!$B$5&amp;".pj.enc.frt.amc.ker"</f>
        <v>egy.pj.enc.frt.amc.ker</v>
      </c>
      <c r="B140" s="73" t="str">
        <f aca="false">dashboard!$B$5</f>
        <v>egy</v>
      </c>
      <c r="C140" s="73" t="s">
        <v>3401</v>
      </c>
      <c r="D140" s="73" t="s">
        <v>891</v>
      </c>
      <c r="E140" s="73" t="s">
        <v>767</v>
      </c>
      <c r="F140" s="73" t="s">
        <v>768</v>
      </c>
      <c r="G140" s="73" t="s">
        <v>105</v>
      </c>
      <c r="H140" s="73" t="s">
        <v>3552</v>
      </c>
      <c r="I140" s="73" t="s">
        <v>3424</v>
      </c>
      <c r="J140" s="73" t="s">
        <v>3425</v>
      </c>
      <c r="K140" s="73"/>
      <c r="L140" s="73"/>
      <c r="M140" s="114" t="n">
        <f aca="false">M132*INDEX(input_data!$L:$L,MATCH(dashboard!$B$5&amp;".in.enc.frt.amc.ker",input_data!$A:$A,0))</f>
        <v>0</v>
      </c>
      <c r="N140" s="114" t="n">
        <f aca="false">N132*INDEX(input_data!$L:$L,MATCH(dashboard!$B$5&amp;".in.enc.frt.amc.ker",input_data!$A:$A,0))</f>
        <v>0</v>
      </c>
      <c r="O140" s="114" t="n">
        <f aca="false">O132*INDEX(input_data!$L:$L,MATCH(dashboard!$B$5&amp;".in.enc.frt.amc.ker",input_data!$A:$A,0))</f>
        <v>0</v>
      </c>
      <c r="P140" s="114" t="n">
        <f aca="false">P132*INDEX(input_data!$L:$L,MATCH(dashboard!$B$5&amp;".in.enc.frt.amc.ker",input_data!$A:$A,0))</f>
        <v>0</v>
      </c>
      <c r="Q140" s="114" t="n">
        <f aca="false">Q132*INDEX(input_data!$L:$L,MATCH(dashboard!$B$5&amp;".in.enc.frt.amc.ker",input_data!$A:$A,0))</f>
        <v>0</v>
      </c>
      <c r="R140" s="114" t="n">
        <f aca="false">R132*INDEX(input_data!$L:$L,MATCH(dashboard!$B$5&amp;".in.enc.frt.amc.ker",input_data!$A:$A,0))</f>
        <v>0</v>
      </c>
      <c r="S140" s="114" t="n">
        <f aca="false">S132*INDEX(input_data!$L:$L,MATCH(dashboard!$B$5&amp;".in.enc.frt.amc.ker",input_data!$A:$A,0))</f>
        <v>0</v>
      </c>
      <c r="T140" s="114" t="n">
        <f aca="false">T132*INDEX(input_data!$L:$L,MATCH(dashboard!$B$5&amp;".in.enc.frt.amc.ker",input_data!$A:$A,0))</f>
        <v>0</v>
      </c>
      <c r="U140" s="114" t="n">
        <f aca="false">U132*INDEX(input_data!$L:$L,MATCH(dashboard!$B$5&amp;".in.enc.frt.amc.ker",input_data!$A:$A,0))</f>
        <v>0</v>
      </c>
      <c r="V140" s="114" t="n">
        <f aca="false">V132*INDEX(input_data!$L:$L,MATCH(dashboard!$B$5&amp;".in.enc.frt.amc.ker",input_data!$A:$A,0))</f>
        <v>0</v>
      </c>
      <c r="W140" s="114" t="n">
        <f aca="false">W132*INDEX(input_data!$L:$L,MATCH(dashboard!$B$5&amp;".in.enc.frt.amc.ker",input_data!$A:$A,0))</f>
        <v>0</v>
      </c>
      <c r="X140" s="114" t="n">
        <f aca="false">X132*INDEX(input_data!$L:$L,MATCH(dashboard!$B$5&amp;".in.enc.frt.amc.ker",input_data!$A:$A,0))</f>
        <v>0</v>
      </c>
    </row>
    <row r="141" customFormat="false" ht="15" hidden="false" customHeight="true" outlineLevel="0" collapsed="false">
      <c r="A141" s="73" t="str">
        <f aca="false">dashboard!$B$5&amp;".pj.enc.frt.amc.lpg"</f>
        <v>egy.pj.enc.frt.amc.lpg</v>
      </c>
      <c r="B141" s="73" t="str">
        <f aca="false">dashboard!$B$5</f>
        <v>egy</v>
      </c>
      <c r="C141" s="73" t="s">
        <v>3401</v>
      </c>
      <c r="D141" s="73" t="s">
        <v>891</v>
      </c>
      <c r="E141" s="73" t="s">
        <v>767</v>
      </c>
      <c r="F141" s="73" t="s">
        <v>768</v>
      </c>
      <c r="G141" s="73" t="s">
        <v>107</v>
      </c>
      <c r="H141" s="73" t="s">
        <v>3553</v>
      </c>
      <c r="I141" s="73" t="s">
        <v>3424</v>
      </c>
      <c r="J141" s="73" t="s">
        <v>3425</v>
      </c>
      <c r="K141" s="73"/>
      <c r="L141" s="73"/>
      <c r="M141" s="114" t="n">
        <f aca="false">M132*INDEX(input_data!$L:$L,MATCH(dashboard!$B$5&amp;".in.enc.frt.amc.lpg",input_data!$A:$A,0))</f>
        <v>0</v>
      </c>
      <c r="N141" s="114" t="n">
        <f aca="false">N132*INDEX(input_data!$L:$L,MATCH(dashboard!$B$5&amp;".in.enc.frt.amc.lpg",input_data!$A:$A,0))</f>
        <v>0</v>
      </c>
      <c r="O141" s="114" t="n">
        <f aca="false">O132*INDEX(input_data!$L:$L,MATCH(dashboard!$B$5&amp;".in.enc.frt.amc.lpg",input_data!$A:$A,0))</f>
        <v>0</v>
      </c>
      <c r="P141" s="114" t="n">
        <f aca="false">P132*INDEX(input_data!$L:$L,MATCH(dashboard!$B$5&amp;".in.enc.frt.amc.lpg",input_data!$A:$A,0))</f>
        <v>0</v>
      </c>
      <c r="Q141" s="114" t="n">
        <f aca="false">Q132*INDEX(input_data!$L:$L,MATCH(dashboard!$B$5&amp;".in.enc.frt.amc.lpg",input_data!$A:$A,0))</f>
        <v>0</v>
      </c>
      <c r="R141" s="114" t="n">
        <f aca="false">R132*INDEX(input_data!$L:$L,MATCH(dashboard!$B$5&amp;".in.enc.frt.amc.lpg",input_data!$A:$A,0))</f>
        <v>0</v>
      </c>
      <c r="S141" s="114" t="n">
        <f aca="false">S132*INDEX(input_data!$L:$L,MATCH(dashboard!$B$5&amp;".in.enc.frt.amc.lpg",input_data!$A:$A,0))</f>
        <v>0</v>
      </c>
      <c r="T141" s="114" t="n">
        <f aca="false">T132*INDEX(input_data!$L:$L,MATCH(dashboard!$B$5&amp;".in.enc.frt.amc.lpg",input_data!$A:$A,0))</f>
        <v>0</v>
      </c>
      <c r="U141" s="114" t="n">
        <f aca="false">U132*INDEX(input_data!$L:$L,MATCH(dashboard!$B$5&amp;".in.enc.frt.amc.lpg",input_data!$A:$A,0))</f>
        <v>0</v>
      </c>
      <c r="V141" s="114" t="n">
        <f aca="false">V132*INDEX(input_data!$L:$L,MATCH(dashboard!$B$5&amp;".in.enc.frt.amc.lpg",input_data!$A:$A,0))</f>
        <v>0</v>
      </c>
      <c r="W141" s="114" t="n">
        <f aca="false">W132*INDEX(input_data!$L:$L,MATCH(dashboard!$B$5&amp;".in.enc.frt.amc.lpg",input_data!$A:$A,0))</f>
        <v>0</v>
      </c>
      <c r="X141" s="114" t="n">
        <f aca="false">X132*INDEX(input_data!$L:$L,MATCH(dashboard!$B$5&amp;".in.enc.frt.amc.lpg",input_data!$A:$A,0))</f>
        <v>0</v>
      </c>
    </row>
    <row r="142" customFormat="false" ht="15" hidden="false" customHeight="true" outlineLevel="0" collapsed="false">
      <c r="A142" s="73" t="str">
        <f aca="false">dashboard!$B$5&amp;".pj.enc.frt.amc.bio"</f>
        <v>egy.pj.enc.frt.amc.bio</v>
      </c>
      <c r="B142" s="73" t="str">
        <f aca="false">dashboard!$B$5</f>
        <v>egy</v>
      </c>
      <c r="C142" s="73" t="s">
        <v>3401</v>
      </c>
      <c r="D142" s="73" t="s">
        <v>891</v>
      </c>
      <c r="E142" s="73" t="s">
        <v>767</v>
      </c>
      <c r="F142" s="73" t="s">
        <v>768</v>
      </c>
      <c r="G142" s="73" t="s">
        <v>109</v>
      </c>
      <c r="H142" s="73" t="s">
        <v>3554</v>
      </c>
      <c r="I142" s="73" t="s">
        <v>3424</v>
      </c>
      <c r="J142" s="73" t="s">
        <v>3425</v>
      </c>
      <c r="K142" s="73"/>
      <c r="L142" s="73"/>
      <c r="M142" s="114" t="n">
        <f aca="false">M132*INDEX(input_data!$L:$L,MATCH(dashboard!$B$5&amp;".in.enc.frt.amc.bio",input_data!$A:$A,0))</f>
        <v>0</v>
      </c>
      <c r="N142" s="114" t="n">
        <f aca="false">N132*INDEX(input_data!$L:$L,MATCH(dashboard!$B$5&amp;".in.enc.frt.amc.bio",input_data!$A:$A,0))</f>
        <v>0</v>
      </c>
      <c r="O142" s="114" t="n">
        <f aca="false">O132*INDEX(input_data!$L:$L,MATCH(dashboard!$B$5&amp;".in.enc.frt.amc.bio",input_data!$A:$A,0))</f>
        <v>0</v>
      </c>
      <c r="P142" s="114" t="n">
        <f aca="false">P132*INDEX(input_data!$L:$L,MATCH(dashboard!$B$5&amp;".in.enc.frt.amc.bio",input_data!$A:$A,0))</f>
        <v>0</v>
      </c>
      <c r="Q142" s="114" t="n">
        <f aca="false">Q132*INDEX(input_data!$L:$L,MATCH(dashboard!$B$5&amp;".in.enc.frt.amc.bio",input_data!$A:$A,0))</f>
        <v>0</v>
      </c>
      <c r="R142" s="114" t="n">
        <f aca="false">R132*INDEX(input_data!$L:$L,MATCH(dashboard!$B$5&amp;".in.enc.frt.amc.bio",input_data!$A:$A,0))</f>
        <v>0</v>
      </c>
      <c r="S142" s="114" t="n">
        <f aca="false">S132*INDEX(input_data!$L:$L,MATCH(dashboard!$B$5&amp;".in.enc.frt.amc.bio",input_data!$A:$A,0))</f>
        <v>0</v>
      </c>
      <c r="T142" s="114" t="n">
        <f aca="false">T132*INDEX(input_data!$L:$L,MATCH(dashboard!$B$5&amp;".in.enc.frt.amc.bio",input_data!$A:$A,0))</f>
        <v>0</v>
      </c>
      <c r="U142" s="114" t="n">
        <f aca="false">U132*INDEX(input_data!$L:$L,MATCH(dashboard!$B$5&amp;".in.enc.frt.amc.bio",input_data!$A:$A,0))</f>
        <v>0</v>
      </c>
      <c r="V142" s="114" t="n">
        <f aca="false">V132*INDEX(input_data!$L:$L,MATCH(dashboard!$B$5&amp;".in.enc.frt.amc.bio",input_data!$A:$A,0))</f>
        <v>0</v>
      </c>
      <c r="W142" s="114" t="n">
        <f aca="false">W132*INDEX(input_data!$L:$L,MATCH(dashboard!$B$5&amp;".in.enc.frt.amc.bio",input_data!$A:$A,0))</f>
        <v>0</v>
      </c>
      <c r="X142" s="114" t="n">
        <f aca="false">X132*INDEX(input_data!$L:$L,MATCH(dashboard!$B$5&amp;".in.enc.frt.amc.bio",input_data!$A:$A,0))</f>
        <v>0</v>
      </c>
    </row>
    <row r="143" customFormat="false" ht="15" hidden="false" customHeight="true" outlineLevel="0" collapsed="false">
      <c r="A143" s="73" t="str">
        <f aca="false">dashboard!$B$5&amp;".pj.enc.frt.amc.ren"</f>
        <v>egy.pj.enc.frt.amc.ren</v>
      </c>
      <c r="B143" s="73" t="str">
        <f aca="false">dashboard!$B$5</f>
        <v>egy</v>
      </c>
      <c r="C143" s="73" t="s">
        <v>3401</v>
      </c>
      <c r="D143" s="73" t="s">
        <v>891</v>
      </c>
      <c r="E143" s="73" t="s">
        <v>767</v>
      </c>
      <c r="F143" s="73" t="s">
        <v>768</v>
      </c>
      <c r="G143" s="73" t="s">
        <v>111</v>
      </c>
      <c r="H143" s="73" t="s">
        <v>3555</v>
      </c>
      <c r="I143" s="73" t="s">
        <v>3424</v>
      </c>
      <c r="J143" s="73" t="s">
        <v>3425</v>
      </c>
      <c r="K143" s="73"/>
      <c r="L143" s="73"/>
      <c r="M143" s="114" t="n">
        <f aca="false">M132*INDEX(input_data!$L:$L,MATCH(dashboard!$B$5&amp;".in.enc.frt.amc.ren",input_data!$A:$A,0))</f>
        <v>0</v>
      </c>
      <c r="N143" s="114" t="n">
        <f aca="false">N132*INDEX(input_data!$L:$L,MATCH(dashboard!$B$5&amp;".in.enc.frt.amc.ren",input_data!$A:$A,0))</f>
        <v>0</v>
      </c>
      <c r="O143" s="114" t="n">
        <f aca="false">O132*INDEX(input_data!$L:$L,MATCH(dashboard!$B$5&amp;".in.enc.frt.amc.ren",input_data!$A:$A,0))</f>
        <v>0</v>
      </c>
      <c r="P143" s="114" t="n">
        <f aca="false">P132*INDEX(input_data!$L:$L,MATCH(dashboard!$B$5&amp;".in.enc.frt.amc.ren",input_data!$A:$A,0))</f>
        <v>0</v>
      </c>
      <c r="Q143" s="114" t="n">
        <f aca="false">Q132*INDEX(input_data!$L:$L,MATCH(dashboard!$B$5&amp;".in.enc.frt.amc.ren",input_data!$A:$A,0))</f>
        <v>0</v>
      </c>
      <c r="R143" s="114" t="n">
        <f aca="false">R132*INDEX(input_data!$L:$L,MATCH(dashboard!$B$5&amp;".in.enc.frt.amc.ren",input_data!$A:$A,0))</f>
        <v>0</v>
      </c>
      <c r="S143" s="114" t="n">
        <f aca="false">S132*INDEX(input_data!$L:$L,MATCH(dashboard!$B$5&amp;".in.enc.frt.amc.ren",input_data!$A:$A,0))</f>
        <v>0</v>
      </c>
      <c r="T143" s="114" t="n">
        <f aca="false">T132*INDEX(input_data!$L:$L,MATCH(dashboard!$B$5&amp;".in.enc.frt.amc.ren",input_data!$A:$A,0))</f>
        <v>0</v>
      </c>
      <c r="U143" s="114" t="n">
        <f aca="false">U132*INDEX(input_data!$L:$L,MATCH(dashboard!$B$5&amp;".in.enc.frt.amc.ren",input_data!$A:$A,0))</f>
        <v>0</v>
      </c>
      <c r="V143" s="114" t="n">
        <f aca="false">V132*INDEX(input_data!$L:$L,MATCH(dashboard!$B$5&amp;".in.enc.frt.amc.ren",input_data!$A:$A,0))</f>
        <v>0</v>
      </c>
      <c r="W143" s="114" t="n">
        <f aca="false">W132*INDEX(input_data!$L:$L,MATCH(dashboard!$B$5&amp;".in.enc.frt.amc.ren",input_data!$A:$A,0))</f>
        <v>0</v>
      </c>
      <c r="X143" s="114" t="n">
        <f aca="false">X132*INDEX(input_data!$L:$L,MATCH(dashboard!$B$5&amp;".in.enc.frt.amc.ren",input_data!$A:$A,0))</f>
        <v>0</v>
      </c>
    </row>
    <row r="144" customFormat="false" ht="15" hidden="false" customHeight="true" outlineLevel="0" collapsed="false">
      <c r="A144" s="73" t="str">
        <f aca="false">dashboard!$B$5&amp;".pj.enp.frt.amc.coa"</f>
        <v>egy.pj.enp.frt.amc.coa</v>
      </c>
      <c r="B144" s="73" t="str">
        <f aca="false">dashboard!$B$5</f>
        <v>egy</v>
      </c>
      <c r="C144" s="73" t="s">
        <v>3401</v>
      </c>
      <c r="D144" s="73" t="s">
        <v>918</v>
      </c>
      <c r="E144" s="73" t="s">
        <v>767</v>
      </c>
      <c r="F144" s="73" t="s">
        <v>768</v>
      </c>
      <c r="G144" s="73" t="s">
        <v>96</v>
      </c>
      <c r="H144" s="73" t="s">
        <v>3556</v>
      </c>
      <c r="I144" s="73" t="s">
        <v>3424</v>
      </c>
      <c r="J144" s="73" t="s">
        <v>3434</v>
      </c>
      <c r="K144" s="73"/>
      <c r="L144" s="73"/>
      <c r="M144" s="114" t="n">
        <f aca="false">M132*INDEX(input_data!$L:$L,MATCH(dashboard!$B$5&amp;".in.enp.frt.amc.coa",input_data!$A:$A,0))</f>
        <v>0</v>
      </c>
      <c r="N144" s="114" t="n">
        <f aca="false">N132*INDEX(input_data!$L:$L,MATCH(dashboard!$B$5&amp;".in.enp.frt.amc.coa",input_data!$A:$A,0))</f>
        <v>0</v>
      </c>
      <c r="O144" s="114" t="n">
        <f aca="false">O132*INDEX(input_data!$L:$L,MATCH(dashboard!$B$5&amp;".in.enp.frt.amc.coa",input_data!$A:$A,0))</f>
        <v>0</v>
      </c>
      <c r="P144" s="114" t="n">
        <f aca="false">P132*INDEX(input_data!$L:$L,MATCH(dashboard!$B$5&amp;".in.enp.frt.amc.coa",input_data!$A:$A,0))</f>
        <v>0</v>
      </c>
      <c r="Q144" s="114" t="n">
        <f aca="false">Q132*INDEX(input_data!$L:$L,MATCH(dashboard!$B$5&amp;".in.enp.frt.amc.coa",input_data!$A:$A,0))</f>
        <v>0</v>
      </c>
      <c r="R144" s="114" t="n">
        <f aca="false">R132*INDEX(input_data!$L:$L,MATCH(dashboard!$B$5&amp;".in.enp.frt.amc.coa",input_data!$A:$A,0))</f>
        <v>0</v>
      </c>
      <c r="S144" s="114" t="n">
        <f aca="false">S132*INDEX(input_data!$L:$L,MATCH(dashboard!$B$5&amp;".in.enp.frt.amc.coa",input_data!$A:$A,0))</f>
        <v>0</v>
      </c>
      <c r="T144" s="114" t="n">
        <f aca="false">T132*INDEX(input_data!$L:$L,MATCH(dashboard!$B$5&amp;".in.enp.frt.amc.coa",input_data!$A:$A,0))</f>
        <v>0</v>
      </c>
      <c r="U144" s="114" t="n">
        <f aca="false">U132*INDEX(input_data!$L:$L,MATCH(dashboard!$B$5&amp;".in.enp.frt.amc.coa",input_data!$A:$A,0))</f>
        <v>0</v>
      </c>
      <c r="V144" s="114" t="n">
        <f aca="false">V132*INDEX(input_data!$L:$L,MATCH(dashboard!$B$5&amp;".in.enp.frt.amc.coa",input_data!$A:$A,0))</f>
        <v>0</v>
      </c>
      <c r="W144" s="114" t="n">
        <f aca="false">W132*INDEX(input_data!$L:$L,MATCH(dashboard!$B$5&amp;".in.enp.frt.amc.coa",input_data!$A:$A,0))</f>
        <v>0</v>
      </c>
      <c r="X144" s="114" t="n">
        <f aca="false">X132*INDEX(input_data!$L:$L,MATCH(dashboard!$B$5&amp;".in.enp.frt.amc.coa",input_data!$A:$A,0))</f>
        <v>0</v>
      </c>
    </row>
    <row r="145" customFormat="false" ht="15" hidden="false" customHeight="true" outlineLevel="0" collapsed="false">
      <c r="A145" s="73" t="str">
        <f aca="false">dashboard!$B$5&amp;".pj.enp.frt.amc.nga"</f>
        <v>egy.pj.enp.frt.amc.nga</v>
      </c>
      <c r="B145" s="73" t="str">
        <f aca="false">dashboard!$B$5</f>
        <v>egy</v>
      </c>
      <c r="C145" s="73" t="s">
        <v>3401</v>
      </c>
      <c r="D145" s="73" t="s">
        <v>918</v>
      </c>
      <c r="E145" s="73" t="s">
        <v>767</v>
      </c>
      <c r="F145" s="73" t="s">
        <v>768</v>
      </c>
      <c r="G145" s="73" t="s">
        <v>99</v>
      </c>
      <c r="H145" s="73" t="s">
        <v>3557</v>
      </c>
      <c r="I145" s="73" t="s">
        <v>3424</v>
      </c>
      <c r="J145" s="73" t="s">
        <v>3434</v>
      </c>
      <c r="K145" s="73"/>
      <c r="L145" s="73"/>
      <c r="M145" s="114" t="n">
        <f aca="false">M132*INDEX(input_data!$L:$L,MATCH(dashboard!$B$5&amp;".in.enp.frt.amc.nga",input_data!$A:$A,0))</f>
        <v>28.8</v>
      </c>
      <c r="N145" s="114" t="n">
        <f aca="false">N132*INDEX(input_data!$L:$L,MATCH(dashboard!$B$5&amp;".in.enp.frt.amc.nga",input_data!$A:$A,0))</f>
        <v>29.5813995612108</v>
      </c>
      <c r="O145" s="114" t="n">
        <f aca="false">O132*INDEX(input_data!$L:$L,MATCH(dashboard!$B$5&amp;".in.enp.frt.amc.nga",input_data!$A:$A,0))</f>
        <v>30.384</v>
      </c>
      <c r="P145" s="114" t="n">
        <f aca="false">P132*INDEX(input_data!$L:$L,MATCH(dashboard!$B$5&amp;".in.enp.frt.amc.nga",input_data!$A:$A,0))</f>
        <v>31.2083765370773</v>
      </c>
      <c r="Q145" s="114" t="n">
        <f aca="false">Q132*INDEX(input_data!$L:$L,MATCH(dashboard!$B$5&amp;".in.enp.frt.amc.nga",input_data!$A:$A,0))</f>
        <v>32.05512</v>
      </c>
      <c r="R145" s="114" t="n">
        <f aca="false">R132*INDEX(input_data!$L:$L,MATCH(dashboard!$B$5&amp;".in.enp.frt.amc.nga",input_data!$A:$A,0))</f>
        <v>32.9248372466166</v>
      </c>
      <c r="S145" s="114" t="n">
        <f aca="false">S132*INDEX(input_data!$L:$L,MATCH(dashboard!$B$5&amp;".in.enp.frt.amc.nga",input_data!$A:$A,0))</f>
        <v>33.8181516</v>
      </c>
      <c r="T145" s="114" t="n">
        <f aca="false">T132*INDEX(input_data!$L:$L,MATCH(dashboard!$B$5&amp;".in.enp.frt.amc.nga",input_data!$A:$A,0))</f>
        <v>34.7357032951805</v>
      </c>
      <c r="U145" s="114" t="n">
        <f aca="false">U132*INDEX(input_data!$L:$L,MATCH(dashboard!$B$5&amp;".in.enp.frt.amc.nga",input_data!$A:$A,0))</f>
        <v>35.678149938</v>
      </c>
      <c r="V145" s="114" t="n">
        <f aca="false">V132*INDEX(input_data!$L:$L,MATCH(dashboard!$B$5&amp;".in.enp.frt.amc.nga",input_data!$A:$A,0))</f>
        <v>36.6461669764154</v>
      </c>
      <c r="W145" s="114" t="n">
        <f aca="false">W132*INDEX(input_data!$L:$L,MATCH(dashboard!$B$5&amp;".in.enp.frt.amc.nga",input_data!$A:$A,0))</f>
        <v>37.64044818459</v>
      </c>
      <c r="X145" s="114" t="n">
        <f aca="false">X132*INDEX(input_data!$L:$L,MATCH(dashboard!$B$5&amp;".in.enp.frt.amc.nga",input_data!$A:$A,0))</f>
        <v>38.6617061601183</v>
      </c>
    </row>
    <row r="146" customFormat="false" ht="15" hidden="false" customHeight="true" outlineLevel="0" collapsed="false">
      <c r="A146" s="73" t="str">
        <f aca="false">dashboard!$B$5&amp;".pj.enp.frt.amc.gso"</f>
        <v>egy.pj.enp.frt.amc.gso</v>
      </c>
      <c r="B146" s="73" t="str">
        <f aca="false">dashboard!$B$5</f>
        <v>egy</v>
      </c>
      <c r="C146" s="73" t="s">
        <v>3401</v>
      </c>
      <c r="D146" s="73" t="s">
        <v>918</v>
      </c>
      <c r="E146" s="73" t="s">
        <v>767</v>
      </c>
      <c r="F146" s="73" t="s">
        <v>768</v>
      </c>
      <c r="G146" s="73" t="s">
        <v>101</v>
      </c>
      <c r="H146" s="73" t="s">
        <v>3558</v>
      </c>
      <c r="I146" s="73" t="s">
        <v>3424</v>
      </c>
      <c r="J146" s="73" t="s">
        <v>3434</v>
      </c>
      <c r="K146" s="73"/>
      <c r="L146" s="73"/>
      <c r="M146" s="114" t="n">
        <f aca="false">M132*INDEX(input_data!$L:$L,MATCH(dashboard!$B$5&amp;".in.enp.frt.amc.gso",input_data!$A:$A,0))</f>
        <v>0</v>
      </c>
      <c r="N146" s="114" t="n">
        <f aca="false">N132*INDEX(input_data!$L:$L,MATCH(dashboard!$B$5&amp;".in.enp.frt.amc.gso",input_data!$A:$A,0))</f>
        <v>0</v>
      </c>
      <c r="O146" s="114" t="n">
        <f aca="false">O132*INDEX(input_data!$L:$L,MATCH(dashboard!$B$5&amp;".in.enp.frt.amc.gso",input_data!$A:$A,0))</f>
        <v>0</v>
      </c>
      <c r="P146" s="114" t="n">
        <f aca="false">P132*INDEX(input_data!$L:$L,MATCH(dashboard!$B$5&amp;".in.enp.frt.amc.gso",input_data!$A:$A,0))</f>
        <v>0</v>
      </c>
      <c r="Q146" s="114" t="n">
        <f aca="false">Q132*INDEX(input_data!$L:$L,MATCH(dashboard!$B$5&amp;".in.enp.frt.amc.gso",input_data!$A:$A,0))</f>
        <v>0</v>
      </c>
      <c r="R146" s="114" t="n">
        <f aca="false">R132*INDEX(input_data!$L:$L,MATCH(dashboard!$B$5&amp;".in.enp.frt.amc.gso",input_data!$A:$A,0))</f>
        <v>0</v>
      </c>
      <c r="S146" s="114" t="n">
        <f aca="false">S132*INDEX(input_data!$L:$L,MATCH(dashboard!$B$5&amp;".in.enp.frt.amc.gso",input_data!$A:$A,0))</f>
        <v>0</v>
      </c>
      <c r="T146" s="114" t="n">
        <f aca="false">T132*INDEX(input_data!$L:$L,MATCH(dashboard!$B$5&amp;".in.enp.frt.amc.gso",input_data!$A:$A,0))</f>
        <v>0</v>
      </c>
      <c r="U146" s="114" t="n">
        <f aca="false">U132*INDEX(input_data!$L:$L,MATCH(dashboard!$B$5&amp;".in.enp.frt.amc.gso",input_data!$A:$A,0))</f>
        <v>0</v>
      </c>
      <c r="V146" s="114" t="n">
        <f aca="false">V132*INDEX(input_data!$L:$L,MATCH(dashboard!$B$5&amp;".in.enp.frt.amc.gso",input_data!$A:$A,0))</f>
        <v>0</v>
      </c>
      <c r="W146" s="114" t="n">
        <f aca="false">W132*INDEX(input_data!$L:$L,MATCH(dashboard!$B$5&amp;".in.enp.frt.amc.gso",input_data!$A:$A,0))</f>
        <v>0</v>
      </c>
      <c r="X146" s="114" t="n">
        <f aca="false">X132*INDEX(input_data!$L:$L,MATCH(dashboard!$B$5&amp;".in.enp.frt.amc.gso",input_data!$A:$A,0))</f>
        <v>0</v>
      </c>
    </row>
    <row r="147" customFormat="false" ht="15" hidden="false" customHeight="true" outlineLevel="0" collapsed="false">
      <c r="A147" s="73" t="str">
        <f aca="false">dashboard!$B$5&amp;".pj.enp.frt.amc.die"</f>
        <v>egy.pj.enp.frt.amc.die</v>
      </c>
      <c r="B147" s="73" t="str">
        <f aca="false">dashboard!$B$5</f>
        <v>egy</v>
      </c>
      <c r="C147" s="73" t="s">
        <v>3401</v>
      </c>
      <c r="D147" s="73" t="s">
        <v>918</v>
      </c>
      <c r="E147" s="73" t="s">
        <v>767</v>
      </c>
      <c r="F147" s="73" t="s">
        <v>768</v>
      </c>
      <c r="G147" s="73" t="s">
        <v>103</v>
      </c>
      <c r="H147" s="73" t="s">
        <v>3559</v>
      </c>
      <c r="I147" s="73" t="s">
        <v>3424</v>
      </c>
      <c r="J147" s="73" t="s">
        <v>3434</v>
      </c>
      <c r="K147" s="73"/>
      <c r="L147" s="73"/>
      <c r="M147" s="114" t="n">
        <f aca="false">M132*INDEX(input_data!$L:$L,MATCH(dashboard!$B$5&amp;".in.enp.frt.amc.die",input_data!$A:$A,0))</f>
        <v>0</v>
      </c>
      <c r="N147" s="114" t="n">
        <f aca="false">N132*INDEX(input_data!$L:$L,MATCH(dashboard!$B$5&amp;".in.enp.frt.amc.die",input_data!$A:$A,0))</f>
        <v>0</v>
      </c>
      <c r="O147" s="114" t="n">
        <f aca="false">O132*INDEX(input_data!$L:$L,MATCH(dashboard!$B$5&amp;".in.enp.frt.amc.die",input_data!$A:$A,0))</f>
        <v>0</v>
      </c>
      <c r="P147" s="114" t="n">
        <f aca="false">P132*INDEX(input_data!$L:$L,MATCH(dashboard!$B$5&amp;".in.enp.frt.amc.die",input_data!$A:$A,0))</f>
        <v>0</v>
      </c>
      <c r="Q147" s="114" t="n">
        <f aca="false">Q132*INDEX(input_data!$L:$L,MATCH(dashboard!$B$5&amp;".in.enp.frt.amc.die",input_data!$A:$A,0))</f>
        <v>0</v>
      </c>
      <c r="R147" s="114" t="n">
        <f aca="false">R132*INDEX(input_data!$L:$L,MATCH(dashboard!$B$5&amp;".in.enp.frt.amc.die",input_data!$A:$A,0))</f>
        <v>0</v>
      </c>
      <c r="S147" s="114" t="n">
        <f aca="false">S132*INDEX(input_data!$L:$L,MATCH(dashboard!$B$5&amp;".in.enp.frt.amc.die",input_data!$A:$A,0))</f>
        <v>0</v>
      </c>
      <c r="T147" s="114" t="n">
        <f aca="false">T132*INDEX(input_data!$L:$L,MATCH(dashboard!$B$5&amp;".in.enp.frt.amc.die",input_data!$A:$A,0))</f>
        <v>0</v>
      </c>
      <c r="U147" s="114" t="n">
        <f aca="false">U132*INDEX(input_data!$L:$L,MATCH(dashboard!$B$5&amp;".in.enp.frt.amc.die",input_data!$A:$A,0))</f>
        <v>0</v>
      </c>
      <c r="V147" s="114" t="n">
        <f aca="false">V132*INDEX(input_data!$L:$L,MATCH(dashboard!$B$5&amp;".in.enp.frt.amc.die",input_data!$A:$A,0))</f>
        <v>0</v>
      </c>
      <c r="W147" s="114" t="n">
        <f aca="false">W132*INDEX(input_data!$L:$L,MATCH(dashboard!$B$5&amp;".in.enp.frt.amc.die",input_data!$A:$A,0))</f>
        <v>0</v>
      </c>
      <c r="X147" s="114" t="n">
        <f aca="false">X132*INDEX(input_data!$L:$L,MATCH(dashboard!$B$5&amp;".in.enp.frt.amc.die",input_data!$A:$A,0))</f>
        <v>0</v>
      </c>
    </row>
    <row r="148" customFormat="false" ht="15" hidden="false" customHeight="true" outlineLevel="0" collapsed="false">
      <c r="A148" s="73" t="str">
        <f aca="false">dashboard!$B$5&amp;".pj.enp.frt.amc.ker"</f>
        <v>egy.pj.enp.frt.amc.ker</v>
      </c>
      <c r="B148" s="73" t="str">
        <f aca="false">dashboard!$B$5</f>
        <v>egy</v>
      </c>
      <c r="C148" s="73" t="s">
        <v>3401</v>
      </c>
      <c r="D148" s="73" t="s">
        <v>918</v>
      </c>
      <c r="E148" s="73" t="s">
        <v>767</v>
      </c>
      <c r="F148" s="73" t="s">
        <v>768</v>
      </c>
      <c r="G148" s="73" t="s">
        <v>105</v>
      </c>
      <c r="H148" s="73" t="s">
        <v>3560</v>
      </c>
      <c r="I148" s="73" t="s">
        <v>3424</v>
      </c>
      <c r="J148" s="73" t="s">
        <v>3434</v>
      </c>
      <c r="K148" s="73"/>
      <c r="L148" s="73"/>
      <c r="M148" s="114" t="n">
        <f aca="false">M132*INDEX(input_data!$L:$L,MATCH(dashboard!$B$5&amp;".in.enp.frt.amc.ker",input_data!$A:$A,0))</f>
        <v>0</v>
      </c>
      <c r="N148" s="114" t="n">
        <f aca="false">N132*INDEX(input_data!$L:$L,MATCH(dashboard!$B$5&amp;".in.enp.frt.amc.ker",input_data!$A:$A,0))</f>
        <v>0</v>
      </c>
      <c r="O148" s="114" t="n">
        <f aca="false">O132*INDEX(input_data!$L:$L,MATCH(dashboard!$B$5&amp;".in.enp.frt.amc.ker",input_data!$A:$A,0))</f>
        <v>0</v>
      </c>
      <c r="P148" s="114" t="n">
        <f aca="false">P132*INDEX(input_data!$L:$L,MATCH(dashboard!$B$5&amp;".in.enp.frt.amc.ker",input_data!$A:$A,0))</f>
        <v>0</v>
      </c>
      <c r="Q148" s="114" t="n">
        <f aca="false">Q132*INDEX(input_data!$L:$L,MATCH(dashboard!$B$5&amp;".in.enp.frt.amc.ker",input_data!$A:$A,0))</f>
        <v>0</v>
      </c>
      <c r="R148" s="114" t="n">
        <f aca="false">R132*INDEX(input_data!$L:$L,MATCH(dashboard!$B$5&amp;".in.enp.frt.amc.ker",input_data!$A:$A,0))</f>
        <v>0</v>
      </c>
      <c r="S148" s="114" t="n">
        <f aca="false">S132*INDEX(input_data!$L:$L,MATCH(dashboard!$B$5&amp;".in.enp.frt.amc.ker",input_data!$A:$A,0))</f>
        <v>0</v>
      </c>
      <c r="T148" s="114" t="n">
        <f aca="false">T132*INDEX(input_data!$L:$L,MATCH(dashboard!$B$5&amp;".in.enp.frt.amc.ker",input_data!$A:$A,0))</f>
        <v>0</v>
      </c>
      <c r="U148" s="114" t="n">
        <f aca="false">U132*INDEX(input_data!$L:$L,MATCH(dashboard!$B$5&amp;".in.enp.frt.amc.ker",input_data!$A:$A,0))</f>
        <v>0</v>
      </c>
      <c r="V148" s="114" t="n">
        <f aca="false">V132*INDEX(input_data!$L:$L,MATCH(dashboard!$B$5&amp;".in.enp.frt.amc.ker",input_data!$A:$A,0))</f>
        <v>0</v>
      </c>
      <c r="W148" s="114" t="n">
        <f aca="false">W132*INDEX(input_data!$L:$L,MATCH(dashboard!$B$5&amp;".in.enp.frt.amc.ker",input_data!$A:$A,0))</f>
        <v>0</v>
      </c>
      <c r="X148" s="114" t="n">
        <f aca="false">X132*INDEX(input_data!$L:$L,MATCH(dashboard!$B$5&amp;".in.enp.frt.amc.ker",input_data!$A:$A,0))</f>
        <v>0</v>
      </c>
    </row>
    <row r="149" customFormat="false" ht="15" hidden="false" customHeight="true" outlineLevel="0" collapsed="false">
      <c r="A149" s="73" t="str">
        <f aca="false">dashboard!$B$5&amp;".pj.enp.frt.amc.lpg"</f>
        <v>egy.pj.enp.frt.amc.lpg</v>
      </c>
      <c r="B149" s="73" t="str">
        <f aca="false">dashboard!$B$5</f>
        <v>egy</v>
      </c>
      <c r="C149" s="73" t="s">
        <v>3401</v>
      </c>
      <c r="D149" s="73" t="s">
        <v>918</v>
      </c>
      <c r="E149" s="73" t="s">
        <v>767</v>
      </c>
      <c r="F149" s="73" t="s">
        <v>768</v>
      </c>
      <c r="G149" s="73" t="s">
        <v>107</v>
      </c>
      <c r="H149" s="73" t="s">
        <v>3561</v>
      </c>
      <c r="I149" s="73" t="s">
        <v>3424</v>
      </c>
      <c r="J149" s="73" t="s">
        <v>3434</v>
      </c>
      <c r="K149" s="73"/>
      <c r="L149" s="73"/>
      <c r="M149" s="114" t="n">
        <f aca="false">M132*INDEX(input_data!$L:$L,MATCH(dashboard!$B$5&amp;".in.enp.frt.amc.lpg",input_data!$A:$A,0))</f>
        <v>0</v>
      </c>
      <c r="N149" s="114" t="n">
        <f aca="false">N132*INDEX(input_data!$L:$L,MATCH(dashboard!$B$5&amp;".in.enp.frt.amc.lpg",input_data!$A:$A,0))</f>
        <v>0</v>
      </c>
      <c r="O149" s="114" t="n">
        <f aca="false">O132*INDEX(input_data!$L:$L,MATCH(dashboard!$B$5&amp;".in.enp.frt.amc.lpg",input_data!$A:$A,0))</f>
        <v>0</v>
      </c>
      <c r="P149" s="114" t="n">
        <f aca="false">P132*INDEX(input_data!$L:$L,MATCH(dashboard!$B$5&amp;".in.enp.frt.amc.lpg",input_data!$A:$A,0))</f>
        <v>0</v>
      </c>
      <c r="Q149" s="114" t="n">
        <f aca="false">Q132*INDEX(input_data!$L:$L,MATCH(dashboard!$B$5&amp;".in.enp.frt.amc.lpg",input_data!$A:$A,0))</f>
        <v>0</v>
      </c>
      <c r="R149" s="114" t="n">
        <f aca="false">R132*INDEX(input_data!$L:$L,MATCH(dashboard!$B$5&amp;".in.enp.frt.amc.lpg",input_data!$A:$A,0))</f>
        <v>0</v>
      </c>
      <c r="S149" s="114" t="n">
        <f aca="false">S132*INDEX(input_data!$L:$L,MATCH(dashboard!$B$5&amp;".in.enp.frt.amc.lpg",input_data!$A:$A,0))</f>
        <v>0</v>
      </c>
      <c r="T149" s="114" t="n">
        <f aca="false">T132*INDEX(input_data!$L:$L,MATCH(dashboard!$B$5&amp;".in.enp.frt.amc.lpg",input_data!$A:$A,0))</f>
        <v>0</v>
      </c>
      <c r="U149" s="114" t="n">
        <f aca="false">U132*INDEX(input_data!$L:$L,MATCH(dashboard!$B$5&amp;".in.enp.frt.amc.lpg",input_data!$A:$A,0))</f>
        <v>0</v>
      </c>
      <c r="V149" s="114" t="n">
        <f aca="false">V132*INDEX(input_data!$L:$L,MATCH(dashboard!$B$5&amp;".in.enp.frt.amc.lpg",input_data!$A:$A,0))</f>
        <v>0</v>
      </c>
      <c r="W149" s="114" t="n">
        <f aca="false">W132*INDEX(input_data!$L:$L,MATCH(dashboard!$B$5&amp;".in.enp.frt.amc.lpg",input_data!$A:$A,0))</f>
        <v>0</v>
      </c>
      <c r="X149" s="114" t="n">
        <f aca="false">X132*INDEX(input_data!$L:$L,MATCH(dashboard!$B$5&amp;".in.enp.frt.amc.lpg",input_data!$A:$A,0))</f>
        <v>0</v>
      </c>
    </row>
    <row r="150" customFormat="false" ht="15" hidden="false" customHeight="true" outlineLevel="0" collapsed="false">
      <c r="A150" s="73" t="str">
        <f aca="false">dashboard!$B$5&amp;".pj.enp.frt.amc.bio"</f>
        <v>egy.pj.enp.frt.amc.bio</v>
      </c>
      <c r="B150" s="73" t="str">
        <f aca="false">dashboard!$B$5</f>
        <v>egy</v>
      </c>
      <c r="C150" s="73" t="s">
        <v>3401</v>
      </c>
      <c r="D150" s="73" t="s">
        <v>918</v>
      </c>
      <c r="E150" s="73" t="s">
        <v>767</v>
      </c>
      <c r="F150" s="73" t="s">
        <v>768</v>
      </c>
      <c r="G150" s="73" t="s">
        <v>109</v>
      </c>
      <c r="H150" s="73" t="s">
        <v>3562</v>
      </c>
      <c r="I150" s="73" t="s">
        <v>3424</v>
      </c>
      <c r="J150" s="73" t="s">
        <v>3434</v>
      </c>
      <c r="K150" s="73"/>
      <c r="L150" s="73"/>
      <c r="M150" s="114" t="n">
        <f aca="false">M132*INDEX(input_data!$L:$L,MATCH(dashboard!$B$5&amp;".in.enp.frt.amc.bio",input_data!$A:$A,0))</f>
        <v>0</v>
      </c>
      <c r="N150" s="114" t="n">
        <f aca="false">N132*INDEX(input_data!$L:$L,MATCH(dashboard!$B$5&amp;".in.enp.frt.amc.bio",input_data!$A:$A,0))</f>
        <v>0</v>
      </c>
      <c r="O150" s="114" t="n">
        <f aca="false">O132*INDEX(input_data!$L:$L,MATCH(dashboard!$B$5&amp;".in.enp.frt.amc.bio",input_data!$A:$A,0))</f>
        <v>0</v>
      </c>
      <c r="P150" s="114" t="n">
        <f aca="false">P132*INDEX(input_data!$L:$L,MATCH(dashboard!$B$5&amp;".in.enp.frt.amc.bio",input_data!$A:$A,0))</f>
        <v>0</v>
      </c>
      <c r="Q150" s="114" t="n">
        <f aca="false">Q132*INDEX(input_data!$L:$L,MATCH(dashboard!$B$5&amp;".in.enp.frt.amc.bio",input_data!$A:$A,0))</f>
        <v>0</v>
      </c>
      <c r="R150" s="114" t="n">
        <f aca="false">R132*INDEX(input_data!$L:$L,MATCH(dashboard!$B$5&amp;".in.enp.frt.amc.bio",input_data!$A:$A,0))</f>
        <v>0</v>
      </c>
      <c r="S150" s="114" t="n">
        <f aca="false">S132*INDEX(input_data!$L:$L,MATCH(dashboard!$B$5&amp;".in.enp.frt.amc.bio",input_data!$A:$A,0))</f>
        <v>0</v>
      </c>
      <c r="T150" s="114" t="n">
        <f aca="false">T132*INDEX(input_data!$L:$L,MATCH(dashboard!$B$5&amp;".in.enp.frt.amc.bio",input_data!$A:$A,0))</f>
        <v>0</v>
      </c>
      <c r="U150" s="114" t="n">
        <f aca="false">U132*INDEX(input_data!$L:$L,MATCH(dashboard!$B$5&amp;".in.enp.frt.amc.bio",input_data!$A:$A,0))</f>
        <v>0</v>
      </c>
      <c r="V150" s="114" t="n">
        <f aca="false">V132*INDEX(input_data!$L:$L,MATCH(dashboard!$B$5&amp;".in.enp.frt.amc.bio",input_data!$A:$A,0))</f>
        <v>0</v>
      </c>
      <c r="W150" s="114" t="n">
        <f aca="false">W132*INDEX(input_data!$L:$L,MATCH(dashboard!$B$5&amp;".in.enp.frt.amc.bio",input_data!$A:$A,0))</f>
        <v>0</v>
      </c>
      <c r="X150" s="114" t="n">
        <f aca="false">X132*INDEX(input_data!$L:$L,MATCH(dashboard!$B$5&amp;".in.enp.frt.amc.bio",input_data!$A:$A,0))</f>
        <v>0</v>
      </c>
    </row>
    <row r="151" customFormat="false" ht="15" hidden="false" customHeight="true" outlineLevel="0" collapsed="false">
      <c r="A151" s="73" t="str">
        <f aca="false">dashboard!$B$5&amp;".pj.enp.frt.amc.ren"</f>
        <v>egy.pj.enp.frt.amc.ren</v>
      </c>
      <c r="B151" s="73" t="str">
        <f aca="false">dashboard!$B$5</f>
        <v>egy</v>
      </c>
      <c r="C151" s="73" t="s">
        <v>3401</v>
      </c>
      <c r="D151" s="73" t="s">
        <v>918</v>
      </c>
      <c r="E151" s="73" t="s">
        <v>767</v>
      </c>
      <c r="F151" s="73" t="s">
        <v>768</v>
      </c>
      <c r="G151" s="73" t="s">
        <v>111</v>
      </c>
      <c r="H151" s="73" t="s">
        <v>3563</v>
      </c>
      <c r="I151" s="73" t="s">
        <v>3424</v>
      </c>
      <c r="J151" s="73" t="s">
        <v>3434</v>
      </c>
      <c r="K151" s="73"/>
      <c r="L151" s="73"/>
      <c r="M151" s="114" t="n">
        <f aca="false">M132*INDEX(input_data!$L:$L,MATCH(dashboard!$B$5&amp;".in.enp.frt.amc.ren",input_data!$A:$A,0))</f>
        <v>0</v>
      </c>
      <c r="N151" s="114" t="n">
        <f aca="false">N132*INDEX(input_data!$L:$L,MATCH(dashboard!$B$5&amp;".in.enp.frt.amc.ren",input_data!$A:$A,0))</f>
        <v>0</v>
      </c>
      <c r="O151" s="114" t="n">
        <f aca="false">O132*INDEX(input_data!$L:$L,MATCH(dashboard!$B$5&amp;".in.enp.frt.amc.ren",input_data!$A:$A,0))</f>
        <v>0</v>
      </c>
      <c r="P151" s="114" t="n">
        <f aca="false">P132*INDEX(input_data!$L:$L,MATCH(dashboard!$B$5&amp;".in.enp.frt.amc.ren",input_data!$A:$A,0))</f>
        <v>0</v>
      </c>
      <c r="Q151" s="114" t="n">
        <f aca="false">Q132*INDEX(input_data!$L:$L,MATCH(dashboard!$B$5&amp;".in.enp.frt.amc.ren",input_data!$A:$A,0))</f>
        <v>0</v>
      </c>
      <c r="R151" s="114" t="n">
        <f aca="false">R132*INDEX(input_data!$L:$L,MATCH(dashboard!$B$5&amp;".in.enp.frt.amc.ren",input_data!$A:$A,0))</f>
        <v>0</v>
      </c>
      <c r="S151" s="114" t="n">
        <f aca="false">S132*INDEX(input_data!$L:$L,MATCH(dashboard!$B$5&amp;".in.enp.frt.amc.ren",input_data!$A:$A,0))</f>
        <v>0</v>
      </c>
      <c r="T151" s="114" t="n">
        <f aca="false">T132*INDEX(input_data!$L:$L,MATCH(dashboard!$B$5&amp;".in.enp.frt.amc.ren",input_data!$A:$A,0))</f>
        <v>0</v>
      </c>
      <c r="U151" s="114" t="n">
        <f aca="false">U132*INDEX(input_data!$L:$L,MATCH(dashboard!$B$5&amp;".in.enp.frt.amc.ren",input_data!$A:$A,0))</f>
        <v>0</v>
      </c>
      <c r="V151" s="114" t="n">
        <f aca="false">V132*INDEX(input_data!$L:$L,MATCH(dashboard!$B$5&amp;".in.enp.frt.amc.ren",input_data!$A:$A,0))</f>
        <v>0</v>
      </c>
      <c r="W151" s="114" t="n">
        <f aca="false">W132*INDEX(input_data!$L:$L,MATCH(dashboard!$B$5&amp;".in.enp.frt.amc.ren",input_data!$A:$A,0))</f>
        <v>0</v>
      </c>
      <c r="X151" s="114" t="n">
        <f aca="false">X132*INDEX(input_data!$L:$L,MATCH(dashboard!$B$5&amp;".in.enp.frt.amc.ren",input_data!$A:$A,0))</f>
        <v>0</v>
      </c>
    </row>
    <row r="152" customFormat="false" ht="15" hidden="false" customHeight="true" outlineLevel="0" collapsed="false">
      <c r="A152" s="73" t="str">
        <f aca="false">dashboard!$B$5&amp;".pj.ele.frt.amc.elc"</f>
        <v>egy.pj.ele.frt.amc.elc</v>
      </c>
      <c r="B152" s="73" t="str">
        <f aca="false">dashboard!$B$5</f>
        <v>egy</v>
      </c>
      <c r="C152" s="73" t="s">
        <v>3401</v>
      </c>
      <c r="D152" s="73" t="s">
        <v>943</v>
      </c>
      <c r="E152" s="73" t="s">
        <v>767</v>
      </c>
      <c r="F152" s="73" t="s">
        <v>768</v>
      </c>
      <c r="G152" s="73" t="s">
        <v>944</v>
      </c>
      <c r="H152" s="73" t="s">
        <v>3564</v>
      </c>
      <c r="I152" s="73" t="s">
        <v>3424</v>
      </c>
      <c r="J152" s="73" t="s">
        <v>3443</v>
      </c>
      <c r="K152" s="73"/>
      <c r="L152" s="73"/>
      <c r="M152" s="114" t="n">
        <f aca="false">M132*INDEX(input_data!$L:$L,MATCH(dashboard!$B$5&amp;".in.ele.frt.amc.elc",input_data!$A:$A,0))</f>
        <v>0.36</v>
      </c>
      <c r="N152" s="114" t="n">
        <f aca="false">N132*INDEX(input_data!$L:$L,MATCH(dashboard!$B$5&amp;".in.ele.frt.amc.elc",input_data!$A:$A,0))</f>
        <v>0.369767494515134</v>
      </c>
      <c r="O152" s="114" t="n">
        <f aca="false">O132*INDEX(input_data!$L:$L,MATCH(dashboard!$B$5&amp;".in.ele.frt.amc.elc",input_data!$A:$A,0))</f>
        <v>0.3798</v>
      </c>
      <c r="P152" s="114" t="n">
        <f aca="false">P132*INDEX(input_data!$L:$L,MATCH(dashboard!$B$5&amp;".in.ele.frt.amc.elc",input_data!$A:$A,0))</f>
        <v>0.390104706713467</v>
      </c>
      <c r="Q152" s="114" t="n">
        <f aca="false">Q132*INDEX(input_data!$L:$L,MATCH(dashboard!$B$5&amp;".in.ele.frt.amc.elc",input_data!$A:$A,0))</f>
        <v>0.400689</v>
      </c>
      <c r="R152" s="114" t="n">
        <f aca="false">R132*INDEX(input_data!$L:$L,MATCH(dashboard!$B$5&amp;".in.ele.frt.amc.elc",input_data!$A:$A,0))</f>
        <v>0.411560465582708</v>
      </c>
      <c r="S152" s="114" t="n">
        <f aca="false">S132*INDEX(input_data!$L:$L,MATCH(dashboard!$B$5&amp;".in.ele.frt.amc.elc",input_data!$A:$A,0))</f>
        <v>0.422726895</v>
      </c>
      <c r="T152" s="114" t="n">
        <f aca="false">T132*INDEX(input_data!$L:$L,MATCH(dashboard!$B$5&amp;".in.ele.frt.amc.elc",input_data!$A:$A,0))</f>
        <v>0.434196291189756</v>
      </c>
      <c r="U152" s="114" t="n">
        <f aca="false">U132*INDEX(input_data!$L:$L,MATCH(dashboard!$B$5&amp;".in.ele.frt.amc.elc",input_data!$A:$A,0))</f>
        <v>0.445976874225</v>
      </c>
      <c r="V152" s="114" t="n">
        <f aca="false">V132*INDEX(input_data!$L:$L,MATCH(dashboard!$B$5&amp;".in.ele.frt.amc.elc",input_data!$A:$A,0))</f>
        <v>0.458077087205193</v>
      </c>
      <c r="W152" s="114" t="n">
        <f aca="false">W132*INDEX(input_data!$L:$L,MATCH(dashboard!$B$5&amp;".in.ele.frt.amc.elc",input_data!$A:$A,0))</f>
        <v>0.470505602307375</v>
      </c>
      <c r="X152" s="114" t="n">
        <f aca="false">X132*INDEX(input_data!$L:$L,MATCH(dashboard!$B$5&amp;".in.ele.frt.amc.elc",input_data!$A:$A,0))</f>
        <v>0.483271327001479</v>
      </c>
    </row>
    <row r="153" customFormat="false" ht="15" hidden="false" customHeight="true" outlineLevel="0" collapsed="false">
      <c r="A153" s="73" t="str">
        <f aca="false">dashboard!$B$5&amp;".em.sfc.frt.amc.---"</f>
        <v>egy.em.sfc.frt.amc.---</v>
      </c>
      <c r="B153" s="73" t="str">
        <f aca="false">dashboard!$B$5</f>
        <v>egy</v>
      </c>
      <c r="C153" s="73" t="s">
        <v>3444</v>
      </c>
      <c r="D153" s="73" t="s">
        <v>3445</v>
      </c>
      <c r="E153" s="73" t="s">
        <v>767</v>
      </c>
      <c r="F153" s="73" t="s">
        <v>768</v>
      </c>
      <c r="G153" s="73" t="s">
        <v>655</v>
      </c>
      <c r="H153" s="73" t="s">
        <v>3565</v>
      </c>
      <c r="I153" s="73" t="s">
        <v>3447</v>
      </c>
      <c r="J153" s="73" t="s">
        <v>3448</v>
      </c>
      <c r="K153" s="73"/>
      <c r="L153" s="73"/>
      <c r="M153" s="114" t="n">
        <f aca="false">SUMPRODUCT(M136:M143,M10:M17)/1000</f>
        <v>0.80784</v>
      </c>
      <c r="N153" s="114" t="n">
        <f aca="false">SUMPRODUCT(N136:N143,N10:N17)/1000</f>
        <v>0.829758257691962</v>
      </c>
      <c r="O153" s="114" t="n">
        <f aca="false">SUMPRODUCT(O136:O143,O10:O17)/1000</f>
        <v>0.8522712</v>
      </c>
      <c r="P153" s="114" t="n">
        <f aca="false">SUMPRODUCT(P136:P143,P10:P17)/1000</f>
        <v>0.875394961865019</v>
      </c>
      <c r="Q153" s="114" t="n">
        <f aca="false">SUMPRODUCT(Q136:Q143,Q10:Q17)/1000</f>
        <v>0.899146116</v>
      </c>
      <c r="R153" s="114" t="n">
        <f aca="false">SUMPRODUCT(R136:R143,R10:R17)/1000</f>
        <v>0.923541684767596</v>
      </c>
      <c r="S153" s="114" t="n">
        <f aca="false">SUMPRODUCT(S136:S143,S10:S17)/1000</f>
        <v>0.94859915238</v>
      </c>
      <c r="T153" s="114" t="n">
        <f aca="false">SUMPRODUCT(T136:T143,T10:T17)/1000</f>
        <v>0.974336477429813</v>
      </c>
      <c r="U153" s="114" t="n">
        <f aca="false">SUMPRODUCT(U136:U143,U10:U17)/1000</f>
        <v>1.0007721057609</v>
      </c>
      <c r="V153" s="114" t="n">
        <f aca="false">SUMPRODUCT(V136:V143,V10:V17)/1000</f>
        <v>1.02792498368845</v>
      </c>
      <c r="W153" s="114" t="n">
        <f aca="false">SUMPRODUCT(W136:W143,W10:W17)/1000</f>
        <v>1.05581457157775</v>
      </c>
      <c r="X153" s="114" t="n">
        <f aca="false">SUMPRODUCT(X136:X143,X10:X17)/1000</f>
        <v>1.08446085779132</v>
      </c>
    </row>
    <row r="154" customFormat="false" ht="15" hidden="false" customHeight="true" outlineLevel="0" collapsed="false">
      <c r="A154" s="73" t="str">
        <f aca="false">dashboard!$B$5&amp;".em.sfp.frt.amc.---"</f>
        <v>egy.em.sfp.frt.amc.---</v>
      </c>
      <c r="B154" s="73" t="str">
        <f aca="false">dashboard!$B$5</f>
        <v>egy</v>
      </c>
      <c r="C154" s="73" t="s">
        <v>3444</v>
      </c>
      <c r="D154" s="73" t="s">
        <v>3449</v>
      </c>
      <c r="E154" s="73" t="s">
        <v>767</v>
      </c>
      <c r="F154" s="73" t="s">
        <v>768</v>
      </c>
      <c r="G154" s="73" t="s">
        <v>655</v>
      </c>
      <c r="H154" s="73" t="s">
        <v>3566</v>
      </c>
      <c r="I154" s="73" t="s">
        <v>3447</v>
      </c>
      <c r="J154" s="73" t="s">
        <v>3451</v>
      </c>
      <c r="K154" s="73"/>
      <c r="L154" s="73"/>
      <c r="M154" s="114" t="n">
        <f aca="false">SUMPRODUCT(M144:M151,M10:M17)/1000</f>
        <v>1.61568</v>
      </c>
      <c r="N154" s="114" t="n">
        <f aca="false">SUMPRODUCT(N144:N151,N10:N17)/1000</f>
        <v>1.65951651538392</v>
      </c>
      <c r="O154" s="114" t="n">
        <f aca="false">SUMPRODUCT(O144:O151,O10:O17)/1000</f>
        <v>1.7045424</v>
      </c>
      <c r="P154" s="114" t="n">
        <f aca="false">SUMPRODUCT(P144:P151,P10:P17)/1000</f>
        <v>1.75078992373004</v>
      </c>
      <c r="Q154" s="114" t="n">
        <f aca="false">SUMPRODUCT(Q144:Q151,Q10:Q17)/1000</f>
        <v>1.798292232</v>
      </c>
      <c r="R154" s="114" t="n">
        <f aca="false">SUMPRODUCT(R144:R151,R10:R17)/1000</f>
        <v>1.84708336953519</v>
      </c>
      <c r="S154" s="114" t="n">
        <f aca="false">SUMPRODUCT(S144:S151,S10:S17)/1000</f>
        <v>1.89719830476</v>
      </c>
      <c r="T154" s="114" t="n">
        <f aca="false">SUMPRODUCT(T144:T151,T10:T17)/1000</f>
        <v>1.94867295485963</v>
      </c>
      <c r="U154" s="114" t="n">
        <f aca="false">SUMPRODUCT(U144:U151,U10:U17)/1000</f>
        <v>2.0015442115218</v>
      </c>
      <c r="V154" s="114" t="n">
        <f aca="false">SUMPRODUCT(V144:V151,V10:V17)/1000</f>
        <v>2.05584996737691</v>
      </c>
      <c r="W154" s="114" t="n">
        <f aca="false">SUMPRODUCT(W144:W151,W10:W17)/1000</f>
        <v>2.1116291431555</v>
      </c>
      <c r="X154" s="114" t="n">
        <f aca="false">SUMPRODUCT(X144:X151,X10:X17)/1000</f>
        <v>2.16892171558264</v>
      </c>
    </row>
    <row r="155" customFormat="false" ht="15" hidden="false" customHeight="true" outlineLevel="0" collapsed="false">
      <c r="A155" s="73" t="str">
        <f aca="false">dashboard!$B$5&amp;".em.snp.frt.amc.---"</f>
        <v>egy.em.snp.frt.amc.---</v>
      </c>
      <c r="B155" s="73" t="str">
        <f aca="false">dashboard!$B$5</f>
        <v>egy</v>
      </c>
      <c r="C155" s="73" t="s">
        <v>3444</v>
      </c>
      <c r="D155" s="73" t="s">
        <v>3452</v>
      </c>
      <c r="E155" s="73" t="s">
        <v>767</v>
      </c>
      <c r="F155" s="73" t="s">
        <v>768</v>
      </c>
      <c r="G155" s="73" t="s">
        <v>655</v>
      </c>
      <c r="H155" s="73" t="s">
        <v>3567</v>
      </c>
      <c r="I155" s="73" t="s">
        <v>3447</v>
      </c>
      <c r="J155" s="73" t="s">
        <v>3454</v>
      </c>
      <c r="K155" s="73"/>
      <c r="L155" s="73"/>
      <c r="M155" s="114" t="n">
        <f aca="false">M132*INDEX(input_data!$L:$L,MATCH(dashboard!$B$5&amp;".in.efn.frt.amc.---",input_data!$A:$A,0))</f>
        <v>0</v>
      </c>
      <c r="N155" s="114" t="n">
        <f aca="false">N132*INDEX(input_data!$L:$L,MATCH(dashboard!$B$5&amp;".in.efn.frt.amc.---",input_data!$A:$A,0))</f>
        <v>0</v>
      </c>
      <c r="O155" s="114" t="n">
        <f aca="false">O132*INDEX(input_data!$L:$L,MATCH(dashboard!$B$5&amp;".in.efn.frt.amc.---",input_data!$A:$A,0))</f>
        <v>0</v>
      </c>
      <c r="P155" s="114" t="n">
        <f aca="false">P132*INDEX(input_data!$L:$L,MATCH(dashboard!$B$5&amp;".in.efn.frt.amc.---",input_data!$A:$A,0))</f>
        <v>0</v>
      </c>
      <c r="Q155" s="114" t="n">
        <f aca="false">Q132*INDEX(input_data!$L:$L,MATCH(dashboard!$B$5&amp;".in.efn.frt.amc.---",input_data!$A:$A,0))</f>
        <v>0</v>
      </c>
      <c r="R155" s="114" t="n">
        <f aca="false">R132*INDEX(input_data!$L:$L,MATCH(dashboard!$B$5&amp;".in.efn.frt.amc.---",input_data!$A:$A,0))</f>
        <v>0</v>
      </c>
      <c r="S155" s="114" t="n">
        <f aca="false">S132*INDEX(input_data!$L:$L,MATCH(dashboard!$B$5&amp;".in.efn.frt.amc.---",input_data!$A:$A,0))</f>
        <v>0</v>
      </c>
      <c r="T155" s="114" t="n">
        <f aca="false">T132*INDEX(input_data!$L:$L,MATCH(dashboard!$B$5&amp;".in.efn.frt.amc.---",input_data!$A:$A,0))</f>
        <v>0</v>
      </c>
      <c r="U155" s="114" t="n">
        <f aca="false">U132*INDEX(input_data!$L:$L,MATCH(dashboard!$B$5&amp;".in.efn.frt.amc.---",input_data!$A:$A,0))</f>
        <v>0</v>
      </c>
      <c r="V155" s="114" t="n">
        <f aca="false">V132*INDEX(input_data!$L:$L,MATCH(dashboard!$B$5&amp;".in.efn.frt.amc.---",input_data!$A:$A,0))</f>
        <v>0</v>
      </c>
      <c r="W155" s="114" t="n">
        <f aca="false">W132*INDEX(input_data!$L:$L,MATCH(dashboard!$B$5&amp;".in.efn.frt.amc.---",input_data!$A:$A,0))</f>
        <v>0</v>
      </c>
      <c r="X155" s="114" t="n">
        <f aca="false">X132*INDEX(input_data!$L:$L,MATCH(dashboard!$B$5&amp;".in.efn.frt.amc.---",input_data!$A:$A,0))</f>
        <v>0</v>
      </c>
    </row>
    <row r="156" customFormat="false" ht="15" hidden="false" customHeight="true" outlineLevel="0" collapsed="false">
      <c r="A156" s="73" t="str">
        <f aca="false">dashboard!$B$5&amp;".em.sno.frt.amc.---"</f>
        <v>egy.em.sno.frt.amc.---</v>
      </c>
      <c r="B156" s="73" t="str">
        <f aca="false">dashboard!$B$5</f>
        <v>egy</v>
      </c>
      <c r="C156" s="73" t="s">
        <v>3444</v>
      </c>
      <c r="D156" s="73" t="s">
        <v>3455</v>
      </c>
      <c r="E156" s="73" t="s">
        <v>767</v>
      </c>
      <c r="F156" s="73" t="s">
        <v>768</v>
      </c>
      <c r="G156" s="73" t="s">
        <v>655</v>
      </c>
      <c r="H156" s="73" t="s">
        <v>3568</v>
      </c>
      <c r="I156" s="73" t="s">
        <v>3457</v>
      </c>
      <c r="J156" s="73" t="s">
        <v>3458</v>
      </c>
      <c r="K156" s="73"/>
      <c r="L156" s="73"/>
      <c r="M156" s="114" t="n">
        <f aca="false">M132*INDEX(input_data!$L:$L,MATCH(dashboard!$B$5&amp;".in.efo.frt.amc.---",input_data!$A:$A,0))</f>
        <v>0</v>
      </c>
      <c r="N156" s="114" t="n">
        <f aca="false">N132*INDEX(input_data!$L:$L,MATCH(dashboard!$B$5&amp;".in.efo.frt.amc.---",input_data!$A:$A,0))</f>
        <v>0</v>
      </c>
      <c r="O156" s="114" t="n">
        <f aca="false">O132*INDEX(input_data!$L:$L,MATCH(dashboard!$B$5&amp;".in.efo.frt.amc.---",input_data!$A:$A,0))</f>
        <v>0</v>
      </c>
      <c r="P156" s="114" t="n">
        <f aca="false">P132*INDEX(input_data!$L:$L,MATCH(dashboard!$B$5&amp;".in.efo.frt.amc.---",input_data!$A:$A,0))</f>
        <v>0</v>
      </c>
      <c r="Q156" s="114" t="n">
        <f aca="false">Q132*INDEX(input_data!$L:$L,MATCH(dashboard!$B$5&amp;".in.efo.frt.amc.---",input_data!$A:$A,0))</f>
        <v>0</v>
      </c>
      <c r="R156" s="114" t="n">
        <f aca="false">R132*INDEX(input_data!$L:$L,MATCH(dashboard!$B$5&amp;".in.efo.frt.amc.---",input_data!$A:$A,0))</f>
        <v>0</v>
      </c>
      <c r="S156" s="114" t="n">
        <f aca="false">S132*INDEX(input_data!$L:$L,MATCH(dashboard!$B$5&amp;".in.efo.frt.amc.---",input_data!$A:$A,0))</f>
        <v>0</v>
      </c>
      <c r="T156" s="114" t="n">
        <f aca="false">T132*INDEX(input_data!$L:$L,MATCH(dashboard!$B$5&amp;".in.efo.frt.amc.---",input_data!$A:$A,0))</f>
        <v>0</v>
      </c>
      <c r="U156" s="114" t="n">
        <f aca="false">U132*INDEX(input_data!$L:$L,MATCH(dashboard!$B$5&amp;".in.efo.frt.amc.---",input_data!$A:$A,0))</f>
        <v>0</v>
      </c>
      <c r="V156" s="114" t="n">
        <f aca="false">V132*INDEX(input_data!$L:$L,MATCH(dashboard!$B$5&amp;".in.efo.frt.amc.---",input_data!$A:$A,0))</f>
        <v>0</v>
      </c>
      <c r="W156" s="114" t="n">
        <f aca="false">W132*INDEX(input_data!$L:$L,MATCH(dashboard!$B$5&amp;".in.efo.frt.amc.---",input_data!$A:$A,0))</f>
        <v>0</v>
      </c>
      <c r="X156" s="114" t="n">
        <f aca="false">X132*INDEX(input_data!$L:$L,MATCH(dashboard!$B$5&amp;".in.efo.frt.amc.---",input_data!$A:$A,0))</f>
        <v>0</v>
      </c>
    </row>
    <row r="157" customFormat="false" ht="15" hidden="false" customHeight="true" outlineLevel="0" collapsed="false">
      <c r="A157" s="73" t="str">
        <f aca="false">dashboard!$B$5&amp;".em.s2e.frt.amc.elc"</f>
        <v>egy.em.s2e.frt.amc.elc</v>
      </c>
      <c r="B157" s="73" t="str">
        <f aca="false">dashboard!$B$5</f>
        <v>egy</v>
      </c>
      <c r="C157" s="73" t="s">
        <v>3444</v>
      </c>
      <c r="D157" s="73" t="s">
        <v>3459</v>
      </c>
      <c r="E157" s="73" t="s">
        <v>767</v>
      </c>
      <c r="F157" s="73" t="s">
        <v>768</v>
      </c>
      <c r="G157" s="73" t="s">
        <v>944</v>
      </c>
      <c r="H157" s="73" t="s">
        <v>3569</v>
      </c>
      <c r="I157" s="73" t="s">
        <v>3447</v>
      </c>
      <c r="J157" s="73" t="s">
        <v>3461</v>
      </c>
      <c r="K157" s="73"/>
      <c r="L157" s="73"/>
      <c r="M157" s="114" t="n">
        <f aca="false">M152*INDEX(input_data!$M:$X,MATCH(dashboard!$B$5&amp;".in.gef.---.---.---",input_data!$A:$A,0),COLUMNS($M:M))/3.6</f>
        <v>0.051</v>
      </c>
      <c r="N157" s="114" t="n">
        <f aca="false">N152*INDEX(input_data!$M:$X,MATCH(dashboard!$B$5&amp;".in.gef.---.---.---",input_data!$A:$A,0),COLUMNS($M:N))/3.6</f>
        <v>0.0513565964604353</v>
      </c>
      <c r="O157" s="114" t="n">
        <f aca="false">O152*INDEX(input_data!$M:$X,MATCH(dashboard!$B$5&amp;".in.gef.---.---.---",input_data!$A:$A,0),COLUMNS($M:O))/3.6</f>
        <v>0.051695</v>
      </c>
      <c r="P157" s="114" t="n">
        <f aca="false">P152*INDEX(input_data!$M:$X,MATCH(dashboard!$B$5&amp;".in.gef.---.---.---",input_data!$A:$A,0),COLUMNS($M:P))/3.6</f>
        <v>0.0520139608951289</v>
      </c>
      <c r="Q157" s="114" t="n">
        <f aca="false">Q152*INDEX(input_data!$M:$X,MATCH(dashboard!$B$5&amp;".in.gef.---.---.---",input_data!$A:$A,0),COLUMNS($M:Q))/3.6</f>
        <v>0.052312175</v>
      </c>
      <c r="R157" s="114" t="n">
        <f aca="false">R152*INDEX(input_data!$M:$X,MATCH(dashboard!$B$5&amp;".in.gef.---.---.---",input_data!$A:$A,0),COLUMNS($M:R))/3.6</f>
        <v>0.052588281713346</v>
      </c>
      <c r="S157" s="114" t="n">
        <f aca="false">S152*INDEX(input_data!$M:$X,MATCH(dashboard!$B$5&amp;".in.gef.---.---.---",input_data!$A:$A,0),COLUMNS($M:S))/3.6</f>
        <v>0.052840861875</v>
      </c>
      <c r="T157" s="114" t="n">
        <f aca="false">T152*INDEX(input_data!$M:$X,MATCH(dashboard!$B$5&amp;".in.gef.---.---.---",input_data!$A:$A,0),COLUMNS($M:T))/3.6</f>
        <v>0.0530684355898591</v>
      </c>
      <c r="U157" s="114" t="n">
        <f aca="false">U152*INDEX(input_data!$M:$X,MATCH(dashboard!$B$5&amp;".in.gef.---.---.---",input_data!$A:$A,0),COLUMNS($M:U))/3.6</f>
        <v>0.053269459976875</v>
      </c>
      <c r="V157" s="114" t="n">
        <f aca="false">V152*INDEX(input_data!$M:$X,MATCH(dashboard!$B$5&amp;".in.gef.---.---.---",input_data!$A:$A,0),COLUMNS($M:V))/3.6</f>
        <v>0.0534423268406058</v>
      </c>
      <c r="W157" s="114" t="n">
        <f aca="false">W152*INDEX(input_data!$M:$X,MATCH(dashboard!$B$5&amp;".in.gef.---.---.---",input_data!$A:$A,0),COLUMNS($M:W))/3.6</f>
        <v>0.0535853602627844</v>
      </c>
      <c r="X157" s="114" t="n">
        <f aca="false">X152*INDEX(input_data!$M:$X,MATCH(dashboard!$B$5&amp;".in.gef.---.---.---",input_data!$A:$A,0),COLUMNS($M:X))/3.6</f>
        <v>0.0536968141112754</v>
      </c>
    </row>
    <row r="159" customFormat="false" ht="21.75" hidden="false" customHeight="true" outlineLevel="0" collapsed="false">
      <c r="A159" s="70" t="s">
        <v>3570</v>
      </c>
      <c r="B159" s="70"/>
      <c r="C159" s="70"/>
      <c r="D159" s="70"/>
      <c r="E159" s="70"/>
      <c r="F159" s="70"/>
      <c r="G159" s="70"/>
      <c r="H159" s="70"/>
      <c r="I159" s="70"/>
      <c r="J159" s="70"/>
      <c r="K159" s="70"/>
      <c r="L159" s="70"/>
      <c r="M159" s="70"/>
      <c r="N159" s="70"/>
      <c r="O159" s="70"/>
      <c r="P159" s="70"/>
      <c r="Q159" s="70"/>
      <c r="R159" s="70"/>
      <c r="S159" s="70"/>
      <c r="T159" s="70"/>
      <c r="U159" s="70"/>
      <c r="V159" s="70"/>
      <c r="W159" s="70"/>
      <c r="X159" s="70"/>
    </row>
    <row r="160" customFormat="false" ht="15" hidden="false" customHeight="true" outlineLevel="0" collapsed="false">
      <c r="A160" s="73" t="str">
        <f aca="false">dashboard!$B$5&amp;".pj.prd.frt.ure.---"</f>
        <v>egy.pj.prd.frt.ure.---</v>
      </c>
      <c r="B160" s="73" t="str">
        <f aca="false">dashboard!$B$5</f>
        <v>egy</v>
      </c>
      <c r="C160" s="73" t="s">
        <v>3401</v>
      </c>
      <c r="D160" s="73" t="s">
        <v>3412</v>
      </c>
      <c r="E160" s="73" t="s">
        <v>767</v>
      </c>
      <c r="F160" s="73" t="s">
        <v>779</v>
      </c>
      <c r="G160" s="73" t="s">
        <v>655</v>
      </c>
      <c r="H160" s="73" t="s">
        <v>3571</v>
      </c>
      <c r="I160" s="73" t="s">
        <v>869</v>
      </c>
      <c r="J160" s="73" t="s">
        <v>3414</v>
      </c>
      <c r="K160" s="73"/>
      <c r="L160" s="73"/>
      <c r="M160" s="114" t="n">
        <f aca="false">IFERROR(INDEX(input_data!$L:$L,MATCH(dashboard!$B$5&amp;".in.prb.frt.ure.---",input_data!$A:$A,0))*POWER(M7,INDEX(input_data!$L:$L,MATCH(dashboard!$B$5&amp;".in.els.frt.ure.---",input_data!$A:$A,0))),0)</f>
        <v>1.4</v>
      </c>
      <c r="N160" s="114" t="n">
        <f aca="false">IFERROR(INDEX(input_data!$L:$L,MATCH(dashboard!$B$5&amp;".in.prb.frt.ure.---",input_data!$A:$A,0))*POWER(N7,INDEX(input_data!$L:$L,MATCH(dashboard!$B$5&amp;".in.els.frt.ure.---",input_data!$A:$A,0))),0)</f>
        <v>1.43798470089219</v>
      </c>
      <c r="O160" s="114" t="n">
        <f aca="false">IFERROR(INDEX(input_data!$L:$L,MATCH(dashboard!$B$5&amp;".in.prb.frt.ure.---",input_data!$A:$A,0))*POWER(O7,INDEX(input_data!$L:$L,MATCH(dashboard!$B$5&amp;".in.els.frt.ure.---",input_data!$A:$A,0))),0)</f>
        <v>1.477</v>
      </c>
      <c r="P160" s="114" t="n">
        <f aca="false">IFERROR(INDEX(input_data!$L:$L,MATCH(dashboard!$B$5&amp;".in.prb.frt.ure.---",input_data!$A:$A,0))*POWER(P7,INDEX(input_data!$L:$L,MATCH(dashboard!$B$5&amp;".in.els.frt.ure.---",input_data!$A:$A,0))),0)</f>
        <v>1.51707385944126</v>
      </c>
      <c r="Q160" s="114" t="n">
        <f aca="false">IFERROR(INDEX(input_data!$L:$L,MATCH(dashboard!$B$5&amp;".in.prb.frt.ure.---",input_data!$A:$A,0))*POWER(Q7,INDEX(input_data!$L:$L,MATCH(dashboard!$B$5&amp;".in.els.frt.ure.---",input_data!$A:$A,0))),0)</f>
        <v>1.558235</v>
      </c>
      <c r="R160" s="114" t="n">
        <f aca="false">IFERROR(INDEX(input_data!$L:$L,MATCH(dashboard!$B$5&amp;".in.prb.frt.ure.---",input_data!$A:$A,0))*POWER(R7,INDEX(input_data!$L:$L,MATCH(dashboard!$B$5&amp;".in.els.frt.ure.---",input_data!$A:$A,0))),0)</f>
        <v>1.60051292171053</v>
      </c>
      <c r="S160" s="114" t="n">
        <f aca="false">IFERROR(INDEX(input_data!$L:$L,MATCH(dashboard!$B$5&amp;".in.prb.frt.ure.---",input_data!$A:$A,0))*POWER(S7,INDEX(input_data!$L:$L,MATCH(dashboard!$B$5&amp;".in.els.frt.ure.---",input_data!$A:$A,0))),0)</f>
        <v>1.643937925</v>
      </c>
      <c r="T160" s="114" t="n">
        <f aca="false">IFERROR(INDEX(input_data!$L:$L,MATCH(dashboard!$B$5&amp;".in.prb.frt.ure.---",input_data!$A:$A,0))*POWER(T7,INDEX(input_data!$L:$L,MATCH(dashboard!$B$5&amp;".in.els.frt.ure.---",input_data!$A:$A,0))),0)</f>
        <v>1.68854113240461</v>
      </c>
      <c r="U160" s="114" t="n">
        <f aca="false">IFERROR(INDEX(input_data!$L:$L,MATCH(dashboard!$B$5&amp;".in.prb.frt.ure.---",input_data!$A:$A,0))*POWER(U7,INDEX(input_data!$L:$L,MATCH(dashboard!$B$5&amp;".in.els.frt.ure.---",input_data!$A:$A,0))),0)</f>
        <v>1.734354510875</v>
      </c>
      <c r="V160" s="114" t="n">
        <f aca="false">IFERROR(INDEX(input_data!$L:$L,MATCH(dashboard!$B$5&amp;".in.prb.frt.ure.---",input_data!$A:$A,0))*POWER(V7,INDEX(input_data!$L:$L,MATCH(dashboard!$B$5&amp;".in.els.frt.ure.---",input_data!$A:$A,0))),0)</f>
        <v>1.78141089468686</v>
      </c>
      <c r="W160" s="114" t="n">
        <f aca="false">IFERROR(INDEX(input_data!$L:$L,MATCH(dashboard!$B$5&amp;".in.prb.frt.ure.---",input_data!$A:$A,0))*POWER(W7,INDEX(input_data!$L:$L,MATCH(dashboard!$B$5&amp;".in.els.frt.ure.---",input_data!$A:$A,0))),0)</f>
        <v>1.82974400897312</v>
      </c>
      <c r="X160" s="114" t="n">
        <f aca="false">IFERROR(INDEX(input_data!$L:$L,MATCH(dashboard!$B$5&amp;".in.prb.frt.ure.---",input_data!$A:$A,0))*POWER(X7,INDEX(input_data!$L:$L,MATCH(dashboard!$B$5&amp;".in.els.frt.ure.---",input_data!$A:$A,0))),0)</f>
        <v>1.87938849389464</v>
      </c>
    </row>
    <row r="161" customFormat="false" ht="15" hidden="false" customHeight="true" outlineLevel="0" collapsed="false">
      <c r="A161" s="73" t="str">
        <f aca="false">dashboard!$B$5&amp;".pj.eux.frt.ure.---"</f>
        <v>egy.pj.eux.frt.ure.---</v>
      </c>
      <c r="B161" s="73" t="str">
        <f aca="false">dashboard!$B$5</f>
        <v>egy</v>
      </c>
      <c r="C161" s="73" t="s">
        <v>3401</v>
      </c>
      <c r="D161" s="73" t="s">
        <v>3415</v>
      </c>
      <c r="E161" s="73" t="s">
        <v>767</v>
      </c>
      <c r="F161" s="73" t="s">
        <v>779</v>
      </c>
      <c r="G161" s="73" t="s">
        <v>655</v>
      </c>
      <c r="H161" s="73" t="s">
        <v>3572</v>
      </c>
      <c r="I161" s="73" t="s">
        <v>869</v>
      </c>
      <c r="J161" s="73" t="s">
        <v>3417</v>
      </c>
      <c r="K161" s="73"/>
      <c r="L161" s="73"/>
      <c r="M161" s="114" t="n">
        <f aca="false">M160*INDEX(input_data!$L:$L,MATCH(dashboard!$B$5&amp;".in.exe.frt.ure.---",input_data!$A:$A,0))</f>
        <v>0.308</v>
      </c>
      <c r="N161" s="114" t="n">
        <f aca="false">N160*INDEX(input_data!$L:$L,MATCH(dashboard!$B$5&amp;".in.exe.frt.ure.---",input_data!$A:$A,0))</f>
        <v>0.316356634196282</v>
      </c>
      <c r="O161" s="114" t="n">
        <f aca="false">O160*INDEX(input_data!$L:$L,MATCH(dashboard!$B$5&amp;".in.exe.frt.ure.---",input_data!$A:$A,0))</f>
        <v>0.32494</v>
      </c>
      <c r="P161" s="114" t="n">
        <f aca="false">P160*INDEX(input_data!$L:$L,MATCH(dashboard!$B$5&amp;".in.exe.frt.ure.---",input_data!$A:$A,0))</f>
        <v>0.333756249077077</v>
      </c>
      <c r="Q161" s="114" t="n">
        <f aca="false">Q160*INDEX(input_data!$L:$L,MATCH(dashboard!$B$5&amp;".in.exe.frt.ure.---",input_data!$A:$A,0))</f>
        <v>0.3428117</v>
      </c>
      <c r="R161" s="114" t="n">
        <f aca="false">R160*INDEX(input_data!$L:$L,MATCH(dashboard!$B$5&amp;".in.exe.frt.ure.---",input_data!$A:$A,0))</f>
        <v>0.352112842776316</v>
      </c>
      <c r="S161" s="114" t="n">
        <f aca="false">S160*INDEX(input_data!$L:$L,MATCH(dashboard!$B$5&amp;".in.exe.frt.ure.---",input_data!$A:$A,0))</f>
        <v>0.3616663435</v>
      </c>
      <c r="T161" s="114" t="n">
        <f aca="false">T160*INDEX(input_data!$L:$L,MATCH(dashboard!$B$5&amp;".in.exe.frt.ure.---",input_data!$A:$A,0))</f>
        <v>0.371479049129014</v>
      </c>
      <c r="U161" s="114" t="n">
        <f aca="false">U160*INDEX(input_data!$L:$L,MATCH(dashboard!$B$5&amp;".in.exe.frt.ure.---",input_data!$A:$A,0))</f>
        <v>0.3815579923925</v>
      </c>
      <c r="V161" s="114" t="n">
        <f aca="false">V160*INDEX(input_data!$L:$L,MATCH(dashboard!$B$5&amp;".in.exe.frt.ure.---",input_data!$A:$A,0))</f>
        <v>0.39191039683111</v>
      </c>
      <c r="W161" s="114" t="n">
        <f aca="false">W160*INDEX(input_data!$L:$L,MATCH(dashboard!$B$5&amp;".in.exe.frt.ure.---",input_data!$A:$A,0))</f>
        <v>0.402543681974087</v>
      </c>
      <c r="X161" s="114" t="n">
        <f aca="false">X160*INDEX(input_data!$L:$L,MATCH(dashboard!$B$5&amp;".in.exe.frt.ure.---",input_data!$A:$A,0))</f>
        <v>0.413465468656821</v>
      </c>
    </row>
    <row r="162" customFormat="false" ht="15" hidden="false" customHeight="true" outlineLevel="0" collapsed="false">
      <c r="A162" s="73" t="str">
        <f aca="false">dashboard!$B$5&amp;".pj.nex.frt.ure.---"</f>
        <v>egy.pj.nex.frt.ure.---</v>
      </c>
      <c r="B162" s="73" t="str">
        <f aca="false">dashboard!$B$5</f>
        <v>egy</v>
      </c>
      <c r="C162" s="73" t="s">
        <v>3401</v>
      </c>
      <c r="D162" s="73" t="s">
        <v>3418</v>
      </c>
      <c r="E162" s="73" t="s">
        <v>767</v>
      </c>
      <c r="F162" s="73" t="s">
        <v>779</v>
      </c>
      <c r="G162" s="73" t="s">
        <v>655</v>
      </c>
      <c r="H162" s="73" t="s">
        <v>3573</v>
      </c>
      <c r="I162" s="73" t="s">
        <v>869</v>
      </c>
      <c r="J162" s="73" t="s">
        <v>3420</v>
      </c>
      <c r="K162" s="73"/>
      <c r="L162" s="73"/>
      <c r="M162" s="114" t="n">
        <f aca="false">M160*(INDEX(input_data!$L:$L,MATCH(dashboard!$B$5&amp;".in.ext.frt.ure.---",input_data!$A:$A,0))-INDEX(input_data!$L:$L,MATCH(dashboard!$B$5&amp;".in.exe.frt.ure.---",input_data!$A:$A,0)))</f>
        <v>0.252</v>
      </c>
      <c r="N162" s="114" t="n">
        <f aca="false">N160*(INDEX(input_data!$L:$L,MATCH(dashboard!$B$5&amp;".in.ext.frt.ure.---",input_data!$A:$A,0))-INDEX(input_data!$L:$L,MATCH(dashboard!$B$5&amp;".in.exe.frt.ure.---",input_data!$A:$A,0)))</f>
        <v>0.258837246160594</v>
      </c>
      <c r="O162" s="114" t="n">
        <f aca="false">O160*(INDEX(input_data!$L:$L,MATCH(dashboard!$B$5&amp;".in.ext.frt.ure.---",input_data!$A:$A,0))-INDEX(input_data!$L:$L,MATCH(dashboard!$B$5&amp;".in.exe.frt.ure.---",input_data!$A:$A,0)))</f>
        <v>0.26586</v>
      </c>
      <c r="P162" s="114" t="n">
        <f aca="false">P160*(INDEX(input_data!$L:$L,MATCH(dashboard!$B$5&amp;".in.ext.frt.ure.---",input_data!$A:$A,0))-INDEX(input_data!$L:$L,MATCH(dashboard!$B$5&amp;".in.exe.frt.ure.---",input_data!$A:$A,0)))</f>
        <v>0.273073294699427</v>
      </c>
      <c r="Q162" s="114" t="n">
        <f aca="false">Q160*(INDEX(input_data!$L:$L,MATCH(dashboard!$B$5&amp;".in.ext.frt.ure.---",input_data!$A:$A,0))-INDEX(input_data!$L:$L,MATCH(dashboard!$B$5&amp;".in.exe.frt.ure.---",input_data!$A:$A,0)))</f>
        <v>0.2804823</v>
      </c>
      <c r="R162" s="114" t="n">
        <f aca="false">R160*(INDEX(input_data!$L:$L,MATCH(dashboard!$B$5&amp;".in.ext.frt.ure.---",input_data!$A:$A,0))-INDEX(input_data!$L:$L,MATCH(dashboard!$B$5&amp;".in.exe.frt.ure.---",input_data!$A:$A,0)))</f>
        <v>0.288092325907895</v>
      </c>
      <c r="S162" s="114" t="n">
        <f aca="false">S160*(INDEX(input_data!$L:$L,MATCH(dashboard!$B$5&amp;".in.ext.frt.ure.---",input_data!$A:$A,0))-INDEX(input_data!$L:$L,MATCH(dashboard!$B$5&amp;".in.exe.frt.ure.---",input_data!$A:$A,0)))</f>
        <v>0.2959088265</v>
      </c>
      <c r="T162" s="114" t="n">
        <f aca="false">T160*(INDEX(input_data!$L:$L,MATCH(dashboard!$B$5&amp;".in.ext.frt.ure.---",input_data!$A:$A,0))-INDEX(input_data!$L:$L,MATCH(dashboard!$B$5&amp;".in.exe.frt.ure.---",input_data!$A:$A,0)))</f>
        <v>0.303937403832829</v>
      </c>
      <c r="U162" s="114" t="n">
        <f aca="false">U160*(INDEX(input_data!$L:$L,MATCH(dashboard!$B$5&amp;".in.ext.frt.ure.---",input_data!$A:$A,0))-INDEX(input_data!$L:$L,MATCH(dashboard!$B$5&amp;".in.exe.frt.ure.---",input_data!$A:$A,0)))</f>
        <v>0.3121838119575</v>
      </c>
      <c r="V162" s="114" t="n">
        <f aca="false">V160*(INDEX(input_data!$L:$L,MATCH(dashboard!$B$5&amp;".in.ext.frt.ure.---",input_data!$A:$A,0))-INDEX(input_data!$L:$L,MATCH(dashboard!$B$5&amp;".in.exe.frt.ure.---",input_data!$A:$A,0)))</f>
        <v>0.320653961043635</v>
      </c>
      <c r="W162" s="114" t="n">
        <f aca="false">W160*(INDEX(input_data!$L:$L,MATCH(dashboard!$B$5&amp;".in.ext.frt.ure.---",input_data!$A:$A,0))-INDEX(input_data!$L:$L,MATCH(dashboard!$B$5&amp;".in.exe.frt.ure.---",input_data!$A:$A,0)))</f>
        <v>0.329353921615162</v>
      </c>
      <c r="X162" s="114" t="n">
        <f aca="false">X160*(INDEX(input_data!$L:$L,MATCH(dashboard!$B$5&amp;".in.ext.frt.ure.---",input_data!$A:$A,0))-INDEX(input_data!$L:$L,MATCH(dashboard!$B$5&amp;".in.exe.frt.ure.---",input_data!$A:$A,0)))</f>
        <v>0.338289928901035</v>
      </c>
    </row>
    <row r="163" customFormat="false" ht="15" hidden="false" customHeight="true" outlineLevel="0" collapsed="false">
      <c r="A163" s="73" t="str">
        <f aca="false">dashboard!$B$5&amp;".pj.dom.frt.ure.---"</f>
        <v>egy.pj.dom.frt.ure.---</v>
      </c>
      <c r="B163" s="73" t="str">
        <f aca="false">dashboard!$B$5</f>
        <v>egy</v>
      </c>
      <c r="C163" s="73" t="s">
        <v>3401</v>
      </c>
      <c r="D163" s="73" t="s">
        <v>641</v>
      </c>
      <c r="E163" s="73" t="s">
        <v>767</v>
      </c>
      <c r="F163" s="73" t="s">
        <v>779</v>
      </c>
      <c r="G163" s="73" t="s">
        <v>655</v>
      </c>
      <c r="H163" s="73" t="s">
        <v>3574</v>
      </c>
      <c r="I163" s="73" t="s">
        <v>869</v>
      </c>
      <c r="J163" s="73" t="s">
        <v>3422</v>
      </c>
      <c r="K163" s="73"/>
      <c r="L163" s="73"/>
      <c r="M163" s="114" t="n">
        <f aca="false">M160*(1-INDEX(input_data!$L:$L,MATCH(dashboard!$B$5&amp;".in.ext.frt.ure.---",input_data!$A:$A,0)))*(1+INDEX(input_data!$L:$L,MATCH(dashboard!$B$5&amp;".in.imp.frt.ure.---",input_data!$A:$A,0)))</f>
        <v>0.882</v>
      </c>
      <c r="N163" s="114" t="n">
        <f aca="false">N160*(1-INDEX(input_data!$L:$L,MATCH(dashboard!$B$5&amp;".in.ext.frt.ure.---",input_data!$A:$A,0)))*(1+INDEX(input_data!$L:$L,MATCH(dashboard!$B$5&amp;".in.imp.frt.ure.---",input_data!$A:$A,0)))</f>
        <v>0.90593036156208</v>
      </c>
      <c r="O163" s="114" t="n">
        <f aca="false">O160*(1-INDEX(input_data!$L:$L,MATCH(dashboard!$B$5&amp;".in.ext.frt.ure.---",input_data!$A:$A,0)))*(1+INDEX(input_data!$L:$L,MATCH(dashboard!$B$5&amp;".in.imp.frt.ure.---",input_data!$A:$A,0)))</f>
        <v>0.93051</v>
      </c>
      <c r="P163" s="114" t="n">
        <f aca="false">P160*(1-INDEX(input_data!$L:$L,MATCH(dashboard!$B$5&amp;".in.ext.frt.ure.---",input_data!$A:$A,0)))*(1+INDEX(input_data!$L:$L,MATCH(dashboard!$B$5&amp;".in.imp.frt.ure.---",input_data!$A:$A,0)))</f>
        <v>0.955756531447994</v>
      </c>
      <c r="Q163" s="114" t="n">
        <f aca="false">Q160*(1-INDEX(input_data!$L:$L,MATCH(dashboard!$B$5&amp;".in.ext.frt.ure.---",input_data!$A:$A,0)))*(1+INDEX(input_data!$L:$L,MATCH(dashboard!$B$5&amp;".in.imp.frt.ure.---",input_data!$A:$A,0)))</f>
        <v>0.98168805</v>
      </c>
      <c r="R163" s="114" t="n">
        <f aca="false">R160*(1-INDEX(input_data!$L:$L,MATCH(dashboard!$B$5&amp;".in.ext.frt.ure.---",input_data!$A:$A,0)))*(1+INDEX(input_data!$L:$L,MATCH(dashboard!$B$5&amp;".in.imp.frt.ure.---",input_data!$A:$A,0)))</f>
        <v>1.00832314067763</v>
      </c>
      <c r="S163" s="114" t="n">
        <f aca="false">S160*(1-INDEX(input_data!$L:$L,MATCH(dashboard!$B$5&amp;".in.ext.frt.ure.---",input_data!$A:$A,0)))*(1+INDEX(input_data!$L:$L,MATCH(dashboard!$B$5&amp;".in.imp.frt.ure.---",input_data!$A:$A,0)))</f>
        <v>1.03568089275</v>
      </c>
      <c r="T163" s="114" t="n">
        <f aca="false">T160*(1-INDEX(input_data!$L:$L,MATCH(dashboard!$B$5&amp;".in.ext.frt.ure.---",input_data!$A:$A,0)))*(1+INDEX(input_data!$L:$L,MATCH(dashboard!$B$5&amp;".in.imp.frt.ure.---",input_data!$A:$A,0)))</f>
        <v>1.0637809134149</v>
      </c>
      <c r="U163" s="114" t="n">
        <f aca="false">U160*(1-INDEX(input_data!$L:$L,MATCH(dashboard!$B$5&amp;".in.ext.frt.ure.---",input_data!$A:$A,0)))*(1+INDEX(input_data!$L:$L,MATCH(dashboard!$B$5&amp;".in.imp.frt.ure.---",input_data!$A:$A,0)))</f>
        <v>1.09264334185125</v>
      </c>
      <c r="V163" s="114" t="n">
        <f aca="false">V160*(1-INDEX(input_data!$L:$L,MATCH(dashboard!$B$5&amp;".in.ext.frt.ure.---",input_data!$A:$A,0)))*(1+INDEX(input_data!$L:$L,MATCH(dashboard!$B$5&amp;".in.imp.frt.ure.---",input_data!$A:$A,0)))</f>
        <v>1.12228886365272</v>
      </c>
      <c r="W163" s="114" t="n">
        <f aca="false">W160*(1-INDEX(input_data!$L:$L,MATCH(dashboard!$B$5&amp;".in.ext.frt.ure.---",input_data!$A:$A,0)))*(1+INDEX(input_data!$L:$L,MATCH(dashboard!$B$5&amp;".in.imp.frt.ure.---",input_data!$A:$A,0)))</f>
        <v>1.15273872565307</v>
      </c>
      <c r="X163" s="114" t="n">
        <f aca="false">X160*(1-INDEX(input_data!$L:$L,MATCH(dashboard!$B$5&amp;".in.ext.frt.ure.---",input_data!$A:$A,0)))*(1+INDEX(input_data!$L:$L,MATCH(dashboard!$B$5&amp;".in.imp.frt.ure.---",input_data!$A:$A,0)))</f>
        <v>1.18401475115362</v>
      </c>
    </row>
    <row r="164" customFormat="false" ht="15" hidden="false" customHeight="true" outlineLevel="0" collapsed="false">
      <c r="A164" s="73" t="str">
        <f aca="false">dashboard!$B$5&amp;".pj.enc.frt.ure.coa"</f>
        <v>egy.pj.enc.frt.ure.coa</v>
      </c>
      <c r="B164" s="73" t="str">
        <f aca="false">dashboard!$B$5</f>
        <v>egy</v>
      </c>
      <c r="C164" s="73" t="s">
        <v>3401</v>
      </c>
      <c r="D164" s="73" t="s">
        <v>891</v>
      </c>
      <c r="E164" s="73" t="s">
        <v>767</v>
      </c>
      <c r="F164" s="73" t="s">
        <v>779</v>
      </c>
      <c r="G164" s="73" t="s">
        <v>96</v>
      </c>
      <c r="H164" s="73" t="s">
        <v>3575</v>
      </c>
      <c r="I164" s="73" t="s">
        <v>3424</v>
      </c>
      <c r="J164" s="73" t="s">
        <v>3425</v>
      </c>
      <c r="K164" s="73"/>
      <c r="L164" s="73"/>
      <c r="M164" s="114" t="n">
        <f aca="false">M160*INDEX(input_data!$L:$L,MATCH(dashboard!$B$5&amp;".in.enc.frt.ure.coa",input_data!$A:$A,0))</f>
        <v>0</v>
      </c>
      <c r="N164" s="114" t="n">
        <f aca="false">N160*INDEX(input_data!$L:$L,MATCH(dashboard!$B$5&amp;".in.enc.frt.ure.coa",input_data!$A:$A,0))</f>
        <v>0</v>
      </c>
      <c r="O164" s="114" t="n">
        <f aca="false">O160*INDEX(input_data!$L:$L,MATCH(dashboard!$B$5&amp;".in.enc.frt.ure.coa",input_data!$A:$A,0))</f>
        <v>0</v>
      </c>
      <c r="P164" s="114" t="n">
        <f aca="false">P160*INDEX(input_data!$L:$L,MATCH(dashboard!$B$5&amp;".in.enc.frt.ure.coa",input_data!$A:$A,0))</f>
        <v>0</v>
      </c>
      <c r="Q164" s="114" t="n">
        <f aca="false">Q160*INDEX(input_data!$L:$L,MATCH(dashboard!$B$5&amp;".in.enc.frt.ure.coa",input_data!$A:$A,0))</f>
        <v>0</v>
      </c>
      <c r="R164" s="114" t="n">
        <f aca="false">R160*INDEX(input_data!$L:$L,MATCH(dashboard!$B$5&amp;".in.enc.frt.ure.coa",input_data!$A:$A,0))</f>
        <v>0</v>
      </c>
      <c r="S164" s="114" t="n">
        <f aca="false">S160*INDEX(input_data!$L:$L,MATCH(dashboard!$B$5&amp;".in.enc.frt.ure.coa",input_data!$A:$A,0))</f>
        <v>0</v>
      </c>
      <c r="T164" s="114" t="n">
        <f aca="false">T160*INDEX(input_data!$L:$L,MATCH(dashboard!$B$5&amp;".in.enc.frt.ure.coa",input_data!$A:$A,0))</f>
        <v>0</v>
      </c>
      <c r="U164" s="114" t="n">
        <f aca="false">U160*INDEX(input_data!$L:$L,MATCH(dashboard!$B$5&amp;".in.enc.frt.ure.coa",input_data!$A:$A,0))</f>
        <v>0</v>
      </c>
      <c r="V164" s="114" t="n">
        <f aca="false">V160*INDEX(input_data!$L:$L,MATCH(dashboard!$B$5&amp;".in.enc.frt.ure.coa",input_data!$A:$A,0))</f>
        <v>0</v>
      </c>
      <c r="W164" s="114" t="n">
        <f aca="false">W160*INDEX(input_data!$L:$L,MATCH(dashboard!$B$5&amp;".in.enc.frt.ure.coa",input_data!$A:$A,0))</f>
        <v>0</v>
      </c>
      <c r="X164" s="114" t="n">
        <f aca="false">X160*INDEX(input_data!$L:$L,MATCH(dashboard!$B$5&amp;".in.enc.frt.ure.coa",input_data!$A:$A,0))</f>
        <v>0</v>
      </c>
    </row>
    <row r="165" customFormat="false" ht="15" hidden="false" customHeight="true" outlineLevel="0" collapsed="false">
      <c r="A165" s="73" t="str">
        <f aca="false">dashboard!$B$5&amp;".pj.enc.frt.ure.nga"</f>
        <v>egy.pj.enc.frt.ure.nga</v>
      </c>
      <c r="B165" s="73" t="str">
        <f aca="false">dashboard!$B$5</f>
        <v>egy</v>
      </c>
      <c r="C165" s="73" t="s">
        <v>3401</v>
      </c>
      <c r="D165" s="73" t="s">
        <v>891</v>
      </c>
      <c r="E165" s="73" t="s">
        <v>767</v>
      </c>
      <c r="F165" s="73" t="s">
        <v>779</v>
      </c>
      <c r="G165" s="73" t="s">
        <v>99</v>
      </c>
      <c r="H165" s="73" t="s">
        <v>3576</v>
      </c>
      <c r="I165" s="73" t="s">
        <v>3424</v>
      </c>
      <c r="J165" s="73" t="s">
        <v>3425</v>
      </c>
      <c r="K165" s="73"/>
      <c r="L165" s="73"/>
      <c r="M165" s="114" t="n">
        <f aca="false">M160*INDEX(input_data!$L:$L,MATCH(dashboard!$B$5&amp;".in.enc.frt.ure.nga",input_data!$A:$A,0))</f>
        <v>4.2</v>
      </c>
      <c r="N165" s="114" t="n">
        <f aca="false">N160*INDEX(input_data!$L:$L,MATCH(dashboard!$B$5&amp;".in.enc.frt.ure.nga",input_data!$A:$A,0))</f>
        <v>4.31395410267657</v>
      </c>
      <c r="O165" s="114" t="n">
        <f aca="false">O160*INDEX(input_data!$L:$L,MATCH(dashboard!$B$5&amp;".in.enc.frt.ure.nga",input_data!$A:$A,0))</f>
        <v>4.431</v>
      </c>
      <c r="P165" s="114" t="n">
        <f aca="false">P160*INDEX(input_data!$L:$L,MATCH(dashboard!$B$5&amp;".in.enc.frt.ure.nga",input_data!$A:$A,0))</f>
        <v>4.55122157832378</v>
      </c>
      <c r="Q165" s="114" t="n">
        <f aca="false">Q160*INDEX(input_data!$L:$L,MATCH(dashboard!$B$5&amp;".in.enc.frt.ure.nga",input_data!$A:$A,0))</f>
        <v>4.674705</v>
      </c>
      <c r="R165" s="114" t="n">
        <f aca="false">R160*INDEX(input_data!$L:$L,MATCH(dashboard!$B$5&amp;".in.enc.frt.ure.nga",input_data!$A:$A,0))</f>
        <v>4.80153876513159</v>
      </c>
      <c r="S165" s="114" t="n">
        <f aca="false">S160*INDEX(input_data!$L:$L,MATCH(dashboard!$B$5&amp;".in.enc.frt.ure.nga",input_data!$A:$A,0))</f>
        <v>4.931813775</v>
      </c>
      <c r="T165" s="114" t="n">
        <f aca="false">T160*INDEX(input_data!$L:$L,MATCH(dashboard!$B$5&amp;".in.enc.frt.ure.nga",input_data!$A:$A,0))</f>
        <v>5.06562339721382</v>
      </c>
      <c r="U165" s="114" t="n">
        <f aca="false">U160*INDEX(input_data!$L:$L,MATCH(dashboard!$B$5&amp;".in.enc.frt.ure.nga",input_data!$A:$A,0))</f>
        <v>5.203063532625</v>
      </c>
      <c r="V165" s="114" t="n">
        <f aca="false">V160*INDEX(input_data!$L:$L,MATCH(dashboard!$B$5&amp;".in.enc.frt.ure.nga",input_data!$A:$A,0))</f>
        <v>5.34423268406058</v>
      </c>
      <c r="W165" s="114" t="n">
        <f aca="false">W160*INDEX(input_data!$L:$L,MATCH(dashboard!$B$5&amp;".in.enc.frt.ure.nga",input_data!$A:$A,0))</f>
        <v>5.48923202691937</v>
      </c>
      <c r="X165" s="114" t="n">
        <f aca="false">X160*INDEX(input_data!$L:$L,MATCH(dashboard!$B$5&amp;".in.enc.frt.ure.nga",input_data!$A:$A,0))</f>
        <v>5.63816548168392</v>
      </c>
    </row>
    <row r="166" customFormat="false" ht="15" hidden="false" customHeight="true" outlineLevel="0" collapsed="false">
      <c r="A166" s="73" t="str">
        <f aca="false">dashboard!$B$5&amp;".pj.enc.frt.ure.gso"</f>
        <v>egy.pj.enc.frt.ure.gso</v>
      </c>
      <c r="B166" s="73" t="str">
        <f aca="false">dashboard!$B$5</f>
        <v>egy</v>
      </c>
      <c r="C166" s="73" t="s">
        <v>3401</v>
      </c>
      <c r="D166" s="73" t="s">
        <v>891</v>
      </c>
      <c r="E166" s="73" t="s">
        <v>767</v>
      </c>
      <c r="F166" s="73" t="s">
        <v>779</v>
      </c>
      <c r="G166" s="73" t="s">
        <v>101</v>
      </c>
      <c r="H166" s="73" t="s">
        <v>3577</v>
      </c>
      <c r="I166" s="73" t="s">
        <v>3424</v>
      </c>
      <c r="J166" s="73" t="s">
        <v>3425</v>
      </c>
      <c r="K166" s="73"/>
      <c r="L166" s="73"/>
      <c r="M166" s="114" t="n">
        <f aca="false">M160*INDEX(input_data!$L:$L,MATCH(dashboard!$B$5&amp;".in.enc.frt.ure.gso",input_data!$A:$A,0))</f>
        <v>0</v>
      </c>
      <c r="N166" s="114" t="n">
        <f aca="false">N160*INDEX(input_data!$L:$L,MATCH(dashboard!$B$5&amp;".in.enc.frt.ure.gso",input_data!$A:$A,0))</f>
        <v>0</v>
      </c>
      <c r="O166" s="114" t="n">
        <f aca="false">O160*INDEX(input_data!$L:$L,MATCH(dashboard!$B$5&amp;".in.enc.frt.ure.gso",input_data!$A:$A,0))</f>
        <v>0</v>
      </c>
      <c r="P166" s="114" t="n">
        <f aca="false">P160*INDEX(input_data!$L:$L,MATCH(dashboard!$B$5&amp;".in.enc.frt.ure.gso",input_data!$A:$A,0))</f>
        <v>0</v>
      </c>
      <c r="Q166" s="114" t="n">
        <f aca="false">Q160*INDEX(input_data!$L:$L,MATCH(dashboard!$B$5&amp;".in.enc.frt.ure.gso",input_data!$A:$A,0))</f>
        <v>0</v>
      </c>
      <c r="R166" s="114" t="n">
        <f aca="false">R160*INDEX(input_data!$L:$L,MATCH(dashboard!$B$5&amp;".in.enc.frt.ure.gso",input_data!$A:$A,0))</f>
        <v>0</v>
      </c>
      <c r="S166" s="114" t="n">
        <f aca="false">S160*INDEX(input_data!$L:$L,MATCH(dashboard!$B$5&amp;".in.enc.frt.ure.gso",input_data!$A:$A,0))</f>
        <v>0</v>
      </c>
      <c r="T166" s="114" t="n">
        <f aca="false">T160*INDEX(input_data!$L:$L,MATCH(dashboard!$B$5&amp;".in.enc.frt.ure.gso",input_data!$A:$A,0))</f>
        <v>0</v>
      </c>
      <c r="U166" s="114" t="n">
        <f aca="false">U160*INDEX(input_data!$L:$L,MATCH(dashboard!$B$5&amp;".in.enc.frt.ure.gso",input_data!$A:$A,0))</f>
        <v>0</v>
      </c>
      <c r="V166" s="114" t="n">
        <f aca="false">V160*INDEX(input_data!$L:$L,MATCH(dashboard!$B$5&amp;".in.enc.frt.ure.gso",input_data!$A:$A,0))</f>
        <v>0</v>
      </c>
      <c r="W166" s="114" t="n">
        <f aca="false">W160*INDEX(input_data!$L:$L,MATCH(dashboard!$B$5&amp;".in.enc.frt.ure.gso",input_data!$A:$A,0))</f>
        <v>0</v>
      </c>
      <c r="X166" s="114" t="n">
        <f aca="false">X160*INDEX(input_data!$L:$L,MATCH(dashboard!$B$5&amp;".in.enc.frt.ure.gso",input_data!$A:$A,0))</f>
        <v>0</v>
      </c>
    </row>
    <row r="167" customFormat="false" ht="15" hidden="false" customHeight="true" outlineLevel="0" collapsed="false">
      <c r="A167" s="73" t="str">
        <f aca="false">dashboard!$B$5&amp;".pj.enc.frt.ure.die"</f>
        <v>egy.pj.enc.frt.ure.die</v>
      </c>
      <c r="B167" s="73" t="str">
        <f aca="false">dashboard!$B$5</f>
        <v>egy</v>
      </c>
      <c r="C167" s="73" t="s">
        <v>3401</v>
      </c>
      <c r="D167" s="73" t="s">
        <v>891</v>
      </c>
      <c r="E167" s="73" t="s">
        <v>767</v>
      </c>
      <c r="F167" s="73" t="s">
        <v>779</v>
      </c>
      <c r="G167" s="73" t="s">
        <v>103</v>
      </c>
      <c r="H167" s="73" t="s">
        <v>3578</v>
      </c>
      <c r="I167" s="73" t="s">
        <v>3424</v>
      </c>
      <c r="J167" s="73" t="s">
        <v>3425</v>
      </c>
      <c r="K167" s="73"/>
      <c r="L167" s="73"/>
      <c r="M167" s="114" t="n">
        <f aca="false">M160*INDEX(input_data!$L:$L,MATCH(dashboard!$B$5&amp;".in.enc.frt.ure.die",input_data!$A:$A,0))</f>
        <v>0</v>
      </c>
      <c r="N167" s="114" t="n">
        <f aca="false">N160*INDEX(input_data!$L:$L,MATCH(dashboard!$B$5&amp;".in.enc.frt.ure.die",input_data!$A:$A,0))</f>
        <v>0</v>
      </c>
      <c r="O167" s="114" t="n">
        <f aca="false">O160*INDEX(input_data!$L:$L,MATCH(dashboard!$B$5&amp;".in.enc.frt.ure.die",input_data!$A:$A,0))</f>
        <v>0</v>
      </c>
      <c r="P167" s="114" t="n">
        <f aca="false">P160*INDEX(input_data!$L:$L,MATCH(dashboard!$B$5&amp;".in.enc.frt.ure.die",input_data!$A:$A,0))</f>
        <v>0</v>
      </c>
      <c r="Q167" s="114" t="n">
        <f aca="false">Q160*INDEX(input_data!$L:$L,MATCH(dashboard!$B$5&amp;".in.enc.frt.ure.die",input_data!$A:$A,0))</f>
        <v>0</v>
      </c>
      <c r="R167" s="114" t="n">
        <f aca="false">R160*INDEX(input_data!$L:$L,MATCH(dashboard!$B$5&amp;".in.enc.frt.ure.die",input_data!$A:$A,0))</f>
        <v>0</v>
      </c>
      <c r="S167" s="114" t="n">
        <f aca="false">S160*INDEX(input_data!$L:$L,MATCH(dashboard!$B$5&amp;".in.enc.frt.ure.die",input_data!$A:$A,0))</f>
        <v>0</v>
      </c>
      <c r="T167" s="114" t="n">
        <f aca="false">T160*INDEX(input_data!$L:$L,MATCH(dashboard!$B$5&amp;".in.enc.frt.ure.die",input_data!$A:$A,0))</f>
        <v>0</v>
      </c>
      <c r="U167" s="114" t="n">
        <f aca="false">U160*INDEX(input_data!$L:$L,MATCH(dashboard!$B$5&amp;".in.enc.frt.ure.die",input_data!$A:$A,0))</f>
        <v>0</v>
      </c>
      <c r="V167" s="114" t="n">
        <f aca="false">V160*INDEX(input_data!$L:$L,MATCH(dashboard!$B$5&amp;".in.enc.frt.ure.die",input_data!$A:$A,0))</f>
        <v>0</v>
      </c>
      <c r="W167" s="114" t="n">
        <f aca="false">W160*INDEX(input_data!$L:$L,MATCH(dashboard!$B$5&amp;".in.enc.frt.ure.die",input_data!$A:$A,0))</f>
        <v>0</v>
      </c>
      <c r="X167" s="114" t="n">
        <f aca="false">X160*INDEX(input_data!$L:$L,MATCH(dashboard!$B$5&amp;".in.enc.frt.ure.die",input_data!$A:$A,0))</f>
        <v>0</v>
      </c>
    </row>
    <row r="168" customFormat="false" ht="15" hidden="false" customHeight="true" outlineLevel="0" collapsed="false">
      <c r="A168" s="73" t="str">
        <f aca="false">dashboard!$B$5&amp;".pj.enc.frt.ure.ker"</f>
        <v>egy.pj.enc.frt.ure.ker</v>
      </c>
      <c r="B168" s="73" t="str">
        <f aca="false">dashboard!$B$5</f>
        <v>egy</v>
      </c>
      <c r="C168" s="73" t="s">
        <v>3401</v>
      </c>
      <c r="D168" s="73" t="s">
        <v>891</v>
      </c>
      <c r="E168" s="73" t="s">
        <v>767</v>
      </c>
      <c r="F168" s="73" t="s">
        <v>779</v>
      </c>
      <c r="G168" s="73" t="s">
        <v>105</v>
      </c>
      <c r="H168" s="73" t="s">
        <v>3579</v>
      </c>
      <c r="I168" s="73" t="s">
        <v>3424</v>
      </c>
      <c r="J168" s="73" t="s">
        <v>3425</v>
      </c>
      <c r="K168" s="73"/>
      <c r="L168" s="73"/>
      <c r="M168" s="114" t="n">
        <f aca="false">M160*INDEX(input_data!$L:$L,MATCH(dashboard!$B$5&amp;".in.enc.frt.ure.ker",input_data!$A:$A,0))</f>
        <v>0</v>
      </c>
      <c r="N168" s="114" t="n">
        <f aca="false">N160*INDEX(input_data!$L:$L,MATCH(dashboard!$B$5&amp;".in.enc.frt.ure.ker",input_data!$A:$A,0))</f>
        <v>0</v>
      </c>
      <c r="O168" s="114" t="n">
        <f aca="false">O160*INDEX(input_data!$L:$L,MATCH(dashboard!$B$5&amp;".in.enc.frt.ure.ker",input_data!$A:$A,0))</f>
        <v>0</v>
      </c>
      <c r="P168" s="114" t="n">
        <f aca="false">P160*INDEX(input_data!$L:$L,MATCH(dashboard!$B$5&amp;".in.enc.frt.ure.ker",input_data!$A:$A,0))</f>
        <v>0</v>
      </c>
      <c r="Q168" s="114" t="n">
        <f aca="false">Q160*INDEX(input_data!$L:$L,MATCH(dashboard!$B$5&amp;".in.enc.frt.ure.ker",input_data!$A:$A,0))</f>
        <v>0</v>
      </c>
      <c r="R168" s="114" t="n">
        <f aca="false">R160*INDEX(input_data!$L:$L,MATCH(dashboard!$B$5&amp;".in.enc.frt.ure.ker",input_data!$A:$A,0))</f>
        <v>0</v>
      </c>
      <c r="S168" s="114" t="n">
        <f aca="false">S160*INDEX(input_data!$L:$L,MATCH(dashboard!$B$5&amp;".in.enc.frt.ure.ker",input_data!$A:$A,0))</f>
        <v>0</v>
      </c>
      <c r="T168" s="114" t="n">
        <f aca="false">T160*INDEX(input_data!$L:$L,MATCH(dashboard!$B$5&amp;".in.enc.frt.ure.ker",input_data!$A:$A,0))</f>
        <v>0</v>
      </c>
      <c r="U168" s="114" t="n">
        <f aca="false">U160*INDEX(input_data!$L:$L,MATCH(dashboard!$B$5&amp;".in.enc.frt.ure.ker",input_data!$A:$A,0))</f>
        <v>0</v>
      </c>
      <c r="V168" s="114" t="n">
        <f aca="false">V160*INDEX(input_data!$L:$L,MATCH(dashboard!$B$5&amp;".in.enc.frt.ure.ker",input_data!$A:$A,0))</f>
        <v>0</v>
      </c>
      <c r="W168" s="114" t="n">
        <f aca="false">W160*INDEX(input_data!$L:$L,MATCH(dashboard!$B$5&amp;".in.enc.frt.ure.ker",input_data!$A:$A,0))</f>
        <v>0</v>
      </c>
      <c r="X168" s="114" t="n">
        <f aca="false">X160*INDEX(input_data!$L:$L,MATCH(dashboard!$B$5&amp;".in.enc.frt.ure.ker",input_data!$A:$A,0))</f>
        <v>0</v>
      </c>
    </row>
    <row r="169" customFormat="false" ht="15" hidden="false" customHeight="true" outlineLevel="0" collapsed="false">
      <c r="A169" s="73" t="str">
        <f aca="false">dashboard!$B$5&amp;".pj.enc.frt.ure.lpg"</f>
        <v>egy.pj.enc.frt.ure.lpg</v>
      </c>
      <c r="B169" s="73" t="str">
        <f aca="false">dashboard!$B$5</f>
        <v>egy</v>
      </c>
      <c r="C169" s="73" t="s">
        <v>3401</v>
      </c>
      <c r="D169" s="73" t="s">
        <v>891</v>
      </c>
      <c r="E169" s="73" t="s">
        <v>767</v>
      </c>
      <c r="F169" s="73" t="s">
        <v>779</v>
      </c>
      <c r="G169" s="73" t="s">
        <v>107</v>
      </c>
      <c r="H169" s="73" t="s">
        <v>3580</v>
      </c>
      <c r="I169" s="73" t="s">
        <v>3424</v>
      </c>
      <c r="J169" s="73" t="s">
        <v>3425</v>
      </c>
      <c r="K169" s="73"/>
      <c r="L169" s="73"/>
      <c r="M169" s="114" t="n">
        <f aca="false">M160*INDEX(input_data!$L:$L,MATCH(dashboard!$B$5&amp;".in.enc.frt.ure.lpg",input_data!$A:$A,0))</f>
        <v>0</v>
      </c>
      <c r="N169" s="114" t="n">
        <f aca="false">N160*INDEX(input_data!$L:$L,MATCH(dashboard!$B$5&amp;".in.enc.frt.ure.lpg",input_data!$A:$A,0))</f>
        <v>0</v>
      </c>
      <c r="O169" s="114" t="n">
        <f aca="false">O160*INDEX(input_data!$L:$L,MATCH(dashboard!$B$5&amp;".in.enc.frt.ure.lpg",input_data!$A:$A,0))</f>
        <v>0</v>
      </c>
      <c r="P169" s="114" t="n">
        <f aca="false">P160*INDEX(input_data!$L:$L,MATCH(dashboard!$B$5&amp;".in.enc.frt.ure.lpg",input_data!$A:$A,0))</f>
        <v>0</v>
      </c>
      <c r="Q169" s="114" t="n">
        <f aca="false">Q160*INDEX(input_data!$L:$L,MATCH(dashboard!$B$5&amp;".in.enc.frt.ure.lpg",input_data!$A:$A,0))</f>
        <v>0</v>
      </c>
      <c r="R169" s="114" t="n">
        <f aca="false">R160*INDEX(input_data!$L:$L,MATCH(dashboard!$B$5&amp;".in.enc.frt.ure.lpg",input_data!$A:$A,0))</f>
        <v>0</v>
      </c>
      <c r="S169" s="114" t="n">
        <f aca="false">S160*INDEX(input_data!$L:$L,MATCH(dashboard!$B$5&amp;".in.enc.frt.ure.lpg",input_data!$A:$A,0))</f>
        <v>0</v>
      </c>
      <c r="T169" s="114" t="n">
        <f aca="false">T160*INDEX(input_data!$L:$L,MATCH(dashboard!$B$5&amp;".in.enc.frt.ure.lpg",input_data!$A:$A,0))</f>
        <v>0</v>
      </c>
      <c r="U169" s="114" t="n">
        <f aca="false">U160*INDEX(input_data!$L:$L,MATCH(dashboard!$B$5&amp;".in.enc.frt.ure.lpg",input_data!$A:$A,0))</f>
        <v>0</v>
      </c>
      <c r="V169" s="114" t="n">
        <f aca="false">V160*INDEX(input_data!$L:$L,MATCH(dashboard!$B$5&amp;".in.enc.frt.ure.lpg",input_data!$A:$A,0))</f>
        <v>0</v>
      </c>
      <c r="W169" s="114" t="n">
        <f aca="false">W160*INDEX(input_data!$L:$L,MATCH(dashboard!$B$5&amp;".in.enc.frt.ure.lpg",input_data!$A:$A,0))</f>
        <v>0</v>
      </c>
      <c r="X169" s="114" t="n">
        <f aca="false">X160*INDEX(input_data!$L:$L,MATCH(dashboard!$B$5&amp;".in.enc.frt.ure.lpg",input_data!$A:$A,0))</f>
        <v>0</v>
      </c>
    </row>
    <row r="170" customFormat="false" ht="15" hidden="false" customHeight="true" outlineLevel="0" collapsed="false">
      <c r="A170" s="73" t="str">
        <f aca="false">dashboard!$B$5&amp;".pj.enc.frt.ure.bio"</f>
        <v>egy.pj.enc.frt.ure.bio</v>
      </c>
      <c r="B170" s="73" t="str">
        <f aca="false">dashboard!$B$5</f>
        <v>egy</v>
      </c>
      <c r="C170" s="73" t="s">
        <v>3401</v>
      </c>
      <c r="D170" s="73" t="s">
        <v>891</v>
      </c>
      <c r="E170" s="73" t="s">
        <v>767</v>
      </c>
      <c r="F170" s="73" t="s">
        <v>779</v>
      </c>
      <c r="G170" s="73" t="s">
        <v>109</v>
      </c>
      <c r="H170" s="73" t="s">
        <v>3581</v>
      </c>
      <c r="I170" s="73" t="s">
        <v>3424</v>
      </c>
      <c r="J170" s="73" t="s">
        <v>3425</v>
      </c>
      <c r="K170" s="73"/>
      <c r="L170" s="73"/>
      <c r="M170" s="114" t="n">
        <f aca="false">M160*INDEX(input_data!$L:$L,MATCH(dashboard!$B$5&amp;".in.enc.frt.ure.bio",input_data!$A:$A,0))</f>
        <v>0</v>
      </c>
      <c r="N170" s="114" t="n">
        <f aca="false">N160*INDEX(input_data!$L:$L,MATCH(dashboard!$B$5&amp;".in.enc.frt.ure.bio",input_data!$A:$A,0))</f>
        <v>0</v>
      </c>
      <c r="O170" s="114" t="n">
        <f aca="false">O160*INDEX(input_data!$L:$L,MATCH(dashboard!$B$5&amp;".in.enc.frt.ure.bio",input_data!$A:$A,0))</f>
        <v>0</v>
      </c>
      <c r="P170" s="114" t="n">
        <f aca="false">P160*INDEX(input_data!$L:$L,MATCH(dashboard!$B$5&amp;".in.enc.frt.ure.bio",input_data!$A:$A,0))</f>
        <v>0</v>
      </c>
      <c r="Q170" s="114" t="n">
        <f aca="false">Q160*INDEX(input_data!$L:$L,MATCH(dashboard!$B$5&amp;".in.enc.frt.ure.bio",input_data!$A:$A,0))</f>
        <v>0</v>
      </c>
      <c r="R170" s="114" t="n">
        <f aca="false">R160*INDEX(input_data!$L:$L,MATCH(dashboard!$B$5&amp;".in.enc.frt.ure.bio",input_data!$A:$A,0))</f>
        <v>0</v>
      </c>
      <c r="S170" s="114" t="n">
        <f aca="false">S160*INDEX(input_data!$L:$L,MATCH(dashboard!$B$5&amp;".in.enc.frt.ure.bio",input_data!$A:$A,0))</f>
        <v>0</v>
      </c>
      <c r="T170" s="114" t="n">
        <f aca="false">T160*INDEX(input_data!$L:$L,MATCH(dashboard!$B$5&amp;".in.enc.frt.ure.bio",input_data!$A:$A,0))</f>
        <v>0</v>
      </c>
      <c r="U170" s="114" t="n">
        <f aca="false">U160*INDEX(input_data!$L:$L,MATCH(dashboard!$B$5&amp;".in.enc.frt.ure.bio",input_data!$A:$A,0))</f>
        <v>0</v>
      </c>
      <c r="V170" s="114" t="n">
        <f aca="false">V160*INDEX(input_data!$L:$L,MATCH(dashboard!$B$5&amp;".in.enc.frt.ure.bio",input_data!$A:$A,0))</f>
        <v>0</v>
      </c>
      <c r="W170" s="114" t="n">
        <f aca="false">W160*INDEX(input_data!$L:$L,MATCH(dashboard!$B$5&amp;".in.enc.frt.ure.bio",input_data!$A:$A,0))</f>
        <v>0</v>
      </c>
      <c r="X170" s="114" t="n">
        <f aca="false">X160*INDEX(input_data!$L:$L,MATCH(dashboard!$B$5&amp;".in.enc.frt.ure.bio",input_data!$A:$A,0))</f>
        <v>0</v>
      </c>
    </row>
    <row r="171" customFormat="false" ht="15" hidden="false" customHeight="true" outlineLevel="0" collapsed="false">
      <c r="A171" s="73" t="str">
        <f aca="false">dashboard!$B$5&amp;".pj.enc.frt.ure.ren"</f>
        <v>egy.pj.enc.frt.ure.ren</v>
      </c>
      <c r="B171" s="73" t="str">
        <f aca="false">dashboard!$B$5</f>
        <v>egy</v>
      </c>
      <c r="C171" s="73" t="s">
        <v>3401</v>
      </c>
      <c r="D171" s="73" t="s">
        <v>891</v>
      </c>
      <c r="E171" s="73" t="s">
        <v>767</v>
      </c>
      <c r="F171" s="73" t="s">
        <v>779</v>
      </c>
      <c r="G171" s="73" t="s">
        <v>111</v>
      </c>
      <c r="H171" s="73" t="s">
        <v>3582</v>
      </c>
      <c r="I171" s="73" t="s">
        <v>3424</v>
      </c>
      <c r="J171" s="73" t="s">
        <v>3425</v>
      </c>
      <c r="K171" s="73"/>
      <c r="L171" s="73"/>
      <c r="M171" s="114" t="n">
        <f aca="false">M160*INDEX(input_data!$L:$L,MATCH(dashboard!$B$5&amp;".in.enc.frt.ure.ren",input_data!$A:$A,0))</f>
        <v>0</v>
      </c>
      <c r="N171" s="114" t="n">
        <f aca="false">N160*INDEX(input_data!$L:$L,MATCH(dashboard!$B$5&amp;".in.enc.frt.ure.ren",input_data!$A:$A,0))</f>
        <v>0</v>
      </c>
      <c r="O171" s="114" t="n">
        <f aca="false">O160*INDEX(input_data!$L:$L,MATCH(dashboard!$B$5&amp;".in.enc.frt.ure.ren",input_data!$A:$A,0))</f>
        <v>0</v>
      </c>
      <c r="P171" s="114" t="n">
        <f aca="false">P160*INDEX(input_data!$L:$L,MATCH(dashboard!$B$5&amp;".in.enc.frt.ure.ren",input_data!$A:$A,0))</f>
        <v>0</v>
      </c>
      <c r="Q171" s="114" t="n">
        <f aca="false">Q160*INDEX(input_data!$L:$L,MATCH(dashboard!$B$5&amp;".in.enc.frt.ure.ren",input_data!$A:$A,0))</f>
        <v>0</v>
      </c>
      <c r="R171" s="114" t="n">
        <f aca="false">R160*INDEX(input_data!$L:$L,MATCH(dashboard!$B$5&amp;".in.enc.frt.ure.ren",input_data!$A:$A,0))</f>
        <v>0</v>
      </c>
      <c r="S171" s="114" t="n">
        <f aca="false">S160*INDEX(input_data!$L:$L,MATCH(dashboard!$B$5&amp;".in.enc.frt.ure.ren",input_data!$A:$A,0))</f>
        <v>0</v>
      </c>
      <c r="T171" s="114" t="n">
        <f aca="false">T160*INDEX(input_data!$L:$L,MATCH(dashboard!$B$5&amp;".in.enc.frt.ure.ren",input_data!$A:$A,0))</f>
        <v>0</v>
      </c>
      <c r="U171" s="114" t="n">
        <f aca="false">U160*INDEX(input_data!$L:$L,MATCH(dashboard!$B$5&amp;".in.enc.frt.ure.ren",input_data!$A:$A,0))</f>
        <v>0</v>
      </c>
      <c r="V171" s="114" t="n">
        <f aca="false">V160*INDEX(input_data!$L:$L,MATCH(dashboard!$B$5&amp;".in.enc.frt.ure.ren",input_data!$A:$A,0))</f>
        <v>0</v>
      </c>
      <c r="W171" s="114" t="n">
        <f aca="false">W160*INDEX(input_data!$L:$L,MATCH(dashboard!$B$5&amp;".in.enc.frt.ure.ren",input_data!$A:$A,0))</f>
        <v>0</v>
      </c>
      <c r="X171" s="114" t="n">
        <f aca="false">X160*INDEX(input_data!$L:$L,MATCH(dashboard!$B$5&amp;".in.enc.frt.ure.ren",input_data!$A:$A,0))</f>
        <v>0</v>
      </c>
    </row>
    <row r="172" customFormat="false" ht="15" hidden="false" customHeight="true" outlineLevel="0" collapsed="false">
      <c r="A172" s="73" t="str">
        <f aca="false">dashboard!$B$5&amp;".pj.enp.frt.ure.coa"</f>
        <v>egy.pj.enp.frt.ure.coa</v>
      </c>
      <c r="B172" s="73" t="str">
        <f aca="false">dashboard!$B$5</f>
        <v>egy</v>
      </c>
      <c r="C172" s="73" t="s">
        <v>3401</v>
      </c>
      <c r="D172" s="73" t="s">
        <v>918</v>
      </c>
      <c r="E172" s="73" t="s">
        <v>767</v>
      </c>
      <c r="F172" s="73" t="s">
        <v>779</v>
      </c>
      <c r="G172" s="73" t="s">
        <v>96</v>
      </c>
      <c r="H172" s="73" t="s">
        <v>3583</v>
      </c>
      <c r="I172" s="73" t="s">
        <v>3424</v>
      </c>
      <c r="J172" s="73" t="s">
        <v>3434</v>
      </c>
      <c r="K172" s="73"/>
      <c r="L172" s="73"/>
      <c r="M172" s="114" t="n">
        <f aca="false">M160*INDEX(input_data!$L:$L,MATCH(dashboard!$B$5&amp;".in.enp.frt.ure.coa",input_data!$A:$A,0))</f>
        <v>0</v>
      </c>
      <c r="N172" s="114" t="n">
        <f aca="false">N160*INDEX(input_data!$L:$L,MATCH(dashboard!$B$5&amp;".in.enp.frt.ure.coa",input_data!$A:$A,0))</f>
        <v>0</v>
      </c>
      <c r="O172" s="114" t="n">
        <f aca="false">O160*INDEX(input_data!$L:$L,MATCH(dashboard!$B$5&amp;".in.enp.frt.ure.coa",input_data!$A:$A,0))</f>
        <v>0</v>
      </c>
      <c r="P172" s="114" t="n">
        <f aca="false">P160*INDEX(input_data!$L:$L,MATCH(dashboard!$B$5&amp;".in.enp.frt.ure.coa",input_data!$A:$A,0))</f>
        <v>0</v>
      </c>
      <c r="Q172" s="114" t="n">
        <f aca="false">Q160*INDEX(input_data!$L:$L,MATCH(dashboard!$B$5&amp;".in.enp.frt.ure.coa",input_data!$A:$A,0))</f>
        <v>0</v>
      </c>
      <c r="R172" s="114" t="n">
        <f aca="false">R160*INDEX(input_data!$L:$L,MATCH(dashboard!$B$5&amp;".in.enp.frt.ure.coa",input_data!$A:$A,0))</f>
        <v>0</v>
      </c>
      <c r="S172" s="114" t="n">
        <f aca="false">S160*INDEX(input_data!$L:$L,MATCH(dashboard!$B$5&amp;".in.enp.frt.ure.coa",input_data!$A:$A,0))</f>
        <v>0</v>
      </c>
      <c r="T172" s="114" t="n">
        <f aca="false">T160*INDEX(input_data!$L:$L,MATCH(dashboard!$B$5&amp;".in.enp.frt.ure.coa",input_data!$A:$A,0))</f>
        <v>0</v>
      </c>
      <c r="U172" s="114" t="n">
        <f aca="false">U160*INDEX(input_data!$L:$L,MATCH(dashboard!$B$5&amp;".in.enp.frt.ure.coa",input_data!$A:$A,0))</f>
        <v>0</v>
      </c>
      <c r="V172" s="114" t="n">
        <f aca="false">V160*INDEX(input_data!$L:$L,MATCH(dashboard!$B$5&amp;".in.enp.frt.ure.coa",input_data!$A:$A,0))</f>
        <v>0</v>
      </c>
      <c r="W172" s="114" t="n">
        <f aca="false">W160*INDEX(input_data!$L:$L,MATCH(dashboard!$B$5&amp;".in.enp.frt.ure.coa",input_data!$A:$A,0))</f>
        <v>0</v>
      </c>
      <c r="X172" s="114" t="n">
        <f aca="false">X160*INDEX(input_data!$L:$L,MATCH(dashboard!$B$5&amp;".in.enp.frt.ure.coa",input_data!$A:$A,0))</f>
        <v>0</v>
      </c>
    </row>
    <row r="173" customFormat="false" ht="15" hidden="false" customHeight="true" outlineLevel="0" collapsed="false">
      <c r="A173" s="73" t="str">
        <f aca="false">dashboard!$B$5&amp;".pj.enp.frt.ure.nga"</f>
        <v>egy.pj.enp.frt.ure.nga</v>
      </c>
      <c r="B173" s="73" t="str">
        <f aca="false">dashboard!$B$5</f>
        <v>egy</v>
      </c>
      <c r="C173" s="73" t="s">
        <v>3401</v>
      </c>
      <c r="D173" s="73" t="s">
        <v>918</v>
      </c>
      <c r="E173" s="73" t="s">
        <v>767</v>
      </c>
      <c r="F173" s="73" t="s">
        <v>779</v>
      </c>
      <c r="G173" s="73" t="s">
        <v>99</v>
      </c>
      <c r="H173" s="73" t="s">
        <v>3584</v>
      </c>
      <c r="I173" s="73" t="s">
        <v>3424</v>
      </c>
      <c r="J173" s="73" t="s">
        <v>3434</v>
      </c>
      <c r="K173" s="73"/>
      <c r="L173" s="73"/>
      <c r="M173" s="114" t="n">
        <f aca="false">M160*INDEX(input_data!$L:$L,MATCH(dashboard!$B$5&amp;".in.enp.frt.ure.nga",input_data!$A:$A,0))</f>
        <v>0</v>
      </c>
      <c r="N173" s="114" t="n">
        <f aca="false">N160*INDEX(input_data!$L:$L,MATCH(dashboard!$B$5&amp;".in.enp.frt.ure.nga",input_data!$A:$A,0))</f>
        <v>0</v>
      </c>
      <c r="O173" s="114" t="n">
        <f aca="false">O160*INDEX(input_data!$L:$L,MATCH(dashboard!$B$5&amp;".in.enp.frt.ure.nga",input_data!$A:$A,0))</f>
        <v>0</v>
      </c>
      <c r="P173" s="114" t="n">
        <f aca="false">P160*INDEX(input_data!$L:$L,MATCH(dashboard!$B$5&amp;".in.enp.frt.ure.nga",input_data!$A:$A,0))</f>
        <v>0</v>
      </c>
      <c r="Q173" s="114" t="n">
        <f aca="false">Q160*INDEX(input_data!$L:$L,MATCH(dashboard!$B$5&amp;".in.enp.frt.ure.nga",input_data!$A:$A,0))</f>
        <v>0</v>
      </c>
      <c r="R173" s="114" t="n">
        <f aca="false">R160*INDEX(input_data!$L:$L,MATCH(dashboard!$B$5&amp;".in.enp.frt.ure.nga",input_data!$A:$A,0))</f>
        <v>0</v>
      </c>
      <c r="S173" s="114" t="n">
        <f aca="false">S160*INDEX(input_data!$L:$L,MATCH(dashboard!$B$5&amp;".in.enp.frt.ure.nga",input_data!$A:$A,0))</f>
        <v>0</v>
      </c>
      <c r="T173" s="114" t="n">
        <f aca="false">T160*INDEX(input_data!$L:$L,MATCH(dashboard!$B$5&amp;".in.enp.frt.ure.nga",input_data!$A:$A,0))</f>
        <v>0</v>
      </c>
      <c r="U173" s="114" t="n">
        <f aca="false">U160*INDEX(input_data!$L:$L,MATCH(dashboard!$B$5&amp;".in.enp.frt.ure.nga",input_data!$A:$A,0))</f>
        <v>0</v>
      </c>
      <c r="V173" s="114" t="n">
        <f aca="false">V160*INDEX(input_data!$L:$L,MATCH(dashboard!$B$5&amp;".in.enp.frt.ure.nga",input_data!$A:$A,0))</f>
        <v>0</v>
      </c>
      <c r="W173" s="114" t="n">
        <f aca="false">W160*INDEX(input_data!$L:$L,MATCH(dashboard!$B$5&amp;".in.enp.frt.ure.nga",input_data!$A:$A,0))</f>
        <v>0</v>
      </c>
      <c r="X173" s="114" t="n">
        <f aca="false">X160*INDEX(input_data!$L:$L,MATCH(dashboard!$B$5&amp;".in.enp.frt.ure.nga",input_data!$A:$A,0))</f>
        <v>0</v>
      </c>
    </row>
    <row r="174" customFormat="false" ht="15" hidden="false" customHeight="true" outlineLevel="0" collapsed="false">
      <c r="A174" s="73" t="str">
        <f aca="false">dashboard!$B$5&amp;".pj.enp.frt.ure.gso"</f>
        <v>egy.pj.enp.frt.ure.gso</v>
      </c>
      <c r="B174" s="73" t="str">
        <f aca="false">dashboard!$B$5</f>
        <v>egy</v>
      </c>
      <c r="C174" s="73" t="s">
        <v>3401</v>
      </c>
      <c r="D174" s="73" t="s">
        <v>918</v>
      </c>
      <c r="E174" s="73" t="s">
        <v>767</v>
      </c>
      <c r="F174" s="73" t="s">
        <v>779</v>
      </c>
      <c r="G174" s="73" t="s">
        <v>101</v>
      </c>
      <c r="H174" s="73" t="s">
        <v>3585</v>
      </c>
      <c r="I174" s="73" t="s">
        <v>3424</v>
      </c>
      <c r="J174" s="73" t="s">
        <v>3434</v>
      </c>
      <c r="K174" s="73"/>
      <c r="L174" s="73"/>
      <c r="M174" s="114" t="n">
        <f aca="false">M160*INDEX(input_data!$L:$L,MATCH(dashboard!$B$5&amp;".in.enp.frt.ure.gso",input_data!$A:$A,0))</f>
        <v>0</v>
      </c>
      <c r="N174" s="114" t="n">
        <f aca="false">N160*INDEX(input_data!$L:$L,MATCH(dashboard!$B$5&amp;".in.enp.frt.ure.gso",input_data!$A:$A,0))</f>
        <v>0</v>
      </c>
      <c r="O174" s="114" t="n">
        <f aca="false">O160*INDEX(input_data!$L:$L,MATCH(dashboard!$B$5&amp;".in.enp.frt.ure.gso",input_data!$A:$A,0))</f>
        <v>0</v>
      </c>
      <c r="P174" s="114" t="n">
        <f aca="false">P160*INDEX(input_data!$L:$L,MATCH(dashboard!$B$5&amp;".in.enp.frt.ure.gso",input_data!$A:$A,0))</f>
        <v>0</v>
      </c>
      <c r="Q174" s="114" t="n">
        <f aca="false">Q160*INDEX(input_data!$L:$L,MATCH(dashboard!$B$5&amp;".in.enp.frt.ure.gso",input_data!$A:$A,0))</f>
        <v>0</v>
      </c>
      <c r="R174" s="114" t="n">
        <f aca="false">R160*INDEX(input_data!$L:$L,MATCH(dashboard!$B$5&amp;".in.enp.frt.ure.gso",input_data!$A:$A,0))</f>
        <v>0</v>
      </c>
      <c r="S174" s="114" t="n">
        <f aca="false">S160*INDEX(input_data!$L:$L,MATCH(dashboard!$B$5&amp;".in.enp.frt.ure.gso",input_data!$A:$A,0))</f>
        <v>0</v>
      </c>
      <c r="T174" s="114" t="n">
        <f aca="false">T160*INDEX(input_data!$L:$L,MATCH(dashboard!$B$5&amp;".in.enp.frt.ure.gso",input_data!$A:$A,0))</f>
        <v>0</v>
      </c>
      <c r="U174" s="114" t="n">
        <f aca="false">U160*INDEX(input_data!$L:$L,MATCH(dashboard!$B$5&amp;".in.enp.frt.ure.gso",input_data!$A:$A,0))</f>
        <v>0</v>
      </c>
      <c r="V174" s="114" t="n">
        <f aca="false">V160*INDEX(input_data!$L:$L,MATCH(dashboard!$B$5&amp;".in.enp.frt.ure.gso",input_data!$A:$A,0))</f>
        <v>0</v>
      </c>
      <c r="W174" s="114" t="n">
        <f aca="false">W160*INDEX(input_data!$L:$L,MATCH(dashboard!$B$5&amp;".in.enp.frt.ure.gso",input_data!$A:$A,0))</f>
        <v>0</v>
      </c>
      <c r="X174" s="114" t="n">
        <f aca="false">X160*INDEX(input_data!$L:$L,MATCH(dashboard!$B$5&amp;".in.enp.frt.ure.gso",input_data!$A:$A,0))</f>
        <v>0</v>
      </c>
    </row>
    <row r="175" customFormat="false" ht="15" hidden="false" customHeight="true" outlineLevel="0" collapsed="false">
      <c r="A175" s="73" t="str">
        <f aca="false">dashboard!$B$5&amp;".pj.enp.frt.ure.die"</f>
        <v>egy.pj.enp.frt.ure.die</v>
      </c>
      <c r="B175" s="73" t="str">
        <f aca="false">dashboard!$B$5</f>
        <v>egy</v>
      </c>
      <c r="C175" s="73" t="s">
        <v>3401</v>
      </c>
      <c r="D175" s="73" t="s">
        <v>918</v>
      </c>
      <c r="E175" s="73" t="s">
        <v>767</v>
      </c>
      <c r="F175" s="73" t="s">
        <v>779</v>
      </c>
      <c r="G175" s="73" t="s">
        <v>103</v>
      </c>
      <c r="H175" s="73" t="s">
        <v>3586</v>
      </c>
      <c r="I175" s="73" t="s">
        <v>3424</v>
      </c>
      <c r="J175" s="73" t="s">
        <v>3434</v>
      </c>
      <c r="K175" s="73"/>
      <c r="L175" s="73"/>
      <c r="M175" s="114" t="n">
        <f aca="false">M160*INDEX(input_data!$L:$L,MATCH(dashboard!$B$5&amp;".in.enp.frt.ure.die",input_data!$A:$A,0))</f>
        <v>0</v>
      </c>
      <c r="N175" s="114" t="n">
        <f aca="false">N160*INDEX(input_data!$L:$L,MATCH(dashboard!$B$5&amp;".in.enp.frt.ure.die",input_data!$A:$A,0))</f>
        <v>0</v>
      </c>
      <c r="O175" s="114" t="n">
        <f aca="false">O160*INDEX(input_data!$L:$L,MATCH(dashboard!$B$5&amp;".in.enp.frt.ure.die",input_data!$A:$A,0))</f>
        <v>0</v>
      </c>
      <c r="P175" s="114" t="n">
        <f aca="false">P160*INDEX(input_data!$L:$L,MATCH(dashboard!$B$5&amp;".in.enp.frt.ure.die",input_data!$A:$A,0))</f>
        <v>0</v>
      </c>
      <c r="Q175" s="114" t="n">
        <f aca="false">Q160*INDEX(input_data!$L:$L,MATCH(dashboard!$B$5&amp;".in.enp.frt.ure.die",input_data!$A:$A,0))</f>
        <v>0</v>
      </c>
      <c r="R175" s="114" t="n">
        <f aca="false">R160*INDEX(input_data!$L:$L,MATCH(dashboard!$B$5&amp;".in.enp.frt.ure.die",input_data!$A:$A,0))</f>
        <v>0</v>
      </c>
      <c r="S175" s="114" t="n">
        <f aca="false">S160*INDEX(input_data!$L:$L,MATCH(dashboard!$B$5&amp;".in.enp.frt.ure.die",input_data!$A:$A,0))</f>
        <v>0</v>
      </c>
      <c r="T175" s="114" t="n">
        <f aca="false">T160*INDEX(input_data!$L:$L,MATCH(dashboard!$B$5&amp;".in.enp.frt.ure.die",input_data!$A:$A,0))</f>
        <v>0</v>
      </c>
      <c r="U175" s="114" t="n">
        <f aca="false">U160*INDEX(input_data!$L:$L,MATCH(dashboard!$B$5&amp;".in.enp.frt.ure.die",input_data!$A:$A,0))</f>
        <v>0</v>
      </c>
      <c r="V175" s="114" t="n">
        <f aca="false">V160*INDEX(input_data!$L:$L,MATCH(dashboard!$B$5&amp;".in.enp.frt.ure.die",input_data!$A:$A,0))</f>
        <v>0</v>
      </c>
      <c r="W175" s="114" t="n">
        <f aca="false">W160*INDEX(input_data!$L:$L,MATCH(dashboard!$B$5&amp;".in.enp.frt.ure.die",input_data!$A:$A,0))</f>
        <v>0</v>
      </c>
      <c r="X175" s="114" t="n">
        <f aca="false">X160*INDEX(input_data!$L:$L,MATCH(dashboard!$B$5&amp;".in.enp.frt.ure.die",input_data!$A:$A,0))</f>
        <v>0</v>
      </c>
    </row>
    <row r="176" customFormat="false" ht="15" hidden="false" customHeight="true" outlineLevel="0" collapsed="false">
      <c r="A176" s="73" t="str">
        <f aca="false">dashboard!$B$5&amp;".pj.enp.frt.ure.ker"</f>
        <v>egy.pj.enp.frt.ure.ker</v>
      </c>
      <c r="B176" s="73" t="str">
        <f aca="false">dashboard!$B$5</f>
        <v>egy</v>
      </c>
      <c r="C176" s="73" t="s">
        <v>3401</v>
      </c>
      <c r="D176" s="73" t="s">
        <v>918</v>
      </c>
      <c r="E176" s="73" t="s">
        <v>767</v>
      </c>
      <c r="F176" s="73" t="s">
        <v>779</v>
      </c>
      <c r="G176" s="73" t="s">
        <v>105</v>
      </c>
      <c r="H176" s="73" t="s">
        <v>3587</v>
      </c>
      <c r="I176" s="73" t="s">
        <v>3424</v>
      </c>
      <c r="J176" s="73" t="s">
        <v>3434</v>
      </c>
      <c r="K176" s="73"/>
      <c r="L176" s="73"/>
      <c r="M176" s="114" t="n">
        <f aca="false">M160*INDEX(input_data!$L:$L,MATCH(dashboard!$B$5&amp;".in.enp.frt.ure.ker",input_data!$A:$A,0))</f>
        <v>0</v>
      </c>
      <c r="N176" s="114" t="n">
        <f aca="false">N160*INDEX(input_data!$L:$L,MATCH(dashboard!$B$5&amp;".in.enp.frt.ure.ker",input_data!$A:$A,0))</f>
        <v>0</v>
      </c>
      <c r="O176" s="114" t="n">
        <f aca="false">O160*INDEX(input_data!$L:$L,MATCH(dashboard!$B$5&amp;".in.enp.frt.ure.ker",input_data!$A:$A,0))</f>
        <v>0</v>
      </c>
      <c r="P176" s="114" t="n">
        <f aca="false">P160*INDEX(input_data!$L:$L,MATCH(dashboard!$B$5&amp;".in.enp.frt.ure.ker",input_data!$A:$A,0))</f>
        <v>0</v>
      </c>
      <c r="Q176" s="114" t="n">
        <f aca="false">Q160*INDEX(input_data!$L:$L,MATCH(dashboard!$B$5&amp;".in.enp.frt.ure.ker",input_data!$A:$A,0))</f>
        <v>0</v>
      </c>
      <c r="R176" s="114" t="n">
        <f aca="false">R160*INDEX(input_data!$L:$L,MATCH(dashboard!$B$5&amp;".in.enp.frt.ure.ker",input_data!$A:$A,0))</f>
        <v>0</v>
      </c>
      <c r="S176" s="114" t="n">
        <f aca="false">S160*INDEX(input_data!$L:$L,MATCH(dashboard!$B$5&amp;".in.enp.frt.ure.ker",input_data!$A:$A,0))</f>
        <v>0</v>
      </c>
      <c r="T176" s="114" t="n">
        <f aca="false">T160*INDEX(input_data!$L:$L,MATCH(dashboard!$B$5&amp;".in.enp.frt.ure.ker",input_data!$A:$A,0))</f>
        <v>0</v>
      </c>
      <c r="U176" s="114" t="n">
        <f aca="false">U160*INDEX(input_data!$L:$L,MATCH(dashboard!$B$5&amp;".in.enp.frt.ure.ker",input_data!$A:$A,0))</f>
        <v>0</v>
      </c>
      <c r="V176" s="114" t="n">
        <f aca="false">V160*INDEX(input_data!$L:$L,MATCH(dashboard!$B$5&amp;".in.enp.frt.ure.ker",input_data!$A:$A,0))</f>
        <v>0</v>
      </c>
      <c r="W176" s="114" t="n">
        <f aca="false">W160*INDEX(input_data!$L:$L,MATCH(dashboard!$B$5&amp;".in.enp.frt.ure.ker",input_data!$A:$A,0))</f>
        <v>0</v>
      </c>
      <c r="X176" s="114" t="n">
        <f aca="false">X160*INDEX(input_data!$L:$L,MATCH(dashboard!$B$5&amp;".in.enp.frt.ure.ker",input_data!$A:$A,0))</f>
        <v>0</v>
      </c>
    </row>
    <row r="177" customFormat="false" ht="15" hidden="false" customHeight="true" outlineLevel="0" collapsed="false">
      <c r="A177" s="73" t="str">
        <f aca="false">dashboard!$B$5&amp;".pj.enp.frt.ure.lpg"</f>
        <v>egy.pj.enp.frt.ure.lpg</v>
      </c>
      <c r="B177" s="73" t="str">
        <f aca="false">dashboard!$B$5</f>
        <v>egy</v>
      </c>
      <c r="C177" s="73" t="s">
        <v>3401</v>
      </c>
      <c r="D177" s="73" t="s">
        <v>918</v>
      </c>
      <c r="E177" s="73" t="s">
        <v>767</v>
      </c>
      <c r="F177" s="73" t="s">
        <v>779</v>
      </c>
      <c r="G177" s="73" t="s">
        <v>107</v>
      </c>
      <c r="H177" s="73" t="s">
        <v>3588</v>
      </c>
      <c r="I177" s="73" t="s">
        <v>3424</v>
      </c>
      <c r="J177" s="73" t="s">
        <v>3434</v>
      </c>
      <c r="K177" s="73"/>
      <c r="L177" s="73"/>
      <c r="M177" s="114" t="n">
        <f aca="false">M160*INDEX(input_data!$L:$L,MATCH(dashboard!$B$5&amp;".in.enp.frt.ure.lpg",input_data!$A:$A,0))</f>
        <v>0</v>
      </c>
      <c r="N177" s="114" t="n">
        <f aca="false">N160*INDEX(input_data!$L:$L,MATCH(dashboard!$B$5&amp;".in.enp.frt.ure.lpg",input_data!$A:$A,0))</f>
        <v>0</v>
      </c>
      <c r="O177" s="114" t="n">
        <f aca="false">O160*INDEX(input_data!$L:$L,MATCH(dashboard!$B$5&amp;".in.enp.frt.ure.lpg",input_data!$A:$A,0))</f>
        <v>0</v>
      </c>
      <c r="P177" s="114" t="n">
        <f aca="false">P160*INDEX(input_data!$L:$L,MATCH(dashboard!$B$5&amp;".in.enp.frt.ure.lpg",input_data!$A:$A,0))</f>
        <v>0</v>
      </c>
      <c r="Q177" s="114" t="n">
        <f aca="false">Q160*INDEX(input_data!$L:$L,MATCH(dashboard!$B$5&amp;".in.enp.frt.ure.lpg",input_data!$A:$A,0))</f>
        <v>0</v>
      </c>
      <c r="R177" s="114" t="n">
        <f aca="false">R160*INDEX(input_data!$L:$L,MATCH(dashboard!$B$5&amp;".in.enp.frt.ure.lpg",input_data!$A:$A,0))</f>
        <v>0</v>
      </c>
      <c r="S177" s="114" t="n">
        <f aca="false">S160*INDEX(input_data!$L:$L,MATCH(dashboard!$B$5&amp;".in.enp.frt.ure.lpg",input_data!$A:$A,0))</f>
        <v>0</v>
      </c>
      <c r="T177" s="114" t="n">
        <f aca="false">T160*INDEX(input_data!$L:$L,MATCH(dashboard!$B$5&amp;".in.enp.frt.ure.lpg",input_data!$A:$A,0))</f>
        <v>0</v>
      </c>
      <c r="U177" s="114" t="n">
        <f aca="false">U160*INDEX(input_data!$L:$L,MATCH(dashboard!$B$5&amp;".in.enp.frt.ure.lpg",input_data!$A:$A,0))</f>
        <v>0</v>
      </c>
      <c r="V177" s="114" t="n">
        <f aca="false">V160*INDEX(input_data!$L:$L,MATCH(dashboard!$B$5&amp;".in.enp.frt.ure.lpg",input_data!$A:$A,0))</f>
        <v>0</v>
      </c>
      <c r="W177" s="114" t="n">
        <f aca="false">W160*INDEX(input_data!$L:$L,MATCH(dashboard!$B$5&amp;".in.enp.frt.ure.lpg",input_data!$A:$A,0))</f>
        <v>0</v>
      </c>
      <c r="X177" s="114" t="n">
        <f aca="false">X160*INDEX(input_data!$L:$L,MATCH(dashboard!$B$5&amp;".in.enp.frt.ure.lpg",input_data!$A:$A,0))</f>
        <v>0</v>
      </c>
    </row>
    <row r="178" customFormat="false" ht="15" hidden="false" customHeight="true" outlineLevel="0" collapsed="false">
      <c r="A178" s="73" t="str">
        <f aca="false">dashboard!$B$5&amp;".pj.enp.frt.ure.bio"</f>
        <v>egy.pj.enp.frt.ure.bio</v>
      </c>
      <c r="B178" s="73" t="str">
        <f aca="false">dashboard!$B$5</f>
        <v>egy</v>
      </c>
      <c r="C178" s="73" t="s">
        <v>3401</v>
      </c>
      <c r="D178" s="73" t="s">
        <v>918</v>
      </c>
      <c r="E178" s="73" t="s">
        <v>767</v>
      </c>
      <c r="F178" s="73" t="s">
        <v>779</v>
      </c>
      <c r="G178" s="73" t="s">
        <v>109</v>
      </c>
      <c r="H178" s="73" t="s">
        <v>3589</v>
      </c>
      <c r="I178" s="73" t="s">
        <v>3424</v>
      </c>
      <c r="J178" s="73" t="s">
        <v>3434</v>
      </c>
      <c r="K178" s="73"/>
      <c r="L178" s="73"/>
      <c r="M178" s="114" t="n">
        <f aca="false">M160*INDEX(input_data!$L:$L,MATCH(dashboard!$B$5&amp;".in.enp.frt.ure.bio",input_data!$A:$A,0))</f>
        <v>0</v>
      </c>
      <c r="N178" s="114" t="n">
        <f aca="false">N160*INDEX(input_data!$L:$L,MATCH(dashboard!$B$5&amp;".in.enp.frt.ure.bio",input_data!$A:$A,0))</f>
        <v>0</v>
      </c>
      <c r="O178" s="114" t="n">
        <f aca="false">O160*INDEX(input_data!$L:$L,MATCH(dashboard!$B$5&amp;".in.enp.frt.ure.bio",input_data!$A:$A,0))</f>
        <v>0</v>
      </c>
      <c r="P178" s="114" t="n">
        <f aca="false">P160*INDEX(input_data!$L:$L,MATCH(dashboard!$B$5&amp;".in.enp.frt.ure.bio",input_data!$A:$A,0))</f>
        <v>0</v>
      </c>
      <c r="Q178" s="114" t="n">
        <f aca="false">Q160*INDEX(input_data!$L:$L,MATCH(dashboard!$B$5&amp;".in.enp.frt.ure.bio",input_data!$A:$A,0))</f>
        <v>0</v>
      </c>
      <c r="R178" s="114" t="n">
        <f aca="false">R160*INDEX(input_data!$L:$L,MATCH(dashboard!$B$5&amp;".in.enp.frt.ure.bio",input_data!$A:$A,0))</f>
        <v>0</v>
      </c>
      <c r="S178" s="114" t="n">
        <f aca="false">S160*INDEX(input_data!$L:$L,MATCH(dashboard!$B$5&amp;".in.enp.frt.ure.bio",input_data!$A:$A,0))</f>
        <v>0</v>
      </c>
      <c r="T178" s="114" t="n">
        <f aca="false">T160*INDEX(input_data!$L:$L,MATCH(dashboard!$B$5&amp;".in.enp.frt.ure.bio",input_data!$A:$A,0))</f>
        <v>0</v>
      </c>
      <c r="U178" s="114" t="n">
        <f aca="false">U160*INDEX(input_data!$L:$L,MATCH(dashboard!$B$5&amp;".in.enp.frt.ure.bio",input_data!$A:$A,0))</f>
        <v>0</v>
      </c>
      <c r="V178" s="114" t="n">
        <f aca="false">V160*INDEX(input_data!$L:$L,MATCH(dashboard!$B$5&amp;".in.enp.frt.ure.bio",input_data!$A:$A,0))</f>
        <v>0</v>
      </c>
      <c r="W178" s="114" t="n">
        <f aca="false">W160*INDEX(input_data!$L:$L,MATCH(dashboard!$B$5&amp;".in.enp.frt.ure.bio",input_data!$A:$A,0))</f>
        <v>0</v>
      </c>
      <c r="X178" s="114" t="n">
        <f aca="false">X160*INDEX(input_data!$L:$L,MATCH(dashboard!$B$5&amp;".in.enp.frt.ure.bio",input_data!$A:$A,0))</f>
        <v>0</v>
      </c>
    </row>
    <row r="179" customFormat="false" ht="15" hidden="false" customHeight="true" outlineLevel="0" collapsed="false">
      <c r="A179" s="73" t="str">
        <f aca="false">dashboard!$B$5&amp;".pj.enp.frt.ure.ren"</f>
        <v>egy.pj.enp.frt.ure.ren</v>
      </c>
      <c r="B179" s="73" t="str">
        <f aca="false">dashboard!$B$5</f>
        <v>egy</v>
      </c>
      <c r="C179" s="73" t="s">
        <v>3401</v>
      </c>
      <c r="D179" s="73" t="s">
        <v>918</v>
      </c>
      <c r="E179" s="73" t="s">
        <v>767</v>
      </c>
      <c r="F179" s="73" t="s">
        <v>779</v>
      </c>
      <c r="G179" s="73" t="s">
        <v>111</v>
      </c>
      <c r="H179" s="73" t="s">
        <v>3590</v>
      </c>
      <c r="I179" s="73" t="s">
        <v>3424</v>
      </c>
      <c r="J179" s="73" t="s">
        <v>3434</v>
      </c>
      <c r="K179" s="73"/>
      <c r="L179" s="73"/>
      <c r="M179" s="114" t="n">
        <f aca="false">M160*INDEX(input_data!$L:$L,MATCH(dashboard!$B$5&amp;".in.enp.frt.ure.ren",input_data!$A:$A,0))</f>
        <v>0</v>
      </c>
      <c r="N179" s="114" t="n">
        <f aca="false">N160*INDEX(input_data!$L:$L,MATCH(dashboard!$B$5&amp;".in.enp.frt.ure.ren",input_data!$A:$A,0))</f>
        <v>0</v>
      </c>
      <c r="O179" s="114" t="n">
        <f aca="false">O160*INDEX(input_data!$L:$L,MATCH(dashboard!$B$5&amp;".in.enp.frt.ure.ren",input_data!$A:$A,0))</f>
        <v>0</v>
      </c>
      <c r="P179" s="114" t="n">
        <f aca="false">P160*INDEX(input_data!$L:$L,MATCH(dashboard!$B$5&amp;".in.enp.frt.ure.ren",input_data!$A:$A,0))</f>
        <v>0</v>
      </c>
      <c r="Q179" s="114" t="n">
        <f aca="false">Q160*INDEX(input_data!$L:$L,MATCH(dashboard!$B$5&amp;".in.enp.frt.ure.ren",input_data!$A:$A,0))</f>
        <v>0</v>
      </c>
      <c r="R179" s="114" t="n">
        <f aca="false">R160*INDEX(input_data!$L:$L,MATCH(dashboard!$B$5&amp;".in.enp.frt.ure.ren",input_data!$A:$A,0))</f>
        <v>0</v>
      </c>
      <c r="S179" s="114" t="n">
        <f aca="false">S160*INDEX(input_data!$L:$L,MATCH(dashboard!$B$5&amp;".in.enp.frt.ure.ren",input_data!$A:$A,0))</f>
        <v>0</v>
      </c>
      <c r="T179" s="114" t="n">
        <f aca="false">T160*INDEX(input_data!$L:$L,MATCH(dashboard!$B$5&amp;".in.enp.frt.ure.ren",input_data!$A:$A,0))</f>
        <v>0</v>
      </c>
      <c r="U179" s="114" t="n">
        <f aca="false">U160*INDEX(input_data!$L:$L,MATCH(dashboard!$B$5&amp;".in.enp.frt.ure.ren",input_data!$A:$A,0))</f>
        <v>0</v>
      </c>
      <c r="V179" s="114" t="n">
        <f aca="false">V160*INDEX(input_data!$L:$L,MATCH(dashboard!$B$5&amp;".in.enp.frt.ure.ren",input_data!$A:$A,0))</f>
        <v>0</v>
      </c>
      <c r="W179" s="114" t="n">
        <f aca="false">W160*INDEX(input_data!$L:$L,MATCH(dashboard!$B$5&amp;".in.enp.frt.ure.ren",input_data!$A:$A,0))</f>
        <v>0</v>
      </c>
      <c r="X179" s="114" t="n">
        <f aca="false">X160*INDEX(input_data!$L:$L,MATCH(dashboard!$B$5&amp;".in.enp.frt.ure.ren",input_data!$A:$A,0))</f>
        <v>0</v>
      </c>
    </row>
    <row r="180" customFormat="false" ht="15" hidden="false" customHeight="true" outlineLevel="0" collapsed="false">
      <c r="A180" s="73" t="str">
        <f aca="false">dashboard!$B$5&amp;".pj.ele.frt.ure.elc"</f>
        <v>egy.pj.ele.frt.ure.elc</v>
      </c>
      <c r="B180" s="73" t="str">
        <f aca="false">dashboard!$B$5</f>
        <v>egy</v>
      </c>
      <c r="C180" s="73" t="s">
        <v>3401</v>
      </c>
      <c r="D180" s="73" t="s">
        <v>943</v>
      </c>
      <c r="E180" s="73" t="s">
        <v>767</v>
      </c>
      <c r="F180" s="73" t="s">
        <v>779</v>
      </c>
      <c r="G180" s="73" t="s">
        <v>944</v>
      </c>
      <c r="H180" s="73" t="s">
        <v>3591</v>
      </c>
      <c r="I180" s="73" t="s">
        <v>3424</v>
      </c>
      <c r="J180" s="73" t="s">
        <v>3443</v>
      </c>
      <c r="K180" s="73"/>
      <c r="L180" s="73"/>
      <c r="M180" s="114" t="n">
        <f aca="false">M160*INDEX(input_data!$L:$L,MATCH(dashboard!$B$5&amp;".in.ele.frt.ure.elc",input_data!$A:$A,0))</f>
        <v>0.42</v>
      </c>
      <c r="N180" s="114" t="n">
        <f aca="false">N160*INDEX(input_data!$L:$L,MATCH(dashboard!$B$5&amp;".in.ele.frt.ure.elc",input_data!$A:$A,0))</f>
        <v>0.431395410267657</v>
      </c>
      <c r="O180" s="114" t="n">
        <f aca="false">O160*INDEX(input_data!$L:$L,MATCH(dashboard!$B$5&amp;".in.ele.frt.ure.elc",input_data!$A:$A,0))</f>
        <v>0.4431</v>
      </c>
      <c r="P180" s="114" t="n">
        <f aca="false">P160*INDEX(input_data!$L:$L,MATCH(dashboard!$B$5&amp;".in.ele.frt.ure.elc",input_data!$A:$A,0))</f>
        <v>0.455122157832378</v>
      </c>
      <c r="Q180" s="114" t="n">
        <f aca="false">Q160*INDEX(input_data!$L:$L,MATCH(dashboard!$B$5&amp;".in.ele.frt.ure.elc",input_data!$A:$A,0))</f>
        <v>0.4674705</v>
      </c>
      <c r="R180" s="114" t="n">
        <f aca="false">R160*INDEX(input_data!$L:$L,MATCH(dashboard!$B$5&amp;".in.ele.frt.ure.elc",input_data!$A:$A,0))</f>
        <v>0.480153876513159</v>
      </c>
      <c r="S180" s="114" t="n">
        <f aca="false">S160*INDEX(input_data!$L:$L,MATCH(dashboard!$B$5&amp;".in.ele.frt.ure.elc",input_data!$A:$A,0))</f>
        <v>0.4931813775</v>
      </c>
      <c r="T180" s="114" t="n">
        <f aca="false">T160*INDEX(input_data!$L:$L,MATCH(dashboard!$B$5&amp;".in.ele.frt.ure.elc",input_data!$A:$A,0))</f>
        <v>0.506562339721382</v>
      </c>
      <c r="U180" s="114" t="n">
        <f aca="false">U160*INDEX(input_data!$L:$L,MATCH(dashboard!$B$5&amp;".in.ele.frt.ure.elc",input_data!$A:$A,0))</f>
        <v>0.5203063532625</v>
      </c>
      <c r="V180" s="114" t="n">
        <f aca="false">V160*INDEX(input_data!$L:$L,MATCH(dashboard!$B$5&amp;".in.ele.frt.ure.elc",input_data!$A:$A,0))</f>
        <v>0.534423268406058</v>
      </c>
      <c r="W180" s="114" t="n">
        <f aca="false">W160*INDEX(input_data!$L:$L,MATCH(dashboard!$B$5&amp;".in.ele.frt.ure.elc",input_data!$A:$A,0))</f>
        <v>0.548923202691937</v>
      </c>
      <c r="X180" s="114" t="n">
        <f aca="false">X160*INDEX(input_data!$L:$L,MATCH(dashboard!$B$5&amp;".in.ele.frt.ure.elc",input_data!$A:$A,0))</f>
        <v>0.563816548168392</v>
      </c>
    </row>
    <row r="181" customFormat="false" ht="15" hidden="false" customHeight="true" outlineLevel="0" collapsed="false">
      <c r="A181" s="73" t="str">
        <f aca="false">dashboard!$B$5&amp;".em.sfc.frt.ure.---"</f>
        <v>egy.em.sfc.frt.ure.---</v>
      </c>
      <c r="B181" s="73" t="str">
        <f aca="false">dashboard!$B$5</f>
        <v>egy</v>
      </c>
      <c r="C181" s="73" t="s">
        <v>3444</v>
      </c>
      <c r="D181" s="73" t="s">
        <v>3445</v>
      </c>
      <c r="E181" s="73" t="s">
        <v>767</v>
      </c>
      <c r="F181" s="73" t="s">
        <v>779</v>
      </c>
      <c r="G181" s="73" t="s">
        <v>655</v>
      </c>
      <c r="H181" s="73" t="s">
        <v>3592</v>
      </c>
      <c r="I181" s="73" t="s">
        <v>3447</v>
      </c>
      <c r="J181" s="73" t="s">
        <v>3448</v>
      </c>
      <c r="K181" s="73"/>
      <c r="L181" s="73"/>
      <c r="M181" s="114" t="n">
        <f aca="false">SUMPRODUCT(M164:M171,M10:M17)/1000</f>
        <v>0.23562</v>
      </c>
      <c r="N181" s="114" t="n">
        <f aca="false">SUMPRODUCT(N164:N171,N10:N17)/1000</f>
        <v>0.242012825160156</v>
      </c>
      <c r="O181" s="114" t="n">
        <f aca="false">SUMPRODUCT(O164:O171,O10:O17)/1000</f>
        <v>0.2485791</v>
      </c>
      <c r="P181" s="114" t="n">
        <f aca="false">SUMPRODUCT(P164:P171,P10:P17)/1000</f>
        <v>0.255323530543964</v>
      </c>
      <c r="Q181" s="114" t="n">
        <f aca="false">SUMPRODUCT(Q164:Q171,Q10:Q17)/1000</f>
        <v>0.2622509505</v>
      </c>
      <c r="R181" s="114" t="n">
        <f aca="false">SUMPRODUCT(R164:R171,R10:R17)/1000</f>
        <v>0.269366324723882</v>
      </c>
      <c r="S181" s="114" t="n">
        <f aca="false">SUMPRODUCT(S164:S171,S10:S17)/1000</f>
        <v>0.2766747527775</v>
      </c>
      <c r="T181" s="114" t="n">
        <f aca="false">SUMPRODUCT(T164:T171,T10:T17)/1000</f>
        <v>0.284181472583696</v>
      </c>
      <c r="U181" s="114" t="n">
        <f aca="false">SUMPRODUCT(U164:U171,U10:U17)/1000</f>
        <v>0.291891864180262</v>
      </c>
      <c r="V181" s="114" t="n">
        <f aca="false">SUMPRODUCT(V164:V171,V10:V17)/1000</f>
        <v>0.299811453575799</v>
      </c>
      <c r="W181" s="114" t="n">
        <f aca="false">SUMPRODUCT(W164:W171,W10:W17)/1000</f>
        <v>0.307945916710177</v>
      </c>
      <c r="X181" s="114" t="n">
        <f aca="false">SUMPRODUCT(X164:X171,X10:X17)/1000</f>
        <v>0.316301083522468</v>
      </c>
    </row>
    <row r="182" customFormat="false" ht="15" hidden="false" customHeight="true" outlineLevel="0" collapsed="false">
      <c r="A182" s="73" t="str">
        <f aca="false">dashboard!$B$5&amp;".em.sfp.frt.ure.---"</f>
        <v>egy.em.sfp.frt.ure.---</v>
      </c>
      <c r="B182" s="73" t="str">
        <f aca="false">dashboard!$B$5</f>
        <v>egy</v>
      </c>
      <c r="C182" s="73" t="s">
        <v>3444</v>
      </c>
      <c r="D182" s="73" t="s">
        <v>3449</v>
      </c>
      <c r="E182" s="73" t="s">
        <v>767</v>
      </c>
      <c r="F182" s="73" t="s">
        <v>779</v>
      </c>
      <c r="G182" s="73" t="s">
        <v>655</v>
      </c>
      <c r="H182" s="73" t="s">
        <v>3593</v>
      </c>
      <c r="I182" s="73" t="s">
        <v>3447</v>
      </c>
      <c r="J182" s="73" t="s">
        <v>3451</v>
      </c>
      <c r="K182" s="73"/>
      <c r="L182" s="73"/>
      <c r="M182" s="114" t="n">
        <f aca="false">SUMPRODUCT(M172:M179,M10:M17)/1000</f>
        <v>0</v>
      </c>
      <c r="N182" s="114" t="n">
        <f aca="false">SUMPRODUCT(N172:N179,N10:N17)/1000</f>
        <v>0</v>
      </c>
      <c r="O182" s="114" t="n">
        <f aca="false">SUMPRODUCT(O172:O179,O10:O17)/1000</f>
        <v>0</v>
      </c>
      <c r="P182" s="114" t="n">
        <f aca="false">SUMPRODUCT(P172:P179,P10:P17)/1000</f>
        <v>0</v>
      </c>
      <c r="Q182" s="114" t="n">
        <f aca="false">SUMPRODUCT(Q172:Q179,Q10:Q17)/1000</f>
        <v>0</v>
      </c>
      <c r="R182" s="114" t="n">
        <f aca="false">SUMPRODUCT(R172:R179,R10:R17)/1000</f>
        <v>0</v>
      </c>
      <c r="S182" s="114" t="n">
        <f aca="false">SUMPRODUCT(S172:S179,S10:S17)/1000</f>
        <v>0</v>
      </c>
      <c r="T182" s="114" t="n">
        <f aca="false">SUMPRODUCT(T172:T179,T10:T17)/1000</f>
        <v>0</v>
      </c>
      <c r="U182" s="114" t="n">
        <f aca="false">SUMPRODUCT(U172:U179,U10:U17)/1000</f>
        <v>0</v>
      </c>
      <c r="V182" s="114" t="n">
        <f aca="false">SUMPRODUCT(V172:V179,V10:V17)/1000</f>
        <v>0</v>
      </c>
      <c r="W182" s="114" t="n">
        <f aca="false">SUMPRODUCT(W172:W179,W10:W17)/1000</f>
        <v>0</v>
      </c>
      <c r="X182" s="114" t="n">
        <f aca="false">SUMPRODUCT(X172:X179,X10:X17)/1000</f>
        <v>0</v>
      </c>
    </row>
    <row r="183" customFormat="false" ht="15" hidden="false" customHeight="true" outlineLevel="0" collapsed="false">
      <c r="A183" s="73" t="str">
        <f aca="false">dashboard!$B$5&amp;".em.snp.frt.ure.---"</f>
        <v>egy.em.snp.frt.ure.---</v>
      </c>
      <c r="B183" s="73" t="str">
        <f aca="false">dashboard!$B$5</f>
        <v>egy</v>
      </c>
      <c r="C183" s="73" t="s">
        <v>3444</v>
      </c>
      <c r="D183" s="73" t="s">
        <v>3452</v>
      </c>
      <c r="E183" s="73" t="s">
        <v>767</v>
      </c>
      <c r="F183" s="73" t="s">
        <v>779</v>
      </c>
      <c r="G183" s="73" t="s">
        <v>655</v>
      </c>
      <c r="H183" s="73" t="s">
        <v>3594</v>
      </c>
      <c r="I183" s="73" t="s">
        <v>3447</v>
      </c>
      <c r="J183" s="73" t="s">
        <v>3454</v>
      </c>
      <c r="K183" s="73"/>
      <c r="L183" s="73"/>
      <c r="M183" s="114" t="n">
        <f aca="false">M160*INDEX(input_data!$L:$L,MATCH(dashboard!$B$5&amp;".in.efn.frt.ure.---",input_data!$A:$A,0))</f>
        <v>-1.0262</v>
      </c>
      <c r="N183" s="114" t="n">
        <f aca="false">N160*INDEX(input_data!$L:$L,MATCH(dashboard!$B$5&amp;".in.efn.frt.ure.---",input_data!$A:$A,0))</f>
        <v>-1.05404278575398</v>
      </c>
      <c r="O183" s="114" t="n">
        <f aca="false">O160*INDEX(input_data!$L:$L,MATCH(dashboard!$B$5&amp;".in.efn.frt.ure.---",input_data!$A:$A,0))</f>
        <v>-1.082641</v>
      </c>
      <c r="P183" s="114" t="n">
        <f aca="false">P160*INDEX(input_data!$L:$L,MATCH(dashboard!$B$5&amp;".in.efn.frt.ure.---",input_data!$A:$A,0))</f>
        <v>-1.11201513897044</v>
      </c>
      <c r="Q183" s="114" t="n">
        <f aca="false">Q160*INDEX(input_data!$L:$L,MATCH(dashboard!$B$5&amp;".in.efn.frt.ure.---",input_data!$A:$A,0))</f>
        <v>-1.142186255</v>
      </c>
      <c r="R183" s="114" t="n">
        <f aca="false">R160*INDEX(input_data!$L:$L,MATCH(dashboard!$B$5&amp;".in.efn.frt.ure.---",input_data!$A:$A,0))</f>
        <v>-1.17317597161382</v>
      </c>
      <c r="S183" s="114" t="n">
        <f aca="false">S160*INDEX(input_data!$L:$L,MATCH(dashboard!$B$5&amp;".in.efn.frt.ure.---",input_data!$A:$A,0))</f>
        <v>-1.205006499025</v>
      </c>
      <c r="T183" s="114" t="n">
        <f aca="false">T160*INDEX(input_data!$L:$L,MATCH(dashboard!$B$5&amp;".in.efn.frt.ure.---",input_data!$A:$A,0))</f>
        <v>-1.23770065005258</v>
      </c>
      <c r="U183" s="114" t="n">
        <f aca="false">U160*INDEX(input_data!$L:$L,MATCH(dashboard!$B$5&amp;".in.efn.frt.ure.---",input_data!$A:$A,0))</f>
        <v>-1.27128185647137</v>
      </c>
      <c r="V183" s="114" t="n">
        <f aca="false">V160*INDEX(input_data!$L:$L,MATCH(dashboard!$B$5&amp;".in.efn.frt.ure.---",input_data!$A:$A,0))</f>
        <v>-1.30577418580547</v>
      </c>
      <c r="W183" s="114" t="n">
        <f aca="false">W160*INDEX(input_data!$L:$L,MATCH(dashboard!$B$5&amp;".in.efn.frt.ure.---",input_data!$A:$A,0))</f>
        <v>-1.3412023585773</v>
      </c>
      <c r="X183" s="114" t="n">
        <f aca="false">X160*INDEX(input_data!$L:$L,MATCH(dashboard!$B$5&amp;".in.efn.frt.ure.---",input_data!$A:$A,0))</f>
        <v>-1.37759176602477</v>
      </c>
    </row>
    <row r="184" customFormat="false" ht="15" hidden="false" customHeight="true" outlineLevel="0" collapsed="false">
      <c r="A184" s="73" t="str">
        <f aca="false">dashboard!$B$5&amp;".em.sno.frt.ure.---"</f>
        <v>egy.em.sno.frt.ure.---</v>
      </c>
      <c r="B184" s="73" t="str">
        <f aca="false">dashboard!$B$5</f>
        <v>egy</v>
      </c>
      <c r="C184" s="73" t="s">
        <v>3444</v>
      </c>
      <c r="D184" s="73" t="s">
        <v>3455</v>
      </c>
      <c r="E184" s="73" t="s">
        <v>767</v>
      </c>
      <c r="F184" s="73" t="s">
        <v>779</v>
      </c>
      <c r="G184" s="73" t="s">
        <v>655</v>
      </c>
      <c r="H184" s="73" t="s">
        <v>3595</v>
      </c>
      <c r="I184" s="73" t="s">
        <v>3457</v>
      </c>
      <c r="J184" s="73" t="s">
        <v>3458</v>
      </c>
      <c r="K184" s="73"/>
      <c r="L184" s="73"/>
      <c r="M184" s="114" t="n">
        <f aca="false">M160*INDEX(input_data!$L:$L,MATCH(dashboard!$B$5&amp;".in.efo.frt.ure.---",input_data!$A:$A,0))</f>
        <v>0</v>
      </c>
      <c r="N184" s="114" t="n">
        <f aca="false">N160*INDEX(input_data!$L:$L,MATCH(dashboard!$B$5&amp;".in.efo.frt.ure.---",input_data!$A:$A,0))</f>
        <v>0</v>
      </c>
      <c r="O184" s="114" t="n">
        <f aca="false">O160*INDEX(input_data!$L:$L,MATCH(dashboard!$B$5&amp;".in.efo.frt.ure.---",input_data!$A:$A,0))</f>
        <v>0</v>
      </c>
      <c r="P184" s="114" t="n">
        <f aca="false">P160*INDEX(input_data!$L:$L,MATCH(dashboard!$B$5&amp;".in.efo.frt.ure.---",input_data!$A:$A,0))</f>
        <v>0</v>
      </c>
      <c r="Q184" s="114" t="n">
        <f aca="false">Q160*INDEX(input_data!$L:$L,MATCH(dashboard!$B$5&amp;".in.efo.frt.ure.---",input_data!$A:$A,0))</f>
        <v>0</v>
      </c>
      <c r="R184" s="114" t="n">
        <f aca="false">R160*INDEX(input_data!$L:$L,MATCH(dashboard!$B$5&amp;".in.efo.frt.ure.---",input_data!$A:$A,0))</f>
        <v>0</v>
      </c>
      <c r="S184" s="114" t="n">
        <f aca="false">S160*INDEX(input_data!$L:$L,MATCH(dashboard!$B$5&amp;".in.efo.frt.ure.---",input_data!$A:$A,0))</f>
        <v>0</v>
      </c>
      <c r="T184" s="114" t="n">
        <f aca="false">T160*INDEX(input_data!$L:$L,MATCH(dashboard!$B$5&amp;".in.efo.frt.ure.---",input_data!$A:$A,0))</f>
        <v>0</v>
      </c>
      <c r="U184" s="114" t="n">
        <f aca="false">U160*INDEX(input_data!$L:$L,MATCH(dashboard!$B$5&amp;".in.efo.frt.ure.---",input_data!$A:$A,0))</f>
        <v>0</v>
      </c>
      <c r="V184" s="114" t="n">
        <f aca="false">V160*INDEX(input_data!$L:$L,MATCH(dashboard!$B$5&amp;".in.efo.frt.ure.---",input_data!$A:$A,0))</f>
        <v>0</v>
      </c>
      <c r="W184" s="114" t="n">
        <f aca="false">W160*INDEX(input_data!$L:$L,MATCH(dashboard!$B$5&amp;".in.efo.frt.ure.---",input_data!$A:$A,0))</f>
        <v>0</v>
      </c>
      <c r="X184" s="114" t="n">
        <f aca="false">X160*INDEX(input_data!$L:$L,MATCH(dashboard!$B$5&amp;".in.efo.frt.ure.---",input_data!$A:$A,0))</f>
        <v>0</v>
      </c>
    </row>
    <row r="185" customFormat="false" ht="15" hidden="false" customHeight="true" outlineLevel="0" collapsed="false">
      <c r="A185" s="73" t="str">
        <f aca="false">dashboard!$B$5&amp;".em.s2e.frt.ure.elc"</f>
        <v>egy.em.s2e.frt.ure.elc</v>
      </c>
      <c r="B185" s="73" t="str">
        <f aca="false">dashboard!$B$5</f>
        <v>egy</v>
      </c>
      <c r="C185" s="73" t="s">
        <v>3444</v>
      </c>
      <c r="D185" s="73" t="s">
        <v>3459</v>
      </c>
      <c r="E185" s="73" t="s">
        <v>767</v>
      </c>
      <c r="F185" s="73" t="s">
        <v>779</v>
      </c>
      <c r="G185" s="73" t="s">
        <v>944</v>
      </c>
      <c r="H185" s="73" t="s">
        <v>3596</v>
      </c>
      <c r="I185" s="73" t="s">
        <v>3447</v>
      </c>
      <c r="J185" s="73" t="s">
        <v>3461</v>
      </c>
      <c r="K185" s="73"/>
      <c r="L185" s="73"/>
      <c r="M185" s="114" t="n">
        <f aca="false">M180*INDEX(input_data!$M:$X,MATCH(dashboard!$B$5&amp;".in.gef.---.---.---",input_data!$A:$A,0),COLUMNS($M:M))/3.6</f>
        <v>0.0595</v>
      </c>
      <c r="N185" s="114" t="n">
        <f aca="false">N180*INDEX(input_data!$M:$X,MATCH(dashboard!$B$5&amp;".in.gef.---.---.---",input_data!$A:$A,0),COLUMNS($M:N))/3.6</f>
        <v>0.0599160292038412</v>
      </c>
      <c r="O185" s="114" t="n">
        <f aca="false">O180*INDEX(input_data!$M:$X,MATCH(dashboard!$B$5&amp;".in.gef.---.---.---",input_data!$A:$A,0),COLUMNS($M:O))/3.6</f>
        <v>0.0603108333333333</v>
      </c>
      <c r="P185" s="114" t="n">
        <f aca="false">P180*INDEX(input_data!$M:$X,MATCH(dashboard!$B$5&amp;".in.gef.---.---.---",input_data!$A:$A,0),COLUMNS($M:P))/3.6</f>
        <v>0.0606829543776504</v>
      </c>
      <c r="Q185" s="114" t="n">
        <f aca="false">Q180*INDEX(input_data!$M:$X,MATCH(dashboard!$B$5&amp;".in.gef.---.---.---",input_data!$A:$A,0),COLUMNS($M:Q))/3.6</f>
        <v>0.0610308708333333</v>
      </c>
      <c r="R185" s="114" t="n">
        <f aca="false">R180*INDEX(input_data!$M:$X,MATCH(dashboard!$B$5&amp;".in.gef.---.---.---",input_data!$A:$A,0),COLUMNS($M:R))/3.6</f>
        <v>0.0613529953322369</v>
      </c>
      <c r="S185" s="114" t="n">
        <f aca="false">S180*INDEX(input_data!$M:$X,MATCH(dashboard!$B$5&amp;".in.gef.---.---.---",input_data!$A:$A,0),COLUMNS($M:S))/3.6</f>
        <v>0.0616476721875</v>
      </c>
      <c r="T185" s="114" t="n">
        <f aca="false">T180*INDEX(input_data!$M:$X,MATCH(dashboard!$B$5&amp;".in.gef.---.---.---",input_data!$A:$A,0),COLUMNS($M:T))/3.6</f>
        <v>0.0619131748548356</v>
      </c>
      <c r="U185" s="114" t="n">
        <f aca="false">U180*INDEX(input_data!$M:$X,MATCH(dashboard!$B$5&amp;".in.gef.---.---.---",input_data!$A:$A,0),COLUMNS($M:U))/3.6</f>
        <v>0.0621477033063542</v>
      </c>
      <c r="V185" s="114" t="n">
        <f aca="false">V180*INDEX(input_data!$M:$X,MATCH(dashboard!$B$5&amp;".in.gef.---.---.---",input_data!$A:$A,0),COLUMNS($M:V))/3.6</f>
        <v>0.0623493813140401</v>
      </c>
      <c r="W185" s="114" t="n">
        <f aca="false">W180*INDEX(input_data!$M:$X,MATCH(dashboard!$B$5&amp;".in.gef.---.---.---",input_data!$A:$A,0),COLUMNS($M:W))/3.6</f>
        <v>0.0625162536399151</v>
      </c>
      <c r="X185" s="114" t="n">
        <f aca="false">X180*INDEX(input_data!$M:$X,MATCH(dashboard!$B$5&amp;".in.gef.---.---.---",input_data!$A:$A,0),COLUMNS($M:X))/3.6</f>
        <v>0.0626462831298213</v>
      </c>
    </row>
    <row r="187" customFormat="false" ht="21.75" hidden="false" customHeight="true" outlineLevel="0" collapsed="false">
      <c r="A187" s="70" t="s">
        <v>3597</v>
      </c>
      <c r="B187" s="70"/>
      <c r="C187" s="70"/>
      <c r="D187" s="70"/>
      <c r="E187" s="70"/>
      <c r="F187" s="70"/>
      <c r="G187" s="70"/>
      <c r="H187" s="70"/>
      <c r="I187" s="70"/>
      <c r="J187" s="70"/>
      <c r="K187" s="70"/>
      <c r="L187" s="70"/>
      <c r="M187" s="70"/>
      <c r="N187" s="70"/>
      <c r="O187" s="70"/>
      <c r="P187" s="70"/>
      <c r="Q187" s="70"/>
      <c r="R187" s="70"/>
      <c r="S187" s="70"/>
      <c r="T187" s="70"/>
      <c r="U187" s="70"/>
      <c r="V187" s="70"/>
      <c r="W187" s="70"/>
      <c r="X187" s="70"/>
    </row>
    <row r="188" customFormat="false" ht="15" hidden="false" customHeight="true" outlineLevel="0" collapsed="false">
      <c r="A188" s="73" t="str">
        <f aca="false">dashboard!$B$5&amp;".pj.prd.frt.nit.---"</f>
        <v>egy.pj.prd.frt.nit.---</v>
      </c>
      <c r="B188" s="73" t="str">
        <f aca="false">dashboard!$B$5</f>
        <v>egy</v>
      </c>
      <c r="C188" s="73" t="s">
        <v>3401</v>
      </c>
      <c r="D188" s="73" t="s">
        <v>3412</v>
      </c>
      <c r="E188" s="73" t="s">
        <v>767</v>
      </c>
      <c r="F188" s="73" t="s">
        <v>790</v>
      </c>
      <c r="G188" s="73" t="s">
        <v>655</v>
      </c>
      <c r="H188" s="73" t="s">
        <v>3598</v>
      </c>
      <c r="I188" s="73" t="s">
        <v>869</v>
      </c>
      <c r="J188" s="73" t="s">
        <v>3414</v>
      </c>
      <c r="K188" s="73"/>
      <c r="L188" s="73"/>
      <c r="M188" s="114" t="n">
        <f aca="false">IFERROR(INDEX(input_data!$L:$L,MATCH(dashboard!$B$5&amp;".in.prb.frt.nit.---",input_data!$A:$A,0))*POWER(M7,INDEX(input_data!$L:$L,MATCH(dashboard!$B$5&amp;".in.els.frt.nit.---",input_data!$A:$A,0))),0)</f>
        <v>0.5</v>
      </c>
      <c r="N188" s="114" t="n">
        <f aca="false">IFERROR(INDEX(input_data!$L:$L,MATCH(dashboard!$B$5&amp;".in.prb.frt.nit.---",input_data!$A:$A,0))*POWER(N7,INDEX(input_data!$L:$L,MATCH(dashboard!$B$5&amp;".in.els.frt.nit.---",input_data!$A:$A,0))),0)</f>
        <v>0.510823640899746</v>
      </c>
      <c r="O188" s="114" t="n">
        <f aca="false">IFERROR(INDEX(input_data!$L:$L,MATCH(dashboard!$B$5&amp;".in.prb.frt.nit.---",input_data!$A:$A,0))*POWER(O7,INDEX(input_data!$L:$L,MATCH(dashboard!$B$5&amp;".in.els.frt.nit.---",input_data!$A:$A,0))),0)</f>
        <v>0.521881584204146</v>
      </c>
      <c r="P188" s="114" t="n">
        <f aca="false">IFERROR(INDEX(input_data!$L:$L,MATCH(dashboard!$B$5&amp;".in.prb.frt.nit.---",input_data!$A:$A,0))*POWER(P7,INDEX(input_data!$L:$L,MATCH(dashboard!$B$5&amp;".in.els.frt.nit.---",input_data!$A:$A,0))),0)</f>
        <v>0.533178901923379</v>
      </c>
      <c r="Q188" s="114" t="n">
        <f aca="false">IFERROR(INDEX(input_data!$L:$L,MATCH(dashboard!$B$5&amp;".in.prb.frt.nit.---",input_data!$A:$A,0))*POWER(Q7,INDEX(input_data!$L:$L,MATCH(dashboard!$B$5&amp;".in.els.frt.nit.---",input_data!$A:$A,0))),0)</f>
        <v>0.544720775862858</v>
      </c>
      <c r="R188" s="114" t="n">
        <f aca="false">IFERROR(INDEX(input_data!$L:$L,MATCH(dashboard!$B$5&amp;".in.prb.frt.nit.---",input_data!$A:$A,0))*POWER(R7,INDEX(input_data!$L:$L,MATCH(dashboard!$B$5&amp;".in.els.frt.nit.---",input_data!$A:$A,0))),0)</f>
        <v>0.5565125</v>
      </c>
      <c r="S188" s="114" t="n">
        <f aca="false">IFERROR(INDEX(input_data!$L:$L,MATCH(dashboard!$B$5&amp;".in.prb.frt.nit.---",input_data!$A:$A,0))*POWER(S7,INDEX(input_data!$L:$L,MATCH(dashboard!$B$5&amp;".in.els.frt.nit.---",input_data!$A:$A,0))),0)</f>
        <v>0.56855948291244</v>
      </c>
      <c r="T188" s="114" t="n">
        <f aca="false">IFERROR(INDEX(input_data!$L:$L,MATCH(dashboard!$B$5&amp;".in.prb.frt.nit.---",input_data!$A:$A,0))*POWER(T7,INDEX(input_data!$L:$L,MATCH(dashboard!$B$5&amp;".in.els.frt.nit.---",input_data!$A:$A,0))),0)</f>
        <v>0.58086725025882</v>
      </c>
      <c r="U188" s="114" t="n">
        <f aca="false">IFERROR(INDEX(input_data!$L:$L,MATCH(dashboard!$B$5&amp;".in.prb.frt.nit.---",input_data!$A:$A,0))*POWER(U7,INDEX(input_data!$L:$L,MATCH(dashboard!$B$5&amp;".in.els.frt.nit.---",input_data!$A:$A,0))),0)</f>
        <v>0.593441447313269</v>
      </c>
      <c r="V188" s="114" t="n">
        <f aca="false">IFERROR(INDEX(input_data!$L:$L,MATCH(dashboard!$B$5&amp;".in.prb.frt.nit.---",input_data!$A:$A,0))*POWER(V7,INDEX(input_data!$L:$L,MATCH(dashboard!$B$5&amp;".in.els.frt.nit.---",input_data!$A:$A,0))),0)</f>
        <v>0.606287841554758</v>
      </c>
      <c r="W188" s="114" t="n">
        <f aca="false">IFERROR(INDEX(input_data!$L:$L,MATCH(dashboard!$B$5&amp;".in.prb.frt.nit.---",input_data!$A:$A,0))*POWER(W7,INDEX(input_data!$L:$L,MATCH(dashboard!$B$5&amp;".in.els.frt.nit.---",input_data!$A:$A,0))),0)</f>
        <v>0.6194123253125</v>
      </c>
      <c r="X188" s="114" t="n">
        <f aca="false">IFERROR(INDEX(input_data!$L:$L,MATCH(dashboard!$B$5&amp;".in.prb.frt.nit.---",input_data!$A:$A,0))*POWER(X7,INDEX(input_data!$L:$L,MATCH(dashboard!$B$5&amp;".in.els.frt.nit.---",input_data!$A:$A,0))),0)</f>
        <v>0.632820918468619</v>
      </c>
    </row>
    <row r="189" customFormat="false" ht="15" hidden="false" customHeight="true" outlineLevel="0" collapsed="false">
      <c r="A189" s="73" t="str">
        <f aca="false">dashboard!$B$5&amp;".pj.eux.frt.nit.---"</f>
        <v>egy.pj.eux.frt.nit.---</v>
      </c>
      <c r="B189" s="73" t="str">
        <f aca="false">dashboard!$B$5</f>
        <v>egy</v>
      </c>
      <c r="C189" s="73" t="s">
        <v>3401</v>
      </c>
      <c r="D189" s="73" t="s">
        <v>3415</v>
      </c>
      <c r="E189" s="73" t="s">
        <v>767</v>
      </c>
      <c r="F189" s="73" t="s">
        <v>790</v>
      </c>
      <c r="G189" s="73" t="s">
        <v>655</v>
      </c>
      <c r="H189" s="73" t="s">
        <v>3599</v>
      </c>
      <c r="I189" s="73" t="s">
        <v>869</v>
      </c>
      <c r="J189" s="73" t="s">
        <v>3417</v>
      </c>
      <c r="K189" s="73"/>
      <c r="L189" s="73"/>
      <c r="M189" s="114" t="n">
        <f aca="false">M188*INDEX(input_data!$L:$L,MATCH(dashboard!$B$5&amp;".in.exe.frt.nit.---",input_data!$A:$A,0))</f>
        <v>0.075</v>
      </c>
      <c r="N189" s="114" t="n">
        <f aca="false">N188*INDEX(input_data!$L:$L,MATCH(dashboard!$B$5&amp;".in.exe.frt.nit.---",input_data!$A:$A,0))</f>
        <v>0.076623546134962</v>
      </c>
      <c r="O189" s="114" t="n">
        <f aca="false">O188*INDEX(input_data!$L:$L,MATCH(dashboard!$B$5&amp;".in.exe.frt.nit.---",input_data!$A:$A,0))</f>
        <v>0.0782822376306219</v>
      </c>
      <c r="P189" s="114" t="n">
        <f aca="false">P188*INDEX(input_data!$L:$L,MATCH(dashboard!$B$5&amp;".in.exe.frt.nit.---",input_data!$A:$A,0))</f>
        <v>0.0799768352885068</v>
      </c>
      <c r="Q189" s="114" t="n">
        <f aca="false">Q188*INDEX(input_data!$L:$L,MATCH(dashboard!$B$5&amp;".in.exe.frt.nit.---",input_data!$A:$A,0))</f>
        <v>0.0817081163794288</v>
      </c>
      <c r="R189" s="114" t="n">
        <f aca="false">R188*INDEX(input_data!$L:$L,MATCH(dashboard!$B$5&amp;".in.exe.frt.nit.---",input_data!$A:$A,0))</f>
        <v>0.083476875</v>
      </c>
      <c r="S189" s="114" t="n">
        <f aca="false">S188*INDEX(input_data!$L:$L,MATCH(dashboard!$B$5&amp;".in.exe.frt.nit.---",input_data!$A:$A,0))</f>
        <v>0.085283922436866</v>
      </c>
      <c r="T189" s="114" t="n">
        <f aca="false">T188*INDEX(input_data!$L:$L,MATCH(dashboard!$B$5&amp;".in.exe.frt.nit.---",input_data!$A:$A,0))</f>
        <v>0.0871300875388229</v>
      </c>
      <c r="U189" s="114" t="n">
        <f aca="false">U188*INDEX(input_data!$L:$L,MATCH(dashboard!$B$5&amp;".in.exe.frt.nit.---",input_data!$A:$A,0))</f>
        <v>0.0890162170969903</v>
      </c>
      <c r="V189" s="114" t="n">
        <f aca="false">V188*INDEX(input_data!$L:$L,MATCH(dashboard!$B$5&amp;".in.exe.frt.nit.---",input_data!$A:$A,0))</f>
        <v>0.0909431762332137</v>
      </c>
      <c r="W189" s="114" t="n">
        <f aca="false">W188*INDEX(input_data!$L:$L,MATCH(dashboard!$B$5&amp;".in.exe.frt.nit.---",input_data!$A:$A,0))</f>
        <v>0.092911848796875</v>
      </c>
      <c r="X189" s="114" t="n">
        <f aca="false">X188*INDEX(input_data!$L:$L,MATCH(dashboard!$B$5&amp;".in.exe.frt.nit.---",input_data!$A:$A,0))</f>
        <v>0.0949231377702928</v>
      </c>
    </row>
    <row r="190" customFormat="false" ht="15" hidden="false" customHeight="true" outlineLevel="0" collapsed="false">
      <c r="A190" s="73" t="str">
        <f aca="false">dashboard!$B$5&amp;".pj.nex.frt.nit.---"</f>
        <v>egy.pj.nex.frt.nit.---</v>
      </c>
      <c r="B190" s="73" t="str">
        <f aca="false">dashboard!$B$5</f>
        <v>egy</v>
      </c>
      <c r="C190" s="73" t="s">
        <v>3401</v>
      </c>
      <c r="D190" s="73" t="s">
        <v>3418</v>
      </c>
      <c r="E190" s="73" t="s">
        <v>767</v>
      </c>
      <c r="F190" s="73" t="s">
        <v>790</v>
      </c>
      <c r="G190" s="73" t="s">
        <v>655</v>
      </c>
      <c r="H190" s="73" t="s">
        <v>3600</v>
      </c>
      <c r="I190" s="73" t="s">
        <v>869</v>
      </c>
      <c r="J190" s="73" t="s">
        <v>3420</v>
      </c>
      <c r="K190" s="73"/>
      <c r="L190" s="73"/>
      <c r="M190" s="114" t="n">
        <f aca="false">M188*(INDEX(input_data!$L:$L,MATCH(dashboard!$B$5&amp;".in.ext.frt.nit.---",input_data!$A:$A,0))-INDEX(input_data!$L:$L,MATCH(dashboard!$B$5&amp;".in.exe.frt.nit.---",input_data!$A:$A,0)))</f>
        <v>0.075</v>
      </c>
      <c r="N190" s="114" t="n">
        <f aca="false">N188*(INDEX(input_data!$L:$L,MATCH(dashboard!$B$5&amp;".in.ext.frt.nit.---",input_data!$A:$A,0))-INDEX(input_data!$L:$L,MATCH(dashboard!$B$5&amp;".in.exe.frt.nit.---",input_data!$A:$A,0)))</f>
        <v>0.076623546134962</v>
      </c>
      <c r="O190" s="114" t="n">
        <f aca="false">O188*(INDEX(input_data!$L:$L,MATCH(dashboard!$B$5&amp;".in.ext.frt.nit.---",input_data!$A:$A,0))-INDEX(input_data!$L:$L,MATCH(dashboard!$B$5&amp;".in.exe.frt.nit.---",input_data!$A:$A,0)))</f>
        <v>0.0782822376306219</v>
      </c>
      <c r="P190" s="114" t="n">
        <f aca="false">P188*(INDEX(input_data!$L:$L,MATCH(dashboard!$B$5&amp;".in.ext.frt.nit.---",input_data!$A:$A,0))-INDEX(input_data!$L:$L,MATCH(dashboard!$B$5&amp;".in.exe.frt.nit.---",input_data!$A:$A,0)))</f>
        <v>0.0799768352885068</v>
      </c>
      <c r="Q190" s="114" t="n">
        <f aca="false">Q188*(INDEX(input_data!$L:$L,MATCH(dashboard!$B$5&amp;".in.ext.frt.nit.---",input_data!$A:$A,0))-INDEX(input_data!$L:$L,MATCH(dashboard!$B$5&amp;".in.exe.frt.nit.---",input_data!$A:$A,0)))</f>
        <v>0.0817081163794288</v>
      </c>
      <c r="R190" s="114" t="n">
        <f aca="false">R188*(INDEX(input_data!$L:$L,MATCH(dashboard!$B$5&amp;".in.ext.frt.nit.---",input_data!$A:$A,0))-INDEX(input_data!$L:$L,MATCH(dashboard!$B$5&amp;".in.exe.frt.nit.---",input_data!$A:$A,0)))</f>
        <v>0.083476875</v>
      </c>
      <c r="S190" s="114" t="n">
        <f aca="false">S188*(INDEX(input_data!$L:$L,MATCH(dashboard!$B$5&amp;".in.ext.frt.nit.---",input_data!$A:$A,0))-INDEX(input_data!$L:$L,MATCH(dashboard!$B$5&amp;".in.exe.frt.nit.---",input_data!$A:$A,0)))</f>
        <v>0.085283922436866</v>
      </c>
      <c r="T190" s="114" t="n">
        <f aca="false">T188*(INDEX(input_data!$L:$L,MATCH(dashboard!$B$5&amp;".in.ext.frt.nit.---",input_data!$A:$A,0))-INDEX(input_data!$L:$L,MATCH(dashboard!$B$5&amp;".in.exe.frt.nit.---",input_data!$A:$A,0)))</f>
        <v>0.0871300875388229</v>
      </c>
      <c r="U190" s="114" t="n">
        <f aca="false">U188*(INDEX(input_data!$L:$L,MATCH(dashboard!$B$5&amp;".in.ext.frt.nit.---",input_data!$A:$A,0))-INDEX(input_data!$L:$L,MATCH(dashboard!$B$5&amp;".in.exe.frt.nit.---",input_data!$A:$A,0)))</f>
        <v>0.0890162170969903</v>
      </c>
      <c r="V190" s="114" t="n">
        <f aca="false">V188*(INDEX(input_data!$L:$L,MATCH(dashboard!$B$5&amp;".in.ext.frt.nit.---",input_data!$A:$A,0))-INDEX(input_data!$L:$L,MATCH(dashboard!$B$5&amp;".in.exe.frt.nit.---",input_data!$A:$A,0)))</f>
        <v>0.0909431762332137</v>
      </c>
      <c r="W190" s="114" t="n">
        <f aca="false">W188*(INDEX(input_data!$L:$L,MATCH(dashboard!$B$5&amp;".in.ext.frt.nit.---",input_data!$A:$A,0))-INDEX(input_data!$L:$L,MATCH(dashboard!$B$5&amp;".in.exe.frt.nit.---",input_data!$A:$A,0)))</f>
        <v>0.092911848796875</v>
      </c>
      <c r="X190" s="114" t="n">
        <f aca="false">X188*(INDEX(input_data!$L:$L,MATCH(dashboard!$B$5&amp;".in.ext.frt.nit.---",input_data!$A:$A,0))-INDEX(input_data!$L:$L,MATCH(dashboard!$B$5&amp;".in.exe.frt.nit.---",input_data!$A:$A,0)))</f>
        <v>0.0949231377702928</v>
      </c>
    </row>
    <row r="191" customFormat="false" ht="15" hidden="false" customHeight="true" outlineLevel="0" collapsed="false">
      <c r="A191" s="73" t="str">
        <f aca="false">dashboard!$B$5&amp;".pj.dom.frt.nit.---"</f>
        <v>egy.pj.dom.frt.nit.---</v>
      </c>
      <c r="B191" s="73" t="str">
        <f aca="false">dashboard!$B$5</f>
        <v>egy</v>
      </c>
      <c r="C191" s="73" t="s">
        <v>3401</v>
      </c>
      <c r="D191" s="73" t="s">
        <v>641</v>
      </c>
      <c r="E191" s="73" t="s">
        <v>767</v>
      </c>
      <c r="F191" s="73" t="s">
        <v>790</v>
      </c>
      <c r="G191" s="73" t="s">
        <v>655</v>
      </c>
      <c r="H191" s="73" t="s">
        <v>3601</v>
      </c>
      <c r="I191" s="73" t="s">
        <v>869</v>
      </c>
      <c r="J191" s="73" t="s">
        <v>3422</v>
      </c>
      <c r="K191" s="73"/>
      <c r="L191" s="73"/>
      <c r="M191" s="114" t="n">
        <f aca="false">M188*(1-INDEX(input_data!$L:$L,MATCH(dashboard!$B$5&amp;".in.ext.frt.nit.---",input_data!$A:$A,0)))*(1+INDEX(input_data!$L:$L,MATCH(dashboard!$B$5&amp;".in.imp.frt.nit.---",input_data!$A:$A,0)))</f>
        <v>0.3675</v>
      </c>
      <c r="N191" s="114" t="n">
        <f aca="false">N188*(1-INDEX(input_data!$L:$L,MATCH(dashboard!$B$5&amp;".in.ext.frt.nit.---",input_data!$A:$A,0)))*(1+INDEX(input_data!$L:$L,MATCH(dashboard!$B$5&amp;".in.imp.frt.nit.---",input_data!$A:$A,0)))</f>
        <v>0.375455376061314</v>
      </c>
      <c r="O191" s="114" t="n">
        <f aca="false">O188*(1-INDEX(input_data!$L:$L,MATCH(dashboard!$B$5&amp;".in.ext.frt.nit.---",input_data!$A:$A,0)))*(1+INDEX(input_data!$L:$L,MATCH(dashboard!$B$5&amp;".in.imp.frt.nit.---",input_data!$A:$A,0)))</f>
        <v>0.383582964390047</v>
      </c>
      <c r="P191" s="114" t="n">
        <f aca="false">P188*(1-INDEX(input_data!$L:$L,MATCH(dashboard!$B$5&amp;".in.ext.frt.nit.---",input_data!$A:$A,0)))*(1+INDEX(input_data!$L:$L,MATCH(dashboard!$B$5&amp;".in.imp.frt.nit.---",input_data!$A:$A,0)))</f>
        <v>0.391886492913684</v>
      </c>
      <c r="Q191" s="114" t="n">
        <f aca="false">Q188*(1-INDEX(input_data!$L:$L,MATCH(dashboard!$B$5&amp;".in.ext.frt.nit.---",input_data!$A:$A,0)))*(1+INDEX(input_data!$L:$L,MATCH(dashboard!$B$5&amp;".in.imp.frt.nit.---",input_data!$A:$A,0)))</f>
        <v>0.400369770259201</v>
      </c>
      <c r="R191" s="114" t="n">
        <f aca="false">R188*(1-INDEX(input_data!$L:$L,MATCH(dashboard!$B$5&amp;".in.ext.frt.nit.---",input_data!$A:$A,0)))*(1+INDEX(input_data!$L:$L,MATCH(dashboard!$B$5&amp;".in.imp.frt.nit.---",input_data!$A:$A,0)))</f>
        <v>0.4090366875</v>
      </c>
      <c r="S191" s="114" t="n">
        <f aca="false">S188*(1-INDEX(input_data!$L:$L,MATCH(dashboard!$B$5&amp;".in.ext.frt.nit.---",input_data!$A:$A,0)))*(1+INDEX(input_data!$L:$L,MATCH(dashboard!$B$5&amp;".in.imp.frt.nit.---",input_data!$A:$A,0)))</f>
        <v>0.417891219940644</v>
      </c>
      <c r="T191" s="114" t="n">
        <f aca="false">T188*(1-INDEX(input_data!$L:$L,MATCH(dashboard!$B$5&amp;".in.ext.frt.nit.---",input_data!$A:$A,0)))*(1+INDEX(input_data!$L:$L,MATCH(dashboard!$B$5&amp;".in.imp.frt.nit.---",input_data!$A:$A,0)))</f>
        <v>0.426937428940232</v>
      </c>
      <c r="U191" s="114" t="n">
        <f aca="false">U188*(1-INDEX(input_data!$L:$L,MATCH(dashboard!$B$5&amp;".in.ext.frt.nit.---",input_data!$A:$A,0)))*(1+INDEX(input_data!$L:$L,MATCH(dashboard!$B$5&amp;".in.imp.frt.nit.---",input_data!$A:$A,0)))</f>
        <v>0.436179463775253</v>
      </c>
      <c r="V191" s="114" t="n">
        <f aca="false">V188*(1-INDEX(input_data!$L:$L,MATCH(dashboard!$B$5&amp;".in.ext.frt.nit.---",input_data!$A:$A,0)))*(1+INDEX(input_data!$L:$L,MATCH(dashboard!$B$5&amp;".in.imp.frt.nit.---",input_data!$A:$A,0)))</f>
        <v>0.445621563542747</v>
      </c>
      <c r="W191" s="114" t="n">
        <f aca="false">W188*(1-INDEX(input_data!$L:$L,MATCH(dashboard!$B$5&amp;".in.ext.frt.nit.---",input_data!$A:$A,0)))*(1+INDEX(input_data!$L:$L,MATCH(dashboard!$B$5&amp;".in.imp.frt.nit.---",input_data!$A:$A,0)))</f>
        <v>0.455268059104687</v>
      </c>
      <c r="X191" s="114" t="n">
        <f aca="false">X188*(1-INDEX(input_data!$L:$L,MATCH(dashboard!$B$5&amp;".in.ext.frt.nit.---",input_data!$A:$A,0)))*(1+INDEX(input_data!$L:$L,MATCH(dashboard!$B$5&amp;".in.imp.frt.nit.---",input_data!$A:$A,0)))</f>
        <v>0.465123375074435</v>
      </c>
    </row>
    <row r="192" customFormat="false" ht="15" hidden="false" customHeight="true" outlineLevel="0" collapsed="false">
      <c r="A192" s="73" t="str">
        <f aca="false">dashboard!$B$5&amp;".pj.enc.frt.nit.coa"</f>
        <v>egy.pj.enc.frt.nit.coa</v>
      </c>
      <c r="B192" s="73" t="str">
        <f aca="false">dashboard!$B$5</f>
        <v>egy</v>
      </c>
      <c r="C192" s="73" t="s">
        <v>3401</v>
      </c>
      <c r="D192" s="73" t="s">
        <v>891</v>
      </c>
      <c r="E192" s="73" t="s">
        <v>767</v>
      </c>
      <c r="F192" s="73" t="s">
        <v>790</v>
      </c>
      <c r="G192" s="73" t="s">
        <v>96</v>
      </c>
      <c r="H192" s="73" t="s">
        <v>3602</v>
      </c>
      <c r="I192" s="73" t="s">
        <v>3424</v>
      </c>
      <c r="J192" s="73" t="s">
        <v>3425</v>
      </c>
      <c r="K192" s="73"/>
      <c r="L192" s="73"/>
      <c r="M192" s="114" t="n">
        <f aca="false">M188*INDEX(input_data!$L:$L,MATCH(dashboard!$B$5&amp;".in.enc.frt.nit.coa",input_data!$A:$A,0))</f>
        <v>0</v>
      </c>
      <c r="N192" s="114" t="n">
        <f aca="false">N188*INDEX(input_data!$L:$L,MATCH(dashboard!$B$5&amp;".in.enc.frt.nit.coa",input_data!$A:$A,0))</f>
        <v>0</v>
      </c>
      <c r="O192" s="114" t="n">
        <f aca="false">O188*INDEX(input_data!$L:$L,MATCH(dashboard!$B$5&amp;".in.enc.frt.nit.coa",input_data!$A:$A,0))</f>
        <v>0</v>
      </c>
      <c r="P192" s="114" t="n">
        <f aca="false">P188*INDEX(input_data!$L:$L,MATCH(dashboard!$B$5&amp;".in.enc.frt.nit.coa",input_data!$A:$A,0))</f>
        <v>0</v>
      </c>
      <c r="Q192" s="114" t="n">
        <f aca="false">Q188*INDEX(input_data!$L:$L,MATCH(dashboard!$B$5&amp;".in.enc.frt.nit.coa",input_data!$A:$A,0))</f>
        <v>0</v>
      </c>
      <c r="R192" s="114" t="n">
        <f aca="false">R188*INDEX(input_data!$L:$L,MATCH(dashboard!$B$5&amp;".in.enc.frt.nit.coa",input_data!$A:$A,0))</f>
        <v>0</v>
      </c>
      <c r="S192" s="114" t="n">
        <f aca="false">S188*INDEX(input_data!$L:$L,MATCH(dashboard!$B$5&amp;".in.enc.frt.nit.coa",input_data!$A:$A,0))</f>
        <v>0</v>
      </c>
      <c r="T192" s="114" t="n">
        <f aca="false">T188*INDEX(input_data!$L:$L,MATCH(dashboard!$B$5&amp;".in.enc.frt.nit.coa",input_data!$A:$A,0))</f>
        <v>0</v>
      </c>
      <c r="U192" s="114" t="n">
        <f aca="false">U188*INDEX(input_data!$L:$L,MATCH(dashboard!$B$5&amp;".in.enc.frt.nit.coa",input_data!$A:$A,0))</f>
        <v>0</v>
      </c>
      <c r="V192" s="114" t="n">
        <f aca="false">V188*INDEX(input_data!$L:$L,MATCH(dashboard!$B$5&amp;".in.enc.frt.nit.coa",input_data!$A:$A,0))</f>
        <v>0</v>
      </c>
      <c r="W192" s="114" t="n">
        <f aca="false">W188*INDEX(input_data!$L:$L,MATCH(dashboard!$B$5&amp;".in.enc.frt.nit.coa",input_data!$A:$A,0))</f>
        <v>0</v>
      </c>
      <c r="X192" s="114" t="n">
        <f aca="false">X188*INDEX(input_data!$L:$L,MATCH(dashboard!$B$5&amp;".in.enc.frt.nit.coa",input_data!$A:$A,0))</f>
        <v>0</v>
      </c>
    </row>
    <row r="193" customFormat="false" ht="15" hidden="false" customHeight="true" outlineLevel="0" collapsed="false">
      <c r="A193" s="73" t="str">
        <f aca="false">dashboard!$B$5&amp;".pj.enc.frt.nit.nga"</f>
        <v>egy.pj.enc.frt.nit.nga</v>
      </c>
      <c r="B193" s="73" t="str">
        <f aca="false">dashboard!$B$5</f>
        <v>egy</v>
      </c>
      <c r="C193" s="73" t="s">
        <v>3401</v>
      </c>
      <c r="D193" s="73" t="s">
        <v>891</v>
      </c>
      <c r="E193" s="73" t="s">
        <v>767</v>
      </c>
      <c r="F193" s="73" t="s">
        <v>790</v>
      </c>
      <c r="G193" s="73" t="s">
        <v>99</v>
      </c>
      <c r="H193" s="73" t="s">
        <v>3603</v>
      </c>
      <c r="I193" s="73" t="s">
        <v>3424</v>
      </c>
      <c r="J193" s="73" t="s">
        <v>3425</v>
      </c>
      <c r="K193" s="73"/>
      <c r="L193" s="73"/>
      <c r="M193" s="114" t="n">
        <f aca="false">M188*INDEX(input_data!$L:$L,MATCH(dashboard!$B$5&amp;".in.enc.frt.nit.nga",input_data!$A:$A,0))</f>
        <v>0.75</v>
      </c>
      <c r="N193" s="114" t="n">
        <f aca="false">N188*INDEX(input_data!$L:$L,MATCH(dashboard!$B$5&amp;".in.enc.frt.nit.nga",input_data!$A:$A,0))</f>
        <v>0.766235461349619</v>
      </c>
      <c r="O193" s="114" t="n">
        <f aca="false">O188*INDEX(input_data!$L:$L,MATCH(dashboard!$B$5&amp;".in.enc.frt.nit.nga",input_data!$A:$A,0))</f>
        <v>0.782822376306219</v>
      </c>
      <c r="P193" s="114" t="n">
        <f aca="false">P188*INDEX(input_data!$L:$L,MATCH(dashboard!$B$5&amp;".in.enc.frt.nit.nga",input_data!$A:$A,0))</f>
        <v>0.799768352885068</v>
      </c>
      <c r="Q193" s="114" t="n">
        <f aca="false">Q188*INDEX(input_data!$L:$L,MATCH(dashboard!$B$5&amp;".in.enc.frt.nit.nga",input_data!$A:$A,0))</f>
        <v>0.817081163794288</v>
      </c>
      <c r="R193" s="114" t="n">
        <f aca="false">R188*INDEX(input_data!$L:$L,MATCH(dashboard!$B$5&amp;".in.enc.frt.nit.nga",input_data!$A:$A,0))</f>
        <v>0.83476875</v>
      </c>
      <c r="S193" s="114" t="n">
        <f aca="false">S188*INDEX(input_data!$L:$L,MATCH(dashboard!$B$5&amp;".in.enc.frt.nit.nga",input_data!$A:$A,0))</f>
        <v>0.85283922436866</v>
      </c>
      <c r="T193" s="114" t="n">
        <f aca="false">T188*INDEX(input_data!$L:$L,MATCH(dashboard!$B$5&amp;".in.enc.frt.nit.nga",input_data!$A:$A,0))</f>
        <v>0.871300875388229</v>
      </c>
      <c r="U193" s="114" t="n">
        <f aca="false">U188*INDEX(input_data!$L:$L,MATCH(dashboard!$B$5&amp;".in.enc.frt.nit.nga",input_data!$A:$A,0))</f>
        <v>0.890162170969903</v>
      </c>
      <c r="V193" s="114" t="n">
        <f aca="false">V188*INDEX(input_data!$L:$L,MATCH(dashboard!$B$5&amp;".in.enc.frt.nit.nga",input_data!$A:$A,0))</f>
        <v>0.909431762332137</v>
      </c>
      <c r="W193" s="114" t="n">
        <f aca="false">W188*INDEX(input_data!$L:$L,MATCH(dashboard!$B$5&amp;".in.enc.frt.nit.nga",input_data!$A:$A,0))</f>
        <v>0.92911848796875</v>
      </c>
      <c r="X193" s="114" t="n">
        <f aca="false">X188*INDEX(input_data!$L:$L,MATCH(dashboard!$B$5&amp;".in.enc.frt.nit.nga",input_data!$A:$A,0))</f>
        <v>0.949231377702928</v>
      </c>
    </row>
    <row r="194" customFormat="false" ht="15" hidden="false" customHeight="true" outlineLevel="0" collapsed="false">
      <c r="A194" s="73" t="str">
        <f aca="false">dashboard!$B$5&amp;".pj.enc.frt.nit.gso"</f>
        <v>egy.pj.enc.frt.nit.gso</v>
      </c>
      <c r="B194" s="73" t="str">
        <f aca="false">dashboard!$B$5</f>
        <v>egy</v>
      </c>
      <c r="C194" s="73" t="s">
        <v>3401</v>
      </c>
      <c r="D194" s="73" t="s">
        <v>891</v>
      </c>
      <c r="E194" s="73" t="s">
        <v>767</v>
      </c>
      <c r="F194" s="73" t="s">
        <v>790</v>
      </c>
      <c r="G194" s="73" t="s">
        <v>101</v>
      </c>
      <c r="H194" s="73" t="s">
        <v>3604</v>
      </c>
      <c r="I194" s="73" t="s">
        <v>3424</v>
      </c>
      <c r="J194" s="73" t="s">
        <v>3425</v>
      </c>
      <c r="K194" s="73"/>
      <c r="L194" s="73"/>
      <c r="M194" s="114" t="n">
        <f aca="false">M188*INDEX(input_data!$L:$L,MATCH(dashboard!$B$5&amp;".in.enc.frt.nit.gso",input_data!$A:$A,0))</f>
        <v>0</v>
      </c>
      <c r="N194" s="114" t="n">
        <f aca="false">N188*INDEX(input_data!$L:$L,MATCH(dashboard!$B$5&amp;".in.enc.frt.nit.gso",input_data!$A:$A,0))</f>
        <v>0</v>
      </c>
      <c r="O194" s="114" t="n">
        <f aca="false">O188*INDEX(input_data!$L:$L,MATCH(dashboard!$B$5&amp;".in.enc.frt.nit.gso",input_data!$A:$A,0))</f>
        <v>0</v>
      </c>
      <c r="P194" s="114" t="n">
        <f aca="false">P188*INDEX(input_data!$L:$L,MATCH(dashboard!$B$5&amp;".in.enc.frt.nit.gso",input_data!$A:$A,0))</f>
        <v>0</v>
      </c>
      <c r="Q194" s="114" t="n">
        <f aca="false">Q188*INDEX(input_data!$L:$L,MATCH(dashboard!$B$5&amp;".in.enc.frt.nit.gso",input_data!$A:$A,0))</f>
        <v>0</v>
      </c>
      <c r="R194" s="114" t="n">
        <f aca="false">R188*INDEX(input_data!$L:$L,MATCH(dashboard!$B$5&amp;".in.enc.frt.nit.gso",input_data!$A:$A,0))</f>
        <v>0</v>
      </c>
      <c r="S194" s="114" t="n">
        <f aca="false">S188*INDEX(input_data!$L:$L,MATCH(dashboard!$B$5&amp;".in.enc.frt.nit.gso",input_data!$A:$A,0))</f>
        <v>0</v>
      </c>
      <c r="T194" s="114" t="n">
        <f aca="false">T188*INDEX(input_data!$L:$L,MATCH(dashboard!$B$5&amp;".in.enc.frt.nit.gso",input_data!$A:$A,0))</f>
        <v>0</v>
      </c>
      <c r="U194" s="114" t="n">
        <f aca="false">U188*INDEX(input_data!$L:$L,MATCH(dashboard!$B$5&amp;".in.enc.frt.nit.gso",input_data!$A:$A,0))</f>
        <v>0</v>
      </c>
      <c r="V194" s="114" t="n">
        <f aca="false">V188*INDEX(input_data!$L:$L,MATCH(dashboard!$B$5&amp;".in.enc.frt.nit.gso",input_data!$A:$A,0))</f>
        <v>0</v>
      </c>
      <c r="W194" s="114" t="n">
        <f aca="false">W188*INDEX(input_data!$L:$L,MATCH(dashboard!$B$5&amp;".in.enc.frt.nit.gso",input_data!$A:$A,0))</f>
        <v>0</v>
      </c>
      <c r="X194" s="114" t="n">
        <f aca="false">X188*INDEX(input_data!$L:$L,MATCH(dashboard!$B$5&amp;".in.enc.frt.nit.gso",input_data!$A:$A,0))</f>
        <v>0</v>
      </c>
    </row>
    <row r="195" customFormat="false" ht="15" hidden="false" customHeight="true" outlineLevel="0" collapsed="false">
      <c r="A195" s="73" t="str">
        <f aca="false">dashboard!$B$5&amp;".pj.enc.frt.nit.die"</f>
        <v>egy.pj.enc.frt.nit.die</v>
      </c>
      <c r="B195" s="73" t="str">
        <f aca="false">dashboard!$B$5</f>
        <v>egy</v>
      </c>
      <c r="C195" s="73" t="s">
        <v>3401</v>
      </c>
      <c r="D195" s="73" t="s">
        <v>891</v>
      </c>
      <c r="E195" s="73" t="s">
        <v>767</v>
      </c>
      <c r="F195" s="73" t="s">
        <v>790</v>
      </c>
      <c r="G195" s="73" t="s">
        <v>103</v>
      </c>
      <c r="H195" s="73" t="s">
        <v>3605</v>
      </c>
      <c r="I195" s="73" t="s">
        <v>3424</v>
      </c>
      <c r="J195" s="73" t="s">
        <v>3425</v>
      </c>
      <c r="K195" s="73"/>
      <c r="L195" s="73"/>
      <c r="M195" s="114" t="n">
        <f aca="false">M188*INDEX(input_data!$L:$L,MATCH(dashboard!$B$5&amp;".in.enc.frt.nit.die",input_data!$A:$A,0))</f>
        <v>0</v>
      </c>
      <c r="N195" s="114" t="n">
        <f aca="false">N188*INDEX(input_data!$L:$L,MATCH(dashboard!$B$5&amp;".in.enc.frt.nit.die",input_data!$A:$A,0))</f>
        <v>0</v>
      </c>
      <c r="O195" s="114" t="n">
        <f aca="false">O188*INDEX(input_data!$L:$L,MATCH(dashboard!$B$5&amp;".in.enc.frt.nit.die",input_data!$A:$A,0))</f>
        <v>0</v>
      </c>
      <c r="P195" s="114" t="n">
        <f aca="false">P188*INDEX(input_data!$L:$L,MATCH(dashboard!$B$5&amp;".in.enc.frt.nit.die",input_data!$A:$A,0))</f>
        <v>0</v>
      </c>
      <c r="Q195" s="114" t="n">
        <f aca="false">Q188*INDEX(input_data!$L:$L,MATCH(dashboard!$B$5&amp;".in.enc.frt.nit.die",input_data!$A:$A,0))</f>
        <v>0</v>
      </c>
      <c r="R195" s="114" t="n">
        <f aca="false">R188*INDEX(input_data!$L:$L,MATCH(dashboard!$B$5&amp;".in.enc.frt.nit.die",input_data!$A:$A,0))</f>
        <v>0</v>
      </c>
      <c r="S195" s="114" t="n">
        <f aca="false">S188*INDEX(input_data!$L:$L,MATCH(dashboard!$B$5&amp;".in.enc.frt.nit.die",input_data!$A:$A,0))</f>
        <v>0</v>
      </c>
      <c r="T195" s="114" t="n">
        <f aca="false">T188*INDEX(input_data!$L:$L,MATCH(dashboard!$B$5&amp;".in.enc.frt.nit.die",input_data!$A:$A,0))</f>
        <v>0</v>
      </c>
      <c r="U195" s="114" t="n">
        <f aca="false">U188*INDEX(input_data!$L:$L,MATCH(dashboard!$B$5&amp;".in.enc.frt.nit.die",input_data!$A:$A,0))</f>
        <v>0</v>
      </c>
      <c r="V195" s="114" t="n">
        <f aca="false">V188*INDEX(input_data!$L:$L,MATCH(dashboard!$B$5&amp;".in.enc.frt.nit.die",input_data!$A:$A,0))</f>
        <v>0</v>
      </c>
      <c r="W195" s="114" t="n">
        <f aca="false">W188*INDEX(input_data!$L:$L,MATCH(dashboard!$B$5&amp;".in.enc.frt.nit.die",input_data!$A:$A,0))</f>
        <v>0</v>
      </c>
      <c r="X195" s="114" t="n">
        <f aca="false">X188*INDEX(input_data!$L:$L,MATCH(dashboard!$B$5&amp;".in.enc.frt.nit.die",input_data!$A:$A,0))</f>
        <v>0</v>
      </c>
    </row>
    <row r="196" customFormat="false" ht="15" hidden="false" customHeight="true" outlineLevel="0" collapsed="false">
      <c r="A196" s="73" t="str">
        <f aca="false">dashboard!$B$5&amp;".pj.enc.frt.nit.ker"</f>
        <v>egy.pj.enc.frt.nit.ker</v>
      </c>
      <c r="B196" s="73" t="str">
        <f aca="false">dashboard!$B$5</f>
        <v>egy</v>
      </c>
      <c r="C196" s="73" t="s">
        <v>3401</v>
      </c>
      <c r="D196" s="73" t="s">
        <v>891</v>
      </c>
      <c r="E196" s="73" t="s">
        <v>767</v>
      </c>
      <c r="F196" s="73" t="s">
        <v>790</v>
      </c>
      <c r="G196" s="73" t="s">
        <v>105</v>
      </c>
      <c r="H196" s="73" t="s">
        <v>3606</v>
      </c>
      <c r="I196" s="73" t="s">
        <v>3424</v>
      </c>
      <c r="J196" s="73" t="s">
        <v>3425</v>
      </c>
      <c r="K196" s="73"/>
      <c r="L196" s="73"/>
      <c r="M196" s="114" t="n">
        <f aca="false">M188*INDEX(input_data!$L:$L,MATCH(dashboard!$B$5&amp;".in.enc.frt.nit.ker",input_data!$A:$A,0))</f>
        <v>0</v>
      </c>
      <c r="N196" s="114" t="n">
        <f aca="false">N188*INDEX(input_data!$L:$L,MATCH(dashboard!$B$5&amp;".in.enc.frt.nit.ker",input_data!$A:$A,0))</f>
        <v>0</v>
      </c>
      <c r="O196" s="114" t="n">
        <f aca="false">O188*INDEX(input_data!$L:$L,MATCH(dashboard!$B$5&amp;".in.enc.frt.nit.ker",input_data!$A:$A,0))</f>
        <v>0</v>
      </c>
      <c r="P196" s="114" t="n">
        <f aca="false">P188*INDEX(input_data!$L:$L,MATCH(dashboard!$B$5&amp;".in.enc.frt.nit.ker",input_data!$A:$A,0))</f>
        <v>0</v>
      </c>
      <c r="Q196" s="114" t="n">
        <f aca="false">Q188*INDEX(input_data!$L:$L,MATCH(dashboard!$B$5&amp;".in.enc.frt.nit.ker",input_data!$A:$A,0))</f>
        <v>0</v>
      </c>
      <c r="R196" s="114" t="n">
        <f aca="false">R188*INDEX(input_data!$L:$L,MATCH(dashboard!$B$5&amp;".in.enc.frt.nit.ker",input_data!$A:$A,0))</f>
        <v>0</v>
      </c>
      <c r="S196" s="114" t="n">
        <f aca="false">S188*INDEX(input_data!$L:$L,MATCH(dashboard!$B$5&amp;".in.enc.frt.nit.ker",input_data!$A:$A,0))</f>
        <v>0</v>
      </c>
      <c r="T196" s="114" t="n">
        <f aca="false">T188*INDEX(input_data!$L:$L,MATCH(dashboard!$B$5&amp;".in.enc.frt.nit.ker",input_data!$A:$A,0))</f>
        <v>0</v>
      </c>
      <c r="U196" s="114" t="n">
        <f aca="false">U188*INDEX(input_data!$L:$L,MATCH(dashboard!$B$5&amp;".in.enc.frt.nit.ker",input_data!$A:$A,0))</f>
        <v>0</v>
      </c>
      <c r="V196" s="114" t="n">
        <f aca="false">V188*INDEX(input_data!$L:$L,MATCH(dashboard!$B$5&amp;".in.enc.frt.nit.ker",input_data!$A:$A,0))</f>
        <v>0</v>
      </c>
      <c r="W196" s="114" t="n">
        <f aca="false">W188*INDEX(input_data!$L:$L,MATCH(dashboard!$B$5&amp;".in.enc.frt.nit.ker",input_data!$A:$A,0))</f>
        <v>0</v>
      </c>
      <c r="X196" s="114" t="n">
        <f aca="false">X188*INDEX(input_data!$L:$L,MATCH(dashboard!$B$5&amp;".in.enc.frt.nit.ker",input_data!$A:$A,0))</f>
        <v>0</v>
      </c>
    </row>
    <row r="197" customFormat="false" ht="15" hidden="false" customHeight="true" outlineLevel="0" collapsed="false">
      <c r="A197" s="73" t="str">
        <f aca="false">dashboard!$B$5&amp;".pj.enc.frt.nit.lpg"</f>
        <v>egy.pj.enc.frt.nit.lpg</v>
      </c>
      <c r="B197" s="73" t="str">
        <f aca="false">dashboard!$B$5</f>
        <v>egy</v>
      </c>
      <c r="C197" s="73" t="s">
        <v>3401</v>
      </c>
      <c r="D197" s="73" t="s">
        <v>891</v>
      </c>
      <c r="E197" s="73" t="s">
        <v>767</v>
      </c>
      <c r="F197" s="73" t="s">
        <v>790</v>
      </c>
      <c r="G197" s="73" t="s">
        <v>107</v>
      </c>
      <c r="H197" s="73" t="s">
        <v>3607</v>
      </c>
      <c r="I197" s="73" t="s">
        <v>3424</v>
      </c>
      <c r="J197" s="73" t="s">
        <v>3425</v>
      </c>
      <c r="K197" s="73"/>
      <c r="L197" s="73"/>
      <c r="M197" s="114" t="n">
        <f aca="false">M188*INDEX(input_data!$L:$L,MATCH(dashboard!$B$5&amp;".in.enc.frt.nit.lpg",input_data!$A:$A,0))</f>
        <v>0</v>
      </c>
      <c r="N197" s="114" t="n">
        <f aca="false">N188*INDEX(input_data!$L:$L,MATCH(dashboard!$B$5&amp;".in.enc.frt.nit.lpg",input_data!$A:$A,0))</f>
        <v>0</v>
      </c>
      <c r="O197" s="114" t="n">
        <f aca="false">O188*INDEX(input_data!$L:$L,MATCH(dashboard!$B$5&amp;".in.enc.frt.nit.lpg",input_data!$A:$A,0))</f>
        <v>0</v>
      </c>
      <c r="P197" s="114" t="n">
        <f aca="false">P188*INDEX(input_data!$L:$L,MATCH(dashboard!$B$5&amp;".in.enc.frt.nit.lpg",input_data!$A:$A,0))</f>
        <v>0</v>
      </c>
      <c r="Q197" s="114" t="n">
        <f aca="false">Q188*INDEX(input_data!$L:$L,MATCH(dashboard!$B$5&amp;".in.enc.frt.nit.lpg",input_data!$A:$A,0))</f>
        <v>0</v>
      </c>
      <c r="R197" s="114" t="n">
        <f aca="false">R188*INDEX(input_data!$L:$L,MATCH(dashboard!$B$5&amp;".in.enc.frt.nit.lpg",input_data!$A:$A,0))</f>
        <v>0</v>
      </c>
      <c r="S197" s="114" t="n">
        <f aca="false">S188*INDEX(input_data!$L:$L,MATCH(dashboard!$B$5&amp;".in.enc.frt.nit.lpg",input_data!$A:$A,0))</f>
        <v>0</v>
      </c>
      <c r="T197" s="114" t="n">
        <f aca="false">T188*INDEX(input_data!$L:$L,MATCH(dashboard!$B$5&amp;".in.enc.frt.nit.lpg",input_data!$A:$A,0))</f>
        <v>0</v>
      </c>
      <c r="U197" s="114" t="n">
        <f aca="false">U188*INDEX(input_data!$L:$L,MATCH(dashboard!$B$5&amp;".in.enc.frt.nit.lpg",input_data!$A:$A,0))</f>
        <v>0</v>
      </c>
      <c r="V197" s="114" t="n">
        <f aca="false">V188*INDEX(input_data!$L:$L,MATCH(dashboard!$B$5&amp;".in.enc.frt.nit.lpg",input_data!$A:$A,0))</f>
        <v>0</v>
      </c>
      <c r="W197" s="114" t="n">
        <f aca="false">W188*INDEX(input_data!$L:$L,MATCH(dashboard!$B$5&amp;".in.enc.frt.nit.lpg",input_data!$A:$A,0))</f>
        <v>0</v>
      </c>
      <c r="X197" s="114" t="n">
        <f aca="false">X188*INDEX(input_data!$L:$L,MATCH(dashboard!$B$5&amp;".in.enc.frt.nit.lpg",input_data!$A:$A,0))</f>
        <v>0</v>
      </c>
    </row>
    <row r="198" customFormat="false" ht="15" hidden="false" customHeight="true" outlineLevel="0" collapsed="false">
      <c r="A198" s="73" t="str">
        <f aca="false">dashboard!$B$5&amp;".pj.enc.frt.nit.bio"</f>
        <v>egy.pj.enc.frt.nit.bio</v>
      </c>
      <c r="B198" s="73" t="str">
        <f aca="false">dashboard!$B$5</f>
        <v>egy</v>
      </c>
      <c r="C198" s="73" t="s">
        <v>3401</v>
      </c>
      <c r="D198" s="73" t="s">
        <v>891</v>
      </c>
      <c r="E198" s="73" t="s">
        <v>767</v>
      </c>
      <c r="F198" s="73" t="s">
        <v>790</v>
      </c>
      <c r="G198" s="73" t="s">
        <v>109</v>
      </c>
      <c r="H198" s="73" t="s">
        <v>3608</v>
      </c>
      <c r="I198" s="73" t="s">
        <v>3424</v>
      </c>
      <c r="J198" s="73" t="s">
        <v>3425</v>
      </c>
      <c r="K198" s="73"/>
      <c r="L198" s="73"/>
      <c r="M198" s="114" t="n">
        <f aca="false">M188*INDEX(input_data!$L:$L,MATCH(dashboard!$B$5&amp;".in.enc.frt.nit.bio",input_data!$A:$A,0))</f>
        <v>0</v>
      </c>
      <c r="N198" s="114" t="n">
        <f aca="false">N188*INDEX(input_data!$L:$L,MATCH(dashboard!$B$5&amp;".in.enc.frt.nit.bio",input_data!$A:$A,0))</f>
        <v>0</v>
      </c>
      <c r="O198" s="114" t="n">
        <f aca="false">O188*INDEX(input_data!$L:$L,MATCH(dashboard!$B$5&amp;".in.enc.frt.nit.bio",input_data!$A:$A,0))</f>
        <v>0</v>
      </c>
      <c r="P198" s="114" t="n">
        <f aca="false">P188*INDEX(input_data!$L:$L,MATCH(dashboard!$B$5&amp;".in.enc.frt.nit.bio",input_data!$A:$A,0))</f>
        <v>0</v>
      </c>
      <c r="Q198" s="114" t="n">
        <f aca="false">Q188*INDEX(input_data!$L:$L,MATCH(dashboard!$B$5&amp;".in.enc.frt.nit.bio",input_data!$A:$A,0))</f>
        <v>0</v>
      </c>
      <c r="R198" s="114" t="n">
        <f aca="false">R188*INDEX(input_data!$L:$L,MATCH(dashboard!$B$5&amp;".in.enc.frt.nit.bio",input_data!$A:$A,0))</f>
        <v>0</v>
      </c>
      <c r="S198" s="114" t="n">
        <f aca="false">S188*INDEX(input_data!$L:$L,MATCH(dashboard!$B$5&amp;".in.enc.frt.nit.bio",input_data!$A:$A,0))</f>
        <v>0</v>
      </c>
      <c r="T198" s="114" t="n">
        <f aca="false">T188*INDEX(input_data!$L:$L,MATCH(dashboard!$B$5&amp;".in.enc.frt.nit.bio",input_data!$A:$A,0))</f>
        <v>0</v>
      </c>
      <c r="U198" s="114" t="n">
        <f aca="false">U188*INDEX(input_data!$L:$L,MATCH(dashboard!$B$5&amp;".in.enc.frt.nit.bio",input_data!$A:$A,0))</f>
        <v>0</v>
      </c>
      <c r="V198" s="114" t="n">
        <f aca="false">V188*INDEX(input_data!$L:$L,MATCH(dashboard!$B$5&amp;".in.enc.frt.nit.bio",input_data!$A:$A,0))</f>
        <v>0</v>
      </c>
      <c r="W198" s="114" t="n">
        <f aca="false">W188*INDEX(input_data!$L:$L,MATCH(dashboard!$B$5&amp;".in.enc.frt.nit.bio",input_data!$A:$A,0))</f>
        <v>0</v>
      </c>
      <c r="X198" s="114" t="n">
        <f aca="false">X188*INDEX(input_data!$L:$L,MATCH(dashboard!$B$5&amp;".in.enc.frt.nit.bio",input_data!$A:$A,0))</f>
        <v>0</v>
      </c>
    </row>
    <row r="199" customFormat="false" ht="15" hidden="false" customHeight="true" outlineLevel="0" collapsed="false">
      <c r="A199" s="73" t="str">
        <f aca="false">dashboard!$B$5&amp;".pj.enc.frt.nit.ren"</f>
        <v>egy.pj.enc.frt.nit.ren</v>
      </c>
      <c r="B199" s="73" t="str">
        <f aca="false">dashboard!$B$5</f>
        <v>egy</v>
      </c>
      <c r="C199" s="73" t="s">
        <v>3401</v>
      </c>
      <c r="D199" s="73" t="s">
        <v>891</v>
      </c>
      <c r="E199" s="73" t="s">
        <v>767</v>
      </c>
      <c r="F199" s="73" t="s">
        <v>790</v>
      </c>
      <c r="G199" s="73" t="s">
        <v>111</v>
      </c>
      <c r="H199" s="73" t="s">
        <v>3609</v>
      </c>
      <c r="I199" s="73" t="s">
        <v>3424</v>
      </c>
      <c r="J199" s="73" t="s">
        <v>3425</v>
      </c>
      <c r="K199" s="73"/>
      <c r="L199" s="73"/>
      <c r="M199" s="114" t="n">
        <f aca="false">M188*INDEX(input_data!$L:$L,MATCH(dashboard!$B$5&amp;".in.enc.frt.nit.ren",input_data!$A:$A,0))</f>
        <v>0</v>
      </c>
      <c r="N199" s="114" t="n">
        <f aca="false">N188*INDEX(input_data!$L:$L,MATCH(dashboard!$B$5&amp;".in.enc.frt.nit.ren",input_data!$A:$A,0))</f>
        <v>0</v>
      </c>
      <c r="O199" s="114" t="n">
        <f aca="false">O188*INDEX(input_data!$L:$L,MATCH(dashboard!$B$5&amp;".in.enc.frt.nit.ren",input_data!$A:$A,0))</f>
        <v>0</v>
      </c>
      <c r="P199" s="114" t="n">
        <f aca="false">P188*INDEX(input_data!$L:$L,MATCH(dashboard!$B$5&amp;".in.enc.frt.nit.ren",input_data!$A:$A,0))</f>
        <v>0</v>
      </c>
      <c r="Q199" s="114" t="n">
        <f aca="false">Q188*INDEX(input_data!$L:$L,MATCH(dashboard!$B$5&amp;".in.enc.frt.nit.ren",input_data!$A:$A,0))</f>
        <v>0</v>
      </c>
      <c r="R199" s="114" t="n">
        <f aca="false">R188*INDEX(input_data!$L:$L,MATCH(dashboard!$B$5&amp;".in.enc.frt.nit.ren",input_data!$A:$A,0))</f>
        <v>0</v>
      </c>
      <c r="S199" s="114" t="n">
        <f aca="false">S188*INDEX(input_data!$L:$L,MATCH(dashboard!$B$5&amp;".in.enc.frt.nit.ren",input_data!$A:$A,0))</f>
        <v>0</v>
      </c>
      <c r="T199" s="114" t="n">
        <f aca="false">T188*INDEX(input_data!$L:$L,MATCH(dashboard!$B$5&amp;".in.enc.frt.nit.ren",input_data!$A:$A,0))</f>
        <v>0</v>
      </c>
      <c r="U199" s="114" t="n">
        <f aca="false">U188*INDEX(input_data!$L:$L,MATCH(dashboard!$B$5&amp;".in.enc.frt.nit.ren",input_data!$A:$A,0))</f>
        <v>0</v>
      </c>
      <c r="V199" s="114" t="n">
        <f aca="false">V188*INDEX(input_data!$L:$L,MATCH(dashboard!$B$5&amp;".in.enc.frt.nit.ren",input_data!$A:$A,0))</f>
        <v>0</v>
      </c>
      <c r="W199" s="114" t="n">
        <f aca="false">W188*INDEX(input_data!$L:$L,MATCH(dashboard!$B$5&amp;".in.enc.frt.nit.ren",input_data!$A:$A,0))</f>
        <v>0</v>
      </c>
      <c r="X199" s="114" t="n">
        <f aca="false">X188*INDEX(input_data!$L:$L,MATCH(dashboard!$B$5&amp;".in.enc.frt.nit.ren",input_data!$A:$A,0))</f>
        <v>0</v>
      </c>
    </row>
    <row r="200" customFormat="false" ht="15" hidden="false" customHeight="true" outlineLevel="0" collapsed="false">
      <c r="A200" s="73" t="str">
        <f aca="false">dashboard!$B$5&amp;".pj.enp.frt.nit.coa"</f>
        <v>egy.pj.enp.frt.nit.coa</v>
      </c>
      <c r="B200" s="73" t="str">
        <f aca="false">dashboard!$B$5</f>
        <v>egy</v>
      </c>
      <c r="C200" s="73" t="s">
        <v>3401</v>
      </c>
      <c r="D200" s="73" t="s">
        <v>918</v>
      </c>
      <c r="E200" s="73" t="s">
        <v>767</v>
      </c>
      <c r="F200" s="73" t="s">
        <v>790</v>
      </c>
      <c r="G200" s="73" t="s">
        <v>96</v>
      </c>
      <c r="H200" s="73" t="s">
        <v>3610</v>
      </c>
      <c r="I200" s="73" t="s">
        <v>3424</v>
      </c>
      <c r="J200" s="73" t="s">
        <v>3434</v>
      </c>
      <c r="K200" s="73"/>
      <c r="L200" s="73"/>
      <c r="M200" s="114" t="n">
        <f aca="false">M188*INDEX(input_data!$L:$L,MATCH(dashboard!$B$5&amp;".in.enp.frt.nit.coa",input_data!$A:$A,0))</f>
        <v>0</v>
      </c>
      <c r="N200" s="114" t="n">
        <f aca="false">N188*INDEX(input_data!$L:$L,MATCH(dashboard!$B$5&amp;".in.enp.frt.nit.coa",input_data!$A:$A,0))</f>
        <v>0</v>
      </c>
      <c r="O200" s="114" t="n">
        <f aca="false">O188*INDEX(input_data!$L:$L,MATCH(dashboard!$B$5&amp;".in.enp.frt.nit.coa",input_data!$A:$A,0))</f>
        <v>0</v>
      </c>
      <c r="P200" s="114" t="n">
        <f aca="false">P188*INDEX(input_data!$L:$L,MATCH(dashboard!$B$5&amp;".in.enp.frt.nit.coa",input_data!$A:$A,0))</f>
        <v>0</v>
      </c>
      <c r="Q200" s="114" t="n">
        <f aca="false">Q188*INDEX(input_data!$L:$L,MATCH(dashboard!$B$5&amp;".in.enp.frt.nit.coa",input_data!$A:$A,0))</f>
        <v>0</v>
      </c>
      <c r="R200" s="114" t="n">
        <f aca="false">R188*INDEX(input_data!$L:$L,MATCH(dashboard!$B$5&amp;".in.enp.frt.nit.coa",input_data!$A:$A,0))</f>
        <v>0</v>
      </c>
      <c r="S200" s="114" t="n">
        <f aca="false">S188*INDEX(input_data!$L:$L,MATCH(dashboard!$B$5&amp;".in.enp.frt.nit.coa",input_data!$A:$A,0))</f>
        <v>0</v>
      </c>
      <c r="T200" s="114" t="n">
        <f aca="false">T188*INDEX(input_data!$L:$L,MATCH(dashboard!$B$5&amp;".in.enp.frt.nit.coa",input_data!$A:$A,0))</f>
        <v>0</v>
      </c>
      <c r="U200" s="114" t="n">
        <f aca="false">U188*INDEX(input_data!$L:$L,MATCH(dashboard!$B$5&amp;".in.enp.frt.nit.coa",input_data!$A:$A,0))</f>
        <v>0</v>
      </c>
      <c r="V200" s="114" t="n">
        <f aca="false">V188*INDEX(input_data!$L:$L,MATCH(dashboard!$B$5&amp;".in.enp.frt.nit.coa",input_data!$A:$A,0))</f>
        <v>0</v>
      </c>
      <c r="W200" s="114" t="n">
        <f aca="false">W188*INDEX(input_data!$L:$L,MATCH(dashboard!$B$5&amp;".in.enp.frt.nit.coa",input_data!$A:$A,0))</f>
        <v>0</v>
      </c>
      <c r="X200" s="114" t="n">
        <f aca="false">X188*INDEX(input_data!$L:$L,MATCH(dashboard!$B$5&amp;".in.enp.frt.nit.coa",input_data!$A:$A,0))</f>
        <v>0</v>
      </c>
    </row>
    <row r="201" customFormat="false" ht="15" hidden="false" customHeight="true" outlineLevel="0" collapsed="false">
      <c r="A201" s="73" t="str">
        <f aca="false">dashboard!$B$5&amp;".pj.enp.frt.nit.nga"</f>
        <v>egy.pj.enp.frt.nit.nga</v>
      </c>
      <c r="B201" s="73" t="str">
        <f aca="false">dashboard!$B$5</f>
        <v>egy</v>
      </c>
      <c r="C201" s="73" t="s">
        <v>3401</v>
      </c>
      <c r="D201" s="73" t="s">
        <v>918</v>
      </c>
      <c r="E201" s="73" t="s">
        <v>767</v>
      </c>
      <c r="F201" s="73" t="s">
        <v>790</v>
      </c>
      <c r="G201" s="73" t="s">
        <v>99</v>
      </c>
      <c r="H201" s="73" t="s">
        <v>3611</v>
      </c>
      <c r="I201" s="73" t="s">
        <v>3424</v>
      </c>
      <c r="J201" s="73" t="s">
        <v>3434</v>
      </c>
      <c r="K201" s="73"/>
      <c r="L201" s="73"/>
      <c r="M201" s="114" t="n">
        <f aca="false">M188*INDEX(input_data!$L:$L,MATCH(dashboard!$B$5&amp;".in.enp.frt.nit.nga",input_data!$A:$A,0))</f>
        <v>0</v>
      </c>
      <c r="N201" s="114" t="n">
        <f aca="false">N188*INDEX(input_data!$L:$L,MATCH(dashboard!$B$5&amp;".in.enp.frt.nit.nga",input_data!$A:$A,0))</f>
        <v>0</v>
      </c>
      <c r="O201" s="114" t="n">
        <f aca="false">O188*INDEX(input_data!$L:$L,MATCH(dashboard!$B$5&amp;".in.enp.frt.nit.nga",input_data!$A:$A,0))</f>
        <v>0</v>
      </c>
      <c r="P201" s="114" t="n">
        <f aca="false">P188*INDEX(input_data!$L:$L,MATCH(dashboard!$B$5&amp;".in.enp.frt.nit.nga",input_data!$A:$A,0))</f>
        <v>0</v>
      </c>
      <c r="Q201" s="114" t="n">
        <f aca="false">Q188*INDEX(input_data!$L:$L,MATCH(dashboard!$B$5&amp;".in.enp.frt.nit.nga",input_data!$A:$A,0))</f>
        <v>0</v>
      </c>
      <c r="R201" s="114" t="n">
        <f aca="false">R188*INDEX(input_data!$L:$L,MATCH(dashboard!$B$5&amp;".in.enp.frt.nit.nga",input_data!$A:$A,0))</f>
        <v>0</v>
      </c>
      <c r="S201" s="114" t="n">
        <f aca="false">S188*INDEX(input_data!$L:$L,MATCH(dashboard!$B$5&amp;".in.enp.frt.nit.nga",input_data!$A:$A,0))</f>
        <v>0</v>
      </c>
      <c r="T201" s="114" t="n">
        <f aca="false">T188*INDEX(input_data!$L:$L,MATCH(dashboard!$B$5&amp;".in.enp.frt.nit.nga",input_data!$A:$A,0))</f>
        <v>0</v>
      </c>
      <c r="U201" s="114" t="n">
        <f aca="false">U188*INDEX(input_data!$L:$L,MATCH(dashboard!$B$5&amp;".in.enp.frt.nit.nga",input_data!$A:$A,0))</f>
        <v>0</v>
      </c>
      <c r="V201" s="114" t="n">
        <f aca="false">V188*INDEX(input_data!$L:$L,MATCH(dashboard!$B$5&amp;".in.enp.frt.nit.nga",input_data!$A:$A,0))</f>
        <v>0</v>
      </c>
      <c r="W201" s="114" t="n">
        <f aca="false">W188*INDEX(input_data!$L:$L,MATCH(dashboard!$B$5&amp;".in.enp.frt.nit.nga",input_data!$A:$A,0))</f>
        <v>0</v>
      </c>
      <c r="X201" s="114" t="n">
        <f aca="false">X188*INDEX(input_data!$L:$L,MATCH(dashboard!$B$5&amp;".in.enp.frt.nit.nga",input_data!$A:$A,0))</f>
        <v>0</v>
      </c>
    </row>
    <row r="202" customFormat="false" ht="15" hidden="false" customHeight="true" outlineLevel="0" collapsed="false">
      <c r="A202" s="73" t="str">
        <f aca="false">dashboard!$B$5&amp;".pj.enp.frt.nit.gso"</f>
        <v>egy.pj.enp.frt.nit.gso</v>
      </c>
      <c r="B202" s="73" t="str">
        <f aca="false">dashboard!$B$5</f>
        <v>egy</v>
      </c>
      <c r="C202" s="73" t="s">
        <v>3401</v>
      </c>
      <c r="D202" s="73" t="s">
        <v>918</v>
      </c>
      <c r="E202" s="73" t="s">
        <v>767</v>
      </c>
      <c r="F202" s="73" t="s">
        <v>790</v>
      </c>
      <c r="G202" s="73" t="s">
        <v>101</v>
      </c>
      <c r="H202" s="73" t="s">
        <v>3612</v>
      </c>
      <c r="I202" s="73" t="s">
        <v>3424</v>
      </c>
      <c r="J202" s="73" t="s">
        <v>3434</v>
      </c>
      <c r="K202" s="73"/>
      <c r="L202" s="73"/>
      <c r="M202" s="114" t="n">
        <f aca="false">M188*INDEX(input_data!$L:$L,MATCH(dashboard!$B$5&amp;".in.enp.frt.nit.gso",input_data!$A:$A,0))</f>
        <v>0</v>
      </c>
      <c r="N202" s="114" t="n">
        <f aca="false">N188*INDEX(input_data!$L:$L,MATCH(dashboard!$B$5&amp;".in.enp.frt.nit.gso",input_data!$A:$A,0))</f>
        <v>0</v>
      </c>
      <c r="O202" s="114" t="n">
        <f aca="false">O188*INDEX(input_data!$L:$L,MATCH(dashboard!$B$5&amp;".in.enp.frt.nit.gso",input_data!$A:$A,0))</f>
        <v>0</v>
      </c>
      <c r="P202" s="114" t="n">
        <f aca="false">P188*INDEX(input_data!$L:$L,MATCH(dashboard!$B$5&amp;".in.enp.frt.nit.gso",input_data!$A:$A,0))</f>
        <v>0</v>
      </c>
      <c r="Q202" s="114" t="n">
        <f aca="false">Q188*INDEX(input_data!$L:$L,MATCH(dashboard!$B$5&amp;".in.enp.frt.nit.gso",input_data!$A:$A,0))</f>
        <v>0</v>
      </c>
      <c r="R202" s="114" t="n">
        <f aca="false">R188*INDEX(input_data!$L:$L,MATCH(dashboard!$B$5&amp;".in.enp.frt.nit.gso",input_data!$A:$A,0))</f>
        <v>0</v>
      </c>
      <c r="S202" s="114" t="n">
        <f aca="false">S188*INDEX(input_data!$L:$L,MATCH(dashboard!$B$5&amp;".in.enp.frt.nit.gso",input_data!$A:$A,0))</f>
        <v>0</v>
      </c>
      <c r="T202" s="114" t="n">
        <f aca="false">T188*INDEX(input_data!$L:$L,MATCH(dashboard!$B$5&amp;".in.enp.frt.nit.gso",input_data!$A:$A,0))</f>
        <v>0</v>
      </c>
      <c r="U202" s="114" t="n">
        <f aca="false">U188*INDEX(input_data!$L:$L,MATCH(dashboard!$B$5&amp;".in.enp.frt.nit.gso",input_data!$A:$A,0))</f>
        <v>0</v>
      </c>
      <c r="V202" s="114" t="n">
        <f aca="false">V188*INDEX(input_data!$L:$L,MATCH(dashboard!$B$5&amp;".in.enp.frt.nit.gso",input_data!$A:$A,0))</f>
        <v>0</v>
      </c>
      <c r="W202" s="114" t="n">
        <f aca="false">W188*INDEX(input_data!$L:$L,MATCH(dashboard!$B$5&amp;".in.enp.frt.nit.gso",input_data!$A:$A,0))</f>
        <v>0</v>
      </c>
      <c r="X202" s="114" t="n">
        <f aca="false">X188*INDEX(input_data!$L:$L,MATCH(dashboard!$B$5&amp;".in.enp.frt.nit.gso",input_data!$A:$A,0))</f>
        <v>0</v>
      </c>
    </row>
    <row r="203" customFormat="false" ht="15" hidden="false" customHeight="true" outlineLevel="0" collapsed="false">
      <c r="A203" s="73" t="str">
        <f aca="false">dashboard!$B$5&amp;".pj.enp.frt.nit.die"</f>
        <v>egy.pj.enp.frt.nit.die</v>
      </c>
      <c r="B203" s="73" t="str">
        <f aca="false">dashboard!$B$5</f>
        <v>egy</v>
      </c>
      <c r="C203" s="73" t="s">
        <v>3401</v>
      </c>
      <c r="D203" s="73" t="s">
        <v>918</v>
      </c>
      <c r="E203" s="73" t="s">
        <v>767</v>
      </c>
      <c r="F203" s="73" t="s">
        <v>790</v>
      </c>
      <c r="G203" s="73" t="s">
        <v>103</v>
      </c>
      <c r="H203" s="73" t="s">
        <v>3613</v>
      </c>
      <c r="I203" s="73" t="s">
        <v>3424</v>
      </c>
      <c r="J203" s="73" t="s">
        <v>3434</v>
      </c>
      <c r="K203" s="73"/>
      <c r="L203" s="73"/>
      <c r="M203" s="114" t="n">
        <f aca="false">M188*INDEX(input_data!$L:$L,MATCH(dashboard!$B$5&amp;".in.enp.frt.nit.die",input_data!$A:$A,0))</f>
        <v>0</v>
      </c>
      <c r="N203" s="114" t="n">
        <f aca="false">N188*INDEX(input_data!$L:$L,MATCH(dashboard!$B$5&amp;".in.enp.frt.nit.die",input_data!$A:$A,0))</f>
        <v>0</v>
      </c>
      <c r="O203" s="114" t="n">
        <f aca="false">O188*INDEX(input_data!$L:$L,MATCH(dashboard!$B$5&amp;".in.enp.frt.nit.die",input_data!$A:$A,0))</f>
        <v>0</v>
      </c>
      <c r="P203" s="114" t="n">
        <f aca="false">P188*INDEX(input_data!$L:$L,MATCH(dashboard!$B$5&amp;".in.enp.frt.nit.die",input_data!$A:$A,0))</f>
        <v>0</v>
      </c>
      <c r="Q203" s="114" t="n">
        <f aca="false">Q188*INDEX(input_data!$L:$L,MATCH(dashboard!$B$5&amp;".in.enp.frt.nit.die",input_data!$A:$A,0))</f>
        <v>0</v>
      </c>
      <c r="R203" s="114" t="n">
        <f aca="false">R188*INDEX(input_data!$L:$L,MATCH(dashboard!$B$5&amp;".in.enp.frt.nit.die",input_data!$A:$A,0))</f>
        <v>0</v>
      </c>
      <c r="S203" s="114" t="n">
        <f aca="false">S188*INDEX(input_data!$L:$L,MATCH(dashboard!$B$5&amp;".in.enp.frt.nit.die",input_data!$A:$A,0))</f>
        <v>0</v>
      </c>
      <c r="T203" s="114" t="n">
        <f aca="false">T188*INDEX(input_data!$L:$L,MATCH(dashboard!$B$5&amp;".in.enp.frt.nit.die",input_data!$A:$A,0))</f>
        <v>0</v>
      </c>
      <c r="U203" s="114" t="n">
        <f aca="false">U188*INDEX(input_data!$L:$L,MATCH(dashboard!$B$5&amp;".in.enp.frt.nit.die",input_data!$A:$A,0))</f>
        <v>0</v>
      </c>
      <c r="V203" s="114" t="n">
        <f aca="false">V188*INDEX(input_data!$L:$L,MATCH(dashboard!$B$5&amp;".in.enp.frt.nit.die",input_data!$A:$A,0))</f>
        <v>0</v>
      </c>
      <c r="W203" s="114" t="n">
        <f aca="false">W188*INDEX(input_data!$L:$L,MATCH(dashboard!$B$5&amp;".in.enp.frt.nit.die",input_data!$A:$A,0))</f>
        <v>0</v>
      </c>
      <c r="X203" s="114" t="n">
        <f aca="false">X188*INDEX(input_data!$L:$L,MATCH(dashboard!$B$5&amp;".in.enp.frt.nit.die",input_data!$A:$A,0))</f>
        <v>0</v>
      </c>
    </row>
    <row r="204" customFormat="false" ht="15" hidden="false" customHeight="true" outlineLevel="0" collapsed="false">
      <c r="A204" s="73" t="str">
        <f aca="false">dashboard!$B$5&amp;".pj.enp.frt.nit.ker"</f>
        <v>egy.pj.enp.frt.nit.ker</v>
      </c>
      <c r="B204" s="73" t="str">
        <f aca="false">dashboard!$B$5</f>
        <v>egy</v>
      </c>
      <c r="C204" s="73" t="s">
        <v>3401</v>
      </c>
      <c r="D204" s="73" t="s">
        <v>918</v>
      </c>
      <c r="E204" s="73" t="s">
        <v>767</v>
      </c>
      <c r="F204" s="73" t="s">
        <v>790</v>
      </c>
      <c r="G204" s="73" t="s">
        <v>105</v>
      </c>
      <c r="H204" s="73" t="s">
        <v>3614</v>
      </c>
      <c r="I204" s="73" t="s">
        <v>3424</v>
      </c>
      <c r="J204" s="73" t="s">
        <v>3434</v>
      </c>
      <c r="K204" s="73"/>
      <c r="L204" s="73"/>
      <c r="M204" s="114" t="n">
        <f aca="false">M188*INDEX(input_data!$L:$L,MATCH(dashboard!$B$5&amp;".in.enp.frt.nit.ker",input_data!$A:$A,0))</f>
        <v>0</v>
      </c>
      <c r="N204" s="114" t="n">
        <f aca="false">N188*INDEX(input_data!$L:$L,MATCH(dashboard!$B$5&amp;".in.enp.frt.nit.ker",input_data!$A:$A,0))</f>
        <v>0</v>
      </c>
      <c r="O204" s="114" t="n">
        <f aca="false">O188*INDEX(input_data!$L:$L,MATCH(dashboard!$B$5&amp;".in.enp.frt.nit.ker",input_data!$A:$A,0))</f>
        <v>0</v>
      </c>
      <c r="P204" s="114" t="n">
        <f aca="false">P188*INDEX(input_data!$L:$L,MATCH(dashboard!$B$5&amp;".in.enp.frt.nit.ker",input_data!$A:$A,0))</f>
        <v>0</v>
      </c>
      <c r="Q204" s="114" t="n">
        <f aca="false">Q188*INDEX(input_data!$L:$L,MATCH(dashboard!$B$5&amp;".in.enp.frt.nit.ker",input_data!$A:$A,0))</f>
        <v>0</v>
      </c>
      <c r="R204" s="114" t="n">
        <f aca="false">R188*INDEX(input_data!$L:$L,MATCH(dashboard!$B$5&amp;".in.enp.frt.nit.ker",input_data!$A:$A,0))</f>
        <v>0</v>
      </c>
      <c r="S204" s="114" t="n">
        <f aca="false">S188*INDEX(input_data!$L:$L,MATCH(dashboard!$B$5&amp;".in.enp.frt.nit.ker",input_data!$A:$A,0))</f>
        <v>0</v>
      </c>
      <c r="T204" s="114" t="n">
        <f aca="false">T188*INDEX(input_data!$L:$L,MATCH(dashboard!$B$5&amp;".in.enp.frt.nit.ker",input_data!$A:$A,0))</f>
        <v>0</v>
      </c>
      <c r="U204" s="114" t="n">
        <f aca="false">U188*INDEX(input_data!$L:$L,MATCH(dashboard!$B$5&amp;".in.enp.frt.nit.ker",input_data!$A:$A,0))</f>
        <v>0</v>
      </c>
      <c r="V204" s="114" t="n">
        <f aca="false">V188*INDEX(input_data!$L:$L,MATCH(dashboard!$B$5&amp;".in.enp.frt.nit.ker",input_data!$A:$A,0))</f>
        <v>0</v>
      </c>
      <c r="W204" s="114" t="n">
        <f aca="false">W188*INDEX(input_data!$L:$L,MATCH(dashboard!$B$5&amp;".in.enp.frt.nit.ker",input_data!$A:$A,0))</f>
        <v>0</v>
      </c>
      <c r="X204" s="114" t="n">
        <f aca="false">X188*INDEX(input_data!$L:$L,MATCH(dashboard!$B$5&amp;".in.enp.frt.nit.ker",input_data!$A:$A,0))</f>
        <v>0</v>
      </c>
    </row>
    <row r="205" customFormat="false" ht="15" hidden="false" customHeight="true" outlineLevel="0" collapsed="false">
      <c r="A205" s="73" t="str">
        <f aca="false">dashboard!$B$5&amp;".pj.enp.frt.nit.lpg"</f>
        <v>egy.pj.enp.frt.nit.lpg</v>
      </c>
      <c r="B205" s="73" t="str">
        <f aca="false">dashboard!$B$5</f>
        <v>egy</v>
      </c>
      <c r="C205" s="73" t="s">
        <v>3401</v>
      </c>
      <c r="D205" s="73" t="s">
        <v>918</v>
      </c>
      <c r="E205" s="73" t="s">
        <v>767</v>
      </c>
      <c r="F205" s="73" t="s">
        <v>790</v>
      </c>
      <c r="G205" s="73" t="s">
        <v>107</v>
      </c>
      <c r="H205" s="73" t="s">
        <v>3615</v>
      </c>
      <c r="I205" s="73" t="s">
        <v>3424</v>
      </c>
      <c r="J205" s="73" t="s">
        <v>3434</v>
      </c>
      <c r="K205" s="73"/>
      <c r="L205" s="73"/>
      <c r="M205" s="114" t="n">
        <f aca="false">M188*INDEX(input_data!$L:$L,MATCH(dashboard!$B$5&amp;".in.enp.frt.nit.lpg",input_data!$A:$A,0))</f>
        <v>0</v>
      </c>
      <c r="N205" s="114" t="n">
        <f aca="false">N188*INDEX(input_data!$L:$L,MATCH(dashboard!$B$5&amp;".in.enp.frt.nit.lpg",input_data!$A:$A,0))</f>
        <v>0</v>
      </c>
      <c r="O205" s="114" t="n">
        <f aca="false">O188*INDEX(input_data!$L:$L,MATCH(dashboard!$B$5&amp;".in.enp.frt.nit.lpg",input_data!$A:$A,0))</f>
        <v>0</v>
      </c>
      <c r="P205" s="114" t="n">
        <f aca="false">P188*INDEX(input_data!$L:$L,MATCH(dashboard!$B$5&amp;".in.enp.frt.nit.lpg",input_data!$A:$A,0))</f>
        <v>0</v>
      </c>
      <c r="Q205" s="114" t="n">
        <f aca="false">Q188*INDEX(input_data!$L:$L,MATCH(dashboard!$B$5&amp;".in.enp.frt.nit.lpg",input_data!$A:$A,0))</f>
        <v>0</v>
      </c>
      <c r="R205" s="114" t="n">
        <f aca="false">R188*INDEX(input_data!$L:$L,MATCH(dashboard!$B$5&amp;".in.enp.frt.nit.lpg",input_data!$A:$A,0))</f>
        <v>0</v>
      </c>
      <c r="S205" s="114" t="n">
        <f aca="false">S188*INDEX(input_data!$L:$L,MATCH(dashboard!$B$5&amp;".in.enp.frt.nit.lpg",input_data!$A:$A,0))</f>
        <v>0</v>
      </c>
      <c r="T205" s="114" t="n">
        <f aca="false">T188*INDEX(input_data!$L:$L,MATCH(dashboard!$B$5&amp;".in.enp.frt.nit.lpg",input_data!$A:$A,0))</f>
        <v>0</v>
      </c>
      <c r="U205" s="114" t="n">
        <f aca="false">U188*INDEX(input_data!$L:$L,MATCH(dashboard!$B$5&amp;".in.enp.frt.nit.lpg",input_data!$A:$A,0))</f>
        <v>0</v>
      </c>
      <c r="V205" s="114" t="n">
        <f aca="false">V188*INDEX(input_data!$L:$L,MATCH(dashboard!$B$5&amp;".in.enp.frt.nit.lpg",input_data!$A:$A,0))</f>
        <v>0</v>
      </c>
      <c r="W205" s="114" t="n">
        <f aca="false">W188*INDEX(input_data!$L:$L,MATCH(dashboard!$B$5&amp;".in.enp.frt.nit.lpg",input_data!$A:$A,0))</f>
        <v>0</v>
      </c>
      <c r="X205" s="114" t="n">
        <f aca="false">X188*INDEX(input_data!$L:$L,MATCH(dashboard!$B$5&amp;".in.enp.frt.nit.lpg",input_data!$A:$A,0))</f>
        <v>0</v>
      </c>
    </row>
    <row r="206" customFormat="false" ht="15" hidden="false" customHeight="true" outlineLevel="0" collapsed="false">
      <c r="A206" s="73" t="str">
        <f aca="false">dashboard!$B$5&amp;".pj.enp.frt.nit.bio"</f>
        <v>egy.pj.enp.frt.nit.bio</v>
      </c>
      <c r="B206" s="73" t="str">
        <f aca="false">dashboard!$B$5</f>
        <v>egy</v>
      </c>
      <c r="C206" s="73" t="s">
        <v>3401</v>
      </c>
      <c r="D206" s="73" t="s">
        <v>918</v>
      </c>
      <c r="E206" s="73" t="s">
        <v>767</v>
      </c>
      <c r="F206" s="73" t="s">
        <v>790</v>
      </c>
      <c r="G206" s="73" t="s">
        <v>109</v>
      </c>
      <c r="H206" s="73" t="s">
        <v>3616</v>
      </c>
      <c r="I206" s="73" t="s">
        <v>3424</v>
      </c>
      <c r="J206" s="73" t="s">
        <v>3434</v>
      </c>
      <c r="K206" s="73"/>
      <c r="L206" s="73"/>
      <c r="M206" s="114" t="n">
        <f aca="false">M188*INDEX(input_data!$L:$L,MATCH(dashboard!$B$5&amp;".in.enp.frt.nit.bio",input_data!$A:$A,0))</f>
        <v>0</v>
      </c>
      <c r="N206" s="114" t="n">
        <f aca="false">N188*INDEX(input_data!$L:$L,MATCH(dashboard!$B$5&amp;".in.enp.frt.nit.bio",input_data!$A:$A,0))</f>
        <v>0</v>
      </c>
      <c r="O206" s="114" t="n">
        <f aca="false">O188*INDEX(input_data!$L:$L,MATCH(dashboard!$B$5&amp;".in.enp.frt.nit.bio",input_data!$A:$A,0))</f>
        <v>0</v>
      </c>
      <c r="P206" s="114" t="n">
        <f aca="false">P188*INDEX(input_data!$L:$L,MATCH(dashboard!$B$5&amp;".in.enp.frt.nit.bio",input_data!$A:$A,0))</f>
        <v>0</v>
      </c>
      <c r="Q206" s="114" t="n">
        <f aca="false">Q188*INDEX(input_data!$L:$L,MATCH(dashboard!$B$5&amp;".in.enp.frt.nit.bio",input_data!$A:$A,0))</f>
        <v>0</v>
      </c>
      <c r="R206" s="114" t="n">
        <f aca="false">R188*INDEX(input_data!$L:$L,MATCH(dashboard!$B$5&amp;".in.enp.frt.nit.bio",input_data!$A:$A,0))</f>
        <v>0</v>
      </c>
      <c r="S206" s="114" t="n">
        <f aca="false">S188*INDEX(input_data!$L:$L,MATCH(dashboard!$B$5&amp;".in.enp.frt.nit.bio",input_data!$A:$A,0))</f>
        <v>0</v>
      </c>
      <c r="T206" s="114" t="n">
        <f aca="false">T188*INDEX(input_data!$L:$L,MATCH(dashboard!$B$5&amp;".in.enp.frt.nit.bio",input_data!$A:$A,0))</f>
        <v>0</v>
      </c>
      <c r="U206" s="114" t="n">
        <f aca="false">U188*INDEX(input_data!$L:$L,MATCH(dashboard!$B$5&amp;".in.enp.frt.nit.bio",input_data!$A:$A,0))</f>
        <v>0</v>
      </c>
      <c r="V206" s="114" t="n">
        <f aca="false">V188*INDEX(input_data!$L:$L,MATCH(dashboard!$B$5&amp;".in.enp.frt.nit.bio",input_data!$A:$A,0))</f>
        <v>0</v>
      </c>
      <c r="W206" s="114" t="n">
        <f aca="false">W188*INDEX(input_data!$L:$L,MATCH(dashboard!$B$5&amp;".in.enp.frt.nit.bio",input_data!$A:$A,0))</f>
        <v>0</v>
      </c>
      <c r="X206" s="114" t="n">
        <f aca="false">X188*INDEX(input_data!$L:$L,MATCH(dashboard!$B$5&amp;".in.enp.frt.nit.bio",input_data!$A:$A,0))</f>
        <v>0</v>
      </c>
    </row>
    <row r="207" customFormat="false" ht="15" hidden="false" customHeight="true" outlineLevel="0" collapsed="false">
      <c r="A207" s="73" t="str">
        <f aca="false">dashboard!$B$5&amp;".pj.enp.frt.nit.ren"</f>
        <v>egy.pj.enp.frt.nit.ren</v>
      </c>
      <c r="B207" s="73" t="str">
        <f aca="false">dashboard!$B$5</f>
        <v>egy</v>
      </c>
      <c r="C207" s="73" t="s">
        <v>3401</v>
      </c>
      <c r="D207" s="73" t="s">
        <v>918</v>
      </c>
      <c r="E207" s="73" t="s">
        <v>767</v>
      </c>
      <c r="F207" s="73" t="s">
        <v>790</v>
      </c>
      <c r="G207" s="73" t="s">
        <v>111</v>
      </c>
      <c r="H207" s="73" t="s">
        <v>3617</v>
      </c>
      <c r="I207" s="73" t="s">
        <v>3424</v>
      </c>
      <c r="J207" s="73" t="s">
        <v>3434</v>
      </c>
      <c r="K207" s="73"/>
      <c r="L207" s="73"/>
      <c r="M207" s="114" t="n">
        <f aca="false">M188*INDEX(input_data!$L:$L,MATCH(dashboard!$B$5&amp;".in.enp.frt.nit.ren",input_data!$A:$A,0))</f>
        <v>0</v>
      </c>
      <c r="N207" s="114" t="n">
        <f aca="false">N188*INDEX(input_data!$L:$L,MATCH(dashboard!$B$5&amp;".in.enp.frt.nit.ren",input_data!$A:$A,0))</f>
        <v>0</v>
      </c>
      <c r="O207" s="114" t="n">
        <f aca="false">O188*INDEX(input_data!$L:$L,MATCH(dashboard!$B$5&amp;".in.enp.frt.nit.ren",input_data!$A:$A,0))</f>
        <v>0</v>
      </c>
      <c r="P207" s="114" t="n">
        <f aca="false">P188*INDEX(input_data!$L:$L,MATCH(dashboard!$B$5&amp;".in.enp.frt.nit.ren",input_data!$A:$A,0))</f>
        <v>0</v>
      </c>
      <c r="Q207" s="114" t="n">
        <f aca="false">Q188*INDEX(input_data!$L:$L,MATCH(dashboard!$B$5&amp;".in.enp.frt.nit.ren",input_data!$A:$A,0))</f>
        <v>0</v>
      </c>
      <c r="R207" s="114" t="n">
        <f aca="false">R188*INDEX(input_data!$L:$L,MATCH(dashboard!$B$5&amp;".in.enp.frt.nit.ren",input_data!$A:$A,0))</f>
        <v>0</v>
      </c>
      <c r="S207" s="114" t="n">
        <f aca="false">S188*INDEX(input_data!$L:$L,MATCH(dashboard!$B$5&amp;".in.enp.frt.nit.ren",input_data!$A:$A,0))</f>
        <v>0</v>
      </c>
      <c r="T207" s="114" t="n">
        <f aca="false">T188*INDEX(input_data!$L:$L,MATCH(dashboard!$B$5&amp;".in.enp.frt.nit.ren",input_data!$A:$A,0))</f>
        <v>0</v>
      </c>
      <c r="U207" s="114" t="n">
        <f aca="false">U188*INDEX(input_data!$L:$L,MATCH(dashboard!$B$5&amp;".in.enp.frt.nit.ren",input_data!$A:$A,0))</f>
        <v>0</v>
      </c>
      <c r="V207" s="114" t="n">
        <f aca="false">V188*INDEX(input_data!$L:$L,MATCH(dashboard!$B$5&amp;".in.enp.frt.nit.ren",input_data!$A:$A,0))</f>
        <v>0</v>
      </c>
      <c r="W207" s="114" t="n">
        <f aca="false">W188*INDEX(input_data!$L:$L,MATCH(dashboard!$B$5&amp;".in.enp.frt.nit.ren",input_data!$A:$A,0))</f>
        <v>0</v>
      </c>
      <c r="X207" s="114" t="n">
        <f aca="false">X188*INDEX(input_data!$L:$L,MATCH(dashboard!$B$5&amp;".in.enp.frt.nit.ren",input_data!$A:$A,0))</f>
        <v>0</v>
      </c>
    </row>
    <row r="208" customFormat="false" ht="15" hidden="false" customHeight="true" outlineLevel="0" collapsed="false">
      <c r="A208" s="73" t="str">
        <f aca="false">dashboard!$B$5&amp;".pj.ele.frt.nit.elc"</f>
        <v>egy.pj.ele.frt.nit.elc</v>
      </c>
      <c r="B208" s="73" t="str">
        <f aca="false">dashboard!$B$5</f>
        <v>egy</v>
      </c>
      <c r="C208" s="73" t="s">
        <v>3401</v>
      </c>
      <c r="D208" s="73" t="s">
        <v>943</v>
      </c>
      <c r="E208" s="73" t="s">
        <v>767</v>
      </c>
      <c r="F208" s="73" t="s">
        <v>790</v>
      </c>
      <c r="G208" s="73" t="s">
        <v>944</v>
      </c>
      <c r="H208" s="73" t="s">
        <v>3618</v>
      </c>
      <c r="I208" s="73" t="s">
        <v>3424</v>
      </c>
      <c r="J208" s="73" t="s">
        <v>3443</v>
      </c>
      <c r="K208" s="73"/>
      <c r="L208" s="73"/>
      <c r="M208" s="114" t="n">
        <f aca="false">M188*INDEX(input_data!$L:$L,MATCH(dashboard!$B$5&amp;".in.ele.frt.nit.elc",input_data!$A:$A,0))</f>
        <v>0.15</v>
      </c>
      <c r="N208" s="114" t="n">
        <f aca="false">N188*INDEX(input_data!$L:$L,MATCH(dashboard!$B$5&amp;".in.ele.frt.nit.elc",input_data!$A:$A,0))</f>
        <v>0.153247092269924</v>
      </c>
      <c r="O208" s="114" t="n">
        <f aca="false">O188*INDEX(input_data!$L:$L,MATCH(dashboard!$B$5&amp;".in.ele.frt.nit.elc",input_data!$A:$A,0))</f>
        <v>0.156564475261244</v>
      </c>
      <c r="P208" s="114" t="n">
        <f aca="false">P188*INDEX(input_data!$L:$L,MATCH(dashboard!$B$5&amp;".in.ele.frt.nit.elc",input_data!$A:$A,0))</f>
        <v>0.159953670577014</v>
      </c>
      <c r="Q208" s="114" t="n">
        <f aca="false">Q188*INDEX(input_data!$L:$L,MATCH(dashboard!$B$5&amp;".in.ele.frt.nit.elc",input_data!$A:$A,0))</f>
        <v>0.163416232758858</v>
      </c>
      <c r="R208" s="114" t="n">
        <f aca="false">R188*INDEX(input_data!$L:$L,MATCH(dashboard!$B$5&amp;".in.ele.frt.nit.elc",input_data!$A:$A,0))</f>
        <v>0.16695375</v>
      </c>
      <c r="S208" s="114" t="n">
        <f aca="false">S188*INDEX(input_data!$L:$L,MATCH(dashboard!$B$5&amp;".in.ele.frt.nit.elc",input_data!$A:$A,0))</f>
        <v>0.170567844873732</v>
      </c>
      <c r="T208" s="114" t="n">
        <f aca="false">T188*INDEX(input_data!$L:$L,MATCH(dashboard!$B$5&amp;".in.ele.frt.nit.elc",input_data!$A:$A,0))</f>
        <v>0.174260175077646</v>
      </c>
      <c r="U208" s="114" t="n">
        <f aca="false">U188*INDEX(input_data!$L:$L,MATCH(dashboard!$B$5&amp;".in.ele.frt.nit.elc",input_data!$A:$A,0))</f>
        <v>0.178032434193981</v>
      </c>
      <c r="V208" s="114" t="n">
        <f aca="false">V188*INDEX(input_data!$L:$L,MATCH(dashboard!$B$5&amp;".in.ele.frt.nit.elc",input_data!$A:$A,0))</f>
        <v>0.181886352466427</v>
      </c>
      <c r="W208" s="114" t="n">
        <f aca="false">W188*INDEX(input_data!$L:$L,MATCH(dashboard!$B$5&amp;".in.ele.frt.nit.elc",input_data!$A:$A,0))</f>
        <v>0.18582369759375</v>
      </c>
      <c r="X208" s="114" t="n">
        <f aca="false">X188*INDEX(input_data!$L:$L,MATCH(dashboard!$B$5&amp;".in.ele.frt.nit.elc",input_data!$A:$A,0))</f>
        <v>0.189846275540586</v>
      </c>
    </row>
    <row r="209" customFormat="false" ht="15" hidden="false" customHeight="true" outlineLevel="0" collapsed="false">
      <c r="A209" s="73" t="str">
        <f aca="false">dashboard!$B$5&amp;".em.sfc.frt.nit.---"</f>
        <v>egy.em.sfc.frt.nit.---</v>
      </c>
      <c r="B209" s="73" t="str">
        <f aca="false">dashboard!$B$5</f>
        <v>egy</v>
      </c>
      <c r="C209" s="73" t="s">
        <v>3444</v>
      </c>
      <c r="D209" s="73" t="s">
        <v>3445</v>
      </c>
      <c r="E209" s="73" t="s">
        <v>767</v>
      </c>
      <c r="F209" s="73" t="s">
        <v>790</v>
      </c>
      <c r="G209" s="73" t="s">
        <v>655</v>
      </c>
      <c r="H209" s="73" t="s">
        <v>3619</v>
      </c>
      <c r="I209" s="73" t="s">
        <v>3447</v>
      </c>
      <c r="J209" s="73" t="s">
        <v>3448</v>
      </c>
      <c r="K209" s="73"/>
      <c r="L209" s="73"/>
      <c r="M209" s="114" t="n">
        <f aca="false">SUMPRODUCT(M192:M199,M10:M17)/1000</f>
        <v>0.042075</v>
      </c>
      <c r="N209" s="114" t="n">
        <f aca="false">SUMPRODUCT(N192:N199,N10:N17)/1000</f>
        <v>0.0429858093817137</v>
      </c>
      <c r="O209" s="114" t="n">
        <f aca="false">SUMPRODUCT(O192:O199,O10:O17)/1000</f>
        <v>0.0439163353107789</v>
      </c>
      <c r="P209" s="114" t="n">
        <f aca="false">SUMPRODUCT(P192:P199,P10:P17)/1000</f>
        <v>0.0448670045968523</v>
      </c>
      <c r="Q209" s="114" t="n">
        <f aca="false">SUMPRODUCT(Q192:Q199,Q10:Q17)/1000</f>
        <v>0.0458382532888595</v>
      </c>
      <c r="R209" s="114" t="n">
        <f aca="false">SUMPRODUCT(R192:R199,R10:R17)/1000</f>
        <v>0.046830526875</v>
      </c>
      <c r="S209" s="114" t="n">
        <f aca="false">SUMPRODUCT(S192:S199,S10:S17)/1000</f>
        <v>0.0478442804870818</v>
      </c>
      <c r="T209" s="114" t="n">
        <f aca="false">SUMPRODUCT(T192:T199,T10:T17)/1000</f>
        <v>0.0488799791092797</v>
      </c>
      <c r="U209" s="114" t="n">
        <f aca="false">SUMPRODUCT(U192:U199,U10:U17)/1000</f>
        <v>0.0499380977914116</v>
      </c>
      <c r="V209" s="114" t="n">
        <f aca="false">SUMPRODUCT(V192:V199,V10:V17)/1000</f>
        <v>0.0510191218668329</v>
      </c>
      <c r="W209" s="114" t="n">
        <f aca="false">SUMPRODUCT(W192:W199,W10:W17)/1000</f>
        <v>0.0521235471750469</v>
      </c>
      <c r="X209" s="114" t="n">
        <f aca="false">SUMPRODUCT(X192:X199,X10:X17)/1000</f>
        <v>0.0532518802891343</v>
      </c>
    </row>
    <row r="210" customFormat="false" ht="15" hidden="false" customHeight="true" outlineLevel="0" collapsed="false">
      <c r="A210" s="73" t="str">
        <f aca="false">dashboard!$B$5&amp;".em.sfp.frt.nit.---"</f>
        <v>egy.em.sfp.frt.nit.---</v>
      </c>
      <c r="B210" s="73" t="str">
        <f aca="false">dashboard!$B$5</f>
        <v>egy</v>
      </c>
      <c r="C210" s="73" t="s">
        <v>3444</v>
      </c>
      <c r="D210" s="73" t="s">
        <v>3449</v>
      </c>
      <c r="E210" s="73" t="s">
        <v>767</v>
      </c>
      <c r="F210" s="73" t="s">
        <v>790</v>
      </c>
      <c r="G210" s="73" t="s">
        <v>655</v>
      </c>
      <c r="H210" s="73" t="s">
        <v>3620</v>
      </c>
      <c r="I210" s="73" t="s">
        <v>3447</v>
      </c>
      <c r="J210" s="73" t="s">
        <v>3451</v>
      </c>
      <c r="K210" s="73"/>
      <c r="L210" s="73"/>
      <c r="M210" s="114" t="n">
        <f aca="false">SUMPRODUCT(M200:M207,M10:M17)/1000</f>
        <v>0</v>
      </c>
      <c r="N210" s="114" t="n">
        <f aca="false">SUMPRODUCT(N200:N207,N10:N17)/1000</f>
        <v>0</v>
      </c>
      <c r="O210" s="114" t="n">
        <f aca="false">SUMPRODUCT(O200:O207,O10:O17)/1000</f>
        <v>0</v>
      </c>
      <c r="P210" s="114" t="n">
        <f aca="false">SUMPRODUCT(P200:P207,P10:P17)/1000</f>
        <v>0</v>
      </c>
      <c r="Q210" s="114" t="n">
        <f aca="false">SUMPRODUCT(Q200:Q207,Q10:Q17)/1000</f>
        <v>0</v>
      </c>
      <c r="R210" s="114" t="n">
        <f aca="false">SUMPRODUCT(R200:R207,R10:R17)/1000</f>
        <v>0</v>
      </c>
      <c r="S210" s="114" t="n">
        <f aca="false">SUMPRODUCT(S200:S207,S10:S17)/1000</f>
        <v>0</v>
      </c>
      <c r="T210" s="114" t="n">
        <f aca="false">SUMPRODUCT(T200:T207,T10:T17)/1000</f>
        <v>0</v>
      </c>
      <c r="U210" s="114" t="n">
        <f aca="false">SUMPRODUCT(U200:U207,U10:U17)/1000</f>
        <v>0</v>
      </c>
      <c r="V210" s="114" t="n">
        <f aca="false">SUMPRODUCT(V200:V207,V10:V17)/1000</f>
        <v>0</v>
      </c>
      <c r="W210" s="114" t="n">
        <f aca="false">SUMPRODUCT(W200:W207,W10:W17)/1000</f>
        <v>0</v>
      </c>
      <c r="X210" s="114" t="n">
        <f aca="false">SUMPRODUCT(X200:X207,X10:X17)/1000</f>
        <v>0</v>
      </c>
    </row>
    <row r="211" customFormat="false" ht="15" hidden="false" customHeight="true" outlineLevel="0" collapsed="false">
      <c r="A211" s="73" t="str">
        <f aca="false">dashboard!$B$5&amp;".em.snp.frt.nit.---"</f>
        <v>egy.em.snp.frt.nit.---</v>
      </c>
      <c r="B211" s="73" t="str">
        <f aca="false">dashboard!$B$5</f>
        <v>egy</v>
      </c>
      <c r="C211" s="73" t="s">
        <v>3444</v>
      </c>
      <c r="D211" s="73" t="s">
        <v>3452</v>
      </c>
      <c r="E211" s="73" t="s">
        <v>767</v>
      </c>
      <c r="F211" s="73" t="s">
        <v>790</v>
      </c>
      <c r="G211" s="73" t="s">
        <v>655</v>
      </c>
      <c r="H211" s="73" t="s">
        <v>3621</v>
      </c>
      <c r="I211" s="73" t="s">
        <v>3447</v>
      </c>
      <c r="J211" s="73" t="s">
        <v>3454</v>
      </c>
      <c r="K211" s="73"/>
      <c r="L211" s="73"/>
      <c r="M211" s="114" t="n">
        <f aca="false">M188*INDEX(input_data!$L:$L,MATCH(dashboard!$B$5&amp;".in.efn.frt.nit.---",input_data!$A:$A,0))</f>
        <v>0</v>
      </c>
      <c r="N211" s="114" t="n">
        <f aca="false">N188*INDEX(input_data!$L:$L,MATCH(dashboard!$B$5&amp;".in.efn.frt.nit.---",input_data!$A:$A,0))</f>
        <v>0</v>
      </c>
      <c r="O211" s="114" t="n">
        <f aca="false">O188*INDEX(input_data!$L:$L,MATCH(dashboard!$B$5&amp;".in.efn.frt.nit.---",input_data!$A:$A,0))</f>
        <v>0</v>
      </c>
      <c r="P211" s="114" t="n">
        <f aca="false">P188*INDEX(input_data!$L:$L,MATCH(dashboard!$B$5&amp;".in.efn.frt.nit.---",input_data!$A:$A,0))</f>
        <v>0</v>
      </c>
      <c r="Q211" s="114" t="n">
        <f aca="false">Q188*INDEX(input_data!$L:$L,MATCH(dashboard!$B$5&amp;".in.efn.frt.nit.---",input_data!$A:$A,0))</f>
        <v>0</v>
      </c>
      <c r="R211" s="114" t="n">
        <f aca="false">R188*INDEX(input_data!$L:$L,MATCH(dashboard!$B$5&amp;".in.efn.frt.nit.---",input_data!$A:$A,0))</f>
        <v>0</v>
      </c>
      <c r="S211" s="114" t="n">
        <f aca="false">S188*INDEX(input_data!$L:$L,MATCH(dashboard!$B$5&amp;".in.efn.frt.nit.---",input_data!$A:$A,0))</f>
        <v>0</v>
      </c>
      <c r="T211" s="114" t="n">
        <f aca="false">T188*INDEX(input_data!$L:$L,MATCH(dashboard!$B$5&amp;".in.efn.frt.nit.---",input_data!$A:$A,0))</f>
        <v>0</v>
      </c>
      <c r="U211" s="114" t="n">
        <f aca="false">U188*INDEX(input_data!$L:$L,MATCH(dashboard!$B$5&amp;".in.efn.frt.nit.---",input_data!$A:$A,0))</f>
        <v>0</v>
      </c>
      <c r="V211" s="114" t="n">
        <f aca="false">V188*INDEX(input_data!$L:$L,MATCH(dashboard!$B$5&amp;".in.efn.frt.nit.---",input_data!$A:$A,0))</f>
        <v>0</v>
      </c>
      <c r="W211" s="114" t="n">
        <f aca="false">W188*INDEX(input_data!$L:$L,MATCH(dashboard!$B$5&amp;".in.efn.frt.nit.---",input_data!$A:$A,0))</f>
        <v>0</v>
      </c>
      <c r="X211" s="114" t="n">
        <f aca="false">X188*INDEX(input_data!$L:$L,MATCH(dashboard!$B$5&amp;".in.efn.frt.nit.---",input_data!$A:$A,0))</f>
        <v>0</v>
      </c>
    </row>
    <row r="212" customFormat="false" ht="15" hidden="false" customHeight="true" outlineLevel="0" collapsed="false">
      <c r="A212" s="73" t="str">
        <f aca="false">dashboard!$B$5&amp;".em.sno.frt.nit.---"</f>
        <v>egy.em.sno.frt.nit.---</v>
      </c>
      <c r="B212" s="73" t="str">
        <f aca="false">dashboard!$B$5</f>
        <v>egy</v>
      </c>
      <c r="C212" s="73" t="s">
        <v>3444</v>
      </c>
      <c r="D212" s="73" t="s">
        <v>3455</v>
      </c>
      <c r="E212" s="73" t="s">
        <v>767</v>
      </c>
      <c r="F212" s="73" t="s">
        <v>790</v>
      </c>
      <c r="G212" s="73" t="s">
        <v>655</v>
      </c>
      <c r="H212" s="73" t="s">
        <v>3622</v>
      </c>
      <c r="I212" s="73" t="s">
        <v>3457</v>
      </c>
      <c r="J212" s="73" t="s">
        <v>3458</v>
      </c>
      <c r="K212" s="73"/>
      <c r="L212" s="73"/>
      <c r="M212" s="114" t="n">
        <f aca="false">M188*INDEX(input_data!$L:$L,MATCH(dashboard!$B$5&amp;".in.efo.frt.nit.---",input_data!$A:$A,0))</f>
        <v>1.25</v>
      </c>
      <c r="N212" s="114" t="n">
        <f aca="false">N188*INDEX(input_data!$L:$L,MATCH(dashboard!$B$5&amp;".in.efo.frt.nit.---",input_data!$A:$A,0))</f>
        <v>1.27705910224937</v>
      </c>
      <c r="O212" s="114" t="n">
        <f aca="false">O188*INDEX(input_data!$L:$L,MATCH(dashboard!$B$5&amp;".in.efo.frt.nit.---",input_data!$A:$A,0))</f>
        <v>1.30470396051037</v>
      </c>
      <c r="P212" s="114" t="n">
        <f aca="false">P188*INDEX(input_data!$L:$L,MATCH(dashboard!$B$5&amp;".in.efo.frt.nit.---",input_data!$A:$A,0))</f>
        <v>1.33294725480845</v>
      </c>
      <c r="Q212" s="114" t="n">
        <f aca="false">Q188*INDEX(input_data!$L:$L,MATCH(dashboard!$B$5&amp;".in.efo.frt.nit.---",input_data!$A:$A,0))</f>
        <v>1.36180193965715</v>
      </c>
      <c r="R212" s="114" t="n">
        <f aca="false">R188*INDEX(input_data!$L:$L,MATCH(dashboard!$B$5&amp;".in.efo.frt.nit.---",input_data!$A:$A,0))</f>
        <v>1.39128125</v>
      </c>
      <c r="S212" s="114" t="n">
        <f aca="false">S188*INDEX(input_data!$L:$L,MATCH(dashboard!$B$5&amp;".in.efo.frt.nit.---",input_data!$A:$A,0))</f>
        <v>1.4213987072811</v>
      </c>
      <c r="T212" s="114" t="n">
        <f aca="false">T188*INDEX(input_data!$L:$L,MATCH(dashboard!$B$5&amp;".in.efo.frt.nit.---",input_data!$A:$A,0))</f>
        <v>1.45216812564705</v>
      </c>
      <c r="U212" s="114" t="n">
        <f aca="false">U188*INDEX(input_data!$L:$L,MATCH(dashboard!$B$5&amp;".in.efo.frt.nit.---",input_data!$A:$A,0))</f>
        <v>1.48360361828317</v>
      </c>
      <c r="V212" s="114" t="n">
        <f aca="false">V188*INDEX(input_data!$L:$L,MATCH(dashboard!$B$5&amp;".in.efo.frt.nit.---",input_data!$A:$A,0))</f>
        <v>1.51571960388689</v>
      </c>
      <c r="W212" s="114" t="n">
        <f aca="false">W188*INDEX(input_data!$L:$L,MATCH(dashboard!$B$5&amp;".in.efo.frt.nit.---",input_data!$A:$A,0))</f>
        <v>1.54853081328125</v>
      </c>
      <c r="X212" s="114" t="n">
        <f aca="false">X188*INDEX(input_data!$L:$L,MATCH(dashboard!$B$5&amp;".in.efo.frt.nit.---",input_data!$A:$A,0))</f>
        <v>1.58205229617155</v>
      </c>
    </row>
    <row r="213" customFormat="false" ht="15" hidden="false" customHeight="true" outlineLevel="0" collapsed="false">
      <c r="A213" s="73" t="str">
        <f aca="false">dashboard!$B$5&amp;".em.s2e.frt.nit.elc"</f>
        <v>egy.em.s2e.frt.nit.elc</v>
      </c>
      <c r="B213" s="73" t="str">
        <f aca="false">dashboard!$B$5</f>
        <v>egy</v>
      </c>
      <c r="C213" s="73" t="s">
        <v>3444</v>
      </c>
      <c r="D213" s="73" t="s">
        <v>3459</v>
      </c>
      <c r="E213" s="73" t="s">
        <v>767</v>
      </c>
      <c r="F213" s="73" t="s">
        <v>790</v>
      </c>
      <c r="G213" s="73" t="s">
        <v>944</v>
      </c>
      <c r="H213" s="73" t="s">
        <v>3623</v>
      </c>
      <c r="I213" s="73" t="s">
        <v>3447</v>
      </c>
      <c r="J213" s="73" t="s">
        <v>3461</v>
      </c>
      <c r="K213" s="73"/>
      <c r="L213" s="73"/>
      <c r="M213" s="114" t="n">
        <f aca="false">M208*INDEX(input_data!$M:$X,MATCH(dashboard!$B$5&amp;".in.gef.---.---.---",input_data!$A:$A,0),COLUMNS($M:M))/3.6</f>
        <v>0.02125</v>
      </c>
      <c r="N213" s="114" t="n">
        <f aca="false">N208*INDEX(input_data!$M:$X,MATCH(dashboard!$B$5&amp;".in.gef.---.---.---",input_data!$A:$A,0),COLUMNS($M:N))/3.6</f>
        <v>0.0212843183708228</v>
      </c>
      <c r="O213" s="114" t="n">
        <f aca="false">O208*INDEX(input_data!$M:$X,MATCH(dashboard!$B$5&amp;".in.gef.---.---.---",input_data!$A:$A,0),COLUMNS($M:O))/3.6</f>
        <v>0.021310164688336</v>
      </c>
      <c r="P213" s="114" t="n">
        <f aca="false">P208*INDEX(input_data!$M:$X,MATCH(dashboard!$B$5&amp;".in.gef.---.---.---",input_data!$A:$A,0),COLUMNS($M:P))/3.6</f>
        <v>0.0213271560769352</v>
      </c>
      <c r="Q213" s="114" t="n">
        <f aca="false">Q208*INDEX(input_data!$M:$X,MATCH(dashboard!$B$5&amp;".in.gef.---.---.---",input_data!$A:$A,0),COLUMNS($M:Q))/3.6</f>
        <v>0.0213348970546286</v>
      </c>
      <c r="R213" s="114" t="n">
        <f aca="false">R208*INDEX(input_data!$M:$X,MATCH(dashboard!$B$5&amp;".in.gef.---.---.---",input_data!$A:$A,0),COLUMNS($M:R))/3.6</f>
        <v>0.0213329791666667</v>
      </c>
      <c r="S213" s="114" t="n">
        <f aca="false">S208*INDEX(input_data!$M:$X,MATCH(dashboard!$B$5&amp;".in.gef.---.---.---",input_data!$A:$A,0),COLUMNS($M:S))/3.6</f>
        <v>0.0213209806092165</v>
      </c>
      <c r="T213" s="114" t="n">
        <f aca="false">T208*INDEX(input_data!$M:$X,MATCH(dashboard!$B$5&amp;".in.gef.---.---.---",input_data!$A:$A,0),COLUMNS($M:T))/3.6</f>
        <v>0.0212984658428234</v>
      </c>
      <c r="U213" s="114" t="n">
        <f aca="false">U208*INDEX(input_data!$M:$X,MATCH(dashboard!$B$5&amp;".in.gef.---.---.---",input_data!$A:$A,0),COLUMNS($M:U))/3.6</f>
        <v>0.0212649851953921</v>
      </c>
      <c r="V213" s="114" t="n">
        <f aca="false">V208*INDEX(input_data!$M:$X,MATCH(dashboard!$B$5&amp;".in.gef.---.---.---",input_data!$A:$A,0),COLUMNS($M:V))/3.6</f>
        <v>0.0212200744544165</v>
      </c>
      <c r="W213" s="114" t="n">
        <f aca="false">W208*INDEX(input_data!$M:$X,MATCH(dashboard!$B$5&amp;".in.gef.---.---.---",input_data!$A:$A,0),COLUMNS($M:W))/3.6</f>
        <v>0.0211632544481771</v>
      </c>
      <c r="X213" s="114" t="n">
        <f aca="false">X208*INDEX(input_data!$M:$X,MATCH(dashboard!$B$5&amp;".in.gef.---.---.---",input_data!$A:$A,0),COLUMNS($M:X))/3.6</f>
        <v>0.0210940306156206</v>
      </c>
    </row>
    <row r="215" customFormat="false" ht="21.75" hidden="false" customHeight="true" outlineLevel="0" collapsed="false">
      <c r="A215" s="70" t="s">
        <v>3624</v>
      </c>
      <c r="B215" s="70"/>
      <c r="C215" s="70"/>
      <c r="D215" s="70"/>
      <c r="E215" s="70"/>
      <c r="F215" s="70"/>
      <c r="G215" s="70"/>
      <c r="H215" s="70"/>
      <c r="I215" s="70"/>
      <c r="J215" s="70"/>
      <c r="K215" s="70"/>
      <c r="L215" s="70"/>
      <c r="M215" s="70"/>
      <c r="N215" s="70"/>
      <c r="O215" s="70"/>
      <c r="P215" s="70"/>
      <c r="Q215" s="70"/>
      <c r="R215" s="70"/>
      <c r="S215" s="70"/>
      <c r="T215" s="70"/>
      <c r="U215" s="70"/>
      <c r="V215" s="70"/>
      <c r="W215" s="70"/>
      <c r="X215" s="70"/>
    </row>
    <row r="216" customFormat="false" ht="15" hidden="false" customHeight="true" outlineLevel="0" collapsed="false">
      <c r="A216" s="73" t="str">
        <f aca="false">dashboard!$B$5&amp;".pj.prd.alu.prp.---"</f>
        <v>egy.pj.prd.alu.prp.---</v>
      </c>
      <c r="B216" s="73" t="str">
        <f aca="false">dashboard!$B$5</f>
        <v>egy</v>
      </c>
      <c r="C216" s="73" t="s">
        <v>3401</v>
      </c>
      <c r="D216" s="73" t="s">
        <v>3412</v>
      </c>
      <c r="E216" s="73" t="s">
        <v>801</v>
      </c>
      <c r="F216" s="73" t="s">
        <v>802</v>
      </c>
      <c r="G216" s="73" t="s">
        <v>655</v>
      </c>
      <c r="H216" s="73" t="s">
        <v>3625</v>
      </c>
      <c r="I216" s="73" t="s">
        <v>869</v>
      </c>
      <c r="J216" s="73" t="s">
        <v>3414</v>
      </c>
      <c r="K216" s="73"/>
      <c r="L216" s="73"/>
      <c r="M216" s="114" t="n">
        <f aca="false">IFERROR(INDEX(input_data!$L:$L,MATCH(dashboard!$B$5&amp;".in.prb.alu.prp.---",input_data!$A:$A,0))*POWER(M7,INDEX(input_data!$L:$L,MATCH(dashboard!$B$5&amp;".in.els.alu.prp.---",input_data!$A:$A,0))),0)</f>
        <v>0.29</v>
      </c>
      <c r="N216" s="114" t="n">
        <f aca="false">IFERROR(INDEX(input_data!$L:$L,MATCH(dashboard!$B$5&amp;".in.prb.alu.prp.---",input_data!$A:$A,0))*POWER(N7,INDEX(input_data!$L:$L,MATCH(dashboard!$B$5&amp;".in.els.alu.prp.---",input_data!$A:$A,0))),0)</f>
        <v>0.302691318838405</v>
      </c>
      <c r="O216" s="114" t="n">
        <f aca="false">IFERROR(INDEX(input_data!$L:$L,MATCH(dashboard!$B$5&amp;".in.prb.alu.prp.---",input_data!$A:$A,0))*POWER(O7,INDEX(input_data!$L:$L,MATCH(dashboard!$B$5&amp;".in.els.alu.prp.---",input_data!$A:$A,0))),0)</f>
        <v>0.315938050000458</v>
      </c>
      <c r="P216" s="114" t="n">
        <f aca="false">IFERROR(INDEX(input_data!$L:$L,MATCH(dashboard!$B$5&amp;".in.prb.alu.prp.---",input_data!$A:$A,0))*POWER(P7,INDEX(input_data!$L:$L,MATCH(dashboard!$B$5&amp;".in.els.alu.prp.---",input_data!$A:$A,0))),0)</f>
        <v>0.329764500089215</v>
      </c>
      <c r="Q216" s="114" t="n">
        <f aca="false">IFERROR(INDEX(input_data!$L:$L,MATCH(dashboard!$B$5&amp;".in.prb.alu.prp.---",input_data!$A:$A,0))*POWER(Q7,INDEX(input_data!$L:$L,MATCH(dashboard!$B$5&amp;".in.els.alu.prp.---",input_data!$A:$A,0))),0)</f>
        <v>0.344196039441696</v>
      </c>
      <c r="R216" s="114" t="n">
        <f aca="false">IFERROR(INDEX(input_data!$L:$L,MATCH(dashboard!$B$5&amp;".in.prb.alu.prp.---",input_data!$A:$A,0))*POWER(R7,INDEX(input_data!$L:$L,MATCH(dashboard!$B$5&amp;".in.els.alu.prp.---",input_data!$A:$A,0))),0)</f>
        <v>0.35925914868125</v>
      </c>
      <c r="S216" s="114" t="n">
        <f aca="false">IFERROR(INDEX(input_data!$L:$L,MATCH(dashboard!$B$5&amp;".in.prb.alu.prp.---",input_data!$A:$A,0))*POWER(S7,INDEX(input_data!$L:$L,MATCH(dashboard!$B$5&amp;".in.els.alu.prp.---",input_data!$A:$A,0))),0)</f>
        <v>0.374981467307207</v>
      </c>
      <c r="T216" s="114" t="n">
        <f aca="false">IFERROR(INDEX(input_data!$L:$L,MATCH(dashboard!$B$5&amp;".in.prb.alu.prp.---",input_data!$A:$A,0))*POWER(T7,INDEX(input_data!$L:$L,MATCH(dashboard!$B$5&amp;".in.els.alu.prp.---",input_data!$A:$A,0))),0)</f>
        <v>0.391391844410961</v>
      </c>
      <c r="U216" s="114" t="n">
        <f aca="false">IFERROR(INDEX(input_data!$L:$L,MATCH(dashboard!$B$5&amp;".in.prb.alu.prp.---",input_data!$A:$A,0))*POWER(U7,INDEX(input_data!$L:$L,MATCH(dashboard!$B$5&amp;".in.els.alu.prp.---",input_data!$A:$A,0))),0)</f>
        <v>0.40852039161155</v>
      </c>
      <c r="V216" s="114" t="n">
        <f aca="false">IFERROR(INDEX(input_data!$L:$L,MATCH(dashboard!$B$5&amp;".in.prb.alu.prp.---",input_data!$A:$A,0))*POWER(V7,INDEX(input_data!$L:$L,MATCH(dashboard!$B$5&amp;".in.els.alu.prp.---",input_data!$A:$A,0))),0)</f>
        <v>0.426398538307868</v>
      </c>
      <c r="W216" s="114" t="n">
        <f aca="false">IFERROR(INDEX(input_data!$L:$L,MATCH(dashboard!$B$5&amp;".in.prb.alu.prp.---",input_data!$A:$A,0))*POWER(W7,INDEX(input_data!$L:$L,MATCH(dashboard!$B$5&amp;".in.els.alu.prp.---",input_data!$A:$A,0))),0)</f>
        <v>0.445059089348884</v>
      </c>
      <c r="X216" s="114" t="n">
        <f aca="false">IFERROR(INDEX(input_data!$L:$L,MATCH(dashboard!$B$5&amp;".in.prb.alu.prp.---",input_data!$A:$A,0))*POWER(X7,INDEX(input_data!$L:$L,MATCH(dashboard!$B$5&amp;".in.els.alu.prp.---",input_data!$A:$A,0))),0)</f>
        <v>0.464536285227701</v>
      </c>
    </row>
    <row r="217" customFormat="false" ht="15" hidden="false" customHeight="true" outlineLevel="0" collapsed="false">
      <c r="A217" s="73" t="str">
        <f aca="false">dashboard!$B$5&amp;".pj.eux.alu.prp.---"</f>
        <v>egy.pj.eux.alu.prp.---</v>
      </c>
      <c r="B217" s="73" t="str">
        <f aca="false">dashboard!$B$5</f>
        <v>egy</v>
      </c>
      <c r="C217" s="73" t="s">
        <v>3401</v>
      </c>
      <c r="D217" s="73" t="s">
        <v>3415</v>
      </c>
      <c r="E217" s="73" t="s">
        <v>801</v>
      </c>
      <c r="F217" s="73" t="s">
        <v>802</v>
      </c>
      <c r="G217" s="73" t="s">
        <v>655</v>
      </c>
      <c r="H217" s="73" t="s">
        <v>3626</v>
      </c>
      <c r="I217" s="73" t="s">
        <v>869</v>
      </c>
      <c r="J217" s="73" t="s">
        <v>3417</v>
      </c>
      <c r="K217" s="73"/>
      <c r="L217" s="73"/>
      <c r="M217" s="114" t="n">
        <f aca="false">M216*INDEX(input_data!$L:$L,MATCH(dashboard!$B$5&amp;".in.exe.alu.prp.---",input_data!$A:$A,0))</f>
        <v>0.0522</v>
      </c>
      <c r="N217" s="114" t="n">
        <f aca="false">N216*INDEX(input_data!$L:$L,MATCH(dashboard!$B$5&amp;".in.exe.alu.prp.---",input_data!$A:$A,0))</f>
        <v>0.0544844373909128</v>
      </c>
      <c r="O217" s="114" t="n">
        <f aca="false">O216*INDEX(input_data!$L:$L,MATCH(dashboard!$B$5&amp;".in.exe.alu.prp.---",input_data!$A:$A,0))</f>
        <v>0.0568688490000824</v>
      </c>
      <c r="P217" s="114" t="n">
        <f aca="false">P216*INDEX(input_data!$L:$L,MATCH(dashboard!$B$5&amp;".in.exe.alu.prp.---",input_data!$A:$A,0))</f>
        <v>0.0593576100160587</v>
      </c>
      <c r="Q217" s="114" t="n">
        <f aca="false">Q216*INDEX(input_data!$L:$L,MATCH(dashboard!$B$5&amp;".in.exe.alu.prp.---",input_data!$A:$A,0))</f>
        <v>0.0619552870995053</v>
      </c>
      <c r="R217" s="114" t="n">
        <f aca="false">R216*INDEX(input_data!$L:$L,MATCH(dashboard!$B$5&amp;".in.exe.alu.prp.---",input_data!$A:$A,0))</f>
        <v>0.064666646762625</v>
      </c>
      <c r="S217" s="114" t="n">
        <f aca="false">S216*INDEX(input_data!$L:$L,MATCH(dashboard!$B$5&amp;".in.exe.alu.prp.---",input_data!$A:$A,0))</f>
        <v>0.0674966641152973</v>
      </c>
      <c r="T217" s="114" t="n">
        <f aca="false">T216*INDEX(input_data!$L:$L,MATCH(dashboard!$B$5&amp;".in.exe.alu.prp.---",input_data!$A:$A,0))</f>
        <v>0.070450531993973</v>
      </c>
      <c r="U217" s="114" t="n">
        <f aca="false">U216*INDEX(input_data!$L:$L,MATCH(dashboard!$B$5&amp;".in.exe.alu.prp.---",input_data!$A:$A,0))</f>
        <v>0.073533670490079</v>
      </c>
      <c r="V217" s="114" t="n">
        <f aca="false">V216*INDEX(input_data!$L:$L,MATCH(dashboard!$B$5&amp;".in.exe.alu.prp.---",input_data!$A:$A,0))</f>
        <v>0.0767517368954162</v>
      </c>
      <c r="W217" s="114" t="n">
        <f aca="false">W216*INDEX(input_data!$L:$L,MATCH(dashboard!$B$5&amp;".in.exe.alu.prp.---",input_data!$A:$A,0))</f>
        <v>0.0801106360827992</v>
      </c>
      <c r="X217" s="114" t="n">
        <f aca="false">X216*INDEX(input_data!$L:$L,MATCH(dashboard!$B$5&amp;".in.exe.alu.prp.---",input_data!$A:$A,0))</f>
        <v>0.0836165313409861</v>
      </c>
    </row>
    <row r="218" customFormat="false" ht="15" hidden="false" customHeight="true" outlineLevel="0" collapsed="false">
      <c r="A218" s="73" t="str">
        <f aca="false">dashboard!$B$5&amp;".pj.nex.alu.prp.---"</f>
        <v>egy.pj.nex.alu.prp.---</v>
      </c>
      <c r="B218" s="73" t="str">
        <f aca="false">dashboard!$B$5</f>
        <v>egy</v>
      </c>
      <c r="C218" s="73" t="s">
        <v>3401</v>
      </c>
      <c r="D218" s="73" t="s">
        <v>3418</v>
      </c>
      <c r="E218" s="73" t="s">
        <v>801</v>
      </c>
      <c r="F218" s="73" t="s">
        <v>802</v>
      </c>
      <c r="G218" s="73" t="s">
        <v>655</v>
      </c>
      <c r="H218" s="73" t="s">
        <v>3627</v>
      </c>
      <c r="I218" s="73" t="s">
        <v>869</v>
      </c>
      <c r="J218" s="73" t="s">
        <v>3420</v>
      </c>
      <c r="K218" s="73"/>
      <c r="L218" s="73"/>
      <c r="M218" s="114" t="n">
        <f aca="false">M216*(INDEX(input_data!$L:$L,MATCH(dashboard!$B$5&amp;".in.ext.alu.prp.---",input_data!$A:$A,0))-INDEX(input_data!$L:$L,MATCH(dashboard!$B$5&amp;".in.exe.alu.prp.---",input_data!$A:$A,0)))</f>
        <v>0.0493</v>
      </c>
      <c r="N218" s="114" t="n">
        <f aca="false">N216*(INDEX(input_data!$L:$L,MATCH(dashboard!$B$5&amp;".in.ext.alu.prp.---",input_data!$A:$A,0))-INDEX(input_data!$L:$L,MATCH(dashboard!$B$5&amp;".in.exe.alu.prp.---",input_data!$A:$A,0)))</f>
        <v>0.0514575242025288</v>
      </c>
      <c r="O218" s="114" t="n">
        <f aca="false">O216*(INDEX(input_data!$L:$L,MATCH(dashboard!$B$5&amp;".in.ext.alu.prp.---",input_data!$A:$A,0))-INDEX(input_data!$L:$L,MATCH(dashboard!$B$5&amp;".in.exe.alu.prp.---",input_data!$A:$A,0)))</f>
        <v>0.0537094685000778</v>
      </c>
      <c r="P218" s="114" t="n">
        <f aca="false">P216*(INDEX(input_data!$L:$L,MATCH(dashboard!$B$5&amp;".in.ext.alu.prp.---",input_data!$A:$A,0))-INDEX(input_data!$L:$L,MATCH(dashboard!$B$5&amp;".in.exe.alu.prp.---",input_data!$A:$A,0)))</f>
        <v>0.0560599650151666</v>
      </c>
      <c r="Q218" s="114" t="n">
        <f aca="false">Q216*(INDEX(input_data!$L:$L,MATCH(dashboard!$B$5&amp;".in.ext.alu.prp.---",input_data!$A:$A,0))-INDEX(input_data!$L:$L,MATCH(dashboard!$B$5&amp;".in.exe.alu.prp.---",input_data!$A:$A,0)))</f>
        <v>0.0585133267050883</v>
      </c>
      <c r="R218" s="114" t="n">
        <f aca="false">R216*(INDEX(input_data!$L:$L,MATCH(dashboard!$B$5&amp;".in.ext.alu.prp.---",input_data!$A:$A,0))-INDEX(input_data!$L:$L,MATCH(dashboard!$B$5&amp;".in.exe.alu.prp.---",input_data!$A:$A,0)))</f>
        <v>0.0610740552758125</v>
      </c>
      <c r="S218" s="114" t="n">
        <f aca="false">S216*(INDEX(input_data!$L:$L,MATCH(dashboard!$B$5&amp;".in.ext.alu.prp.---",input_data!$A:$A,0))-INDEX(input_data!$L:$L,MATCH(dashboard!$B$5&amp;".in.exe.alu.prp.---",input_data!$A:$A,0)))</f>
        <v>0.0637468494422252</v>
      </c>
      <c r="T218" s="114" t="n">
        <f aca="false">T216*(INDEX(input_data!$L:$L,MATCH(dashboard!$B$5&amp;".in.ext.alu.prp.---",input_data!$A:$A,0))-INDEX(input_data!$L:$L,MATCH(dashboard!$B$5&amp;".in.exe.alu.prp.---",input_data!$A:$A,0)))</f>
        <v>0.0665366135498633</v>
      </c>
      <c r="U218" s="114" t="n">
        <f aca="false">U216*(INDEX(input_data!$L:$L,MATCH(dashboard!$B$5&amp;".in.ext.alu.prp.---",input_data!$A:$A,0))-INDEX(input_data!$L:$L,MATCH(dashboard!$B$5&amp;".in.exe.alu.prp.---",input_data!$A:$A,0)))</f>
        <v>0.0694484665739635</v>
      </c>
      <c r="V218" s="114" t="n">
        <f aca="false">V216*(INDEX(input_data!$L:$L,MATCH(dashboard!$B$5&amp;".in.ext.alu.prp.---",input_data!$A:$A,0))-INDEX(input_data!$L:$L,MATCH(dashboard!$B$5&amp;".in.exe.alu.prp.---",input_data!$A:$A,0)))</f>
        <v>0.0724877515123375</v>
      </c>
      <c r="W218" s="114" t="n">
        <f aca="false">W216*(INDEX(input_data!$L:$L,MATCH(dashboard!$B$5&amp;".in.ext.alu.prp.---",input_data!$A:$A,0))-INDEX(input_data!$L:$L,MATCH(dashboard!$B$5&amp;".in.exe.alu.prp.---",input_data!$A:$A,0)))</f>
        <v>0.0756600451893103</v>
      </c>
      <c r="X218" s="114" t="n">
        <f aca="false">X216*(INDEX(input_data!$L:$L,MATCH(dashboard!$B$5&amp;".in.ext.alu.prp.---",input_data!$A:$A,0))-INDEX(input_data!$L:$L,MATCH(dashboard!$B$5&amp;".in.exe.alu.prp.---",input_data!$A:$A,0)))</f>
        <v>0.0789711684887091</v>
      </c>
    </row>
    <row r="219" customFormat="false" ht="15" hidden="false" customHeight="true" outlineLevel="0" collapsed="false">
      <c r="A219" s="73" t="str">
        <f aca="false">dashboard!$B$5&amp;".pj.dom.alu.prp.---"</f>
        <v>egy.pj.dom.alu.prp.---</v>
      </c>
      <c r="B219" s="73" t="str">
        <f aca="false">dashboard!$B$5</f>
        <v>egy</v>
      </c>
      <c r="C219" s="73" t="s">
        <v>3401</v>
      </c>
      <c r="D219" s="73" t="s">
        <v>641</v>
      </c>
      <c r="E219" s="73" t="s">
        <v>801</v>
      </c>
      <c r="F219" s="73" t="s">
        <v>802</v>
      </c>
      <c r="G219" s="73" t="s">
        <v>655</v>
      </c>
      <c r="H219" s="73" t="s">
        <v>3628</v>
      </c>
      <c r="I219" s="73" t="s">
        <v>869</v>
      </c>
      <c r="J219" s="73" t="s">
        <v>3422</v>
      </c>
      <c r="K219" s="73"/>
      <c r="L219" s="73"/>
      <c r="M219" s="114" t="n">
        <f aca="false">M216*(1-INDEX(input_data!$L:$L,MATCH(dashboard!$B$5&amp;".in.ext.alu.prp.---",input_data!$A:$A,0)))*(1+INDEX(input_data!$L:$L,MATCH(dashboard!$B$5&amp;".in.imp.alu.prp.---",input_data!$A:$A,0)))</f>
        <v>0.20735</v>
      </c>
      <c r="N219" s="114" t="n">
        <f aca="false">N216*(1-INDEX(input_data!$L:$L,MATCH(dashboard!$B$5&amp;".in.ext.alu.prp.---",input_data!$A:$A,0)))*(1+INDEX(input_data!$L:$L,MATCH(dashboard!$B$5&amp;".in.imp.alu.prp.---",input_data!$A:$A,0)))</f>
        <v>0.216424292969459</v>
      </c>
      <c r="O219" s="114" t="n">
        <f aca="false">O216*(1-INDEX(input_data!$L:$L,MATCH(dashboard!$B$5&amp;".in.ext.alu.prp.---",input_data!$A:$A,0)))*(1+INDEX(input_data!$L:$L,MATCH(dashboard!$B$5&amp;".in.imp.alu.prp.---",input_data!$A:$A,0)))</f>
        <v>0.225895705750327</v>
      </c>
      <c r="P219" s="114" t="n">
        <f aca="false">P216*(1-INDEX(input_data!$L:$L,MATCH(dashboard!$B$5&amp;".in.ext.alu.prp.---",input_data!$A:$A,0)))*(1+INDEX(input_data!$L:$L,MATCH(dashboard!$B$5&amp;".in.imp.alu.prp.---",input_data!$A:$A,0)))</f>
        <v>0.235781617563789</v>
      </c>
      <c r="Q219" s="114" t="n">
        <f aca="false">Q216*(1-INDEX(input_data!$L:$L,MATCH(dashboard!$B$5&amp;".in.ext.alu.prp.---",input_data!$A:$A,0)))*(1+INDEX(input_data!$L:$L,MATCH(dashboard!$B$5&amp;".in.imp.alu.prp.---",input_data!$A:$A,0)))</f>
        <v>0.246100168200813</v>
      </c>
      <c r="R219" s="114" t="n">
        <f aca="false">R216*(1-INDEX(input_data!$L:$L,MATCH(dashboard!$B$5&amp;".in.ext.alu.prp.---",input_data!$A:$A,0)))*(1+INDEX(input_data!$L:$L,MATCH(dashboard!$B$5&amp;".in.imp.alu.prp.---",input_data!$A:$A,0)))</f>
        <v>0.256870291307094</v>
      </c>
      <c r="S219" s="114" t="n">
        <f aca="false">S216*(1-INDEX(input_data!$L:$L,MATCH(dashboard!$B$5&amp;".in.ext.alu.prp.---",input_data!$A:$A,0)))*(1+INDEX(input_data!$L:$L,MATCH(dashboard!$B$5&amp;".in.imp.alu.prp.---",input_data!$A:$A,0)))</f>
        <v>0.268111749124653</v>
      </c>
      <c r="T219" s="114" t="n">
        <f aca="false">T216*(1-INDEX(input_data!$L:$L,MATCH(dashboard!$B$5&amp;".in.ext.alu.prp.---",input_data!$A:$A,0)))*(1+INDEX(input_data!$L:$L,MATCH(dashboard!$B$5&amp;".in.imp.alu.prp.---",input_data!$A:$A,0)))</f>
        <v>0.279845168753837</v>
      </c>
      <c r="U219" s="114" t="n">
        <f aca="false">U216*(1-INDEX(input_data!$L:$L,MATCH(dashboard!$B$5&amp;".in.ext.alu.prp.---",input_data!$A:$A,0)))*(1+INDEX(input_data!$L:$L,MATCH(dashboard!$B$5&amp;".in.imp.alu.prp.---",input_data!$A:$A,0)))</f>
        <v>0.292092080002258</v>
      </c>
      <c r="V219" s="114" t="n">
        <f aca="false">V216*(1-INDEX(input_data!$L:$L,MATCH(dashboard!$B$5&amp;".in.ext.alu.prp.---",input_data!$A:$A,0)))*(1+INDEX(input_data!$L:$L,MATCH(dashboard!$B$5&amp;".in.imp.alu.prp.---",input_data!$A:$A,0)))</f>
        <v>0.304874954890125</v>
      </c>
      <c r="W219" s="114" t="n">
        <f aca="false">W216*(1-INDEX(input_data!$L:$L,MATCH(dashboard!$B$5&amp;".in.ext.alu.prp.---",input_data!$A:$A,0)))*(1+INDEX(input_data!$L:$L,MATCH(dashboard!$B$5&amp;".in.imp.alu.prp.---",input_data!$A:$A,0)))</f>
        <v>0.318217248884452</v>
      </c>
      <c r="X219" s="114" t="n">
        <f aca="false">X216*(1-INDEX(input_data!$L:$L,MATCH(dashboard!$B$5&amp;".in.ext.alu.prp.---",input_data!$A:$A,0)))*(1+INDEX(input_data!$L:$L,MATCH(dashboard!$B$5&amp;".in.imp.alu.prp.---",input_data!$A:$A,0)))</f>
        <v>0.332143443937806</v>
      </c>
    </row>
    <row r="220" customFormat="false" ht="15" hidden="false" customHeight="true" outlineLevel="0" collapsed="false">
      <c r="A220" s="73" t="str">
        <f aca="false">dashboard!$B$5&amp;".pj.enc.alu.prp.coa"</f>
        <v>egy.pj.enc.alu.prp.coa</v>
      </c>
      <c r="B220" s="73" t="str">
        <f aca="false">dashboard!$B$5</f>
        <v>egy</v>
      </c>
      <c r="C220" s="73" t="s">
        <v>3401</v>
      </c>
      <c r="D220" s="73" t="s">
        <v>891</v>
      </c>
      <c r="E220" s="73" t="s">
        <v>801</v>
      </c>
      <c r="F220" s="73" t="s">
        <v>802</v>
      </c>
      <c r="G220" s="73" t="s">
        <v>96</v>
      </c>
      <c r="H220" s="73" t="s">
        <v>3629</v>
      </c>
      <c r="I220" s="73" t="s">
        <v>3424</v>
      </c>
      <c r="J220" s="73" t="s">
        <v>3425</v>
      </c>
      <c r="K220" s="73"/>
      <c r="L220" s="73"/>
      <c r="M220" s="114" t="n">
        <f aca="false">M216*INDEX(input_data!$L:$L,MATCH(dashboard!$B$5&amp;".in.enc.alu.prp.coa",input_data!$A:$A,0))</f>
        <v>0</v>
      </c>
      <c r="N220" s="114" t="n">
        <f aca="false">N216*INDEX(input_data!$L:$L,MATCH(dashboard!$B$5&amp;".in.enc.alu.prp.coa",input_data!$A:$A,0))</f>
        <v>0</v>
      </c>
      <c r="O220" s="114" t="n">
        <f aca="false">O216*INDEX(input_data!$L:$L,MATCH(dashboard!$B$5&amp;".in.enc.alu.prp.coa",input_data!$A:$A,0))</f>
        <v>0</v>
      </c>
      <c r="P220" s="114" t="n">
        <f aca="false">P216*INDEX(input_data!$L:$L,MATCH(dashboard!$B$5&amp;".in.enc.alu.prp.coa",input_data!$A:$A,0))</f>
        <v>0</v>
      </c>
      <c r="Q220" s="114" t="n">
        <f aca="false">Q216*INDEX(input_data!$L:$L,MATCH(dashboard!$B$5&amp;".in.enc.alu.prp.coa",input_data!$A:$A,0))</f>
        <v>0</v>
      </c>
      <c r="R220" s="114" t="n">
        <f aca="false">R216*INDEX(input_data!$L:$L,MATCH(dashboard!$B$5&amp;".in.enc.alu.prp.coa",input_data!$A:$A,0))</f>
        <v>0</v>
      </c>
      <c r="S220" s="114" t="n">
        <f aca="false">S216*INDEX(input_data!$L:$L,MATCH(dashboard!$B$5&amp;".in.enc.alu.prp.coa",input_data!$A:$A,0))</f>
        <v>0</v>
      </c>
      <c r="T220" s="114" t="n">
        <f aca="false">T216*INDEX(input_data!$L:$L,MATCH(dashboard!$B$5&amp;".in.enc.alu.prp.coa",input_data!$A:$A,0))</f>
        <v>0</v>
      </c>
      <c r="U220" s="114" t="n">
        <f aca="false">U216*INDEX(input_data!$L:$L,MATCH(dashboard!$B$5&amp;".in.enc.alu.prp.coa",input_data!$A:$A,0))</f>
        <v>0</v>
      </c>
      <c r="V220" s="114" t="n">
        <f aca="false">V216*INDEX(input_data!$L:$L,MATCH(dashboard!$B$5&amp;".in.enc.alu.prp.coa",input_data!$A:$A,0))</f>
        <v>0</v>
      </c>
      <c r="W220" s="114" t="n">
        <f aca="false">W216*INDEX(input_data!$L:$L,MATCH(dashboard!$B$5&amp;".in.enc.alu.prp.coa",input_data!$A:$A,0))</f>
        <v>0</v>
      </c>
      <c r="X220" s="114" t="n">
        <f aca="false">X216*INDEX(input_data!$L:$L,MATCH(dashboard!$B$5&amp;".in.enc.alu.prp.coa",input_data!$A:$A,0))</f>
        <v>0</v>
      </c>
    </row>
    <row r="221" customFormat="false" ht="15" hidden="false" customHeight="true" outlineLevel="0" collapsed="false">
      <c r="A221" s="73" t="str">
        <f aca="false">dashboard!$B$5&amp;".pj.enc.alu.prp.nga"</f>
        <v>egy.pj.enc.alu.prp.nga</v>
      </c>
      <c r="B221" s="73" t="str">
        <f aca="false">dashboard!$B$5</f>
        <v>egy</v>
      </c>
      <c r="C221" s="73" t="s">
        <v>3401</v>
      </c>
      <c r="D221" s="73" t="s">
        <v>891</v>
      </c>
      <c r="E221" s="73" t="s">
        <v>801</v>
      </c>
      <c r="F221" s="73" t="s">
        <v>802</v>
      </c>
      <c r="G221" s="73" t="s">
        <v>99</v>
      </c>
      <c r="H221" s="73" t="s">
        <v>3630</v>
      </c>
      <c r="I221" s="73" t="s">
        <v>3424</v>
      </c>
      <c r="J221" s="73" t="s">
        <v>3425</v>
      </c>
      <c r="K221" s="73"/>
      <c r="L221" s="73"/>
      <c r="M221" s="114" t="n">
        <f aca="false">M216*INDEX(input_data!$L:$L,MATCH(dashboard!$B$5&amp;".in.enc.alu.prp.nga",input_data!$A:$A,0))</f>
        <v>0.58</v>
      </c>
      <c r="N221" s="114" t="n">
        <f aca="false">N216*INDEX(input_data!$L:$L,MATCH(dashboard!$B$5&amp;".in.enc.alu.prp.nga",input_data!$A:$A,0))</f>
        <v>0.605382637676809</v>
      </c>
      <c r="O221" s="114" t="n">
        <f aca="false">O216*INDEX(input_data!$L:$L,MATCH(dashboard!$B$5&amp;".in.enc.alu.prp.nga",input_data!$A:$A,0))</f>
        <v>0.631876100000916</v>
      </c>
      <c r="P221" s="114" t="n">
        <f aca="false">P216*INDEX(input_data!$L:$L,MATCH(dashboard!$B$5&amp;".in.enc.alu.prp.nga",input_data!$A:$A,0))</f>
        <v>0.659529000178431</v>
      </c>
      <c r="Q221" s="114" t="n">
        <f aca="false">Q216*INDEX(input_data!$L:$L,MATCH(dashboard!$B$5&amp;".in.enc.alu.prp.nga",input_data!$A:$A,0))</f>
        <v>0.688392078883392</v>
      </c>
      <c r="R221" s="114" t="n">
        <f aca="false">R216*INDEX(input_data!$L:$L,MATCH(dashboard!$B$5&amp;".in.enc.alu.prp.nga",input_data!$A:$A,0))</f>
        <v>0.7185182973625</v>
      </c>
      <c r="S221" s="114" t="n">
        <f aca="false">S216*INDEX(input_data!$L:$L,MATCH(dashboard!$B$5&amp;".in.enc.alu.prp.nga",input_data!$A:$A,0))</f>
        <v>0.749962934614414</v>
      </c>
      <c r="T221" s="114" t="n">
        <f aca="false">T216*INDEX(input_data!$L:$L,MATCH(dashboard!$B$5&amp;".in.enc.alu.prp.nga",input_data!$A:$A,0))</f>
        <v>0.782783688821922</v>
      </c>
      <c r="U221" s="114" t="n">
        <f aca="false">U216*INDEX(input_data!$L:$L,MATCH(dashboard!$B$5&amp;".in.enc.alu.prp.nga",input_data!$A:$A,0))</f>
        <v>0.8170407832231</v>
      </c>
      <c r="V221" s="114" t="n">
        <f aca="false">V216*INDEX(input_data!$L:$L,MATCH(dashboard!$B$5&amp;".in.enc.alu.prp.nga",input_data!$A:$A,0))</f>
        <v>0.852797076615735</v>
      </c>
      <c r="W221" s="114" t="n">
        <f aca="false">W216*INDEX(input_data!$L:$L,MATCH(dashboard!$B$5&amp;".in.enc.alu.prp.nga",input_data!$A:$A,0))</f>
        <v>0.890118178697769</v>
      </c>
      <c r="X221" s="114" t="n">
        <f aca="false">X216*INDEX(input_data!$L:$L,MATCH(dashboard!$B$5&amp;".in.enc.alu.prp.nga",input_data!$A:$A,0))</f>
        <v>0.929072570455401</v>
      </c>
    </row>
    <row r="222" customFormat="false" ht="15" hidden="false" customHeight="true" outlineLevel="0" collapsed="false">
      <c r="A222" s="73" t="str">
        <f aca="false">dashboard!$B$5&amp;".pj.enc.alu.prp.gso"</f>
        <v>egy.pj.enc.alu.prp.gso</v>
      </c>
      <c r="B222" s="73" t="str">
        <f aca="false">dashboard!$B$5</f>
        <v>egy</v>
      </c>
      <c r="C222" s="73" t="s">
        <v>3401</v>
      </c>
      <c r="D222" s="73" t="s">
        <v>891</v>
      </c>
      <c r="E222" s="73" t="s">
        <v>801</v>
      </c>
      <c r="F222" s="73" t="s">
        <v>802</v>
      </c>
      <c r="G222" s="73" t="s">
        <v>101</v>
      </c>
      <c r="H222" s="73" t="s">
        <v>3631</v>
      </c>
      <c r="I222" s="73" t="s">
        <v>3424</v>
      </c>
      <c r="J222" s="73" t="s">
        <v>3425</v>
      </c>
      <c r="K222" s="73"/>
      <c r="L222" s="73"/>
      <c r="M222" s="114" t="n">
        <f aca="false">M216*INDEX(input_data!$L:$L,MATCH(dashboard!$B$5&amp;".in.enc.alu.prp.gso",input_data!$A:$A,0))</f>
        <v>0</v>
      </c>
      <c r="N222" s="114" t="n">
        <f aca="false">N216*INDEX(input_data!$L:$L,MATCH(dashboard!$B$5&amp;".in.enc.alu.prp.gso",input_data!$A:$A,0))</f>
        <v>0</v>
      </c>
      <c r="O222" s="114" t="n">
        <f aca="false">O216*INDEX(input_data!$L:$L,MATCH(dashboard!$B$5&amp;".in.enc.alu.prp.gso",input_data!$A:$A,0))</f>
        <v>0</v>
      </c>
      <c r="P222" s="114" t="n">
        <f aca="false">P216*INDEX(input_data!$L:$L,MATCH(dashboard!$B$5&amp;".in.enc.alu.prp.gso",input_data!$A:$A,0))</f>
        <v>0</v>
      </c>
      <c r="Q222" s="114" t="n">
        <f aca="false">Q216*INDEX(input_data!$L:$L,MATCH(dashboard!$B$5&amp;".in.enc.alu.prp.gso",input_data!$A:$A,0))</f>
        <v>0</v>
      </c>
      <c r="R222" s="114" t="n">
        <f aca="false">R216*INDEX(input_data!$L:$L,MATCH(dashboard!$B$5&amp;".in.enc.alu.prp.gso",input_data!$A:$A,0))</f>
        <v>0</v>
      </c>
      <c r="S222" s="114" t="n">
        <f aca="false">S216*INDEX(input_data!$L:$L,MATCH(dashboard!$B$5&amp;".in.enc.alu.prp.gso",input_data!$A:$A,0))</f>
        <v>0</v>
      </c>
      <c r="T222" s="114" t="n">
        <f aca="false">T216*INDEX(input_data!$L:$L,MATCH(dashboard!$B$5&amp;".in.enc.alu.prp.gso",input_data!$A:$A,0))</f>
        <v>0</v>
      </c>
      <c r="U222" s="114" t="n">
        <f aca="false">U216*INDEX(input_data!$L:$L,MATCH(dashboard!$B$5&amp;".in.enc.alu.prp.gso",input_data!$A:$A,0))</f>
        <v>0</v>
      </c>
      <c r="V222" s="114" t="n">
        <f aca="false">V216*INDEX(input_data!$L:$L,MATCH(dashboard!$B$5&amp;".in.enc.alu.prp.gso",input_data!$A:$A,0))</f>
        <v>0</v>
      </c>
      <c r="W222" s="114" t="n">
        <f aca="false">W216*INDEX(input_data!$L:$L,MATCH(dashboard!$B$5&amp;".in.enc.alu.prp.gso",input_data!$A:$A,0))</f>
        <v>0</v>
      </c>
      <c r="X222" s="114" t="n">
        <f aca="false">X216*INDEX(input_data!$L:$L,MATCH(dashboard!$B$5&amp;".in.enc.alu.prp.gso",input_data!$A:$A,0))</f>
        <v>0</v>
      </c>
    </row>
    <row r="223" customFormat="false" ht="15" hidden="false" customHeight="true" outlineLevel="0" collapsed="false">
      <c r="A223" s="73" t="str">
        <f aca="false">dashboard!$B$5&amp;".pj.enc.alu.prp.die"</f>
        <v>egy.pj.enc.alu.prp.die</v>
      </c>
      <c r="B223" s="73" t="str">
        <f aca="false">dashboard!$B$5</f>
        <v>egy</v>
      </c>
      <c r="C223" s="73" t="s">
        <v>3401</v>
      </c>
      <c r="D223" s="73" t="s">
        <v>891</v>
      </c>
      <c r="E223" s="73" t="s">
        <v>801</v>
      </c>
      <c r="F223" s="73" t="s">
        <v>802</v>
      </c>
      <c r="G223" s="73" t="s">
        <v>103</v>
      </c>
      <c r="H223" s="73" t="s">
        <v>3632</v>
      </c>
      <c r="I223" s="73" t="s">
        <v>3424</v>
      </c>
      <c r="J223" s="73" t="s">
        <v>3425</v>
      </c>
      <c r="K223" s="73"/>
      <c r="L223" s="73"/>
      <c r="M223" s="114" t="n">
        <f aca="false">M216*INDEX(input_data!$L:$L,MATCH(dashboard!$B$5&amp;".in.enc.alu.prp.die",input_data!$A:$A,0))</f>
        <v>0</v>
      </c>
      <c r="N223" s="114" t="n">
        <f aca="false">N216*INDEX(input_data!$L:$L,MATCH(dashboard!$B$5&amp;".in.enc.alu.prp.die",input_data!$A:$A,0))</f>
        <v>0</v>
      </c>
      <c r="O223" s="114" t="n">
        <f aca="false">O216*INDEX(input_data!$L:$L,MATCH(dashboard!$B$5&amp;".in.enc.alu.prp.die",input_data!$A:$A,0))</f>
        <v>0</v>
      </c>
      <c r="P223" s="114" t="n">
        <f aca="false">P216*INDEX(input_data!$L:$L,MATCH(dashboard!$B$5&amp;".in.enc.alu.prp.die",input_data!$A:$A,0))</f>
        <v>0</v>
      </c>
      <c r="Q223" s="114" t="n">
        <f aca="false">Q216*INDEX(input_data!$L:$L,MATCH(dashboard!$B$5&amp;".in.enc.alu.prp.die",input_data!$A:$A,0))</f>
        <v>0</v>
      </c>
      <c r="R223" s="114" t="n">
        <f aca="false">R216*INDEX(input_data!$L:$L,MATCH(dashboard!$B$5&amp;".in.enc.alu.prp.die",input_data!$A:$A,0))</f>
        <v>0</v>
      </c>
      <c r="S223" s="114" t="n">
        <f aca="false">S216*INDEX(input_data!$L:$L,MATCH(dashboard!$B$5&amp;".in.enc.alu.prp.die",input_data!$A:$A,0))</f>
        <v>0</v>
      </c>
      <c r="T223" s="114" t="n">
        <f aca="false">T216*INDEX(input_data!$L:$L,MATCH(dashboard!$B$5&amp;".in.enc.alu.prp.die",input_data!$A:$A,0))</f>
        <v>0</v>
      </c>
      <c r="U223" s="114" t="n">
        <f aca="false">U216*INDEX(input_data!$L:$L,MATCH(dashboard!$B$5&amp;".in.enc.alu.prp.die",input_data!$A:$A,0))</f>
        <v>0</v>
      </c>
      <c r="V223" s="114" t="n">
        <f aca="false">V216*INDEX(input_data!$L:$L,MATCH(dashboard!$B$5&amp;".in.enc.alu.prp.die",input_data!$A:$A,0))</f>
        <v>0</v>
      </c>
      <c r="W223" s="114" t="n">
        <f aca="false">W216*INDEX(input_data!$L:$L,MATCH(dashboard!$B$5&amp;".in.enc.alu.prp.die",input_data!$A:$A,0))</f>
        <v>0</v>
      </c>
      <c r="X223" s="114" t="n">
        <f aca="false">X216*INDEX(input_data!$L:$L,MATCH(dashboard!$B$5&amp;".in.enc.alu.prp.die",input_data!$A:$A,0))</f>
        <v>0</v>
      </c>
    </row>
    <row r="224" customFormat="false" ht="15" hidden="false" customHeight="true" outlineLevel="0" collapsed="false">
      <c r="A224" s="73" t="str">
        <f aca="false">dashboard!$B$5&amp;".pj.enc.alu.prp.ker"</f>
        <v>egy.pj.enc.alu.prp.ker</v>
      </c>
      <c r="B224" s="73" t="str">
        <f aca="false">dashboard!$B$5</f>
        <v>egy</v>
      </c>
      <c r="C224" s="73" t="s">
        <v>3401</v>
      </c>
      <c r="D224" s="73" t="s">
        <v>891</v>
      </c>
      <c r="E224" s="73" t="s">
        <v>801</v>
      </c>
      <c r="F224" s="73" t="s">
        <v>802</v>
      </c>
      <c r="G224" s="73" t="s">
        <v>105</v>
      </c>
      <c r="H224" s="73" t="s">
        <v>3633</v>
      </c>
      <c r="I224" s="73" t="s">
        <v>3424</v>
      </c>
      <c r="J224" s="73" t="s">
        <v>3425</v>
      </c>
      <c r="K224" s="73"/>
      <c r="L224" s="73"/>
      <c r="M224" s="114" t="n">
        <f aca="false">M216*INDEX(input_data!$L:$L,MATCH(dashboard!$B$5&amp;".in.enc.alu.prp.ker",input_data!$A:$A,0))</f>
        <v>0</v>
      </c>
      <c r="N224" s="114" t="n">
        <f aca="false">N216*INDEX(input_data!$L:$L,MATCH(dashboard!$B$5&amp;".in.enc.alu.prp.ker",input_data!$A:$A,0))</f>
        <v>0</v>
      </c>
      <c r="O224" s="114" t="n">
        <f aca="false">O216*INDEX(input_data!$L:$L,MATCH(dashboard!$B$5&amp;".in.enc.alu.prp.ker",input_data!$A:$A,0))</f>
        <v>0</v>
      </c>
      <c r="P224" s="114" t="n">
        <f aca="false">P216*INDEX(input_data!$L:$L,MATCH(dashboard!$B$5&amp;".in.enc.alu.prp.ker",input_data!$A:$A,0))</f>
        <v>0</v>
      </c>
      <c r="Q224" s="114" t="n">
        <f aca="false">Q216*INDEX(input_data!$L:$L,MATCH(dashboard!$B$5&amp;".in.enc.alu.prp.ker",input_data!$A:$A,0))</f>
        <v>0</v>
      </c>
      <c r="R224" s="114" t="n">
        <f aca="false">R216*INDEX(input_data!$L:$L,MATCH(dashboard!$B$5&amp;".in.enc.alu.prp.ker",input_data!$A:$A,0))</f>
        <v>0</v>
      </c>
      <c r="S224" s="114" t="n">
        <f aca="false">S216*INDEX(input_data!$L:$L,MATCH(dashboard!$B$5&amp;".in.enc.alu.prp.ker",input_data!$A:$A,0))</f>
        <v>0</v>
      </c>
      <c r="T224" s="114" t="n">
        <f aca="false">T216*INDEX(input_data!$L:$L,MATCH(dashboard!$B$5&amp;".in.enc.alu.prp.ker",input_data!$A:$A,0))</f>
        <v>0</v>
      </c>
      <c r="U224" s="114" t="n">
        <f aca="false">U216*INDEX(input_data!$L:$L,MATCH(dashboard!$B$5&amp;".in.enc.alu.prp.ker",input_data!$A:$A,0))</f>
        <v>0</v>
      </c>
      <c r="V224" s="114" t="n">
        <f aca="false">V216*INDEX(input_data!$L:$L,MATCH(dashboard!$B$5&amp;".in.enc.alu.prp.ker",input_data!$A:$A,0))</f>
        <v>0</v>
      </c>
      <c r="W224" s="114" t="n">
        <f aca="false">W216*INDEX(input_data!$L:$L,MATCH(dashboard!$B$5&amp;".in.enc.alu.prp.ker",input_data!$A:$A,0))</f>
        <v>0</v>
      </c>
      <c r="X224" s="114" t="n">
        <f aca="false">X216*INDEX(input_data!$L:$L,MATCH(dashboard!$B$5&amp;".in.enc.alu.prp.ker",input_data!$A:$A,0))</f>
        <v>0</v>
      </c>
    </row>
    <row r="225" customFormat="false" ht="15" hidden="false" customHeight="true" outlineLevel="0" collapsed="false">
      <c r="A225" s="73" t="str">
        <f aca="false">dashboard!$B$5&amp;".pj.enc.alu.prp.lpg"</f>
        <v>egy.pj.enc.alu.prp.lpg</v>
      </c>
      <c r="B225" s="73" t="str">
        <f aca="false">dashboard!$B$5</f>
        <v>egy</v>
      </c>
      <c r="C225" s="73" t="s">
        <v>3401</v>
      </c>
      <c r="D225" s="73" t="s">
        <v>891</v>
      </c>
      <c r="E225" s="73" t="s">
        <v>801</v>
      </c>
      <c r="F225" s="73" t="s">
        <v>802</v>
      </c>
      <c r="G225" s="73" t="s">
        <v>107</v>
      </c>
      <c r="H225" s="73" t="s">
        <v>3634</v>
      </c>
      <c r="I225" s="73" t="s">
        <v>3424</v>
      </c>
      <c r="J225" s="73" t="s">
        <v>3425</v>
      </c>
      <c r="K225" s="73"/>
      <c r="L225" s="73"/>
      <c r="M225" s="114" t="n">
        <f aca="false">M216*INDEX(input_data!$L:$L,MATCH(dashboard!$B$5&amp;".in.enc.alu.prp.lpg",input_data!$A:$A,0))</f>
        <v>0</v>
      </c>
      <c r="N225" s="114" t="n">
        <f aca="false">N216*INDEX(input_data!$L:$L,MATCH(dashboard!$B$5&amp;".in.enc.alu.prp.lpg",input_data!$A:$A,0))</f>
        <v>0</v>
      </c>
      <c r="O225" s="114" t="n">
        <f aca="false">O216*INDEX(input_data!$L:$L,MATCH(dashboard!$B$5&amp;".in.enc.alu.prp.lpg",input_data!$A:$A,0))</f>
        <v>0</v>
      </c>
      <c r="P225" s="114" t="n">
        <f aca="false">P216*INDEX(input_data!$L:$L,MATCH(dashboard!$B$5&amp;".in.enc.alu.prp.lpg",input_data!$A:$A,0))</f>
        <v>0</v>
      </c>
      <c r="Q225" s="114" t="n">
        <f aca="false">Q216*INDEX(input_data!$L:$L,MATCH(dashboard!$B$5&amp;".in.enc.alu.prp.lpg",input_data!$A:$A,0))</f>
        <v>0</v>
      </c>
      <c r="R225" s="114" t="n">
        <f aca="false">R216*INDEX(input_data!$L:$L,MATCH(dashboard!$B$5&amp;".in.enc.alu.prp.lpg",input_data!$A:$A,0))</f>
        <v>0</v>
      </c>
      <c r="S225" s="114" t="n">
        <f aca="false">S216*INDEX(input_data!$L:$L,MATCH(dashboard!$B$5&amp;".in.enc.alu.prp.lpg",input_data!$A:$A,0))</f>
        <v>0</v>
      </c>
      <c r="T225" s="114" t="n">
        <f aca="false">T216*INDEX(input_data!$L:$L,MATCH(dashboard!$B$5&amp;".in.enc.alu.prp.lpg",input_data!$A:$A,0))</f>
        <v>0</v>
      </c>
      <c r="U225" s="114" t="n">
        <f aca="false">U216*INDEX(input_data!$L:$L,MATCH(dashboard!$B$5&amp;".in.enc.alu.prp.lpg",input_data!$A:$A,0))</f>
        <v>0</v>
      </c>
      <c r="V225" s="114" t="n">
        <f aca="false">V216*INDEX(input_data!$L:$L,MATCH(dashboard!$B$5&amp;".in.enc.alu.prp.lpg",input_data!$A:$A,0))</f>
        <v>0</v>
      </c>
      <c r="W225" s="114" t="n">
        <f aca="false">W216*INDEX(input_data!$L:$L,MATCH(dashboard!$B$5&amp;".in.enc.alu.prp.lpg",input_data!$A:$A,0))</f>
        <v>0</v>
      </c>
      <c r="X225" s="114" t="n">
        <f aca="false">X216*INDEX(input_data!$L:$L,MATCH(dashboard!$B$5&amp;".in.enc.alu.prp.lpg",input_data!$A:$A,0))</f>
        <v>0</v>
      </c>
    </row>
    <row r="226" customFormat="false" ht="15" hidden="false" customHeight="true" outlineLevel="0" collapsed="false">
      <c r="A226" s="73" t="str">
        <f aca="false">dashboard!$B$5&amp;".pj.enc.alu.prp.bio"</f>
        <v>egy.pj.enc.alu.prp.bio</v>
      </c>
      <c r="B226" s="73" t="str">
        <f aca="false">dashboard!$B$5</f>
        <v>egy</v>
      </c>
      <c r="C226" s="73" t="s">
        <v>3401</v>
      </c>
      <c r="D226" s="73" t="s">
        <v>891</v>
      </c>
      <c r="E226" s="73" t="s">
        <v>801</v>
      </c>
      <c r="F226" s="73" t="s">
        <v>802</v>
      </c>
      <c r="G226" s="73" t="s">
        <v>109</v>
      </c>
      <c r="H226" s="73" t="s">
        <v>3635</v>
      </c>
      <c r="I226" s="73" t="s">
        <v>3424</v>
      </c>
      <c r="J226" s="73" t="s">
        <v>3425</v>
      </c>
      <c r="K226" s="73"/>
      <c r="L226" s="73"/>
      <c r="M226" s="114" t="n">
        <f aca="false">M216*INDEX(input_data!$L:$L,MATCH(dashboard!$B$5&amp;".in.enc.alu.prp.bio",input_data!$A:$A,0))</f>
        <v>0</v>
      </c>
      <c r="N226" s="114" t="n">
        <f aca="false">N216*INDEX(input_data!$L:$L,MATCH(dashboard!$B$5&amp;".in.enc.alu.prp.bio",input_data!$A:$A,0))</f>
        <v>0</v>
      </c>
      <c r="O226" s="114" t="n">
        <f aca="false">O216*INDEX(input_data!$L:$L,MATCH(dashboard!$B$5&amp;".in.enc.alu.prp.bio",input_data!$A:$A,0))</f>
        <v>0</v>
      </c>
      <c r="P226" s="114" t="n">
        <f aca="false">P216*INDEX(input_data!$L:$L,MATCH(dashboard!$B$5&amp;".in.enc.alu.prp.bio",input_data!$A:$A,0))</f>
        <v>0</v>
      </c>
      <c r="Q226" s="114" t="n">
        <f aca="false">Q216*INDEX(input_data!$L:$L,MATCH(dashboard!$B$5&amp;".in.enc.alu.prp.bio",input_data!$A:$A,0))</f>
        <v>0</v>
      </c>
      <c r="R226" s="114" t="n">
        <f aca="false">R216*INDEX(input_data!$L:$L,MATCH(dashboard!$B$5&amp;".in.enc.alu.prp.bio",input_data!$A:$A,0))</f>
        <v>0</v>
      </c>
      <c r="S226" s="114" t="n">
        <f aca="false">S216*INDEX(input_data!$L:$L,MATCH(dashboard!$B$5&amp;".in.enc.alu.prp.bio",input_data!$A:$A,0))</f>
        <v>0</v>
      </c>
      <c r="T226" s="114" t="n">
        <f aca="false">T216*INDEX(input_data!$L:$L,MATCH(dashboard!$B$5&amp;".in.enc.alu.prp.bio",input_data!$A:$A,0))</f>
        <v>0</v>
      </c>
      <c r="U226" s="114" t="n">
        <f aca="false">U216*INDEX(input_data!$L:$L,MATCH(dashboard!$B$5&amp;".in.enc.alu.prp.bio",input_data!$A:$A,0))</f>
        <v>0</v>
      </c>
      <c r="V226" s="114" t="n">
        <f aca="false">V216*INDEX(input_data!$L:$L,MATCH(dashboard!$B$5&amp;".in.enc.alu.prp.bio",input_data!$A:$A,0))</f>
        <v>0</v>
      </c>
      <c r="W226" s="114" t="n">
        <f aca="false">W216*INDEX(input_data!$L:$L,MATCH(dashboard!$B$5&amp;".in.enc.alu.prp.bio",input_data!$A:$A,0))</f>
        <v>0</v>
      </c>
      <c r="X226" s="114" t="n">
        <f aca="false">X216*INDEX(input_data!$L:$L,MATCH(dashboard!$B$5&amp;".in.enc.alu.prp.bio",input_data!$A:$A,0))</f>
        <v>0</v>
      </c>
    </row>
    <row r="227" customFormat="false" ht="15" hidden="false" customHeight="true" outlineLevel="0" collapsed="false">
      <c r="A227" s="73" t="str">
        <f aca="false">dashboard!$B$5&amp;".pj.enc.alu.prp.ren"</f>
        <v>egy.pj.enc.alu.prp.ren</v>
      </c>
      <c r="B227" s="73" t="str">
        <f aca="false">dashboard!$B$5</f>
        <v>egy</v>
      </c>
      <c r="C227" s="73" t="s">
        <v>3401</v>
      </c>
      <c r="D227" s="73" t="s">
        <v>891</v>
      </c>
      <c r="E227" s="73" t="s">
        <v>801</v>
      </c>
      <c r="F227" s="73" t="s">
        <v>802</v>
      </c>
      <c r="G227" s="73" t="s">
        <v>111</v>
      </c>
      <c r="H227" s="73" t="s">
        <v>3636</v>
      </c>
      <c r="I227" s="73" t="s">
        <v>3424</v>
      </c>
      <c r="J227" s="73" t="s">
        <v>3425</v>
      </c>
      <c r="K227" s="73"/>
      <c r="L227" s="73"/>
      <c r="M227" s="114" t="n">
        <f aca="false">M216*INDEX(input_data!$L:$L,MATCH(dashboard!$B$5&amp;".in.enc.alu.prp.ren",input_data!$A:$A,0))</f>
        <v>0</v>
      </c>
      <c r="N227" s="114" t="n">
        <f aca="false">N216*INDEX(input_data!$L:$L,MATCH(dashboard!$B$5&amp;".in.enc.alu.prp.ren",input_data!$A:$A,0))</f>
        <v>0</v>
      </c>
      <c r="O227" s="114" t="n">
        <f aca="false">O216*INDEX(input_data!$L:$L,MATCH(dashboard!$B$5&amp;".in.enc.alu.prp.ren",input_data!$A:$A,0))</f>
        <v>0</v>
      </c>
      <c r="P227" s="114" t="n">
        <f aca="false">P216*INDEX(input_data!$L:$L,MATCH(dashboard!$B$5&amp;".in.enc.alu.prp.ren",input_data!$A:$A,0))</f>
        <v>0</v>
      </c>
      <c r="Q227" s="114" t="n">
        <f aca="false">Q216*INDEX(input_data!$L:$L,MATCH(dashboard!$B$5&amp;".in.enc.alu.prp.ren",input_data!$A:$A,0))</f>
        <v>0</v>
      </c>
      <c r="R227" s="114" t="n">
        <f aca="false">R216*INDEX(input_data!$L:$L,MATCH(dashboard!$B$5&amp;".in.enc.alu.prp.ren",input_data!$A:$A,0))</f>
        <v>0</v>
      </c>
      <c r="S227" s="114" t="n">
        <f aca="false">S216*INDEX(input_data!$L:$L,MATCH(dashboard!$B$5&amp;".in.enc.alu.prp.ren",input_data!$A:$A,0))</f>
        <v>0</v>
      </c>
      <c r="T227" s="114" t="n">
        <f aca="false">T216*INDEX(input_data!$L:$L,MATCH(dashboard!$B$5&amp;".in.enc.alu.prp.ren",input_data!$A:$A,0))</f>
        <v>0</v>
      </c>
      <c r="U227" s="114" t="n">
        <f aca="false">U216*INDEX(input_data!$L:$L,MATCH(dashboard!$B$5&amp;".in.enc.alu.prp.ren",input_data!$A:$A,0))</f>
        <v>0</v>
      </c>
      <c r="V227" s="114" t="n">
        <f aca="false">V216*INDEX(input_data!$L:$L,MATCH(dashboard!$B$5&amp;".in.enc.alu.prp.ren",input_data!$A:$A,0))</f>
        <v>0</v>
      </c>
      <c r="W227" s="114" t="n">
        <f aca="false">W216*INDEX(input_data!$L:$L,MATCH(dashboard!$B$5&amp;".in.enc.alu.prp.ren",input_data!$A:$A,0))</f>
        <v>0</v>
      </c>
      <c r="X227" s="114" t="n">
        <f aca="false">X216*INDEX(input_data!$L:$L,MATCH(dashboard!$B$5&amp;".in.enc.alu.prp.ren",input_data!$A:$A,0))</f>
        <v>0</v>
      </c>
    </row>
    <row r="228" customFormat="false" ht="15" hidden="false" customHeight="true" outlineLevel="0" collapsed="false">
      <c r="A228" s="73" t="str">
        <f aca="false">dashboard!$B$5&amp;".pj.enp.alu.prp.coa"</f>
        <v>egy.pj.enp.alu.prp.coa</v>
      </c>
      <c r="B228" s="73" t="str">
        <f aca="false">dashboard!$B$5</f>
        <v>egy</v>
      </c>
      <c r="C228" s="73" t="s">
        <v>3401</v>
      </c>
      <c r="D228" s="73" t="s">
        <v>918</v>
      </c>
      <c r="E228" s="73" t="s">
        <v>801</v>
      </c>
      <c r="F228" s="73" t="s">
        <v>802</v>
      </c>
      <c r="G228" s="73" t="s">
        <v>96</v>
      </c>
      <c r="H228" s="73" t="s">
        <v>3637</v>
      </c>
      <c r="I228" s="73" t="s">
        <v>3424</v>
      </c>
      <c r="J228" s="73" t="s">
        <v>3434</v>
      </c>
      <c r="K228" s="73"/>
      <c r="L228" s="73"/>
      <c r="M228" s="114" t="n">
        <f aca="false">M216*INDEX(input_data!$L:$L,MATCH(dashboard!$B$5&amp;".in.enp.alu.prp.coa",input_data!$A:$A,0))</f>
        <v>0</v>
      </c>
      <c r="N228" s="114" t="n">
        <f aca="false">N216*INDEX(input_data!$L:$L,MATCH(dashboard!$B$5&amp;".in.enp.alu.prp.coa",input_data!$A:$A,0))</f>
        <v>0</v>
      </c>
      <c r="O228" s="114" t="n">
        <f aca="false">O216*INDEX(input_data!$L:$L,MATCH(dashboard!$B$5&amp;".in.enp.alu.prp.coa",input_data!$A:$A,0))</f>
        <v>0</v>
      </c>
      <c r="P228" s="114" t="n">
        <f aca="false">P216*INDEX(input_data!$L:$L,MATCH(dashboard!$B$5&amp;".in.enp.alu.prp.coa",input_data!$A:$A,0))</f>
        <v>0</v>
      </c>
      <c r="Q228" s="114" t="n">
        <f aca="false">Q216*INDEX(input_data!$L:$L,MATCH(dashboard!$B$5&amp;".in.enp.alu.prp.coa",input_data!$A:$A,0))</f>
        <v>0</v>
      </c>
      <c r="R228" s="114" t="n">
        <f aca="false">R216*INDEX(input_data!$L:$L,MATCH(dashboard!$B$5&amp;".in.enp.alu.prp.coa",input_data!$A:$A,0))</f>
        <v>0</v>
      </c>
      <c r="S228" s="114" t="n">
        <f aca="false">S216*INDEX(input_data!$L:$L,MATCH(dashboard!$B$5&amp;".in.enp.alu.prp.coa",input_data!$A:$A,0))</f>
        <v>0</v>
      </c>
      <c r="T228" s="114" t="n">
        <f aca="false">T216*INDEX(input_data!$L:$L,MATCH(dashboard!$B$5&amp;".in.enp.alu.prp.coa",input_data!$A:$A,0))</f>
        <v>0</v>
      </c>
      <c r="U228" s="114" t="n">
        <f aca="false">U216*INDEX(input_data!$L:$L,MATCH(dashboard!$B$5&amp;".in.enp.alu.prp.coa",input_data!$A:$A,0))</f>
        <v>0</v>
      </c>
      <c r="V228" s="114" t="n">
        <f aca="false">V216*INDEX(input_data!$L:$L,MATCH(dashboard!$B$5&amp;".in.enp.alu.prp.coa",input_data!$A:$A,0))</f>
        <v>0</v>
      </c>
      <c r="W228" s="114" t="n">
        <f aca="false">W216*INDEX(input_data!$L:$L,MATCH(dashboard!$B$5&amp;".in.enp.alu.prp.coa",input_data!$A:$A,0))</f>
        <v>0</v>
      </c>
      <c r="X228" s="114" t="n">
        <f aca="false">X216*INDEX(input_data!$L:$L,MATCH(dashboard!$B$5&amp;".in.enp.alu.prp.coa",input_data!$A:$A,0))</f>
        <v>0</v>
      </c>
    </row>
    <row r="229" customFormat="false" ht="15" hidden="false" customHeight="true" outlineLevel="0" collapsed="false">
      <c r="A229" s="73" t="str">
        <f aca="false">dashboard!$B$5&amp;".pj.enp.alu.prp.nga"</f>
        <v>egy.pj.enp.alu.prp.nga</v>
      </c>
      <c r="B229" s="73" t="str">
        <f aca="false">dashboard!$B$5</f>
        <v>egy</v>
      </c>
      <c r="C229" s="73" t="s">
        <v>3401</v>
      </c>
      <c r="D229" s="73" t="s">
        <v>918</v>
      </c>
      <c r="E229" s="73" t="s">
        <v>801</v>
      </c>
      <c r="F229" s="73" t="s">
        <v>802</v>
      </c>
      <c r="G229" s="73" t="s">
        <v>99</v>
      </c>
      <c r="H229" s="73" t="s">
        <v>3638</v>
      </c>
      <c r="I229" s="73" t="s">
        <v>3424</v>
      </c>
      <c r="J229" s="73" t="s">
        <v>3434</v>
      </c>
      <c r="K229" s="73"/>
      <c r="L229" s="73"/>
      <c r="M229" s="114" t="n">
        <f aca="false">M216*INDEX(input_data!$L:$L,MATCH(dashboard!$B$5&amp;".in.enp.alu.prp.nga",input_data!$A:$A,0))</f>
        <v>0</v>
      </c>
      <c r="N229" s="114" t="n">
        <f aca="false">N216*INDEX(input_data!$L:$L,MATCH(dashboard!$B$5&amp;".in.enp.alu.prp.nga",input_data!$A:$A,0))</f>
        <v>0</v>
      </c>
      <c r="O229" s="114" t="n">
        <f aca="false">O216*INDEX(input_data!$L:$L,MATCH(dashboard!$B$5&amp;".in.enp.alu.prp.nga",input_data!$A:$A,0))</f>
        <v>0</v>
      </c>
      <c r="P229" s="114" t="n">
        <f aca="false">P216*INDEX(input_data!$L:$L,MATCH(dashboard!$B$5&amp;".in.enp.alu.prp.nga",input_data!$A:$A,0))</f>
        <v>0</v>
      </c>
      <c r="Q229" s="114" t="n">
        <f aca="false">Q216*INDEX(input_data!$L:$L,MATCH(dashboard!$B$5&amp;".in.enp.alu.prp.nga",input_data!$A:$A,0))</f>
        <v>0</v>
      </c>
      <c r="R229" s="114" t="n">
        <f aca="false">R216*INDEX(input_data!$L:$L,MATCH(dashboard!$B$5&amp;".in.enp.alu.prp.nga",input_data!$A:$A,0))</f>
        <v>0</v>
      </c>
      <c r="S229" s="114" t="n">
        <f aca="false">S216*INDEX(input_data!$L:$L,MATCH(dashboard!$B$5&amp;".in.enp.alu.prp.nga",input_data!$A:$A,0))</f>
        <v>0</v>
      </c>
      <c r="T229" s="114" t="n">
        <f aca="false">T216*INDEX(input_data!$L:$L,MATCH(dashboard!$B$5&amp;".in.enp.alu.prp.nga",input_data!$A:$A,0))</f>
        <v>0</v>
      </c>
      <c r="U229" s="114" t="n">
        <f aca="false">U216*INDEX(input_data!$L:$L,MATCH(dashboard!$B$5&amp;".in.enp.alu.prp.nga",input_data!$A:$A,0))</f>
        <v>0</v>
      </c>
      <c r="V229" s="114" t="n">
        <f aca="false">V216*INDEX(input_data!$L:$L,MATCH(dashboard!$B$5&amp;".in.enp.alu.prp.nga",input_data!$A:$A,0))</f>
        <v>0</v>
      </c>
      <c r="W229" s="114" t="n">
        <f aca="false">W216*INDEX(input_data!$L:$L,MATCH(dashboard!$B$5&amp;".in.enp.alu.prp.nga",input_data!$A:$A,0))</f>
        <v>0</v>
      </c>
      <c r="X229" s="114" t="n">
        <f aca="false">X216*INDEX(input_data!$L:$L,MATCH(dashboard!$B$5&amp;".in.enp.alu.prp.nga",input_data!$A:$A,0))</f>
        <v>0</v>
      </c>
    </row>
    <row r="230" customFormat="false" ht="15" hidden="false" customHeight="true" outlineLevel="0" collapsed="false">
      <c r="A230" s="73" t="str">
        <f aca="false">dashboard!$B$5&amp;".pj.enp.alu.prp.gso"</f>
        <v>egy.pj.enp.alu.prp.gso</v>
      </c>
      <c r="B230" s="73" t="str">
        <f aca="false">dashboard!$B$5</f>
        <v>egy</v>
      </c>
      <c r="C230" s="73" t="s">
        <v>3401</v>
      </c>
      <c r="D230" s="73" t="s">
        <v>918</v>
      </c>
      <c r="E230" s="73" t="s">
        <v>801</v>
      </c>
      <c r="F230" s="73" t="s">
        <v>802</v>
      </c>
      <c r="G230" s="73" t="s">
        <v>101</v>
      </c>
      <c r="H230" s="73" t="s">
        <v>3639</v>
      </c>
      <c r="I230" s="73" t="s">
        <v>3424</v>
      </c>
      <c r="J230" s="73" t="s">
        <v>3434</v>
      </c>
      <c r="K230" s="73"/>
      <c r="L230" s="73"/>
      <c r="M230" s="114" t="n">
        <f aca="false">M216*INDEX(input_data!$L:$L,MATCH(dashboard!$B$5&amp;".in.enp.alu.prp.gso",input_data!$A:$A,0))</f>
        <v>0</v>
      </c>
      <c r="N230" s="114" t="n">
        <f aca="false">N216*INDEX(input_data!$L:$L,MATCH(dashboard!$B$5&amp;".in.enp.alu.prp.gso",input_data!$A:$A,0))</f>
        <v>0</v>
      </c>
      <c r="O230" s="114" t="n">
        <f aca="false">O216*INDEX(input_data!$L:$L,MATCH(dashboard!$B$5&amp;".in.enp.alu.prp.gso",input_data!$A:$A,0))</f>
        <v>0</v>
      </c>
      <c r="P230" s="114" t="n">
        <f aca="false">P216*INDEX(input_data!$L:$L,MATCH(dashboard!$B$5&amp;".in.enp.alu.prp.gso",input_data!$A:$A,0))</f>
        <v>0</v>
      </c>
      <c r="Q230" s="114" t="n">
        <f aca="false">Q216*INDEX(input_data!$L:$L,MATCH(dashboard!$B$5&amp;".in.enp.alu.prp.gso",input_data!$A:$A,0))</f>
        <v>0</v>
      </c>
      <c r="R230" s="114" t="n">
        <f aca="false">R216*INDEX(input_data!$L:$L,MATCH(dashboard!$B$5&amp;".in.enp.alu.prp.gso",input_data!$A:$A,0))</f>
        <v>0</v>
      </c>
      <c r="S230" s="114" t="n">
        <f aca="false">S216*INDEX(input_data!$L:$L,MATCH(dashboard!$B$5&amp;".in.enp.alu.prp.gso",input_data!$A:$A,0))</f>
        <v>0</v>
      </c>
      <c r="T230" s="114" t="n">
        <f aca="false">T216*INDEX(input_data!$L:$L,MATCH(dashboard!$B$5&amp;".in.enp.alu.prp.gso",input_data!$A:$A,0))</f>
        <v>0</v>
      </c>
      <c r="U230" s="114" t="n">
        <f aca="false">U216*INDEX(input_data!$L:$L,MATCH(dashboard!$B$5&amp;".in.enp.alu.prp.gso",input_data!$A:$A,0))</f>
        <v>0</v>
      </c>
      <c r="V230" s="114" t="n">
        <f aca="false">V216*INDEX(input_data!$L:$L,MATCH(dashboard!$B$5&amp;".in.enp.alu.prp.gso",input_data!$A:$A,0))</f>
        <v>0</v>
      </c>
      <c r="W230" s="114" t="n">
        <f aca="false">W216*INDEX(input_data!$L:$L,MATCH(dashboard!$B$5&amp;".in.enp.alu.prp.gso",input_data!$A:$A,0))</f>
        <v>0</v>
      </c>
      <c r="X230" s="114" t="n">
        <f aca="false">X216*INDEX(input_data!$L:$L,MATCH(dashboard!$B$5&amp;".in.enp.alu.prp.gso",input_data!$A:$A,0))</f>
        <v>0</v>
      </c>
    </row>
    <row r="231" customFormat="false" ht="15" hidden="false" customHeight="true" outlineLevel="0" collapsed="false">
      <c r="A231" s="73" t="str">
        <f aca="false">dashboard!$B$5&amp;".pj.enp.alu.prp.die"</f>
        <v>egy.pj.enp.alu.prp.die</v>
      </c>
      <c r="B231" s="73" t="str">
        <f aca="false">dashboard!$B$5</f>
        <v>egy</v>
      </c>
      <c r="C231" s="73" t="s">
        <v>3401</v>
      </c>
      <c r="D231" s="73" t="s">
        <v>918</v>
      </c>
      <c r="E231" s="73" t="s">
        <v>801</v>
      </c>
      <c r="F231" s="73" t="s">
        <v>802</v>
      </c>
      <c r="G231" s="73" t="s">
        <v>103</v>
      </c>
      <c r="H231" s="73" t="s">
        <v>3640</v>
      </c>
      <c r="I231" s="73" t="s">
        <v>3424</v>
      </c>
      <c r="J231" s="73" t="s">
        <v>3434</v>
      </c>
      <c r="K231" s="73"/>
      <c r="L231" s="73"/>
      <c r="M231" s="114" t="n">
        <f aca="false">M216*INDEX(input_data!$L:$L,MATCH(dashboard!$B$5&amp;".in.enp.alu.prp.die",input_data!$A:$A,0))</f>
        <v>0</v>
      </c>
      <c r="N231" s="114" t="n">
        <f aca="false">N216*INDEX(input_data!$L:$L,MATCH(dashboard!$B$5&amp;".in.enp.alu.prp.die",input_data!$A:$A,0))</f>
        <v>0</v>
      </c>
      <c r="O231" s="114" t="n">
        <f aca="false">O216*INDEX(input_data!$L:$L,MATCH(dashboard!$B$5&amp;".in.enp.alu.prp.die",input_data!$A:$A,0))</f>
        <v>0</v>
      </c>
      <c r="P231" s="114" t="n">
        <f aca="false">P216*INDEX(input_data!$L:$L,MATCH(dashboard!$B$5&amp;".in.enp.alu.prp.die",input_data!$A:$A,0))</f>
        <v>0</v>
      </c>
      <c r="Q231" s="114" t="n">
        <f aca="false">Q216*INDEX(input_data!$L:$L,MATCH(dashboard!$B$5&amp;".in.enp.alu.prp.die",input_data!$A:$A,0))</f>
        <v>0</v>
      </c>
      <c r="R231" s="114" t="n">
        <f aca="false">R216*INDEX(input_data!$L:$L,MATCH(dashboard!$B$5&amp;".in.enp.alu.prp.die",input_data!$A:$A,0))</f>
        <v>0</v>
      </c>
      <c r="S231" s="114" t="n">
        <f aca="false">S216*INDEX(input_data!$L:$L,MATCH(dashboard!$B$5&amp;".in.enp.alu.prp.die",input_data!$A:$A,0))</f>
        <v>0</v>
      </c>
      <c r="T231" s="114" t="n">
        <f aca="false">T216*INDEX(input_data!$L:$L,MATCH(dashboard!$B$5&amp;".in.enp.alu.prp.die",input_data!$A:$A,0))</f>
        <v>0</v>
      </c>
      <c r="U231" s="114" t="n">
        <f aca="false">U216*INDEX(input_data!$L:$L,MATCH(dashboard!$B$5&amp;".in.enp.alu.prp.die",input_data!$A:$A,0))</f>
        <v>0</v>
      </c>
      <c r="V231" s="114" t="n">
        <f aca="false">V216*INDEX(input_data!$L:$L,MATCH(dashboard!$B$5&amp;".in.enp.alu.prp.die",input_data!$A:$A,0))</f>
        <v>0</v>
      </c>
      <c r="W231" s="114" t="n">
        <f aca="false">W216*INDEX(input_data!$L:$L,MATCH(dashboard!$B$5&amp;".in.enp.alu.prp.die",input_data!$A:$A,0))</f>
        <v>0</v>
      </c>
      <c r="X231" s="114" t="n">
        <f aca="false">X216*INDEX(input_data!$L:$L,MATCH(dashboard!$B$5&amp;".in.enp.alu.prp.die",input_data!$A:$A,0))</f>
        <v>0</v>
      </c>
    </row>
    <row r="232" customFormat="false" ht="15" hidden="false" customHeight="true" outlineLevel="0" collapsed="false">
      <c r="A232" s="73" t="str">
        <f aca="false">dashboard!$B$5&amp;".pj.enp.alu.prp.ker"</f>
        <v>egy.pj.enp.alu.prp.ker</v>
      </c>
      <c r="B232" s="73" t="str">
        <f aca="false">dashboard!$B$5</f>
        <v>egy</v>
      </c>
      <c r="C232" s="73" t="s">
        <v>3401</v>
      </c>
      <c r="D232" s="73" t="s">
        <v>918</v>
      </c>
      <c r="E232" s="73" t="s">
        <v>801</v>
      </c>
      <c r="F232" s="73" t="s">
        <v>802</v>
      </c>
      <c r="G232" s="73" t="s">
        <v>105</v>
      </c>
      <c r="H232" s="73" t="s">
        <v>3641</v>
      </c>
      <c r="I232" s="73" t="s">
        <v>3424</v>
      </c>
      <c r="J232" s="73" t="s">
        <v>3434</v>
      </c>
      <c r="K232" s="73"/>
      <c r="L232" s="73"/>
      <c r="M232" s="114" t="n">
        <f aca="false">M216*INDEX(input_data!$L:$L,MATCH(dashboard!$B$5&amp;".in.enp.alu.prp.ker",input_data!$A:$A,0))</f>
        <v>0</v>
      </c>
      <c r="N232" s="114" t="n">
        <f aca="false">N216*INDEX(input_data!$L:$L,MATCH(dashboard!$B$5&amp;".in.enp.alu.prp.ker",input_data!$A:$A,0))</f>
        <v>0</v>
      </c>
      <c r="O232" s="114" t="n">
        <f aca="false">O216*INDEX(input_data!$L:$L,MATCH(dashboard!$B$5&amp;".in.enp.alu.prp.ker",input_data!$A:$A,0))</f>
        <v>0</v>
      </c>
      <c r="P232" s="114" t="n">
        <f aca="false">P216*INDEX(input_data!$L:$L,MATCH(dashboard!$B$5&amp;".in.enp.alu.prp.ker",input_data!$A:$A,0))</f>
        <v>0</v>
      </c>
      <c r="Q232" s="114" t="n">
        <f aca="false">Q216*INDEX(input_data!$L:$L,MATCH(dashboard!$B$5&amp;".in.enp.alu.prp.ker",input_data!$A:$A,0))</f>
        <v>0</v>
      </c>
      <c r="R232" s="114" t="n">
        <f aca="false">R216*INDEX(input_data!$L:$L,MATCH(dashboard!$B$5&amp;".in.enp.alu.prp.ker",input_data!$A:$A,0))</f>
        <v>0</v>
      </c>
      <c r="S232" s="114" t="n">
        <f aca="false">S216*INDEX(input_data!$L:$L,MATCH(dashboard!$B$5&amp;".in.enp.alu.prp.ker",input_data!$A:$A,0))</f>
        <v>0</v>
      </c>
      <c r="T232" s="114" t="n">
        <f aca="false">T216*INDEX(input_data!$L:$L,MATCH(dashboard!$B$5&amp;".in.enp.alu.prp.ker",input_data!$A:$A,0))</f>
        <v>0</v>
      </c>
      <c r="U232" s="114" t="n">
        <f aca="false">U216*INDEX(input_data!$L:$L,MATCH(dashboard!$B$5&amp;".in.enp.alu.prp.ker",input_data!$A:$A,0))</f>
        <v>0</v>
      </c>
      <c r="V232" s="114" t="n">
        <f aca="false">V216*INDEX(input_data!$L:$L,MATCH(dashboard!$B$5&amp;".in.enp.alu.prp.ker",input_data!$A:$A,0))</f>
        <v>0</v>
      </c>
      <c r="W232" s="114" t="n">
        <f aca="false">W216*INDEX(input_data!$L:$L,MATCH(dashboard!$B$5&amp;".in.enp.alu.prp.ker",input_data!$A:$A,0))</f>
        <v>0</v>
      </c>
      <c r="X232" s="114" t="n">
        <f aca="false">X216*INDEX(input_data!$L:$L,MATCH(dashboard!$B$5&amp;".in.enp.alu.prp.ker",input_data!$A:$A,0))</f>
        <v>0</v>
      </c>
    </row>
    <row r="233" customFormat="false" ht="15" hidden="false" customHeight="true" outlineLevel="0" collapsed="false">
      <c r="A233" s="73" t="str">
        <f aca="false">dashboard!$B$5&amp;".pj.enp.alu.prp.lpg"</f>
        <v>egy.pj.enp.alu.prp.lpg</v>
      </c>
      <c r="B233" s="73" t="str">
        <f aca="false">dashboard!$B$5</f>
        <v>egy</v>
      </c>
      <c r="C233" s="73" t="s">
        <v>3401</v>
      </c>
      <c r="D233" s="73" t="s">
        <v>918</v>
      </c>
      <c r="E233" s="73" t="s">
        <v>801</v>
      </c>
      <c r="F233" s="73" t="s">
        <v>802</v>
      </c>
      <c r="G233" s="73" t="s">
        <v>107</v>
      </c>
      <c r="H233" s="73" t="s">
        <v>3642</v>
      </c>
      <c r="I233" s="73" t="s">
        <v>3424</v>
      </c>
      <c r="J233" s="73" t="s">
        <v>3434</v>
      </c>
      <c r="K233" s="73"/>
      <c r="L233" s="73"/>
      <c r="M233" s="114" t="n">
        <f aca="false">M216*INDEX(input_data!$L:$L,MATCH(dashboard!$B$5&amp;".in.enp.alu.prp.lpg",input_data!$A:$A,0))</f>
        <v>0</v>
      </c>
      <c r="N233" s="114" t="n">
        <f aca="false">N216*INDEX(input_data!$L:$L,MATCH(dashboard!$B$5&amp;".in.enp.alu.prp.lpg",input_data!$A:$A,0))</f>
        <v>0</v>
      </c>
      <c r="O233" s="114" t="n">
        <f aca="false">O216*INDEX(input_data!$L:$L,MATCH(dashboard!$B$5&amp;".in.enp.alu.prp.lpg",input_data!$A:$A,0))</f>
        <v>0</v>
      </c>
      <c r="P233" s="114" t="n">
        <f aca="false">P216*INDEX(input_data!$L:$L,MATCH(dashboard!$B$5&amp;".in.enp.alu.prp.lpg",input_data!$A:$A,0))</f>
        <v>0</v>
      </c>
      <c r="Q233" s="114" t="n">
        <f aca="false">Q216*INDEX(input_data!$L:$L,MATCH(dashboard!$B$5&amp;".in.enp.alu.prp.lpg",input_data!$A:$A,0))</f>
        <v>0</v>
      </c>
      <c r="R233" s="114" t="n">
        <f aca="false">R216*INDEX(input_data!$L:$L,MATCH(dashboard!$B$5&amp;".in.enp.alu.prp.lpg",input_data!$A:$A,0))</f>
        <v>0</v>
      </c>
      <c r="S233" s="114" t="n">
        <f aca="false">S216*INDEX(input_data!$L:$L,MATCH(dashboard!$B$5&amp;".in.enp.alu.prp.lpg",input_data!$A:$A,0))</f>
        <v>0</v>
      </c>
      <c r="T233" s="114" t="n">
        <f aca="false">T216*INDEX(input_data!$L:$L,MATCH(dashboard!$B$5&amp;".in.enp.alu.prp.lpg",input_data!$A:$A,0))</f>
        <v>0</v>
      </c>
      <c r="U233" s="114" t="n">
        <f aca="false">U216*INDEX(input_data!$L:$L,MATCH(dashboard!$B$5&amp;".in.enp.alu.prp.lpg",input_data!$A:$A,0))</f>
        <v>0</v>
      </c>
      <c r="V233" s="114" t="n">
        <f aca="false">V216*INDEX(input_data!$L:$L,MATCH(dashboard!$B$5&amp;".in.enp.alu.prp.lpg",input_data!$A:$A,0))</f>
        <v>0</v>
      </c>
      <c r="W233" s="114" t="n">
        <f aca="false">W216*INDEX(input_data!$L:$L,MATCH(dashboard!$B$5&amp;".in.enp.alu.prp.lpg",input_data!$A:$A,0))</f>
        <v>0</v>
      </c>
      <c r="X233" s="114" t="n">
        <f aca="false">X216*INDEX(input_data!$L:$L,MATCH(dashboard!$B$5&amp;".in.enp.alu.prp.lpg",input_data!$A:$A,0))</f>
        <v>0</v>
      </c>
    </row>
    <row r="234" customFormat="false" ht="15" hidden="false" customHeight="true" outlineLevel="0" collapsed="false">
      <c r="A234" s="73" t="str">
        <f aca="false">dashboard!$B$5&amp;".pj.enp.alu.prp.bio"</f>
        <v>egy.pj.enp.alu.prp.bio</v>
      </c>
      <c r="B234" s="73" t="str">
        <f aca="false">dashboard!$B$5</f>
        <v>egy</v>
      </c>
      <c r="C234" s="73" t="s">
        <v>3401</v>
      </c>
      <c r="D234" s="73" t="s">
        <v>918</v>
      </c>
      <c r="E234" s="73" t="s">
        <v>801</v>
      </c>
      <c r="F234" s="73" t="s">
        <v>802</v>
      </c>
      <c r="G234" s="73" t="s">
        <v>109</v>
      </c>
      <c r="H234" s="73" t="s">
        <v>3643</v>
      </c>
      <c r="I234" s="73" t="s">
        <v>3424</v>
      </c>
      <c r="J234" s="73" t="s">
        <v>3434</v>
      </c>
      <c r="K234" s="73"/>
      <c r="L234" s="73"/>
      <c r="M234" s="114" t="n">
        <f aca="false">M216*INDEX(input_data!$L:$L,MATCH(dashboard!$B$5&amp;".in.enp.alu.prp.bio",input_data!$A:$A,0))</f>
        <v>0</v>
      </c>
      <c r="N234" s="114" t="n">
        <f aca="false">N216*INDEX(input_data!$L:$L,MATCH(dashboard!$B$5&amp;".in.enp.alu.prp.bio",input_data!$A:$A,0))</f>
        <v>0</v>
      </c>
      <c r="O234" s="114" t="n">
        <f aca="false">O216*INDEX(input_data!$L:$L,MATCH(dashboard!$B$5&amp;".in.enp.alu.prp.bio",input_data!$A:$A,0))</f>
        <v>0</v>
      </c>
      <c r="P234" s="114" t="n">
        <f aca="false">P216*INDEX(input_data!$L:$L,MATCH(dashboard!$B$5&amp;".in.enp.alu.prp.bio",input_data!$A:$A,0))</f>
        <v>0</v>
      </c>
      <c r="Q234" s="114" t="n">
        <f aca="false">Q216*INDEX(input_data!$L:$L,MATCH(dashboard!$B$5&amp;".in.enp.alu.prp.bio",input_data!$A:$A,0))</f>
        <v>0</v>
      </c>
      <c r="R234" s="114" t="n">
        <f aca="false">R216*INDEX(input_data!$L:$L,MATCH(dashboard!$B$5&amp;".in.enp.alu.prp.bio",input_data!$A:$A,0))</f>
        <v>0</v>
      </c>
      <c r="S234" s="114" t="n">
        <f aca="false">S216*INDEX(input_data!$L:$L,MATCH(dashboard!$B$5&amp;".in.enp.alu.prp.bio",input_data!$A:$A,0))</f>
        <v>0</v>
      </c>
      <c r="T234" s="114" t="n">
        <f aca="false">T216*INDEX(input_data!$L:$L,MATCH(dashboard!$B$5&amp;".in.enp.alu.prp.bio",input_data!$A:$A,0))</f>
        <v>0</v>
      </c>
      <c r="U234" s="114" t="n">
        <f aca="false">U216*INDEX(input_data!$L:$L,MATCH(dashboard!$B$5&amp;".in.enp.alu.prp.bio",input_data!$A:$A,0))</f>
        <v>0</v>
      </c>
      <c r="V234" s="114" t="n">
        <f aca="false">V216*INDEX(input_data!$L:$L,MATCH(dashboard!$B$5&amp;".in.enp.alu.prp.bio",input_data!$A:$A,0))</f>
        <v>0</v>
      </c>
      <c r="W234" s="114" t="n">
        <f aca="false">W216*INDEX(input_data!$L:$L,MATCH(dashboard!$B$5&amp;".in.enp.alu.prp.bio",input_data!$A:$A,0))</f>
        <v>0</v>
      </c>
      <c r="X234" s="114" t="n">
        <f aca="false">X216*INDEX(input_data!$L:$L,MATCH(dashboard!$B$5&amp;".in.enp.alu.prp.bio",input_data!$A:$A,0))</f>
        <v>0</v>
      </c>
    </row>
    <row r="235" customFormat="false" ht="15" hidden="false" customHeight="true" outlineLevel="0" collapsed="false">
      <c r="A235" s="73" t="str">
        <f aca="false">dashboard!$B$5&amp;".pj.enp.alu.prp.ren"</f>
        <v>egy.pj.enp.alu.prp.ren</v>
      </c>
      <c r="B235" s="73" t="str">
        <f aca="false">dashboard!$B$5</f>
        <v>egy</v>
      </c>
      <c r="C235" s="73" t="s">
        <v>3401</v>
      </c>
      <c r="D235" s="73" t="s">
        <v>918</v>
      </c>
      <c r="E235" s="73" t="s">
        <v>801</v>
      </c>
      <c r="F235" s="73" t="s">
        <v>802</v>
      </c>
      <c r="G235" s="73" t="s">
        <v>111</v>
      </c>
      <c r="H235" s="73" t="s">
        <v>3644</v>
      </c>
      <c r="I235" s="73" t="s">
        <v>3424</v>
      </c>
      <c r="J235" s="73" t="s">
        <v>3434</v>
      </c>
      <c r="K235" s="73"/>
      <c r="L235" s="73"/>
      <c r="M235" s="114" t="n">
        <f aca="false">M216*INDEX(input_data!$L:$L,MATCH(dashboard!$B$5&amp;".in.enp.alu.prp.ren",input_data!$A:$A,0))</f>
        <v>0</v>
      </c>
      <c r="N235" s="114" t="n">
        <f aca="false">N216*INDEX(input_data!$L:$L,MATCH(dashboard!$B$5&amp;".in.enp.alu.prp.ren",input_data!$A:$A,0))</f>
        <v>0</v>
      </c>
      <c r="O235" s="114" t="n">
        <f aca="false">O216*INDEX(input_data!$L:$L,MATCH(dashboard!$B$5&amp;".in.enp.alu.prp.ren",input_data!$A:$A,0))</f>
        <v>0</v>
      </c>
      <c r="P235" s="114" t="n">
        <f aca="false">P216*INDEX(input_data!$L:$L,MATCH(dashboard!$B$5&amp;".in.enp.alu.prp.ren",input_data!$A:$A,0))</f>
        <v>0</v>
      </c>
      <c r="Q235" s="114" t="n">
        <f aca="false">Q216*INDEX(input_data!$L:$L,MATCH(dashboard!$B$5&amp;".in.enp.alu.prp.ren",input_data!$A:$A,0))</f>
        <v>0</v>
      </c>
      <c r="R235" s="114" t="n">
        <f aca="false">R216*INDEX(input_data!$L:$L,MATCH(dashboard!$B$5&amp;".in.enp.alu.prp.ren",input_data!$A:$A,0))</f>
        <v>0</v>
      </c>
      <c r="S235" s="114" t="n">
        <f aca="false">S216*INDEX(input_data!$L:$L,MATCH(dashboard!$B$5&amp;".in.enp.alu.prp.ren",input_data!$A:$A,0))</f>
        <v>0</v>
      </c>
      <c r="T235" s="114" t="n">
        <f aca="false">T216*INDEX(input_data!$L:$L,MATCH(dashboard!$B$5&amp;".in.enp.alu.prp.ren",input_data!$A:$A,0))</f>
        <v>0</v>
      </c>
      <c r="U235" s="114" t="n">
        <f aca="false">U216*INDEX(input_data!$L:$L,MATCH(dashboard!$B$5&amp;".in.enp.alu.prp.ren",input_data!$A:$A,0))</f>
        <v>0</v>
      </c>
      <c r="V235" s="114" t="n">
        <f aca="false">V216*INDEX(input_data!$L:$L,MATCH(dashboard!$B$5&amp;".in.enp.alu.prp.ren",input_data!$A:$A,0))</f>
        <v>0</v>
      </c>
      <c r="W235" s="114" t="n">
        <f aca="false">W216*INDEX(input_data!$L:$L,MATCH(dashboard!$B$5&amp;".in.enp.alu.prp.ren",input_data!$A:$A,0))</f>
        <v>0</v>
      </c>
      <c r="X235" s="114" t="n">
        <f aca="false">X216*INDEX(input_data!$L:$L,MATCH(dashboard!$B$5&amp;".in.enp.alu.prp.ren",input_data!$A:$A,0))</f>
        <v>0</v>
      </c>
    </row>
    <row r="236" customFormat="false" ht="15" hidden="false" customHeight="true" outlineLevel="0" collapsed="false">
      <c r="A236" s="73" t="str">
        <f aca="false">dashboard!$B$5&amp;".pj.ele.alu.prp.elc"</f>
        <v>egy.pj.ele.alu.prp.elc</v>
      </c>
      <c r="B236" s="73" t="str">
        <f aca="false">dashboard!$B$5</f>
        <v>egy</v>
      </c>
      <c r="C236" s="73" t="s">
        <v>3401</v>
      </c>
      <c r="D236" s="73" t="s">
        <v>943</v>
      </c>
      <c r="E236" s="73" t="s">
        <v>801</v>
      </c>
      <c r="F236" s="73" t="s">
        <v>802</v>
      </c>
      <c r="G236" s="73" t="s">
        <v>944</v>
      </c>
      <c r="H236" s="73" t="s">
        <v>3645</v>
      </c>
      <c r="I236" s="73" t="s">
        <v>3424</v>
      </c>
      <c r="J236" s="73" t="s">
        <v>3443</v>
      </c>
      <c r="K236" s="73"/>
      <c r="L236" s="73"/>
      <c r="M236" s="114" t="n">
        <f aca="false">M216*INDEX(input_data!$L:$L,MATCH(dashboard!$B$5&amp;".in.ele.alu.prp.elc",input_data!$A:$A,0))</f>
        <v>15.08</v>
      </c>
      <c r="N236" s="114" t="n">
        <f aca="false">N216*INDEX(input_data!$L:$L,MATCH(dashboard!$B$5&amp;".in.ele.alu.prp.elc",input_data!$A:$A,0))</f>
        <v>15.739948579597</v>
      </c>
      <c r="O236" s="114" t="n">
        <f aca="false">O216*INDEX(input_data!$L:$L,MATCH(dashboard!$B$5&amp;".in.ele.alu.prp.elc",input_data!$A:$A,0))</f>
        <v>16.4287786000238</v>
      </c>
      <c r="P236" s="114" t="n">
        <f aca="false">P216*INDEX(input_data!$L:$L,MATCH(dashboard!$B$5&amp;".in.ele.alu.prp.elc",input_data!$A:$A,0))</f>
        <v>17.1477540046392</v>
      </c>
      <c r="Q236" s="114" t="n">
        <f aca="false">Q216*INDEX(input_data!$L:$L,MATCH(dashboard!$B$5&amp;".in.ele.alu.prp.elc",input_data!$A:$A,0))</f>
        <v>17.8981940509682</v>
      </c>
      <c r="R236" s="114" t="n">
        <f aca="false">R216*INDEX(input_data!$L:$L,MATCH(dashboard!$B$5&amp;".in.ele.alu.prp.elc",input_data!$A:$A,0))</f>
        <v>18.681475731425</v>
      </c>
      <c r="S236" s="114" t="n">
        <f aca="false">S216*INDEX(input_data!$L:$L,MATCH(dashboard!$B$5&amp;".in.ele.alu.prp.elc",input_data!$A:$A,0))</f>
        <v>19.4990362999748</v>
      </c>
      <c r="T236" s="114" t="n">
        <f aca="false">T216*INDEX(input_data!$L:$L,MATCH(dashboard!$B$5&amp;".in.ele.alu.prp.elc",input_data!$A:$A,0))</f>
        <v>20.35237590937</v>
      </c>
      <c r="U236" s="114" t="n">
        <f aca="false">U216*INDEX(input_data!$L:$L,MATCH(dashboard!$B$5&amp;".in.ele.alu.prp.elc",input_data!$A:$A,0))</f>
        <v>21.2430603638006</v>
      </c>
      <c r="V236" s="114" t="n">
        <f aca="false">V216*INDEX(input_data!$L:$L,MATCH(dashboard!$B$5&amp;".in.ele.alu.prp.elc",input_data!$A:$A,0))</f>
        <v>22.1727239920091</v>
      </c>
      <c r="W236" s="114" t="n">
        <f aca="false">W216*INDEX(input_data!$L:$L,MATCH(dashboard!$B$5&amp;".in.ele.alu.prp.elc",input_data!$A:$A,0))</f>
        <v>23.143072646142</v>
      </c>
      <c r="X236" s="114" t="n">
        <f aca="false">X216*INDEX(input_data!$L:$L,MATCH(dashboard!$B$5&amp;".in.ele.alu.prp.elc",input_data!$A:$A,0))</f>
        <v>24.1558868318404</v>
      </c>
    </row>
    <row r="237" customFormat="false" ht="15" hidden="false" customHeight="true" outlineLevel="0" collapsed="false">
      <c r="A237" s="73" t="str">
        <f aca="false">dashboard!$B$5&amp;".em.sfc.alu.prp.---"</f>
        <v>egy.em.sfc.alu.prp.---</v>
      </c>
      <c r="B237" s="73" t="str">
        <f aca="false">dashboard!$B$5</f>
        <v>egy</v>
      </c>
      <c r="C237" s="73" t="s">
        <v>3444</v>
      </c>
      <c r="D237" s="73" t="s">
        <v>3445</v>
      </c>
      <c r="E237" s="73" t="s">
        <v>801</v>
      </c>
      <c r="F237" s="73" t="s">
        <v>802</v>
      </c>
      <c r="G237" s="73" t="s">
        <v>655</v>
      </c>
      <c r="H237" s="73" t="s">
        <v>3646</v>
      </c>
      <c r="I237" s="73" t="s">
        <v>3447</v>
      </c>
      <c r="J237" s="73" t="s">
        <v>3448</v>
      </c>
      <c r="K237" s="73"/>
      <c r="L237" s="73"/>
      <c r="M237" s="114" t="n">
        <f aca="false">SUMPRODUCT(M220:M227,M10:M17)/1000</f>
        <v>0.032538</v>
      </c>
      <c r="N237" s="114" t="n">
        <f aca="false">SUMPRODUCT(N220:N227,N10:N17)/1000</f>
        <v>0.033961965973669</v>
      </c>
      <c r="O237" s="114" t="n">
        <f aca="false">SUMPRODUCT(O220:O227,O10:O17)/1000</f>
        <v>0.0354482492100514</v>
      </c>
      <c r="P237" s="114" t="n">
        <f aca="false">SUMPRODUCT(P220:P227,P10:P17)/1000</f>
        <v>0.03699957691001</v>
      </c>
      <c r="Q237" s="114" t="n">
        <f aca="false">SUMPRODUCT(Q220:Q227,Q10:Q17)/1000</f>
        <v>0.0386187956253583</v>
      </c>
      <c r="R237" s="114" t="n">
        <f aca="false">SUMPRODUCT(R220:R227,R10:R17)/1000</f>
        <v>0.0403088764820362</v>
      </c>
      <c r="S237" s="114" t="n">
        <f aca="false">SUMPRODUCT(S220:S227,S10:S17)/1000</f>
        <v>0.0420729206318687</v>
      </c>
      <c r="T237" s="114" t="n">
        <f aca="false">SUMPRODUCT(T220:T227,T10:T17)/1000</f>
        <v>0.0439141649429098</v>
      </c>
      <c r="U237" s="114" t="n">
        <f aca="false">SUMPRODUCT(U220:U227,U10:U17)/1000</f>
        <v>0.0458359879388159</v>
      </c>
      <c r="V237" s="114" t="n">
        <f aca="false">SUMPRODUCT(V220:V227,V10:V17)/1000</f>
        <v>0.0478419159981427</v>
      </c>
      <c r="W237" s="114" t="n">
        <f aca="false">SUMPRODUCT(W220:W227,W10:W17)/1000</f>
        <v>0.0499356298249448</v>
      </c>
      <c r="X237" s="114" t="n">
        <f aca="false">SUMPRODUCT(X220:X227,X10:X17)/1000</f>
        <v>0.052120971202548</v>
      </c>
    </row>
    <row r="238" customFormat="false" ht="15" hidden="false" customHeight="true" outlineLevel="0" collapsed="false">
      <c r="A238" s="73" t="str">
        <f aca="false">dashboard!$B$5&amp;".em.sfp.alu.prp.---"</f>
        <v>egy.em.sfp.alu.prp.---</v>
      </c>
      <c r="B238" s="73" t="str">
        <f aca="false">dashboard!$B$5</f>
        <v>egy</v>
      </c>
      <c r="C238" s="73" t="s">
        <v>3444</v>
      </c>
      <c r="D238" s="73" t="s">
        <v>3449</v>
      </c>
      <c r="E238" s="73" t="s">
        <v>801</v>
      </c>
      <c r="F238" s="73" t="s">
        <v>802</v>
      </c>
      <c r="G238" s="73" t="s">
        <v>655</v>
      </c>
      <c r="H238" s="73" t="s">
        <v>3647</v>
      </c>
      <c r="I238" s="73" t="s">
        <v>3447</v>
      </c>
      <c r="J238" s="73" t="s">
        <v>3451</v>
      </c>
      <c r="K238" s="73"/>
      <c r="L238" s="73"/>
      <c r="M238" s="114" t="n">
        <f aca="false">SUMPRODUCT(M228:M235,M10:M17)/1000</f>
        <v>0</v>
      </c>
      <c r="N238" s="114" t="n">
        <f aca="false">SUMPRODUCT(N228:N235,N10:N17)/1000</f>
        <v>0</v>
      </c>
      <c r="O238" s="114" t="n">
        <f aca="false">SUMPRODUCT(O228:O235,O10:O17)/1000</f>
        <v>0</v>
      </c>
      <c r="P238" s="114" t="n">
        <f aca="false">SUMPRODUCT(P228:P235,P10:P17)/1000</f>
        <v>0</v>
      </c>
      <c r="Q238" s="114" t="n">
        <f aca="false">SUMPRODUCT(Q228:Q235,Q10:Q17)/1000</f>
        <v>0</v>
      </c>
      <c r="R238" s="114" t="n">
        <f aca="false">SUMPRODUCT(R228:R235,R10:R17)/1000</f>
        <v>0</v>
      </c>
      <c r="S238" s="114" t="n">
        <f aca="false">SUMPRODUCT(S228:S235,S10:S17)/1000</f>
        <v>0</v>
      </c>
      <c r="T238" s="114" t="n">
        <f aca="false">SUMPRODUCT(T228:T235,T10:T17)/1000</f>
        <v>0</v>
      </c>
      <c r="U238" s="114" t="n">
        <f aca="false">SUMPRODUCT(U228:U235,U10:U17)/1000</f>
        <v>0</v>
      </c>
      <c r="V238" s="114" t="n">
        <f aca="false">SUMPRODUCT(V228:V235,V10:V17)/1000</f>
        <v>0</v>
      </c>
      <c r="W238" s="114" t="n">
        <f aca="false">SUMPRODUCT(W228:W235,W10:W17)/1000</f>
        <v>0</v>
      </c>
      <c r="X238" s="114" t="n">
        <f aca="false">SUMPRODUCT(X228:X235,X10:X17)/1000</f>
        <v>0</v>
      </c>
    </row>
    <row r="239" customFormat="false" ht="15" hidden="false" customHeight="true" outlineLevel="0" collapsed="false">
      <c r="A239" s="73" t="str">
        <f aca="false">dashboard!$B$5&amp;".em.snp.alu.prp.---"</f>
        <v>egy.em.snp.alu.prp.---</v>
      </c>
      <c r="B239" s="73" t="str">
        <f aca="false">dashboard!$B$5</f>
        <v>egy</v>
      </c>
      <c r="C239" s="73" t="s">
        <v>3444</v>
      </c>
      <c r="D239" s="73" t="s">
        <v>3452</v>
      </c>
      <c r="E239" s="73" t="s">
        <v>801</v>
      </c>
      <c r="F239" s="73" t="s">
        <v>802</v>
      </c>
      <c r="G239" s="73" t="s">
        <v>655</v>
      </c>
      <c r="H239" s="73" t="s">
        <v>3648</v>
      </c>
      <c r="I239" s="73" t="s">
        <v>3447</v>
      </c>
      <c r="J239" s="73" t="s">
        <v>3454</v>
      </c>
      <c r="K239" s="73"/>
      <c r="L239" s="73"/>
      <c r="M239" s="114" t="n">
        <f aca="false">M216*INDEX(input_data!$L:$L,MATCH(dashboard!$B$5&amp;".in.efn.alu.prp.---",input_data!$A:$A,0))</f>
        <v>0.435</v>
      </c>
      <c r="N239" s="114" t="n">
        <f aca="false">N216*INDEX(input_data!$L:$L,MATCH(dashboard!$B$5&amp;".in.efn.alu.prp.---",input_data!$A:$A,0))</f>
        <v>0.454036978257607</v>
      </c>
      <c r="O239" s="114" t="n">
        <f aca="false">O216*INDEX(input_data!$L:$L,MATCH(dashboard!$B$5&amp;".in.efn.alu.prp.---",input_data!$A:$A,0))</f>
        <v>0.473907075000687</v>
      </c>
      <c r="P239" s="114" t="n">
        <f aca="false">P216*INDEX(input_data!$L:$L,MATCH(dashboard!$B$5&amp;".in.efn.alu.prp.---",input_data!$A:$A,0))</f>
        <v>0.494646750133823</v>
      </c>
      <c r="Q239" s="114" t="n">
        <f aca="false">Q216*INDEX(input_data!$L:$L,MATCH(dashboard!$B$5&amp;".in.efn.alu.prp.---",input_data!$A:$A,0))</f>
        <v>0.516294059162544</v>
      </c>
      <c r="R239" s="114" t="n">
        <f aca="false">R216*INDEX(input_data!$L:$L,MATCH(dashboard!$B$5&amp;".in.efn.alu.prp.---",input_data!$A:$A,0))</f>
        <v>0.538888723021875</v>
      </c>
      <c r="S239" s="114" t="n">
        <f aca="false">S216*INDEX(input_data!$L:$L,MATCH(dashboard!$B$5&amp;".in.efn.alu.prp.---",input_data!$A:$A,0))</f>
        <v>0.562472200960811</v>
      </c>
      <c r="T239" s="114" t="n">
        <f aca="false">T216*INDEX(input_data!$L:$L,MATCH(dashboard!$B$5&amp;".in.efn.alu.prp.---",input_data!$A:$A,0))</f>
        <v>0.587087766616441</v>
      </c>
      <c r="U239" s="114" t="n">
        <f aca="false">U216*INDEX(input_data!$L:$L,MATCH(dashboard!$B$5&amp;".in.efn.alu.prp.---",input_data!$A:$A,0))</f>
        <v>0.612780587417325</v>
      </c>
      <c r="V239" s="114" t="n">
        <f aca="false">V216*INDEX(input_data!$L:$L,MATCH(dashboard!$B$5&amp;".in.efn.alu.prp.---",input_data!$A:$A,0))</f>
        <v>0.639597807461801</v>
      </c>
      <c r="W239" s="114" t="n">
        <f aca="false">W216*INDEX(input_data!$L:$L,MATCH(dashboard!$B$5&amp;".in.efn.alu.prp.---",input_data!$A:$A,0))</f>
        <v>0.667588634023326</v>
      </c>
      <c r="X239" s="114" t="n">
        <f aca="false">X216*INDEX(input_data!$L:$L,MATCH(dashboard!$B$5&amp;".in.efn.alu.prp.---",input_data!$A:$A,0))</f>
        <v>0.696804427841551</v>
      </c>
    </row>
    <row r="240" customFormat="false" ht="15" hidden="false" customHeight="true" outlineLevel="0" collapsed="false">
      <c r="A240" s="73" t="str">
        <f aca="false">dashboard!$B$5&amp;".em.sno.alu.prp.---"</f>
        <v>egy.em.sno.alu.prp.---</v>
      </c>
      <c r="B240" s="73" t="str">
        <f aca="false">dashboard!$B$5</f>
        <v>egy</v>
      </c>
      <c r="C240" s="73" t="s">
        <v>3444</v>
      </c>
      <c r="D240" s="73" t="s">
        <v>3455</v>
      </c>
      <c r="E240" s="73" t="s">
        <v>801</v>
      </c>
      <c r="F240" s="73" t="s">
        <v>802</v>
      </c>
      <c r="G240" s="73" t="s">
        <v>655</v>
      </c>
      <c r="H240" s="73" t="s">
        <v>3649</v>
      </c>
      <c r="I240" s="73" t="s">
        <v>3457</v>
      </c>
      <c r="J240" s="73" t="s">
        <v>3458</v>
      </c>
      <c r="K240" s="73"/>
      <c r="L240" s="73"/>
      <c r="M240" s="114" t="n">
        <f aca="false">M216*INDEX(input_data!$L:$L,MATCH(dashboard!$B$5&amp;".in.efo.alu.prp.---",input_data!$A:$A,0))</f>
        <v>0.203</v>
      </c>
      <c r="N240" s="114" t="n">
        <f aca="false">N216*INDEX(input_data!$L:$L,MATCH(dashboard!$B$5&amp;".in.efo.alu.prp.---",input_data!$A:$A,0))</f>
        <v>0.211883923186883</v>
      </c>
      <c r="O240" s="114" t="n">
        <f aca="false">O216*INDEX(input_data!$L:$L,MATCH(dashboard!$B$5&amp;".in.efo.alu.prp.---",input_data!$A:$A,0))</f>
        <v>0.22115663500032</v>
      </c>
      <c r="P240" s="114" t="n">
        <f aca="false">P216*INDEX(input_data!$L:$L,MATCH(dashboard!$B$5&amp;".in.efo.alu.prp.---",input_data!$A:$A,0))</f>
        <v>0.230835150062451</v>
      </c>
      <c r="Q240" s="114" t="n">
        <f aca="false">Q216*INDEX(input_data!$L:$L,MATCH(dashboard!$B$5&amp;".in.efo.alu.prp.---",input_data!$A:$A,0))</f>
        <v>0.240937227609187</v>
      </c>
      <c r="R240" s="114" t="n">
        <f aca="false">R216*INDEX(input_data!$L:$L,MATCH(dashboard!$B$5&amp;".in.efo.alu.prp.---",input_data!$A:$A,0))</f>
        <v>0.251481404076875</v>
      </c>
      <c r="S240" s="114" t="n">
        <f aca="false">S216*INDEX(input_data!$L:$L,MATCH(dashboard!$B$5&amp;".in.efo.alu.prp.---",input_data!$A:$A,0))</f>
        <v>0.262487027115045</v>
      </c>
      <c r="T240" s="114" t="n">
        <f aca="false">T216*INDEX(input_data!$L:$L,MATCH(dashboard!$B$5&amp;".in.efo.alu.prp.---",input_data!$A:$A,0))</f>
        <v>0.273974291087673</v>
      </c>
      <c r="U240" s="114" t="n">
        <f aca="false">U216*INDEX(input_data!$L:$L,MATCH(dashboard!$B$5&amp;".in.efo.alu.prp.---",input_data!$A:$A,0))</f>
        <v>0.285964274128085</v>
      </c>
      <c r="V240" s="114" t="n">
        <f aca="false">V216*INDEX(input_data!$L:$L,MATCH(dashboard!$B$5&amp;".in.efo.alu.prp.---",input_data!$A:$A,0))</f>
        <v>0.298478976815507</v>
      </c>
      <c r="W240" s="114" t="n">
        <f aca="false">W216*INDEX(input_data!$L:$L,MATCH(dashboard!$B$5&amp;".in.efo.alu.prp.---",input_data!$A:$A,0))</f>
        <v>0.311541362544219</v>
      </c>
      <c r="X240" s="114" t="n">
        <f aca="false">X216*INDEX(input_data!$L:$L,MATCH(dashboard!$B$5&amp;".in.efo.alu.prp.---",input_data!$A:$A,0))</f>
        <v>0.32517539965939</v>
      </c>
    </row>
    <row r="241" customFormat="false" ht="15" hidden="false" customHeight="true" outlineLevel="0" collapsed="false">
      <c r="A241" s="73" t="str">
        <f aca="false">dashboard!$B$5&amp;".em.s2e.alu.prp.elc"</f>
        <v>egy.em.s2e.alu.prp.elc</v>
      </c>
      <c r="B241" s="73" t="str">
        <f aca="false">dashboard!$B$5</f>
        <v>egy</v>
      </c>
      <c r="C241" s="73" t="s">
        <v>3444</v>
      </c>
      <c r="D241" s="73" t="s">
        <v>3459</v>
      </c>
      <c r="E241" s="73" t="s">
        <v>801</v>
      </c>
      <c r="F241" s="73" t="s">
        <v>802</v>
      </c>
      <c r="G241" s="73" t="s">
        <v>944</v>
      </c>
      <c r="H241" s="73" t="s">
        <v>3650</v>
      </c>
      <c r="I241" s="73" t="s">
        <v>3447</v>
      </c>
      <c r="J241" s="73" t="s">
        <v>3461</v>
      </c>
      <c r="K241" s="73"/>
      <c r="L241" s="73"/>
      <c r="M241" s="114" t="n">
        <f aca="false">M236*INDEX(input_data!$M:$X,MATCH(dashboard!$B$5&amp;".in.gef.---.---.---",input_data!$A:$A,0),COLUMNS($M:M))/3.6</f>
        <v>2.13633333333333</v>
      </c>
      <c r="N241" s="114" t="n">
        <f aca="false">N236*INDEX(input_data!$M:$X,MATCH(dashboard!$B$5&amp;".in.gef.---.---.---",input_data!$A:$A,0),COLUMNS($M:N))/3.6</f>
        <v>2.18610396938848</v>
      </c>
      <c r="O241" s="114" t="n">
        <f aca="false">O236*INDEX(input_data!$M:$X,MATCH(dashboard!$B$5&amp;".in.gef.---.---.---",input_data!$A:$A,0),COLUMNS($M:O))/3.6</f>
        <v>2.23613930944768</v>
      </c>
      <c r="P241" s="114" t="n">
        <f aca="false">P236*INDEX(input_data!$M:$X,MATCH(dashboard!$B$5&amp;".in.gef.---.---.---",input_data!$A:$A,0),COLUMNS($M:P))/3.6</f>
        <v>2.28636720061856</v>
      </c>
      <c r="Q241" s="114" t="n">
        <f aca="false">Q236*INDEX(input_data!$M:$X,MATCH(dashboard!$B$5&amp;".in.gef.---.---.---",input_data!$A:$A,0),COLUMNS($M:Q))/3.6</f>
        <v>2.33670866776529</v>
      </c>
      <c r="R241" s="114" t="n">
        <f aca="false">R236*INDEX(input_data!$M:$X,MATCH(dashboard!$B$5&amp;".in.gef.---.---.---",input_data!$A:$A,0),COLUMNS($M:R))/3.6</f>
        <v>2.38707745457097</v>
      </c>
      <c r="S241" s="114" t="n">
        <f aca="false">S236*INDEX(input_data!$M:$X,MATCH(dashboard!$B$5&amp;".in.gef.---.---.---",input_data!$A:$A,0),COLUMNS($M:S))/3.6</f>
        <v>2.43737953749685</v>
      </c>
      <c r="T241" s="114" t="n">
        <f aca="false">T236*INDEX(input_data!$M:$X,MATCH(dashboard!$B$5&amp;".in.gef.---.---.---",input_data!$A:$A,0),COLUMNS($M:T))/3.6</f>
        <v>2.48751261114522</v>
      </c>
      <c r="U241" s="114" t="n">
        <f aca="false">U236*INDEX(input_data!$M:$X,MATCH(dashboard!$B$5&amp;".in.gef.---.---.---",input_data!$A:$A,0),COLUMNS($M:U))/3.6</f>
        <v>2.53736554345396</v>
      </c>
      <c r="V241" s="114" t="n">
        <f aca="false">V236*INDEX(input_data!$M:$X,MATCH(dashboard!$B$5&amp;".in.gef.---.---.---",input_data!$A:$A,0),COLUMNS($M:V))/3.6</f>
        <v>2.58681779906773</v>
      </c>
      <c r="W241" s="114" t="n">
        <f aca="false">W236*INDEX(input_data!$M:$X,MATCH(dashboard!$B$5&amp;".in.gef.---.---.---",input_data!$A:$A,0),COLUMNS($M:W))/3.6</f>
        <v>2.63573882914395</v>
      </c>
      <c r="X241" s="114" t="n">
        <f aca="false">X236*INDEX(input_data!$M:$X,MATCH(dashboard!$B$5&amp;".in.gef.---.---.---",input_data!$A:$A,0),COLUMNS($M:X))/3.6</f>
        <v>2.68398742576005</v>
      </c>
    </row>
    <row r="243" customFormat="false" ht="21.75" hidden="false" customHeight="true" outlineLevel="0" collapsed="false">
      <c r="A243" s="70" t="s">
        <v>3651</v>
      </c>
      <c r="B243" s="70"/>
      <c r="C243" s="70"/>
      <c r="D243" s="70"/>
      <c r="E243" s="70"/>
      <c r="F243" s="70"/>
      <c r="G243" s="70"/>
      <c r="H243" s="70"/>
      <c r="I243" s="70"/>
      <c r="J243" s="70"/>
      <c r="K243" s="70"/>
      <c r="L243" s="70"/>
      <c r="M243" s="70"/>
      <c r="N243" s="70"/>
      <c r="O243" s="70"/>
      <c r="P243" s="70"/>
      <c r="Q243" s="70"/>
      <c r="R243" s="70"/>
      <c r="S243" s="70"/>
      <c r="T243" s="70"/>
      <c r="U243" s="70"/>
      <c r="V243" s="70"/>
      <c r="W243" s="70"/>
      <c r="X243" s="70"/>
    </row>
    <row r="244" customFormat="false" ht="15" hidden="false" customHeight="true" outlineLevel="0" collapsed="false">
      <c r="A244" s="73" t="str">
        <f aca="false">dashboard!$B$5&amp;".em.nh3.stl.drg.---"</f>
        <v>egy.em.nh3.stl.drg.---</v>
      </c>
      <c r="B244" s="73" t="str">
        <f aca="false">dashboard!$B$5</f>
        <v>egy</v>
      </c>
      <c r="C244" s="73" t="s">
        <v>3444</v>
      </c>
      <c r="D244" s="73" t="s">
        <v>727</v>
      </c>
      <c r="E244" s="73" t="s">
        <v>705</v>
      </c>
      <c r="F244" s="73" t="s">
        <v>706</v>
      </c>
      <c r="G244" s="73" t="s">
        <v>655</v>
      </c>
      <c r="H244" s="73" t="s">
        <v>3652</v>
      </c>
      <c r="I244" s="73" t="s">
        <v>3457</v>
      </c>
      <c r="J244" s="73" t="s">
        <v>3653</v>
      </c>
      <c r="K244" s="73"/>
      <c r="L244" s="73"/>
      <c r="M244" s="114" t="n">
        <f aca="false">INDEX(input_data!$L:$L,MATCH("all.in.nh3.stl.drg.---",input_data!$A:$A,0))*IFERROR((M153+M154+M155+M156)/M132,0)*M20</f>
        <v>0</v>
      </c>
      <c r="N244" s="114" t="n">
        <f aca="false">INDEX(input_data!$L:$L,MATCH("all.in.nh3.stl.drg.---",input_data!$A:$A,0))*IFERROR((N153+N154+N155+N156)/N132,0)*N20</f>
        <v>0</v>
      </c>
      <c r="O244" s="114" t="n">
        <f aca="false">INDEX(input_data!$L:$L,MATCH("all.in.nh3.stl.drg.---",input_data!$A:$A,0))*IFERROR((O153+O154+O155+O156)/O132,0)*O20</f>
        <v>0</v>
      </c>
      <c r="P244" s="114" t="n">
        <f aca="false">INDEX(input_data!$L:$L,MATCH("all.in.nh3.stl.drg.---",input_data!$A:$A,0))*IFERROR((P153+P154+P155+P156)/P132,0)*P20</f>
        <v>0</v>
      </c>
      <c r="Q244" s="114" t="n">
        <f aca="false">INDEX(input_data!$L:$L,MATCH("all.in.nh3.stl.drg.---",input_data!$A:$A,0))*IFERROR((Q153+Q154+Q155+Q156)/Q132,0)*Q20</f>
        <v>0</v>
      </c>
      <c r="R244" s="114" t="n">
        <f aca="false">INDEX(input_data!$L:$L,MATCH("all.in.nh3.stl.drg.---",input_data!$A:$A,0))*IFERROR((R153+R154+R155+R156)/R132,0)*R20</f>
        <v>0</v>
      </c>
      <c r="S244" s="114" t="n">
        <f aca="false">INDEX(input_data!$L:$L,MATCH("all.in.nh3.stl.drg.---",input_data!$A:$A,0))*IFERROR((S153+S154+S155+S156)/S132,0)*S20</f>
        <v>0</v>
      </c>
      <c r="T244" s="114" t="n">
        <f aca="false">INDEX(input_data!$L:$L,MATCH("all.in.nh3.stl.drg.---",input_data!$A:$A,0))*IFERROR((T153+T154+T155+T156)/T132,0)*T20</f>
        <v>0</v>
      </c>
      <c r="U244" s="114" t="n">
        <f aca="false">INDEX(input_data!$L:$L,MATCH("all.in.nh3.stl.drg.---",input_data!$A:$A,0))*IFERROR((U153+U154+U155+U156)/U132,0)*U20</f>
        <v>0</v>
      </c>
      <c r="V244" s="114" t="n">
        <f aca="false">INDEX(input_data!$L:$L,MATCH("all.in.nh3.stl.drg.---",input_data!$A:$A,0))*IFERROR((V153+V154+V155+V156)/V132,0)*V20</f>
        <v>0</v>
      </c>
      <c r="W244" s="114" t="n">
        <f aca="false">INDEX(input_data!$L:$L,MATCH("all.in.nh3.stl.drg.---",input_data!$A:$A,0))*IFERROR((W153+W154+W155+W156)/W132,0)*W20</f>
        <v>0</v>
      </c>
      <c r="X244" s="114" t="n">
        <f aca="false">INDEX(input_data!$L:$L,MATCH("all.in.nh3.stl.drg.---",input_data!$A:$A,0))*IFERROR((X153+X154+X155+X156)/X132,0)*X20</f>
        <v>0</v>
      </c>
    </row>
    <row r="245" customFormat="false" ht="15" hidden="false" customHeight="true" outlineLevel="0" collapsed="false">
      <c r="A245" s="73" t="str">
        <f aca="false">dashboard!$B$5&amp;".em.tot.stl.drg.---"</f>
        <v>egy.em.tot.stl.drg.---</v>
      </c>
      <c r="B245" s="73" t="str">
        <f aca="false">dashboard!$B$5</f>
        <v>egy</v>
      </c>
      <c r="C245" s="73" t="s">
        <v>3444</v>
      </c>
      <c r="D245" s="73" t="s">
        <v>3654</v>
      </c>
      <c r="E245" s="73" t="s">
        <v>705</v>
      </c>
      <c r="F245" s="73" t="s">
        <v>706</v>
      </c>
      <c r="G245" s="73" t="s">
        <v>655</v>
      </c>
      <c r="H245" s="73" t="s">
        <v>3655</v>
      </c>
      <c r="I245" s="73" t="s">
        <v>3457</v>
      </c>
      <c r="J245" s="73" t="s">
        <v>3656</v>
      </c>
      <c r="K245" s="73"/>
      <c r="L245" s="73"/>
      <c r="M245" s="115" t="n">
        <f aca="false">M41+M42+M43+M44+M45+M244</f>
        <v>10.292395</v>
      </c>
      <c r="N245" s="115" t="n">
        <f aca="false">N41+N42+N43+N44+N45+N244</f>
        <v>10.8211121416667</v>
      </c>
      <c r="O245" s="115" t="n">
        <f aca="false">O41+O42+O43+O44+O45+O244</f>
        <v>11.3768536740417</v>
      </c>
      <c r="P245" s="115" t="n">
        <f aca="false">P41+P42+P43+P44+P45+P244</f>
        <v>11.9609929107494</v>
      </c>
      <c r="Q245" s="115" t="n">
        <f aca="false">Q41+Q42+Q43+Q44+Q45+Q244</f>
        <v>12.574972481131</v>
      </c>
      <c r="R245" s="115" t="n">
        <f aca="false">R41+R42+R43+R44+R45+R244</f>
        <v>13.2203078006995</v>
      </c>
      <c r="S245" s="115" t="n">
        <f aca="false">S41+S42+S43+S44+S45+S244</f>
        <v>13.8985907136651</v>
      </c>
      <c r="T245" s="115" t="n">
        <f aca="false">T41+T42+T43+T44+T45+T244</f>
        <v>14.6114933159599</v>
      </c>
      <c r="U245" s="115" t="n">
        <f aca="false">U41+U42+U43+U44+U45+U244</f>
        <v>15.3607719675983</v>
      </c>
      <c r="V245" s="115" t="n">
        <f aca="false">V41+V42+V43+V44+V45+V244</f>
        <v>16.148271503636</v>
      </c>
      <c r="W245" s="115" t="n">
        <f aca="false">W41+W42+W43+W44+W45+W244</f>
        <v>16.975929653436</v>
      </c>
      <c r="X245" s="115" t="n">
        <f aca="false">X41+X42+X43+X44+X45+X244</f>
        <v>17.8457816784155</v>
      </c>
    </row>
    <row r="246" customFormat="false" ht="15" hidden="false" customHeight="true" outlineLevel="0" collapsed="false">
      <c r="A246" s="73" t="str">
        <f aca="false">dashboard!$B$5&amp;".cb.int.stl.drg.---"</f>
        <v>egy.cb.int.stl.drg.---</v>
      </c>
      <c r="B246" s="73" t="str">
        <f aca="false">dashboard!$B$5</f>
        <v>egy</v>
      </c>
      <c r="C246" s="73" t="s">
        <v>3657</v>
      </c>
      <c r="D246" s="73" t="s">
        <v>3658</v>
      </c>
      <c r="E246" s="73" t="s">
        <v>705</v>
      </c>
      <c r="F246" s="73" t="s">
        <v>706</v>
      </c>
      <c r="G246" s="73" t="s">
        <v>655</v>
      </c>
      <c r="H246" s="73" t="s">
        <v>3659</v>
      </c>
      <c r="I246" s="73" t="s">
        <v>955</v>
      </c>
      <c r="J246" s="73" t="s">
        <v>3660</v>
      </c>
      <c r="K246" s="73"/>
      <c r="L246" s="73"/>
      <c r="M246" s="116" t="n">
        <f aca="false">IFERROR(M245/M20,0)</f>
        <v>2.01811666666667</v>
      </c>
      <c r="N246" s="116" t="n">
        <f aca="false">IFERROR(N245/N20,0)</f>
        <v>2.01117222222222</v>
      </c>
      <c r="O246" s="116" t="n">
        <f aca="false">IFERROR(O245/O20,0)</f>
        <v>2.00422777777778</v>
      </c>
      <c r="P246" s="116" t="n">
        <f aca="false">IFERROR(P245/P20,0)</f>
        <v>1.99728333333333</v>
      </c>
      <c r="Q246" s="116" t="n">
        <f aca="false">IFERROR(Q245/Q20,0)</f>
        <v>1.99033888888889</v>
      </c>
      <c r="R246" s="116" t="n">
        <f aca="false">IFERROR(R245/R20,0)</f>
        <v>1.98339444444444</v>
      </c>
      <c r="S246" s="116" t="n">
        <f aca="false">IFERROR(S245/S20,0)</f>
        <v>1.97645</v>
      </c>
      <c r="T246" s="116" t="n">
        <f aca="false">IFERROR(T245/T20,0)</f>
        <v>1.96950555555556</v>
      </c>
      <c r="U246" s="116" t="n">
        <f aca="false">IFERROR(U245/U20,0)</f>
        <v>1.96256111111111</v>
      </c>
      <c r="V246" s="116" t="n">
        <f aca="false">IFERROR(V245/V20,0)</f>
        <v>1.95561666666667</v>
      </c>
      <c r="W246" s="116" t="n">
        <f aca="false">IFERROR(W245/W20,0)</f>
        <v>1.94867222222222</v>
      </c>
      <c r="X246" s="116" t="n">
        <f aca="false">IFERROR(X245/X20,0)</f>
        <v>1.94172777777778</v>
      </c>
    </row>
    <row r="247" customFormat="false" ht="15" hidden="false" customHeight="true" outlineLevel="0" collapsed="false">
      <c r="A247" s="73" t="str">
        <f aca="false">dashboard!$B$5&amp;".cb.mrv.stl.drg.---"</f>
        <v>egy.cb.mrv.stl.drg.---</v>
      </c>
      <c r="B247" s="73" t="str">
        <f aca="false">dashboard!$B$5</f>
        <v>egy</v>
      </c>
      <c r="C247" s="73" t="s">
        <v>3657</v>
      </c>
      <c r="D247" s="73" t="s">
        <v>814</v>
      </c>
      <c r="E247" s="73" t="s">
        <v>705</v>
      </c>
      <c r="F247" s="73" t="s">
        <v>706</v>
      </c>
      <c r="G247" s="73" t="s">
        <v>655</v>
      </c>
      <c r="H247" s="73" t="s">
        <v>3661</v>
      </c>
      <c r="I247" s="73" t="s">
        <v>955</v>
      </c>
      <c r="J247" s="73" t="s">
        <v>3662</v>
      </c>
      <c r="K247" s="73"/>
      <c r="L247" s="73"/>
      <c r="M247" s="117" t="n">
        <f aca="false">IFERROR(IF(INDEX(input_data!$L:$L,MATCH("all.in.mrv.stl.drg.---",input_data!$A:$A,0))=1,((M245-M45*(1-INDEX(input_data!$L:$L,MATCH("all.in.cs2.stl.drg.---",input_data!$A:$A,0))))/M20),INDEX(input_data!$L:$L,MATCH("all.in.dfv.stl.drg.---",input_data!$A:$A,0))),0)</f>
        <v>1.66395</v>
      </c>
      <c r="N247" s="117" t="n">
        <f aca="false">IFERROR(IF(INDEX(input_data!$L:$L,MATCH("all.in.mrv.stl.drg.---",input_data!$A:$A,0))=1,((N245-N45*(1-INDEX(input_data!$L:$L,MATCH("all.in.cs2.stl.drg.---",input_data!$A:$A,0))))/N20),INDEX(input_data!$L:$L,MATCH("all.in.dfv.stl.drg.---",input_data!$A:$A,0))),0)</f>
        <v>1.66395</v>
      </c>
      <c r="O247" s="117" t="n">
        <f aca="false">IFERROR(IF(INDEX(input_data!$L:$L,MATCH("all.in.mrv.stl.drg.---",input_data!$A:$A,0))=1,((O245-O45*(1-INDEX(input_data!$L:$L,MATCH("all.in.cs2.stl.drg.---",input_data!$A:$A,0))))/O20),INDEX(input_data!$L:$L,MATCH("all.in.dfv.stl.drg.---",input_data!$A:$A,0))),0)</f>
        <v>1.66395</v>
      </c>
      <c r="P247" s="117" t="n">
        <f aca="false">IFERROR(IF(INDEX(input_data!$L:$L,MATCH("all.in.mrv.stl.drg.---",input_data!$A:$A,0))=1,((P245-P45*(1-INDEX(input_data!$L:$L,MATCH("all.in.cs2.stl.drg.---",input_data!$A:$A,0))))/P20),INDEX(input_data!$L:$L,MATCH("all.in.dfv.stl.drg.---",input_data!$A:$A,0))),0)</f>
        <v>1.66395</v>
      </c>
      <c r="Q247" s="117" t="n">
        <f aca="false">IFERROR(IF(INDEX(input_data!$L:$L,MATCH("all.in.mrv.stl.drg.---",input_data!$A:$A,0))=1,((Q245-Q45*(1-INDEX(input_data!$L:$L,MATCH("all.in.cs2.stl.drg.---",input_data!$A:$A,0))))/Q20),INDEX(input_data!$L:$L,MATCH("all.in.dfv.stl.drg.---",input_data!$A:$A,0))),0)</f>
        <v>1.66395</v>
      </c>
      <c r="R247" s="117" t="n">
        <f aca="false">IFERROR(IF(INDEX(input_data!$L:$L,MATCH("all.in.mrv.stl.drg.---",input_data!$A:$A,0))=1,((R245-R45*(1-INDEX(input_data!$L:$L,MATCH("all.in.cs2.stl.drg.---",input_data!$A:$A,0))))/R20),INDEX(input_data!$L:$L,MATCH("all.in.dfv.stl.drg.---",input_data!$A:$A,0))),0)</f>
        <v>1.66395</v>
      </c>
      <c r="S247" s="117" t="n">
        <f aca="false">IFERROR(IF(INDEX(input_data!$L:$L,MATCH("all.in.mrv.stl.drg.---",input_data!$A:$A,0))=1,((S245-S45*(1-INDEX(input_data!$L:$L,MATCH("all.in.cs2.stl.drg.---",input_data!$A:$A,0))))/S20),INDEX(input_data!$L:$L,MATCH("all.in.dfv.stl.drg.---",input_data!$A:$A,0))),0)</f>
        <v>1.66395</v>
      </c>
      <c r="T247" s="117" t="n">
        <f aca="false">IFERROR(IF(INDEX(input_data!$L:$L,MATCH("all.in.mrv.stl.drg.---",input_data!$A:$A,0))=1,((T245-T45*(1-INDEX(input_data!$L:$L,MATCH("all.in.cs2.stl.drg.---",input_data!$A:$A,0))))/T20),INDEX(input_data!$L:$L,MATCH("all.in.dfv.stl.drg.---",input_data!$A:$A,0))),0)</f>
        <v>1.66395</v>
      </c>
      <c r="U247" s="117" t="n">
        <f aca="false">IFERROR(IF(INDEX(input_data!$L:$L,MATCH("all.in.mrv.stl.drg.---",input_data!$A:$A,0))=1,((U245-U45*(1-INDEX(input_data!$L:$L,MATCH("all.in.cs2.stl.drg.---",input_data!$A:$A,0))))/U20),INDEX(input_data!$L:$L,MATCH("all.in.dfv.stl.drg.---",input_data!$A:$A,0))),0)</f>
        <v>1.66395</v>
      </c>
      <c r="V247" s="117" t="n">
        <f aca="false">IFERROR(IF(INDEX(input_data!$L:$L,MATCH("all.in.mrv.stl.drg.---",input_data!$A:$A,0))=1,((V245-V45*(1-INDEX(input_data!$L:$L,MATCH("all.in.cs2.stl.drg.---",input_data!$A:$A,0))))/V20),INDEX(input_data!$L:$L,MATCH("all.in.dfv.stl.drg.---",input_data!$A:$A,0))),0)</f>
        <v>1.66395</v>
      </c>
      <c r="W247" s="117" t="n">
        <f aca="false">IFERROR(IF(INDEX(input_data!$L:$L,MATCH("all.in.mrv.stl.drg.---",input_data!$A:$A,0))=1,((W245-W45*(1-INDEX(input_data!$L:$L,MATCH("all.in.cs2.stl.drg.---",input_data!$A:$A,0))))/W20),INDEX(input_data!$L:$L,MATCH("all.in.dfv.stl.drg.---",input_data!$A:$A,0))),0)</f>
        <v>1.66395</v>
      </c>
      <c r="X247" s="117" t="n">
        <f aca="false">IFERROR(IF(INDEX(input_data!$L:$L,MATCH("all.in.mrv.stl.drg.---",input_data!$A:$A,0))=1,((X245-X45*(1-INDEX(input_data!$L:$L,MATCH("all.in.cs2.stl.drg.---",input_data!$A:$A,0))))/X20),INDEX(input_data!$L:$L,MATCH("all.in.dfv.stl.drg.---",input_data!$A:$A,0))),0)</f>
        <v>1.66395</v>
      </c>
    </row>
    <row r="248" customFormat="false" ht="15" hidden="false" customHeight="true" outlineLevel="0" collapsed="false">
      <c r="A248" s="73" t="str">
        <f aca="false">dashboard!$B$5&amp;".cb.obl.stl.drg.---"</f>
        <v>egy.cb.obl.stl.drg.---</v>
      </c>
      <c r="B248" s="73" t="str">
        <f aca="false">dashboard!$B$5</f>
        <v>egy</v>
      </c>
      <c r="C248" s="73" t="s">
        <v>3657</v>
      </c>
      <c r="D248" s="73" t="s">
        <v>3663</v>
      </c>
      <c r="E248" s="73" t="s">
        <v>705</v>
      </c>
      <c r="F248" s="73" t="s">
        <v>706</v>
      </c>
      <c r="G248" s="73" t="s">
        <v>655</v>
      </c>
      <c r="H248" s="73" t="s">
        <v>3664</v>
      </c>
      <c r="I248" s="73" t="s">
        <v>718</v>
      </c>
      <c r="J248" s="73" t="s">
        <v>3665</v>
      </c>
      <c r="K248" s="73"/>
      <c r="L248" s="73"/>
      <c r="M248" s="118" t="n">
        <f aca="false">MAX(M247-INDEX(input_data!$L:$L,MATCH("all.in.bnk.stl.drg.---",input_data!$A:$A,0))*(1-INDEX(input_data!$M:$X,MATCH("all.in.cbf.---.---.---",input_data!$A:$A,0),1)),0)*INDEX(input_data!$M:$X,MATCH("all.in.ets.---.---.---",input_data!$A:$A,0),1)*INDEX(input_data!$M:$X,MATCH("all.in.act.---.---.---",input_data!$A:$A,0),1)*INDEX(input_data!$M:$X,MATCH("all.in.fxr.---.---.---",input_data!$A:$A,0),1)</f>
        <v>0</v>
      </c>
      <c r="N248" s="118" t="n">
        <f aca="false">MAX(N247-INDEX(input_data!$L:$L,MATCH("all.in.bnk.stl.drg.---",input_data!$A:$A,0))*(1-INDEX(input_data!$M:$X,MATCH("all.in.cbf.---.---.---",input_data!$A:$A,0),2)),0)*INDEX(input_data!$M:$X,MATCH("all.in.ets.---.---.---",input_data!$A:$A,0),2)*INDEX(input_data!$M:$X,MATCH("all.in.act.---.---.---",input_data!$A:$A,0),2)*INDEX(input_data!$M:$X,MATCH("all.in.fxr.---.---.---",input_data!$A:$A,0),2)</f>
        <v>0</v>
      </c>
      <c r="O248" s="118" t="n">
        <f aca="false">MAX(O247-INDEX(input_data!$L:$L,MATCH("all.in.bnk.stl.drg.---",input_data!$A:$A,0))*(1-INDEX(input_data!$M:$X,MATCH("all.in.cbf.---.---.---",input_data!$A:$A,0),3)),0)*INDEX(input_data!$M:$X,MATCH("all.in.ets.---.---.---",input_data!$A:$A,0),3)*INDEX(input_data!$M:$X,MATCH("all.in.act.---.---.---",input_data!$A:$A,0),3)*INDEX(input_data!$M:$X,MATCH("all.in.fxr.---.---.---",input_data!$A:$A,0),3)</f>
        <v>131.44725</v>
      </c>
      <c r="P248" s="118" t="n">
        <f aca="false">MAX(P247-INDEX(input_data!$L:$L,MATCH("all.in.bnk.stl.drg.---",input_data!$A:$A,0))*(1-INDEX(input_data!$M:$X,MATCH("all.in.cbf.---.---.---",input_data!$A:$A,0),4)),0)*INDEX(input_data!$M:$X,MATCH("all.in.ets.---.---.---",input_data!$A:$A,0),4)*INDEX(input_data!$M:$X,MATCH("all.in.act.---.---.---",input_data!$A:$A,0),4)*INDEX(input_data!$M:$X,MATCH("all.in.fxr.---.---.---",input_data!$A:$A,0),4)</f>
        <v>139.4085</v>
      </c>
      <c r="Q248" s="118" t="n">
        <f aca="false">MAX(Q247-INDEX(input_data!$L:$L,MATCH("all.in.bnk.stl.drg.---",input_data!$A:$A,0))*(1-INDEX(input_data!$M:$X,MATCH("all.in.cbf.---.---.---",input_data!$A:$A,0),5)),0)*INDEX(input_data!$M:$X,MATCH("all.in.ets.---.---.---",input_data!$A:$A,0),5)*INDEX(input_data!$M:$X,MATCH("all.in.act.---.---.---",input_data!$A:$A,0),5)*INDEX(input_data!$M:$X,MATCH("all.in.fxr.---.---.---",input_data!$A:$A,0),5)</f>
        <v>148.95705</v>
      </c>
      <c r="R248" s="118" t="n">
        <f aca="false">MAX(R247-INDEX(input_data!$L:$L,MATCH("all.in.bnk.stl.drg.---",input_data!$A:$A,0))*(1-INDEX(input_data!$M:$X,MATCH("all.in.cbf.---.---.---",input_data!$A:$A,0),6)),0)*INDEX(input_data!$M:$X,MATCH("all.in.ets.---.---.---",input_data!$A:$A,0),6)*INDEX(input_data!$M:$X,MATCH("all.in.act.---.---.---",input_data!$A:$A,0),6)*INDEX(input_data!$M:$X,MATCH("all.in.fxr.---.---.---",input_data!$A:$A,0),6)</f>
        <v>156.232175</v>
      </c>
      <c r="S248" s="118" t="n">
        <f aca="false">MAX(S247-INDEX(input_data!$L:$L,MATCH("all.in.bnk.stl.drg.---",input_data!$A:$A,0))*(1-INDEX(input_data!$M:$X,MATCH("all.in.cbf.---.---.---",input_data!$A:$A,0),7)),0)*INDEX(input_data!$M:$X,MATCH("all.in.ets.---.---.---",input_data!$A:$A,0),7)*INDEX(input_data!$M:$X,MATCH("all.in.act.---.---.---",input_data!$A:$A,0),7)*INDEX(input_data!$M:$X,MATCH("all.in.fxr.---.---.---",input_data!$A:$A,0),7)</f>
        <v>179.1537275</v>
      </c>
      <c r="T248" s="118" t="n">
        <f aca="false">MAX(T247-INDEX(input_data!$L:$L,MATCH("all.in.bnk.stl.drg.---",input_data!$A:$A,0))*(1-INDEX(input_data!$M:$X,MATCH("all.in.cbf.---.---.---",input_data!$A:$A,0),8)),0)*INDEX(input_data!$M:$X,MATCH("all.in.ets.---.---.---",input_data!$A:$A,0),8)*INDEX(input_data!$M:$X,MATCH("all.in.act.---.---.---",input_data!$A:$A,0),8)*INDEX(input_data!$M:$X,MATCH("all.in.fxr.---.---.---",input_data!$A:$A,0),8)</f>
        <v>194.87952</v>
      </c>
      <c r="U248" s="118" t="n">
        <f aca="false">MAX(U247-INDEX(input_data!$L:$L,MATCH("all.in.bnk.stl.drg.---",input_data!$A:$A,0))*(1-INDEX(input_data!$M:$X,MATCH("all.in.cbf.---.---.---",input_data!$A:$A,0),9)),0)*INDEX(input_data!$M:$X,MATCH("all.in.ets.---.---.---",input_data!$A:$A,0),9)*INDEX(input_data!$M:$X,MATCH("all.in.act.---.---.---",input_data!$A:$A,0),9)*INDEX(input_data!$M:$X,MATCH("all.in.fxr.---.---.---",input_data!$A:$A,0),9)</f>
        <v>211.2666875</v>
      </c>
      <c r="V248" s="118" t="n">
        <f aca="false">MAX(V247-INDEX(input_data!$L:$L,MATCH("all.in.bnk.stl.drg.---",input_data!$A:$A,0))*(1-INDEX(input_data!$M:$X,MATCH("all.in.cbf.---.---.---",input_data!$A:$A,0),10)),0)*INDEX(input_data!$M:$X,MATCH("all.in.ets.---.---.---",input_data!$A:$A,0),10)*INDEX(input_data!$M:$X,MATCH("all.in.act.---.---.---",input_data!$A:$A,0),10)*INDEX(input_data!$M:$X,MATCH("all.in.fxr.---.---.---",input_data!$A:$A,0),10)</f>
        <v>228.31523</v>
      </c>
      <c r="W248" s="118" t="n">
        <f aca="false">MAX(W247-INDEX(input_data!$L:$L,MATCH("all.in.bnk.stl.drg.---",input_data!$A:$A,0))*(1-INDEX(input_data!$M:$X,MATCH("all.in.cbf.---.---.---",input_data!$A:$A,0),11)),0)*INDEX(input_data!$M:$X,MATCH("all.in.ets.---.---.---",input_data!$A:$A,0),11)*INDEX(input_data!$M:$X,MATCH("all.in.act.---.---.---",input_data!$A:$A,0),11)*INDEX(input_data!$M:$X,MATCH("all.in.fxr.---.---.---",input_data!$A:$A,0),11)</f>
        <v>247.096575</v>
      </c>
      <c r="X248" s="118" t="n">
        <f aca="false">MAX(X247-INDEX(input_data!$L:$L,MATCH("all.in.bnk.stl.drg.---",input_data!$A:$A,0))*(1-INDEX(input_data!$M:$X,MATCH("all.in.cbf.---.---.---",input_data!$A:$A,0),12)),0)*INDEX(input_data!$M:$X,MATCH("all.in.ets.---.---.---",input_data!$A:$A,0),12)*INDEX(input_data!$M:$X,MATCH("all.in.act.---.---.---",input_data!$A:$A,0),12)*INDEX(input_data!$M:$X,MATCH("all.in.fxr.---.---.---",input_data!$A:$A,0),12)</f>
        <v>256.2483</v>
      </c>
    </row>
    <row r="249" customFormat="false" ht="15" hidden="false" customHeight="true" outlineLevel="0" collapsed="false">
      <c r="A249" s="73" t="str">
        <f aca="false">dashboard!$B$5&amp;".em.nh3.stl.scr.---"</f>
        <v>egy.em.nh3.stl.scr.---</v>
      </c>
      <c r="B249" s="73" t="str">
        <f aca="false">dashboard!$B$5</f>
        <v>egy</v>
      </c>
      <c r="C249" s="73" t="s">
        <v>3444</v>
      </c>
      <c r="D249" s="73" t="s">
        <v>727</v>
      </c>
      <c r="E249" s="73" t="s">
        <v>705</v>
      </c>
      <c r="F249" s="73" t="s">
        <v>733</v>
      </c>
      <c r="G249" s="73" t="s">
        <v>655</v>
      </c>
      <c r="H249" s="73" t="s">
        <v>3666</v>
      </c>
      <c r="I249" s="73" t="s">
        <v>3457</v>
      </c>
      <c r="J249" s="73" t="s">
        <v>3653</v>
      </c>
      <c r="K249" s="73"/>
      <c r="L249" s="73"/>
      <c r="M249" s="114" t="n">
        <f aca="false">INDEX(input_data!$L:$L,MATCH("all.in.nh3.stl.scr.---",input_data!$A:$A,0))*IFERROR((M153+M154+M155+M156)/M132,0)*M48</f>
        <v>0</v>
      </c>
      <c r="N249" s="114" t="n">
        <f aca="false">INDEX(input_data!$L:$L,MATCH("all.in.nh3.stl.scr.---",input_data!$A:$A,0))*IFERROR((N153+N154+N155+N156)/N132,0)*N48</f>
        <v>0</v>
      </c>
      <c r="O249" s="114" t="n">
        <f aca="false">INDEX(input_data!$L:$L,MATCH("all.in.nh3.stl.scr.---",input_data!$A:$A,0))*IFERROR((O153+O154+O155+O156)/O132,0)*O48</f>
        <v>0</v>
      </c>
      <c r="P249" s="114" t="n">
        <f aca="false">INDEX(input_data!$L:$L,MATCH("all.in.nh3.stl.scr.---",input_data!$A:$A,0))*IFERROR((P153+P154+P155+P156)/P132,0)*P48</f>
        <v>0</v>
      </c>
      <c r="Q249" s="114" t="n">
        <f aca="false">INDEX(input_data!$L:$L,MATCH("all.in.nh3.stl.scr.---",input_data!$A:$A,0))*IFERROR((Q153+Q154+Q155+Q156)/Q132,0)*Q48</f>
        <v>0</v>
      </c>
      <c r="R249" s="114" t="n">
        <f aca="false">INDEX(input_data!$L:$L,MATCH("all.in.nh3.stl.scr.---",input_data!$A:$A,0))*IFERROR((R153+R154+R155+R156)/R132,0)*R48</f>
        <v>0</v>
      </c>
      <c r="S249" s="114" t="n">
        <f aca="false">INDEX(input_data!$L:$L,MATCH("all.in.nh3.stl.scr.---",input_data!$A:$A,0))*IFERROR((S153+S154+S155+S156)/S132,0)*S48</f>
        <v>0</v>
      </c>
      <c r="T249" s="114" t="n">
        <f aca="false">INDEX(input_data!$L:$L,MATCH("all.in.nh3.stl.scr.---",input_data!$A:$A,0))*IFERROR((T153+T154+T155+T156)/T132,0)*T48</f>
        <v>0</v>
      </c>
      <c r="U249" s="114" t="n">
        <f aca="false">INDEX(input_data!$L:$L,MATCH("all.in.nh3.stl.scr.---",input_data!$A:$A,0))*IFERROR((U153+U154+U155+U156)/U132,0)*U48</f>
        <v>0</v>
      </c>
      <c r="V249" s="114" t="n">
        <f aca="false">INDEX(input_data!$L:$L,MATCH("all.in.nh3.stl.scr.---",input_data!$A:$A,0))*IFERROR((V153+V154+V155+V156)/V132,0)*V48</f>
        <v>0</v>
      </c>
      <c r="W249" s="114" t="n">
        <f aca="false">INDEX(input_data!$L:$L,MATCH("all.in.nh3.stl.scr.---",input_data!$A:$A,0))*IFERROR((W153+W154+W155+W156)/W132,0)*W48</f>
        <v>0</v>
      </c>
      <c r="X249" s="114" t="n">
        <f aca="false">INDEX(input_data!$L:$L,MATCH("all.in.nh3.stl.scr.---",input_data!$A:$A,0))*IFERROR((X153+X154+X155+X156)/X132,0)*X48</f>
        <v>0</v>
      </c>
    </row>
    <row r="250" customFormat="false" ht="15" hidden="false" customHeight="true" outlineLevel="0" collapsed="false">
      <c r="A250" s="73" t="str">
        <f aca="false">dashboard!$B$5&amp;".em.tot.stl.scr.---"</f>
        <v>egy.em.tot.stl.scr.---</v>
      </c>
      <c r="B250" s="73" t="str">
        <f aca="false">dashboard!$B$5</f>
        <v>egy</v>
      </c>
      <c r="C250" s="73" t="s">
        <v>3444</v>
      </c>
      <c r="D250" s="73" t="s">
        <v>3654</v>
      </c>
      <c r="E250" s="73" t="s">
        <v>705</v>
      </c>
      <c r="F250" s="73" t="s">
        <v>733</v>
      </c>
      <c r="G250" s="73" t="s">
        <v>655</v>
      </c>
      <c r="H250" s="73" t="s">
        <v>3667</v>
      </c>
      <c r="I250" s="73" t="s">
        <v>3457</v>
      </c>
      <c r="J250" s="73" t="s">
        <v>3656</v>
      </c>
      <c r="K250" s="73"/>
      <c r="L250" s="73"/>
      <c r="M250" s="115" t="n">
        <f aca="false">M69+M70+M71+M72+M73+M249</f>
        <v>3.6299706</v>
      </c>
      <c r="N250" s="115" t="n">
        <f aca="false">N69+N70+N71+N72+N73+N249</f>
        <v>3.72907417329357</v>
      </c>
      <c r="O250" s="115" t="n">
        <f aca="false">O69+O70+O71+O72+O73+O249</f>
        <v>3.82989974551014</v>
      </c>
      <c r="P250" s="115" t="n">
        <f aca="false">P69+P70+P71+P72+P73+P249</f>
        <v>3.9324082322663</v>
      </c>
      <c r="Q250" s="115" t="n">
        <f aca="false">Q69+Q70+Q71+Q72+Q73+Q249</f>
        <v>4.03655383026775</v>
      </c>
      <c r="R250" s="115" t="n">
        <f aca="false">R69+R70+R71+R72+R73+R249</f>
        <v>4.14228350408262</v>
      </c>
      <c r="S250" s="115" t="n">
        <f aca="false">S69+S70+S71+S72+S73+S249</f>
        <v>4.24953644086206</v>
      </c>
      <c r="T250" s="115" t="n">
        <f aca="false">T69+T70+T71+T72+T73+T249</f>
        <v>4.35824347118576</v>
      </c>
      <c r="U250" s="115" t="n">
        <f aca="false">U69+U70+U71+U72+U73+U249</f>
        <v>4.46832645411146</v>
      </c>
      <c r="V250" s="115" t="n">
        <f aca="false">V69+V70+V71+V72+V73+V249</f>
        <v>4.57969762440484</v>
      </c>
      <c r="W250" s="115" t="n">
        <f aca="false">W69+W70+W71+W72+W73+W249</f>
        <v>4.6922588998172</v>
      </c>
      <c r="X250" s="115" t="n">
        <f aca="false">X69+X70+X71+X72+X73+X249</f>
        <v>4.80590114616422</v>
      </c>
    </row>
    <row r="251" customFormat="false" ht="15" hidden="false" customHeight="true" outlineLevel="0" collapsed="false">
      <c r="A251" s="73" t="str">
        <f aca="false">dashboard!$B$5&amp;".cb.int.stl.scr.---"</f>
        <v>egy.cb.int.stl.scr.---</v>
      </c>
      <c r="B251" s="73" t="str">
        <f aca="false">dashboard!$B$5</f>
        <v>egy</v>
      </c>
      <c r="C251" s="73" t="s">
        <v>3657</v>
      </c>
      <c r="D251" s="73" t="s">
        <v>3658</v>
      </c>
      <c r="E251" s="73" t="s">
        <v>705</v>
      </c>
      <c r="F251" s="73" t="s">
        <v>733</v>
      </c>
      <c r="G251" s="73" t="s">
        <v>655</v>
      </c>
      <c r="H251" s="73" t="s">
        <v>3668</v>
      </c>
      <c r="I251" s="73" t="s">
        <v>955</v>
      </c>
      <c r="J251" s="73" t="s">
        <v>3660</v>
      </c>
      <c r="K251" s="73"/>
      <c r="L251" s="73"/>
      <c r="M251" s="116" t="n">
        <f aca="false">IFERROR(M250/M48,0)</f>
        <v>0.79257</v>
      </c>
      <c r="N251" s="116" t="n">
        <f aca="false">IFERROR(N250/N48,0)</f>
        <v>0.78007</v>
      </c>
      <c r="O251" s="116" t="n">
        <f aca="false">IFERROR(O250/O48,0)</f>
        <v>0.76757</v>
      </c>
      <c r="P251" s="116" t="n">
        <f aca="false">IFERROR(P250/P48,0)</f>
        <v>0.75507</v>
      </c>
      <c r="Q251" s="116" t="n">
        <f aca="false">IFERROR(Q250/Q48,0)</f>
        <v>0.74257</v>
      </c>
      <c r="R251" s="116" t="n">
        <f aca="false">IFERROR(R250/R48,0)</f>
        <v>0.73007</v>
      </c>
      <c r="S251" s="116" t="n">
        <f aca="false">IFERROR(S250/S48,0)</f>
        <v>0.71757</v>
      </c>
      <c r="T251" s="116" t="n">
        <f aca="false">IFERROR(T250/T48,0)</f>
        <v>0.70507</v>
      </c>
      <c r="U251" s="116" t="n">
        <f aca="false">IFERROR(U250/U48,0)</f>
        <v>0.69257</v>
      </c>
      <c r="V251" s="116" t="n">
        <f aca="false">IFERROR(V250/V48,0)</f>
        <v>0.68007</v>
      </c>
      <c r="W251" s="116" t="n">
        <f aca="false">IFERROR(W250/W48,0)</f>
        <v>0.66757</v>
      </c>
      <c r="X251" s="116" t="n">
        <f aca="false">IFERROR(X250/X48,0)</f>
        <v>0.65507</v>
      </c>
    </row>
    <row r="252" customFormat="false" ht="15" hidden="false" customHeight="true" outlineLevel="0" collapsed="false">
      <c r="A252" s="73" t="str">
        <f aca="false">dashboard!$B$5&amp;".cb.mrv.stl.scr.---"</f>
        <v>egy.cb.mrv.stl.scr.---</v>
      </c>
      <c r="B252" s="73" t="str">
        <f aca="false">dashboard!$B$5</f>
        <v>egy</v>
      </c>
      <c r="C252" s="73" t="s">
        <v>3657</v>
      </c>
      <c r="D252" s="73" t="s">
        <v>814</v>
      </c>
      <c r="E252" s="73" t="s">
        <v>705</v>
      </c>
      <c r="F252" s="73" t="s">
        <v>733</v>
      </c>
      <c r="G252" s="73" t="s">
        <v>655</v>
      </c>
      <c r="H252" s="73" t="s">
        <v>3669</v>
      </c>
      <c r="I252" s="73" t="s">
        <v>955</v>
      </c>
      <c r="J252" s="73" t="s">
        <v>3662</v>
      </c>
      <c r="K252" s="73"/>
      <c r="L252" s="73"/>
      <c r="M252" s="117" t="n">
        <f aca="false">IFERROR(IF(INDEX(input_data!$L:$L,MATCH("all.in.mrv.stl.scr.---",input_data!$A:$A,0))=1,((M250-M73*(1-INDEX(input_data!$L:$L,MATCH("all.in.cs2.stl.scr.---",input_data!$A:$A,0))))/M48),INDEX(input_data!$L:$L,MATCH("all.in.dfv.stl.scr.---",input_data!$A:$A,0))),0)</f>
        <v>0.15507</v>
      </c>
      <c r="N252" s="117" t="n">
        <f aca="false">IFERROR(IF(INDEX(input_data!$L:$L,MATCH("all.in.mrv.stl.scr.---",input_data!$A:$A,0))=1,((N250-N73*(1-INDEX(input_data!$L:$L,MATCH("all.in.cs2.stl.scr.---",input_data!$A:$A,0))))/N48),INDEX(input_data!$L:$L,MATCH("all.in.dfv.stl.scr.---",input_data!$A:$A,0))),0)</f>
        <v>0.15507</v>
      </c>
      <c r="O252" s="117" t="n">
        <f aca="false">IFERROR(IF(INDEX(input_data!$L:$L,MATCH("all.in.mrv.stl.scr.---",input_data!$A:$A,0))=1,((O250-O73*(1-INDEX(input_data!$L:$L,MATCH("all.in.cs2.stl.scr.---",input_data!$A:$A,0))))/O48),INDEX(input_data!$L:$L,MATCH("all.in.dfv.stl.scr.---",input_data!$A:$A,0))),0)</f>
        <v>0.15507</v>
      </c>
      <c r="P252" s="117" t="n">
        <f aca="false">IFERROR(IF(INDEX(input_data!$L:$L,MATCH("all.in.mrv.stl.scr.---",input_data!$A:$A,0))=1,((P250-P73*(1-INDEX(input_data!$L:$L,MATCH("all.in.cs2.stl.scr.---",input_data!$A:$A,0))))/P48),INDEX(input_data!$L:$L,MATCH("all.in.dfv.stl.scr.---",input_data!$A:$A,0))),0)</f>
        <v>0.15507</v>
      </c>
      <c r="Q252" s="117" t="n">
        <f aca="false">IFERROR(IF(INDEX(input_data!$L:$L,MATCH("all.in.mrv.stl.scr.---",input_data!$A:$A,0))=1,((Q250-Q73*(1-INDEX(input_data!$L:$L,MATCH("all.in.cs2.stl.scr.---",input_data!$A:$A,0))))/Q48),INDEX(input_data!$L:$L,MATCH("all.in.dfv.stl.scr.---",input_data!$A:$A,0))),0)</f>
        <v>0.15507</v>
      </c>
      <c r="R252" s="117" t="n">
        <f aca="false">IFERROR(IF(INDEX(input_data!$L:$L,MATCH("all.in.mrv.stl.scr.---",input_data!$A:$A,0))=1,((R250-R73*(1-INDEX(input_data!$L:$L,MATCH("all.in.cs2.stl.scr.---",input_data!$A:$A,0))))/R48),INDEX(input_data!$L:$L,MATCH("all.in.dfv.stl.scr.---",input_data!$A:$A,0))),0)</f>
        <v>0.15507</v>
      </c>
      <c r="S252" s="117" t="n">
        <f aca="false">IFERROR(IF(INDEX(input_data!$L:$L,MATCH("all.in.mrv.stl.scr.---",input_data!$A:$A,0))=1,((S250-S73*(1-INDEX(input_data!$L:$L,MATCH("all.in.cs2.stl.scr.---",input_data!$A:$A,0))))/S48),INDEX(input_data!$L:$L,MATCH("all.in.dfv.stl.scr.---",input_data!$A:$A,0))),0)</f>
        <v>0.15507</v>
      </c>
      <c r="T252" s="117" t="n">
        <f aca="false">IFERROR(IF(INDEX(input_data!$L:$L,MATCH("all.in.mrv.stl.scr.---",input_data!$A:$A,0))=1,((T250-T73*(1-INDEX(input_data!$L:$L,MATCH("all.in.cs2.stl.scr.---",input_data!$A:$A,0))))/T48),INDEX(input_data!$L:$L,MATCH("all.in.dfv.stl.scr.---",input_data!$A:$A,0))),0)</f>
        <v>0.15507</v>
      </c>
      <c r="U252" s="117" t="n">
        <f aca="false">IFERROR(IF(INDEX(input_data!$L:$L,MATCH("all.in.mrv.stl.scr.---",input_data!$A:$A,0))=1,((U250-U73*(1-INDEX(input_data!$L:$L,MATCH("all.in.cs2.stl.scr.---",input_data!$A:$A,0))))/U48),INDEX(input_data!$L:$L,MATCH("all.in.dfv.stl.scr.---",input_data!$A:$A,0))),0)</f>
        <v>0.15507</v>
      </c>
      <c r="V252" s="117" t="n">
        <f aca="false">IFERROR(IF(INDEX(input_data!$L:$L,MATCH("all.in.mrv.stl.scr.---",input_data!$A:$A,0))=1,((V250-V73*(1-INDEX(input_data!$L:$L,MATCH("all.in.cs2.stl.scr.---",input_data!$A:$A,0))))/V48),INDEX(input_data!$L:$L,MATCH("all.in.dfv.stl.scr.---",input_data!$A:$A,0))),0)</f>
        <v>0.15507</v>
      </c>
      <c r="W252" s="117" t="n">
        <f aca="false">IFERROR(IF(INDEX(input_data!$L:$L,MATCH("all.in.mrv.stl.scr.---",input_data!$A:$A,0))=1,((W250-W73*(1-INDEX(input_data!$L:$L,MATCH("all.in.cs2.stl.scr.---",input_data!$A:$A,0))))/W48),INDEX(input_data!$L:$L,MATCH("all.in.dfv.stl.scr.---",input_data!$A:$A,0))),0)</f>
        <v>0.15507</v>
      </c>
      <c r="X252" s="117" t="n">
        <f aca="false">IFERROR(IF(INDEX(input_data!$L:$L,MATCH("all.in.mrv.stl.scr.---",input_data!$A:$A,0))=1,((X250-X73*(1-INDEX(input_data!$L:$L,MATCH("all.in.cs2.stl.scr.---",input_data!$A:$A,0))))/X48),INDEX(input_data!$L:$L,MATCH("all.in.dfv.stl.scr.---",input_data!$A:$A,0))),0)</f>
        <v>0.15507</v>
      </c>
    </row>
    <row r="253" customFormat="false" ht="15" hidden="false" customHeight="true" outlineLevel="0" collapsed="false">
      <c r="A253" s="73" t="str">
        <f aca="false">dashboard!$B$5&amp;".cb.obl.stl.scr.---"</f>
        <v>egy.cb.obl.stl.scr.---</v>
      </c>
      <c r="B253" s="73" t="str">
        <f aca="false">dashboard!$B$5</f>
        <v>egy</v>
      </c>
      <c r="C253" s="73" t="s">
        <v>3657</v>
      </c>
      <c r="D253" s="73" t="s">
        <v>3663</v>
      </c>
      <c r="E253" s="73" t="s">
        <v>705</v>
      </c>
      <c r="F253" s="73" t="s">
        <v>733</v>
      </c>
      <c r="G253" s="73" t="s">
        <v>655</v>
      </c>
      <c r="H253" s="73" t="s">
        <v>3670</v>
      </c>
      <c r="I253" s="73" t="s">
        <v>718</v>
      </c>
      <c r="J253" s="73" t="s">
        <v>3665</v>
      </c>
      <c r="K253" s="73"/>
      <c r="L253" s="73"/>
      <c r="M253" s="118" t="n">
        <f aca="false">MAX(M252-INDEX(input_data!$L:$L,MATCH("all.in.bnk.stl.scr.---",input_data!$A:$A,0))*(1-INDEX(input_data!$M:$X,MATCH("all.in.cbf.---.---.---",input_data!$A:$A,0),1)),0)*INDEX(input_data!$M:$X,MATCH("all.in.ets.---.---.---",input_data!$A:$A,0),1)*INDEX(input_data!$M:$X,MATCH("all.in.act.---.---.---",input_data!$A:$A,0),1)*INDEX(input_data!$M:$X,MATCH("all.in.fxr.---.---.---",input_data!$A:$A,0),1)</f>
        <v>0</v>
      </c>
      <c r="N253" s="118" t="n">
        <f aca="false">MAX(N252-INDEX(input_data!$L:$L,MATCH("all.in.bnk.stl.scr.---",input_data!$A:$A,0))*(1-INDEX(input_data!$M:$X,MATCH("all.in.cbf.---.---.---",input_data!$A:$A,0),2)),0)*INDEX(input_data!$M:$X,MATCH("all.in.ets.---.---.---",input_data!$A:$A,0),2)*INDEX(input_data!$M:$X,MATCH("all.in.act.---.---.---",input_data!$A:$A,0),2)*INDEX(input_data!$M:$X,MATCH("all.in.fxr.---.---.---",input_data!$A:$A,0),2)</f>
        <v>0</v>
      </c>
      <c r="O253" s="118" t="n">
        <f aca="false">MAX(O252-INDEX(input_data!$L:$L,MATCH("all.in.bnk.stl.scr.---",input_data!$A:$A,0))*(1-INDEX(input_data!$M:$X,MATCH("all.in.cbf.---.---.---",input_data!$A:$A,0),3)),0)*INDEX(input_data!$M:$X,MATCH("all.in.ets.---.---.---",input_data!$A:$A,0),3)*INDEX(input_data!$M:$X,MATCH("all.in.act.---.---.---",input_data!$A:$A,0),3)*INDEX(input_data!$M:$X,MATCH("all.in.fxr.---.---.---",input_data!$A:$A,0),3)</f>
        <v>9.3357</v>
      </c>
      <c r="P253" s="118" t="n">
        <f aca="false">MAX(P252-INDEX(input_data!$L:$L,MATCH("all.in.bnk.stl.scr.---",input_data!$A:$A,0))*(1-INDEX(input_data!$M:$X,MATCH("all.in.cbf.---.---.---",input_data!$A:$A,0),4)),0)*INDEX(input_data!$M:$X,MATCH("all.in.ets.---.---.---",input_data!$A:$A,0),4)*INDEX(input_data!$M:$X,MATCH("all.in.act.---.---.---",input_data!$A:$A,0),4)*INDEX(input_data!$M:$X,MATCH("all.in.fxr.---.---.---",input_data!$A:$A,0),4)</f>
        <v>10.010385</v>
      </c>
      <c r="Q253" s="118" t="n">
        <f aca="false">MAX(Q252-INDEX(input_data!$L:$L,MATCH("all.in.bnk.stl.scr.---",input_data!$A:$A,0))*(1-INDEX(input_data!$M:$X,MATCH("all.in.cbf.---.---.---",input_data!$A:$A,0),5)),0)*INDEX(input_data!$M:$X,MATCH("all.in.ets.---.---.---",input_data!$A:$A,0),5)*INDEX(input_data!$M:$X,MATCH("all.in.act.---.---.---",input_data!$A:$A,0),5)*INDEX(input_data!$M:$X,MATCH("all.in.fxr.---.---.---",input_data!$A:$A,0),5)</f>
        <v>10.92267</v>
      </c>
      <c r="R253" s="118" t="n">
        <f aca="false">MAX(R252-INDEX(input_data!$L:$L,MATCH("all.in.bnk.stl.scr.---",input_data!$A:$A,0))*(1-INDEX(input_data!$M:$X,MATCH("all.in.cbf.---.---.---",input_data!$A:$A,0),6)),0)*INDEX(input_data!$M:$X,MATCH("all.in.ets.---.---.---",input_data!$A:$A,0),6)*INDEX(input_data!$M:$X,MATCH("all.in.act.---.---.---",input_data!$A:$A,0),6)*INDEX(input_data!$M:$X,MATCH("all.in.fxr.---.---.---",input_data!$A:$A,0),6)</f>
        <v>12.01167</v>
      </c>
      <c r="S253" s="118" t="n">
        <f aca="false">MAX(S252-INDEX(input_data!$L:$L,MATCH("all.in.bnk.stl.scr.---",input_data!$A:$A,0))*(1-INDEX(input_data!$M:$X,MATCH("all.in.cbf.---.---.---",input_data!$A:$A,0),7)),0)*INDEX(input_data!$M:$X,MATCH("all.in.ets.---.---.---",input_data!$A:$A,0),7)*INDEX(input_data!$M:$X,MATCH("all.in.act.---.---.---",input_data!$A:$A,0),7)*INDEX(input_data!$M:$X,MATCH("all.in.fxr.---.---.---",input_data!$A:$A,0),7)</f>
        <v>14.925735</v>
      </c>
      <c r="T253" s="118" t="n">
        <f aca="false">MAX(T252-INDEX(input_data!$L:$L,MATCH("all.in.bnk.stl.scr.---",input_data!$A:$A,0))*(1-INDEX(input_data!$M:$X,MATCH("all.in.cbf.---.---.---",input_data!$A:$A,0),8)),0)*INDEX(input_data!$M:$X,MATCH("all.in.ets.---.---.---",input_data!$A:$A,0),8)*INDEX(input_data!$M:$X,MATCH("all.in.act.---.---.---",input_data!$A:$A,0),8)*INDEX(input_data!$M:$X,MATCH("all.in.fxr.---.---.---",input_data!$A:$A,0),8)</f>
        <v>16.76268</v>
      </c>
      <c r="U253" s="118" t="n">
        <f aca="false">MAX(U252-INDEX(input_data!$L:$L,MATCH("all.in.bnk.stl.scr.---",input_data!$A:$A,0))*(1-INDEX(input_data!$M:$X,MATCH("all.in.cbf.---.---.---",input_data!$A:$A,0),9)),0)*INDEX(input_data!$M:$X,MATCH("all.in.ets.---.---.---",input_data!$A:$A,0),9)*INDEX(input_data!$M:$X,MATCH("all.in.act.---.---.---",input_data!$A:$A,0),9)*INDEX(input_data!$M:$X,MATCH("all.in.fxr.---.---.---",input_data!$A:$A,0),9)</f>
        <v>18.698625</v>
      </c>
      <c r="V253" s="118" t="n">
        <f aca="false">MAX(V252-INDEX(input_data!$L:$L,MATCH("all.in.bnk.stl.scr.---",input_data!$A:$A,0))*(1-INDEX(input_data!$M:$X,MATCH("all.in.cbf.---.---.---",input_data!$A:$A,0),10)),0)*INDEX(input_data!$M:$X,MATCH("all.in.ets.---.---.---",input_data!$A:$A,0),10)*INDEX(input_data!$M:$X,MATCH("all.in.act.---.---.---",input_data!$A:$A,0),10)*INDEX(input_data!$M:$X,MATCH("all.in.fxr.---.---.---",input_data!$A:$A,0),10)</f>
        <v>20.73357</v>
      </c>
      <c r="W253" s="118" t="n">
        <f aca="false">MAX(W252-INDEX(input_data!$L:$L,MATCH("all.in.bnk.stl.scr.---",input_data!$A:$A,0))*(1-INDEX(input_data!$M:$X,MATCH("all.in.cbf.---.---.---",input_data!$A:$A,0),11)),0)*INDEX(input_data!$M:$X,MATCH("all.in.ets.---.---.---",input_data!$A:$A,0),11)*INDEX(input_data!$M:$X,MATCH("all.in.act.---.---.---",input_data!$A:$A,0),11)*INDEX(input_data!$M:$X,MATCH("all.in.fxr.---.---.---",input_data!$A:$A,0),11)</f>
        <v>23.027895</v>
      </c>
      <c r="X253" s="118" t="n">
        <f aca="false">MAX(X252-INDEX(input_data!$L:$L,MATCH("all.in.bnk.stl.scr.---",input_data!$A:$A,0))*(1-INDEX(input_data!$M:$X,MATCH("all.in.cbf.---.---.---",input_data!$A:$A,0),12)),0)*INDEX(input_data!$M:$X,MATCH("all.in.ets.---.---.---",input_data!$A:$A,0),12)*INDEX(input_data!$M:$X,MATCH("all.in.act.---.---.---",input_data!$A:$A,0),12)*INDEX(input_data!$M:$X,MATCH("all.in.fxr.---.---.---",input_data!$A:$A,0),12)</f>
        <v>23.88078</v>
      </c>
    </row>
    <row r="254" customFormat="false" ht="15" hidden="false" customHeight="true" outlineLevel="0" collapsed="false">
      <c r="A254" s="73" t="str">
        <f aca="false">dashboard!$B$5&amp;".em.nh3.stl.bof.---"</f>
        <v>egy.em.nh3.stl.bof.---</v>
      </c>
      <c r="B254" s="73" t="str">
        <f aca="false">dashboard!$B$5</f>
        <v>egy</v>
      </c>
      <c r="C254" s="73" t="s">
        <v>3444</v>
      </c>
      <c r="D254" s="73" t="s">
        <v>727</v>
      </c>
      <c r="E254" s="73" t="s">
        <v>705</v>
      </c>
      <c r="F254" s="73" t="s">
        <v>744</v>
      </c>
      <c r="G254" s="73" t="s">
        <v>655</v>
      </c>
      <c r="H254" s="73" t="s">
        <v>3671</v>
      </c>
      <c r="I254" s="73" t="s">
        <v>3457</v>
      </c>
      <c r="J254" s="73" t="s">
        <v>3653</v>
      </c>
      <c r="K254" s="73"/>
      <c r="L254" s="73"/>
      <c r="M254" s="114" t="n">
        <f aca="false">INDEX(input_data!$L:$L,MATCH("all.in.nh3.stl.bof.---",input_data!$A:$A,0))*IFERROR((M153+M154+M155+M156)/M132,0)*M76</f>
        <v>0</v>
      </c>
      <c r="N254" s="114" t="n">
        <f aca="false">INDEX(input_data!$L:$L,MATCH("all.in.nh3.stl.bof.---",input_data!$A:$A,0))*IFERROR((N153+N154+N155+N156)/N132,0)*N76</f>
        <v>0</v>
      </c>
      <c r="O254" s="114" t="n">
        <f aca="false">INDEX(input_data!$L:$L,MATCH("all.in.nh3.stl.bof.---",input_data!$A:$A,0))*IFERROR((O153+O154+O155+O156)/O132,0)*O76</f>
        <v>0</v>
      </c>
      <c r="P254" s="114" t="n">
        <f aca="false">INDEX(input_data!$L:$L,MATCH("all.in.nh3.stl.bof.---",input_data!$A:$A,0))*IFERROR((P153+P154+P155+P156)/P132,0)*P76</f>
        <v>0</v>
      </c>
      <c r="Q254" s="114" t="n">
        <f aca="false">INDEX(input_data!$L:$L,MATCH("all.in.nh3.stl.bof.---",input_data!$A:$A,0))*IFERROR((Q153+Q154+Q155+Q156)/Q132,0)*Q76</f>
        <v>0</v>
      </c>
      <c r="R254" s="114" t="n">
        <f aca="false">INDEX(input_data!$L:$L,MATCH("all.in.nh3.stl.bof.---",input_data!$A:$A,0))*IFERROR((R153+R154+R155+R156)/R132,0)*R76</f>
        <v>0</v>
      </c>
      <c r="S254" s="114" t="n">
        <f aca="false">INDEX(input_data!$L:$L,MATCH("all.in.nh3.stl.bof.---",input_data!$A:$A,0))*IFERROR((S153+S154+S155+S156)/S132,0)*S76</f>
        <v>0</v>
      </c>
      <c r="T254" s="114" t="n">
        <f aca="false">INDEX(input_data!$L:$L,MATCH("all.in.nh3.stl.bof.---",input_data!$A:$A,0))*IFERROR((T153+T154+T155+T156)/T132,0)*T76</f>
        <v>0</v>
      </c>
      <c r="U254" s="114" t="n">
        <f aca="false">INDEX(input_data!$L:$L,MATCH("all.in.nh3.stl.bof.---",input_data!$A:$A,0))*IFERROR((U153+U154+U155+U156)/U132,0)*U76</f>
        <v>0</v>
      </c>
      <c r="V254" s="114" t="n">
        <f aca="false">INDEX(input_data!$L:$L,MATCH("all.in.nh3.stl.bof.---",input_data!$A:$A,0))*IFERROR((V153+V154+V155+V156)/V132,0)*V76</f>
        <v>0</v>
      </c>
      <c r="W254" s="114" t="n">
        <f aca="false">INDEX(input_data!$L:$L,MATCH("all.in.nh3.stl.bof.---",input_data!$A:$A,0))*IFERROR((W153+W154+W155+W156)/W132,0)*W76</f>
        <v>0</v>
      </c>
      <c r="X254" s="114" t="n">
        <f aca="false">INDEX(input_data!$L:$L,MATCH("all.in.nh3.stl.bof.---",input_data!$A:$A,0))*IFERROR((X153+X154+X155+X156)/X132,0)*X76</f>
        <v>0</v>
      </c>
    </row>
    <row r="255" customFormat="false" ht="15" hidden="false" customHeight="true" outlineLevel="0" collapsed="false">
      <c r="A255" s="73" t="str">
        <f aca="false">dashboard!$B$5&amp;".em.tot.stl.bof.---"</f>
        <v>egy.em.tot.stl.bof.---</v>
      </c>
      <c r="B255" s="73" t="str">
        <f aca="false">dashboard!$B$5</f>
        <v>egy</v>
      </c>
      <c r="C255" s="73" t="s">
        <v>3444</v>
      </c>
      <c r="D255" s="73" t="s">
        <v>3654</v>
      </c>
      <c r="E255" s="73" t="s">
        <v>705</v>
      </c>
      <c r="F255" s="73" t="s">
        <v>744</v>
      </c>
      <c r="G255" s="73" t="s">
        <v>655</v>
      </c>
      <c r="H255" s="73" t="s">
        <v>3672</v>
      </c>
      <c r="I255" s="73" t="s">
        <v>3457</v>
      </c>
      <c r="J255" s="73" t="s">
        <v>3656</v>
      </c>
      <c r="K255" s="73"/>
      <c r="L255" s="73"/>
      <c r="M255" s="115" t="n">
        <f aca="false">M97+M98+M99+M100+M101+M254</f>
        <v>0</v>
      </c>
      <c r="N255" s="115" t="n">
        <f aca="false">N97+N98+N99+N100+N101+N254</f>
        <v>0</v>
      </c>
      <c r="O255" s="115" t="n">
        <f aca="false">O97+O98+O99+O100+O101+O254</f>
        <v>0</v>
      </c>
      <c r="P255" s="115" t="n">
        <f aca="false">P97+P98+P99+P100+P101+P254</f>
        <v>0</v>
      </c>
      <c r="Q255" s="115" t="n">
        <f aca="false">Q97+Q98+Q99+Q100+Q101+Q254</f>
        <v>0</v>
      </c>
      <c r="R255" s="115" t="n">
        <f aca="false">R97+R98+R99+R100+R101+R254</f>
        <v>0</v>
      </c>
      <c r="S255" s="115" t="n">
        <f aca="false">S97+S98+S99+S100+S101+S254</f>
        <v>0</v>
      </c>
      <c r="T255" s="115" t="n">
        <f aca="false">T97+T98+T99+T100+T101+T254</f>
        <v>0</v>
      </c>
      <c r="U255" s="115" t="n">
        <f aca="false">U97+U98+U99+U100+U101+U254</f>
        <v>0</v>
      </c>
      <c r="V255" s="115" t="n">
        <f aca="false">V97+V98+V99+V100+V101+V254</f>
        <v>0</v>
      </c>
      <c r="W255" s="115" t="n">
        <f aca="false">W97+W98+W99+W100+W101+W254</f>
        <v>0</v>
      </c>
      <c r="X255" s="115" t="n">
        <f aca="false">X97+X98+X99+X100+X101+X254</f>
        <v>0</v>
      </c>
    </row>
    <row r="256" customFormat="false" ht="15" hidden="false" customHeight="true" outlineLevel="0" collapsed="false">
      <c r="A256" s="73" t="str">
        <f aca="false">dashboard!$B$5&amp;".cb.int.stl.bof.---"</f>
        <v>egy.cb.int.stl.bof.---</v>
      </c>
      <c r="B256" s="73" t="str">
        <f aca="false">dashboard!$B$5</f>
        <v>egy</v>
      </c>
      <c r="C256" s="73" t="s">
        <v>3657</v>
      </c>
      <c r="D256" s="73" t="s">
        <v>3658</v>
      </c>
      <c r="E256" s="73" t="s">
        <v>705</v>
      </c>
      <c r="F256" s="73" t="s">
        <v>744</v>
      </c>
      <c r="G256" s="73" t="s">
        <v>655</v>
      </c>
      <c r="H256" s="73" t="s">
        <v>3673</v>
      </c>
      <c r="I256" s="73" t="s">
        <v>955</v>
      </c>
      <c r="J256" s="73" t="s">
        <v>3660</v>
      </c>
      <c r="K256" s="73"/>
      <c r="L256" s="73"/>
      <c r="M256" s="116" t="n">
        <f aca="false">IFERROR(M255/M76,0)</f>
        <v>0</v>
      </c>
      <c r="N256" s="116" t="n">
        <f aca="false">IFERROR(N255/N76,0)</f>
        <v>0</v>
      </c>
      <c r="O256" s="116" t="n">
        <f aca="false">IFERROR(O255/O76,0)</f>
        <v>0</v>
      </c>
      <c r="P256" s="116" t="n">
        <f aca="false">IFERROR(P255/P76,0)</f>
        <v>0</v>
      </c>
      <c r="Q256" s="116" t="n">
        <f aca="false">IFERROR(Q255/Q76,0)</f>
        <v>0</v>
      </c>
      <c r="R256" s="116" t="n">
        <f aca="false">IFERROR(R255/R76,0)</f>
        <v>0</v>
      </c>
      <c r="S256" s="116" t="n">
        <f aca="false">IFERROR(S255/S76,0)</f>
        <v>0</v>
      </c>
      <c r="T256" s="116" t="n">
        <f aca="false">IFERROR(T255/T76,0)</f>
        <v>0</v>
      </c>
      <c r="U256" s="116" t="n">
        <f aca="false">IFERROR(U255/U76,0)</f>
        <v>0</v>
      </c>
      <c r="V256" s="116" t="n">
        <f aca="false">IFERROR(V255/V76,0)</f>
        <v>0</v>
      </c>
      <c r="W256" s="116" t="n">
        <f aca="false">IFERROR(W255/W76,0)</f>
        <v>0</v>
      </c>
      <c r="X256" s="116" t="n">
        <f aca="false">IFERROR(X255/X76,0)</f>
        <v>0</v>
      </c>
    </row>
    <row r="257" customFormat="false" ht="15" hidden="false" customHeight="true" outlineLevel="0" collapsed="false">
      <c r="A257" s="73" t="str">
        <f aca="false">dashboard!$B$5&amp;".cb.mrv.stl.bof.---"</f>
        <v>egy.cb.mrv.stl.bof.---</v>
      </c>
      <c r="B257" s="73" t="str">
        <f aca="false">dashboard!$B$5</f>
        <v>egy</v>
      </c>
      <c r="C257" s="73" t="s">
        <v>3657</v>
      </c>
      <c r="D257" s="73" t="s">
        <v>814</v>
      </c>
      <c r="E257" s="73" t="s">
        <v>705</v>
      </c>
      <c r="F257" s="73" t="s">
        <v>744</v>
      </c>
      <c r="G257" s="73" t="s">
        <v>655</v>
      </c>
      <c r="H257" s="73" t="s">
        <v>3674</v>
      </c>
      <c r="I257" s="73" t="s">
        <v>955</v>
      </c>
      <c r="J257" s="73" t="s">
        <v>3662</v>
      </c>
      <c r="K257" s="73"/>
      <c r="L257" s="73"/>
      <c r="M257" s="117" t="n">
        <f aca="false">IFERROR(IF(INDEX(input_data!$L:$L,MATCH("all.in.mrv.stl.bof.---",input_data!$A:$A,0))=1,((M255-M101*(1-INDEX(input_data!$L:$L,MATCH("all.in.cs2.stl.bof.---",input_data!$A:$A,0))))/M76),INDEX(input_data!$L:$L,MATCH("all.in.dfv.stl.bof.---",input_data!$A:$A,0))),0)</f>
        <v>0</v>
      </c>
      <c r="N257" s="117" t="n">
        <f aca="false">IFERROR(IF(INDEX(input_data!$L:$L,MATCH("all.in.mrv.stl.bof.---",input_data!$A:$A,0))=1,((N255-N101*(1-INDEX(input_data!$L:$L,MATCH("all.in.cs2.stl.bof.---",input_data!$A:$A,0))))/N76),INDEX(input_data!$L:$L,MATCH("all.in.dfv.stl.bof.---",input_data!$A:$A,0))),0)</f>
        <v>0</v>
      </c>
      <c r="O257" s="117" t="n">
        <f aca="false">IFERROR(IF(INDEX(input_data!$L:$L,MATCH("all.in.mrv.stl.bof.---",input_data!$A:$A,0))=1,((O255-O101*(1-INDEX(input_data!$L:$L,MATCH("all.in.cs2.stl.bof.---",input_data!$A:$A,0))))/O76),INDEX(input_data!$L:$L,MATCH("all.in.dfv.stl.bof.---",input_data!$A:$A,0))),0)</f>
        <v>0</v>
      </c>
      <c r="P257" s="117" t="n">
        <f aca="false">IFERROR(IF(INDEX(input_data!$L:$L,MATCH("all.in.mrv.stl.bof.---",input_data!$A:$A,0))=1,((P255-P101*(1-INDEX(input_data!$L:$L,MATCH("all.in.cs2.stl.bof.---",input_data!$A:$A,0))))/P76),INDEX(input_data!$L:$L,MATCH("all.in.dfv.stl.bof.---",input_data!$A:$A,0))),0)</f>
        <v>0</v>
      </c>
      <c r="Q257" s="117" t="n">
        <f aca="false">IFERROR(IF(INDEX(input_data!$L:$L,MATCH("all.in.mrv.stl.bof.---",input_data!$A:$A,0))=1,((Q255-Q101*(1-INDEX(input_data!$L:$L,MATCH("all.in.cs2.stl.bof.---",input_data!$A:$A,0))))/Q76),INDEX(input_data!$L:$L,MATCH("all.in.dfv.stl.bof.---",input_data!$A:$A,0))),0)</f>
        <v>0</v>
      </c>
      <c r="R257" s="117" t="n">
        <f aca="false">IFERROR(IF(INDEX(input_data!$L:$L,MATCH("all.in.mrv.stl.bof.---",input_data!$A:$A,0))=1,((R255-R101*(1-INDEX(input_data!$L:$L,MATCH("all.in.cs2.stl.bof.---",input_data!$A:$A,0))))/R76),INDEX(input_data!$L:$L,MATCH("all.in.dfv.stl.bof.---",input_data!$A:$A,0))),0)</f>
        <v>0</v>
      </c>
      <c r="S257" s="117" t="n">
        <f aca="false">IFERROR(IF(INDEX(input_data!$L:$L,MATCH("all.in.mrv.stl.bof.---",input_data!$A:$A,0))=1,((S255-S101*(1-INDEX(input_data!$L:$L,MATCH("all.in.cs2.stl.bof.---",input_data!$A:$A,0))))/S76),INDEX(input_data!$L:$L,MATCH("all.in.dfv.stl.bof.---",input_data!$A:$A,0))),0)</f>
        <v>0</v>
      </c>
      <c r="T257" s="117" t="n">
        <f aca="false">IFERROR(IF(INDEX(input_data!$L:$L,MATCH("all.in.mrv.stl.bof.---",input_data!$A:$A,0))=1,((T255-T101*(1-INDEX(input_data!$L:$L,MATCH("all.in.cs2.stl.bof.---",input_data!$A:$A,0))))/T76),INDEX(input_data!$L:$L,MATCH("all.in.dfv.stl.bof.---",input_data!$A:$A,0))),0)</f>
        <v>0</v>
      </c>
      <c r="U257" s="117" t="n">
        <f aca="false">IFERROR(IF(INDEX(input_data!$L:$L,MATCH("all.in.mrv.stl.bof.---",input_data!$A:$A,0))=1,((U255-U101*(1-INDEX(input_data!$L:$L,MATCH("all.in.cs2.stl.bof.---",input_data!$A:$A,0))))/U76),INDEX(input_data!$L:$L,MATCH("all.in.dfv.stl.bof.---",input_data!$A:$A,0))),0)</f>
        <v>0</v>
      </c>
      <c r="V257" s="117" t="n">
        <f aca="false">IFERROR(IF(INDEX(input_data!$L:$L,MATCH("all.in.mrv.stl.bof.---",input_data!$A:$A,0))=1,((V255-V101*(1-INDEX(input_data!$L:$L,MATCH("all.in.cs2.stl.bof.---",input_data!$A:$A,0))))/V76),INDEX(input_data!$L:$L,MATCH("all.in.dfv.stl.bof.---",input_data!$A:$A,0))),0)</f>
        <v>0</v>
      </c>
      <c r="W257" s="117" t="n">
        <f aca="false">IFERROR(IF(INDEX(input_data!$L:$L,MATCH("all.in.mrv.stl.bof.---",input_data!$A:$A,0))=1,((W255-W101*(1-INDEX(input_data!$L:$L,MATCH("all.in.cs2.stl.bof.---",input_data!$A:$A,0))))/W76),INDEX(input_data!$L:$L,MATCH("all.in.dfv.stl.bof.---",input_data!$A:$A,0))),0)</f>
        <v>0</v>
      </c>
      <c r="X257" s="117" t="n">
        <f aca="false">IFERROR(IF(INDEX(input_data!$L:$L,MATCH("all.in.mrv.stl.bof.---",input_data!$A:$A,0))=1,((X255-X101*(1-INDEX(input_data!$L:$L,MATCH("all.in.cs2.stl.bof.---",input_data!$A:$A,0))))/X76),INDEX(input_data!$L:$L,MATCH("all.in.dfv.stl.bof.---",input_data!$A:$A,0))),0)</f>
        <v>0</v>
      </c>
    </row>
    <row r="258" customFormat="false" ht="15" hidden="false" customHeight="true" outlineLevel="0" collapsed="false">
      <c r="A258" s="73" t="str">
        <f aca="false">dashboard!$B$5&amp;".cb.obl.stl.bof.---"</f>
        <v>egy.cb.obl.stl.bof.---</v>
      </c>
      <c r="B258" s="73" t="str">
        <f aca="false">dashboard!$B$5</f>
        <v>egy</v>
      </c>
      <c r="C258" s="73" t="s">
        <v>3657</v>
      </c>
      <c r="D258" s="73" t="s">
        <v>3663</v>
      </c>
      <c r="E258" s="73" t="s">
        <v>705</v>
      </c>
      <c r="F258" s="73" t="s">
        <v>744</v>
      </c>
      <c r="G258" s="73" t="s">
        <v>655</v>
      </c>
      <c r="H258" s="73" t="s">
        <v>3675</v>
      </c>
      <c r="I258" s="73" t="s">
        <v>718</v>
      </c>
      <c r="J258" s="73" t="s">
        <v>3665</v>
      </c>
      <c r="K258" s="73"/>
      <c r="L258" s="73"/>
      <c r="M258" s="118" t="n">
        <f aca="false">MAX(M257-INDEX(input_data!$L:$L,MATCH("all.in.bnk.stl.bof.---",input_data!$A:$A,0))*(1-INDEX(input_data!$M:$X,MATCH("all.in.cbf.---.---.---",input_data!$A:$A,0),1)),0)*INDEX(input_data!$M:$X,MATCH("all.in.ets.---.---.---",input_data!$A:$A,0),1)*INDEX(input_data!$M:$X,MATCH("all.in.act.---.---.---",input_data!$A:$A,0),1)*INDEX(input_data!$M:$X,MATCH("all.in.fxr.---.---.---",input_data!$A:$A,0),1)</f>
        <v>0</v>
      </c>
      <c r="N258" s="118" t="n">
        <f aca="false">MAX(N257-INDEX(input_data!$L:$L,MATCH("all.in.bnk.stl.bof.---",input_data!$A:$A,0))*(1-INDEX(input_data!$M:$X,MATCH("all.in.cbf.---.---.---",input_data!$A:$A,0),2)),0)*INDEX(input_data!$M:$X,MATCH("all.in.ets.---.---.---",input_data!$A:$A,0),2)*INDEX(input_data!$M:$X,MATCH("all.in.act.---.---.---",input_data!$A:$A,0),2)*INDEX(input_data!$M:$X,MATCH("all.in.fxr.---.---.---",input_data!$A:$A,0),2)</f>
        <v>0</v>
      </c>
      <c r="O258" s="118" t="n">
        <f aca="false">MAX(O257-INDEX(input_data!$L:$L,MATCH("all.in.bnk.stl.bof.---",input_data!$A:$A,0))*(1-INDEX(input_data!$M:$X,MATCH("all.in.cbf.---.---.---",input_data!$A:$A,0),3)),0)*INDEX(input_data!$M:$X,MATCH("all.in.ets.---.---.---",input_data!$A:$A,0),3)*INDEX(input_data!$M:$X,MATCH("all.in.act.---.---.---",input_data!$A:$A,0),3)*INDEX(input_data!$M:$X,MATCH("all.in.fxr.---.---.---",input_data!$A:$A,0),3)</f>
        <v>0</v>
      </c>
      <c r="P258" s="118" t="n">
        <f aca="false">MAX(P257-INDEX(input_data!$L:$L,MATCH("all.in.bnk.stl.bof.---",input_data!$A:$A,0))*(1-INDEX(input_data!$M:$X,MATCH("all.in.cbf.---.---.---",input_data!$A:$A,0),4)),0)*INDEX(input_data!$M:$X,MATCH("all.in.ets.---.---.---",input_data!$A:$A,0),4)*INDEX(input_data!$M:$X,MATCH("all.in.act.---.---.---",input_data!$A:$A,0),4)*INDEX(input_data!$M:$X,MATCH("all.in.fxr.---.---.---",input_data!$A:$A,0),4)</f>
        <v>0</v>
      </c>
      <c r="Q258" s="118" t="n">
        <f aca="false">MAX(Q257-INDEX(input_data!$L:$L,MATCH("all.in.bnk.stl.bof.---",input_data!$A:$A,0))*(1-INDEX(input_data!$M:$X,MATCH("all.in.cbf.---.---.---",input_data!$A:$A,0),5)),0)*INDEX(input_data!$M:$X,MATCH("all.in.ets.---.---.---",input_data!$A:$A,0),5)*INDEX(input_data!$M:$X,MATCH("all.in.act.---.---.---",input_data!$A:$A,0),5)*INDEX(input_data!$M:$X,MATCH("all.in.fxr.---.---.---",input_data!$A:$A,0),5)</f>
        <v>0</v>
      </c>
      <c r="R258" s="118" t="n">
        <f aca="false">MAX(R257-INDEX(input_data!$L:$L,MATCH("all.in.bnk.stl.bof.---",input_data!$A:$A,0))*(1-INDEX(input_data!$M:$X,MATCH("all.in.cbf.---.---.---",input_data!$A:$A,0),6)),0)*INDEX(input_data!$M:$X,MATCH("all.in.ets.---.---.---",input_data!$A:$A,0),6)*INDEX(input_data!$M:$X,MATCH("all.in.act.---.---.---",input_data!$A:$A,0),6)*INDEX(input_data!$M:$X,MATCH("all.in.fxr.---.---.---",input_data!$A:$A,0),6)</f>
        <v>0</v>
      </c>
      <c r="S258" s="118" t="n">
        <f aca="false">MAX(S257-INDEX(input_data!$L:$L,MATCH("all.in.bnk.stl.bof.---",input_data!$A:$A,0))*(1-INDEX(input_data!$M:$X,MATCH("all.in.cbf.---.---.---",input_data!$A:$A,0),7)),0)*INDEX(input_data!$M:$X,MATCH("all.in.ets.---.---.---",input_data!$A:$A,0),7)*INDEX(input_data!$M:$X,MATCH("all.in.act.---.---.---",input_data!$A:$A,0),7)*INDEX(input_data!$M:$X,MATCH("all.in.fxr.---.---.---",input_data!$A:$A,0),7)</f>
        <v>0</v>
      </c>
      <c r="T258" s="118" t="n">
        <f aca="false">MAX(T257-INDEX(input_data!$L:$L,MATCH("all.in.bnk.stl.bof.---",input_data!$A:$A,0))*(1-INDEX(input_data!$M:$X,MATCH("all.in.cbf.---.---.---",input_data!$A:$A,0),8)),0)*INDEX(input_data!$M:$X,MATCH("all.in.ets.---.---.---",input_data!$A:$A,0),8)*INDEX(input_data!$M:$X,MATCH("all.in.act.---.---.---",input_data!$A:$A,0),8)*INDEX(input_data!$M:$X,MATCH("all.in.fxr.---.---.---",input_data!$A:$A,0),8)</f>
        <v>0</v>
      </c>
      <c r="U258" s="118" t="n">
        <f aca="false">MAX(U257-INDEX(input_data!$L:$L,MATCH("all.in.bnk.stl.bof.---",input_data!$A:$A,0))*(1-INDEX(input_data!$M:$X,MATCH("all.in.cbf.---.---.---",input_data!$A:$A,0),9)),0)*INDEX(input_data!$M:$X,MATCH("all.in.ets.---.---.---",input_data!$A:$A,0),9)*INDEX(input_data!$M:$X,MATCH("all.in.act.---.---.---",input_data!$A:$A,0),9)*INDEX(input_data!$M:$X,MATCH("all.in.fxr.---.---.---",input_data!$A:$A,0),9)</f>
        <v>0</v>
      </c>
      <c r="V258" s="118" t="n">
        <f aca="false">MAX(V257-INDEX(input_data!$L:$L,MATCH("all.in.bnk.stl.bof.---",input_data!$A:$A,0))*(1-INDEX(input_data!$M:$X,MATCH("all.in.cbf.---.---.---",input_data!$A:$A,0),10)),0)*INDEX(input_data!$M:$X,MATCH("all.in.ets.---.---.---",input_data!$A:$A,0),10)*INDEX(input_data!$M:$X,MATCH("all.in.act.---.---.---",input_data!$A:$A,0),10)*INDEX(input_data!$M:$X,MATCH("all.in.fxr.---.---.---",input_data!$A:$A,0),10)</f>
        <v>0</v>
      </c>
      <c r="W258" s="118" t="n">
        <f aca="false">MAX(W257-INDEX(input_data!$L:$L,MATCH("all.in.bnk.stl.bof.---",input_data!$A:$A,0))*(1-INDEX(input_data!$M:$X,MATCH("all.in.cbf.---.---.---",input_data!$A:$A,0),11)),0)*INDEX(input_data!$M:$X,MATCH("all.in.ets.---.---.---",input_data!$A:$A,0),11)*INDEX(input_data!$M:$X,MATCH("all.in.act.---.---.---",input_data!$A:$A,0),11)*INDEX(input_data!$M:$X,MATCH("all.in.fxr.---.---.---",input_data!$A:$A,0),11)</f>
        <v>0</v>
      </c>
      <c r="X258" s="118" t="n">
        <f aca="false">MAX(X257-INDEX(input_data!$L:$L,MATCH("all.in.bnk.stl.bof.---",input_data!$A:$A,0))*(1-INDEX(input_data!$M:$X,MATCH("all.in.cbf.---.---.---",input_data!$A:$A,0),12)),0)*INDEX(input_data!$M:$X,MATCH("all.in.ets.---.---.---",input_data!$A:$A,0),12)*INDEX(input_data!$M:$X,MATCH("all.in.act.---.---.---",input_data!$A:$A,0),12)*INDEX(input_data!$M:$X,MATCH("all.in.fxr.---.---.---",input_data!$A:$A,0),12)</f>
        <v>0</v>
      </c>
    </row>
    <row r="259" customFormat="false" ht="15" hidden="false" customHeight="true" outlineLevel="0" collapsed="false">
      <c r="A259" s="73" t="str">
        <f aca="false">dashboard!$B$5&amp;".em.nh3.cmt.dry.---"</f>
        <v>egy.em.nh3.cmt.dry.---</v>
      </c>
      <c r="B259" s="73" t="str">
        <f aca="false">dashboard!$B$5</f>
        <v>egy</v>
      </c>
      <c r="C259" s="73" t="s">
        <v>3444</v>
      </c>
      <c r="D259" s="73" t="s">
        <v>727</v>
      </c>
      <c r="E259" s="73" t="s">
        <v>755</v>
      </c>
      <c r="F259" s="73" t="s">
        <v>756</v>
      </c>
      <c r="G259" s="73" t="s">
        <v>655</v>
      </c>
      <c r="H259" s="73" t="s">
        <v>3676</v>
      </c>
      <c r="I259" s="73" t="s">
        <v>3457</v>
      </c>
      <c r="J259" s="73" t="s">
        <v>3653</v>
      </c>
      <c r="K259" s="73"/>
      <c r="L259" s="73"/>
      <c r="M259" s="114" t="n">
        <f aca="false">INDEX(input_data!$L:$L,MATCH("all.in.nh3.cmt.dry.---",input_data!$A:$A,0))*IFERROR((M153+M154+M155+M156)/M132,0)*M104</f>
        <v>0</v>
      </c>
      <c r="N259" s="114" t="n">
        <f aca="false">INDEX(input_data!$L:$L,MATCH("all.in.nh3.cmt.dry.---",input_data!$A:$A,0))*IFERROR((N153+N154+N155+N156)/N132,0)*N104</f>
        <v>0</v>
      </c>
      <c r="O259" s="114" t="n">
        <f aca="false">INDEX(input_data!$L:$L,MATCH("all.in.nh3.cmt.dry.---",input_data!$A:$A,0))*IFERROR((O153+O154+O155+O156)/O132,0)*O104</f>
        <v>0</v>
      </c>
      <c r="P259" s="114" t="n">
        <f aca="false">INDEX(input_data!$L:$L,MATCH("all.in.nh3.cmt.dry.---",input_data!$A:$A,0))*IFERROR((P153+P154+P155+P156)/P132,0)*P104</f>
        <v>0</v>
      </c>
      <c r="Q259" s="114" t="n">
        <f aca="false">INDEX(input_data!$L:$L,MATCH("all.in.nh3.cmt.dry.---",input_data!$A:$A,0))*IFERROR((Q153+Q154+Q155+Q156)/Q132,0)*Q104</f>
        <v>0</v>
      </c>
      <c r="R259" s="114" t="n">
        <f aca="false">INDEX(input_data!$L:$L,MATCH("all.in.nh3.cmt.dry.---",input_data!$A:$A,0))*IFERROR((R153+R154+R155+R156)/R132,0)*R104</f>
        <v>0</v>
      </c>
      <c r="S259" s="114" t="n">
        <f aca="false">INDEX(input_data!$L:$L,MATCH("all.in.nh3.cmt.dry.---",input_data!$A:$A,0))*IFERROR((S153+S154+S155+S156)/S132,0)*S104</f>
        <v>0</v>
      </c>
      <c r="T259" s="114" t="n">
        <f aca="false">INDEX(input_data!$L:$L,MATCH("all.in.nh3.cmt.dry.---",input_data!$A:$A,0))*IFERROR((T153+T154+T155+T156)/T132,0)*T104</f>
        <v>0</v>
      </c>
      <c r="U259" s="114" t="n">
        <f aca="false">INDEX(input_data!$L:$L,MATCH("all.in.nh3.cmt.dry.---",input_data!$A:$A,0))*IFERROR((U153+U154+U155+U156)/U132,0)*U104</f>
        <v>0</v>
      </c>
      <c r="V259" s="114" t="n">
        <f aca="false">INDEX(input_data!$L:$L,MATCH("all.in.nh3.cmt.dry.---",input_data!$A:$A,0))*IFERROR((V153+V154+V155+V156)/V132,0)*V104</f>
        <v>0</v>
      </c>
      <c r="W259" s="114" t="n">
        <f aca="false">INDEX(input_data!$L:$L,MATCH("all.in.nh3.cmt.dry.---",input_data!$A:$A,0))*IFERROR((W153+W154+W155+W156)/W132,0)*W104</f>
        <v>0</v>
      </c>
      <c r="X259" s="114" t="n">
        <f aca="false">INDEX(input_data!$L:$L,MATCH("all.in.nh3.cmt.dry.---",input_data!$A:$A,0))*IFERROR((X153+X154+X155+X156)/X132,0)*X104</f>
        <v>0</v>
      </c>
    </row>
    <row r="260" customFormat="false" ht="15" hidden="false" customHeight="true" outlineLevel="0" collapsed="false">
      <c r="A260" s="73" t="str">
        <f aca="false">dashboard!$B$5&amp;".em.tot.cmt.dry.---"</f>
        <v>egy.em.tot.cmt.dry.---</v>
      </c>
      <c r="B260" s="73" t="str">
        <f aca="false">dashboard!$B$5</f>
        <v>egy</v>
      </c>
      <c r="C260" s="73" t="s">
        <v>3444</v>
      </c>
      <c r="D260" s="73" t="s">
        <v>3654</v>
      </c>
      <c r="E260" s="73" t="s">
        <v>755</v>
      </c>
      <c r="F260" s="73" t="s">
        <v>756</v>
      </c>
      <c r="G260" s="73" t="s">
        <v>655</v>
      </c>
      <c r="H260" s="73" t="s">
        <v>3677</v>
      </c>
      <c r="I260" s="73" t="s">
        <v>3457</v>
      </c>
      <c r="J260" s="73" t="s">
        <v>3656</v>
      </c>
      <c r="K260" s="73"/>
      <c r="L260" s="73"/>
      <c r="M260" s="115" t="n">
        <f aca="false">M125+M126+M127+M128+M129+M259</f>
        <v>42.9025</v>
      </c>
      <c r="N260" s="115" t="n">
        <f aca="false">N125+N126+N127+N128+N129+N259</f>
        <v>44.9548627246343</v>
      </c>
      <c r="O260" s="115" t="n">
        <f aca="false">O125+O126+O127+O128+O129+O259</f>
        <v>47.1053057780979</v>
      </c>
      <c r="P260" s="115" t="n">
        <f aca="false">P125+P126+P127+P128+P129+P259</f>
        <v>49.3585112119235</v>
      </c>
      <c r="Q260" s="115" t="n">
        <f aca="false">Q125+Q126+Q127+Q128+Q129+Q259</f>
        <v>51.7193843238286</v>
      </c>
      <c r="R260" s="115" t="n">
        <f aca="false">R125+R126+R127+R128+R129+R259</f>
        <v>54.193064289081</v>
      </c>
      <c r="S260" s="115" t="n">
        <f aca="false">S125+S126+S127+S128+S129+S259</f>
        <v>56.7849352974675</v>
      </c>
      <c r="T260" s="115" t="n">
        <f aca="false">T125+T126+T127+T128+T129+T259</f>
        <v>59.500638219878</v>
      </c>
      <c r="U260" s="115" t="n">
        <f aca="false">U125+U126+U127+U128+U129+U259</f>
        <v>62.346082829653</v>
      </c>
      <c r="V260" s="115" t="n">
        <f aca="false">V125+V126+V127+V128+V129+V259</f>
        <v>65.3274606050368</v>
      </c>
      <c r="W260" s="115" t="n">
        <f aca="false">W125+W126+W127+W128+W129+W259</f>
        <v>68.4512581403261</v>
      </c>
      <c r="X260" s="115" t="n">
        <f aca="false">X125+X126+X127+X128+X129+X259</f>
        <v>71.7242711946115</v>
      </c>
    </row>
    <row r="261" customFormat="false" ht="15" hidden="false" customHeight="true" outlineLevel="0" collapsed="false">
      <c r="A261" s="73" t="str">
        <f aca="false">dashboard!$B$5&amp;".cb.int.cmt.dry.---"</f>
        <v>egy.cb.int.cmt.dry.---</v>
      </c>
      <c r="B261" s="73" t="str">
        <f aca="false">dashboard!$B$5</f>
        <v>egy</v>
      </c>
      <c r="C261" s="73" t="s">
        <v>3657</v>
      </c>
      <c r="D261" s="73" t="s">
        <v>3658</v>
      </c>
      <c r="E261" s="73" t="s">
        <v>755</v>
      </c>
      <c r="F261" s="73" t="s">
        <v>756</v>
      </c>
      <c r="G261" s="73" t="s">
        <v>655</v>
      </c>
      <c r="H261" s="73" t="s">
        <v>3678</v>
      </c>
      <c r="I261" s="73" t="s">
        <v>955</v>
      </c>
      <c r="J261" s="73" t="s">
        <v>3660</v>
      </c>
      <c r="K261" s="73"/>
      <c r="L261" s="73"/>
      <c r="M261" s="116" t="n">
        <f aca="false">IFERROR(M260/M104,0)</f>
        <v>0.85805</v>
      </c>
      <c r="N261" s="116" t="n">
        <f aca="false">IFERROR(N260/N104,0)</f>
        <v>0.8568</v>
      </c>
      <c r="O261" s="116" t="n">
        <f aca="false">IFERROR(O260/O104,0)</f>
        <v>0.85555</v>
      </c>
      <c r="P261" s="116" t="n">
        <f aca="false">IFERROR(P260/P104,0)</f>
        <v>0.8543</v>
      </c>
      <c r="Q261" s="116" t="n">
        <f aca="false">IFERROR(Q260/Q104,0)</f>
        <v>0.85305</v>
      </c>
      <c r="R261" s="116" t="n">
        <f aca="false">IFERROR(R260/R104,0)</f>
        <v>0.8518</v>
      </c>
      <c r="S261" s="116" t="n">
        <f aca="false">IFERROR(S260/S104,0)</f>
        <v>0.85055</v>
      </c>
      <c r="T261" s="116" t="n">
        <f aca="false">IFERROR(T260/T104,0)</f>
        <v>0.8493</v>
      </c>
      <c r="U261" s="116" t="n">
        <f aca="false">IFERROR(U260/U104,0)</f>
        <v>0.84805</v>
      </c>
      <c r="V261" s="116" t="n">
        <f aca="false">IFERROR(V260/V104,0)</f>
        <v>0.8468</v>
      </c>
      <c r="W261" s="116" t="n">
        <f aca="false">IFERROR(W260/W104,0)</f>
        <v>0.84555</v>
      </c>
      <c r="X261" s="116" t="n">
        <f aca="false">IFERROR(X260/X104,0)</f>
        <v>0.8443</v>
      </c>
    </row>
    <row r="262" customFormat="false" ht="15" hidden="false" customHeight="true" outlineLevel="0" collapsed="false">
      <c r="A262" s="73" t="str">
        <f aca="false">dashboard!$B$5&amp;".cb.mrv.cmt.dry.---"</f>
        <v>egy.cb.mrv.cmt.dry.---</v>
      </c>
      <c r="B262" s="73" t="str">
        <f aca="false">dashboard!$B$5</f>
        <v>egy</v>
      </c>
      <c r="C262" s="73" t="s">
        <v>3657</v>
      </c>
      <c r="D262" s="73" t="s">
        <v>814</v>
      </c>
      <c r="E262" s="73" t="s">
        <v>755</v>
      </c>
      <c r="F262" s="73" t="s">
        <v>756</v>
      </c>
      <c r="G262" s="73" t="s">
        <v>655</v>
      </c>
      <c r="H262" s="73" t="s">
        <v>3679</v>
      </c>
      <c r="I262" s="73" t="s">
        <v>955</v>
      </c>
      <c r="J262" s="73" t="s">
        <v>3662</v>
      </c>
      <c r="K262" s="73"/>
      <c r="L262" s="73"/>
      <c r="M262" s="117" t="n">
        <f aca="false">IFERROR(IF(INDEX(input_data!$L:$L,MATCH("all.in.mrv.cmt.dry.---",input_data!$A:$A,0))=1,((M260-M129*(1-INDEX(input_data!$L:$L,MATCH("all.in.cs2.cmt.dry.---",input_data!$A:$A,0))))/M104),INDEX(input_data!$L:$L,MATCH("all.in.dfv.cmt.dry.---",input_data!$A:$A,0))),0)</f>
        <v>0.85805</v>
      </c>
      <c r="N262" s="117" t="n">
        <f aca="false">IFERROR(IF(INDEX(input_data!$L:$L,MATCH("all.in.mrv.cmt.dry.---",input_data!$A:$A,0))=1,((N260-N129*(1-INDEX(input_data!$L:$L,MATCH("all.in.cs2.cmt.dry.---",input_data!$A:$A,0))))/N104),INDEX(input_data!$L:$L,MATCH("all.in.dfv.cmt.dry.---",input_data!$A:$A,0))),0)</f>
        <v>0.8568</v>
      </c>
      <c r="O262" s="117" t="n">
        <f aca="false">IFERROR(IF(INDEX(input_data!$L:$L,MATCH("all.in.mrv.cmt.dry.---",input_data!$A:$A,0))=1,((O260-O129*(1-INDEX(input_data!$L:$L,MATCH("all.in.cs2.cmt.dry.---",input_data!$A:$A,0))))/O104),INDEX(input_data!$L:$L,MATCH("all.in.dfv.cmt.dry.---",input_data!$A:$A,0))),0)</f>
        <v>0.85555</v>
      </c>
      <c r="P262" s="117" t="n">
        <f aca="false">IFERROR(IF(INDEX(input_data!$L:$L,MATCH("all.in.mrv.cmt.dry.---",input_data!$A:$A,0))=1,((P260-P129*(1-INDEX(input_data!$L:$L,MATCH("all.in.cs2.cmt.dry.---",input_data!$A:$A,0))))/P104),INDEX(input_data!$L:$L,MATCH("all.in.dfv.cmt.dry.---",input_data!$A:$A,0))),0)</f>
        <v>0.8543</v>
      </c>
      <c r="Q262" s="117" t="n">
        <f aca="false">IFERROR(IF(INDEX(input_data!$L:$L,MATCH("all.in.mrv.cmt.dry.---",input_data!$A:$A,0))=1,((Q260-Q129*(1-INDEX(input_data!$L:$L,MATCH("all.in.cs2.cmt.dry.---",input_data!$A:$A,0))))/Q104),INDEX(input_data!$L:$L,MATCH("all.in.dfv.cmt.dry.---",input_data!$A:$A,0))),0)</f>
        <v>0.85305</v>
      </c>
      <c r="R262" s="117" t="n">
        <f aca="false">IFERROR(IF(INDEX(input_data!$L:$L,MATCH("all.in.mrv.cmt.dry.---",input_data!$A:$A,0))=1,((R260-R129*(1-INDEX(input_data!$L:$L,MATCH("all.in.cs2.cmt.dry.---",input_data!$A:$A,0))))/R104),INDEX(input_data!$L:$L,MATCH("all.in.dfv.cmt.dry.---",input_data!$A:$A,0))),0)</f>
        <v>0.8518</v>
      </c>
      <c r="S262" s="117" t="n">
        <f aca="false">IFERROR(IF(INDEX(input_data!$L:$L,MATCH("all.in.mrv.cmt.dry.---",input_data!$A:$A,0))=1,((S260-S129*(1-INDEX(input_data!$L:$L,MATCH("all.in.cs2.cmt.dry.---",input_data!$A:$A,0))))/S104),INDEX(input_data!$L:$L,MATCH("all.in.dfv.cmt.dry.---",input_data!$A:$A,0))),0)</f>
        <v>0.85055</v>
      </c>
      <c r="T262" s="117" t="n">
        <f aca="false">IFERROR(IF(INDEX(input_data!$L:$L,MATCH("all.in.mrv.cmt.dry.---",input_data!$A:$A,0))=1,((T260-T129*(1-INDEX(input_data!$L:$L,MATCH("all.in.cs2.cmt.dry.---",input_data!$A:$A,0))))/T104),INDEX(input_data!$L:$L,MATCH("all.in.dfv.cmt.dry.---",input_data!$A:$A,0))),0)</f>
        <v>0.8493</v>
      </c>
      <c r="U262" s="117" t="n">
        <f aca="false">IFERROR(IF(INDEX(input_data!$L:$L,MATCH("all.in.mrv.cmt.dry.---",input_data!$A:$A,0))=1,((U260-U129*(1-INDEX(input_data!$L:$L,MATCH("all.in.cs2.cmt.dry.---",input_data!$A:$A,0))))/U104),INDEX(input_data!$L:$L,MATCH("all.in.dfv.cmt.dry.---",input_data!$A:$A,0))),0)</f>
        <v>0.84805</v>
      </c>
      <c r="V262" s="117" t="n">
        <f aca="false">IFERROR(IF(INDEX(input_data!$L:$L,MATCH("all.in.mrv.cmt.dry.---",input_data!$A:$A,0))=1,((V260-V129*(1-INDEX(input_data!$L:$L,MATCH("all.in.cs2.cmt.dry.---",input_data!$A:$A,0))))/V104),INDEX(input_data!$L:$L,MATCH("all.in.dfv.cmt.dry.---",input_data!$A:$A,0))),0)</f>
        <v>0.8468</v>
      </c>
      <c r="W262" s="117" t="n">
        <f aca="false">IFERROR(IF(INDEX(input_data!$L:$L,MATCH("all.in.mrv.cmt.dry.---",input_data!$A:$A,0))=1,((W260-W129*(1-INDEX(input_data!$L:$L,MATCH("all.in.cs2.cmt.dry.---",input_data!$A:$A,0))))/W104),INDEX(input_data!$L:$L,MATCH("all.in.dfv.cmt.dry.---",input_data!$A:$A,0))),0)</f>
        <v>0.84555</v>
      </c>
      <c r="X262" s="117" t="n">
        <f aca="false">IFERROR(IF(INDEX(input_data!$L:$L,MATCH("all.in.mrv.cmt.dry.---",input_data!$A:$A,0))=1,((X260-X129*(1-INDEX(input_data!$L:$L,MATCH("all.in.cs2.cmt.dry.---",input_data!$A:$A,0))))/X104),INDEX(input_data!$L:$L,MATCH("all.in.dfv.cmt.dry.---",input_data!$A:$A,0))),0)</f>
        <v>0.8443</v>
      </c>
    </row>
    <row r="263" customFormat="false" ht="15" hidden="false" customHeight="true" outlineLevel="0" collapsed="false">
      <c r="A263" s="73" t="str">
        <f aca="false">dashboard!$B$5&amp;".cb.obl.cmt.dry.---"</f>
        <v>egy.cb.obl.cmt.dry.---</v>
      </c>
      <c r="B263" s="73" t="str">
        <f aca="false">dashboard!$B$5</f>
        <v>egy</v>
      </c>
      <c r="C263" s="73" t="s">
        <v>3657</v>
      </c>
      <c r="D263" s="73" t="s">
        <v>3663</v>
      </c>
      <c r="E263" s="73" t="s">
        <v>755</v>
      </c>
      <c r="F263" s="73" t="s">
        <v>756</v>
      </c>
      <c r="G263" s="73" t="s">
        <v>655</v>
      </c>
      <c r="H263" s="73" t="s">
        <v>3680</v>
      </c>
      <c r="I263" s="73" t="s">
        <v>718</v>
      </c>
      <c r="J263" s="73" t="s">
        <v>3665</v>
      </c>
      <c r="K263" s="73"/>
      <c r="L263" s="73"/>
      <c r="M263" s="118" t="n">
        <f aca="false">MAX(M262-INDEX(input_data!$L:$L,MATCH("all.in.bnk.cmt.dry.---",input_data!$A:$A,0))*(1-INDEX(input_data!$M:$X,MATCH("all.in.cbf.---.---.---",input_data!$A:$A,0),1)),0)*INDEX(input_data!$M:$X,MATCH("all.in.ets.---.---.---",input_data!$A:$A,0),1)*INDEX(input_data!$M:$X,MATCH("all.in.act.---.---.---",input_data!$A:$A,0),1)*INDEX(input_data!$M:$X,MATCH("all.in.fxr.---.---.---",input_data!$A:$A,0),1)</f>
        <v>0</v>
      </c>
      <c r="N263" s="118" t="n">
        <f aca="false">MAX(N262-INDEX(input_data!$L:$L,MATCH("all.in.bnk.cmt.dry.---",input_data!$A:$A,0))*(1-INDEX(input_data!$M:$X,MATCH("all.in.cbf.---.---.---",input_data!$A:$A,0),2)),0)*INDEX(input_data!$M:$X,MATCH("all.in.ets.---.---.---",input_data!$A:$A,0),2)*INDEX(input_data!$M:$X,MATCH("all.in.act.---.---.---",input_data!$A:$A,0),2)*INDEX(input_data!$M:$X,MATCH("all.in.fxr.---.---.---",input_data!$A:$A,0),2)</f>
        <v>0</v>
      </c>
      <c r="O263" s="118" t="n">
        <f aca="false">MAX(O262-INDEX(input_data!$L:$L,MATCH("all.in.bnk.cmt.dry.---",input_data!$A:$A,0))*(1-INDEX(input_data!$M:$X,MATCH("all.in.cbf.---.---.---",input_data!$A:$A,0),3)),0)*INDEX(input_data!$M:$X,MATCH("all.in.ets.---.---.---",input_data!$A:$A,0),3)*INDEX(input_data!$M:$X,MATCH("all.in.act.---.---.---",input_data!$A:$A,0),3)*INDEX(input_data!$M:$X,MATCH("all.in.fxr.---.---.---",input_data!$A:$A,0),3)</f>
        <v>22.682</v>
      </c>
      <c r="P263" s="118" t="n">
        <f aca="false">MAX(P262-INDEX(input_data!$L:$L,MATCH("all.in.bnk.cmt.dry.---",input_data!$A:$A,0))*(1-INDEX(input_data!$M:$X,MATCH("all.in.cbf.---.---.---",input_data!$A:$A,0),4)),0)*INDEX(input_data!$M:$X,MATCH("all.in.ets.---.---.---",input_data!$A:$A,0),4)*INDEX(input_data!$M:$X,MATCH("all.in.act.---.---.---",input_data!$A:$A,0),4)*INDEX(input_data!$M:$X,MATCH("all.in.fxr.---.---.---",input_data!$A:$A,0),4)</f>
        <v>25.5948</v>
      </c>
      <c r="Q263" s="118" t="n">
        <f aca="false">MAX(Q262-INDEX(input_data!$L:$L,MATCH("all.in.bnk.cmt.dry.---",input_data!$A:$A,0))*(1-INDEX(input_data!$M:$X,MATCH("all.in.cbf.---.---.---",input_data!$A:$A,0),5)),0)*INDEX(input_data!$M:$X,MATCH("all.in.ets.---.---.---",input_data!$A:$A,0),5)*INDEX(input_data!$M:$X,MATCH("all.in.act.---.---.---",input_data!$A:$A,0),5)*INDEX(input_data!$M:$X,MATCH("all.in.fxr.---.---.---",input_data!$A:$A,0),5)</f>
        <v>30.69165</v>
      </c>
      <c r="R263" s="118" t="n">
        <f aca="false">MAX(R262-INDEX(input_data!$L:$L,MATCH("all.in.bnk.cmt.dry.---",input_data!$A:$A,0))*(1-INDEX(input_data!$M:$X,MATCH("all.in.cbf.---.---.---",input_data!$A:$A,0),6)),0)*INDEX(input_data!$M:$X,MATCH("all.in.ets.---.---.---",input_data!$A:$A,0),6)*INDEX(input_data!$M:$X,MATCH("all.in.act.---.---.---",input_data!$A:$A,0),6)*INDEX(input_data!$M:$X,MATCH("all.in.fxr.---.---.---",input_data!$A:$A,0),6)</f>
        <v>40.61365</v>
      </c>
      <c r="S263" s="118" t="n">
        <f aca="false">MAX(S262-INDEX(input_data!$L:$L,MATCH("all.in.bnk.cmt.dry.---",input_data!$A:$A,0))*(1-INDEX(input_data!$M:$X,MATCH("all.in.cbf.---.---.---",input_data!$A:$A,0),7)),0)*INDEX(input_data!$M:$X,MATCH("all.in.ets.---.---.---",input_data!$A:$A,0),7)*INDEX(input_data!$M:$X,MATCH("all.in.act.---.---.---",input_data!$A:$A,0),7)*INDEX(input_data!$M:$X,MATCH("all.in.fxr.---.---.---",input_data!$A:$A,0),7)</f>
        <v>64.20634</v>
      </c>
      <c r="T263" s="118" t="n">
        <f aca="false">MAX(T262-INDEX(input_data!$L:$L,MATCH("all.in.bnk.cmt.dry.---",input_data!$A:$A,0))*(1-INDEX(input_data!$M:$X,MATCH("all.in.cbf.---.---.---",input_data!$A:$A,0),8)),0)*INDEX(input_data!$M:$X,MATCH("all.in.ets.---.---.---",input_data!$A:$A,0),8)*INDEX(input_data!$M:$X,MATCH("all.in.act.---.---.---",input_data!$A:$A,0),8)*INDEX(input_data!$M:$X,MATCH("all.in.fxr.---.---.---",input_data!$A:$A,0),8)</f>
        <v>77.82192</v>
      </c>
      <c r="U263" s="118" t="n">
        <f aca="false">MAX(U262-INDEX(input_data!$L:$L,MATCH("all.in.bnk.cmt.dry.---",input_data!$A:$A,0))*(1-INDEX(input_data!$M:$X,MATCH("all.in.cbf.---.---.---",input_data!$A:$A,0),9)),0)*INDEX(input_data!$M:$X,MATCH("all.in.ets.---.---.---",input_data!$A:$A,0),9)*INDEX(input_data!$M:$X,MATCH("all.in.act.---.---.---",input_data!$A:$A,0),9)*INDEX(input_data!$M:$X,MATCH("all.in.fxr.---.---.---",input_data!$A:$A,0),9)</f>
        <v>92.3395</v>
      </c>
      <c r="V263" s="118" t="n">
        <f aca="false">MAX(V262-INDEX(input_data!$L:$L,MATCH("all.in.bnk.cmt.dry.---",input_data!$A:$A,0))*(1-INDEX(input_data!$M:$X,MATCH("all.in.cbf.---.---.---",input_data!$A:$A,0),10)),0)*INDEX(input_data!$M:$X,MATCH("all.in.ets.---.---.---",input_data!$A:$A,0),10)*INDEX(input_data!$M:$X,MATCH("all.in.act.---.---.---",input_data!$A:$A,0),10)*INDEX(input_data!$M:$X,MATCH("all.in.fxr.---.---.---",input_data!$A:$A,0),10)</f>
        <v>107.75908</v>
      </c>
      <c r="W263" s="118" t="n">
        <f aca="false">MAX(W262-INDEX(input_data!$L:$L,MATCH("all.in.bnk.cmt.dry.---",input_data!$A:$A,0))*(1-INDEX(input_data!$M:$X,MATCH("all.in.cbf.---.---.---",input_data!$A:$A,0),11)),0)*INDEX(input_data!$M:$X,MATCH("all.in.ets.---.---.---",input_data!$A:$A,0),11)*INDEX(input_data!$M:$X,MATCH("all.in.act.---.---.---",input_data!$A:$A,0),11)*INDEX(input_data!$M:$X,MATCH("all.in.fxr.---.---.---",input_data!$A:$A,0),11)</f>
        <v>125.564175</v>
      </c>
      <c r="X263" s="118" t="n">
        <f aca="false">MAX(X262-INDEX(input_data!$L:$L,MATCH("all.in.bnk.cmt.dry.---",input_data!$A:$A,0))*(1-INDEX(input_data!$M:$X,MATCH("all.in.cbf.---.---.---",input_data!$A:$A,0),12)),0)*INDEX(input_data!$M:$X,MATCH("all.in.ets.---.---.---",input_data!$A:$A,0),12)*INDEX(input_data!$M:$X,MATCH("all.in.act.---.---.---",input_data!$A:$A,0),12)*INDEX(input_data!$M:$X,MATCH("all.in.fxr.---.---.---",input_data!$A:$A,0),12)</f>
        <v>130.0222</v>
      </c>
    </row>
    <row r="264" customFormat="false" ht="15" hidden="false" customHeight="true" outlineLevel="0" collapsed="false">
      <c r="A264" s="73" t="str">
        <f aca="false">dashboard!$B$5&amp;".em.nh3.frt.amc.---"</f>
        <v>egy.em.nh3.frt.amc.---</v>
      </c>
      <c r="B264" s="73" t="str">
        <f aca="false">dashboard!$B$5</f>
        <v>egy</v>
      </c>
      <c r="C264" s="73" t="s">
        <v>3444</v>
      </c>
      <c r="D264" s="73" t="s">
        <v>727</v>
      </c>
      <c r="E264" s="73" t="s">
        <v>767</v>
      </c>
      <c r="F264" s="73" t="s">
        <v>768</v>
      </c>
      <c r="G264" s="73" t="s">
        <v>655</v>
      </c>
      <c r="H264" s="73" t="s">
        <v>3681</v>
      </c>
      <c r="I264" s="73" t="s">
        <v>3457</v>
      </c>
      <c r="J264" s="73" t="s">
        <v>3653</v>
      </c>
      <c r="K264" s="73"/>
      <c r="L264" s="73"/>
      <c r="M264" s="114" t="n">
        <f aca="false">INDEX(input_data!$L:$L,MATCH("all.in.nh3.frt.amc.---",input_data!$A:$A,0))*IFERROR((M153+M154+M155+M156)/M132,0)*M132</f>
        <v>0</v>
      </c>
      <c r="N264" s="114" t="n">
        <f aca="false">INDEX(input_data!$L:$L,MATCH("all.in.nh3.frt.amc.---",input_data!$A:$A,0))*IFERROR((N153+N154+N155+N156)/N132,0)*N132</f>
        <v>0</v>
      </c>
      <c r="O264" s="114" t="n">
        <f aca="false">INDEX(input_data!$L:$L,MATCH("all.in.nh3.frt.amc.---",input_data!$A:$A,0))*IFERROR((O153+O154+O155+O156)/O132,0)*O132</f>
        <v>0</v>
      </c>
      <c r="P264" s="114" t="n">
        <f aca="false">INDEX(input_data!$L:$L,MATCH("all.in.nh3.frt.amc.---",input_data!$A:$A,0))*IFERROR((P153+P154+P155+P156)/P132,0)*P132</f>
        <v>0</v>
      </c>
      <c r="Q264" s="114" t="n">
        <f aca="false">INDEX(input_data!$L:$L,MATCH("all.in.nh3.frt.amc.---",input_data!$A:$A,0))*IFERROR((Q153+Q154+Q155+Q156)/Q132,0)*Q132</f>
        <v>0</v>
      </c>
      <c r="R264" s="114" t="n">
        <f aca="false">INDEX(input_data!$L:$L,MATCH("all.in.nh3.frt.amc.---",input_data!$A:$A,0))*IFERROR((R153+R154+R155+R156)/R132,0)*R132</f>
        <v>0</v>
      </c>
      <c r="S264" s="114" t="n">
        <f aca="false">INDEX(input_data!$L:$L,MATCH("all.in.nh3.frt.amc.---",input_data!$A:$A,0))*IFERROR((S153+S154+S155+S156)/S132,0)*S132</f>
        <v>0</v>
      </c>
      <c r="T264" s="114" t="n">
        <f aca="false">INDEX(input_data!$L:$L,MATCH("all.in.nh3.frt.amc.---",input_data!$A:$A,0))*IFERROR((T153+T154+T155+T156)/T132,0)*T132</f>
        <v>0</v>
      </c>
      <c r="U264" s="114" t="n">
        <f aca="false">INDEX(input_data!$L:$L,MATCH("all.in.nh3.frt.amc.---",input_data!$A:$A,0))*IFERROR((U153+U154+U155+U156)/U132,0)*U132</f>
        <v>0</v>
      </c>
      <c r="V264" s="114" t="n">
        <f aca="false">INDEX(input_data!$L:$L,MATCH("all.in.nh3.frt.amc.---",input_data!$A:$A,0))*IFERROR((V153+V154+V155+V156)/V132,0)*V132</f>
        <v>0</v>
      </c>
      <c r="W264" s="114" t="n">
        <f aca="false">INDEX(input_data!$L:$L,MATCH("all.in.nh3.frt.amc.---",input_data!$A:$A,0))*IFERROR((W153+W154+W155+W156)/W132,0)*W132</f>
        <v>0</v>
      </c>
      <c r="X264" s="114" t="n">
        <f aca="false">INDEX(input_data!$L:$L,MATCH("all.in.nh3.frt.amc.---",input_data!$A:$A,0))*IFERROR((X153+X154+X155+X156)/X132,0)*X132</f>
        <v>0</v>
      </c>
    </row>
    <row r="265" customFormat="false" ht="15" hidden="false" customHeight="true" outlineLevel="0" collapsed="false">
      <c r="A265" s="73" t="str">
        <f aca="false">dashboard!$B$5&amp;".em.tot.frt.amc.---"</f>
        <v>egy.em.tot.frt.amc.---</v>
      </c>
      <c r="B265" s="73" t="str">
        <f aca="false">dashboard!$B$5</f>
        <v>egy</v>
      </c>
      <c r="C265" s="73" t="s">
        <v>3444</v>
      </c>
      <c r="D265" s="73" t="s">
        <v>3654</v>
      </c>
      <c r="E265" s="73" t="s">
        <v>767</v>
      </c>
      <c r="F265" s="73" t="s">
        <v>768</v>
      </c>
      <c r="G265" s="73" t="s">
        <v>655</v>
      </c>
      <c r="H265" s="73" t="s">
        <v>3682</v>
      </c>
      <c r="I265" s="73" t="s">
        <v>3457</v>
      </c>
      <c r="J265" s="73" t="s">
        <v>3656</v>
      </c>
      <c r="K265" s="73"/>
      <c r="L265" s="73"/>
      <c r="M265" s="115" t="n">
        <f aca="false">M153+M154+M155+M156+M157+M264</f>
        <v>2.47452</v>
      </c>
      <c r="N265" s="115" t="n">
        <f aca="false">N153+N154+N155+N156+N157+N264</f>
        <v>2.54063136953632</v>
      </c>
      <c r="O265" s="115" t="n">
        <f aca="false">O153+O154+O155+O156+O157+O264</f>
        <v>2.6085086</v>
      </c>
      <c r="P265" s="115" t="n">
        <f aca="false">P153+P154+P155+P156+P157+P264</f>
        <v>2.67819884649019</v>
      </c>
      <c r="Q265" s="115" t="n">
        <f aca="false">Q153+Q154+Q155+Q156+Q157+Q264</f>
        <v>2.749750523</v>
      </c>
      <c r="R265" s="115" t="n">
        <f aca="false">R153+R154+R155+R156+R157+R264</f>
        <v>2.82321333601613</v>
      </c>
      <c r="S265" s="115" t="n">
        <f aca="false">S153+S154+S155+S156+S157+S264</f>
        <v>2.898638319015</v>
      </c>
      <c r="T265" s="115" t="n">
        <f aca="false">T153+T154+T155+T156+T157+T264</f>
        <v>2.9760778678793</v>
      </c>
      <c r="U265" s="115" t="n">
        <f aca="false">U153+U154+U155+U156+U157+U264</f>
        <v>3.05558577725958</v>
      </c>
      <c r="V265" s="115" t="n">
        <f aca="false">V153+V154+V155+V156+V157+V264</f>
        <v>3.13721727790596</v>
      </c>
      <c r="W265" s="115" t="n">
        <f aca="false">W153+W154+W155+W156+W157+W264</f>
        <v>3.22102907499603</v>
      </c>
      <c r="X265" s="115" t="n">
        <f aca="false">X153+X154+X155+X156+X157+X264</f>
        <v>3.30707938748523</v>
      </c>
    </row>
    <row r="266" customFormat="false" ht="15" hidden="false" customHeight="true" outlineLevel="0" collapsed="false">
      <c r="A266" s="73" t="str">
        <f aca="false">dashboard!$B$5&amp;".cb.int.frt.amc.---"</f>
        <v>egy.cb.int.frt.amc.---</v>
      </c>
      <c r="B266" s="73" t="str">
        <f aca="false">dashboard!$B$5</f>
        <v>egy</v>
      </c>
      <c r="C266" s="73" t="s">
        <v>3657</v>
      </c>
      <c r="D266" s="73" t="s">
        <v>3658</v>
      </c>
      <c r="E266" s="73" t="s">
        <v>767</v>
      </c>
      <c r="F266" s="73" t="s">
        <v>768</v>
      </c>
      <c r="G266" s="73" t="s">
        <v>655</v>
      </c>
      <c r="H266" s="73" t="s">
        <v>3683</v>
      </c>
      <c r="I266" s="73" t="s">
        <v>955</v>
      </c>
      <c r="J266" s="73" t="s">
        <v>3660</v>
      </c>
      <c r="K266" s="73"/>
      <c r="L266" s="73"/>
      <c r="M266" s="116" t="n">
        <f aca="false">IFERROR(M265/M132,0)</f>
        <v>2.0621</v>
      </c>
      <c r="N266" s="116" t="n">
        <f aca="false">IFERROR(N265/N132,0)</f>
        <v>2.06126666666667</v>
      </c>
      <c r="O266" s="116" t="n">
        <f aca="false">IFERROR(O265/O132,0)</f>
        <v>2.06043333333333</v>
      </c>
      <c r="P266" s="116" t="n">
        <f aca="false">IFERROR(P265/P132,0)</f>
        <v>2.0596</v>
      </c>
      <c r="Q266" s="116" t="n">
        <f aca="false">IFERROR(Q265/Q132,0)</f>
        <v>2.05876666666667</v>
      </c>
      <c r="R266" s="116" t="n">
        <f aca="false">IFERROR(R265/R132,0)</f>
        <v>2.05793333333333</v>
      </c>
      <c r="S266" s="116" t="n">
        <f aca="false">IFERROR(S265/S132,0)</f>
        <v>2.0571</v>
      </c>
      <c r="T266" s="116" t="n">
        <f aca="false">IFERROR(T265/T132,0)</f>
        <v>2.05626666666667</v>
      </c>
      <c r="U266" s="116" t="n">
        <f aca="false">IFERROR(U265/U132,0)</f>
        <v>2.05543333333333</v>
      </c>
      <c r="V266" s="116" t="n">
        <f aca="false">IFERROR(V265/V132,0)</f>
        <v>2.0546</v>
      </c>
      <c r="W266" s="116" t="n">
        <f aca="false">IFERROR(W265/W132,0)</f>
        <v>2.05376666666667</v>
      </c>
      <c r="X266" s="116" t="n">
        <f aca="false">IFERROR(X265/X132,0)</f>
        <v>2.05293333333333</v>
      </c>
    </row>
    <row r="267" customFormat="false" ht="15" hidden="false" customHeight="true" outlineLevel="0" collapsed="false">
      <c r="A267" s="73" t="str">
        <f aca="false">dashboard!$B$5&amp;".cb.mrv.frt.amc.---"</f>
        <v>egy.cb.mrv.frt.amc.---</v>
      </c>
      <c r="B267" s="73" t="str">
        <f aca="false">dashboard!$B$5</f>
        <v>egy</v>
      </c>
      <c r="C267" s="73" t="s">
        <v>3657</v>
      </c>
      <c r="D267" s="73" t="s">
        <v>814</v>
      </c>
      <c r="E267" s="73" t="s">
        <v>767</v>
      </c>
      <c r="F267" s="73" t="s">
        <v>768</v>
      </c>
      <c r="G267" s="73" t="s">
        <v>655</v>
      </c>
      <c r="H267" s="73" t="s">
        <v>3684</v>
      </c>
      <c r="I267" s="73" t="s">
        <v>955</v>
      </c>
      <c r="J267" s="73" t="s">
        <v>3662</v>
      </c>
      <c r="K267" s="73"/>
      <c r="L267" s="73"/>
      <c r="M267" s="117" t="n">
        <f aca="false">IFERROR(IF(INDEX(input_data!$L:$L,MATCH("all.in.mrv.frt.amc.---",input_data!$A:$A,0))=1,((M265-M157*(1-INDEX(input_data!$L:$L,MATCH("all.in.cs2.frt.amc.---",input_data!$A:$A,0))))/M132),INDEX(input_data!$L:$L,MATCH("all.in.dfv.frt.amc.---",input_data!$A:$A,0))),0)</f>
        <v>2.0621</v>
      </c>
      <c r="N267" s="117" t="n">
        <f aca="false">IFERROR(IF(INDEX(input_data!$L:$L,MATCH("all.in.mrv.frt.amc.---",input_data!$A:$A,0))=1,((N265-N157*(1-INDEX(input_data!$L:$L,MATCH("all.in.cs2.frt.amc.---",input_data!$A:$A,0))))/N132),INDEX(input_data!$L:$L,MATCH("all.in.dfv.frt.amc.---",input_data!$A:$A,0))),0)</f>
        <v>2.06126666666667</v>
      </c>
      <c r="O267" s="117" t="n">
        <f aca="false">IFERROR(IF(INDEX(input_data!$L:$L,MATCH("all.in.mrv.frt.amc.---",input_data!$A:$A,0))=1,((O265-O157*(1-INDEX(input_data!$L:$L,MATCH("all.in.cs2.frt.amc.---",input_data!$A:$A,0))))/O132),INDEX(input_data!$L:$L,MATCH("all.in.dfv.frt.amc.---",input_data!$A:$A,0))),0)</f>
        <v>2.06043333333333</v>
      </c>
      <c r="P267" s="117" t="n">
        <f aca="false">IFERROR(IF(INDEX(input_data!$L:$L,MATCH("all.in.mrv.frt.amc.---",input_data!$A:$A,0))=1,((P265-P157*(1-INDEX(input_data!$L:$L,MATCH("all.in.cs2.frt.amc.---",input_data!$A:$A,0))))/P132),INDEX(input_data!$L:$L,MATCH("all.in.dfv.frt.amc.---",input_data!$A:$A,0))),0)</f>
        <v>2.0596</v>
      </c>
      <c r="Q267" s="117" t="n">
        <f aca="false">IFERROR(IF(INDEX(input_data!$L:$L,MATCH("all.in.mrv.frt.amc.---",input_data!$A:$A,0))=1,((Q265-Q157*(1-INDEX(input_data!$L:$L,MATCH("all.in.cs2.frt.amc.---",input_data!$A:$A,0))))/Q132),INDEX(input_data!$L:$L,MATCH("all.in.dfv.frt.amc.---",input_data!$A:$A,0))),0)</f>
        <v>2.05876666666667</v>
      </c>
      <c r="R267" s="117" t="n">
        <f aca="false">IFERROR(IF(INDEX(input_data!$L:$L,MATCH("all.in.mrv.frt.amc.---",input_data!$A:$A,0))=1,((R265-R157*(1-INDEX(input_data!$L:$L,MATCH("all.in.cs2.frt.amc.---",input_data!$A:$A,0))))/R132),INDEX(input_data!$L:$L,MATCH("all.in.dfv.frt.amc.---",input_data!$A:$A,0))),0)</f>
        <v>2.05793333333333</v>
      </c>
      <c r="S267" s="117" t="n">
        <f aca="false">IFERROR(IF(INDEX(input_data!$L:$L,MATCH("all.in.mrv.frt.amc.---",input_data!$A:$A,0))=1,((S265-S157*(1-INDEX(input_data!$L:$L,MATCH("all.in.cs2.frt.amc.---",input_data!$A:$A,0))))/S132),INDEX(input_data!$L:$L,MATCH("all.in.dfv.frt.amc.---",input_data!$A:$A,0))),0)</f>
        <v>2.0571</v>
      </c>
      <c r="T267" s="117" t="n">
        <f aca="false">IFERROR(IF(INDEX(input_data!$L:$L,MATCH("all.in.mrv.frt.amc.---",input_data!$A:$A,0))=1,((T265-T157*(1-INDEX(input_data!$L:$L,MATCH("all.in.cs2.frt.amc.---",input_data!$A:$A,0))))/T132),INDEX(input_data!$L:$L,MATCH("all.in.dfv.frt.amc.---",input_data!$A:$A,0))),0)</f>
        <v>2.05626666666667</v>
      </c>
      <c r="U267" s="117" t="n">
        <f aca="false">IFERROR(IF(INDEX(input_data!$L:$L,MATCH("all.in.mrv.frt.amc.---",input_data!$A:$A,0))=1,((U265-U157*(1-INDEX(input_data!$L:$L,MATCH("all.in.cs2.frt.amc.---",input_data!$A:$A,0))))/U132),INDEX(input_data!$L:$L,MATCH("all.in.dfv.frt.amc.---",input_data!$A:$A,0))),0)</f>
        <v>2.05543333333333</v>
      </c>
      <c r="V267" s="117" t="n">
        <f aca="false">IFERROR(IF(INDEX(input_data!$L:$L,MATCH("all.in.mrv.frt.amc.---",input_data!$A:$A,0))=1,((V265-V157*(1-INDEX(input_data!$L:$L,MATCH("all.in.cs2.frt.amc.---",input_data!$A:$A,0))))/V132),INDEX(input_data!$L:$L,MATCH("all.in.dfv.frt.amc.---",input_data!$A:$A,0))),0)</f>
        <v>2.0546</v>
      </c>
      <c r="W267" s="117" t="n">
        <f aca="false">IFERROR(IF(INDEX(input_data!$L:$L,MATCH("all.in.mrv.frt.amc.---",input_data!$A:$A,0))=1,((W265-W157*(1-INDEX(input_data!$L:$L,MATCH("all.in.cs2.frt.amc.---",input_data!$A:$A,0))))/W132),INDEX(input_data!$L:$L,MATCH("all.in.dfv.frt.amc.---",input_data!$A:$A,0))),0)</f>
        <v>2.05376666666667</v>
      </c>
      <c r="X267" s="117" t="n">
        <f aca="false">IFERROR(IF(INDEX(input_data!$L:$L,MATCH("all.in.mrv.frt.amc.---",input_data!$A:$A,0))=1,((X265-X157*(1-INDEX(input_data!$L:$L,MATCH("all.in.cs2.frt.amc.---",input_data!$A:$A,0))))/X132),INDEX(input_data!$L:$L,MATCH("all.in.dfv.frt.amc.---",input_data!$A:$A,0))),0)</f>
        <v>2.05293333333333</v>
      </c>
    </row>
    <row r="268" customFormat="false" ht="15" hidden="false" customHeight="true" outlineLevel="0" collapsed="false">
      <c r="A268" s="73" t="str">
        <f aca="false">dashboard!$B$5&amp;".cb.obl.frt.amc.---"</f>
        <v>egy.cb.obl.frt.amc.---</v>
      </c>
      <c r="B268" s="73" t="str">
        <f aca="false">dashboard!$B$5</f>
        <v>egy</v>
      </c>
      <c r="C268" s="73" t="s">
        <v>3657</v>
      </c>
      <c r="D268" s="73" t="s">
        <v>3663</v>
      </c>
      <c r="E268" s="73" t="s">
        <v>767</v>
      </c>
      <c r="F268" s="73" t="s">
        <v>768</v>
      </c>
      <c r="G268" s="73" t="s">
        <v>655</v>
      </c>
      <c r="H268" s="73" t="s">
        <v>3685</v>
      </c>
      <c r="I268" s="73" t="s">
        <v>718</v>
      </c>
      <c r="J268" s="73" t="s">
        <v>3665</v>
      </c>
      <c r="K268" s="73"/>
      <c r="L268" s="73"/>
      <c r="M268" s="118" t="n">
        <f aca="false">MAX(M267-INDEX(input_data!$L:$L,MATCH("all.in.bnk.frt.amc.---",input_data!$A:$A,0))*(1-INDEX(input_data!$M:$X,MATCH("all.in.cbf.---.---.---",input_data!$A:$A,0),1)),0)*INDEX(input_data!$M:$X,MATCH("all.in.ets.---.---.---",input_data!$A:$A,0),1)*INDEX(input_data!$M:$X,MATCH("all.in.act.---.---.---",input_data!$A:$A,0),1)*INDEX(input_data!$M:$X,MATCH("all.in.fxr.---.---.---",input_data!$A:$A,0),1)</f>
        <v>0</v>
      </c>
      <c r="N268" s="118" t="n">
        <f aca="false">MAX(N267-INDEX(input_data!$L:$L,MATCH("all.in.bnk.frt.amc.---",input_data!$A:$A,0))*(1-INDEX(input_data!$M:$X,MATCH("all.in.cbf.---.---.---",input_data!$A:$A,0),2)),0)*INDEX(input_data!$M:$X,MATCH("all.in.ets.---.---.---",input_data!$A:$A,0),2)*INDEX(input_data!$M:$X,MATCH("all.in.act.---.---.---",input_data!$A:$A,0),2)*INDEX(input_data!$M:$X,MATCH("all.in.fxr.---.---.---",input_data!$A:$A,0),2)</f>
        <v>0</v>
      </c>
      <c r="O268" s="118" t="n">
        <f aca="false">MAX(O267-INDEX(input_data!$L:$L,MATCH("all.in.bnk.frt.amc.---",input_data!$A:$A,0))*(1-INDEX(input_data!$M:$X,MATCH("all.in.cbf.---.---.---",input_data!$A:$A,0),3)),0)*INDEX(input_data!$M:$X,MATCH("all.in.ets.---.---.---",input_data!$A:$A,0),3)*INDEX(input_data!$M:$X,MATCH("all.in.act.---.---.---",input_data!$A:$A,0),3)*INDEX(input_data!$M:$X,MATCH("all.in.fxr.---.---.---",input_data!$A:$A,0),3)</f>
        <v>63.4131666666667</v>
      </c>
      <c r="P268" s="118" t="n">
        <f aca="false">MAX(P267-INDEX(input_data!$L:$L,MATCH("all.in.bnk.frt.amc.---",input_data!$A:$A,0))*(1-INDEX(input_data!$M:$X,MATCH("all.in.cbf.---.---.---",input_data!$A:$A,0),4)),0)*INDEX(input_data!$M:$X,MATCH("all.in.ets.---.---.---",input_data!$A:$A,0),4)*INDEX(input_data!$M:$X,MATCH("all.in.act.---.---.---",input_data!$A:$A,0),4)*INDEX(input_data!$M:$X,MATCH("all.in.fxr.---.---.---",input_data!$A:$A,0),4)</f>
        <v>70.88235</v>
      </c>
      <c r="Q268" s="118" t="n">
        <f aca="false">MAX(Q267-INDEX(input_data!$L:$L,MATCH("all.in.bnk.frt.amc.---",input_data!$A:$A,0))*(1-INDEX(input_data!$M:$X,MATCH("all.in.cbf.---.---.---",input_data!$A:$A,0),5)),0)*INDEX(input_data!$M:$X,MATCH("all.in.ets.---.---.---",input_data!$A:$A,0),5)*INDEX(input_data!$M:$X,MATCH("all.in.act.---.---.---",input_data!$A:$A,0),5)*INDEX(input_data!$M:$X,MATCH("all.in.fxr.---.---.---",input_data!$A:$A,0),5)</f>
        <v>83.3649666666667</v>
      </c>
      <c r="R268" s="118" t="n">
        <f aca="false">MAX(R267-INDEX(input_data!$L:$L,MATCH("all.in.bnk.frt.amc.---",input_data!$A:$A,0))*(1-INDEX(input_data!$M:$X,MATCH("all.in.cbf.---.---.---",input_data!$A:$A,0),6)),0)*INDEX(input_data!$M:$X,MATCH("all.in.ets.---.---.---",input_data!$A:$A,0),6)*INDEX(input_data!$M:$X,MATCH("all.in.act.---.---.---",input_data!$A:$A,0),6)*INDEX(input_data!$M:$X,MATCH("all.in.fxr.---.---.---",input_data!$A:$A,0),6)</f>
        <v>106.284383333333</v>
      </c>
      <c r="S268" s="118" t="n">
        <f aca="false">MAX(S267-INDEX(input_data!$L:$L,MATCH("all.in.bnk.frt.amc.---",input_data!$A:$A,0))*(1-INDEX(input_data!$M:$X,MATCH("all.in.cbf.---.---.---",input_data!$A:$A,0),7)),0)*INDEX(input_data!$M:$X,MATCH("all.in.ets.---.---.---",input_data!$A:$A,0),7)*INDEX(input_data!$M:$X,MATCH("all.in.act.---.---.---",input_data!$A:$A,0),7)*INDEX(input_data!$M:$X,MATCH("all.in.fxr.---.---.---",input_data!$A:$A,0),7)</f>
        <v>161.068655</v>
      </c>
      <c r="T268" s="118" t="n">
        <f aca="false">MAX(T267-INDEX(input_data!$L:$L,MATCH("all.in.bnk.frt.amc.---",input_data!$A:$A,0))*(1-INDEX(input_data!$M:$X,MATCH("all.in.cbf.---.---.---",input_data!$A:$A,0),8)),0)*INDEX(input_data!$M:$X,MATCH("all.in.ets.---.---.---",input_data!$A:$A,0),8)*INDEX(input_data!$M:$X,MATCH("all.in.act.---.---.---",input_data!$A:$A,0),8)*INDEX(input_data!$M:$X,MATCH("all.in.fxr.---.---.---",input_data!$A:$A,0),8)</f>
        <v>193.07464</v>
      </c>
      <c r="U268" s="118" t="n">
        <f aca="false">MAX(U267-INDEX(input_data!$L:$L,MATCH("all.in.bnk.frt.amc.---",input_data!$A:$A,0))*(1-INDEX(input_data!$M:$X,MATCH("all.in.cbf.---.---.---",input_data!$A:$A,0),9)),0)*INDEX(input_data!$M:$X,MATCH("all.in.ets.---.---.---",input_data!$A:$A,0),9)*INDEX(input_data!$M:$X,MATCH("all.in.act.---.---.---",input_data!$A:$A,0),9)*INDEX(input_data!$M:$X,MATCH("all.in.fxr.---.---.---",input_data!$A:$A,0),9)</f>
        <v>227.164208333333</v>
      </c>
      <c r="V268" s="118" t="n">
        <f aca="false">MAX(V267-INDEX(input_data!$L:$L,MATCH("all.in.bnk.frt.amc.---",input_data!$A:$A,0))*(1-INDEX(input_data!$M:$X,MATCH("all.in.cbf.---.---.---",input_data!$A:$A,0),10)),0)*INDEX(input_data!$M:$X,MATCH("all.in.ets.---.---.---",input_data!$A:$A,0),10)*INDEX(input_data!$M:$X,MATCH("all.in.act.---.---.---",input_data!$A:$A,0),10)*INDEX(input_data!$M:$X,MATCH("all.in.fxr.---.---.---",input_data!$A:$A,0),10)</f>
        <v>263.33736</v>
      </c>
      <c r="W268" s="118" t="n">
        <f aca="false">MAX(W267-INDEX(input_data!$L:$L,MATCH("all.in.bnk.frt.amc.---",input_data!$A:$A,0))*(1-INDEX(input_data!$M:$X,MATCH("all.in.cbf.---.---.---",input_data!$A:$A,0),11)),0)*INDEX(input_data!$M:$X,MATCH("all.in.ets.---.---.---",input_data!$A:$A,0),11)*INDEX(input_data!$M:$X,MATCH("all.in.act.---.---.---",input_data!$A:$A,0),11)*INDEX(input_data!$M:$X,MATCH("all.in.fxr.---.---.---",input_data!$A:$A,0),11)</f>
        <v>304.98435</v>
      </c>
      <c r="X268" s="118" t="n">
        <f aca="false">MAX(X267-INDEX(input_data!$L:$L,MATCH("all.in.bnk.frt.amc.---",input_data!$A:$A,0))*(1-INDEX(input_data!$M:$X,MATCH("all.in.cbf.---.---.---",input_data!$A:$A,0),12)),0)*INDEX(input_data!$M:$X,MATCH("all.in.ets.---.---.---",input_data!$A:$A,0),12)*INDEX(input_data!$M:$X,MATCH("all.in.act.---.---.---",input_data!$A:$A,0),12)*INDEX(input_data!$M:$X,MATCH("all.in.fxr.---.---.---",input_data!$A:$A,0),12)</f>
        <v>316.151733333333</v>
      </c>
    </row>
    <row r="269" customFormat="false" ht="15" hidden="false" customHeight="true" outlineLevel="0" collapsed="false">
      <c r="A269" s="73" t="str">
        <f aca="false">dashboard!$B$5&amp;".em.nh3.frt.ure.---"</f>
        <v>egy.em.nh3.frt.ure.---</v>
      </c>
      <c r="B269" s="73" t="str">
        <f aca="false">dashboard!$B$5</f>
        <v>egy</v>
      </c>
      <c r="C269" s="73" t="s">
        <v>3444</v>
      </c>
      <c r="D269" s="73" t="s">
        <v>727</v>
      </c>
      <c r="E269" s="73" t="s">
        <v>767</v>
      </c>
      <c r="F269" s="73" t="s">
        <v>779</v>
      </c>
      <c r="G269" s="73" t="s">
        <v>655</v>
      </c>
      <c r="H269" s="73" t="s">
        <v>3686</v>
      </c>
      <c r="I269" s="73" t="s">
        <v>3457</v>
      </c>
      <c r="J269" s="73" t="s">
        <v>3653</v>
      </c>
      <c r="K269" s="73"/>
      <c r="L269" s="73"/>
      <c r="M269" s="114" t="n">
        <f aca="false">INDEX(input_data!$L:$L,MATCH("all.in.nh3.frt.ure.---",input_data!$A:$A,0))*IFERROR((M153+M154+M155+M156)/M132,0)*M160</f>
        <v>1.60315848</v>
      </c>
      <c r="N269" s="114" t="n">
        <f aca="false">INDEX(input_data!$L:$L,MATCH("all.in.nh3.frt.ure.---",input_data!$A:$A,0))*IFERROR((N153+N154+N155+N156)/N132,0)*N160</f>
        <v>1.6466552623897</v>
      </c>
      <c r="O269" s="114" t="n">
        <f aca="false">INDEX(input_data!$L:$L,MATCH("all.in.nh3.frt.ure.---",input_data!$A:$A,0))*IFERROR((O153+O154+O155+O156)/O132,0)*O160</f>
        <v>1.6913321964</v>
      </c>
      <c r="P269" s="114" t="n">
        <f aca="false">INDEX(input_data!$L:$L,MATCH("all.in.nh3.frt.ure.---",input_data!$A:$A,0))*IFERROR((P153+P154+P155+P156)/P132,0)*P160</f>
        <v>1.73722130182113</v>
      </c>
      <c r="Q269" s="114" t="n">
        <f aca="false">INDEX(input_data!$L:$L,MATCH("all.in.nh3.frt.ure.---",input_data!$A:$A,0))*IFERROR((Q153+Q154+Q155+Q156)/Q132,0)*Q160</f>
        <v>1.784355467202</v>
      </c>
      <c r="R269" s="114" t="n">
        <f aca="false">INDEX(input_data!$L:$L,MATCH("all.in.nh3.frt.ure.---",input_data!$A:$A,0))*IFERROR((R153+R154+R155+R156)/R132,0)*R160</f>
        <v>1.83276847342129</v>
      </c>
      <c r="S269" s="114" t="n">
        <f aca="false">INDEX(input_data!$L:$L,MATCH("all.in.nh3.frt.ure.---",input_data!$A:$A,0))*IFERROR((S153+S154+S155+S156)/S132,0)*S160</f>
        <v>1.88249501789811</v>
      </c>
      <c r="T269" s="114" t="n">
        <f aca="false">INDEX(input_data!$L:$L,MATCH("all.in.nh3.frt.ure.---",input_data!$A:$A,0))*IFERROR((T153+T154+T155+T156)/T132,0)*T160</f>
        <v>1.93357073945946</v>
      </c>
      <c r="U269" s="114" t="n">
        <f aca="false">INDEX(input_data!$L:$L,MATCH("all.in.nh3.frt.ure.---",input_data!$A:$A,0))*IFERROR((U153+U154+U155+U156)/U132,0)*U160</f>
        <v>1.98603224388251</v>
      </c>
      <c r="V269" s="114" t="n">
        <f aca="false">INDEX(input_data!$L:$L,MATCH("all.in.nh3.frt.ure.---",input_data!$A:$A,0))*IFERROR((V153+V154+V155+V156)/V132,0)*V160</f>
        <v>2.03991713012974</v>
      </c>
      <c r="W269" s="114" t="n">
        <f aca="false">INDEX(input_data!$L:$L,MATCH("all.in.nh3.frt.ure.---",input_data!$A:$A,0))*IFERROR((W153+W154+W155+W156)/W132,0)*W160</f>
        <v>2.09526401729604</v>
      </c>
      <c r="X269" s="114" t="n">
        <f aca="false">INDEX(input_data!$L:$L,MATCH("all.in.nh3.frt.ure.---",input_data!$A:$A,0))*IFERROR((X153+X154+X155+X156)/X132,0)*X160</f>
        <v>2.15211257228687</v>
      </c>
    </row>
    <row r="270" customFormat="false" ht="15" hidden="false" customHeight="true" outlineLevel="0" collapsed="false">
      <c r="A270" s="73" t="str">
        <f aca="false">dashboard!$B$5&amp;".em.tot.frt.ure.---"</f>
        <v>egy.em.tot.frt.ure.---</v>
      </c>
      <c r="B270" s="73" t="str">
        <f aca="false">dashboard!$B$5</f>
        <v>egy</v>
      </c>
      <c r="C270" s="73" t="s">
        <v>3444</v>
      </c>
      <c r="D270" s="73" t="s">
        <v>3654</v>
      </c>
      <c r="E270" s="73" t="s">
        <v>767</v>
      </c>
      <c r="F270" s="73" t="s">
        <v>779</v>
      </c>
      <c r="G270" s="73" t="s">
        <v>655</v>
      </c>
      <c r="H270" s="73" t="s">
        <v>3687</v>
      </c>
      <c r="I270" s="73" t="s">
        <v>3457</v>
      </c>
      <c r="J270" s="73" t="s">
        <v>3656</v>
      </c>
      <c r="K270" s="73"/>
      <c r="L270" s="73"/>
      <c r="M270" s="115" t="n">
        <f aca="false">M181+M182+M183+M184+M185+M269</f>
        <v>0.87207848</v>
      </c>
      <c r="N270" s="115" t="n">
        <f aca="false">N181+N182+N183+N184+N185+N269</f>
        <v>0.89454133099972</v>
      </c>
      <c r="O270" s="115" t="n">
        <f aca="false">O181+O182+O183+O184+O185+O269</f>
        <v>0.917581129733333</v>
      </c>
      <c r="P270" s="115" t="n">
        <f aca="false">P181+P182+P183+P184+P185+P269</f>
        <v>0.941212647772302</v>
      </c>
      <c r="Q270" s="115" t="n">
        <f aca="false">Q181+Q182+Q183+Q184+Q185+Q269</f>
        <v>0.965451033535333</v>
      </c>
      <c r="R270" s="115" t="n">
        <f aca="false">R181+R182+R183+R184+R185+R269</f>
        <v>0.990311821863594</v>
      </c>
      <c r="S270" s="115" t="n">
        <f aca="false">S181+S182+S183+S184+S185+S269</f>
        <v>1.01581094383811</v>
      </c>
      <c r="T270" s="115" t="n">
        <f aca="false">T181+T182+T183+T184+T185+T269</f>
        <v>1.04196473684542</v>
      </c>
      <c r="U270" s="115" t="n">
        <f aca="false">U181+U182+U183+U184+U185+U269</f>
        <v>1.06878995489775</v>
      </c>
      <c r="V270" s="115" t="n">
        <f aca="false">V181+V182+V183+V184+V185+V269</f>
        <v>1.0963037792141</v>
      </c>
      <c r="W270" s="115" t="n">
        <f aca="false">W181+W182+W183+W184+W185+W269</f>
        <v>1.12452382906884</v>
      </c>
      <c r="X270" s="115" t="n">
        <f aca="false">X181+X182+X183+X184+X185+X269</f>
        <v>1.15346817291439</v>
      </c>
    </row>
    <row r="271" customFormat="false" ht="15" hidden="false" customHeight="true" outlineLevel="0" collapsed="false">
      <c r="A271" s="73" t="str">
        <f aca="false">dashboard!$B$5&amp;".cb.int.frt.ure.---"</f>
        <v>egy.cb.int.frt.ure.---</v>
      </c>
      <c r="B271" s="73" t="str">
        <f aca="false">dashboard!$B$5</f>
        <v>egy</v>
      </c>
      <c r="C271" s="73" t="s">
        <v>3657</v>
      </c>
      <c r="D271" s="73" t="s">
        <v>3658</v>
      </c>
      <c r="E271" s="73" t="s">
        <v>767</v>
      </c>
      <c r="F271" s="73" t="s">
        <v>779</v>
      </c>
      <c r="G271" s="73" t="s">
        <v>655</v>
      </c>
      <c r="H271" s="73" t="s">
        <v>3688</v>
      </c>
      <c r="I271" s="73" t="s">
        <v>955</v>
      </c>
      <c r="J271" s="73" t="s">
        <v>3660</v>
      </c>
      <c r="K271" s="73"/>
      <c r="L271" s="73"/>
      <c r="M271" s="116" t="n">
        <f aca="false">IFERROR(M270/M160,0)</f>
        <v>0.6229132</v>
      </c>
      <c r="N271" s="116" t="n">
        <f aca="false">IFERROR(N270/N160,0)</f>
        <v>0.622079866666667</v>
      </c>
      <c r="O271" s="116" t="n">
        <f aca="false">IFERROR(O270/O160,0)</f>
        <v>0.621246533333333</v>
      </c>
      <c r="P271" s="116" t="n">
        <f aca="false">IFERROR(P270/P160,0)</f>
        <v>0.6204132</v>
      </c>
      <c r="Q271" s="116" t="n">
        <f aca="false">IFERROR(Q270/Q160,0)</f>
        <v>0.619579866666667</v>
      </c>
      <c r="R271" s="116" t="n">
        <f aca="false">IFERROR(R270/R160,0)</f>
        <v>0.618746533333333</v>
      </c>
      <c r="S271" s="116" t="n">
        <f aca="false">IFERROR(S270/S160,0)</f>
        <v>0.6179132</v>
      </c>
      <c r="T271" s="116" t="n">
        <f aca="false">IFERROR(T270/T160,0)</f>
        <v>0.617079866666667</v>
      </c>
      <c r="U271" s="116" t="n">
        <f aca="false">IFERROR(U270/U160,0)</f>
        <v>0.616246533333334</v>
      </c>
      <c r="V271" s="116" t="n">
        <f aca="false">IFERROR(V270/V160,0)</f>
        <v>0.6154132</v>
      </c>
      <c r="W271" s="116" t="n">
        <f aca="false">IFERROR(W270/W160,0)</f>
        <v>0.614579866666667</v>
      </c>
      <c r="X271" s="116" t="n">
        <f aca="false">IFERROR(X270/X160,0)</f>
        <v>0.613746533333333</v>
      </c>
    </row>
    <row r="272" customFormat="false" ht="15" hidden="false" customHeight="true" outlineLevel="0" collapsed="false">
      <c r="A272" s="73" t="str">
        <f aca="false">dashboard!$B$5&amp;".cb.mrv.frt.ure.---"</f>
        <v>egy.cb.mrv.frt.ure.---</v>
      </c>
      <c r="B272" s="73" t="str">
        <f aca="false">dashboard!$B$5</f>
        <v>egy</v>
      </c>
      <c r="C272" s="73" t="s">
        <v>3657</v>
      </c>
      <c r="D272" s="73" t="s">
        <v>814</v>
      </c>
      <c r="E272" s="73" t="s">
        <v>767</v>
      </c>
      <c r="F272" s="73" t="s">
        <v>779</v>
      </c>
      <c r="G272" s="73" t="s">
        <v>655</v>
      </c>
      <c r="H272" s="73" t="s">
        <v>3689</v>
      </c>
      <c r="I272" s="73" t="s">
        <v>955</v>
      </c>
      <c r="J272" s="73" t="s">
        <v>3662</v>
      </c>
      <c r="K272" s="73"/>
      <c r="L272" s="73"/>
      <c r="M272" s="117" t="n">
        <f aca="false">IFERROR(IF(INDEX(input_data!$L:$L,MATCH("all.in.mrv.frt.ure.---",input_data!$A:$A,0))=1,((M270-M185*(1-INDEX(input_data!$L:$L,MATCH("all.in.cs2.frt.ure.---",input_data!$A:$A,0))))/M160),INDEX(input_data!$L:$L,MATCH("all.in.dfv.frt.ure.---",input_data!$A:$A,0))),0)</f>
        <v>0.6229132</v>
      </c>
      <c r="N272" s="117" t="n">
        <f aca="false">IFERROR(IF(INDEX(input_data!$L:$L,MATCH("all.in.mrv.frt.ure.---",input_data!$A:$A,0))=1,((N270-N185*(1-INDEX(input_data!$L:$L,MATCH("all.in.cs2.frt.ure.---",input_data!$A:$A,0))))/N160),INDEX(input_data!$L:$L,MATCH("all.in.dfv.frt.ure.---",input_data!$A:$A,0))),0)</f>
        <v>0.622079866666667</v>
      </c>
      <c r="O272" s="117" t="n">
        <f aca="false">IFERROR(IF(INDEX(input_data!$L:$L,MATCH("all.in.mrv.frt.ure.---",input_data!$A:$A,0))=1,((O270-O185*(1-INDEX(input_data!$L:$L,MATCH("all.in.cs2.frt.ure.---",input_data!$A:$A,0))))/O160),INDEX(input_data!$L:$L,MATCH("all.in.dfv.frt.ure.---",input_data!$A:$A,0))),0)</f>
        <v>0.621246533333333</v>
      </c>
      <c r="P272" s="117" t="n">
        <f aca="false">IFERROR(IF(INDEX(input_data!$L:$L,MATCH("all.in.mrv.frt.ure.---",input_data!$A:$A,0))=1,((P270-P185*(1-INDEX(input_data!$L:$L,MATCH("all.in.cs2.frt.ure.---",input_data!$A:$A,0))))/P160),INDEX(input_data!$L:$L,MATCH("all.in.dfv.frt.ure.---",input_data!$A:$A,0))),0)</f>
        <v>0.6204132</v>
      </c>
      <c r="Q272" s="117" t="n">
        <f aca="false">IFERROR(IF(INDEX(input_data!$L:$L,MATCH("all.in.mrv.frt.ure.---",input_data!$A:$A,0))=1,((Q270-Q185*(1-INDEX(input_data!$L:$L,MATCH("all.in.cs2.frt.ure.---",input_data!$A:$A,0))))/Q160),INDEX(input_data!$L:$L,MATCH("all.in.dfv.frt.ure.---",input_data!$A:$A,0))),0)</f>
        <v>0.619579866666667</v>
      </c>
      <c r="R272" s="117" t="n">
        <f aca="false">IFERROR(IF(INDEX(input_data!$L:$L,MATCH("all.in.mrv.frt.ure.---",input_data!$A:$A,0))=1,((R270-R185*(1-INDEX(input_data!$L:$L,MATCH("all.in.cs2.frt.ure.---",input_data!$A:$A,0))))/R160),INDEX(input_data!$L:$L,MATCH("all.in.dfv.frt.ure.---",input_data!$A:$A,0))),0)</f>
        <v>0.618746533333333</v>
      </c>
      <c r="S272" s="117" t="n">
        <f aca="false">IFERROR(IF(INDEX(input_data!$L:$L,MATCH("all.in.mrv.frt.ure.---",input_data!$A:$A,0))=1,((S270-S185*(1-INDEX(input_data!$L:$L,MATCH("all.in.cs2.frt.ure.---",input_data!$A:$A,0))))/S160),INDEX(input_data!$L:$L,MATCH("all.in.dfv.frt.ure.---",input_data!$A:$A,0))),0)</f>
        <v>0.6179132</v>
      </c>
      <c r="T272" s="117" t="n">
        <f aca="false">IFERROR(IF(INDEX(input_data!$L:$L,MATCH("all.in.mrv.frt.ure.---",input_data!$A:$A,0))=1,((T270-T185*(1-INDEX(input_data!$L:$L,MATCH("all.in.cs2.frt.ure.---",input_data!$A:$A,0))))/T160),INDEX(input_data!$L:$L,MATCH("all.in.dfv.frt.ure.---",input_data!$A:$A,0))),0)</f>
        <v>0.617079866666667</v>
      </c>
      <c r="U272" s="117" t="n">
        <f aca="false">IFERROR(IF(INDEX(input_data!$L:$L,MATCH("all.in.mrv.frt.ure.---",input_data!$A:$A,0))=1,((U270-U185*(1-INDEX(input_data!$L:$L,MATCH("all.in.cs2.frt.ure.---",input_data!$A:$A,0))))/U160),INDEX(input_data!$L:$L,MATCH("all.in.dfv.frt.ure.---",input_data!$A:$A,0))),0)</f>
        <v>0.616246533333334</v>
      </c>
      <c r="V272" s="117" t="n">
        <f aca="false">IFERROR(IF(INDEX(input_data!$L:$L,MATCH("all.in.mrv.frt.ure.---",input_data!$A:$A,0))=1,((V270-V185*(1-INDEX(input_data!$L:$L,MATCH("all.in.cs2.frt.ure.---",input_data!$A:$A,0))))/V160),INDEX(input_data!$L:$L,MATCH("all.in.dfv.frt.ure.---",input_data!$A:$A,0))),0)</f>
        <v>0.6154132</v>
      </c>
      <c r="W272" s="117" t="n">
        <f aca="false">IFERROR(IF(INDEX(input_data!$L:$L,MATCH("all.in.mrv.frt.ure.---",input_data!$A:$A,0))=1,((W270-W185*(1-INDEX(input_data!$L:$L,MATCH("all.in.cs2.frt.ure.---",input_data!$A:$A,0))))/W160),INDEX(input_data!$L:$L,MATCH("all.in.dfv.frt.ure.---",input_data!$A:$A,0))),0)</f>
        <v>0.614579866666667</v>
      </c>
      <c r="X272" s="117" t="n">
        <f aca="false">IFERROR(IF(INDEX(input_data!$L:$L,MATCH("all.in.mrv.frt.ure.---",input_data!$A:$A,0))=1,((X270-X185*(1-INDEX(input_data!$L:$L,MATCH("all.in.cs2.frt.ure.---",input_data!$A:$A,0))))/X160),INDEX(input_data!$L:$L,MATCH("all.in.dfv.frt.ure.---",input_data!$A:$A,0))),0)</f>
        <v>0.613746533333333</v>
      </c>
    </row>
    <row r="273" customFormat="false" ht="15" hidden="false" customHeight="true" outlineLevel="0" collapsed="false">
      <c r="A273" s="73" t="str">
        <f aca="false">dashboard!$B$5&amp;".cb.obl.frt.ure.---"</f>
        <v>egy.cb.obl.frt.ure.---</v>
      </c>
      <c r="B273" s="73" t="str">
        <f aca="false">dashboard!$B$5</f>
        <v>egy</v>
      </c>
      <c r="C273" s="73" t="s">
        <v>3657</v>
      </c>
      <c r="D273" s="73" t="s">
        <v>3663</v>
      </c>
      <c r="E273" s="73" t="s">
        <v>767</v>
      </c>
      <c r="F273" s="73" t="s">
        <v>779</v>
      </c>
      <c r="G273" s="73" t="s">
        <v>655</v>
      </c>
      <c r="H273" s="73" t="s">
        <v>3690</v>
      </c>
      <c r="I273" s="73" t="s">
        <v>718</v>
      </c>
      <c r="J273" s="73" t="s">
        <v>3665</v>
      </c>
      <c r="K273" s="73"/>
      <c r="L273" s="73"/>
      <c r="M273" s="118" t="n">
        <f aca="false">MAX(M272-INDEX(input_data!$L:$L,MATCH("all.in.bnk.frt.ure.---",input_data!$A:$A,0))*(1-INDEX(input_data!$M:$X,MATCH("all.in.cbf.---.---.---",input_data!$A:$A,0),1)),0)*INDEX(input_data!$M:$X,MATCH("all.in.ets.---.---.---",input_data!$A:$A,0),1)*INDEX(input_data!$M:$X,MATCH("all.in.act.---.---.---",input_data!$A:$A,0),1)*INDEX(input_data!$M:$X,MATCH("all.in.fxr.---.---.---",input_data!$A:$A,0),1)</f>
        <v>0</v>
      </c>
      <c r="N273" s="118" t="n">
        <f aca="false">MAX(N272-INDEX(input_data!$L:$L,MATCH("all.in.bnk.frt.ure.---",input_data!$A:$A,0))*(1-INDEX(input_data!$M:$X,MATCH("all.in.cbf.---.---.---",input_data!$A:$A,0),2)),0)*INDEX(input_data!$M:$X,MATCH("all.in.ets.---.---.---",input_data!$A:$A,0),2)*INDEX(input_data!$M:$X,MATCH("all.in.act.---.---.---",input_data!$A:$A,0),2)*INDEX(input_data!$M:$X,MATCH("all.in.fxr.---.---.---",input_data!$A:$A,0),2)</f>
        <v>0</v>
      </c>
      <c r="O273" s="118" t="n">
        <f aca="false">MAX(O272-INDEX(input_data!$L:$L,MATCH("all.in.bnk.frt.ure.---",input_data!$A:$A,0))*(1-INDEX(input_data!$M:$X,MATCH("all.in.cbf.---.---.---",input_data!$A:$A,0),3)),0)*INDEX(input_data!$M:$X,MATCH("all.in.ets.---.---.---",input_data!$A:$A,0),3)*INDEX(input_data!$M:$X,MATCH("all.in.act.---.---.---",input_data!$A:$A,0),3)*INDEX(input_data!$M:$X,MATCH("all.in.fxr.---.---.---",input_data!$A:$A,0),3)</f>
        <v>0</v>
      </c>
      <c r="P273" s="118" t="n">
        <f aca="false">MAX(P272-INDEX(input_data!$L:$L,MATCH("all.in.bnk.frt.ure.---",input_data!$A:$A,0))*(1-INDEX(input_data!$M:$X,MATCH("all.in.cbf.---.---.---",input_data!$A:$A,0),4)),0)*INDEX(input_data!$M:$X,MATCH("all.in.ets.---.---.---",input_data!$A:$A,0),4)*INDEX(input_data!$M:$X,MATCH("all.in.act.---.---.---",input_data!$A:$A,0),4)*INDEX(input_data!$M:$X,MATCH("all.in.fxr.---.---.---",input_data!$A:$A,0),4)</f>
        <v>0</v>
      </c>
      <c r="Q273" s="118" t="n">
        <f aca="false">MAX(Q272-INDEX(input_data!$L:$L,MATCH("all.in.bnk.frt.ure.---",input_data!$A:$A,0))*(1-INDEX(input_data!$M:$X,MATCH("all.in.cbf.---.---.---",input_data!$A:$A,0),5)),0)*INDEX(input_data!$M:$X,MATCH("all.in.ets.---.---.---",input_data!$A:$A,0),5)*INDEX(input_data!$M:$X,MATCH("all.in.act.---.---.---",input_data!$A:$A,0),5)*INDEX(input_data!$M:$X,MATCH("all.in.fxr.---.---.---",input_data!$A:$A,0),5)</f>
        <v>0</v>
      </c>
      <c r="R273" s="118" t="n">
        <f aca="false">MAX(R272-INDEX(input_data!$L:$L,MATCH("all.in.bnk.frt.ure.---",input_data!$A:$A,0))*(1-INDEX(input_data!$M:$X,MATCH("all.in.cbf.---.---.---",input_data!$A:$A,0),6)),0)*INDEX(input_data!$M:$X,MATCH("all.in.ets.---.---.---",input_data!$A:$A,0),6)*INDEX(input_data!$M:$X,MATCH("all.in.act.---.---.---",input_data!$A:$A,0),6)*INDEX(input_data!$M:$X,MATCH("all.in.fxr.---.---.---",input_data!$A:$A,0),6)</f>
        <v>0</v>
      </c>
      <c r="S273" s="118" t="n">
        <f aca="false">MAX(S272-INDEX(input_data!$L:$L,MATCH("all.in.bnk.frt.ure.---",input_data!$A:$A,0))*(1-INDEX(input_data!$M:$X,MATCH("all.in.cbf.---.---.---",input_data!$A:$A,0),7)),0)*INDEX(input_data!$M:$X,MATCH("all.in.ets.---.---.---",input_data!$A:$A,0),7)*INDEX(input_data!$M:$X,MATCH("all.in.act.---.---.---",input_data!$A:$A,0),7)*INDEX(input_data!$M:$X,MATCH("all.in.fxr.---.---.---",input_data!$A:$A,0),7)</f>
        <v>19.4029748</v>
      </c>
      <c r="T273" s="118" t="n">
        <f aca="false">MAX(T272-INDEX(input_data!$L:$L,MATCH("all.in.bnk.frt.ure.---",input_data!$A:$A,0))*(1-INDEX(input_data!$M:$X,MATCH("all.in.cbf.---.---.---",input_data!$A:$A,0),8)),0)*INDEX(input_data!$M:$X,MATCH("all.in.ets.---.---.---",input_data!$A:$A,0),8)*INDEX(input_data!$M:$X,MATCH("all.in.act.---.---.---",input_data!$A:$A,0),8)*INDEX(input_data!$M:$X,MATCH("all.in.fxr.---.---.---",input_data!$A:$A,0),8)</f>
        <v>35.0195824</v>
      </c>
      <c r="U273" s="118" t="n">
        <f aca="false">MAX(U272-INDEX(input_data!$L:$L,MATCH("all.in.bnk.frt.ure.---",input_data!$A:$A,0))*(1-INDEX(input_data!$M:$X,MATCH("all.in.cbf.---.---.---",input_data!$A:$A,0),9)),0)*INDEX(input_data!$M:$X,MATCH("all.in.ets.---.---.---",input_data!$A:$A,0),9)*INDEX(input_data!$M:$X,MATCH("all.in.act.---.---.---",input_data!$A:$A,0),9)*INDEX(input_data!$M:$X,MATCH("all.in.fxr.---.---.---",input_data!$A:$A,0),9)</f>
        <v>51.8672733333334</v>
      </c>
      <c r="V273" s="118" t="n">
        <f aca="false">MAX(V272-INDEX(input_data!$L:$L,MATCH("all.in.bnk.frt.ure.---",input_data!$A:$A,0))*(1-INDEX(input_data!$M:$X,MATCH("all.in.cbf.---.---.---",input_data!$A:$A,0),10)),0)*INDEX(input_data!$M:$X,MATCH("all.in.ets.---.---.---",input_data!$A:$A,0),10)*INDEX(input_data!$M:$X,MATCH("all.in.act.---.---.---",input_data!$A:$A,0),10)*INDEX(input_data!$M:$X,MATCH("all.in.fxr.---.---.---",input_data!$A:$A,0),10)</f>
        <v>69.9460476</v>
      </c>
      <c r="W273" s="118" t="n">
        <f aca="false">MAX(W272-INDEX(input_data!$L:$L,MATCH("all.in.bnk.frt.ure.---",input_data!$A:$A,0))*(1-INDEX(input_data!$M:$X,MATCH("all.in.cbf.---.---.---",input_data!$A:$A,0),11)),0)*INDEX(input_data!$M:$X,MATCH("all.in.ets.---.---.---",input_data!$A:$A,0),11)*INDEX(input_data!$M:$X,MATCH("all.in.act.---.---.---",input_data!$A:$A,0),11)*INDEX(input_data!$M:$X,MATCH("all.in.fxr.---.---.---",input_data!$A:$A,0),11)</f>
        <v>91.2651102</v>
      </c>
      <c r="X273" s="118" t="n">
        <f aca="false">MAX(X272-INDEX(input_data!$L:$L,MATCH("all.in.bnk.frt.ure.---",input_data!$A:$A,0))*(1-INDEX(input_data!$M:$X,MATCH("all.in.cbf.---.---.---",input_data!$A:$A,0),12)),0)*INDEX(input_data!$M:$X,MATCH("all.in.ets.---.---.---",input_data!$A:$A,0),12)*INDEX(input_data!$M:$X,MATCH("all.in.act.---.---.---",input_data!$A:$A,0),12)*INDEX(input_data!$M:$X,MATCH("all.in.fxr.---.---.---",input_data!$A:$A,0),12)</f>
        <v>94.5169661333333</v>
      </c>
    </row>
    <row r="274" customFormat="false" ht="15" hidden="false" customHeight="true" outlineLevel="0" collapsed="false">
      <c r="A274" s="73" t="str">
        <f aca="false">dashboard!$B$5&amp;".em.nh3.frt.nit.---"</f>
        <v>egy.em.nh3.frt.nit.---</v>
      </c>
      <c r="B274" s="73" t="str">
        <f aca="false">dashboard!$B$5</f>
        <v>egy</v>
      </c>
      <c r="C274" s="73" t="s">
        <v>3444</v>
      </c>
      <c r="D274" s="73" t="s">
        <v>727</v>
      </c>
      <c r="E274" s="73" t="s">
        <v>767</v>
      </c>
      <c r="F274" s="73" t="s">
        <v>790</v>
      </c>
      <c r="G274" s="73" t="s">
        <v>655</v>
      </c>
      <c r="H274" s="73" t="s">
        <v>3691</v>
      </c>
      <c r="I274" s="73" t="s">
        <v>3457</v>
      </c>
      <c r="J274" s="73" t="s">
        <v>3653</v>
      </c>
      <c r="K274" s="73"/>
      <c r="L274" s="73"/>
      <c r="M274" s="114" t="n">
        <f aca="false">INDEX(input_data!$L:$L,MATCH("all.in.nh3.frt.nit.---",input_data!$A:$A,0))*IFERROR((M153+M154+M155+M156)/M132,0)*M188</f>
        <v>0.2150874</v>
      </c>
      <c r="N274" s="114" t="n">
        <f aca="false">INDEX(input_data!$L:$L,MATCH("all.in.nh3.frt.nit.---",input_data!$A:$A,0))*IFERROR((N153+N154+N155+N156)/N132,0)*N188</f>
        <v>0.21974345755932</v>
      </c>
      <c r="O274" s="114" t="n">
        <f aca="false">INDEX(input_data!$L:$L,MATCH("all.in.nh3.frt.nit.---",input_data!$A:$A,0))*IFERROR((O153+O154+O155+O156)/O132,0)*O188</f>
        <v>0.224500306108702</v>
      </c>
      <c r="P274" s="114" t="n">
        <f aca="false">INDEX(input_data!$L:$L,MATCH("all.in.nh3.frt.nit.---",input_data!$A:$A,0))*IFERROR((P153+P154+P155+P156)/P132,0)*P188</f>
        <v>0.229360127499109</v>
      </c>
      <c r="Q274" s="114" t="n">
        <f aca="false">INDEX(input_data!$L:$L,MATCH("all.in.nh3.frt.nit.---",input_data!$A:$A,0))*IFERROR((Q153+Q154+Q155+Q156)/Q132,0)*Q188</f>
        <v>0.23432515081265</v>
      </c>
      <c r="R274" s="114" t="n">
        <f aca="false">INDEX(input_data!$L:$L,MATCH("all.in.nh3.frt.nit.---",input_data!$A:$A,0))*IFERROR((R153+R154+R155+R156)/R132,0)*R188</f>
        <v>0.239397653385</v>
      </c>
      <c r="S274" s="114" t="n">
        <f aca="false">INDEX(input_data!$L:$L,MATCH("all.in.nh3.frt.nit.---",input_data!$A:$A,0))*IFERROR((S153+S154+S155+S156)/S132,0)*S188</f>
        <v>0.244579961849962</v>
      </c>
      <c r="T274" s="114" t="n">
        <f aca="false">INDEX(input_data!$L:$L,MATCH("all.in.nh3.frt.nit.---",input_data!$A:$A,0))*IFERROR((T153+T154+T155+T156)/T132,0)*T188</f>
        <v>0.249874453206638</v>
      </c>
      <c r="U274" s="114" t="n">
        <f aca="false">INDEX(input_data!$L:$L,MATCH("all.in.nh3.frt.nit.---",input_data!$A:$A,0))*IFERROR((U153+U154+U155+U156)/U132,0)*U188</f>
        <v>0.255283555909696</v>
      </c>
      <c r="V274" s="114" t="n">
        <f aca="false">INDEX(input_data!$L:$L,MATCH("all.in.nh3.frt.nit.---",input_data!$A:$A,0))*IFERROR((V153+V154+V155+V156)/V132,0)*V188</f>
        <v>0.26080975098325</v>
      </c>
      <c r="W274" s="114" t="n">
        <f aca="false">INDEX(input_data!$L:$L,MATCH("all.in.nh3.frt.nit.---",input_data!$A:$A,0))*IFERROR((W153+W154+W155+W156)/W132,0)*W188</f>
        <v>0.26645557315884</v>
      </c>
      <c r="X274" s="114" t="n">
        <f aca="false">INDEX(input_data!$L:$L,MATCH("all.in.nh3.frt.nit.---",input_data!$A:$A,0))*IFERROR((X153+X154+X155+X156)/X132,0)*X188</f>
        <v>0.272223612038054</v>
      </c>
    </row>
    <row r="275" customFormat="false" ht="15" hidden="false" customHeight="true" outlineLevel="0" collapsed="false">
      <c r="A275" s="73" t="str">
        <f aca="false">dashboard!$B$5&amp;".em.tot.frt.nit.---"</f>
        <v>egy.em.tot.frt.nit.---</v>
      </c>
      <c r="B275" s="73" t="str">
        <f aca="false">dashboard!$B$5</f>
        <v>egy</v>
      </c>
      <c r="C275" s="73" t="s">
        <v>3444</v>
      </c>
      <c r="D275" s="73" t="s">
        <v>3654</v>
      </c>
      <c r="E275" s="73" t="s">
        <v>767</v>
      </c>
      <c r="F275" s="73" t="s">
        <v>790</v>
      </c>
      <c r="G275" s="73" t="s">
        <v>655</v>
      </c>
      <c r="H275" s="73" t="s">
        <v>3692</v>
      </c>
      <c r="I275" s="73" t="s">
        <v>3457</v>
      </c>
      <c r="J275" s="73" t="s">
        <v>3656</v>
      </c>
      <c r="K275" s="73"/>
      <c r="L275" s="73"/>
      <c r="M275" s="115" t="n">
        <f aca="false">M209+M210+M211+M212+M213+M274</f>
        <v>1.5284124</v>
      </c>
      <c r="N275" s="115" t="n">
        <f aca="false">N209+N210+N211+N212+N213+N274</f>
        <v>1.56107268756122</v>
      </c>
      <c r="O275" s="115" t="n">
        <f aca="false">O209+O210+O211+O212+O213+O274</f>
        <v>1.59443076661818</v>
      </c>
      <c r="P275" s="115" t="n">
        <f aca="false">P209+P210+P211+P212+P213+P274</f>
        <v>1.62850154298134</v>
      </c>
      <c r="Q275" s="115" t="n">
        <f aca="false">Q209+Q210+Q211+Q212+Q213+Q274</f>
        <v>1.66330024081328</v>
      </c>
      <c r="R275" s="115" t="n">
        <f aca="false">R209+R210+R211+R212+R213+R274</f>
        <v>1.69884240942667</v>
      </c>
      <c r="S275" s="115" t="n">
        <f aca="false">S209+S210+S211+S212+S213+S274</f>
        <v>1.73514393022736</v>
      </c>
      <c r="T275" s="115" t="n">
        <f aca="false">T209+T210+T211+T212+T213+T274</f>
        <v>1.77222102380579</v>
      </c>
      <c r="U275" s="115" t="n">
        <f aca="false">U209+U210+U211+U212+U213+U274</f>
        <v>1.81009025717967</v>
      </c>
      <c r="V275" s="115" t="n">
        <f aca="false">V209+V210+V211+V212+V213+V274</f>
        <v>1.84876855119139</v>
      </c>
      <c r="W275" s="115" t="n">
        <f aca="false">W209+W210+W211+W212+W213+W274</f>
        <v>1.88827318806331</v>
      </c>
      <c r="X275" s="115" t="n">
        <f aca="false">X209+X210+X211+X212+X213+X274</f>
        <v>1.92862181911436</v>
      </c>
    </row>
    <row r="276" customFormat="false" ht="15" hidden="false" customHeight="true" outlineLevel="0" collapsed="false">
      <c r="A276" s="73" t="str">
        <f aca="false">dashboard!$B$5&amp;".cb.int.frt.nit.---"</f>
        <v>egy.cb.int.frt.nit.---</v>
      </c>
      <c r="B276" s="73" t="str">
        <f aca="false">dashboard!$B$5</f>
        <v>egy</v>
      </c>
      <c r="C276" s="73" t="s">
        <v>3657</v>
      </c>
      <c r="D276" s="73" t="s">
        <v>3658</v>
      </c>
      <c r="E276" s="73" t="s">
        <v>767</v>
      </c>
      <c r="F276" s="73" t="s">
        <v>790</v>
      </c>
      <c r="G276" s="73" t="s">
        <v>655</v>
      </c>
      <c r="H276" s="73" t="s">
        <v>3693</v>
      </c>
      <c r="I276" s="73" t="s">
        <v>955</v>
      </c>
      <c r="J276" s="73" t="s">
        <v>3660</v>
      </c>
      <c r="K276" s="73"/>
      <c r="L276" s="73"/>
      <c r="M276" s="116" t="n">
        <f aca="false">IFERROR(M275/M188,0)</f>
        <v>3.0568248</v>
      </c>
      <c r="N276" s="116" t="n">
        <f aca="false">IFERROR(N275/N188,0)</f>
        <v>3.05599146666667</v>
      </c>
      <c r="O276" s="116" t="n">
        <f aca="false">IFERROR(O275/O188,0)</f>
        <v>3.05515813333333</v>
      </c>
      <c r="P276" s="116" t="n">
        <f aca="false">IFERROR(P275/P188,0)</f>
        <v>3.0543248</v>
      </c>
      <c r="Q276" s="116" t="n">
        <f aca="false">IFERROR(Q275/Q188,0)</f>
        <v>3.05349146666667</v>
      </c>
      <c r="R276" s="116" t="n">
        <f aca="false">IFERROR(R275/R188,0)</f>
        <v>3.05265813333333</v>
      </c>
      <c r="S276" s="116" t="n">
        <f aca="false">IFERROR(S275/S188,0)</f>
        <v>3.0518248</v>
      </c>
      <c r="T276" s="116" t="n">
        <f aca="false">IFERROR(T275/T188,0)</f>
        <v>3.05099146666667</v>
      </c>
      <c r="U276" s="116" t="n">
        <f aca="false">IFERROR(U275/U188,0)</f>
        <v>3.05015813333333</v>
      </c>
      <c r="V276" s="116" t="n">
        <f aca="false">IFERROR(V275/V188,0)</f>
        <v>3.0493248</v>
      </c>
      <c r="W276" s="116" t="n">
        <f aca="false">IFERROR(W275/W188,0)</f>
        <v>3.04849146666667</v>
      </c>
      <c r="X276" s="116" t="n">
        <f aca="false">IFERROR(X275/X188,0)</f>
        <v>3.04765813333333</v>
      </c>
    </row>
    <row r="277" customFormat="false" ht="15" hidden="false" customHeight="true" outlineLevel="0" collapsed="false">
      <c r="A277" s="73" t="str">
        <f aca="false">dashboard!$B$5&amp;".cb.mrv.frt.nit.---"</f>
        <v>egy.cb.mrv.frt.nit.---</v>
      </c>
      <c r="B277" s="73" t="str">
        <f aca="false">dashboard!$B$5</f>
        <v>egy</v>
      </c>
      <c r="C277" s="73" t="s">
        <v>3657</v>
      </c>
      <c r="D277" s="73" t="s">
        <v>814</v>
      </c>
      <c r="E277" s="73" t="s">
        <v>767</v>
      </c>
      <c r="F277" s="73" t="s">
        <v>790</v>
      </c>
      <c r="G277" s="73" t="s">
        <v>655</v>
      </c>
      <c r="H277" s="73" t="s">
        <v>3694</v>
      </c>
      <c r="I277" s="73" t="s">
        <v>955</v>
      </c>
      <c r="J277" s="73" t="s">
        <v>3662</v>
      </c>
      <c r="K277" s="73"/>
      <c r="L277" s="73"/>
      <c r="M277" s="117" t="n">
        <f aca="false">IFERROR(IF(INDEX(input_data!$L:$L,MATCH("all.in.mrv.frt.nit.---",input_data!$A:$A,0))=1,((M275-M213*(1-INDEX(input_data!$L:$L,MATCH("all.in.cs2.frt.nit.---",input_data!$A:$A,0))))/M188),INDEX(input_data!$L:$L,MATCH("all.in.dfv.frt.nit.---",input_data!$A:$A,0))),0)</f>
        <v>3.0568248</v>
      </c>
      <c r="N277" s="117" t="n">
        <f aca="false">IFERROR(IF(INDEX(input_data!$L:$L,MATCH("all.in.mrv.frt.nit.---",input_data!$A:$A,0))=1,((N275-N213*(1-INDEX(input_data!$L:$L,MATCH("all.in.cs2.frt.nit.---",input_data!$A:$A,0))))/N188),INDEX(input_data!$L:$L,MATCH("all.in.dfv.frt.nit.---",input_data!$A:$A,0))),0)</f>
        <v>3.05599146666667</v>
      </c>
      <c r="O277" s="117" t="n">
        <f aca="false">IFERROR(IF(INDEX(input_data!$L:$L,MATCH("all.in.mrv.frt.nit.---",input_data!$A:$A,0))=1,((O275-O213*(1-INDEX(input_data!$L:$L,MATCH("all.in.cs2.frt.nit.---",input_data!$A:$A,0))))/O188),INDEX(input_data!$L:$L,MATCH("all.in.dfv.frt.nit.---",input_data!$A:$A,0))),0)</f>
        <v>3.05515813333333</v>
      </c>
      <c r="P277" s="117" t="n">
        <f aca="false">IFERROR(IF(INDEX(input_data!$L:$L,MATCH("all.in.mrv.frt.nit.---",input_data!$A:$A,0))=1,((P275-P213*(1-INDEX(input_data!$L:$L,MATCH("all.in.cs2.frt.nit.---",input_data!$A:$A,0))))/P188),INDEX(input_data!$L:$L,MATCH("all.in.dfv.frt.nit.---",input_data!$A:$A,0))),0)</f>
        <v>3.0543248</v>
      </c>
      <c r="Q277" s="117" t="n">
        <f aca="false">IFERROR(IF(INDEX(input_data!$L:$L,MATCH("all.in.mrv.frt.nit.---",input_data!$A:$A,0))=1,((Q275-Q213*(1-INDEX(input_data!$L:$L,MATCH("all.in.cs2.frt.nit.---",input_data!$A:$A,0))))/Q188),INDEX(input_data!$L:$L,MATCH("all.in.dfv.frt.nit.---",input_data!$A:$A,0))),0)</f>
        <v>3.05349146666667</v>
      </c>
      <c r="R277" s="117" t="n">
        <f aca="false">IFERROR(IF(INDEX(input_data!$L:$L,MATCH("all.in.mrv.frt.nit.---",input_data!$A:$A,0))=1,((R275-R213*(1-INDEX(input_data!$L:$L,MATCH("all.in.cs2.frt.nit.---",input_data!$A:$A,0))))/R188),INDEX(input_data!$L:$L,MATCH("all.in.dfv.frt.nit.---",input_data!$A:$A,0))),0)</f>
        <v>3.05265813333333</v>
      </c>
      <c r="S277" s="117" t="n">
        <f aca="false">IFERROR(IF(INDEX(input_data!$L:$L,MATCH("all.in.mrv.frt.nit.---",input_data!$A:$A,0))=1,((S275-S213*(1-INDEX(input_data!$L:$L,MATCH("all.in.cs2.frt.nit.---",input_data!$A:$A,0))))/S188),INDEX(input_data!$L:$L,MATCH("all.in.dfv.frt.nit.---",input_data!$A:$A,0))),0)</f>
        <v>3.0518248</v>
      </c>
      <c r="T277" s="117" t="n">
        <f aca="false">IFERROR(IF(INDEX(input_data!$L:$L,MATCH("all.in.mrv.frt.nit.---",input_data!$A:$A,0))=1,((T275-T213*(1-INDEX(input_data!$L:$L,MATCH("all.in.cs2.frt.nit.---",input_data!$A:$A,0))))/T188),INDEX(input_data!$L:$L,MATCH("all.in.dfv.frt.nit.---",input_data!$A:$A,0))),0)</f>
        <v>3.05099146666667</v>
      </c>
      <c r="U277" s="117" t="n">
        <f aca="false">IFERROR(IF(INDEX(input_data!$L:$L,MATCH("all.in.mrv.frt.nit.---",input_data!$A:$A,0))=1,((U275-U213*(1-INDEX(input_data!$L:$L,MATCH("all.in.cs2.frt.nit.---",input_data!$A:$A,0))))/U188),INDEX(input_data!$L:$L,MATCH("all.in.dfv.frt.nit.---",input_data!$A:$A,0))),0)</f>
        <v>3.05015813333333</v>
      </c>
      <c r="V277" s="117" t="n">
        <f aca="false">IFERROR(IF(INDEX(input_data!$L:$L,MATCH("all.in.mrv.frt.nit.---",input_data!$A:$A,0))=1,((V275-V213*(1-INDEX(input_data!$L:$L,MATCH("all.in.cs2.frt.nit.---",input_data!$A:$A,0))))/V188),INDEX(input_data!$L:$L,MATCH("all.in.dfv.frt.nit.---",input_data!$A:$A,0))),0)</f>
        <v>3.0493248</v>
      </c>
      <c r="W277" s="117" t="n">
        <f aca="false">IFERROR(IF(INDEX(input_data!$L:$L,MATCH("all.in.mrv.frt.nit.---",input_data!$A:$A,0))=1,((W275-W213*(1-INDEX(input_data!$L:$L,MATCH("all.in.cs2.frt.nit.---",input_data!$A:$A,0))))/W188),INDEX(input_data!$L:$L,MATCH("all.in.dfv.frt.nit.---",input_data!$A:$A,0))),0)</f>
        <v>3.04849146666667</v>
      </c>
      <c r="X277" s="117" t="n">
        <f aca="false">IFERROR(IF(INDEX(input_data!$L:$L,MATCH("all.in.mrv.frt.nit.---",input_data!$A:$A,0))=1,((X275-X213*(1-INDEX(input_data!$L:$L,MATCH("all.in.cs2.frt.nit.---",input_data!$A:$A,0))))/X188),INDEX(input_data!$L:$L,MATCH("all.in.dfv.frt.nit.---",input_data!$A:$A,0))),0)</f>
        <v>3.04765813333333</v>
      </c>
    </row>
    <row r="278" customFormat="false" ht="15" hidden="false" customHeight="true" outlineLevel="0" collapsed="false">
      <c r="A278" s="73" t="str">
        <f aca="false">dashboard!$B$5&amp;".cb.obl.frt.nit.---"</f>
        <v>egy.cb.obl.frt.nit.---</v>
      </c>
      <c r="B278" s="73" t="str">
        <f aca="false">dashboard!$B$5</f>
        <v>egy</v>
      </c>
      <c r="C278" s="73" t="s">
        <v>3657</v>
      </c>
      <c r="D278" s="73" t="s">
        <v>3663</v>
      </c>
      <c r="E278" s="73" t="s">
        <v>767</v>
      </c>
      <c r="F278" s="73" t="s">
        <v>790</v>
      </c>
      <c r="G278" s="73" t="s">
        <v>655</v>
      </c>
      <c r="H278" s="73" t="s">
        <v>3695</v>
      </c>
      <c r="I278" s="73" t="s">
        <v>718</v>
      </c>
      <c r="J278" s="73" t="s">
        <v>3665</v>
      </c>
      <c r="K278" s="73"/>
      <c r="L278" s="73"/>
      <c r="M278" s="118" t="n">
        <f aca="false">MAX(M277-INDEX(input_data!$L:$L,MATCH("all.in.bnk.frt.nit.---",input_data!$A:$A,0))*(1-INDEX(input_data!$M:$X,MATCH("all.in.cbf.---.---.---",input_data!$A:$A,0),1)),0)*INDEX(input_data!$M:$X,MATCH("all.in.ets.---.---.---",input_data!$A:$A,0),1)*INDEX(input_data!$M:$X,MATCH("all.in.act.---.---.---",input_data!$A:$A,0),1)*INDEX(input_data!$M:$X,MATCH("all.in.fxr.---.---.---",input_data!$A:$A,0),1)</f>
        <v>0</v>
      </c>
      <c r="N278" s="118" t="n">
        <f aca="false">MAX(N277-INDEX(input_data!$L:$L,MATCH("all.in.bnk.frt.nit.---",input_data!$A:$A,0))*(1-INDEX(input_data!$M:$X,MATCH("all.in.cbf.---.---.---",input_data!$A:$A,0),2)),0)*INDEX(input_data!$M:$X,MATCH("all.in.ets.---.---.---",input_data!$A:$A,0),2)*INDEX(input_data!$M:$X,MATCH("all.in.act.---.---.---",input_data!$A:$A,0),2)*INDEX(input_data!$M:$X,MATCH("all.in.fxr.---.---.---",input_data!$A:$A,0),2)</f>
        <v>0</v>
      </c>
      <c r="O278" s="118" t="n">
        <f aca="false">MAX(O277-INDEX(input_data!$L:$L,MATCH("all.in.bnk.frt.nit.---",input_data!$A:$A,0))*(1-INDEX(input_data!$M:$X,MATCH("all.in.cbf.---.---.---",input_data!$A:$A,0),3)),0)*INDEX(input_data!$M:$X,MATCH("all.in.ets.---.---.---",input_data!$A:$A,0),3)*INDEX(input_data!$M:$X,MATCH("all.in.act.---.---.---",input_data!$A:$A,0),3)*INDEX(input_data!$M:$X,MATCH("all.in.fxr.---.---.---",input_data!$A:$A,0),3)</f>
        <v>303.677894666667</v>
      </c>
      <c r="P278" s="118" t="n">
        <f aca="false">MAX(P277-INDEX(input_data!$L:$L,MATCH("all.in.bnk.frt.nit.---",input_data!$A:$A,0))*(1-INDEX(input_data!$M:$X,MATCH("all.in.cbf.---.---.---",input_data!$A:$A,0),4)),0)*INDEX(input_data!$M:$X,MATCH("all.in.ets.---.---.---",input_data!$A:$A,0),4)*INDEX(input_data!$M:$X,MATCH("all.in.act.---.---.---",input_data!$A:$A,0),4)*INDEX(input_data!$M:$X,MATCH("all.in.fxr.---.---.---",input_data!$A:$A,0),4)</f>
        <v>319.6375644</v>
      </c>
      <c r="Q278" s="118" t="n">
        <f aca="false">MAX(Q277-INDEX(input_data!$L:$L,MATCH("all.in.bnk.frt.nit.---",input_data!$A:$A,0))*(1-INDEX(input_data!$M:$X,MATCH("all.in.cbf.---.---.---",input_data!$A:$A,0),5)),0)*INDEX(input_data!$M:$X,MATCH("all.in.ets.---.---.---",input_data!$A:$A,0),5)*INDEX(input_data!$M:$X,MATCH("all.in.act.---.---.---",input_data!$A:$A,0),5)*INDEX(input_data!$M:$X,MATCH("all.in.fxr.---.---.---",input_data!$A:$A,0),5)</f>
        <v>336.584667466667</v>
      </c>
      <c r="R278" s="118" t="n">
        <f aca="false">MAX(R277-INDEX(input_data!$L:$L,MATCH("all.in.bnk.frt.nit.---",input_data!$A:$A,0))*(1-INDEX(input_data!$M:$X,MATCH("all.in.cbf.---.---.---",input_data!$A:$A,0),6)),0)*INDEX(input_data!$M:$X,MATCH("all.in.ets.---.---.---",input_data!$A:$A,0),6)*INDEX(input_data!$M:$X,MATCH("all.in.act.---.---.---",input_data!$A:$A,0),6)*INDEX(input_data!$M:$X,MATCH("all.in.fxr.---.---.---",input_data!$A:$A,0),6)</f>
        <v>341.051584133333</v>
      </c>
      <c r="S278" s="118" t="n">
        <f aca="false">MAX(S277-INDEX(input_data!$L:$L,MATCH("all.in.bnk.frt.nit.---",input_data!$A:$A,0))*(1-INDEX(input_data!$M:$X,MATCH("all.in.cbf.---.---.---",input_data!$A:$A,0),7)),0)*INDEX(input_data!$M:$X,MATCH("all.in.ets.---.---.---",input_data!$A:$A,0),7)*INDEX(input_data!$M:$X,MATCH("all.in.act.---.---.---",input_data!$A:$A,0),7)*INDEX(input_data!$M:$X,MATCH("all.in.fxr.---.---.---",input_data!$A:$A,0),7)</f>
        <v>366.3812922</v>
      </c>
      <c r="T278" s="118" t="n">
        <f aca="false">MAX(T277-INDEX(input_data!$L:$L,MATCH("all.in.bnk.frt.nit.---",input_data!$A:$A,0))*(1-INDEX(input_data!$M:$X,MATCH("all.in.cbf.---.---.---",input_data!$A:$A,0),8)),0)*INDEX(input_data!$M:$X,MATCH("all.in.ets.---.---.---",input_data!$A:$A,0),8)*INDEX(input_data!$M:$X,MATCH("all.in.act.---.---.---",input_data!$A:$A,0),8)*INDEX(input_data!$M:$X,MATCH("all.in.fxr.---.---.---",input_data!$A:$A,0),8)</f>
        <v>387.1839136</v>
      </c>
      <c r="U278" s="118" t="n">
        <f aca="false">MAX(U277-INDEX(input_data!$L:$L,MATCH("all.in.bnk.frt.nit.---",input_data!$A:$A,0))*(1-INDEX(input_data!$M:$X,MATCH("all.in.cbf.---.---.---",input_data!$A:$A,0),9)),0)*INDEX(input_data!$M:$X,MATCH("all.in.ets.---.---.---",input_data!$A:$A,0),9)*INDEX(input_data!$M:$X,MATCH("all.in.act.---.---.---",input_data!$A:$A,0),9)*INDEX(input_data!$M:$X,MATCH("all.in.fxr.---.---.---",input_data!$A:$A,0),9)</f>
        <v>408.392618333333</v>
      </c>
      <c r="V278" s="118" t="n">
        <f aca="false">MAX(V277-INDEX(input_data!$L:$L,MATCH("all.in.bnk.frt.nit.---",input_data!$A:$A,0))*(1-INDEX(input_data!$M:$X,MATCH("all.in.cbf.---.---.---",input_data!$A:$A,0),10)),0)*INDEX(input_data!$M:$X,MATCH("all.in.ets.---.---.---",input_data!$A:$A,0),10)*INDEX(input_data!$M:$X,MATCH("all.in.act.---.---.---",input_data!$A:$A,0),10)*INDEX(input_data!$M:$X,MATCH("all.in.fxr.---.---.---",input_data!$A:$A,0),10)</f>
        <v>430.0074064</v>
      </c>
      <c r="W278" s="118" t="n">
        <f aca="false">MAX(W277-INDEX(input_data!$L:$L,MATCH("all.in.bnk.frt.nit.---",input_data!$A:$A,0))*(1-INDEX(input_data!$M:$X,MATCH("all.in.cbf.---.---.---",input_data!$A:$A,0),11)),0)*INDEX(input_data!$M:$X,MATCH("all.in.ets.---.---.---",input_data!$A:$A,0),11)*INDEX(input_data!$M:$X,MATCH("all.in.act.---.---.---",input_data!$A:$A,0),11)*INDEX(input_data!$M:$X,MATCH("all.in.fxr.---.---.---",input_data!$A:$A,0),11)</f>
        <v>452.7009828</v>
      </c>
      <c r="X278" s="118" t="n">
        <f aca="false">MAX(X277-INDEX(input_data!$L:$L,MATCH("all.in.bnk.frt.nit.---",input_data!$A:$A,0))*(1-INDEX(input_data!$M:$X,MATCH("all.in.cbf.---.---.---",input_data!$A:$A,0),12)),0)*INDEX(input_data!$M:$X,MATCH("all.in.ets.---.---.---",input_data!$A:$A,0),12)*INDEX(input_data!$M:$X,MATCH("all.in.act.---.---.---",input_data!$A:$A,0),12)*INDEX(input_data!$M:$X,MATCH("all.in.fxr.---.---.---",input_data!$A:$A,0),12)</f>
        <v>469.339352533333</v>
      </c>
    </row>
    <row r="279" customFormat="false" ht="15" hidden="false" customHeight="true" outlineLevel="0" collapsed="false">
      <c r="A279" s="73" t="str">
        <f aca="false">dashboard!$B$5&amp;".em.nh3.alu.prp.---"</f>
        <v>egy.em.nh3.alu.prp.---</v>
      </c>
      <c r="B279" s="73" t="str">
        <f aca="false">dashboard!$B$5</f>
        <v>egy</v>
      </c>
      <c r="C279" s="73" t="s">
        <v>3444</v>
      </c>
      <c r="D279" s="73" t="s">
        <v>727</v>
      </c>
      <c r="E279" s="73" t="s">
        <v>801</v>
      </c>
      <c r="F279" s="73" t="s">
        <v>802</v>
      </c>
      <c r="G279" s="73" t="s">
        <v>655</v>
      </c>
      <c r="H279" s="73" t="s">
        <v>3696</v>
      </c>
      <c r="I279" s="73" t="s">
        <v>3457</v>
      </c>
      <c r="J279" s="73" t="s">
        <v>3653</v>
      </c>
      <c r="K279" s="73"/>
      <c r="L279" s="73"/>
      <c r="M279" s="114" t="n">
        <f aca="false">INDEX(input_data!$L:$L,MATCH("all.in.nh3.alu.prp.---",input_data!$A:$A,0))*IFERROR((M153+M154+M155+M156)/M132,0)*M216</f>
        <v>0</v>
      </c>
      <c r="N279" s="114" t="n">
        <f aca="false">INDEX(input_data!$L:$L,MATCH("all.in.nh3.alu.prp.---",input_data!$A:$A,0))*IFERROR((N153+N154+N155+N156)/N132,0)*N216</f>
        <v>0</v>
      </c>
      <c r="O279" s="114" t="n">
        <f aca="false">INDEX(input_data!$L:$L,MATCH("all.in.nh3.alu.prp.---",input_data!$A:$A,0))*IFERROR((O153+O154+O155+O156)/O132,0)*O216</f>
        <v>0</v>
      </c>
      <c r="P279" s="114" t="n">
        <f aca="false">INDEX(input_data!$L:$L,MATCH("all.in.nh3.alu.prp.---",input_data!$A:$A,0))*IFERROR((P153+P154+P155+P156)/P132,0)*P216</f>
        <v>0</v>
      </c>
      <c r="Q279" s="114" t="n">
        <f aca="false">INDEX(input_data!$L:$L,MATCH("all.in.nh3.alu.prp.---",input_data!$A:$A,0))*IFERROR((Q153+Q154+Q155+Q156)/Q132,0)*Q216</f>
        <v>0</v>
      </c>
      <c r="R279" s="114" t="n">
        <f aca="false">INDEX(input_data!$L:$L,MATCH("all.in.nh3.alu.prp.---",input_data!$A:$A,0))*IFERROR((R153+R154+R155+R156)/R132,0)*R216</f>
        <v>0</v>
      </c>
      <c r="S279" s="114" t="n">
        <f aca="false">INDEX(input_data!$L:$L,MATCH("all.in.nh3.alu.prp.---",input_data!$A:$A,0))*IFERROR((S153+S154+S155+S156)/S132,0)*S216</f>
        <v>0</v>
      </c>
      <c r="T279" s="114" t="n">
        <f aca="false">INDEX(input_data!$L:$L,MATCH("all.in.nh3.alu.prp.---",input_data!$A:$A,0))*IFERROR((T153+T154+T155+T156)/T132,0)*T216</f>
        <v>0</v>
      </c>
      <c r="U279" s="114" t="n">
        <f aca="false">INDEX(input_data!$L:$L,MATCH("all.in.nh3.alu.prp.---",input_data!$A:$A,0))*IFERROR((U153+U154+U155+U156)/U132,0)*U216</f>
        <v>0</v>
      </c>
      <c r="V279" s="114" t="n">
        <f aca="false">INDEX(input_data!$L:$L,MATCH("all.in.nh3.alu.prp.---",input_data!$A:$A,0))*IFERROR((V153+V154+V155+V156)/V132,0)*V216</f>
        <v>0</v>
      </c>
      <c r="W279" s="114" t="n">
        <f aca="false">INDEX(input_data!$L:$L,MATCH("all.in.nh3.alu.prp.---",input_data!$A:$A,0))*IFERROR((W153+W154+W155+W156)/W132,0)*W216</f>
        <v>0</v>
      </c>
      <c r="X279" s="114" t="n">
        <f aca="false">INDEX(input_data!$L:$L,MATCH("all.in.nh3.alu.prp.---",input_data!$A:$A,0))*IFERROR((X153+X154+X155+X156)/X132,0)*X216</f>
        <v>0</v>
      </c>
    </row>
    <row r="280" customFormat="false" ht="15" hidden="false" customHeight="true" outlineLevel="0" collapsed="false">
      <c r="A280" s="73" t="str">
        <f aca="false">dashboard!$B$5&amp;".em.tot.alu.prp.---"</f>
        <v>egy.em.tot.alu.prp.---</v>
      </c>
      <c r="B280" s="73" t="str">
        <f aca="false">dashboard!$B$5</f>
        <v>egy</v>
      </c>
      <c r="C280" s="73" t="s">
        <v>3444</v>
      </c>
      <c r="D280" s="73" t="s">
        <v>3654</v>
      </c>
      <c r="E280" s="73" t="s">
        <v>801</v>
      </c>
      <c r="F280" s="73" t="s">
        <v>802</v>
      </c>
      <c r="G280" s="73" t="s">
        <v>655</v>
      </c>
      <c r="H280" s="73" t="s">
        <v>3697</v>
      </c>
      <c r="I280" s="73" t="s">
        <v>3457</v>
      </c>
      <c r="J280" s="73" t="s">
        <v>3656</v>
      </c>
      <c r="K280" s="73"/>
      <c r="L280" s="73"/>
      <c r="M280" s="115" t="n">
        <f aca="false">M237+M238+M239+M240+M241+M279</f>
        <v>2.80687133333333</v>
      </c>
      <c r="N280" s="115" t="n">
        <f aca="false">N237+N238+N239+N240+N241+N279</f>
        <v>2.88598683680664</v>
      </c>
      <c r="O280" s="115" t="n">
        <f aca="false">O237+O238+O239+O240+O241+O279</f>
        <v>2.96665126865874</v>
      </c>
      <c r="P280" s="115" t="n">
        <f aca="false">P237+P238+P239+P240+P241+P279</f>
        <v>3.04884867772484</v>
      </c>
      <c r="Q280" s="115" t="n">
        <f aca="false">Q237+Q238+Q239+Q240+Q241+Q279</f>
        <v>3.13255875016238</v>
      </c>
      <c r="R280" s="115" t="n">
        <f aca="false">R237+R238+R239+R240+R241+R279</f>
        <v>3.21775645815176</v>
      </c>
      <c r="S280" s="115" t="n">
        <f aca="false">S237+S238+S239+S240+S241+S279</f>
        <v>3.30441168620457</v>
      </c>
      <c r="T280" s="115" t="n">
        <f aca="false">T237+T238+T239+T240+T241+T279</f>
        <v>3.39248883379224</v>
      </c>
      <c r="U280" s="115" t="n">
        <f aca="false">U237+U238+U239+U240+U241+U279</f>
        <v>3.48194639293819</v>
      </c>
      <c r="V280" s="115" t="n">
        <f aca="false">V237+V238+V239+V240+V241+V279</f>
        <v>3.57273649934318</v>
      </c>
      <c r="W280" s="115" t="n">
        <f aca="false">W237+W238+W239+W240+W241+W279</f>
        <v>3.66480445553644</v>
      </c>
      <c r="X280" s="115" t="n">
        <f aca="false">X237+X238+X239+X240+X241+X279</f>
        <v>3.75808822446354</v>
      </c>
    </row>
    <row r="281" customFormat="false" ht="15" hidden="false" customHeight="true" outlineLevel="0" collapsed="false">
      <c r="A281" s="73" t="str">
        <f aca="false">dashboard!$B$5&amp;".cb.int.alu.prp.---"</f>
        <v>egy.cb.int.alu.prp.---</v>
      </c>
      <c r="B281" s="73" t="str">
        <f aca="false">dashboard!$B$5</f>
        <v>egy</v>
      </c>
      <c r="C281" s="73" t="s">
        <v>3657</v>
      </c>
      <c r="D281" s="73" t="s">
        <v>3658</v>
      </c>
      <c r="E281" s="73" t="s">
        <v>801</v>
      </c>
      <c r="F281" s="73" t="s">
        <v>802</v>
      </c>
      <c r="G281" s="73" t="s">
        <v>655</v>
      </c>
      <c r="H281" s="73" t="s">
        <v>3698</v>
      </c>
      <c r="I281" s="73" t="s">
        <v>955</v>
      </c>
      <c r="J281" s="73" t="s">
        <v>3660</v>
      </c>
      <c r="K281" s="73"/>
      <c r="L281" s="73"/>
      <c r="M281" s="116" t="n">
        <f aca="false">IFERROR(M280/M216,0)</f>
        <v>9.67886666666667</v>
      </c>
      <c r="N281" s="116" t="n">
        <f aca="false">IFERROR(N280/N216,0)</f>
        <v>9.53442222222222</v>
      </c>
      <c r="O281" s="116" t="n">
        <f aca="false">IFERROR(O280/O216,0)</f>
        <v>9.38997777777778</v>
      </c>
      <c r="P281" s="116" t="n">
        <f aca="false">IFERROR(P280/P216,0)</f>
        <v>9.24553333333333</v>
      </c>
      <c r="Q281" s="116" t="n">
        <f aca="false">IFERROR(Q280/Q216,0)</f>
        <v>9.10108888888889</v>
      </c>
      <c r="R281" s="116" t="n">
        <f aca="false">IFERROR(R280/R216,0)</f>
        <v>8.95664444444445</v>
      </c>
      <c r="S281" s="116" t="n">
        <f aca="false">IFERROR(S280/S216,0)</f>
        <v>8.8122</v>
      </c>
      <c r="T281" s="116" t="n">
        <f aca="false">IFERROR(T280/T216,0)</f>
        <v>8.66775555555556</v>
      </c>
      <c r="U281" s="116" t="n">
        <f aca="false">IFERROR(U280/U216,0)</f>
        <v>8.52331111111111</v>
      </c>
      <c r="V281" s="116" t="n">
        <f aca="false">IFERROR(V280/V216,0)</f>
        <v>8.37886666666667</v>
      </c>
      <c r="W281" s="116" t="n">
        <f aca="false">IFERROR(W280/W216,0)</f>
        <v>8.23442222222222</v>
      </c>
      <c r="X281" s="116" t="n">
        <f aca="false">IFERROR(X280/X216,0)</f>
        <v>8.08997777777778</v>
      </c>
    </row>
    <row r="282" customFormat="false" ht="15" hidden="false" customHeight="true" outlineLevel="0" collapsed="false">
      <c r="A282" s="73" t="str">
        <f aca="false">dashboard!$B$5&amp;".cb.mrv.alu.prp.---"</f>
        <v>egy.cb.mrv.alu.prp.---</v>
      </c>
      <c r="B282" s="73" t="str">
        <f aca="false">dashboard!$B$5</f>
        <v>egy</v>
      </c>
      <c r="C282" s="73" t="s">
        <v>3657</v>
      </c>
      <c r="D282" s="73" t="s">
        <v>814</v>
      </c>
      <c r="E282" s="73" t="s">
        <v>801</v>
      </c>
      <c r="F282" s="73" t="s">
        <v>802</v>
      </c>
      <c r="G282" s="73" t="s">
        <v>655</v>
      </c>
      <c r="H282" s="73" t="s">
        <v>3699</v>
      </c>
      <c r="I282" s="73" t="s">
        <v>955</v>
      </c>
      <c r="J282" s="73" t="s">
        <v>3662</v>
      </c>
      <c r="K282" s="73"/>
      <c r="L282" s="73"/>
      <c r="M282" s="117" t="n">
        <f aca="false">IFERROR(IF(INDEX(input_data!$L:$L,MATCH("all.in.mrv.alu.prp.---",input_data!$A:$A,0))=1,((M280-M241*(1-INDEX(input_data!$L:$L,MATCH("all.in.cs2.alu.prp.---",input_data!$A:$A,0))))/M216),INDEX(input_data!$L:$L,MATCH("all.in.dfv.alu.prp.---",input_data!$A:$A,0))),0)</f>
        <v>2.3122</v>
      </c>
      <c r="N282" s="117" t="n">
        <f aca="false">IFERROR(IF(INDEX(input_data!$L:$L,MATCH("all.in.mrv.alu.prp.---",input_data!$A:$A,0))=1,((N280-N241*(1-INDEX(input_data!$L:$L,MATCH("all.in.cs2.alu.prp.---",input_data!$A:$A,0))))/N216),INDEX(input_data!$L:$L,MATCH("all.in.dfv.alu.prp.---",input_data!$A:$A,0))),0)</f>
        <v>2.3122</v>
      </c>
      <c r="O282" s="117" t="n">
        <f aca="false">IFERROR(IF(INDEX(input_data!$L:$L,MATCH("all.in.mrv.alu.prp.---",input_data!$A:$A,0))=1,((O280-O241*(1-INDEX(input_data!$L:$L,MATCH("all.in.cs2.alu.prp.---",input_data!$A:$A,0))))/O216),INDEX(input_data!$L:$L,MATCH("all.in.dfv.alu.prp.---",input_data!$A:$A,0))),0)</f>
        <v>2.3122</v>
      </c>
      <c r="P282" s="117" t="n">
        <f aca="false">IFERROR(IF(INDEX(input_data!$L:$L,MATCH("all.in.mrv.alu.prp.---",input_data!$A:$A,0))=1,((P280-P241*(1-INDEX(input_data!$L:$L,MATCH("all.in.cs2.alu.prp.---",input_data!$A:$A,0))))/P216),INDEX(input_data!$L:$L,MATCH("all.in.dfv.alu.prp.---",input_data!$A:$A,0))),0)</f>
        <v>2.3122</v>
      </c>
      <c r="Q282" s="117" t="n">
        <f aca="false">IFERROR(IF(INDEX(input_data!$L:$L,MATCH("all.in.mrv.alu.prp.---",input_data!$A:$A,0))=1,((Q280-Q241*(1-INDEX(input_data!$L:$L,MATCH("all.in.cs2.alu.prp.---",input_data!$A:$A,0))))/Q216),INDEX(input_data!$L:$L,MATCH("all.in.dfv.alu.prp.---",input_data!$A:$A,0))),0)</f>
        <v>2.3122</v>
      </c>
      <c r="R282" s="117" t="n">
        <f aca="false">IFERROR(IF(INDEX(input_data!$L:$L,MATCH("all.in.mrv.alu.prp.---",input_data!$A:$A,0))=1,((R280-R241*(1-INDEX(input_data!$L:$L,MATCH("all.in.cs2.alu.prp.---",input_data!$A:$A,0))))/R216),INDEX(input_data!$L:$L,MATCH("all.in.dfv.alu.prp.---",input_data!$A:$A,0))),0)</f>
        <v>2.3122</v>
      </c>
      <c r="S282" s="117" t="n">
        <f aca="false">IFERROR(IF(INDEX(input_data!$L:$L,MATCH("all.in.mrv.alu.prp.---",input_data!$A:$A,0))=1,((S280-S241*(1-INDEX(input_data!$L:$L,MATCH("all.in.cs2.alu.prp.---",input_data!$A:$A,0))))/S216),INDEX(input_data!$L:$L,MATCH("all.in.dfv.alu.prp.---",input_data!$A:$A,0))),0)</f>
        <v>2.3122</v>
      </c>
      <c r="T282" s="117" t="n">
        <f aca="false">IFERROR(IF(INDEX(input_data!$L:$L,MATCH("all.in.mrv.alu.prp.---",input_data!$A:$A,0))=1,((T280-T241*(1-INDEX(input_data!$L:$L,MATCH("all.in.cs2.alu.prp.---",input_data!$A:$A,0))))/T216),INDEX(input_data!$L:$L,MATCH("all.in.dfv.alu.prp.---",input_data!$A:$A,0))),0)</f>
        <v>2.3122</v>
      </c>
      <c r="U282" s="117" t="n">
        <f aca="false">IFERROR(IF(INDEX(input_data!$L:$L,MATCH("all.in.mrv.alu.prp.---",input_data!$A:$A,0))=1,((U280-U241*(1-INDEX(input_data!$L:$L,MATCH("all.in.cs2.alu.prp.---",input_data!$A:$A,0))))/U216),INDEX(input_data!$L:$L,MATCH("all.in.dfv.alu.prp.---",input_data!$A:$A,0))),0)</f>
        <v>2.3122</v>
      </c>
      <c r="V282" s="117" t="n">
        <f aca="false">IFERROR(IF(INDEX(input_data!$L:$L,MATCH("all.in.mrv.alu.prp.---",input_data!$A:$A,0))=1,((V280-V241*(1-INDEX(input_data!$L:$L,MATCH("all.in.cs2.alu.prp.---",input_data!$A:$A,0))))/V216),INDEX(input_data!$L:$L,MATCH("all.in.dfv.alu.prp.---",input_data!$A:$A,0))),0)</f>
        <v>2.3122</v>
      </c>
      <c r="W282" s="117" t="n">
        <f aca="false">IFERROR(IF(INDEX(input_data!$L:$L,MATCH("all.in.mrv.alu.prp.---",input_data!$A:$A,0))=1,((W280-W241*(1-INDEX(input_data!$L:$L,MATCH("all.in.cs2.alu.prp.---",input_data!$A:$A,0))))/W216),INDEX(input_data!$L:$L,MATCH("all.in.dfv.alu.prp.---",input_data!$A:$A,0))),0)</f>
        <v>2.3122</v>
      </c>
      <c r="X282" s="117" t="n">
        <f aca="false">IFERROR(IF(INDEX(input_data!$L:$L,MATCH("all.in.mrv.alu.prp.---",input_data!$A:$A,0))=1,((X280-X241*(1-INDEX(input_data!$L:$L,MATCH("all.in.cs2.alu.prp.---",input_data!$A:$A,0))))/X216),INDEX(input_data!$L:$L,MATCH("all.in.dfv.alu.prp.---",input_data!$A:$A,0))),0)</f>
        <v>2.3122</v>
      </c>
    </row>
    <row r="283" customFormat="false" ht="15" hidden="false" customHeight="true" outlineLevel="0" collapsed="false">
      <c r="A283" s="73" t="str">
        <f aca="false">dashboard!$B$5&amp;".cb.obl.alu.prp.---"</f>
        <v>egy.cb.obl.alu.prp.---</v>
      </c>
      <c r="B283" s="73" t="str">
        <f aca="false">dashboard!$B$5</f>
        <v>egy</v>
      </c>
      <c r="C283" s="73" t="s">
        <v>3657</v>
      </c>
      <c r="D283" s="73" t="s">
        <v>3663</v>
      </c>
      <c r="E283" s="73" t="s">
        <v>801</v>
      </c>
      <c r="F283" s="73" t="s">
        <v>802</v>
      </c>
      <c r="G283" s="73" t="s">
        <v>655</v>
      </c>
      <c r="H283" s="73" t="s">
        <v>3700</v>
      </c>
      <c r="I283" s="73" t="s">
        <v>718</v>
      </c>
      <c r="J283" s="73" t="s">
        <v>3665</v>
      </c>
      <c r="K283" s="73"/>
      <c r="L283" s="73"/>
      <c r="M283" s="118" t="n">
        <f aca="false">MAX(M282-INDEX(input_data!$L:$L,MATCH("all.in.bnk.alu.prp.---",input_data!$A:$A,0))*(1-INDEX(input_data!$M:$X,MATCH("all.in.cbf.---.---.---",input_data!$A:$A,0),1)),0)*INDEX(input_data!$M:$X,MATCH("all.in.ets.---.---.---",input_data!$A:$A,0),1)*INDEX(input_data!$M:$X,MATCH("all.in.act.---.---.---",input_data!$A:$A,0),1)*INDEX(input_data!$M:$X,MATCH("all.in.fxr.---.---.---",input_data!$A:$A,0),1)</f>
        <v>0</v>
      </c>
      <c r="N283" s="118" t="n">
        <f aca="false">MAX(N282-INDEX(input_data!$L:$L,MATCH("all.in.bnk.alu.prp.---",input_data!$A:$A,0))*(1-INDEX(input_data!$M:$X,MATCH("all.in.cbf.---.---.---",input_data!$A:$A,0),2)),0)*INDEX(input_data!$M:$X,MATCH("all.in.ets.---.---.---",input_data!$A:$A,0),2)*INDEX(input_data!$M:$X,MATCH("all.in.act.---.---.---",input_data!$A:$A,0),2)*INDEX(input_data!$M:$X,MATCH("all.in.fxr.---.---.---",input_data!$A:$A,0),2)</f>
        <v>0</v>
      </c>
      <c r="O283" s="118" t="n">
        <f aca="false">MAX(O282-INDEX(input_data!$L:$L,MATCH("all.in.bnk.alu.prp.---",input_data!$A:$A,0))*(1-INDEX(input_data!$M:$X,MATCH("all.in.cbf.---.---.---",input_data!$A:$A,0),3)),0)*INDEX(input_data!$M:$X,MATCH("all.in.ets.---.---.---",input_data!$A:$A,0),3)*INDEX(input_data!$M:$X,MATCH("all.in.act.---.---.---",input_data!$A:$A,0),3)*INDEX(input_data!$M:$X,MATCH("all.in.fxr.---.---.---",input_data!$A:$A,0),3)</f>
        <v>101.72525</v>
      </c>
      <c r="P283" s="118" t="n">
        <f aca="false">MAX(P282-INDEX(input_data!$L:$L,MATCH("all.in.bnk.alu.prp.---",input_data!$A:$A,0))*(1-INDEX(input_data!$M:$X,MATCH("all.in.cbf.---.---.---",input_data!$A:$A,0),4)),0)*INDEX(input_data!$M:$X,MATCH("all.in.ets.---.---.---",input_data!$A:$A,0),4)*INDEX(input_data!$M:$X,MATCH("all.in.act.---.---.---",input_data!$A:$A,0),4)*INDEX(input_data!$M:$X,MATCH("all.in.fxr.---.---.---",input_data!$A:$A,0),4)</f>
        <v>110.920425</v>
      </c>
      <c r="Q283" s="118" t="n">
        <f aca="false">MAX(Q282-INDEX(input_data!$L:$L,MATCH("all.in.bnk.alu.prp.---",input_data!$A:$A,0))*(1-INDEX(input_data!$M:$X,MATCH("all.in.cbf.---.---.---",input_data!$A:$A,0),5)),0)*INDEX(input_data!$M:$X,MATCH("all.in.ets.---.---.---",input_data!$A:$A,0),5)*INDEX(input_data!$M:$X,MATCH("all.in.act.---.---.---",input_data!$A:$A,0),5)*INDEX(input_data!$M:$X,MATCH("all.in.fxr.---.---.---",input_data!$A:$A,0),5)</f>
        <v>124.8115</v>
      </c>
      <c r="R283" s="118" t="n">
        <f aca="false">MAX(R282-INDEX(input_data!$L:$L,MATCH("all.in.bnk.alu.prp.---",input_data!$A:$A,0))*(1-INDEX(input_data!$M:$X,MATCH("all.in.cbf.---.---.---",input_data!$A:$A,0),6)),0)*INDEX(input_data!$M:$X,MATCH("all.in.ets.---.---.---",input_data!$A:$A,0),6)*INDEX(input_data!$M:$X,MATCH("all.in.act.---.---.---",input_data!$A:$A,0),6)*INDEX(input_data!$M:$X,MATCH("all.in.fxr.---.---.---",input_data!$A:$A,0),6)</f>
        <v>146.334375</v>
      </c>
      <c r="S283" s="118" t="n">
        <f aca="false">MAX(S282-INDEX(input_data!$L:$L,MATCH("all.in.bnk.alu.prp.---",input_data!$A:$A,0))*(1-INDEX(input_data!$M:$X,MATCH("all.in.cbf.---.---.---",input_data!$A:$A,0),7)),0)*INDEX(input_data!$M:$X,MATCH("all.in.ets.---.---.---",input_data!$A:$A,0),7)*INDEX(input_data!$M:$X,MATCH("all.in.act.---.---.---",input_data!$A:$A,0),7)*INDEX(input_data!$M:$X,MATCH("all.in.fxr.---.---.---",input_data!$A:$A,0),7)</f>
        <v>199.7884075</v>
      </c>
      <c r="T283" s="118" t="n">
        <f aca="false">MAX(T282-INDEX(input_data!$L:$L,MATCH("all.in.bnk.alu.prp.---",input_data!$A:$A,0))*(1-INDEX(input_data!$M:$X,MATCH("all.in.cbf.---.---.---",input_data!$A:$A,0),8)),0)*INDEX(input_data!$M:$X,MATCH("all.in.ets.---.---.---",input_data!$A:$A,0),8)*INDEX(input_data!$M:$X,MATCH("all.in.act.---.---.---",input_data!$A:$A,0),8)*INDEX(input_data!$M:$X,MATCH("all.in.fxr.---.---.---",input_data!$A:$A,0),8)</f>
        <v>231.95436</v>
      </c>
      <c r="U283" s="118" t="n">
        <f aca="false">MAX(U282-INDEX(input_data!$L:$L,MATCH("all.in.bnk.alu.prp.---",input_data!$A:$A,0))*(1-INDEX(input_data!$M:$X,MATCH("all.in.cbf.---.---.---",input_data!$A:$A,0),9)),0)*INDEX(input_data!$M:$X,MATCH("all.in.ets.---.---.---",input_data!$A:$A,0),9)*INDEX(input_data!$M:$X,MATCH("all.in.act.---.---.---",input_data!$A:$A,0),9)*INDEX(input_data!$M:$X,MATCH("all.in.fxr.---.---.---",input_data!$A:$A,0),9)</f>
        <v>266.0769375</v>
      </c>
      <c r="V283" s="118" t="n">
        <f aca="false">MAX(V282-INDEX(input_data!$L:$L,MATCH("all.in.bnk.alu.prp.---",input_data!$A:$A,0))*(1-INDEX(input_data!$M:$X,MATCH("all.in.cbf.---.---.---",input_data!$A:$A,0),10)),0)*INDEX(input_data!$M:$X,MATCH("all.in.ets.---.---.---",input_data!$A:$A,0),10)*INDEX(input_data!$M:$X,MATCH("all.in.act.---.---.---",input_data!$A:$A,0),10)*INDEX(input_data!$M:$X,MATCH("all.in.fxr.---.---.---",input_data!$A:$A,0),10)</f>
        <v>302.15614</v>
      </c>
      <c r="W283" s="118" t="n">
        <f aca="false">MAX(W282-INDEX(input_data!$L:$L,MATCH("all.in.bnk.alu.prp.---",input_data!$A:$A,0))*(1-INDEX(input_data!$M:$X,MATCH("all.in.cbf.---.---.---",input_data!$A:$A,0),11)),0)*INDEX(input_data!$M:$X,MATCH("all.in.ets.---.---.---",input_data!$A:$A,0),11)*INDEX(input_data!$M:$X,MATCH("all.in.act.---.---.---",input_data!$A:$A,0),11)*INDEX(input_data!$M:$X,MATCH("all.in.fxr.---.---.---",input_data!$A:$A,0),11)</f>
        <v>343.3617</v>
      </c>
      <c r="X283" s="118" t="n">
        <f aca="false">MAX(X282-INDEX(input_data!$L:$L,MATCH("all.in.bnk.alu.prp.---",input_data!$A:$A,0))*(1-INDEX(input_data!$M:$X,MATCH("all.in.cbf.---.---.---",input_data!$A:$A,0),12)),0)*INDEX(input_data!$M:$X,MATCH("all.in.ets.---.---.---",input_data!$A:$A,0),12)*INDEX(input_data!$M:$X,MATCH("all.in.act.---.---.---",input_data!$A:$A,0),12)*INDEX(input_data!$M:$X,MATCH("all.in.fxr.---.---.---",input_data!$A:$A,0),12)</f>
        <v>356.0788</v>
      </c>
    </row>
    <row r="285" customFormat="false" ht="21.75" hidden="false" customHeight="true" outlineLevel="0" collapsed="false">
      <c r="A285" s="70" t="s">
        <v>3701</v>
      </c>
      <c r="B285" s="70"/>
      <c r="C285" s="70"/>
      <c r="D285" s="70"/>
      <c r="E285" s="70"/>
      <c r="F285" s="70"/>
      <c r="G285" s="70"/>
      <c r="H285" s="70"/>
      <c r="I285" s="70"/>
      <c r="J285" s="70"/>
      <c r="K285" s="70"/>
      <c r="L285" s="70"/>
      <c r="M285" s="70"/>
      <c r="N285" s="70"/>
      <c r="O285" s="70"/>
      <c r="P285" s="70"/>
      <c r="Q285" s="70"/>
      <c r="R285" s="70"/>
      <c r="S285" s="70"/>
      <c r="T285" s="70"/>
      <c r="U285" s="70"/>
      <c r="V285" s="70"/>
      <c r="W285" s="70"/>
      <c r="X285" s="70"/>
    </row>
    <row r="286" customFormat="false" ht="15" hidden="false" customHeight="true" outlineLevel="0" collapsed="false">
      <c r="A286" s="108" t="str">
        <f aca="false">dashboard!$B$5&amp;".pj.prd.stl.oth.---"</f>
        <v>egy.pj.prd.stl.oth.---</v>
      </c>
      <c r="B286" s="108" t="str">
        <f aca="false">dashboard!$B$5</f>
        <v>egy</v>
      </c>
      <c r="C286" s="108" t="s">
        <v>3401</v>
      </c>
      <c r="D286" s="108" t="s">
        <v>3412</v>
      </c>
      <c r="E286" s="108" t="s">
        <v>705</v>
      </c>
      <c r="F286" s="108" t="s">
        <v>2863</v>
      </c>
      <c r="G286" s="108" t="s">
        <v>655</v>
      </c>
      <c r="H286" s="108" t="s">
        <v>3702</v>
      </c>
      <c r="I286" s="108" t="s">
        <v>869</v>
      </c>
      <c r="J286" s="108" t="s">
        <v>3703</v>
      </c>
      <c r="K286" s="108"/>
      <c r="L286" s="108"/>
      <c r="M286" s="119" t="n">
        <f aca="false">IFERROR(INDEX(input_data!$L:$L,MATCH(dashboard!$B$5&amp;".in.prb.stl.oth.---",input_data!$A:$A,0))*POWER(M7,INDEX(input_data!$L:$L,MATCH(dashboard!$B$5&amp;".in.els.stl.oth.---",input_data!$A:$A,0))),0)</f>
        <v>0.2</v>
      </c>
      <c r="N286" s="119" t="n">
        <f aca="false">IFERROR(INDEX(input_data!$L:$L,MATCH(dashboard!$B$5&amp;".in.prb.stl.oth.---",input_data!$A:$A,0))*POWER(N7,INDEX(input_data!$L:$L,MATCH(dashboard!$B$5&amp;".in.els.stl.oth.---",input_data!$A:$A,0))),0)</f>
        <v>0.211</v>
      </c>
      <c r="O286" s="119" t="n">
        <f aca="false">IFERROR(INDEX(input_data!$L:$L,MATCH(dashboard!$B$5&amp;".in.prb.stl.oth.---",input_data!$A:$A,0))*POWER(O7,INDEX(input_data!$L:$L,MATCH(dashboard!$B$5&amp;".in.els.stl.oth.---",input_data!$A:$A,0))),0)</f>
        <v>0.222605</v>
      </c>
      <c r="P286" s="119" t="n">
        <f aca="false">IFERROR(INDEX(input_data!$L:$L,MATCH(dashboard!$B$5&amp;".in.prb.stl.oth.---",input_data!$A:$A,0))*POWER(P7,INDEX(input_data!$L:$L,MATCH(dashboard!$B$5&amp;".in.els.stl.oth.---",input_data!$A:$A,0))),0)</f>
        <v>0.234848275</v>
      </c>
      <c r="Q286" s="119" t="n">
        <f aca="false">IFERROR(INDEX(input_data!$L:$L,MATCH(dashboard!$B$5&amp;".in.prb.stl.oth.---",input_data!$A:$A,0))*POWER(Q7,INDEX(input_data!$L:$L,MATCH(dashboard!$B$5&amp;".in.els.stl.oth.---",input_data!$A:$A,0))),0)</f>
        <v>0.247764930125</v>
      </c>
      <c r="R286" s="119" t="n">
        <f aca="false">IFERROR(INDEX(input_data!$L:$L,MATCH(dashboard!$B$5&amp;".in.prb.stl.oth.---",input_data!$A:$A,0))*POWER(R7,INDEX(input_data!$L:$L,MATCH(dashboard!$B$5&amp;".in.els.stl.oth.---",input_data!$A:$A,0))),0)</f>
        <v>0.261392001281875</v>
      </c>
      <c r="S286" s="119" t="n">
        <f aca="false">IFERROR(INDEX(input_data!$L:$L,MATCH(dashboard!$B$5&amp;".in.prb.stl.oth.---",input_data!$A:$A,0))*POWER(S7,INDEX(input_data!$L:$L,MATCH(dashboard!$B$5&amp;".in.els.stl.oth.---",input_data!$A:$A,0))),0)</f>
        <v>0.275768561352378</v>
      </c>
      <c r="T286" s="119" t="n">
        <f aca="false">IFERROR(INDEX(input_data!$L:$L,MATCH(dashboard!$B$5&amp;".in.prb.stl.oth.---",input_data!$A:$A,0))*POWER(T7,INDEX(input_data!$L:$L,MATCH(dashboard!$B$5&amp;".in.els.stl.oth.---",input_data!$A:$A,0))),0)</f>
        <v>0.290935832226759</v>
      </c>
      <c r="U286" s="119" t="n">
        <f aca="false">IFERROR(INDEX(input_data!$L:$L,MATCH(dashboard!$B$5&amp;".in.prb.stl.oth.---",input_data!$A:$A,0))*POWER(U7,INDEX(input_data!$L:$L,MATCH(dashboard!$B$5&amp;".in.els.stl.oth.---",input_data!$A:$A,0))),0)</f>
        <v>0.306937302999231</v>
      </c>
      <c r="V286" s="119" t="n">
        <f aca="false">IFERROR(INDEX(input_data!$L:$L,MATCH(dashboard!$B$5&amp;".in.prb.stl.oth.---",input_data!$A:$A,0))*POWER(V7,INDEX(input_data!$L:$L,MATCH(dashboard!$B$5&amp;".in.els.stl.oth.---",input_data!$A:$A,0))),0)</f>
        <v>0.323818854664188</v>
      </c>
      <c r="W286" s="119" t="n">
        <f aca="false">IFERROR(INDEX(input_data!$L:$L,MATCH(dashboard!$B$5&amp;".in.prb.stl.oth.---",input_data!$A:$A,0))*POWER(W7,INDEX(input_data!$L:$L,MATCH(dashboard!$B$5&amp;".in.els.stl.oth.---",input_data!$A:$A,0))),0)</f>
        <v>0.341628891670719</v>
      </c>
      <c r="X286" s="119" t="n">
        <f aca="false">IFERROR(INDEX(input_data!$L:$L,MATCH(dashboard!$B$5&amp;".in.prb.stl.oth.---",input_data!$A:$A,0))*POWER(X7,INDEX(input_data!$L:$L,MATCH(dashboard!$B$5&amp;".in.els.stl.oth.---",input_data!$A:$A,0))),0)</f>
        <v>0.360418480712608</v>
      </c>
    </row>
    <row r="287" customFormat="false" ht="15" hidden="false" customHeight="true" outlineLevel="0" collapsed="false">
      <c r="A287" s="108" t="str">
        <f aca="false">dashboard!$B$5&amp;".pj.eux.stl.oth.---"</f>
        <v>egy.pj.eux.stl.oth.---</v>
      </c>
      <c r="B287" s="108" t="str">
        <f aca="false">dashboard!$B$5</f>
        <v>egy</v>
      </c>
      <c r="C287" s="108" t="s">
        <v>3401</v>
      </c>
      <c r="D287" s="108" t="s">
        <v>3415</v>
      </c>
      <c r="E287" s="108" t="s">
        <v>705</v>
      </c>
      <c r="F287" s="108" t="s">
        <v>2863</v>
      </c>
      <c r="G287" s="108" t="s">
        <v>655</v>
      </c>
      <c r="H287" s="108" t="s">
        <v>3704</v>
      </c>
      <c r="I287" s="108" t="s">
        <v>869</v>
      </c>
      <c r="J287" s="108" t="s">
        <v>3705</v>
      </c>
      <c r="K287" s="108"/>
      <c r="L287" s="108"/>
      <c r="M287" s="119" t="n">
        <f aca="false">M286*INDEX(input_data!$L:$L,MATCH(dashboard!$B$5&amp;".in.exe.stl.oth.---",input_data!$A:$A,0))</f>
        <v>0.004</v>
      </c>
      <c r="N287" s="119" t="n">
        <f aca="false">N286*INDEX(input_data!$L:$L,MATCH(dashboard!$B$5&amp;".in.exe.stl.oth.---",input_data!$A:$A,0))</f>
        <v>0.00422</v>
      </c>
      <c r="O287" s="119" t="n">
        <f aca="false">O286*INDEX(input_data!$L:$L,MATCH(dashboard!$B$5&amp;".in.exe.stl.oth.---",input_data!$A:$A,0))</f>
        <v>0.0044521</v>
      </c>
      <c r="P287" s="119" t="n">
        <f aca="false">P286*INDEX(input_data!$L:$L,MATCH(dashboard!$B$5&amp;".in.exe.stl.oth.---",input_data!$A:$A,0))</f>
        <v>0.0046969655</v>
      </c>
      <c r="Q287" s="119" t="n">
        <f aca="false">Q286*INDEX(input_data!$L:$L,MATCH(dashboard!$B$5&amp;".in.exe.stl.oth.---",input_data!$A:$A,0))</f>
        <v>0.0049552986025</v>
      </c>
      <c r="R287" s="119" t="n">
        <f aca="false">R286*INDEX(input_data!$L:$L,MATCH(dashboard!$B$5&amp;".in.exe.stl.oth.---",input_data!$A:$A,0))</f>
        <v>0.0052278400256375</v>
      </c>
      <c r="S287" s="119" t="n">
        <f aca="false">S286*INDEX(input_data!$L:$L,MATCH(dashboard!$B$5&amp;".in.exe.stl.oth.---",input_data!$A:$A,0))</f>
        <v>0.00551537122704756</v>
      </c>
      <c r="T287" s="119" t="n">
        <f aca="false">T286*INDEX(input_data!$L:$L,MATCH(dashboard!$B$5&amp;".in.exe.stl.oth.---",input_data!$A:$A,0))</f>
        <v>0.00581871664453518</v>
      </c>
      <c r="U287" s="119" t="n">
        <f aca="false">U286*INDEX(input_data!$L:$L,MATCH(dashboard!$B$5&amp;".in.exe.stl.oth.---",input_data!$A:$A,0))</f>
        <v>0.00613874605998461</v>
      </c>
      <c r="V287" s="119" t="n">
        <f aca="false">V286*INDEX(input_data!$L:$L,MATCH(dashboard!$B$5&amp;".in.exe.stl.oth.---",input_data!$A:$A,0))</f>
        <v>0.00647637709328377</v>
      </c>
      <c r="W287" s="119" t="n">
        <f aca="false">W286*INDEX(input_data!$L:$L,MATCH(dashboard!$B$5&amp;".in.exe.stl.oth.---",input_data!$A:$A,0))</f>
        <v>0.00683257783341437</v>
      </c>
      <c r="X287" s="119" t="n">
        <f aca="false">X286*INDEX(input_data!$L:$L,MATCH(dashboard!$B$5&amp;".in.exe.stl.oth.---",input_data!$A:$A,0))</f>
        <v>0.00720836961425216</v>
      </c>
    </row>
    <row r="288" customFormat="false" ht="15" hidden="false" customHeight="true" outlineLevel="0" collapsed="false">
      <c r="A288" s="108" t="str">
        <f aca="false">dashboard!$B$5&amp;".pj.nex.stl.oth.---"</f>
        <v>egy.pj.nex.stl.oth.---</v>
      </c>
      <c r="B288" s="108" t="str">
        <f aca="false">dashboard!$B$5</f>
        <v>egy</v>
      </c>
      <c r="C288" s="108" t="s">
        <v>3401</v>
      </c>
      <c r="D288" s="108" t="s">
        <v>3418</v>
      </c>
      <c r="E288" s="108" t="s">
        <v>705</v>
      </c>
      <c r="F288" s="108" t="s">
        <v>2863</v>
      </c>
      <c r="G288" s="108" t="s">
        <v>655</v>
      </c>
      <c r="H288" s="108" t="s">
        <v>3706</v>
      </c>
      <c r="I288" s="108" t="s">
        <v>869</v>
      </c>
      <c r="J288" s="108" t="s">
        <v>3707</v>
      </c>
      <c r="K288" s="108"/>
      <c r="L288" s="108"/>
      <c r="M288" s="119" t="n">
        <f aca="false">M286*(INDEX(input_data!$L:$L,MATCH(dashboard!$B$5&amp;".in.ext.stl.oth.---",input_data!$A:$A,0))-INDEX(input_data!$L:$L,MATCH(dashboard!$B$5&amp;".in.exe.stl.oth.---",input_data!$A:$A,0)))</f>
        <v>0.006</v>
      </c>
      <c r="N288" s="119" t="n">
        <f aca="false">N286*(INDEX(input_data!$L:$L,MATCH(dashboard!$B$5&amp;".in.ext.stl.oth.---",input_data!$A:$A,0))-INDEX(input_data!$L:$L,MATCH(dashboard!$B$5&amp;".in.exe.stl.oth.---",input_data!$A:$A,0)))</f>
        <v>0.00633</v>
      </c>
      <c r="O288" s="119" t="n">
        <f aca="false">O286*(INDEX(input_data!$L:$L,MATCH(dashboard!$B$5&amp;".in.ext.stl.oth.---",input_data!$A:$A,0))-INDEX(input_data!$L:$L,MATCH(dashboard!$B$5&amp;".in.exe.stl.oth.---",input_data!$A:$A,0)))</f>
        <v>0.00667815</v>
      </c>
      <c r="P288" s="119" t="n">
        <f aca="false">P286*(INDEX(input_data!$L:$L,MATCH(dashboard!$B$5&amp;".in.ext.stl.oth.---",input_data!$A:$A,0))-INDEX(input_data!$L:$L,MATCH(dashboard!$B$5&amp;".in.exe.stl.oth.---",input_data!$A:$A,0)))</f>
        <v>0.00704544825</v>
      </c>
      <c r="Q288" s="119" t="n">
        <f aca="false">Q286*(INDEX(input_data!$L:$L,MATCH(dashboard!$B$5&amp;".in.ext.stl.oth.---",input_data!$A:$A,0))-INDEX(input_data!$L:$L,MATCH(dashboard!$B$5&amp;".in.exe.stl.oth.---",input_data!$A:$A,0)))</f>
        <v>0.00743294790375</v>
      </c>
      <c r="R288" s="119" t="n">
        <f aca="false">R286*(INDEX(input_data!$L:$L,MATCH(dashboard!$B$5&amp;".in.ext.stl.oth.---",input_data!$A:$A,0))-INDEX(input_data!$L:$L,MATCH(dashboard!$B$5&amp;".in.exe.stl.oth.---",input_data!$A:$A,0)))</f>
        <v>0.00784176003845625</v>
      </c>
      <c r="S288" s="119" t="n">
        <f aca="false">S286*(INDEX(input_data!$L:$L,MATCH(dashboard!$B$5&amp;".in.ext.stl.oth.---",input_data!$A:$A,0))-INDEX(input_data!$L:$L,MATCH(dashboard!$B$5&amp;".in.exe.stl.oth.---",input_data!$A:$A,0)))</f>
        <v>0.00827305684057134</v>
      </c>
      <c r="T288" s="119" t="n">
        <f aca="false">T286*(INDEX(input_data!$L:$L,MATCH(dashboard!$B$5&amp;".in.ext.stl.oth.---",input_data!$A:$A,0))-INDEX(input_data!$L:$L,MATCH(dashboard!$B$5&amp;".in.exe.stl.oth.---",input_data!$A:$A,0)))</f>
        <v>0.00872807496680277</v>
      </c>
      <c r="U288" s="119" t="n">
        <f aca="false">U286*(INDEX(input_data!$L:$L,MATCH(dashboard!$B$5&amp;".in.ext.stl.oth.---",input_data!$A:$A,0))-INDEX(input_data!$L:$L,MATCH(dashboard!$B$5&amp;".in.exe.stl.oth.---",input_data!$A:$A,0)))</f>
        <v>0.00920811908997692</v>
      </c>
      <c r="V288" s="119" t="n">
        <f aca="false">V286*(INDEX(input_data!$L:$L,MATCH(dashboard!$B$5&amp;".in.ext.stl.oth.---",input_data!$A:$A,0))-INDEX(input_data!$L:$L,MATCH(dashboard!$B$5&amp;".in.exe.stl.oth.---",input_data!$A:$A,0)))</f>
        <v>0.00971456563992565</v>
      </c>
      <c r="W288" s="119" t="n">
        <f aca="false">W286*(INDEX(input_data!$L:$L,MATCH(dashboard!$B$5&amp;".in.ext.stl.oth.---",input_data!$A:$A,0))-INDEX(input_data!$L:$L,MATCH(dashboard!$B$5&amp;".in.exe.stl.oth.---",input_data!$A:$A,0)))</f>
        <v>0.0102488667501216</v>
      </c>
      <c r="X288" s="119" t="n">
        <f aca="false">X286*(INDEX(input_data!$L:$L,MATCH(dashboard!$B$5&amp;".in.ext.stl.oth.---",input_data!$A:$A,0))-INDEX(input_data!$L:$L,MATCH(dashboard!$B$5&amp;".in.exe.stl.oth.---",input_data!$A:$A,0)))</f>
        <v>0.0108125544213782</v>
      </c>
    </row>
    <row r="289" customFormat="false" ht="15" hidden="false" customHeight="true" outlineLevel="0" collapsed="false">
      <c r="A289" s="108" t="str">
        <f aca="false">dashboard!$B$5&amp;".pj.dom.stl.oth.---"</f>
        <v>egy.pj.dom.stl.oth.---</v>
      </c>
      <c r="B289" s="108" t="str">
        <f aca="false">dashboard!$B$5</f>
        <v>egy</v>
      </c>
      <c r="C289" s="108" t="s">
        <v>3401</v>
      </c>
      <c r="D289" s="108" t="s">
        <v>641</v>
      </c>
      <c r="E289" s="108" t="s">
        <v>705</v>
      </c>
      <c r="F289" s="108" t="s">
        <v>2863</v>
      </c>
      <c r="G289" s="108" t="s">
        <v>655</v>
      </c>
      <c r="H289" s="108" t="s">
        <v>3708</v>
      </c>
      <c r="I289" s="108" t="s">
        <v>869</v>
      </c>
      <c r="J289" s="108" t="s">
        <v>3709</v>
      </c>
      <c r="K289" s="108"/>
      <c r="L289" s="108"/>
      <c r="M289" s="119" t="n">
        <f aca="false">M286*(1-INDEX(input_data!$L:$L,MATCH(dashboard!$B$5&amp;".in.ext.stl.oth.---",input_data!$A:$A,0)))*(1+INDEX(input_data!$L:$L,MATCH(dashboard!$B$5&amp;".in.imp.stl.oth.---",input_data!$A:$A,0)))</f>
        <v>0.209</v>
      </c>
      <c r="N289" s="119" t="n">
        <f aca="false">N286*(1-INDEX(input_data!$L:$L,MATCH(dashboard!$B$5&amp;".in.ext.stl.oth.---",input_data!$A:$A,0)))*(1+INDEX(input_data!$L:$L,MATCH(dashboard!$B$5&amp;".in.imp.stl.oth.---",input_data!$A:$A,0)))</f>
        <v>0.220495</v>
      </c>
      <c r="O289" s="119" t="n">
        <f aca="false">O286*(1-INDEX(input_data!$L:$L,MATCH(dashboard!$B$5&amp;".in.ext.stl.oth.---",input_data!$A:$A,0)))*(1+INDEX(input_data!$L:$L,MATCH(dashboard!$B$5&amp;".in.imp.stl.oth.---",input_data!$A:$A,0)))</f>
        <v>0.232622225</v>
      </c>
      <c r="P289" s="119" t="n">
        <f aca="false">P286*(1-INDEX(input_data!$L:$L,MATCH(dashboard!$B$5&amp;".in.ext.stl.oth.---",input_data!$A:$A,0)))*(1+INDEX(input_data!$L:$L,MATCH(dashboard!$B$5&amp;".in.imp.stl.oth.---",input_data!$A:$A,0)))</f>
        <v>0.245416447375</v>
      </c>
      <c r="Q289" s="119" t="n">
        <f aca="false">Q286*(1-INDEX(input_data!$L:$L,MATCH(dashboard!$B$5&amp;".in.ext.stl.oth.---",input_data!$A:$A,0)))*(1+INDEX(input_data!$L:$L,MATCH(dashboard!$B$5&amp;".in.imp.stl.oth.---",input_data!$A:$A,0)))</f>
        <v>0.258914351980625</v>
      </c>
      <c r="R289" s="119" t="n">
        <f aca="false">R286*(1-INDEX(input_data!$L:$L,MATCH(dashboard!$B$5&amp;".in.ext.stl.oth.---",input_data!$A:$A,0)))*(1+INDEX(input_data!$L:$L,MATCH(dashboard!$B$5&amp;".in.imp.stl.oth.---",input_data!$A:$A,0)))</f>
        <v>0.273154641339559</v>
      </c>
      <c r="S289" s="119" t="n">
        <f aca="false">S286*(1-INDEX(input_data!$L:$L,MATCH(dashboard!$B$5&amp;".in.ext.stl.oth.---",input_data!$A:$A,0)))*(1+INDEX(input_data!$L:$L,MATCH(dashboard!$B$5&amp;".in.imp.stl.oth.---",input_data!$A:$A,0)))</f>
        <v>0.288178146613235</v>
      </c>
      <c r="T289" s="119" t="n">
        <f aca="false">T286*(1-INDEX(input_data!$L:$L,MATCH(dashboard!$B$5&amp;".in.ext.stl.oth.---",input_data!$A:$A,0)))*(1+INDEX(input_data!$L:$L,MATCH(dashboard!$B$5&amp;".in.imp.stl.oth.---",input_data!$A:$A,0)))</f>
        <v>0.304027944676963</v>
      </c>
      <c r="U289" s="119" t="n">
        <f aca="false">U286*(1-INDEX(input_data!$L:$L,MATCH(dashboard!$B$5&amp;".in.ext.stl.oth.---",input_data!$A:$A,0)))*(1+INDEX(input_data!$L:$L,MATCH(dashboard!$B$5&amp;".in.imp.stl.oth.---",input_data!$A:$A,0)))</f>
        <v>0.320749481634196</v>
      </c>
      <c r="V289" s="119" t="n">
        <f aca="false">V286*(1-INDEX(input_data!$L:$L,MATCH(dashboard!$B$5&amp;".in.ext.stl.oth.---",input_data!$A:$A,0)))*(1+INDEX(input_data!$L:$L,MATCH(dashboard!$B$5&amp;".in.imp.stl.oth.---",input_data!$A:$A,0)))</f>
        <v>0.338390703124077</v>
      </c>
      <c r="W289" s="119" t="n">
        <f aca="false">W286*(1-INDEX(input_data!$L:$L,MATCH(dashboard!$B$5&amp;".in.ext.stl.oth.---",input_data!$A:$A,0)))*(1+INDEX(input_data!$L:$L,MATCH(dashboard!$B$5&amp;".in.imp.stl.oth.---",input_data!$A:$A,0)))</f>
        <v>0.357002191795901</v>
      </c>
      <c r="X289" s="119" t="n">
        <f aca="false">X286*(1-INDEX(input_data!$L:$L,MATCH(dashboard!$B$5&amp;".in.ext.stl.oth.---",input_data!$A:$A,0)))*(1+INDEX(input_data!$L:$L,MATCH(dashboard!$B$5&amp;".in.imp.stl.oth.---",input_data!$A:$A,0)))</f>
        <v>0.376637312344676</v>
      </c>
    </row>
    <row r="290" customFormat="false" ht="15" hidden="false" customHeight="true" outlineLevel="0" collapsed="false">
      <c r="A290" s="108" t="str">
        <f aca="false">dashboard!$B$5&amp;".pj.enc.stl.oth.coa"</f>
        <v>egy.pj.enc.stl.oth.coa</v>
      </c>
      <c r="B290" s="108" t="str">
        <f aca="false">dashboard!$B$5</f>
        <v>egy</v>
      </c>
      <c r="C290" s="108" t="s">
        <v>3401</v>
      </c>
      <c r="D290" s="108" t="s">
        <v>891</v>
      </c>
      <c r="E290" s="108" t="s">
        <v>705</v>
      </c>
      <c r="F290" s="108" t="s">
        <v>2863</v>
      </c>
      <c r="G290" s="108" t="s">
        <v>96</v>
      </c>
      <c r="H290" s="108" t="s">
        <v>3710</v>
      </c>
      <c r="I290" s="108" t="s">
        <v>3424</v>
      </c>
      <c r="J290" s="108" t="s">
        <v>3711</v>
      </c>
      <c r="K290" s="108"/>
      <c r="L290" s="108"/>
      <c r="M290" s="119" t="n">
        <f aca="false">M286*INDEX(input_data!$L:$L,MATCH(dashboard!$B$5&amp;".in.enc.stl.oth.coa",input_data!$A:$A,0))</f>
        <v>0.3</v>
      </c>
      <c r="N290" s="119" t="n">
        <f aca="false">N286*INDEX(input_data!$L:$L,MATCH(dashboard!$B$5&amp;".in.enc.stl.oth.coa",input_data!$A:$A,0))</f>
        <v>0.3165</v>
      </c>
      <c r="O290" s="119" t="n">
        <f aca="false">O286*INDEX(input_data!$L:$L,MATCH(dashboard!$B$5&amp;".in.enc.stl.oth.coa",input_data!$A:$A,0))</f>
        <v>0.3339075</v>
      </c>
      <c r="P290" s="119" t="n">
        <f aca="false">P286*INDEX(input_data!$L:$L,MATCH(dashboard!$B$5&amp;".in.enc.stl.oth.coa",input_data!$A:$A,0))</f>
        <v>0.3522724125</v>
      </c>
      <c r="Q290" s="119" t="n">
        <f aca="false">Q286*INDEX(input_data!$L:$L,MATCH(dashboard!$B$5&amp;".in.enc.stl.oth.coa",input_data!$A:$A,0))</f>
        <v>0.3716473951875</v>
      </c>
      <c r="R290" s="119" t="n">
        <f aca="false">R286*INDEX(input_data!$L:$L,MATCH(dashboard!$B$5&amp;".in.enc.stl.oth.coa",input_data!$A:$A,0))</f>
        <v>0.392088001922812</v>
      </c>
      <c r="S290" s="119" t="n">
        <f aca="false">S286*INDEX(input_data!$L:$L,MATCH(dashboard!$B$5&amp;".in.enc.stl.oth.coa",input_data!$A:$A,0))</f>
        <v>0.413652842028567</v>
      </c>
      <c r="T290" s="119" t="n">
        <f aca="false">T286*INDEX(input_data!$L:$L,MATCH(dashboard!$B$5&amp;".in.enc.stl.oth.coa",input_data!$A:$A,0))</f>
        <v>0.436403748340138</v>
      </c>
      <c r="U290" s="119" t="n">
        <f aca="false">U286*INDEX(input_data!$L:$L,MATCH(dashboard!$B$5&amp;".in.enc.stl.oth.coa",input_data!$A:$A,0))</f>
        <v>0.460405954498846</v>
      </c>
      <c r="V290" s="119" t="n">
        <f aca="false">V286*INDEX(input_data!$L:$L,MATCH(dashboard!$B$5&amp;".in.enc.stl.oth.coa",input_data!$A:$A,0))</f>
        <v>0.485728281996282</v>
      </c>
      <c r="W290" s="119" t="n">
        <f aca="false">W286*INDEX(input_data!$L:$L,MATCH(dashboard!$B$5&amp;".in.enc.stl.oth.coa",input_data!$A:$A,0))</f>
        <v>0.512443337506078</v>
      </c>
      <c r="X290" s="119" t="n">
        <f aca="false">X286*INDEX(input_data!$L:$L,MATCH(dashboard!$B$5&amp;".in.enc.stl.oth.coa",input_data!$A:$A,0))</f>
        <v>0.540627721068912</v>
      </c>
    </row>
    <row r="291" customFormat="false" ht="15" hidden="false" customHeight="true" outlineLevel="0" collapsed="false">
      <c r="A291" s="108" t="str">
        <f aca="false">dashboard!$B$5&amp;".pj.enc.stl.oth.nga"</f>
        <v>egy.pj.enc.stl.oth.nga</v>
      </c>
      <c r="B291" s="108" t="str">
        <f aca="false">dashboard!$B$5</f>
        <v>egy</v>
      </c>
      <c r="C291" s="108" t="s">
        <v>3401</v>
      </c>
      <c r="D291" s="108" t="s">
        <v>891</v>
      </c>
      <c r="E291" s="108" t="s">
        <v>705</v>
      </c>
      <c r="F291" s="108" t="s">
        <v>2863</v>
      </c>
      <c r="G291" s="108" t="s">
        <v>99</v>
      </c>
      <c r="H291" s="108" t="s">
        <v>3712</v>
      </c>
      <c r="I291" s="108" t="s">
        <v>3424</v>
      </c>
      <c r="J291" s="108" t="s">
        <v>3711</v>
      </c>
      <c r="K291" s="108"/>
      <c r="L291" s="108"/>
      <c r="M291" s="119" t="n">
        <f aca="false">M286*INDEX(input_data!$L:$L,MATCH(dashboard!$B$5&amp;".in.enc.stl.oth.nga",input_data!$A:$A,0))</f>
        <v>0.1</v>
      </c>
      <c r="N291" s="119" t="n">
        <f aca="false">N286*INDEX(input_data!$L:$L,MATCH(dashboard!$B$5&amp;".in.enc.stl.oth.nga",input_data!$A:$A,0))</f>
        <v>0.1055</v>
      </c>
      <c r="O291" s="119" t="n">
        <f aca="false">O286*INDEX(input_data!$L:$L,MATCH(dashboard!$B$5&amp;".in.enc.stl.oth.nga",input_data!$A:$A,0))</f>
        <v>0.1113025</v>
      </c>
      <c r="P291" s="119" t="n">
        <f aca="false">P286*INDEX(input_data!$L:$L,MATCH(dashboard!$B$5&amp;".in.enc.stl.oth.nga",input_data!$A:$A,0))</f>
        <v>0.1174241375</v>
      </c>
      <c r="Q291" s="119" t="n">
        <f aca="false">Q286*INDEX(input_data!$L:$L,MATCH(dashboard!$B$5&amp;".in.enc.stl.oth.nga",input_data!$A:$A,0))</f>
        <v>0.1238824650625</v>
      </c>
      <c r="R291" s="119" t="n">
        <f aca="false">R286*INDEX(input_data!$L:$L,MATCH(dashboard!$B$5&amp;".in.enc.stl.oth.nga",input_data!$A:$A,0))</f>
        <v>0.130696000640937</v>
      </c>
      <c r="S291" s="119" t="n">
        <f aca="false">S286*INDEX(input_data!$L:$L,MATCH(dashboard!$B$5&amp;".in.enc.stl.oth.nga",input_data!$A:$A,0))</f>
        <v>0.137884280676189</v>
      </c>
      <c r="T291" s="119" t="n">
        <f aca="false">T286*INDEX(input_data!$L:$L,MATCH(dashboard!$B$5&amp;".in.enc.stl.oth.nga",input_data!$A:$A,0))</f>
        <v>0.145467916113379</v>
      </c>
      <c r="U291" s="119" t="n">
        <f aca="false">U286*INDEX(input_data!$L:$L,MATCH(dashboard!$B$5&amp;".in.enc.stl.oth.nga",input_data!$A:$A,0))</f>
        <v>0.153468651499615</v>
      </c>
      <c r="V291" s="119" t="n">
        <f aca="false">V286*INDEX(input_data!$L:$L,MATCH(dashboard!$B$5&amp;".in.enc.stl.oth.nga",input_data!$A:$A,0))</f>
        <v>0.161909427332094</v>
      </c>
      <c r="W291" s="119" t="n">
        <f aca="false">W286*INDEX(input_data!$L:$L,MATCH(dashboard!$B$5&amp;".in.enc.stl.oth.nga",input_data!$A:$A,0))</f>
        <v>0.170814445835359</v>
      </c>
      <c r="X291" s="119" t="n">
        <f aca="false">X286*INDEX(input_data!$L:$L,MATCH(dashboard!$B$5&amp;".in.enc.stl.oth.nga",input_data!$A:$A,0))</f>
        <v>0.180209240356304</v>
      </c>
    </row>
    <row r="292" customFormat="false" ht="15" hidden="false" customHeight="true" outlineLevel="0" collapsed="false">
      <c r="A292" s="108" t="str">
        <f aca="false">dashboard!$B$5&amp;".pj.enc.stl.oth.gso"</f>
        <v>egy.pj.enc.stl.oth.gso</v>
      </c>
      <c r="B292" s="108" t="str">
        <f aca="false">dashboard!$B$5</f>
        <v>egy</v>
      </c>
      <c r="C292" s="108" t="s">
        <v>3401</v>
      </c>
      <c r="D292" s="108" t="s">
        <v>891</v>
      </c>
      <c r="E292" s="108" t="s">
        <v>705</v>
      </c>
      <c r="F292" s="108" t="s">
        <v>2863</v>
      </c>
      <c r="G292" s="108" t="s">
        <v>101</v>
      </c>
      <c r="H292" s="108" t="s">
        <v>3713</v>
      </c>
      <c r="I292" s="108" t="s">
        <v>3424</v>
      </c>
      <c r="J292" s="108" t="s">
        <v>3711</v>
      </c>
      <c r="K292" s="108"/>
      <c r="L292" s="108"/>
      <c r="M292" s="119" t="n">
        <f aca="false">M286*INDEX(input_data!$L:$L,MATCH(dashboard!$B$5&amp;".in.enc.stl.oth.gso",input_data!$A:$A,0))</f>
        <v>0</v>
      </c>
      <c r="N292" s="119" t="n">
        <f aca="false">N286*INDEX(input_data!$L:$L,MATCH(dashboard!$B$5&amp;".in.enc.stl.oth.gso",input_data!$A:$A,0))</f>
        <v>0</v>
      </c>
      <c r="O292" s="119" t="n">
        <f aca="false">O286*INDEX(input_data!$L:$L,MATCH(dashboard!$B$5&amp;".in.enc.stl.oth.gso",input_data!$A:$A,0))</f>
        <v>0</v>
      </c>
      <c r="P292" s="119" t="n">
        <f aca="false">P286*INDEX(input_data!$L:$L,MATCH(dashboard!$B$5&amp;".in.enc.stl.oth.gso",input_data!$A:$A,0))</f>
        <v>0</v>
      </c>
      <c r="Q292" s="119" t="n">
        <f aca="false">Q286*INDEX(input_data!$L:$L,MATCH(dashboard!$B$5&amp;".in.enc.stl.oth.gso",input_data!$A:$A,0))</f>
        <v>0</v>
      </c>
      <c r="R292" s="119" t="n">
        <f aca="false">R286*INDEX(input_data!$L:$L,MATCH(dashboard!$B$5&amp;".in.enc.stl.oth.gso",input_data!$A:$A,0))</f>
        <v>0</v>
      </c>
      <c r="S292" s="119" t="n">
        <f aca="false">S286*INDEX(input_data!$L:$L,MATCH(dashboard!$B$5&amp;".in.enc.stl.oth.gso",input_data!$A:$A,0))</f>
        <v>0</v>
      </c>
      <c r="T292" s="119" t="n">
        <f aca="false">T286*INDEX(input_data!$L:$L,MATCH(dashboard!$B$5&amp;".in.enc.stl.oth.gso",input_data!$A:$A,0))</f>
        <v>0</v>
      </c>
      <c r="U292" s="119" t="n">
        <f aca="false">U286*INDEX(input_data!$L:$L,MATCH(dashboard!$B$5&amp;".in.enc.stl.oth.gso",input_data!$A:$A,0))</f>
        <v>0</v>
      </c>
      <c r="V292" s="119" t="n">
        <f aca="false">V286*INDEX(input_data!$L:$L,MATCH(dashboard!$B$5&amp;".in.enc.stl.oth.gso",input_data!$A:$A,0))</f>
        <v>0</v>
      </c>
      <c r="W292" s="119" t="n">
        <f aca="false">W286*INDEX(input_data!$L:$L,MATCH(dashboard!$B$5&amp;".in.enc.stl.oth.gso",input_data!$A:$A,0))</f>
        <v>0</v>
      </c>
      <c r="X292" s="119" t="n">
        <f aca="false">X286*INDEX(input_data!$L:$L,MATCH(dashboard!$B$5&amp;".in.enc.stl.oth.gso",input_data!$A:$A,0))</f>
        <v>0</v>
      </c>
    </row>
    <row r="293" customFormat="false" ht="15" hidden="false" customHeight="true" outlineLevel="0" collapsed="false">
      <c r="A293" s="108" t="str">
        <f aca="false">dashboard!$B$5&amp;".pj.enc.stl.oth.die"</f>
        <v>egy.pj.enc.stl.oth.die</v>
      </c>
      <c r="B293" s="108" t="str">
        <f aca="false">dashboard!$B$5</f>
        <v>egy</v>
      </c>
      <c r="C293" s="108" t="s">
        <v>3401</v>
      </c>
      <c r="D293" s="108" t="s">
        <v>891</v>
      </c>
      <c r="E293" s="108" t="s">
        <v>705</v>
      </c>
      <c r="F293" s="108" t="s">
        <v>2863</v>
      </c>
      <c r="G293" s="108" t="s">
        <v>103</v>
      </c>
      <c r="H293" s="108" t="s">
        <v>3714</v>
      </c>
      <c r="I293" s="108" t="s">
        <v>3424</v>
      </c>
      <c r="J293" s="108" t="s">
        <v>3711</v>
      </c>
      <c r="K293" s="108"/>
      <c r="L293" s="108"/>
      <c r="M293" s="119" t="n">
        <f aca="false">M286*INDEX(input_data!$L:$L,MATCH(dashboard!$B$5&amp;".in.enc.stl.oth.die",input_data!$A:$A,0))</f>
        <v>0</v>
      </c>
      <c r="N293" s="119" t="n">
        <f aca="false">N286*INDEX(input_data!$L:$L,MATCH(dashboard!$B$5&amp;".in.enc.stl.oth.die",input_data!$A:$A,0))</f>
        <v>0</v>
      </c>
      <c r="O293" s="119" t="n">
        <f aca="false">O286*INDEX(input_data!$L:$L,MATCH(dashboard!$B$5&amp;".in.enc.stl.oth.die",input_data!$A:$A,0))</f>
        <v>0</v>
      </c>
      <c r="P293" s="119" t="n">
        <f aca="false">P286*INDEX(input_data!$L:$L,MATCH(dashboard!$B$5&amp;".in.enc.stl.oth.die",input_data!$A:$A,0))</f>
        <v>0</v>
      </c>
      <c r="Q293" s="119" t="n">
        <f aca="false">Q286*INDEX(input_data!$L:$L,MATCH(dashboard!$B$5&amp;".in.enc.stl.oth.die",input_data!$A:$A,0))</f>
        <v>0</v>
      </c>
      <c r="R293" s="119" t="n">
        <f aca="false">R286*INDEX(input_data!$L:$L,MATCH(dashboard!$B$5&amp;".in.enc.stl.oth.die",input_data!$A:$A,0))</f>
        <v>0</v>
      </c>
      <c r="S293" s="119" t="n">
        <f aca="false">S286*INDEX(input_data!$L:$L,MATCH(dashboard!$B$5&amp;".in.enc.stl.oth.die",input_data!$A:$A,0))</f>
        <v>0</v>
      </c>
      <c r="T293" s="119" t="n">
        <f aca="false">T286*INDEX(input_data!$L:$L,MATCH(dashboard!$B$5&amp;".in.enc.stl.oth.die",input_data!$A:$A,0))</f>
        <v>0</v>
      </c>
      <c r="U293" s="119" t="n">
        <f aca="false">U286*INDEX(input_data!$L:$L,MATCH(dashboard!$B$5&amp;".in.enc.stl.oth.die",input_data!$A:$A,0))</f>
        <v>0</v>
      </c>
      <c r="V293" s="119" t="n">
        <f aca="false">V286*INDEX(input_data!$L:$L,MATCH(dashboard!$B$5&amp;".in.enc.stl.oth.die",input_data!$A:$A,0))</f>
        <v>0</v>
      </c>
      <c r="W293" s="119" t="n">
        <f aca="false">W286*INDEX(input_data!$L:$L,MATCH(dashboard!$B$5&amp;".in.enc.stl.oth.die",input_data!$A:$A,0))</f>
        <v>0</v>
      </c>
      <c r="X293" s="119" t="n">
        <f aca="false">X286*INDEX(input_data!$L:$L,MATCH(dashboard!$B$5&amp;".in.enc.stl.oth.die",input_data!$A:$A,0))</f>
        <v>0</v>
      </c>
    </row>
    <row r="294" customFormat="false" ht="15" hidden="false" customHeight="true" outlineLevel="0" collapsed="false">
      <c r="A294" s="108" t="str">
        <f aca="false">dashboard!$B$5&amp;".pj.enc.stl.oth.ker"</f>
        <v>egy.pj.enc.stl.oth.ker</v>
      </c>
      <c r="B294" s="108" t="str">
        <f aca="false">dashboard!$B$5</f>
        <v>egy</v>
      </c>
      <c r="C294" s="108" t="s">
        <v>3401</v>
      </c>
      <c r="D294" s="108" t="s">
        <v>891</v>
      </c>
      <c r="E294" s="108" t="s">
        <v>705</v>
      </c>
      <c r="F294" s="108" t="s">
        <v>2863</v>
      </c>
      <c r="G294" s="108" t="s">
        <v>105</v>
      </c>
      <c r="H294" s="108" t="s">
        <v>3715</v>
      </c>
      <c r="I294" s="108" t="s">
        <v>3424</v>
      </c>
      <c r="J294" s="108" t="s">
        <v>3711</v>
      </c>
      <c r="K294" s="108"/>
      <c r="L294" s="108"/>
      <c r="M294" s="119" t="n">
        <f aca="false">M286*INDEX(input_data!$L:$L,MATCH(dashboard!$B$5&amp;".in.enc.stl.oth.ker",input_data!$A:$A,0))</f>
        <v>0</v>
      </c>
      <c r="N294" s="119" t="n">
        <f aca="false">N286*INDEX(input_data!$L:$L,MATCH(dashboard!$B$5&amp;".in.enc.stl.oth.ker",input_data!$A:$A,0))</f>
        <v>0</v>
      </c>
      <c r="O294" s="119" t="n">
        <f aca="false">O286*INDEX(input_data!$L:$L,MATCH(dashboard!$B$5&amp;".in.enc.stl.oth.ker",input_data!$A:$A,0))</f>
        <v>0</v>
      </c>
      <c r="P294" s="119" t="n">
        <f aca="false">P286*INDEX(input_data!$L:$L,MATCH(dashboard!$B$5&amp;".in.enc.stl.oth.ker",input_data!$A:$A,0))</f>
        <v>0</v>
      </c>
      <c r="Q294" s="119" t="n">
        <f aca="false">Q286*INDEX(input_data!$L:$L,MATCH(dashboard!$B$5&amp;".in.enc.stl.oth.ker",input_data!$A:$A,0))</f>
        <v>0</v>
      </c>
      <c r="R294" s="119" t="n">
        <f aca="false">R286*INDEX(input_data!$L:$L,MATCH(dashboard!$B$5&amp;".in.enc.stl.oth.ker",input_data!$A:$A,0))</f>
        <v>0</v>
      </c>
      <c r="S294" s="119" t="n">
        <f aca="false">S286*INDEX(input_data!$L:$L,MATCH(dashboard!$B$5&amp;".in.enc.stl.oth.ker",input_data!$A:$A,0))</f>
        <v>0</v>
      </c>
      <c r="T294" s="119" t="n">
        <f aca="false">T286*INDEX(input_data!$L:$L,MATCH(dashboard!$B$5&amp;".in.enc.stl.oth.ker",input_data!$A:$A,0))</f>
        <v>0</v>
      </c>
      <c r="U294" s="119" t="n">
        <f aca="false">U286*INDEX(input_data!$L:$L,MATCH(dashboard!$B$5&amp;".in.enc.stl.oth.ker",input_data!$A:$A,0))</f>
        <v>0</v>
      </c>
      <c r="V294" s="119" t="n">
        <f aca="false">V286*INDEX(input_data!$L:$L,MATCH(dashboard!$B$5&amp;".in.enc.stl.oth.ker",input_data!$A:$A,0))</f>
        <v>0</v>
      </c>
      <c r="W294" s="119" t="n">
        <f aca="false">W286*INDEX(input_data!$L:$L,MATCH(dashboard!$B$5&amp;".in.enc.stl.oth.ker",input_data!$A:$A,0))</f>
        <v>0</v>
      </c>
      <c r="X294" s="119" t="n">
        <f aca="false">X286*INDEX(input_data!$L:$L,MATCH(dashboard!$B$5&amp;".in.enc.stl.oth.ker",input_data!$A:$A,0))</f>
        <v>0</v>
      </c>
    </row>
    <row r="295" customFormat="false" ht="15" hidden="false" customHeight="true" outlineLevel="0" collapsed="false">
      <c r="A295" s="108" t="str">
        <f aca="false">dashboard!$B$5&amp;".pj.enc.stl.oth.lpg"</f>
        <v>egy.pj.enc.stl.oth.lpg</v>
      </c>
      <c r="B295" s="108" t="str">
        <f aca="false">dashboard!$B$5</f>
        <v>egy</v>
      </c>
      <c r="C295" s="108" t="s">
        <v>3401</v>
      </c>
      <c r="D295" s="108" t="s">
        <v>891</v>
      </c>
      <c r="E295" s="108" t="s">
        <v>705</v>
      </c>
      <c r="F295" s="108" t="s">
        <v>2863</v>
      </c>
      <c r="G295" s="108" t="s">
        <v>107</v>
      </c>
      <c r="H295" s="108" t="s">
        <v>3716</v>
      </c>
      <c r="I295" s="108" t="s">
        <v>3424</v>
      </c>
      <c r="J295" s="108" t="s">
        <v>3711</v>
      </c>
      <c r="K295" s="108"/>
      <c r="L295" s="108"/>
      <c r="M295" s="119" t="n">
        <f aca="false">M286*INDEX(input_data!$L:$L,MATCH(dashboard!$B$5&amp;".in.enc.stl.oth.lpg",input_data!$A:$A,0))</f>
        <v>0</v>
      </c>
      <c r="N295" s="119" t="n">
        <f aca="false">N286*INDEX(input_data!$L:$L,MATCH(dashboard!$B$5&amp;".in.enc.stl.oth.lpg",input_data!$A:$A,0))</f>
        <v>0</v>
      </c>
      <c r="O295" s="119" t="n">
        <f aca="false">O286*INDEX(input_data!$L:$L,MATCH(dashboard!$B$5&amp;".in.enc.stl.oth.lpg",input_data!$A:$A,0))</f>
        <v>0</v>
      </c>
      <c r="P295" s="119" t="n">
        <f aca="false">P286*INDEX(input_data!$L:$L,MATCH(dashboard!$B$5&amp;".in.enc.stl.oth.lpg",input_data!$A:$A,0))</f>
        <v>0</v>
      </c>
      <c r="Q295" s="119" t="n">
        <f aca="false">Q286*INDEX(input_data!$L:$L,MATCH(dashboard!$B$5&amp;".in.enc.stl.oth.lpg",input_data!$A:$A,0))</f>
        <v>0</v>
      </c>
      <c r="R295" s="119" t="n">
        <f aca="false">R286*INDEX(input_data!$L:$L,MATCH(dashboard!$B$5&amp;".in.enc.stl.oth.lpg",input_data!$A:$A,0))</f>
        <v>0</v>
      </c>
      <c r="S295" s="119" t="n">
        <f aca="false">S286*INDEX(input_data!$L:$L,MATCH(dashboard!$B$5&amp;".in.enc.stl.oth.lpg",input_data!$A:$A,0))</f>
        <v>0</v>
      </c>
      <c r="T295" s="119" t="n">
        <f aca="false">T286*INDEX(input_data!$L:$L,MATCH(dashboard!$B$5&amp;".in.enc.stl.oth.lpg",input_data!$A:$A,0))</f>
        <v>0</v>
      </c>
      <c r="U295" s="119" t="n">
        <f aca="false">U286*INDEX(input_data!$L:$L,MATCH(dashboard!$B$5&amp;".in.enc.stl.oth.lpg",input_data!$A:$A,0))</f>
        <v>0</v>
      </c>
      <c r="V295" s="119" t="n">
        <f aca="false">V286*INDEX(input_data!$L:$L,MATCH(dashboard!$B$5&amp;".in.enc.stl.oth.lpg",input_data!$A:$A,0))</f>
        <v>0</v>
      </c>
      <c r="W295" s="119" t="n">
        <f aca="false">W286*INDEX(input_data!$L:$L,MATCH(dashboard!$B$5&amp;".in.enc.stl.oth.lpg",input_data!$A:$A,0))</f>
        <v>0</v>
      </c>
      <c r="X295" s="119" t="n">
        <f aca="false">X286*INDEX(input_data!$L:$L,MATCH(dashboard!$B$5&amp;".in.enc.stl.oth.lpg",input_data!$A:$A,0))</f>
        <v>0</v>
      </c>
    </row>
    <row r="296" customFormat="false" ht="15" hidden="false" customHeight="true" outlineLevel="0" collapsed="false">
      <c r="A296" s="108" t="str">
        <f aca="false">dashboard!$B$5&amp;".pj.enc.stl.oth.bio"</f>
        <v>egy.pj.enc.stl.oth.bio</v>
      </c>
      <c r="B296" s="108" t="str">
        <f aca="false">dashboard!$B$5</f>
        <v>egy</v>
      </c>
      <c r="C296" s="108" t="s">
        <v>3401</v>
      </c>
      <c r="D296" s="108" t="s">
        <v>891</v>
      </c>
      <c r="E296" s="108" t="s">
        <v>705</v>
      </c>
      <c r="F296" s="108" t="s">
        <v>2863</v>
      </c>
      <c r="G296" s="108" t="s">
        <v>109</v>
      </c>
      <c r="H296" s="108" t="s">
        <v>3717</v>
      </c>
      <c r="I296" s="108" t="s">
        <v>3424</v>
      </c>
      <c r="J296" s="108" t="s">
        <v>3711</v>
      </c>
      <c r="K296" s="108"/>
      <c r="L296" s="108"/>
      <c r="M296" s="119" t="n">
        <f aca="false">M286*INDEX(input_data!$L:$L,MATCH(dashboard!$B$5&amp;".in.enc.stl.oth.bio",input_data!$A:$A,0))</f>
        <v>0</v>
      </c>
      <c r="N296" s="119" t="n">
        <f aca="false">N286*INDEX(input_data!$L:$L,MATCH(dashboard!$B$5&amp;".in.enc.stl.oth.bio",input_data!$A:$A,0))</f>
        <v>0</v>
      </c>
      <c r="O296" s="119" t="n">
        <f aca="false">O286*INDEX(input_data!$L:$L,MATCH(dashboard!$B$5&amp;".in.enc.stl.oth.bio",input_data!$A:$A,0))</f>
        <v>0</v>
      </c>
      <c r="P296" s="119" t="n">
        <f aca="false">P286*INDEX(input_data!$L:$L,MATCH(dashboard!$B$5&amp;".in.enc.stl.oth.bio",input_data!$A:$A,0))</f>
        <v>0</v>
      </c>
      <c r="Q296" s="119" t="n">
        <f aca="false">Q286*INDEX(input_data!$L:$L,MATCH(dashboard!$B$5&amp;".in.enc.stl.oth.bio",input_data!$A:$A,0))</f>
        <v>0</v>
      </c>
      <c r="R296" s="119" t="n">
        <f aca="false">R286*INDEX(input_data!$L:$L,MATCH(dashboard!$B$5&amp;".in.enc.stl.oth.bio",input_data!$A:$A,0))</f>
        <v>0</v>
      </c>
      <c r="S296" s="119" t="n">
        <f aca="false">S286*INDEX(input_data!$L:$L,MATCH(dashboard!$B$5&amp;".in.enc.stl.oth.bio",input_data!$A:$A,0))</f>
        <v>0</v>
      </c>
      <c r="T296" s="119" t="n">
        <f aca="false">T286*INDEX(input_data!$L:$L,MATCH(dashboard!$B$5&amp;".in.enc.stl.oth.bio",input_data!$A:$A,0))</f>
        <v>0</v>
      </c>
      <c r="U296" s="119" t="n">
        <f aca="false">U286*INDEX(input_data!$L:$L,MATCH(dashboard!$B$5&amp;".in.enc.stl.oth.bio",input_data!$A:$A,0))</f>
        <v>0</v>
      </c>
      <c r="V296" s="119" t="n">
        <f aca="false">V286*INDEX(input_data!$L:$L,MATCH(dashboard!$B$5&amp;".in.enc.stl.oth.bio",input_data!$A:$A,0))</f>
        <v>0</v>
      </c>
      <c r="W296" s="119" t="n">
        <f aca="false">W286*INDEX(input_data!$L:$L,MATCH(dashboard!$B$5&amp;".in.enc.stl.oth.bio",input_data!$A:$A,0))</f>
        <v>0</v>
      </c>
      <c r="X296" s="119" t="n">
        <f aca="false">X286*INDEX(input_data!$L:$L,MATCH(dashboard!$B$5&amp;".in.enc.stl.oth.bio",input_data!$A:$A,0))</f>
        <v>0</v>
      </c>
    </row>
    <row r="297" customFormat="false" ht="15" hidden="false" customHeight="true" outlineLevel="0" collapsed="false">
      <c r="A297" s="108" t="str">
        <f aca="false">dashboard!$B$5&amp;".pj.enc.stl.oth.ren"</f>
        <v>egy.pj.enc.stl.oth.ren</v>
      </c>
      <c r="B297" s="108" t="str">
        <f aca="false">dashboard!$B$5</f>
        <v>egy</v>
      </c>
      <c r="C297" s="108" t="s">
        <v>3401</v>
      </c>
      <c r="D297" s="108" t="s">
        <v>891</v>
      </c>
      <c r="E297" s="108" t="s">
        <v>705</v>
      </c>
      <c r="F297" s="108" t="s">
        <v>2863</v>
      </c>
      <c r="G297" s="108" t="s">
        <v>111</v>
      </c>
      <c r="H297" s="108" t="s">
        <v>3718</v>
      </c>
      <c r="I297" s="108" t="s">
        <v>3424</v>
      </c>
      <c r="J297" s="108" t="s">
        <v>3711</v>
      </c>
      <c r="K297" s="108"/>
      <c r="L297" s="108"/>
      <c r="M297" s="119" t="n">
        <f aca="false">M286*INDEX(input_data!$L:$L,MATCH(dashboard!$B$5&amp;".in.enc.stl.oth.ren",input_data!$A:$A,0))</f>
        <v>0</v>
      </c>
      <c r="N297" s="119" t="n">
        <f aca="false">N286*INDEX(input_data!$L:$L,MATCH(dashboard!$B$5&amp;".in.enc.stl.oth.ren",input_data!$A:$A,0))</f>
        <v>0</v>
      </c>
      <c r="O297" s="119" t="n">
        <f aca="false">O286*INDEX(input_data!$L:$L,MATCH(dashboard!$B$5&amp;".in.enc.stl.oth.ren",input_data!$A:$A,0))</f>
        <v>0</v>
      </c>
      <c r="P297" s="119" t="n">
        <f aca="false">P286*INDEX(input_data!$L:$L,MATCH(dashboard!$B$5&amp;".in.enc.stl.oth.ren",input_data!$A:$A,0))</f>
        <v>0</v>
      </c>
      <c r="Q297" s="119" t="n">
        <f aca="false">Q286*INDEX(input_data!$L:$L,MATCH(dashboard!$B$5&amp;".in.enc.stl.oth.ren",input_data!$A:$A,0))</f>
        <v>0</v>
      </c>
      <c r="R297" s="119" t="n">
        <f aca="false">R286*INDEX(input_data!$L:$L,MATCH(dashboard!$B$5&amp;".in.enc.stl.oth.ren",input_data!$A:$A,0))</f>
        <v>0</v>
      </c>
      <c r="S297" s="119" t="n">
        <f aca="false">S286*INDEX(input_data!$L:$L,MATCH(dashboard!$B$5&amp;".in.enc.stl.oth.ren",input_data!$A:$A,0))</f>
        <v>0</v>
      </c>
      <c r="T297" s="119" t="n">
        <f aca="false">T286*INDEX(input_data!$L:$L,MATCH(dashboard!$B$5&amp;".in.enc.stl.oth.ren",input_data!$A:$A,0))</f>
        <v>0</v>
      </c>
      <c r="U297" s="119" t="n">
        <f aca="false">U286*INDEX(input_data!$L:$L,MATCH(dashboard!$B$5&amp;".in.enc.stl.oth.ren",input_data!$A:$A,0))</f>
        <v>0</v>
      </c>
      <c r="V297" s="119" t="n">
        <f aca="false">V286*INDEX(input_data!$L:$L,MATCH(dashboard!$B$5&amp;".in.enc.stl.oth.ren",input_data!$A:$A,0))</f>
        <v>0</v>
      </c>
      <c r="W297" s="119" t="n">
        <f aca="false">W286*INDEX(input_data!$L:$L,MATCH(dashboard!$B$5&amp;".in.enc.stl.oth.ren",input_data!$A:$A,0))</f>
        <v>0</v>
      </c>
      <c r="X297" s="119" t="n">
        <f aca="false">X286*INDEX(input_data!$L:$L,MATCH(dashboard!$B$5&amp;".in.enc.stl.oth.ren",input_data!$A:$A,0))</f>
        <v>0</v>
      </c>
    </row>
    <row r="298" customFormat="false" ht="15" hidden="false" customHeight="true" outlineLevel="0" collapsed="false">
      <c r="A298" s="108" t="str">
        <f aca="false">dashboard!$B$5&amp;".pj.enp.stl.oth.coa"</f>
        <v>egy.pj.enp.stl.oth.coa</v>
      </c>
      <c r="B298" s="108" t="str">
        <f aca="false">dashboard!$B$5</f>
        <v>egy</v>
      </c>
      <c r="C298" s="108" t="s">
        <v>3401</v>
      </c>
      <c r="D298" s="108" t="s">
        <v>918</v>
      </c>
      <c r="E298" s="108" t="s">
        <v>705</v>
      </c>
      <c r="F298" s="108" t="s">
        <v>2863</v>
      </c>
      <c r="G298" s="108" t="s">
        <v>96</v>
      </c>
      <c r="H298" s="108" t="s">
        <v>3719</v>
      </c>
      <c r="I298" s="108" t="s">
        <v>3424</v>
      </c>
      <c r="J298" s="108"/>
      <c r="K298" s="108"/>
      <c r="L298" s="108"/>
      <c r="M298" s="119" t="n">
        <f aca="false">M286*INDEX(input_data!$L:$L,MATCH(dashboard!$B$5&amp;".in.enp.stl.oth.coa",input_data!$A:$A,0))</f>
        <v>1.4</v>
      </c>
      <c r="N298" s="119" t="n">
        <f aca="false">N286*INDEX(input_data!$L:$L,MATCH(dashboard!$B$5&amp;".in.enp.stl.oth.coa",input_data!$A:$A,0))</f>
        <v>1.477</v>
      </c>
      <c r="O298" s="119" t="n">
        <f aca="false">O286*INDEX(input_data!$L:$L,MATCH(dashboard!$B$5&amp;".in.enp.stl.oth.coa",input_data!$A:$A,0))</f>
        <v>1.558235</v>
      </c>
      <c r="P298" s="119" t="n">
        <f aca="false">P286*INDEX(input_data!$L:$L,MATCH(dashboard!$B$5&amp;".in.enp.stl.oth.coa",input_data!$A:$A,0))</f>
        <v>1.643937925</v>
      </c>
      <c r="Q298" s="119" t="n">
        <f aca="false">Q286*INDEX(input_data!$L:$L,MATCH(dashboard!$B$5&amp;".in.enp.stl.oth.coa",input_data!$A:$A,0))</f>
        <v>1.734354510875</v>
      </c>
      <c r="R298" s="119" t="n">
        <f aca="false">R286*INDEX(input_data!$L:$L,MATCH(dashboard!$B$5&amp;".in.enp.stl.oth.coa",input_data!$A:$A,0))</f>
        <v>1.82974400897312</v>
      </c>
      <c r="S298" s="119" t="n">
        <f aca="false">S286*INDEX(input_data!$L:$L,MATCH(dashboard!$B$5&amp;".in.enp.stl.oth.coa",input_data!$A:$A,0))</f>
        <v>1.93037992946665</v>
      </c>
      <c r="T298" s="119" t="n">
        <f aca="false">T286*INDEX(input_data!$L:$L,MATCH(dashboard!$B$5&amp;".in.enp.stl.oth.coa",input_data!$A:$A,0))</f>
        <v>2.03655082558731</v>
      </c>
      <c r="U298" s="119" t="n">
        <f aca="false">U286*INDEX(input_data!$L:$L,MATCH(dashboard!$B$5&amp;".in.enp.stl.oth.coa",input_data!$A:$A,0))</f>
        <v>2.14856112099461</v>
      </c>
      <c r="V298" s="119" t="n">
        <f aca="false">V286*INDEX(input_data!$L:$L,MATCH(dashboard!$B$5&amp;".in.enp.stl.oth.coa",input_data!$A:$A,0))</f>
        <v>2.26673198264932</v>
      </c>
      <c r="W298" s="119" t="n">
        <f aca="false">W286*INDEX(input_data!$L:$L,MATCH(dashboard!$B$5&amp;".in.enp.stl.oth.coa",input_data!$A:$A,0))</f>
        <v>2.39140224169503</v>
      </c>
      <c r="X298" s="119" t="n">
        <f aca="false">X286*INDEX(input_data!$L:$L,MATCH(dashboard!$B$5&amp;".in.enp.stl.oth.coa",input_data!$A:$A,0))</f>
        <v>2.52292936498826</v>
      </c>
    </row>
    <row r="299" customFormat="false" ht="15" hidden="false" customHeight="true" outlineLevel="0" collapsed="false">
      <c r="A299" s="108" t="str">
        <f aca="false">dashboard!$B$5&amp;".pj.enp.stl.oth.nga"</f>
        <v>egy.pj.enp.stl.oth.nga</v>
      </c>
      <c r="B299" s="108" t="str">
        <f aca="false">dashboard!$B$5</f>
        <v>egy</v>
      </c>
      <c r="C299" s="108" t="s">
        <v>3401</v>
      </c>
      <c r="D299" s="108" t="s">
        <v>918</v>
      </c>
      <c r="E299" s="108" t="s">
        <v>705</v>
      </c>
      <c r="F299" s="108" t="s">
        <v>2863</v>
      </c>
      <c r="G299" s="108" t="s">
        <v>99</v>
      </c>
      <c r="H299" s="108" t="s">
        <v>3720</v>
      </c>
      <c r="I299" s="108" t="s">
        <v>3424</v>
      </c>
      <c r="J299" s="108"/>
      <c r="K299" s="108"/>
      <c r="L299" s="108"/>
      <c r="M299" s="119" t="n">
        <f aca="false">M286*INDEX(input_data!$L:$L,MATCH(dashboard!$B$5&amp;".in.enp.stl.oth.nga",input_data!$A:$A,0))</f>
        <v>0</v>
      </c>
      <c r="N299" s="119" t="n">
        <f aca="false">N286*INDEX(input_data!$L:$L,MATCH(dashboard!$B$5&amp;".in.enp.stl.oth.nga",input_data!$A:$A,0))</f>
        <v>0</v>
      </c>
      <c r="O299" s="119" t="n">
        <f aca="false">O286*INDEX(input_data!$L:$L,MATCH(dashboard!$B$5&amp;".in.enp.stl.oth.nga",input_data!$A:$A,0))</f>
        <v>0</v>
      </c>
      <c r="P299" s="119" t="n">
        <f aca="false">P286*INDEX(input_data!$L:$L,MATCH(dashboard!$B$5&amp;".in.enp.stl.oth.nga",input_data!$A:$A,0))</f>
        <v>0</v>
      </c>
      <c r="Q299" s="119" t="n">
        <f aca="false">Q286*INDEX(input_data!$L:$L,MATCH(dashboard!$B$5&amp;".in.enp.stl.oth.nga",input_data!$A:$A,0))</f>
        <v>0</v>
      </c>
      <c r="R299" s="119" t="n">
        <f aca="false">R286*INDEX(input_data!$L:$L,MATCH(dashboard!$B$5&amp;".in.enp.stl.oth.nga",input_data!$A:$A,0))</f>
        <v>0</v>
      </c>
      <c r="S299" s="119" t="n">
        <f aca="false">S286*INDEX(input_data!$L:$L,MATCH(dashboard!$B$5&amp;".in.enp.stl.oth.nga",input_data!$A:$A,0))</f>
        <v>0</v>
      </c>
      <c r="T299" s="119" t="n">
        <f aca="false">T286*INDEX(input_data!$L:$L,MATCH(dashboard!$B$5&amp;".in.enp.stl.oth.nga",input_data!$A:$A,0))</f>
        <v>0</v>
      </c>
      <c r="U299" s="119" t="n">
        <f aca="false">U286*INDEX(input_data!$L:$L,MATCH(dashboard!$B$5&amp;".in.enp.stl.oth.nga",input_data!$A:$A,0))</f>
        <v>0</v>
      </c>
      <c r="V299" s="119" t="n">
        <f aca="false">V286*INDEX(input_data!$L:$L,MATCH(dashboard!$B$5&amp;".in.enp.stl.oth.nga",input_data!$A:$A,0))</f>
        <v>0</v>
      </c>
      <c r="W299" s="119" t="n">
        <f aca="false">W286*INDEX(input_data!$L:$L,MATCH(dashboard!$B$5&amp;".in.enp.stl.oth.nga",input_data!$A:$A,0))</f>
        <v>0</v>
      </c>
      <c r="X299" s="119" t="n">
        <f aca="false">X286*INDEX(input_data!$L:$L,MATCH(dashboard!$B$5&amp;".in.enp.stl.oth.nga",input_data!$A:$A,0))</f>
        <v>0</v>
      </c>
    </row>
    <row r="300" customFormat="false" ht="15" hidden="false" customHeight="true" outlineLevel="0" collapsed="false">
      <c r="A300" s="108" t="str">
        <f aca="false">dashboard!$B$5&amp;".pj.enp.stl.oth.gso"</f>
        <v>egy.pj.enp.stl.oth.gso</v>
      </c>
      <c r="B300" s="108" t="str">
        <f aca="false">dashboard!$B$5</f>
        <v>egy</v>
      </c>
      <c r="C300" s="108" t="s">
        <v>3401</v>
      </c>
      <c r="D300" s="108" t="s">
        <v>918</v>
      </c>
      <c r="E300" s="108" t="s">
        <v>705</v>
      </c>
      <c r="F300" s="108" t="s">
        <v>2863</v>
      </c>
      <c r="G300" s="108" t="s">
        <v>101</v>
      </c>
      <c r="H300" s="108" t="s">
        <v>3721</v>
      </c>
      <c r="I300" s="108" t="s">
        <v>3424</v>
      </c>
      <c r="J300" s="108"/>
      <c r="K300" s="108"/>
      <c r="L300" s="108"/>
      <c r="M300" s="119" t="n">
        <f aca="false">M286*INDEX(input_data!$L:$L,MATCH(dashboard!$B$5&amp;".in.enp.stl.oth.gso",input_data!$A:$A,0))</f>
        <v>0</v>
      </c>
      <c r="N300" s="119" t="n">
        <f aca="false">N286*INDEX(input_data!$L:$L,MATCH(dashboard!$B$5&amp;".in.enp.stl.oth.gso",input_data!$A:$A,0))</f>
        <v>0</v>
      </c>
      <c r="O300" s="119" t="n">
        <f aca="false">O286*INDEX(input_data!$L:$L,MATCH(dashboard!$B$5&amp;".in.enp.stl.oth.gso",input_data!$A:$A,0))</f>
        <v>0</v>
      </c>
      <c r="P300" s="119" t="n">
        <f aca="false">P286*INDEX(input_data!$L:$L,MATCH(dashboard!$B$5&amp;".in.enp.stl.oth.gso",input_data!$A:$A,0))</f>
        <v>0</v>
      </c>
      <c r="Q300" s="119" t="n">
        <f aca="false">Q286*INDEX(input_data!$L:$L,MATCH(dashboard!$B$5&amp;".in.enp.stl.oth.gso",input_data!$A:$A,0))</f>
        <v>0</v>
      </c>
      <c r="R300" s="119" t="n">
        <f aca="false">R286*INDEX(input_data!$L:$L,MATCH(dashboard!$B$5&amp;".in.enp.stl.oth.gso",input_data!$A:$A,0))</f>
        <v>0</v>
      </c>
      <c r="S300" s="119" t="n">
        <f aca="false">S286*INDEX(input_data!$L:$L,MATCH(dashboard!$B$5&amp;".in.enp.stl.oth.gso",input_data!$A:$A,0))</f>
        <v>0</v>
      </c>
      <c r="T300" s="119" t="n">
        <f aca="false">T286*INDEX(input_data!$L:$L,MATCH(dashboard!$B$5&amp;".in.enp.stl.oth.gso",input_data!$A:$A,0))</f>
        <v>0</v>
      </c>
      <c r="U300" s="119" t="n">
        <f aca="false">U286*INDEX(input_data!$L:$L,MATCH(dashboard!$B$5&amp;".in.enp.stl.oth.gso",input_data!$A:$A,0))</f>
        <v>0</v>
      </c>
      <c r="V300" s="119" t="n">
        <f aca="false">V286*INDEX(input_data!$L:$L,MATCH(dashboard!$B$5&amp;".in.enp.stl.oth.gso",input_data!$A:$A,0))</f>
        <v>0</v>
      </c>
      <c r="W300" s="119" t="n">
        <f aca="false">W286*INDEX(input_data!$L:$L,MATCH(dashboard!$B$5&amp;".in.enp.stl.oth.gso",input_data!$A:$A,0))</f>
        <v>0</v>
      </c>
      <c r="X300" s="119" t="n">
        <f aca="false">X286*INDEX(input_data!$L:$L,MATCH(dashboard!$B$5&amp;".in.enp.stl.oth.gso",input_data!$A:$A,0))</f>
        <v>0</v>
      </c>
    </row>
    <row r="301" customFormat="false" ht="15" hidden="false" customHeight="true" outlineLevel="0" collapsed="false">
      <c r="A301" s="108" t="str">
        <f aca="false">dashboard!$B$5&amp;".pj.enp.stl.oth.die"</f>
        <v>egy.pj.enp.stl.oth.die</v>
      </c>
      <c r="B301" s="108" t="str">
        <f aca="false">dashboard!$B$5</f>
        <v>egy</v>
      </c>
      <c r="C301" s="108" t="s">
        <v>3401</v>
      </c>
      <c r="D301" s="108" t="s">
        <v>918</v>
      </c>
      <c r="E301" s="108" t="s">
        <v>705</v>
      </c>
      <c r="F301" s="108" t="s">
        <v>2863</v>
      </c>
      <c r="G301" s="108" t="s">
        <v>103</v>
      </c>
      <c r="H301" s="108" t="s">
        <v>3722</v>
      </c>
      <c r="I301" s="108" t="s">
        <v>3424</v>
      </c>
      <c r="J301" s="108"/>
      <c r="K301" s="108"/>
      <c r="L301" s="108"/>
      <c r="M301" s="119" t="n">
        <f aca="false">M286*INDEX(input_data!$L:$L,MATCH(dashboard!$B$5&amp;".in.enp.stl.oth.die",input_data!$A:$A,0))</f>
        <v>0</v>
      </c>
      <c r="N301" s="119" t="n">
        <f aca="false">N286*INDEX(input_data!$L:$L,MATCH(dashboard!$B$5&amp;".in.enp.stl.oth.die",input_data!$A:$A,0))</f>
        <v>0</v>
      </c>
      <c r="O301" s="119" t="n">
        <f aca="false">O286*INDEX(input_data!$L:$L,MATCH(dashboard!$B$5&amp;".in.enp.stl.oth.die",input_data!$A:$A,0))</f>
        <v>0</v>
      </c>
      <c r="P301" s="119" t="n">
        <f aca="false">P286*INDEX(input_data!$L:$L,MATCH(dashboard!$B$5&amp;".in.enp.stl.oth.die",input_data!$A:$A,0))</f>
        <v>0</v>
      </c>
      <c r="Q301" s="119" t="n">
        <f aca="false">Q286*INDEX(input_data!$L:$L,MATCH(dashboard!$B$5&amp;".in.enp.stl.oth.die",input_data!$A:$A,0))</f>
        <v>0</v>
      </c>
      <c r="R301" s="119" t="n">
        <f aca="false">R286*INDEX(input_data!$L:$L,MATCH(dashboard!$B$5&amp;".in.enp.stl.oth.die",input_data!$A:$A,0))</f>
        <v>0</v>
      </c>
      <c r="S301" s="119" t="n">
        <f aca="false">S286*INDEX(input_data!$L:$L,MATCH(dashboard!$B$5&amp;".in.enp.stl.oth.die",input_data!$A:$A,0))</f>
        <v>0</v>
      </c>
      <c r="T301" s="119" t="n">
        <f aca="false">T286*INDEX(input_data!$L:$L,MATCH(dashboard!$B$5&amp;".in.enp.stl.oth.die",input_data!$A:$A,0))</f>
        <v>0</v>
      </c>
      <c r="U301" s="119" t="n">
        <f aca="false">U286*INDEX(input_data!$L:$L,MATCH(dashboard!$B$5&amp;".in.enp.stl.oth.die",input_data!$A:$A,0))</f>
        <v>0</v>
      </c>
      <c r="V301" s="119" t="n">
        <f aca="false">V286*INDEX(input_data!$L:$L,MATCH(dashboard!$B$5&amp;".in.enp.stl.oth.die",input_data!$A:$A,0))</f>
        <v>0</v>
      </c>
      <c r="W301" s="119" t="n">
        <f aca="false">W286*INDEX(input_data!$L:$L,MATCH(dashboard!$B$5&amp;".in.enp.stl.oth.die",input_data!$A:$A,0))</f>
        <v>0</v>
      </c>
      <c r="X301" s="119" t="n">
        <f aca="false">X286*INDEX(input_data!$L:$L,MATCH(dashboard!$B$5&amp;".in.enp.stl.oth.die",input_data!$A:$A,0))</f>
        <v>0</v>
      </c>
    </row>
    <row r="302" customFormat="false" ht="15" hidden="false" customHeight="true" outlineLevel="0" collapsed="false">
      <c r="A302" s="108" t="str">
        <f aca="false">dashboard!$B$5&amp;".pj.enp.stl.oth.ker"</f>
        <v>egy.pj.enp.stl.oth.ker</v>
      </c>
      <c r="B302" s="108" t="str">
        <f aca="false">dashboard!$B$5</f>
        <v>egy</v>
      </c>
      <c r="C302" s="108" t="s">
        <v>3401</v>
      </c>
      <c r="D302" s="108" t="s">
        <v>918</v>
      </c>
      <c r="E302" s="108" t="s">
        <v>705</v>
      </c>
      <c r="F302" s="108" t="s">
        <v>2863</v>
      </c>
      <c r="G302" s="108" t="s">
        <v>105</v>
      </c>
      <c r="H302" s="108" t="s">
        <v>3723</v>
      </c>
      <c r="I302" s="108" t="s">
        <v>3424</v>
      </c>
      <c r="J302" s="108"/>
      <c r="K302" s="108"/>
      <c r="L302" s="108"/>
      <c r="M302" s="119" t="n">
        <f aca="false">M286*INDEX(input_data!$L:$L,MATCH(dashboard!$B$5&amp;".in.enp.stl.oth.ker",input_data!$A:$A,0))</f>
        <v>0</v>
      </c>
      <c r="N302" s="119" t="n">
        <f aca="false">N286*INDEX(input_data!$L:$L,MATCH(dashboard!$B$5&amp;".in.enp.stl.oth.ker",input_data!$A:$A,0))</f>
        <v>0</v>
      </c>
      <c r="O302" s="119" t="n">
        <f aca="false">O286*INDEX(input_data!$L:$L,MATCH(dashboard!$B$5&amp;".in.enp.stl.oth.ker",input_data!$A:$A,0))</f>
        <v>0</v>
      </c>
      <c r="P302" s="119" t="n">
        <f aca="false">P286*INDEX(input_data!$L:$L,MATCH(dashboard!$B$5&amp;".in.enp.stl.oth.ker",input_data!$A:$A,0))</f>
        <v>0</v>
      </c>
      <c r="Q302" s="119" t="n">
        <f aca="false">Q286*INDEX(input_data!$L:$L,MATCH(dashboard!$B$5&amp;".in.enp.stl.oth.ker",input_data!$A:$A,0))</f>
        <v>0</v>
      </c>
      <c r="R302" s="119" t="n">
        <f aca="false">R286*INDEX(input_data!$L:$L,MATCH(dashboard!$B$5&amp;".in.enp.stl.oth.ker",input_data!$A:$A,0))</f>
        <v>0</v>
      </c>
      <c r="S302" s="119" t="n">
        <f aca="false">S286*INDEX(input_data!$L:$L,MATCH(dashboard!$B$5&amp;".in.enp.stl.oth.ker",input_data!$A:$A,0))</f>
        <v>0</v>
      </c>
      <c r="T302" s="119" t="n">
        <f aca="false">T286*INDEX(input_data!$L:$L,MATCH(dashboard!$B$5&amp;".in.enp.stl.oth.ker",input_data!$A:$A,0))</f>
        <v>0</v>
      </c>
      <c r="U302" s="119" t="n">
        <f aca="false">U286*INDEX(input_data!$L:$L,MATCH(dashboard!$B$5&amp;".in.enp.stl.oth.ker",input_data!$A:$A,0))</f>
        <v>0</v>
      </c>
      <c r="V302" s="119" t="n">
        <f aca="false">V286*INDEX(input_data!$L:$L,MATCH(dashboard!$B$5&amp;".in.enp.stl.oth.ker",input_data!$A:$A,0))</f>
        <v>0</v>
      </c>
      <c r="W302" s="119" t="n">
        <f aca="false">W286*INDEX(input_data!$L:$L,MATCH(dashboard!$B$5&amp;".in.enp.stl.oth.ker",input_data!$A:$A,0))</f>
        <v>0</v>
      </c>
      <c r="X302" s="119" t="n">
        <f aca="false">X286*INDEX(input_data!$L:$L,MATCH(dashboard!$B$5&amp;".in.enp.stl.oth.ker",input_data!$A:$A,0))</f>
        <v>0</v>
      </c>
    </row>
    <row r="303" customFormat="false" ht="15" hidden="false" customHeight="true" outlineLevel="0" collapsed="false">
      <c r="A303" s="108" t="str">
        <f aca="false">dashboard!$B$5&amp;".pj.enp.stl.oth.lpg"</f>
        <v>egy.pj.enp.stl.oth.lpg</v>
      </c>
      <c r="B303" s="108" t="str">
        <f aca="false">dashboard!$B$5</f>
        <v>egy</v>
      </c>
      <c r="C303" s="108" t="s">
        <v>3401</v>
      </c>
      <c r="D303" s="108" t="s">
        <v>918</v>
      </c>
      <c r="E303" s="108" t="s">
        <v>705</v>
      </c>
      <c r="F303" s="108" t="s">
        <v>2863</v>
      </c>
      <c r="G303" s="108" t="s">
        <v>107</v>
      </c>
      <c r="H303" s="108" t="s">
        <v>3724</v>
      </c>
      <c r="I303" s="108" t="s">
        <v>3424</v>
      </c>
      <c r="J303" s="108"/>
      <c r="K303" s="108"/>
      <c r="L303" s="108"/>
      <c r="M303" s="119" t="n">
        <f aca="false">M286*INDEX(input_data!$L:$L,MATCH(dashboard!$B$5&amp;".in.enp.stl.oth.lpg",input_data!$A:$A,0))</f>
        <v>0</v>
      </c>
      <c r="N303" s="119" t="n">
        <f aca="false">N286*INDEX(input_data!$L:$L,MATCH(dashboard!$B$5&amp;".in.enp.stl.oth.lpg",input_data!$A:$A,0))</f>
        <v>0</v>
      </c>
      <c r="O303" s="119" t="n">
        <f aca="false">O286*INDEX(input_data!$L:$L,MATCH(dashboard!$B$5&amp;".in.enp.stl.oth.lpg",input_data!$A:$A,0))</f>
        <v>0</v>
      </c>
      <c r="P303" s="119" t="n">
        <f aca="false">P286*INDEX(input_data!$L:$L,MATCH(dashboard!$B$5&amp;".in.enp.stl.oth.lpg",input_data!$A:$A,0))</f>
        <v>0</v>
      </c>
      <c r="Q303" s="119" t="n">
        <f aca="false">Q286*INDEX(input_data!$L:$L,MATCH(dashboard!$B$5&amp;".in.enp.stl.oth.lpg",input_data!$A:$A,0))</f>
        <v>0</v>
      </c>
      <c r="R303" s="119" t="n">
        <f aca="false">R286*INDEX(input_data!$L:$L,MATCH(dashboard!$B$5&amp;".in.enp.stl.oth.lpg",input_data!$A:$A,0))</f>
        <v>0</v>
      </c>
      <c r="S303" s="119" t="n">
        <f aca="false">S286*INDEX(input_data!$L:$L,MATCH(dashboard!$B$5&amp;".in.enp.stl.oth.lpg",input_data!$A:$A,0))</f>
        <v>0</v>
      </c>
      <c r="T303" s="119" t="n">
        <f aca="false">T286*INDEX(input_data!$L:$L,MATCH(dashboard!$B$5&amp;".in.enp.stl.oth.lpg",input_data!$A:$A,0))</f>
        <v>0</v>
      </c>
      <c r="U303" s="119" t="n">
        <f aca="false">U286*INDEX(input_data!$L:$L,MATCH(dashboard!$B$5&amp;".in.enp.stl.oth.lpg",input_data!$A:$A,0))</f>
        <v>0</v>
      </c>
      <c r="V303" s="119" t="n">
        <f aca="false">V286*INDEX(input_data!$L:$L,MATCH(dashboard!$B$5&amp;".in.enp.stl.oth.lpg",input_data!$A:$A,0))</f>
        <v>0</v>
      </c>
      <c r="W303" s="119" t="n">
        <f aca="false">W286*INDEX(input_data!$L:$L,MATCH(dashboard!$B$5&amp;".in.enp.stl.oth.lpg",input_data!$A:$A,0))</f>
        <v>0</v>
      </c>
      <c r="X303" s="119" t="n">
        <f aca="false">X286*INDEX(input_data!$L:$L,MATCH(dashboard!$B$5&amp;".in.enp.stl.oth.lpg",input_data!$A:$A,0))</f>
        <v>0</v>
      </c>
    </row>
    <row r="304" customFormat="false" ht="15" hidden="false" customHeight="true" outlineLevel="0" collapsed="false">
      <c r="A304" s="108" t="str">
        <f aca="false">dashboard!$B$5&amp;".pj.enp.stl.oth.bio"</f>
        <v>egy.pj.enp.stl.oth.bio</v>
      </c>
      <c r="B304" s="108" t="str">
        <f aca="false">dashboard!$B$5</f>
        <v>egy</v>
      </c>
      <c r="C304" s="108" t="s">
        <v>3401</v>
      </c>
      <c r="D304" s="108" t="s">
        <v>918</v>
      </c>
      <c r="E304" s="108" t="s">
        <v>705</v>
      </c>
      <c r="F304" s="108" t="s">
        <v>2863</v>
      </c>
      <c r="G304" s="108" t="s">
        <v>109</v>
      </c>
      <c r="H304" s="108" t="s">
        <v>3725</v>
      </c>
      <c r="I304" s="108" t="s">
        <v>3424</v>
      </c>
      <c r="J304" s="108"/>
      <c r="K304" s="108"/>
      <c r="L304" s="108"/>
      <c r="M304" s="119" t="n">
        <f aca="false">M286*INDEX(input_data!$L:$L,MATCH(dashboard!$B$5&amp;".in.enp.stl.oth.bio",input_data!$A:$A,0))</f>
        <v>0</v>
      </c>
      <c r="N304" s="119" t="n">
        <f aca="false">N286*INDEX(input_data!$L:$L,MATCH(dashboard!$B$5&amp;".in.enp.stl.oth.bio",input_data!$A:$A,0))</f>
        <v>0</v>
      </c>
      <c r="O304" s="119" t="n">
        <f aca="false">O286*INDEX(input_data!$L:$L,MATCH(dashboard!$B$5&amp;".in.enp.stl.oth.bio",input_data!$A:$A,0))</f>
        <v>0</v>
      </c>
      <c r="P304" s="119" t="n">
        <f aca="false">P286*INDEX(input_data!$L:$L,MATCH(dashboard!$B$5&amp;".in.enp.stl.oth.bio",input_data!$A:$A,0))</f>
        <v>0</v>
      </c>
      <c r="Q304" s="119" t="n">
        <f aca="false">Q286*INDEX(input_data!$L:$L,MATCH(dashboard!$B$5&amp;".in.enp.stl.oth.bio",input_data!$A:$A,0))</f>
        <v>0</v>
      </c>
      <c r="R304" s="119" t="n">
        <f aca="false">R286*INDEX(input_data!$L:$L,MATCH(dashboard!$B$5&amp;".in.enp.stl.oth.bio",input_data!$A:$A,0))</f>
        <v>0</v>
      </c>
      <c r="S304" s="119" t="n">
        <f aca="false">S286*INDEX(input_data!$L:$L,MATCH(dashboard!$B$5&amp;".in.enp.stl.oth.bio",input_data!$A:$A,0))</f>
        <v>0</v>
      </c>
      <c r="T304" s="119" t="n">
        <f aca="false">T286*INDEX(input_data!$L:$L,MATCH(dashboard!$B$5&amp;".in.enp.stl.oth.bio",input_data!$A:$A,0))</f>
        <v>0</v>
      </c>
      <c r="U304" s="119" t="n">
        <f aca="false">U286*INDEX(input_data!$L:$L,MATCH(dashboard!$B$5&amp;".in.enp.stl.oth.bio",input_data!$A:$A,0))</f>
        <v>0</v>
      </c>
      <c r="V304" s="119" t="n">
        <f aca="false">V286*INDEX(input_data!$L:$L,MATCH(dashboard!$B$5&amp;".in.enp.stl.oth.bio",input_data!$A:$A,0))</f>
        <v>0</v>
      </c>
      <c r="W304" s="119" t="n">
        <f aca="false">W286*INDEX(input_data!$L:$L,MATCH(dashboard!$B$5&amp;".in.enp.stl.oth.bio",input_data!$A:$A,0))</f>
        <v>0</v>
      </c>
      <c r="X304" s="119" t="n">
        <f aca="false">X286*INDEX(input_data!$L:$L,MATCH(dashboard!$B$5&amp;".in.enp.stl.oth.bio",input_data!$A:$A,0))</f>
        <v>0</v>
      </c>
    </row>
    <row r="305" customFormat="false" ht="15" hidden="false" customHeight="true" outlineLevel="0" collapsed="false">
      <c r="A305" s="108" t="str">
        <f aca="false">dashboard!$B$5&amp;".pj.enp.stl.oth.ren"</f>
        <v>egy.pj.enp.stl.oth.ren</v>
      </c>
      <c r="B305" s="108" t="str">
        <f aca="false">dashboard!$B$5</f>
        <v>egy</v>
      </c>
      <c r="C305" s="108" t="s">
        <v>3401</v>
      </c>
      <c r="D305" s="108" t="s">
        <v>918</v>
      </c>
      <c r="E305" s="108" t="s">
        <v>705</v>
      </c>
      <c r="F305" s="108" t="s">
        <v>2863</v>
      </c>
      <c r="G305" s="108" t="s">
        <v>111</v>
      </c>
      <c r="H305" s="108" t="s">
        <v>3726</v>
      </c>
      <c r="I305" s="108" t="s">
        <v>3424</v>
      </c>
      <c r="J305" s="108"/>
      <c r="K305" s="108"/>
      <c r="L305" s="108"/>
      <c r="M305" s="119" t="n">
        <f aca="false">M286*INDEX(input_data!$L:$L,MATCH(dashboard!$B$5&amp;".in.enp.stl.oth.ren",input_data!$A:$A,0))</f>
        <v>0</v>
      </c>
      <c r="N305" s="119" t="n">
        <f aca="false">N286*INDEX(input_data!$L:$L,MATCH(dashboard!$B$5&amp;".in.enp.stl.oth.ren",input_data!$A:$A,0))</f>
        <v>0</v>
      </c>
      <c r="O305" s="119" t="n">
        <f aca="false">O286*INDEX(input_data!$L:$L,MATCH(dashboard!$B$5&amp;".in.enp.stl.oth.ren",input_data!$A:$A,0))</f>
        <v>0</v>
      </c>
      <c r="P305" s="119" t="n">
        <f aca="false">P286*INDEX(input_data!$L:$L,MATCH(dashboard!$B$5&amp;".in.enp.stl.oth.ren",input_data!$A:$A,0))</f>
        <v>0</v>
      </c>
      <c r="Q305" s="119" t="n">
        <f aca="false">Q286*INDEX(input_data!$L:$L,MATCH(dashboard!$B$5&amp;".in.enp.stl.oth.ren",input_data!$A:$A,0))</f>
        <v>0</v>
      </c>
      <c r="R305" s="119" t="n">
        <f aca="false">R286*INDEX(input_data!$L:$L,MATCH(dashboard!$B$5&amp;".in.enp.stl.oth.ren",input_data!$A:$A,0))</f>
        <v>0</v>
      </c>
      <c r="S305" s="119" t="n">
        <f aca="false">S286*INDEX(input_data!$L:$L,MATCH(dashboard!$B$5&amp;".in.enp.stl.oth.ren",input_data!$A:$A,0))</f>
        <v>0</v>
      </c>
      <c r="T305" s="119" t="n">
        <f aca="false">T286*INDEX(input_data!$L:$L,MATCH(dashboard!$B$5&amp;".in.enp.stl.oth.ren",input_data!$A:$A,0))</f>
        <v>0</v>
      </c>
      <c r="U305" s="119" t="n">
        <f aca="false">U286*INDEX(input_data!$L:$L,MATCH(dashboard!$B$5&amp;".in.enp.stl.oth.ren",input_data!$A:$A,0))</f>
        <v>0</v>
      </c>
      <c r="V305" s="119" t="n">
        <f aca="false">V286*INDEX(input_data!$L:$L,MATCH(dashboard!$B$5&amp;".in.enp.stl.oth.ren",input_data!$A:$A,0))</f>
        <v>0</v>
      </c>
      <c r="W305" s="119" t="n">
        <f aca="false">W286*INDEX(input_data!$L:$L,MATCH(dashboard!$B$5&amp;".in.enp.stl.oth.ren",input_data!$A:$A,0))</f>
        <v>0</v>
      </c>
      <c r="X305" s="119" t="n">
        <f aca="false">X286*INDEX(input_data!$L:$L,MATCH(dashboard!$B$5&amp;".in.enp.stl.oth.ren",input_data!$A:$A,0))</f>
        <v>0</v>
      </c>
    </row>
    <row r="306" customFormat="false" ht="15" hidden="false" customHeight="true" outlineLevel="0" collapsed="false">
      <c r="A306" s="108" t="str">
        <f aca="false">dashboard!$B$5&amp;".pj.ele.stl.oth.elc"</f>
        <v>egy.pj.ele.stl.oth.elc</v>
      </c>
      <c r="B306" s="108" t="str">
        <f aca="false">dashboard!$B$5</f>
        <v>egy</v>
      </c>
      <c r="C306" s="108" t="s">
        <v>3401</v>
      </c>
      <c r="D306" s="108" t="s">
        <v>943</v>
      </c>
      <c r="E306" s="108" t="s">
        <v>705</v>
      </c>
      <c r="F306" s="108" t="s">
        <v>2863</v>
      </c>
      <c r="G306" s="108" t="s">
        <v>944</v>
      </c>
      <c r="H306" s="108" t="s">
        <v>3727</v>
      </c>
      <c r="I306" s="108" t="s">
        <v>3424</v>
      </c>
      <c r="J306" s="108"/>
      <c r="K306" s="108"/>
      <c r="L306" s="108"/>
      <c r="M306" s="119" t="n">
        <f aca="false">M286*INDEX(input_data!$L:$L,MATCH(dashboard!$B$5&amp;".in.ele.stl.oth.elc",input_data!$A:$A,0))</f>
        <v>0.7</v>
      </c>
      <c r="N306" s="119" t="n">
        <f aca="false">N286*INDEX(input_data!$L:$L,MATCH(dashboard!$B$5&amp;".in.ele.stl.oth.elc",input_data!$A:$A,0))</f>
        <v>0.7385</v>
      </c>
      <c r="O306" s="119" t="n">
        <f aca="false">O286*INDEX(input_data!$L:$L,MATCH(dashboard!$B$5&amp;".in.ele.stl.oth.elc",input_data!$A:$A,0))</f>
        <v>0.7791175</v>
      </c>
      <c r="P306" s="119" t="n">
        <f aca="false">P286*INDEX(input_data!$L:$L,MATCH(dashboard!$B$5&amp;".in.ele.stl.oth.elc",input_data!$A:$A,0))</f>
        <v>0.8219689625</v>
      </c>
      <c r="Q306" s="119" t="n">
        <f aca="false">Q286*INDEX(input_data!$L:$L,MATCH(dashboard!$B$5&amp;".in.ele.stl.oth.elc",input_data!$A:$A,0))</f>
        <v>0.8671772554375</v>
      </c>
      <c r="R306" s="119" t="n">
        <f aca="false">R286*INDEX(input_data!$L:$L,MATCH(dashboard!$B$5&amp;".in.ele.stl.oth.elc",input_data!$A:$A,0))</f>
        <v>0.914872004486562</v>
      </c>
      <c r="S306" s="119" t="n">
        <f aca="false">S286*INDEX(input_data!$L:$L,MATCH(dashboard!$B$5&amp;".in.ele.stl.oth.elc",input_data!$A:$A,0))</f>
        <v>0.965189964733323</v>
      </c>
      <c r="T306" s="119" t="n">
        <f aca="false">T286*INDEX(input_data!$L:$L,MATCH(dashboard!$B$5&amp;".in.ele.stl.oth.elc",input_data!$A:$A,0))</f>
        <v>1.01827541279366</v>
      </c>
      <c r="U306" s="119" t="n">
        <f aca="false">U286*INDEX(input_data!$L:$L,MATCH(dashboard!$B$5&amp;".in.ele.stl.oth.elc",input_data!$A:$A,0))</f>
        <v>1.07428056049731</v>
      </c>
      <c r="V306" s="119" t="n">
        <f aca="false">V286*INDEX(input_data!$L:$L,MATCH(dashboard!$B$5&amp;".in.ele.stl.oth.elc",input_data!$A:$A,0))</f>
        <v>1.13336599132466</v>
      </c>
      <c r="W306" s="119" t="n">
        <f aca="false">W286*INDEX(input_data!$L:$L,MATCH(dashboard!$B$5&amp;".in.ele.stl.oth.elc",input_data!$A:$A,0))</f>
        <v>1.19570112084752</v>
      </c>
      <c r="X306" s="119" t="n">
        <f aca="false">X286*INDEX(input_data!$L:$L,MATCH(dashboard!$B$5&amp;".in.ele.stl.oth.elc",input_data!$A:$A,0))</f>
        <v>1.26146468249413</v>
      </c>
    </row>
    <row r="307" customFormat="false" ht="15" hidden="false" customHeight="true" outlineLevel="0" collapsed="false">
      <c r="A307" s="108" t="str">
        <f aca="false">dashboard!$B$5&amp;".em.sfc.stl.oth.---"</f>
        <v>egy.em.sfc.stl.oth.---</v>
      </c>
      <c r="B307" s="108" t="str">
        <f aca="false">dashboard!$B$5</f>
        <v>egy</v>
      </c>
      <c r="C307" s="108" t="s">
        <v>3444</v>
      </c>
      <c r="D307" s="108" t="s">
        <v>3445</v>
      </c>
      <c r="E307" s="108" t="s">
        <v>705</v>
      </c>
      <c r="F307" s="108" t="s">
        <v>2863</v>
      </c>
      <c r="G307" s="108" t="s">
        <v>655</v>
      </c>
      <c r="H307" s="108" t="s">
        <v>3728</v>
      </c>
      <c r="I307" s="108" t="s">
        <v>3447</v>
      </c>
      <c r="J307" s="108"/>
      <c r="K307" s="108"/>
      <c r="L307" s="108"/>
      <c r="M307" s="119" t="n">
        <f aca="false">SUMPRODUCT(M290:M297,M10:M17)/1000</f>
        <v>0.03444</v>
      </c>
      <c r="N307" s="119" t="n">
        <f aca="false">SUMPRODUCT(N290:N297,N10:N17)/1000</f>
        <v>0.0363342</v>
      </c>
      <c r="O307" s="119" t="n">
        <f aca="false">SUMPRODUCT(O290:O297,O10:O17)/1000</f>
        <v>0.038332581</v>
      </c>
      <c r="P307" s="119" t="n">
        <f aca="false">SUMPRODUCT(P290:P297,P10:P17)/1000</f>
        <v>0.040440872955</v>
      </c>
      <c r="Q307" s="119" t="n">
        <f aca="false">SUMPRODUCT(Q290:Q297,Q10:Q17)/1000</f>
        <v>0.042665120967525</v>
      </c>
      <c r="R307" s="119" t="n">
        <f aca="false">SUMPRODUCT(R290:R297,R10:R17)/1000</f>
        <v>0.0450117026207389</v>
      </c>
      <c r="S307" s="119" t="n">
        <f aca="false">SUMPRODUCT(S290:S297,S10:S17)/1000</f>
        <v>0.0474873462648795</v>
      </c>
      <c r="T307" s="119" t="n">
        <f aca="false">SUMPRODUCT(T290:T297,T10:T17)/1000</f>
        <v>0.0500991503094479</v>
      </c>
      <c r="U307" s="119" t="n">
        <f aca="false">SUMPRODUCT(U290:U297,U10:U17)/1000</f>
        <v>0.0528546035764675</v>
      </c>
      <c r="V307" s="119" t="n">
        <f aca="false">SUMPRODUCT(V290:V297,V10:V17)/1000</f>
        <v>0.0557616067731732</v>
      </c>
      <c r="W307" s="119" t="n">
        <f aca="false">SUMPRODUCT(W290:W297,W10:W17)/1000</f>
        <v>0.0588284951456978</v>
      </c>
      <c r="X307" s="119" t="n">
        <f aca="false">SUMPRODUCT(X290:X297,X10:X17)/1000</f>
        <v>0.0620640623787111</v>
      </c>
    </row>
    <row r="308" customFormat="false" ht="15" hidden="false" customHeight="true" outlineLevel="0" collapsed="false">
      <c r="A308" s="108" t="str">
        <f aca="false">dashboard!$B$5&amp;".em.sfp.stl.oth.---"</f>
        <v>egy.em.sfp.stl.oth.---</v>
      </c>
      <c r="B308" s="108" t="str">
        <f aca="false">dashboard!$B$5</f>
        <v>egy</v>
      </c>
      <c r="C308" s="108" t="s">
        <v>3444</v>
      </c>
      <c r="D308" s="108" t="s">
        <v>3449</v>
      </c>
      <c r="E308" s="108" t="s">
        <v>705</v>
      </c>
      <c r="F308" s="108" t="s">
        <v>2863</v>
      </c>
      <c r="G308" s="108" t="s">
        <v>655</v>
      </c>
      <c r="H308" s="108" t="s">
        <v>3729</v>
      </c>
      <c r="I308" s="108" t="s">
        <v>3447</v>
      </c>
      <c r="J308" s="108"/>
      <c r="K308" s="108"/>
      <c r="L308" s="108"/>
      <c r="M308" s="119" t="n">
        <f aca="false">SUMPRODUCT(M298:M305,M10:M17)/1000</f>
        <v>0.13454</v>
      </c>
      <c r="N308" s="119" t="n">
        <f aca="false">SUMPRODUCT(N298:N305,N10:N17)/1000</f>
        <v>0.1419397</v>
      </c>
      <c r="O308" s="119" t="n">
        <f aca="false">SUMPRODUCT(O298:O305,O10:O17)/1000</f>
        <v>0.1497463835</v>
      </c>
      <c r="P308" s="119" t="n">
        <f aca="false">SUMPRODUCT(P298:P305,P10:P17)/1000</f>
        <v>0.1579824345925</v>
      </c>
      <c r="Q308" s="119" t="n">
        <f aca="false">SUMPRODUCT(Q298:Q305,Q10:Q17)/1000</f>
        <v>0.166671468495088</v>
      </c>
      <c r="R308" s="119" t="n">
        <f aca="false">SUMPRODUCT(R298:R305,R10:R17)/1000</f>
        <v>0.175838399262317</v>
      </c>
      <c r="S308" s="119" t="n">
        <f aca="false">SUMPRODUCT(S298:S305,S10:S17)/1000</f>
        <v>0.185509511221745</v>
      </c>
      <c r="T308" s="119" t="n">
        <f aca="false">SUMPRODUCT(T298:T305,T10:T17)/1000</f>
        <v>0.195712534338941</v>
      </c>
      <c r="U308" s="119" t="n">
        <f aca="false">SUMPRODUCT(U298:U305,U10:U17)/1000</f>
        <v>0.206476723727582</v>
      </c>
      <c r="V308" s="119" t="n">
        <f aca="false">SUMPRODUCT(V298:V305,V10:V17)/1000</f>
        <v>0.217832943532599</v>
      </c>
      <c r="W308" s="119" t="n">
        <f aca="false">SUMPRODUCT(W298:W305,W10:W17)/1000</f>
        <v>0.229813755426892</v>
      </c>
      <c r="X308" s="119" t="n">
        <f aca="false">SUMPRODUCT(X298:X305,X10:X17)/1000</f>
        <v>0.242453511975371</v>
      </c>
    </row>
    <row r="309" customFormat="false" ht="15" hidden="false" customHeight="true" outlineLevel="0" collapsed="false">
      <c r="A309" s="108" t="str">
        <f aca="false">dashboard!$B$5&amp;".em.snp.stl.oth.---"</f>
        <v>egy.em.snp.stl.oth.---</v>
      </c>
      <c r="B309" s="108" t="str">
        <f aca="false">dashboard!$B$5</f>
        <v>egy</v>
      </c>
      <c r="C309" s="108" t="s">
        <v>3444</v>
      </c>
      <c r="D309" s="108" t="s">
        <v>3452</v>
      </c>
      <c r="E309" s="108" t="s">
        <v>705</v>
      </c>
      <c r="F309" s="108" t="s">
        <v>2863</v>
      </c>
      <c r="G309" s="108" t="s">
        <v>655</v>
      </c>
      <c r="H309" s="108" t="s">
        <v>3730</v>
      </c>
      <c r="I309" s="108" t="s">
        <v>3447</v>
      </c>
      <c r="J309" s="108"/>
      <c r="K309" s="108"/>
      <c r="L309" s="108"/>
      <c r="M309" s="119" t="n">
        <f aca="false">M286*INDEX(input_data!$L:$L,MATCH(dashboard!$B$5&amp;".in.efn.stl.oth.---",input_data!$A:$A,0))</f>
        <v>0</v>
      </c>
      <c r="N309" s="119" t="n">
        <f aca="false">N286*INDEX(input_data!$L:$L,MATCH(dashboard!$B$5&amp;".in.efn.stl.oth.---",input_data!$A:$A,0))</f>
        <v>0</v>
      </c>
      <c r="O309" s="119" t="n">
        <f aca="false">O286*INDEX(input_data!$L:$L,MATCH(dashboard!$B$5&amp;".in.efn.stl.oth.---",input_data!$A:$A,0))</f>
        <v>0</v>
      </c>
      <c r="P309" s="119" t="n">
        <f aca="false">P286*INDEX(input_data!$L:$L,MATCH(dashboard!$B$5&amp;".in.efn.stl.oth.---",input_data!$A:$A,0))</f>
        <v>0</v>
      </c>
      <c r="Q309" s="119" t="n">
        <f aca="false">Q286*INDEX(input_data!$L:$L,MATCH(dashboard!$B$5&amp;".in.efn.stl.oth.---",input_data!$A:$A,0))</f>
        <v>0</v>
      </c>
      <c r="R309" s="119" t="n">
        <f aca="false">R286*INDEX(input_data!$L:$L,MATCH(dashboard!$B$5&amp;".in.efn.stl.oth.---",input_data!$A:$A,0))</f>
        <v>0</v>
      </c>
      <c r="S309" s="119" t="n">
        <f aca="false">S286*INDEX(input_data!$L:$L,MATCH(dashboard!$B$5&amp;".in.efn.stl.oth.---",input_data!$A:$A,0))</f>
        <v>0</v>
      </c>
      <c r="T309" s="119" t="n">
        <f aca="false">T286*INDEX(input_data!$L:$L,MATCH(dashboard!$B$5&amp;".in.efn.stl.oth.---",input_data!$A:$A,0))</f>
        <v>0</v>
      </c>
      <c r="U309" s="119" t="n">
        <f aca="false">U286*INDEX(input_data!$L:$L,MATCH(dashboard!$B$5&amp;".in.efn.stl.oth.---",input_data!$A:$A,0))</f>
        <v>0</v>
      </c>
      <c r="V309" s="119" t="n">
        <f aca="false">V286*INDEX(input_data!$L:$L,MATCH(dashboard!$B$5&amp;".in.efn.stl.oth.---",input_data!$A:$A,0))</f>
        <v>0</v>
      </c>
      <c r="W309" s="119" t="n">
        <f aca="false">W286*INDEX(input_data!$L:$L,MATCH(dashboard!$B$5&amp;".in.efn.stl.oth.---",input_data!$A:$A,0))</f>
        <v>0</v>
      </c>
      <c r="X309" s="119" t="n">
        <f aca="false">X286*INDEX(input_data!$L:$L,MATCH(dashboard!$B$5&amp;".in.efn.stl.oth.---",input_data!$A:$A,0))</f>
        <v>0</v>
      </c>
    </row>
    <row r="310" customFormat="false" ht="15" hidden="false" customHeight="true" outlineLevel="0" collapsed="false">
      <c r="A310" s="108" t="str">
        <f aca="false">dashboard!$B$5&amp;".em.sno.stl.oth.---"</f>
        <v>egy.em.sno.stl.oth.---</v>
      </c>
      <c r="B310" s="108" t="str">
        <f aca="false">dashboard!$B$5</f>
        <v>egy</v>
      </c>
      <c r="C310" s="108" t="s">
        <v>3444</v>
      </c>
      <c r="D310" s="108" t="s">
        <v>3455</v>
      </c>
      <c r="E310" s="108" t="s">
        <v>705</v>
      </c>
      <c r="F310" s="108" t="s">
        <v>2863</v>
      </c>
      <c r="G310" s="108" t="s">
        <v>655</v>
      </c>
      <c r="H310" s="108" t="s">
        <v>3731</v>
      </c>
      <c r="I310" s="108" t="s">
        <v>3457</v>
      </c>
      <c r="J310" s="108"/>
      <c r="K310" s="108"/>
      <c r="L310" s="108"/>
      <c r="M310" s="119" t="n">
        <f aca="false">M286*INDEX(input_data!$L:$L,MATCH(dashboard!$B$5&amp;".in.efo.stl.oth.---",input_data!$A:$A,0))</f>
        <v>0</v>
      </c>
      <c r="N310" s="119" t="n">
        <f aca="false">N286*INDEX(input_data!$L:$L,MATCH(dashboard!$B$5&amp;".in.efo.stl.oth.---",input_data!$A:$A,0))</f>
        <v>0</v>
      </c>
      <c r="O310" s="119" t="n">
        <f aca="false">O286*INDEX(input_data!$L:$L,MATCH(dashboard!$B$5&amp;".in.efo.stl.oth.---",input_data!$A:$A,0))</f>
        <v>0</v>
      </c>
      <c r="P310" s="119" t="n">
        <f aca="false">P286*INDEX(input_data!$L:$L,MATCH(dashboard!$B$5&amp;".in.efo.stl.oth.---",input_data!$A:$A,0))</f>
        <v>0</v>
      </c>
      <c r="Q310" s="119" t="n">
        <f aca="false">Q286*INDEX(input_data!$L:$L,MATCH(dashboard!$B$5&amp;".in.efo.stl.oth.---",input_data!$A:$A,0))</f>
        <v>0</v>
      </c>
      <c r="R310" s="119" t="n">
        <f aca="false">R286*INDEX(input_data!$L:$L,MATCH(dashboard!$B$5&amp;".in.efo.stl.oth.---",input_data!$A:$A,0))</f>
        <v>0</v>
      </c>
      <c r="S310" s="119" t="n">
        <f aca="false">S286*INDEX(input_data!$L:$L,MATCH(dashboard!$B$5&amp;".in.efo.stl.oth.---",input_data!$A:$A,0))</f>
        <v>0</v>
      </c>
      <c r="T310" s="119" t="n">
        <f aca="false">T286*INDEX(input_data!$L:$L,MATCH(dashboard!$B$5&amp;".in.efo.stl.oth.---",input_data!$A:$A,0))</f>
        <v>0</v>
      </c>
      <c r="U310" s="119" t="n">
        <f aca="false">U286*INDEX(input_data!$L:$L,MATCH(dashboard!$B$5&amp;".in.efo.stl.oth.---",input_data!$A:$A,0))</f>
        <v>0</v>
      </c>
      <c r="V310" s="119" t="n">
        <f aca="false">V286*INDEX(input_data!$L:$L,MATCH(dashboard!$B$5&amp;".in.efo.stl.oth.---",input_data!$A:$A,0))</f>
        <v>0</v>
      </c>
      <c r="W310" s="119" t="n">
        <f aca="false">W286*INDEX(input_data!$L:$L,MATCH(dashboard!$B$5&amp;".in.efo.stl.oth.---",input_data!$A:$A,0))</f>
        <v>0</v>
      </c>
      <c r="X310" s="119" t="n">
        <f aca="false">X286*INDEX(input_data!$L:$L,MATCH(dashboard!$B$5&amp;".in.efo.stl.oth.---",input_data!$A:$A,0))</f>
        <v>0</v>
      </c>
    </row>
    <row r="311" customFormat="false" ht="15" hidden="false" customHeight="true" outlineLevel="0" collapsed="false">
      <c r="A311" s="108" t="str">
        <f aca="false">dashboard!$B$5&amp;".em.s2e.stl.oth.elc"</f>
        <v>egy.em.s2e.stl.oth.elc</v>
      </c>
      <c r="B311" s="108" t="str">
        <f aca="false">dashboard!$B$5</f>
        <v>egy</v>
      </c>
      <c r="C311" s="108" t="s">
        <v>3444</v>
      </c>
      <c r="D311" s="108" t="s">
        <v>3459</v>
      </c>
      <c r="E311" s="108" t="s">
        <v>705</v>
      </c>
      <c r="F311" s="108" t="s">
        <v>2863</v>
      </c>
      <c r="G311" s="108" t="s">
        <v>944</v>
      </c>
      <c r="H311" s="108" t="s">
        <v>3732</v>
      </c>
      <c r="I311" s="108" t="s">
        <v>3447</v>
      </c>
      <c r="J311" s="108"/>
      <c r="K311" s="108"/>
      <c r="L311" s="108"/>
      <c r="M311" s="119" t="n">
        <f aca="false">M306*INDEX(input_data!$M:$X,MATCH(dashboard!$B$5&amp;".in.gef.---.---.---",input_data!$A:$A,0),COLUMNS($M:M))/3.6</f>
        <v>0.0991666666666667</v>
      </c>
      <c r="N311" s="119" t="n">
        <f aca="false">N306*INDEX(input_data!$M:$X,MATCH(dashboard!$B$5&amp;".in.gef.---.---.---",input_data!$A:$A,0),COLUMNS($M:N))/3.6</f>
        <v>0.102569444444444</v>
      </c>
      <c r="O311" s="119" t="n">
        <f aca="false">O306*INDEX(input_data!$M:$X,MATCH(dashboard!$B$5&amp;".in.gef.---.---.---",input_data!$A:$A,0),COLUMNS($M:O))/3.6</f>
        <v>0.106046548611111</v>
      </c>
      <c r="P311" s="119" t="n">
        <f aca="false">P306*INDEX(input_data!$M:$X,MATCH(dashboard!$B$5&amp;".in.gef.---.---.---",input_data!$A:$A,0),COLUMNS($M:P))/3.6</f>
        <v>0.109595861666667</v>
      </c>
      <c r="Q311" s="119" t="n">
        <f aca="false">Q306*INDEX(input_data!$M:$X,MATCH(dashboard!$B$5&amp;".in.gef.---.---.---",input_data!$A:$A,0),COLUMNS($M:Q))/3.6</f>
        <v>0.113214808348785</v>
      </c>
      <c r="R311" s="119" t="n">
        <f aca="false">R306*INDEX(input_data!$M:$X,MATCH(dashboard!$B$5&amp;".in.gef.---.---.---",input_data!$A:$A,0),COLUMNS($M:R))/3.6</f>
        <v>0.116900311684394</v>
      </c>
      <c r="S311" s="119" t="n">
        <f aca="false">S306*INDEX(input_data!$M:$X,MATCH(dashboard!$B$5&amp;".in.gef.---.---.---",input_data!$A:$A,0),COLUMNS($M:S))/3.6</f>
        <v>0.120648745591665</v>
      </c>
      <c r="T311" s="119" t="n">
        <f aca="false">T306*INDEX(input_data!$M:$X,MATCH(dashboard!$B$5&amp;".in.gef.---.---.---",input_data!$A:$A,0),COLUMNS($M:T))/3.6</f>
        <v>0.124455883785891</v>
      </c>
      <c r="U311" s="119" t="n">
        <f aca="false">U306*INDEX(input_data!$M:$X,MATCH(dashboard!$B$5&amp;".in.gef.---.---.---",input_data!$A:$A,0),COLUMNS($M:U))/3.6</f>
        <v>0.128316844726067</v>
      </c>
      <c r="V311" s="119" t="n">
        <f aca="false">V306*INDEX(input_data!$M:$X,MATCH(dashboard!$B$5&amp;".in.gef.---.---.---",input_data!$A:$A,0),COLUMNS($M:V))/3.6</f>
        <v>0.13222603232121</v>
      </c>
      <c r="W311" s="119" t="n">
        <f aca="false">W306*INDEX(input_data!$M:$X,MATCH(dashboard!$B$5&amp;".in.gef.---.---.---",input_data!$A:$A,0),COLUMNS($M:W))/3.6</f>
        <v>0.136177072096523</v>
      </c>
      <c r="X311" s="119" t="n">
        <f aca="false">X306*INDEX(input_data!$M:$X,MATCH(dashboard!$B$5&amp;".in.gef.---.---.---",input_data!$A:$A,0),COLUMNS($M:X))/3.6</f>
        <v>0.140162742499348</v>
      </c>
    </row>
    <row r="312" customFormat="false" ht="15" hidden="false" customHeight="true" outlineLevel="0" collapsed="false">
      <c r="A312" s="108" t="str">
        <f aca="false">dashboard!$B$5&amp;".em.nh3.stl.oth.---"</f>
        <v>egy.em.nh3.stl.oth.---</v>
      </c>
      <c r="B312" s="108" t="str">
        <f aca="false">dashboard!$B$5</f>
        <v>egy</v>
      </c>
      <c r="C312" s="108" t="s">
        <v>3444</v>
      </c>
      <c r="D312" s="108" t="s">
        <v>727</v>
      </c>
      <c r="E312" s="108" t="s">
        <v>705</v>
      </c>
      <c r="F312" s="108" t="s">
        <v>2863</v>
      </c>
      <c r="G312" s="108" t="s">
        <v>655</v>
      </c>
      <c r="H312" s="108" t="s">
        <v>3733</v>
      </c>
      <c r="I312" s="108" t="s">
        <v>3457</v>
      </c>
      <c r="J312" s="108"/>
      <c r="K312" s="108"/>
      <c r="L312" s="108"/>
      <c r="M312" s="119" t="n">
        <f aca="false">INDEX(input_data!$L:$L,MATCH("all.in.nh3.stl.oth.---",input_data!$A:$A,0))*IFERROR((M153+M154+M155+M156)/M132,0)*M286</f>
        <v>0</v>
      </c>
      <c r="N312" s="119" t="n">
        <f aca="false">INDEX(input_data!$L:$L,MATCH("all.in.nh3.stl.oth.---",input_data!$A:$A,0))*IFERROR((N153+N154+N155+N156)/N132,0)*N286</f>
        <v>0</v>
      </c>
      <c r="O312" s="119" t="n">
        <f aca="false">INDEX(input_data!$L:$L,MATCH("all.in.nh3.stl.oth.---",input_data!$A:$A,0))*IFERROR((O153+O154+O155+O156)/O132,0)*O286</f>
        <v>0</v>
      </c>
      <c r="P312" s="119" t="n">
        <f aca="false">INDEX(input_data!$L:$L,MATCH("all.in.nh3.stl.oth.---",input_data!$A:$A,0))*IFERROR((P153+P154+P155+P156)/P132,0)*P286</f>
        <v>0</v>
      </c>
      <c r="Q312" s="119" t="n">
        <f aca="false">INDEX(input_data!$L:$L,MATCH("all.in.nh3.stl.oth.---",input_data!$A:$A,0))*IFERROR((Q153+Q154+Q155+Q156)/Q132,0)*Q286</f>
        <v>0</v>
      </c>
      <c r="R312" s="119" t="n">
        <f aca="false">INDEX(input_data!$L:$L,MATCH("all.in.nh3.stl.oth.---",input_data!$A:$A,0))*IFERROR((R153+R154+R155+R156)/R132,0)*R286</f>
        <v>0</v>
      </c>
      <c r="S312" s="119" t="n">
        <f aca="false">INDEX(input_data!$L:$L,MATCH("all.in.nh3.stl.oth.---",input_data!$A:$A,0))*IFERROR((S153+S154+S155+S156)/S132,0)*S286</f>
        <v>0</v>
      </c>
      <c r="T312" s="119" t="n">
        <f aca="false">INDEX(input_data!$L:$L,MATCH("all.in.nh3.stl.oth.---",input_data!$A:$A,0))*IFERROR((T153+T154+T155+T156)/T132,0)*T286</f>
        <v>0</v>
      </c>
      <c r="U312" s="119" t="n">
        <f aca="false">INDEX(input_data!$L:$L,MATCH("all.in.nh3.stl.oth.---",input_data!$A:$A,0))*IFERROR((U153+U154+U155+U156)/U132,0)*U286</f>
        <v>0</v>
      </c>
      <c r="V312" s="119" t="n">
        <f aca="false">INDEX(input_data!$L:$L,MATCH("all.in.nh3.stl.oth.---",input_data!$A:$A,0))*IFERROR((V153+V154+V155+V156)/V132,0)*V286</f>
        <v>0</v>
      </c>
      <c r="W312" s="119" t="n">
        <f aca="false">INDEX(input_data!$L:$L,MATCH("all.in.nh3.stl.oth.---",input_data!$A:$A,0))*IFERROR((W153+W154+W155+W156)/W132,0)*W286</f>
        <v>0</v>
      </c>
      <c r="X312" s="119" t="n">
        <f aca="false">INDEX(input_data!$L:$L,MATCH("all.in.nh3.stl.oth.---",input_data!$A:$A,0))*IFERROR((X153+X154+X155+X156)/X132,0)*X286</f>
        <v>0</v>
      </c>
    </row>
    <row r="313" customFormat="false" ht="15" hidden="false" customHeight="true" outlineLevel="0" collapsed="false">
      <c r="A313" s="108" t="str">
        <f aca="false">dashboard!$B$5&amp;".em.tot.stl.oth.---"</f>
        <v>egy.em.tot.stl.oth.---</v>
      </c>
      <c r="B313" s="108" t="str">
        <f aca="false">dashboard!$B$5</f>
        <v>egy</v>
      </c>
      <c r="C313" s="108" t="s">
        <v>3444</v>
      </c>
      <c r="D313" s="108" t="s">
        <v>3654</v>
      </c>
      <c r="E313" s="108" t="s">
        <v>705</v>
      </c>
      <c r="F313" s="108" t="s">
        <v>2863</v>
      </c>
      <c r="G313" s="108" t="s">
        <v>655</v>
      </c>
      <c r="H313" s="108" t="s">
        <v>3734</v>
      </c>
      <c r="I313" s="108" t="s">
        <v>3457</v>
      </c>
      <c r="J313" s="108"/>
      <c r="K313" s="108"/>
      <c r="L313" s="108"/>
      <c r="M313" s="120" t="n">
        <f aca="false">M307+M308+M309+M310+M311+M312</f>
        <v>0.268146666666667</v>
      </c>
      <c r="N313" s="120" t="n">
        <f aca="false">N307+N308+N309+N310+N311+N312</f>
        <v>0.280843344444444</v>
      </c>
      <c r="O313" s="120" t="n">
        <f aca="false">O307+O308+O309+O310+O311+O312</f>
        <v>0.294125513111111</v>
      </c>
      <c r="P313" s="120" t="n">
        <f aca="false">P307+P308+P309+P310+P311+P312</f>
        <v>0.308019169214167</v>
      </c>
      <c r="Q313" s="120" t="n">
        <f aca="false">Q307+Q308+Q309+Q310+Q311+Q312</f>
        <v>0.322551397811397</v>
      </c>
      <c r="R313" s="120" t="n">
        <f aca="false">R307+R308+R309+R310+R311+R312</f>
        <v>0.33775041356745</v>
      </c>
      <c r="S313" s="120" t="n">
        <f aca="false">S307+S308+S309+S310+S311+S312</f>
        <v>0.35364560307829</v>
      </c>
      <c r="T313" s="120" t="n">
        <f aca="false">T307+T308+T309+T310+T311+T312</f>
        <v>0.37026756843428</v>
      </c>
      <c r="U313" s="120" t="n">
        <f aca="false">U307+U308+U309+U310+U311+U312</f>
        <v>0.387648172030117</v>
      </c>
      <c r="V313" s="120" t="n">
        <f aca="false">V307+V308+V309+V310+V311+V312</f>
        <v>0.405820582626983</v>
      </c>
      <c r="W313" s="120" t="n">
        <f aca="false">W307+W308+W309+W310+W311+W312</f>
        <v>0.424819322669113</v>
      </c>
      <c r="X313" s="120" t="n">
        <f aca="false">X307+X308+X309+X310+X311+X312</f>
        <v>0.44468031685343</v>
      </c>
    </row>
    <row r="314" customFormat="false" ht="15" hidden="false" customHeight="true" outlineLevel="0" collapsed="false">
      <c r="A314" s="108" t="str">
        <f aca="false">dashboard!$B$5&amp;".cb.int.stl.oth.---"</f>
        <v>egy.cb.int.stl.oth.---</v>
      </c>
      <c r="B314" s="108" t="str">
        <f aca="false">dashboard!$B$5</f>
        <v>egy</v>
      </c>
      <c r="C314" s="108" t="s">
        <v>3657</v>
      </c>
      <c r="D314" s="108" t="s">
        <v>3658</v>
      </c>
      <c r="E314" s="108" t="s">
        <v>705</v>
      </c>
      <c r="F314" s="108" t="s">
        <v>2863</v>
      </c>
      <c r="G314" s="108" t="s">
        <v>655</v>
      </c>
      <c r="H314" s="108" t="s">
        <v>3735</v>
      </c>
      <c r="I314" s="108" t="s">
        <v>955</v>
      </c>
      <c r="J314" s="108"/>
      <c r="K314" s="108"/>
      <c r="L314" s="108"/>
      <c r="M314" s="121" t="n">
        <f aca="false">IFERROR(M313/M286,0)</f>
        <v>1.34073333333333</v>
      </c>
      <c r="N314" s="121" t="n">
        <f aca="false">IFERROR(N313/N286,0)</f>
        <v>1.33101111111111</v>
      </c>
      <c r="O314" s="121" t="n">
        <f aca="false">IFERROR(O313/O286,0)</f>
        <v>1.32128888888889</v>
      </c>
      <c r="P314" s="121" t="n">
        <f aca="false">IFERROR(P313/P286,0)</f>
        <v>1.31156666666667</v>
      </c>
      <c r="Q314" s="121" t="n">
        <f aca="false">IFERROR(Q313/Q286,0)</f>
        <v>1.30184444444444</v>
      </c>
      <c r="R314" s="121" t="n">
        <f aca="false">IFERROR(R313/R286,0)</f>
        <v>1.29212222222222</v>
      </c>
      <c r="S314" s="121" t="n">
        <f aca="false">IFERROR(S313/S286,0)</f>
        <v>1.2824</v>
      </c>
      <c r="T314" s="121" t="n">
        <f aca="false">IFERROR(T313/T286,0)</f>
        <v>1.27267777777778</v>
      </c>
      <c r="U314" s="121" t="n">
        <f aca="false">IFERROR(U313/U286,0)</f>
        <v>1.26295555555556</v>
      </c>
      <c r="V314" s="121" t="n">
        <f aca="false">IFERROR(V313/V286,0)</f>
        <v>1.25323333333333</v>
      </c>
      <c r="W314" s="121" t="n">
        <f aca="false">IFERROR(W313/W286,0)</f>
        <v>1.24351111111111</v>
      </c>
      <c r="X314" s="121" t="n">
        <f aca="false">IFERROR(X313/X286,0)</f>
        <v>1.23378888888889</v>
      </c>
    </row>
    <row r="315" customFormat="false" ht="15" hidden="false" customHeight="true" outlineLevel="0" collapsed="false">
      <c r="A315" s="108" t="str">
        <f aca="false">dashboard!$B$5&amp;".cb.mrv.stl.oth.---"</f>
        <v>egy.cb.mrv.stl.oth.---</v>
      </c>
      <c r="B315" s="108" t="str">
        <f aca="false">dashboard!$B$5</f>
        <v>egy</v>
      </c>
      <c r="C315" s="108" t="s">
        <v>3657</v>
      </c>
      <c r="D315" s="108" t="s">
        <v>814</v>
      </c>
      <c r="E315" s="108" t="s">
        <v>705</v>
      </c>
      <c r="F315" s="108" t="s">
        <v>2863</v>
      </c>
      <c r="G315" s="108" t="s">
        <v>655</v>
      </c>
      <c r="H315" s="108" t="s">
        <v>3736</v>
      </c>
      <c r="I315" s="108" t="s">
        <v>955</v>
      </c>
      <c r="J315" s="108"/>
      <c r="K315" s="108"/>
      <c r="L315" s="108"/>
      <c r="M315" s="122" t="n">
        <f aca="false">IFERROR(IF(INDEX(input_data!$L:$L,MATCH("all.in.mrv.stl.oth.---",input_data!$A:$A,0))=1,((M313-M311*(1-INDEX(input_data!$L:$L,MATCH("all.in.cs2.stl.oth.---",input_data!$A:$A,0))))/M286),INDEX(input_data!$L:$L,MATCH("all.in.dfv.stl.oth.---",input_data!$A:$A,0))),0)</f>
        <v>0.8449</v>
      </c>
      <c r="N315" s="122" t="n">
        <f aca="false">IFERROR(IF(INDEX(input_data!$L:$L,MATCH("all.in.mrv.stl.oth.---",input_data!$A:$A,0))=1,((N313-N311*(1-INDEX(input_data!$L:$L,MATCH("all.in.cs2.stl.oth.---",input_data!$A:$A,0))))/N286),INDEX(input_data!$L:$L,MATCH("all.in.dfv.stl.oth.---",input_data!$A:$A,0))),0)</f>
        <v>0.8449</v>
      </c>
      <c r="O315" s="122" t="n">
        <f aca="false">IFERROR(IF(INDEX(input_data!$L:$L,MATCH("all.in.mrv.stl.oth.---",input_data!$A:$A,0))=1,((O313-O311*(1-INDEX(input_data!$L:$L,MATCH("all.in.cs2.stl.oth.---",input_data!$A:$A,0))))/O286),INDEX(input_data!$L:$L,MATCH("all.in.dfv.stl.oth.---",input_data!$A:$A,0))),0)</f>
        <v>0.8449</v>
      </c>
      <c r="P315" s="122" t="n">
        <f aca="false">IFERROR(IF(INDEX(input_data!$L:$L,MATCH("all.in.mrv.stl.oth.---",input_data!$A:$A,0))=1,((P313-P311*(1-INDEX(input_data!$L:$L,MATCH("all.in.cs2.stl.oth.---",input_data!$A:$A,0))))/P286),INDEX(input_data!$L:$L,MATCH("all.in.dfv.stl.oth.---",input_data!$A:$A,0))),0)</f>
        <v>0.8449</v>
      </c>
      <c r="Q315" s="122" t="n">
        <f aca="false">IFERROR(IF(INDEX(input_data!$L:$L,MATCH("all.in.mrv.stl.oth.---",input_data!$A:$A,0))=1,((Q313-Q311*(1-INDEX(input_data!$L:$L,MATCH("all.in.cs2.stl.oth.---",input_data!$A:$A,0))))/Q286),INDEX(input_data!$L:$L,MATCH("all.in.dfv.stl.oth.---",input_data!$A:$A,0))),0)</f>
        <v>0.8449</v>
      </c>
      <c r="R315" s="122" t="n">
        <f aca="false">IFERROR(IF(INDEX(input_data!$L:$L,MATCH("all.in.mrv.stl.oth.---",input_data!$A:$A,0))=1,((R313-R311*(1-INDEX(input_data!$L:$L,MATCH("all.in.cs2.stl.oth.---",input_data!$A:$A,0))))/R286),INDEX(input_data!$L:$L,MATCH("all.in.dfv.stl.oth.---",input_data!$A:$A,0))),0)</f>
        <v>0.8449</v>
      </c>
      <c r="S315" s="122" t="n">
        <f aca="false">IFERROR(IF(INDEX(input_data!$L:$L,MATCH("all.in.mrv.stl.oth.---",input_data!$A:$A,0))=1,((S313-S311*(1-INDEX(input_data!$L:$L,MATCH("all.in.cs2.stl.oth.---",input_data!$A:$A,0))))/S286),INDEX(input_data!$L:$L,MATCH("all.in.dfv.stl.oth.---",input_data!$A:$A,0))),0)</f>
        <v>0.8449</v>
      </c>
      <c r="T315" s="122" t="n">
        <f aca="false">IFERROR(IF(INDEX(input_data!$L:$L,MATCH("all.in.mrv.stl.oth.---",input_data!$A:$A,0))=1,((T313-T311*(1-INDEX(input_data!$L:$L,MATCH("all.in.cs2.stl.oth.---",input_data!$A:$A,0))))/T286),INDEX(input_data!$L:$L,MATCH("all.in.dfv.stl.oth.---",input_data!$A:$A,0))),0)</f>
        <v>0.8449</v>
      </c>
      <c r="U315" s="122" t="n">
        <f aca="false">IFERROR(IF(INDEX(input_data!$L:$L,MATCH("all.in.mrv.stl.oth.---",input_data!$A:$A,0))=1,((U313-U311*(1-INDEX(input_data!$L:$L,MATCH("all.in.cs2.stl.oth.---",input_data!$A:$A,0))))/U286),INDEX(input_data!$L:$L,MATCH("all.in.dfv.stl.oth.---",input_data!$A:$A,0))),0)</f>
        <v>0.8449</v>
      </c>
      <c r="V315" s="122" t="n">
        <f aca="false">IFERROR(IF(INDEX(input_data!$L:$L,MATCH("all.in.mrv.stl.oth.---",input_data!$A:$A,0))=1,((V313-V311*(1-INDEX(input_data!$L:$L,MATCH("all.in.cs2.stl.oth.---",input_data!$A:$A,0))))/V286),INDEX(input_data!$L:$L,MATCH("all.in.dfv.stl.oth.---",input_data!$A:$A,0))),0)</f>
        <v>0.8449</v>
      </c>
      <c r="W315" s="122" t="n">
        <f aca="false">IFERROR(IF(INDEX(input_data!$L:$L,MATCH("all.in.mrv.stl.oth.---",input_data!$A:$A,0))=1,((W313-W311*(1-INDEX(input_data!$L:$L,MATCH("all.in.cs2.stl.oth.---",input_data!$A:$A,0))))/W286),INDEX(input_data!$L:$L,MATCH("all.in.dfv.stl.oth.---",input_data!$A:$A,0))),0)</f>
        <v>0.8449</v>
      </c>
      <c r="X315" s="122" t="n">
        <f aca="false">IFERROR(IF(INDEX(input_data!$L:$L,MATCH("all.in.mrv.stl.oth.---",input_data!$A:$A,0))=1,((X313-X311*(1-INDEX(input_data!$L:$L,MATCH("all.in.cs2.stl.oth.---",input_data!$A:$A,0))))/X286),INDEX(input_data!$L:$L,MATCH("all.in.dfv.stl.oth.---",input_data!$A:$A,0))),0)</f>
        <v>0.8449</v>
      </c>
    </row>
    <row r="316" customFormat="false" ht="15" hidden="false" customHeight="true" outlineLevel="0" collapsed="false">
      <c r="A316" s="108" t="str">
        <f aca="false">dashboard!$B$5&amp;".cb.obl.stl.oth.---"</f>
        <v>egy.cb.obl.stl.oth.---</v>
      </c>
      <c r="B316" s="108" t="str">
        <f aca="false">dashboard!$B$5</f>
        <v>egy</v>
      </c>
      <c r="C316" s="108" t="s">
        <v>3657</v>
      </c>
      <c r="D316" s="108" t="s">
        <v>3663</v>
      </c>
      <c r="E316" s="108" t="s">
        <v>705</v>
      </c>
      <c r="F316" s="108" t="s">
        <v>2863</v>
      </c>
      <c r="G316" s="108" t="s">
        <v>655</v>
      </c>
      <c r="H316" s="108" t="s">
        <v>3737</v>
      </c>
      <c r="I316" s="108" t="s">
        <v>718</v>
      </c>
      <c r="J316" s="108"/>
      <c r="K316" s="108"/>
      <c r="L316" s="108"/>
      <c r="M316" s="123" t="n">
        <f aca="false">MAX(M315-INDEX(input_data!$L:$L,MATCH("all.in.bnk.stl.oth.---",input_data!$A:$A,0))*(1-INDEX(input_data!$M:$X,MATCH("all.in.cbf.---.---.---",input_data!$A:$A,0),1)),0)*INDEX(input_data!$M:$X,MATCH("all.in.ets.---.---.---",input_data!$A:$A,0),1)*INDEX(input_data!$M:$X,MATCH("all.in.act.---.---.---",input_data!$A:$A,0),1)*INDEX(input_data!$M:$X,MATCH("all.in.fxr.---.---.---",input_data!$A:$A,0),1)</f>
        <v>0</v>
      </c>
      <c r="N316" s="123" t="n">
        <f aca="false">MAX(N315-INDEX(input_data!$L:$L,MATCH("all.in.bnk.stl.oth.---",input_data!$A:$A,0))*(1-INDEX(input_data!$M:$X,MATCH("all.in.cbf.---.---.---",input_data!$A:$A,0),2)),0)*INDEX(input_data!$M:$X,MATCH("all.in.ets.---.---.---",input_data!$A:$A,0),2)*INDEX(input_data!$M:$X,MATCH("all.in.act.---.---.---",input_data!$A:$A,0),2)*INDEX(input_data!$M:$X,MATCH("all.in.fxr.---.---.---",input_data!$A:$A,0),2)</f>
        <v>0</v>
      </c>
      <c r="O316" s="123" t="n">
        <f aca="false">MAX(O315-INDEX(input_data!$L:$L,MATCH("all.in.bnk.stl.oth.---",input_data!$A:$A,0))*(1-INDEX(input_data!$M:$X,MATCH("all.in.cbf.---.---.---",input_data!$A:$A,0),3)),0)*INDEX(input_data!$M:$X,MATCH("all.in.ets.---.---.---",input_data!$A:$A,0),3)*INDEX(input_data!$M:$X,MATCH("all.in.act.---.---.---",input_data!$A:$A,0),3)*INDEX(input_data!$M:$X,MATCH("all.in.fxr.---.---.---",input_data!$A:$A,0),3)</f>
        <v>0</v>
      </c>
      <c r="P316" s="123" t="n">
        <f aca="false">MAX(P315-INDEX(input_data!$L:$L,MATCH("all.in.bnk.stl.oth.---",input_data!$A:$A,0))*(1-INDEX(input_data!$M:$X,MATCH("all.in.cbf.---.---.---",input_data!$A:$A,0),4)),0)*INDEX(input_data!$M:$X,MATCH("all.in.ets.---.---.---",input_data!$A:$A,0),4)*INDEX(input_data!$M:$X,MATCH("all.in.act.---.---.---",input_data!$A:$A,0),4)*INDEX(input_data!$M:$X,MATCH("all.in.fxr.---.---.---",input_data!$A:$A,0),4)</f>
        <v>0</v>
      </c>
      <c r="Q316" s="123" t="n">
        <f aca="false">MAX(Q315-INDEX(input_data!$L:$L,MATCH("all.in.bnk.stl.oth.---",input_data!$A:$A,0))*(1-INDEX(input_data!$M:$X,MATCH("all.in.cbf.---.---.---",input_data!$A:$A,0),5)),0)*INDEX(input_data!$M:$X,MATCH("all.in.ets.---.---.---",input_data!$A:$A,0),5)*INDEX(input_data!$M:$X,MATCH("all.in.act.---.---.---",input_data!$A:$A,0),5)*INDEX(input_data!$M:$X,MATCH("all.in.fxr.---.---.---",input_data!$A:$A,0),5)</f>
        <v>0</v>
      </c>
      <c r="R316" s="123" t="n">
        <f aca="false">MAX(R315-INDEX(input_data!$L:$L,MATCH("all.in.bnk.stl.oth.---",input_data!$A:$A,0))*(1-INDEX(input_data!$M:$X,MATCH("all.in.cbf.---.---.---",input_data!$A:$A,0),6)),0)*INDEX(input_data!$M:$X,MATCH("all.in.ets.---.---.---",input_data!$A:$A,0),6)*INDEX(input_data!$M:$X,MATCH("all.in.act.---.---.---",input_data!$A:$A,0),6)*INDEX(input_data!$M:$X,MATCH("all.in.fxr.---.---.---",input_data!$A:$A,0),6)</f>
        <v>0</v>
      </c>
      <c r="S316" s="123" t="n">
        <f aca="false">MAX(S315-INDEX(input_data!$L:$L,MATCH("all.in.bnk.stl.oth.---",input_data!$A:$A,0))*(1-INDEX(input_data!$M:$X,MATCH("all.in.cbf.---.---.---",input_data!$A:$A,0),7)),0)*INDEX(input_data!$M:$X,MATCH("all.in.ets.---.---.---",input_data!$A:$A,0),7)*INDEX(input_data!$M:$X,MATCH("all.in.act.---.---.---",input_data!$A:$A,0),7)*INDEX(input_data!$M:$X,MATCH("all.in.fxr.---.---.---",input_data!$A:$A,0),7)</f>
        <v>27.269605</v>
      </c>
      <c r="T316" s="123" t="n">
        <f aca="false">MAX(T315-INDEX(input_data!$L:$L,MATCH("all.in.bnk.stl.oth.---",input_data!$A:$A,0))*(1-INDEX(input_data!$M:$X,MATCH("all.in.cbf.---.---.---",input_data!$A:$A,0),8)),0)*INDEX(input_data!$M:$X,MATCH("all.in.ets.---.---.---",input_data!$A:$A,0),8)*INDEX(input_data!$M:$X,MATCH("all.in.act.---.---.---",input_data!$A:$A,0),8)*INDEX(input_data!$M:$X,MATCH("all.in.fxr.---.---.---",input_data!$A:$A,0),8)</f>
        <v>48.61824</v>
      </c>
      <c r="U316" s="123" t="n">
        <f aca="false">MAX(U315-INDEX(input_data!$L:$L,MATCH("all.in.bnk.stl.oth.---",input_data!$A:$A,0))*(1-INDEX(input_data!$M:$X,MATCH("all.in.cbf.---.---.---",input_data!$A:$A,0),9)),0)*INDEX(input_data!$M:$X,MATCH("all.in.ets.---.---.---",input_data!$A:$A,0),9)*INDEX(input_data!$M:$X,MATCH("all.in.act.---.---.---",input_data!$A:$A,0),9)*INDEX(input_data!$M:$X,MATCH("all.in.fxr.---.---.---",input_data!$A:$A,0),9)</f>
        <v>71.647125</v>
      </c>
      <c r="V316" s="123" t="n">
        <f aca="false">MAX(V315-INDEX(input_data!$L:$L,MATCH("all.in.bnk.stl.oth.---",input_data!$A:$A,0))*(1-INDEX(input_data!$M:$X,MATCH("all.in.cbf.---.---.---",input_data!$A:$A,0),10)),0)*INDEX(input_data!$M:$X,MATCH("all.in.ets.---.---.---",input_data!$A:$A,0),10)*INDEX(input_data!$M:$X,MATCH("all.in.act.---.---.---",input_data!$A:$A,0),10)*INDEX(input_data!$M:$X,MATCH("all.in.fxr.---.---.---",input_data!$A:$A,0),10)</f>
        <v>96.35626</v>
      </c>
      <c r="W316" s="123" t="n">
        <f aca="false">MAX(W315-INDEX(input_data!$L:$L,MATCH("all.in.bnk.stl.oth.---",input_data!$A:$A,0))*(1-INDEX(input_data!$M:$X,MATCH("all.in.cbf.---.---.---",input_data!$A:$A,0),11)),0)*INDEX(input_data!$M:$X,MATCH("all.in.ets.---.---.---",input_data!$A:$A,0),11)*INDEX(input_data!$M:$X,MATCH("all.in.act.---.---.---",input_data!$A:$A,0),11)*INDEX(input_data!$M:$X,MATCH("all.in.fxr.---.---.---",input_data!$A:$A,0),11)</f>
        <v>125.46765</v>
      </c>
      <c r="X316" s="123" t="n">
        <f aca="false">MAX(X315-INDEX(input_data!$L:$L,MATCH("all.in.bnk.stl.oth.---",input_data!$A:$A,0))*(1-INDEX(input_data!$M:$X,MATCH("all.in.cbf.---.---.---",input_data!$A:$A,0),12)),0)*INDEX(input_data!$M:$X,MATCH("all.in.ets.---.---.---",input_data!$A:$A,0),12)*INDEX(input_data!$M:$X,MATCH("all.in.act.---.---.---",input_data!$A:$A,0),12)*INDEX(input_data!$M:$X,MATCH("all.in.fxr.---.---.---",input_data!$A:$A,0),12)</f>
        <v>130.1146</v>
      </c>
    </row>
    <row r="317" customFormat="false" ht="21.75" hidden="false" customHeight="true" outlineLevel="0" collapsed="false">
      <c r="A317" s="70" t="s">
        <v>3738</v>
      </c>
      <c r="B317" s="70"/>
      <c r="C317" s="70"/>
      <c r="D317" s="70"/>
      <c r="E317" s="70"/>
      <c r="F317" s="70"/>
      <c r="G317" s="70"/>
      <c r="H317" s="70"/>
      <c r="I317" s="70"/>
      <c r="J317" s="70"/>
      <c r="K317" s="70"/>
      <c r="L317" s="70"/>
      <c r="M317" s="70"/>
      <c r="N317" s="70"/>
      <c r="O317" s="70"/>
      <c r="P317" s="70"/>
      <c r="Q317" s="70"/>
      <c r="R317" s="70"/>
      <c r="S317" s="70"/>
      <c r="T317" s="70"/>
      <c r="U317" s="70"/>
      <c r="V317" s="70"/>
      <c r="W317" s="70"/>
      <c r="X317" s="70"/>
    </row>
    <row r="318" customFormat="false" ht="15" hidden="false" customHeight="true" outlineLevel="0" collapsed="false">
      <c r="A318" s="108" t="str">
        <f aca="false">dashboard!$B$5&amp;".pj.prd.frt.otn.---"</f>
        <v>egy.pj.prd.frt.otn.---</v>
      </c>
      <c r="B318" s="108" t="str">
        <f aca="false">dashboard!$B$5</f>
        <v>egy</v>
      </c>
      <c r="C318" s="108" t="s">
        <v>3401</v>
      </c>
      <c r="D318" s="108" t="s">
        <v>3412</v>
      </c>
      <c r="E318" s="108" t="s">
        <v>767</v>
      </c>
      <c r="F318" s="108" t="s">
        <v>2883</v>
      </c>
      <c r="G318" s="108" t="s">
        <v>655</v>
      </c>
      <c r="H318" s="108" t="s">
        <v>3739</v>
      </c>
      <c r="I318" s="108" t="s">
        <v>3157</v>
      </c>
      <c r="J318" s="108" t="s">
        <v>3703</v>
      </c>
      <c r="K318" s="108"/>
      <c r="L318" s="108"/>
      <c r="M318" s="119" t="n">
        <f aca="false">IFERROR(INDEX(input_data!$L:$L,MATCH(dashboard!$B$5&amp;".in.prb.frt.otn.---",input_data!$A:$A,0))*POWER(M7,INDEX(input_data!$L:$L,MATCH(dashboard!$B$5&amp;".in.els.frt.otn.---",input_data!$A:$A,0))),0)</f>
        <v>0.08</v>
      </c>
      <c r="N318" s="119" t="n">
        <f aca="false">IFERROR(INDEX(input_data!$L:$L,MATCH(dashboard!$B$5&amp;".in.prb.frt.otn.---",input_data!$A:$A,0))*POWER(N7,INDEX(input_data!$L:$L,MATCH(dashboard!$B$5&amp;".in.els.frt.otn.---",input_data!$A:$A,0))),0)</f>
        <v>0.0821705543366966</v>
      </c>
      <c r="O318" s="119" t="n">
        <f aca="false">IFERROR(INDEX(input_data!$L:$L,MATCH(dashboard!$B$5&amp;".in.prb.frt.otn.---",input_data!$A:$A,0))*POWER(O7,INDEX(input_data!$L:$L,MATCH(dashboard!$B$5&amp;".in.els.frt.otn.---",input_data!$A:$A,0))),0)</f>
        <v>0.0844</v>
      </c>
      <c r="P318" s="119" t="n">
        <f aca="false">IFERROR(INDEX(input_data!$L:$L,MATCH(dashboard!$B$5&amp;".in.prb.frt.otn.---",input_data!$A:$A,0))*POWER(P7,INDEX(input_data!$L:$L,MATCH(dashboard!$B$5&amp;".in.els.frt.otn.---",input_data!$A:$A,0))),0)</f>
        <v>0.0866899348252149</v>
      </c>
      <c r="Q318" s="119" t="n">
        <f aca="false">IFERROR(INDEX(input_data!$L:$L,MATCH(dashboard!$B$5&amp;".in.prb.frt.otn.---",input_data!$A:$A,0))*POWER(Q7,INDEX(input_data!$L:$L,MATCH(dashboard!$B$5&amp;".in.els.frt.otn.---",input_data!$A:$A,0))),0)</f>
        <v>0.089042</v>
      </c>
      <c r="R318" s="119" t="n">
        <f aca="false">IFERROR(INDEX(input_data!$L:$L,MATCH(dashboard!$B$5&amp;".in.prb.frt.otn.---",input_data!$A:$A,0))*POWER(R7,INDEX(input_data!$L:$L,MATCH(dashboard!$B$5&amp;".in.els.frt.otn.---",input_data!$A:$A,0))),0)</f>
        <v>0.0914578812406017</v>
      </c>
      <c r="S318" s="119" t="n">
        <f aca="false">IFERROR(INDEX(input_data!$L:$L,MATCH(dashboard!$B$5&amp;".in.prb.frt.otn.---",input_data!$A:$A,0))*POWER(S7,INDEX(input_data!$L:$L,MATCH(dashboard!$B$5&amp;".in.els.frt.otn.---",input_data!$A:$A,0))),0)</f>
        <v>0.09393931</v>
      </c>
      <c r="T318" s="119" t="n">
        <f aca="false">IFERROR(INDEX(input_data!$L:$L,MATCH(dashboard!$B$5&amp;".in.prb.frt.otn.---",input_data!$A:$A,0))*POWER(T7,INDEX(input_data!$L:$L,MATCH(dashboard!$B$5&amp;".in.els.frt.otn.---",input_data!$A:$A,0))),0)</f>
        <v>0.0964880647088348</v>
      </c>
      <c r="U318" s="119" t="n">
        <f aca="false">IFERROR(INDEX(input_data!$L:$L,MATCH(dashboard!$B$5&amp;".in.prb.frt.otn.---",input_data!$A:$A,0))*POWER(U7,INDEX(input_data!$L:$L,MATCH(dashboard!$B$5&amp;".in.els.frt.otn.---",input_data!$A:$A,0))),0)</f>
        <v>0.09910597205</v>
      </c>
      <c r="V318" s="119" t="n">
        <f aca="false">IFERROR(INDEX(input_data!$L:$L,MATCH(dashboard!$B$5&amp;".in.prb.frt.otn.---",input_data!$A:$A,0))*POWER(V7,INDEX(input_data!$L:$L,MATCH(dashboard!$B$5&amp;".in.els.frt.otn.---",input_data!$A:$A,0))),0)</f>
        <v>0.101794908267821</v>
      </c>
      <c r="W318" s="119" t="n">
        <f aca="false">IFERROR(INDEX(input_data!$L:$L,MATCH(dashboard!$B$5&amp;".in.prb.frt.otn.---",input_data!$A:$A,0))*POWER(W7,INDEX(input_data!$L:$L,MATCH(dashboard!$B$5&amp;".in.els.frt.otn.---",input_data!$A:$A,0))),0)</f>
        <v>0.10455680051275</v>
      </c>
      <c r="X318" s="119" t="n">
        <f aca="false">IFERROR(INDEX(input_data!$L:$L,MATCH(dashboard!$B$5&amp;".in.prb.frt.otn.---",input_data!$A:$A,0))*POWER(X7,INDEX(input_data!$L:$L,MATCH(dashboard!$B$5&amp;".in.els.frt.otn.---",input_data!$A:$A,0))),0)</f>
        <v>0.107393628222551</v>
      </c>
    </row>
    <row r="319" customFormat="false" ht="15" hidden="false" customHeight="true" outlineLevel="0" collapsed="false">
      <c r="A319" s="108" t="str">
        <f aca="false">dashboard!$B$5&amp;".pj.eux.frt.otn.---"</f>
        <v>egy.pj.eux.frt.otn.---</v>
      </c>
      <c r="B319" s="108" t="str">
        <f aca="false">dashboard!$B$5</f>
        <v>egy</v>
      </c>
      <c r="C319" s="108" t="s">
        <v>3401</v>
      </c>
      <c r="D319" s="108" t="s">
        <v>3415</v>
      </c>
      <c r="E319" s="108" t="s">
        <v>767</v>
      </c>
      <c r="F319" s="108" t="s">
        <v>2883</v>
      </c>
      <c r="G319" s="108" t="s">
        <v>655</v>
      </c>
      <c r="H319" s="108" t="s">
        <v>3740</v>
      </c>
      <c r="I319" s="108" t="s">
        <v>3157</v>
      </c>
      <c r="J319" s="108" t="s">
        <v>3705</v>
      </c>
      <c r="K319" s="108"/>
      <c r="L319" s="108"/>
      <c r="M319" s="119" t="n">
        <f aca="false">M318*INDEX(input_data!$L:$L,MATCH(dashboard!$B$5&amp;".in.exe.frt.otn.---",input_data!$A:$A,0))</f>
        <v>0.0144</v>
      </c>
      <c r="N319" s="119" t="n">
        <f aca="false">N318*INDEX(input_data!$L:$L,MATCH(dashboard!$B$5&amp;".in.exe.frt.otn.---",input_data!$A:$A,0))</f>
        <v>0.0147906997806054</v>
      </c>
      <c r="O319" s="119" t="n">
        <f aca="false">O318*INDEX(input_data!$L:$L,MATCH(dashboard!$B$5&amp;".in.exe.frt.otn.---",input_data!$A:$A,0))</f>
        <v>0.015192</v>
      </c>
      <c r="P319" s="119" t="n">
        <f aca="false">P318*INDEX(input_data!$L:$L,MATCH(dashboard!$B$5&amp;".in.exe.frt.otn.---",input_data!$A:$A,0))</f>
        <v>0.0156041882685387</v>
      </c>
      <c r="Q319" s="119" t="n">
        <f aca="false">Q318*INDEX(input_data!$L:$L,MATCH(dashboard!$B$5&amp;".in.exe.frt.otn.---",input_data!$A:$A,0))</f>
        <v>0.01602756</v>
      </c>
      <c r="R319" s="119" t="n">
        <f aca="false">R318*INDEX(input_data!$L:$L,MATCH(dashboard!$B$5&amp;".in.exe.frt.otn.---",input_data!$A:$A,0))</f>
        <v>0.0164624186233083</v>
      </c>
      <c r="S319" s="119" t="n">
        <f aca="false">S318*INDEX(input_data!$L:$L,MATCH(dashboard!$B$5&amp;".in.exe.frt.otn.---",input_data!$A:$A,0))</f>
        <v>0.0169090758</v>
      </c>
      <c r="T319" s="119" t="n">
        <f aca="false">T318*INDEX(input_data!$L:$L,MATCH(dashboard!$B$5&amp;".in.exe.frt.otn.---",input_data!$A:$A,0))</f>
        <v>0.0173678516475903</v>
      </c>
      <c r="U319" s="119" t="n">
        <f aca="false">U318*INDEX(input_data!$L:$L,MATCH(dashboard!$B$5&amp;".in.exe.frt.otn.---",input_data!$A:$A,0))</f>
        <v>0.017839074969</v>
      </c>
      <c r="V319" s="119" t="n">
        <f aca="false">V318*INDEX(input_data!$L:$L,MATCH(dashboard!$B$5&amp;".in.exe.frt.otn.---",input_data!$A:$A,0))</f>
        <v>0.0183230834882077</v>
      </c>
      <c r="W319" s="119" t="n">
        <f aca="false">W318*INDEX(input_data!$L:$L,MATCH(dashboard!$B$5&amp;".in.exe.frt.otn.---",input_data!$A:$A,0))</f>
        <v>0.018820224092295</v>
      </c>
      <c r="X319" s="119" t="n">
        <f aca="false">X318*INDEX(input_data!$L:$L,MATCH(dashboard!$B$5&amp;".in.exe.frt.otn.---",input_data!$A:$A,0))</f>
        <v>0.0193308530800591</v>
      </c>
    </row>
    <row r="320" customFormat="false" ht="15" hidden="false" customHeight="true" outlineLevel="0" collapsed="false">
      <c r="A320" s="108" t="str">
        <f aca="false">dashboard!$B$5&amp;".pj.nex.frt.otn.---"</f>
        <v>egy.pj.nex.frt.otn.---</v>
      </c>
      <c r="B320" s="108" t="str">
        <f aca="false">dashboard!$B$5</f>
        <v>egy</v>
      </c>
      <c r="C320" s="108" t="s">
        <v>3401</v>
      </c>
      <c r="D320" s="108" t="s">
        <v>3418</v>
      </c>
      <c r="E320" s="108" t="s">
        <v>767</v>
      </c>
      <c r="F320" s="108" t="s">
        <v>2883</v>
      </c>
      <c r="G320" s="108" t="s">
        <v>655</v>
      </c>
      <c r="H320" s="108" t="s">
        <v>3741</v>
      </c>
      <c r="I320" s="108" t="s">
        <v>869</v>
      </c>
      <c r="J320" s="108" t="s">
        <v>3707</v>
      </c>
      <c r="K320" s="108"/>
      <c r="L320" s="108"/>
      <c r="M320" s="119" t="n">
        <f aca="false">M318*(INDEX(input_data!$L:$L,MATCH(dashboard!$B$5&amp;".in.ext.frt.otn.---",input_data!$A:$A,0))-INDEX(input_data!$L:$L,MATCH(dashboard!$B$5&amp;".in.exe.frt.otn.---",input_data!$A:$A,0)))</f>
        <v>0.0136</v>
      </c>
      <c r="N320" s="119" t="n">
        <f aca="false">N318*(INDEX(input_data!$L:$L,MATCH(dashboard!$B$5&amp;".in.ext.frt.otn.---",input_data!$A:$A,0))-INDEX(input_data!$L:$L,MATCH(dashboard!$B$5&amp;".in.exe.frt.otn.---",input_data!$A:$A,0)))</f>
        <v>0.0139689942372384</v>
      </c>
      <c r="O320" s="119" t="n">
        <f aca="false">O318*(INDEX(input_data!$L:$L,MATCH(dashboard!$B$5&amp;".in.ext.frt.otn.---",input_data!$A:$A,0))-INDEX(input_data!$L:$L,MATCH(dashboard!$B$5&amp;".in.exe.frt.otn.---",input_data!$A:$A,0)))</f>
        <v>0.014348</v>
      </c>
      <c r="P320" s="119" t="n">
        <f aca="false">P318*(INDEX(input_data!$L:$L,MATCH(dashboard!$B$5&amp;".in.ext.frt.otn.---",input_data!$A:$A,0))-INDEX(input_data!$L:$L,MATCH(dashboard!$B$5&amp;".in.exe.frt.otn.---",input_data!$A:$A,0)))</f>
        <v>0.0147372889202865</v>
      </c>
      <c r="Q320" s="119" t="n">
        <f aca="false">Q318*(INDEX(input_data!$L:$L,MATCH(dashboard!$B$5&amp;".in.ext.frt.otn.---",input_data!$A:$A,0))-INDEX(input_data!$L:$L,MATCH(dashboard!$B$5&amp;".in.exe.frt.otn.---",input_data!$A:$A,0)))</f>
        <v>0.01513714</v>
      </c>
      <c r="R320" s="119" t="n">
        <f aca="false">R318*(INDEX(input_data!$L:$L,MATCH(dashboard!$B$5&amp;".in.ext.frt.otn.---",input_data!$A:$A,0))-INDEX(input_data!$L:$L,MATCH(dashboard!$B$5&amp;".in.exe.frt.otn.---",input_data!$A:$A,0)))</f>
        <v>0.0155478398109023</v>
      </c>
      <c r="S320" s="119" t="n">
        <f aca="false">S318*(INDEX(input_data!$L:$L,MATCH(dashboard!$B$5&amp;".in.ext.frt.otn.---",input_data!$A:$A,0))-INDEX(input_data!$L:$L,MATCH(dashboard!$B$5&amp;".in.exe.frt.otn.---",input_data!$A:$A,0)))</f>
        <v>0.0159696827</v>
      </c>
      <c r="T320" s="119" t="n">
        <f aca="false">T318*(INDEX(input_data!$L:$L,MATCH(dashboard!$B$5&amp;".in.ext.frt.otn.---",input_data!$A:$A,0))-INDEX(input_data!$L:$L,MATCH(dashboard!$B$5&amp;".in.exe.frt.otn.---",input_data!$A:$A,0)))</f>
        <v>0.0164029710005019</v>
      </c>
      <c r="U320" s="119" t="n">
        <f aca="false">U318*(INDEX(input_data!$L:$L,MATCH(dashboard!$B$5&amp;".in.ext.frt.otn.---",input_data!$A:$A,0))-INDEX(input_data!$L:$L,MATCH(dashboard!$B$5&amp;".in.exe.frt.otn.---",input_data!$A:$A,0)))</f>
        <v>0.0168480152485</v>
      </c>
      <c r="V320" s="119" t="n">
        <f aca="false">V318*(INDEX(input_data!$L:$L,MATCH(dashboard!$B$5&amp;".in.ext.frt.otn.---",input_data!$A:$A,0))-INDEX(input_data!$L:$L,MATCH(dashboard!$B$5&amp;".in.exe.frt.otn.---",input_data!$A:$A,0)))</f>
        <v>0.0173051344055295</v>
      </c>
      <c r="W320" s="119" t="n">
        <f aca="false">W318*(INDEX(input_data!$L:$L,MATCH(dashboard!$B$5&amp;".in.ext.frt.otn.---",input_data!$A:$A,0))-INDEX(input_data!$L:$L,MATCH(dashboard!$B$5&amp;".in.exe.frt.otn.---",input_data!$A:$A,0)))</f>
        <v>0.0177746560871675</v>
      </c>
      <c r="X320" s="119" t="n">
        <f aca="false">X318*(INDEX(input_data!$L:$L,MATCH(dashboard!$B$5&amp;".in.ext.frt.otn.---",input_data!$A:$A,0))-INDEX(input_data!$L:$L,MATCH(dashboard!$B$5&amp;".in.exe.frt.otn.---",input_data!$A:$A,0)))</f>
        <v>0.0182569167978336</v>
      </c>
    </row>
    <row r="321" customFormat="false" ht="15" hidden="false" customHeight="true" outlineLevel="0" collapsed="false">
      <c r="A321" s="108" t="str">
        <f aca="false">dashboard!$B$5&amp;".pj.dom.frt.otn.---"</f>
        <v>egy.pj.dom.frt.otn.---</v>
      </c>
      <c r="B321" s="108" t="str">
        <f aca="false">dashboard!$B$5</f>
        <v>egy</v>
      </c>
      <c r="C321" s="108" t="s">
        <v>3401</v>
      </c>
      <c r="D321" s="108" t="s">
        <v>641</v>
      </c>
      <c r="E321" s="108" t="s">
        <v>767</v>
      </c>
      <c r="F321" s="108" t="s">
        <v>2883</v>
      </c>
      <c r="G321" s="108" t="s">
        <v>655</v>
      </c>
      <c r="H321" s="108" t="s">
        <v>3742</v>
      </c>
      <c r="I321" s="108" t="s">
        <v>869</v>
      </c>
      <c r="J321" s="108" t="s">
        <v>3709</v>
      </c>
      <c r="K321" s="108"/>
      <c r="L321" s="108"/>
      <c r="M321" s="119" t="n">
        <f aca="false">M318*(1-INDEX(input_data!$L:$L,MATCH(dashboard!$B$5&amp;".in.ext.frt.otn.---",input_data!$A:$A,0)))*(1+INDEX(input_data!$L:$L,MATCH(dashboard!$B$5&amp;".in.imp.frt.otn.---",input_data!$A:$A,0)))</f>
        <v>0.0546</v>
      </c>
      <c r="N321" s="119" t="n">
        <f aca="false">N318*(1-INDEX(input_data!$L:$L,MATCH(dashboard!$B$5&amp;".in.ext.frt.otn.---",input_data!$A:$A,0)))*(1+INDEX(input_data!$L:$L,MATCH(dashboard!$B$5&amp;".in.imp.frt.otn.---",input_data!$A:$A,0)))</f>
        <v>0.0560814033347954</v>
      </c>
      <c r="O321" s="119" t="n">
        <f aca="false">O318*(1-INDEX(input_data!$L:$L,MATCH(dashboard!$B$5&amp;".in.ext.frt.otn.---",input_data!$A:$A,0)))*(1+INDEX(input_data!$L:$L,MATCH(dashboard!$B$5&amp;".in.imp.frt.otn.---",input_data!$A:$A,0)))</f>
        <v>0.057603</v>
      </c>
      <c r="P321" s="119" t="n">
        <f aca="false">P318*(1-INDEX(input_data!$L:$L,MATCH(dashboard!$B$5&amp;".in.ext.frt.otn.---",input_data!$A:$A,0)))*(1+INDEX(input_data!$L:$L,MATCH(dashboard!$B$5&amp;".in.imp.frt.otn.---",input_data!$A:$A,0)))</f>
        <v>0.0591658805182091</v>
      </c>
      <c r="Q321" s="119" t="n">
        <f aca="false">Q318*(1-INDEX(input_data!$L:$L,MATCH(dashboard!$B$5&amp;".in.ext.frt.otn.---",input_data!$A:$A,0)))*(1+INDEX(input_data!$L:$L,MATCH(dashboard!$B$5&amp;".in.imp.frt.otn.---",input_data!$A:$A,0)))</f>
        <v>0.060771165</v>
      </c>
      <c r="R321" s="119" t="n">
        <f aca="false">R318*(1-INDEX(input_data!$L:$L,MATCH(dashboard!$B$5&amp;".in.ext.frt.otn.---",input_data!$A:$A,0)))*(1+INDEX(input_data!$L:$L,MATCH(dashboard!$B$5&amp;".in.imp.frt.otn.---",input_data!$A:$A,0)))</f>
        <v>0.0624200039467106</v>
      </c>
      <c r="S321" s="119" t="n">
        <f aca="false">S318*(1-INDEX(input_data!$L:$L,MATCH(dashboard!$B$5&amp;".in.ext.frt.otn.---",input_data!$A:$A,0)))*(1+INDEX(input_data!$L:$L,MATCH(dashboard!$B$5&amp;".in.imp.frt.otn.---",input_data!$A:$A,0)))</f>
        <v>0.064113579075</v>
      </c>
      <c r="T321" s="119" t="n">
        <f aca="false">T318*(1-INDEX(input_data!$L:$L,MATCH(dashboard!$B$5&amp;".in.ext.frt.otn.---",input_data!$A:$A,0)))*(1+INDEX(input_data!$L:$L,MATCH(dashboard!$B$5&amp;".in.imp.frt.otn.---",input_data!$A:$A,0)))</f>
        <v>0.0658531041637797</v>
      </c>
      <c r="U321" s="119" t="n">
        <f aca="false">U318*(1-INDEX(input_data!$L:$L,MATCH(dashboard!$B$5&amp;".in.ext.frt.otn.---",input_data!$A:$A,0)))*(1+INDEX(input_data!$L:$L,MATCH(dashboard!$B$5&amp;".in.imp.frt.otn.---",input_data!$A:$A,0)))</f>
        <v>0.067639825924125</v>
      </c>
      <c r="V321" s="119" t="n">
        <f aca="false">V318*(1-INDEX(input_data!$L:$L,MATCH(dashboard!$B$5&amp;".in.ext.frt.otn.---",input_data!$A:$A,0)))*(1+INDEX(input_data!$L:$L,MATCH(dashboard!$B$5&amp;".in.imp.frt.otn.---",input_data!$A:$A,0)))</f>
        <v>0.0694750248927876</v>
      </c>
      <c r="W321" s="119" t="n">
        <f aca="false">W318*(1-INDEX(input_data!$L:$L,MATCH(dashboard!$B$5&amp;".in.ext.frt.otn.---",input_data!$A:$A,0)))*(1+INDEX(input_data!$L:$L,MATCH(dashboard!$B$5&amp;".in.imp.frt.otn.---",input_data!$A:$A,0)))</f>
        <v>0.0713600163499519</v>
      </c>
      <c r="X321" s="119" t="n">
        <f aca="false">X318*(1-INDEX(input_data!$L:$L,MATCH(dashboard!$B$5&amp;".in.ext.frt.otn.---",input_data!$A:$A,0)))*(1+INDEX(input_data!$L:$L,MATCH(dashboard!$B$5&amp;".in.imp.frt.otn.---",input_data!$A:$A,0)))</f>
        <v>0.0732961512618909</v>
      </c>
    </row>
    <row r="322" customFormat="false" ht="15" hidden="false" customHeight="true" outlineLevel="0" collapsed="false">
      <c r="A322" s="108" t="str">
        <f aca="false">dashboard!$B$5&amp;".pj.enc.frt.otn.coa"</f>
        <v>egy.pj.enc.frt.otn.coa</v>
      </c>
      <c r="B322" s="108" t="str">
        <f aca="false">dashboard!$B$5</f>
        <v>egy</v>
      </c>
      <c r="C322" s="108" t="s">
        <v>3401</v>
      </c>
      <c r="D322" s="108" t="s">
        <v>891</v>
      </c>
      <c r="E322" s="108" t="s">
        <v>767</v>
      </c>
      <c r="F322" s="108" t="s">
        <v>2883</v>
      </c>
      <c r="G322" s="108" t="s">
        <v>96</v>
      </c>
      <c r="H322" s="108" t="s">
        <v>3743</v>
      </c>
      <c r="I322" s="108" t="s">
        <v>3424</v>
      </c>
      <c r="J322" s="108" t="s">
        <v>3711</v>
      </c>
      <c r="K322" s="108"/>
      <c r="L322" s="108"/>
      <c r="M322" s="119" t="n">
        <f aca="false">M318*INDEX(input_data!$L:$L,MATCH(dashboard!$B$5&amp;".in.enc.frt.otn.coa",input_data!$A:$A,0))</f>
        <v>0</v>
      </c>
      <c r="N322" s="119" t="n">
        <f aca="false">N318*INDEX(input_data!$L:$L,MATCH(dashboard!$B$5&amp;".in.enc.frt.otn.coa",input_data!$A:$A,0))</f>
        <v>0</v>
      </c>
      <c r="O322" s="119" t="n">
        <f aca="false">O318*INDEX(input_data!$L:$L,MATCH(dashboard!$B$5&amp;".in.enc.frt.otn.coa",input_data!$A:$A,0))</f>
        <v>0</v>
      </c>
      <c r="P322" s="119" t="n">
        <f aca="false">P318*INDEX(input_data!$L:$L,MATCH(dashboard!$B$5&amp;".in.enc.frt.otn.coa",input_data!$A:$A,0))</f>
        <v>0</v>
      </c>
      <c r="Q322" s="119" t="n">
        <f aca="false">Q318*INDEX(input_data!$L:$L,MATCH(dashboard!$B$5&amp;".in.enc.frt.otn.coa",input_data!$A:$A,0))</f>
        <v>0</v>
      </c>
      <c r="R322" s="119" t="n">
        <f aca="false">R318*INDEX(input_data!$L:$L,MATCH(dashboard!$B$5&amp;".in.enc.frt.otn.coa",input_data!$A:$A,0))</f>
        <v>0</v>
      </c>
      <c r="S322" s="119" t="n">
        <f aca="false">S318*INDEX(input_data!$L:$L,MATCH(dashboard!$B$5&amp;".in.enc.frt.otn.coa",input_data!$A:$A,0))</f>
        <v>0</v>
      </c>
      <c r="T322" s="119" t="n">
        <f aca="false">T318*INDEX(input_data!$L:$L,MATCH(dashboard!$B$5&amp;".in.enc.frt.otn.coa",input_data!$A:$A,0))</f>
        <v>0</v>
      </c>
      <c r="U322" s="119" t="n">
        <f aca="false">U318*INDEX(input_data!$L:$L,MATCH(dashboard!$B$5&amp;".in.enc.frt.otn.coa",input_data!$A:$A,0))</f>
        <v>0</v>
      </c>
      <c r="V322" s="119" t="n">
        <f aca="false">V318*INDEX(input_data!$L:$L,MATCH(dashboard!$B$5&amp;".in.enc.frt.otn.coa",input_data!$A:$A,0))</f>
        <v>0</v>
      </c>
      <c r="W322" s="119" t="n">
        <f aca="false">W318*INDEX(input_data!$L:$L,MATCH(dashboard!$B$5&amp;".in.enc.frt.otn.coa",input_data!$A:$A,0))</f>
        <v>0</v>
      </c>
      <c r="X322" s="119" t="n">
        <f aca="false">X318*INDEX(input_data!$L:$L,MATCH(dashboard!$B$5&amp;".in.enc.frt.otn.coa",input_data!$A:$A,0))</f>
        <v>0</v>
      </c>
    </row>
    <row r="323" customFormat="false" ht="15" hidden="false" customHeight="true" outlineLevel="0" collapsed="false">
      <c r="A323" s="108" t="str">
        <f aca="false">dashboard!$B$5&amp;".pj.enc.frt.otn.nga"</f>
        <v>egy.pj.enc.frt.otn.nga</v>
      </c>
      <c r="B323" s="108" t="str">
        <f aca="false">dashboard!$B$5</f>
        <v>egy</v>
      </c>
      <c r="C323" s="108" t="s">
        <v>3401</v>
      </c>
      <c r="D323" s="108" t="s">
        <v>891</v>
      </c>
      <c r="E323" s="108" t="s">
        <v>767</v>
      </c>
      <c r="F323" s="108" t="s">
        <v>2883</v>
      </c>
      <c r="G323" s="108" t="s">
        <v>99</v>
      </c>
      <c r="H323" s="108" t="s">
        <v>3744</v>
      </c>
      <c r="I323" s="108" t="s">
        <v>3424</v>
      </c>
      <c r="J323" s="108" t="s">
        <v>3711</v>
      </c>
      <c r="K323" s="108"/>
      <c r="L323" s="108"/>
      <c r="M323" s="119" t="n">
        <f aca="false">M318*INDEX(input_data!$L:$L,MATCH(dashboard!$B$5&amp;".in.enc.frt.otn.nga",input_data!$A:$A,0))</f>
        <v>0.4</v>
      </c>
      <c r="N323" s="119" t="n">
        <f aca="false">N318*INDEX(input_data!$L:$L,MATCH(dashboard!$B$5&amp;".in.enc.frt.otn.nga",input_data!$A:$A,0))</f>
        <v>0.410852771683483</v>
      </c>
      <c r="O323" s="119" t="n">
        <f aca="false">O318*INDEX(input_data!$L:$L,MATCH(dashboard!$B$5&amp;".in.enc.frt.otn.nga",input_data!$A:$A,0))</f>
        <v>0.422</v>
      </c>
      <c r="P323" s="119" t="n">
        <f aca="false">P318*INDEX(input_data!$L:$L,MATCH(dashboard!$B$5&amp;".in.enc.frt.otn.nga",input_data!$A:$A,0))</f>
        <v>0.433449674126074</v>
      </c>
      <c r="Q323" s="119" t="n">
        <f aca="false">Q318*INDEX(input_data!$L:$L,MATCH(dashboard!$B$5&amp;".in.enc.frt.otn.nga",input_data!$A:$A,0))</f>
        <v>0.44521</v>
      </c>
      <c r="R323" s="119" t="n">
        <f aca="false">R318*INDEX(input_data!$L:$L,MATCH(dashboard!$B$5&amp;".in.enc.frt.otn.nga",input_data!$A:$A,0))</f>
        <v>0.457289406203008</v>
      </c>
      <c r="S323" s="119" t="n">
        <f aca="false">S318*INDEX(input_data!$L:$L,MATCH(dashboard!$B$5&amp;".in.enc.frt.otn.nga",input_data!$A:$A,0))</f>
        <v>0.46969655</v>
      </c>
      <c r="T323" s="119" t="n">
        <f aca="false">T318*INDEX(input_data!$L:$L,MATCH(dashboard!$B$5&amp;".in.enc.frt.otn.nga",input_data!$A:$A,0))</f>
        <v>0.482440323544174</v>
      </c>
      <c r="U323" s="119" t="n">
        <f aca="false">U318*INDEX(input_data!$L:$L,MATCH(dashboard!$B$5&amp;".in.enc.frt.otn.nga",input_data!$A:$A,0))</f>
        <v>0.49552986025</v>
      </c>
      <c r="V323" s="119" t="n">
        <f aca="false">V318*INDEX(input_data!$L:$L,MATCH(dashboard!$B$5&amp;".in.enc.frt.otn.nga",input_data!$A:$A,0))</f>
        <v>0.508974541339103</v>
      </c>
      <c r="W323" s="119" t="n">
        <f aca="false">W318*INDEX(input_data!$L:$L,MATCH(dashboard!$B$5&amp;".in.enc.frt.otn.nga",input_data!$A:$A,0))</f>
        <v>0.52278400256375</v>
      </c>
      <c r="X323" s="119" t="n">
        <f aca="false">X318*INDEX(input_data!$L:$L,MATCH(dashboard!$B$5&amp;".in.enc.frt.otn.nga",input_data!$A:$A,0))</f>
        <v>0.536968141112754</v>
      </c>
    </row>
    <row r="324" customFormat="false" ht="15" hidden="false" customHeight="true" outlineLevel="0" collapsed="false">
      <c r="A324" s="108" t="str">
        <f aca="false">dashboard!$B$5&amp;".pj.enc.frt.otn.gso"</f>
        <v>egy.pj.enc.frt.otn.gso</v>
      </c>
      <c r="B324" s="108" t="str">
        <f aca="false">dashboard!$B$5</f>
        <v>egy</v>
      </c>
      <c r="C324" s="108" t="s">
        <v>3401</v>
      </c>
      <c r="D324" s="108" t="s">
        <v>891</v>
      </c>
      <c r="E324" s="108" t="s">
        <v>767</v>
      </c>
      <c r="F324" s="108" t="s">
        <v>2883</v>
      </c>
      <c r="G324" s="108" t="s">
        <v>101</v>
      </c>
      <c r="H324" s="108" t="s">
        <v>3745</v>
      </c>
      <c r="I324" s="108" t="s">
        <v>3424</v>
      </c>
      <c r="J324" s="108" t="s">
        <v>3711</v>
      </c>
      <c r="K324" s="108"/>
      <c r="L324" s="108"/>
      <c r="M324" s="119" t="n">
        <f aca="false">M318*INDEX(input_data!$L:$L,MATCH(dashboard!$B$5&amp;".in.enc.frt.otn.gso",input_data!$A:$A,0))</f>
        <v>0</v>
      </c>
      <c r="N324" s="119" t="n">
        <f aca="false">N318*INDEX(input_data!$L:$L,MATCH(dashboard!$B$5&amp;".in.enc.frt.otn.gso",input_data!$A:$A,0))</f>
        <v>0</v>
      </c>
      <c r="O324" s="119" t="n">
        <f aca="false">O318*INDEX(input_data!$L:$L,MATCH(dashboard!$B$5&amp;".in.enc.frt.otn.gso",input_data!$A:$A,0))</f>
        <v>0</v>
      </c>
      <c r="P324" s="119" t="n">
        <f aca="false">P318*INDEX(input_data!$L:$L,MATCH(dashboard!$B$5&amp;".in.enc.frt.otn.gso",input_data!$A:$A,0))</f>
        <v>0</v>
      </c>
      <c r="Q324" s="119" t="n">
        <f aca="false">Q318*INDEX(input_data!$L:$L,MATCH(dashboard!$B$5&amp;".in.enc.frt.otn.gso",input_data!$A:$A,0))</f>
        <v>0</v>
      </c>
      <c r="R324" s="119" t="n">
        <f aca="false">R318*INDEX(input_data!$L:$L,MATCH(dashboard!$B$5&amp;".in.enc.frt.otn.gso",input_data!$A:$A,0))</f>
        <v>0</v>
      </c>
      <c r="S324" s="119" t="n">
        <f aca="false">S318*INDEX(input_data!$L:$L,MATCH(dashboard!$B$5&amp;".in.enc.frt.otn.gso",input_data!$A:$A,0))</f>
        <v>0</v>
      </c>
      <c r="T324" s="119" t="n">
        <f aca="false">T318*INDEX(input_data!$L:$L,MATCH(dashboard!$B$5&amp;".in.enc.frt.otn.gso",input_data!$A:$A,0))</f>
        <v>0</v>
      </c>
      <c r="U324" s="119" t="n">
        <f aca="false">U318*INDEX(input_data!$L:$L,MATCH(dashboard!$B$5&amp;".in.enc.frt.otn.gso",input_data!$A:$A,0))</f>
        <v>0</v>
      </c>
      <c r="V324" s="119" t="n">
        <f aca="false">V318*INDEX(input_data!$L:$L,MATCH(dashboard!$B$5&amp;".in.enc.frt.otn.gso",input_data!$A:$A,0))</f>
        <v>0</v>
      </c>
      <c r="W324" s="119" t="n">
        <f aca="false">W318*INDEX(input_data!$L:$L,MATCH(dashboard!$B$5&amp;".in.enc.frt.otn.gso",input_data!$A:$A,0))</f>
        <v>0</v>
      </c>
      <c r="X324" s="119" t="n">
        <f aca="false">X318*INDEX(input_data!$L:$L,MATCH(dashboard!$B$5&amp;".in.enc.frt.otn.gso",input_data!$A:$A,0))</f>
        <v>0</v>
      </c>
    </row>
    <row r="325" customFormat="false" ht="15" hidden="false" customHeight="true" outlineLevel="0" collapsed="false">
      <c r="A325" s="108" t="str">
        <f aca="false">dashboard!$B$5&amp;".pj.enc.frt.otn.die"</f>
        <v>egy.pj.enc.frt.otn.die</v>
      </c>
      <c r="B325" s="108" t="str">
        <f aca="false">dashboard!$B$5</f>
        <v>egy</v>
      </c>
      <c r="C325" s="108" t="s">
        <v>3401</v>
      </c>
      <c r="D325" s="108" t="s">
        <v>891</v>
      </c>
      <c r="E325" s="108" t="s">
        <v>767</v>
      </c>
      <c r="F325" s="108" t="s">
        <v>2883</v>
      </c>
      <c r="G325" s="108" t="s">
        <v>103</v>
      </c>
      <c r="H325" s="108" t="s">
        <v>3746</v>
      </c>
      <c r="I325" s="108" t="s">
        <v>3424</v>
      </c>
      <c r="J325" s="108" t="s">
        <v>3711</v>
      </c>
      <c r="K325" s="108"/>
      <c r="L325" s="108"/>
      <c r="M325" s="119" t="n">
        <f aca="false">M318*INDEX(input_data!$L:$L,MATCH(dashboard!$B$5&amp;".in.enc.frt.otn.die",input_data!$A:$A,0))</f>
        <v>0</v>
      </c>
      <c r="N325" s="119" t="n">
        <f aca="false">N318*INDEX(input_data!$L:$L,MATCH(dashboard!$B$5&amp;".in.enc.frt.otn.die",input_data!$A:$A,0))</f>
        <v>0</v>
      </c>
      <c r="O325" s="119" t="n">
        <f aca="false">O318*INDEX(input_data!$L:$L,MATCH(dashboard!$B$5&amp;".in.enc.frt.otn.die",input_data!$A:$A,0))</f>
        <v>0</v>
      </c>
      <c r="P325" s="119" t="n">
        <f aca="false">P318*INDEX(input_data!$L:$L,MATCH(dashboard!$B$5&amp;".in.enc.frt.otn.die",input_data!$A:$A,0))</f>
        <v>0</v>
      </c>
      <c r="Q325" s="119" t="n">
        <f aca="false">Q318*INDEX(input_data!$L:$L,MATCH(dashboard!$B$5&amp;".in.enc.frt.otn.die",input_data!$A:$A,0))</f>
        <v>0</v>
      </c>
      <c r="R325" s="119" t="n">
        <f aca="false">R318*INDEX(input_data!$L:$L,MATCH(dashboard!$B$5&amp;".in.enc.frt.otn.die",input_data!$A:$A,0))</f>
        <v>0</v>
      </c>
      <c r="S325" s="119" t="n">
        <f aca="false">S318*INDEX(input_data!$L:$L,MATCH(dashboard!$B$5&amp;".in.enc.frt.otn.die",input_data!$A:$A,0))</f>
        <v>0</v>
      </c>
      <c r="T325" s="119" t="n">
        <f aca="false">T318*INDEX(input_data!$L:$L,MATCH(dashboard!$B$5&amp;".in.enc.frt.otn.die",input_data!$A:$A,0))</f>
        <v>0</v>
      </c>
      <c r="U325" s="119" t="n">
        <f aca="false">U318*INDEX(input_data!$L:$L,MATCH(dashboard!$B$5&amp;".in.enc.frt.otn.die",input_data!$A:$A,0))</f>
        <v>0</v>
      </c>
      <c r="V325" s="119" t="n">
        <f aca="false">V318*INDEX(input_data!$L:$L,MATCH(dashboard!$B$5&amp;".in.enc.frt.otn.die",input_data!$A:$A,0))</f>
        <v>0</v>
      </c>
      <c r="W325" s="119" t="n">
        <f aca="false">W318*INDEX(input_data!$L:$L,MATCH(dashboard!$B$5&amp;".in.enc.frt.otn.die",input_data!$A:$A,0))</f>
        <v>0</v>
      </c>
      <c r="X325" s="119" t="n">
        <f aca="false">X318*INDEX(input_data!$L:$L,MATCH(dashboard!$B$5&amp;".in.enc.frt.otn.die",input_data!$A:$A,0))</f>
        <v>0</v>
      </c>
    </row>
    <row r="326" customFormat="false" ht="15" hidden="false" customHeight="true" outlineLevel="0" collapsed="false">
      <c r="A326" s="108" t="str">
        <f aca="false">dashboard!$B$5&amp;".pj.enc.frt.otn.ker"</f>
        <v>egy.pj.enc.frt.otn.ker</v>
      </c>
      <c r="B326" s="108" t="str">
        <f aca="false">dashboard!$B$5</f>
        <v>egy</v>
      </c>
      <c r="C326" s="108" t="s">
        <v>3401</v>
      </c>
      <c r="D326" s="108" t="s">
        <v>891</v>
      </c>
      <c r="E326" s="108" t="s">
        <v>767</v>
      </c>
      <c r="F326" s="108" t="s">
        <v>2883</v>
      </c>
      <c r="G326" s="108" t="s">
        <v>105</v>
      </c>
      <c r="H326" s="108" t="s">
        <v>3747</v>
      </c>
      <c r="I326" s="108" t="s">
        <v>3424</v>
      </c>
      <c r="J326" s="108" t="s">
        <v>3711</v>
      </c>
      <c r="K326" s="108"/>
      <c r="L326" s="108"/>
      <c r="M326" s="119" t="n">
        <f aca="false">M318*INDEX(input_data!$L:$L,MATCH(dashboard!$B$5&amp;".in.enc.frt.otn.ker",input_data!$A:$A,0))</f>
        <v>0</v>
      </c>
      <c r="N326" s="119" t="n">
        <f aca="false">N318*INDEX(input_data!$L:$L,MATCH(dashboard!$B$5&amp;".in.enc.frt.otn.ker",input_data!$A:$A,0))</f>
        <v>0</v>
      </c>
      <c r="O326" s="119" t="n">
        <f aca="false">O318*INDEX(input_data!$L:$L,MATCH(dashboard!$B$5&amp;".in.enc.frt.otn.ker",input_data!$A:$A,0))</f>
        <v>0</v>
      </c>
      <c r="P326" s="119" t="n">
        <f aca="false">P318*INDEX(input_data!$L:$L,MATCH(dashboard!$B$5&amp;".in.enc.frt.otn.ker",input_data!$A:$A,0))</f>
        <v>0</v>
      </c>
      <c r="Q326" s="119" t="n">
        <f aca="false">Q318*INDEX(input_data!$L:$L,MATCH(dashboard!$B$5&amp;".in.enc.frt.otn.ker",input_data!$A:$A,0))</f>
        <v>0</v>
      </c>
      <c r="R326" s="119" t="n">
        <f aca="false">R318*INDEX(input_data!$L:$L,MATCH(dashboard!$B$5&amp;".in.enc.frt.otn.ker",input_data!$A:$A,0))</f>
        <v>0</v>
      </c>
      <c r="S326" s="119" t="n">
        <f aca="false">S318*INDEX(input_data!$L:$L,MATCH(dashboard!$B$5&amp;".in.enc.frt.otn.ker",input_data!$A:$A,0))</f>
        <v>0</v>
      </c>
      <c r="T326" s="119" t="n">
        <f aca="false">T318*INDEX(input_data!$L:$L,MATCH(dashboard!$B$5&amp;".in.enc.frt.otn.ker",input_data!$A:$A,0))</f>
        <v>0</v>
      </c>
      <c r="U326" s="119" t="n">
        <f aca="false">U318*INDEX(input_data!$L:$L,MATCH(dashboard!$B$5&amp;".in.enc.frt.otn.ker",input_data!$A:$A,0))</f>
        <v>0</v>
      </c>
      <c r="V326" s="119" t="n">
        <f aca="false">V318*INDEX(input_data!$L:$L,MATCH(dashboard!$B$5&amp;".in.enc.frt.otn.ker",input_data!$A:$A,0))</f>
        <v>0</v>
      </c>
      <c r="W326" s="119" t="n">
        <f aca="false">W318*INDEX(input_data!$L:$L,MATCH(dashboard!$B$5&amp;".in.enc.frt.otn.ker",input_data!$A:$A,0))</f>
        <v>0</v>
      </c>
      <c r="X326" s="119" t="n">
        <f aca="false">X318*INDEX(input_data!$L:$L,MATCH(dashboard!$B$5&amp;".in.enc.frt.otn.ker",input_data!$A:$A,0))</f>
        <v>0</v>
      </c>
    </row>
    <row r="327" customFormat="false" ht="15" hidden="false" customHeight="true" outlineLevel="0" collapsed="false">
      <c r="A327" s="108" t="str">
        <f aca="false">dashboard!$B$5&amp;".pj.enc.frt.otn.lpg"</f>
        <v>egy.pj.enc.frt.otn.lpg</v>
      </c>
      <c r="B327" s="108" t="str">
        <f aca="false">dashboard!$B$5</f>
        <v>egy</v>
      </c>
      <c r="C327" s="108" t="s">
        <v>3401</v>
      </c>
      <c r="D327" s="108" t="s">
        <v>891</v>
      </c>
      <c r="E327" s="108" t="s">
        <v>767</v>
      </c>
      <c r="F327" s="108" t="s">
        <v>2883</v>
      </c>
      <c r="G327" s="108" t="s">
        <v>107</v>
      </c>
      <c r="H327" s="108" t="s">
        <v>3748</v>
      </c>
      <c r="I327" s="108" t="s">
        <v>3424</v>
      </c>
      <c r="J327" s="108" t="s">
        <v>3711</v>
      </c>
      <c r="K327" s="108"/>
      <c r="L327" s="108"/>
      <c r="M327" s="119" t="n">
        <f aca="false">M318*INDEX(input_data!$L:$L,MATCH(dashboard!$B$5&amp;".in.enc.frt.otn.lpg",input_data!$A:$A,0))</f>
        <v>0</v>
      </c>
      <c r="N327" s="119" t="n">
        <f aca="false">N318*INDEX(input_data!$L:$L,MATCH(dashboard!$B$5&amp;".in.enc.frt.otn.lpg",input_data!$A:$A,0))</f>
        <v>0</v>
      </c>
      <c r="O327" s="119" t="n">
        <f aca="false">O318*INDEX(input_data!$L:$L,MATCH(dashboard!$B$5&amp;".in.enc.frt.otn.lpg",input_data!$A:$A,0))</f>
        <v>0</v>
      </c>
      <c r="P327" s="119" t="n">
        <f aca="false">P318*INDEX(input_data!$L:$L,MATCH(dashboard!$B$5&amp;".in.enc.frt.otn.lpg",input_data!$A:$A,0))</f>
        <v>0</v>
      </c>
      <c r="Q327" s="119" t="n">
        <f aca="false">Q318*INDEX(input_data!$L:$L,MATCH(dashboard!$B$5&amp;".in.enc.frt.otn.lpg",input_data!$A:$A,0))</f>
        <v>0</v>
      </c>
      <c r="R327" s="119" t="n">
        <f aca="false">R318*INDEX(input_data!$L:$L,MATCH(dashboard!$B$5&amp;".in.enc.frt.otn.lpg",input_data!$A:$A,0))</f>
        <v>0</v>
      </c>
      <c r="S327" s="119" t="n">
        <f aca="false">S318*INDEX(input_data!$L:$L,MATCH(dashboard!$B$5&amp;".in.enc.frt.otn.lpg",input_data!$A:$A,0))</f>
        <v>0</v>
      </c>
      <c r="T327" s="119" t="n">
        <f aca="false">T318*INDEX(input_data!$L:$L,MATCH(dashboard!$B$5&amp;".in.enc.frt.otn.lpg",input_data!$A:$A,0))</f>
        <v>0</v>
      </c>
      <c r="U327" s="119" t="n">
        <f aca="false">U318*INDEX(input_data!$L:$L,MATCH(dashboard!$B$5&amp;".in.enc.frt.otn.lpg",input_data!$A:$A,0))</f>
        <v>0</v>
      </c>
      <c r="V327" s="119" t="n">
        <f aca="false">V318*INDEX(input_data!$L:$L,MATCH(dashboard!$B$5&amp;".in.enc.frt.otn.lpg",input_data!$A:$A,0))</f>
        <v>0</v>
      </c>
      <c r="W327" s="119" t="n">
        <f aca="false">W318*INDEX(input_data!$L:$L,MATCH(dashboard!$B$5&amp;".in.enc.frt.otn.lpg",input_data!$A:$A,0))</f>
        <v>0</v>
      </c>
      <c r="X327" s="119" t="n">
        <f aca="false">X318*INDEX(input_data!$L:$L,MATCH(dashboard!$B$5&amp;".in.enc.frt.otn.lpg",input_data!$A:$A,0))</f>
        <v>0</v>
      </c>
    </row>
    <row r="328" customFormat="false" ht="15" hidden="false" customHeight="true" outlineLevel="0" collapsed="false">
      <c r="A328" s="108" t="str">
        <f aca="false">dashboard!$B$5&amp;".pj.enc.frt.otn.bio"</f>
        <v>egy.pj.enc.frt.otn.bio</v>
      </c>
      <c r="B328" s="108" t="str">
        <f aca="false">dashboard!$B$5</f>
        <v>egy</v>
      </c>
      <c r="C328" s="108" t="s">
        <v>3401</v>
      </c>
      <c r="D328" s="108" t="s">
        <v>891</v>
      </c>
      <c r="E328" s="108" t="s">
        <v>767</v>
      </c>
      <c r="F328" s="108" t="s">
        <v>2883</v>
      </c>
      <c r="G328" s="108" t="s">
        <v>109</v>
      </c>
      <c r="H328" s="108" t="s">
        <v>3749</v>
      </c>
      <c r="I328" s="108" t="s">
        <v>3424</v>
      </c>
      <c r="J328" s="108" t="s">
        <v>3711</v>
      </c>
      <c r="K328" s="108"/>
      <c r="L328" s="108"/>
      <c r="M328" s="119" t="n">
        <f aca="false">M318*INDEX(input_data!$L:$L,MATCH(dashboard!$B$5&amp;".in.enc.frt.otn.bio",input_data!$A:$A,0))</f>
        <v>0</v>
      </c>
      <c r="N328" s="119" t="n">
        <f aca="false">N318*INDEX(input_data!$L:$L,MATCH(dashboard!$B$5&amp;".in.enc.frt.otn.bio",input_data!$A:$A,0))</f>
        <v>0</v>
      </c>
      <c r="O328" s="119" t="n">
        <f aca="false">O318*INDEX(input_data!$L:$L,MATCH(dashboard!$B$5&amp;".in.enc.frt.otn.bio",input_data!$A:$A,0))</f>
        <v>0</v>
      </c>
      <c r="P328" s="119" t="n">
        <f aca="false">P318*INDEX(input_data!$L:$L,MATCH(dashboard!$B$5&amp;".in.enc.frt.otn.bio",input_data!$A:$A,0))</f>
        <v>0</v>
      </c>
      <c r="Q328" s="119" t="n">
        <f aca="false">Q318*INDEX(input_data!$L:$L,MATCH(dashboard!$B$5&amp;".in.enc.frt.otn.bio",input_data!$A:$A,0))</f>
        <v>0</v>
      </c>
      <c r="R328" s="119" t="n">
        <f aca="false">R318*INDEX(input_data!$L:$L,MATCH(dashboard!$B$5&amp;".in.enc.frt.otn.bio",input_data!$A:$A,0))</f>
        <v>0</v>
      </c>
      <c r="S328" s="119" t="n">
        <f aca="false">S318*INDEX(input_data!$L:$L,MATCH(dashboard!$B$5&amp;".in.enc.frt.otn.bio",input_data!$A:$A,0))</f>
        <v>0</v>
      </c>
      <c r="T328" s="119" t="n">
        <f aca="false">T318*INDEX(input_data!$L:$L,MATCH(dashboard!$B$5&amp;".in.enc.frt.otn.bio",input_data!$A:$A,0))</f>
        <v>0</v>
      </c>
      <c r="U328" s="119" t="n">
        <f aca="false">U318*INDEX(input_data!$L:$L,MATCH(dashboard!$B$5&amp;".in.enc.frt.otn.bio",input_data!$A:$A,0))</f>
        <v>0</v>
      </c>
      <c r="V328" s="119" t="n">
        <f aca="false">V318*INDEX(input_data!$L:$L,MATCH(dashboard!$B$5&amp;".in.enc.frt.otn.bio",input_data!$A:$A,0))</f>
        <v>0</v>
      </c>
      <c r="W328" s="119" t="n">
        <f aca="false">W318*INDEX(input_data!$L:$L,MATCH(dashboard!$B$5&amp;".in.enc.frt.otn.bio",input_data!$A:$A,0))</f>
        <v>0</v>
      </c>
      <c r="X328" s="119" t="n">
        <f aca="false">X318*INDEX(input_data!$L:$L,MATCH(dashboard!$B$5&amp;".in.enc.frt.otn.bio",input_data!$A:$A,0))</f>
        <v>0</v>
      </c>
    </row>
    <row r="329" customFormat="false" ht="15" hidden="false" customHeight="true" outlineLevel="0" collapsed="false">
      <c r="A329" s="108" t="str">
        <f aca="false">dashboard!$B$5&amp;".pj.enc.frt.otn.ren"</f>
        <v>egy.pj.enc.frt.otn.ren</v>
      </c>
      <c r="B329" s="108" t="str">
        <f aca="false">dashboard!$B$5</f>
        <v>egy</v>
      </c>
      <c r="C329" s="108" t="s">
        <v>3401</v>
      </c>
      <c r="D329" s="108" t="s">
        <v>891</v>
      </c>
      <c r="E329" s="108" t="s">
        <v>767</v>
      </c>
      <c r="F329" s="108" t="s">
        <v>2883</v>
      </c>
      <c r="G329" s="108" t="s">
        <v>111</v>
      </c>
      <c r="H329" s="108" t="s">
        <v>3750</v>
      </c>
      <c r="I329" s="108" t="s">
        <v>3424</v>
      </c>
      <c r="J329" s="108" t="s">
        <v>3711</v>
      </c>
      <c r="K329" s="108"/>
      <c r="L329" s="108"/>
      <c r="M329" s="119" t="n">
        <f aca="false">M318*INDEX(input_data!$L:$L,MATCH(dashboard!$B$5&amp;".in.enc.frt.otn.ren",input_data!$A:$A,0))</f>
        <v>0</v>
      </c>
      <c r="N329" s="119" t="n">
        <f aca="false">N318*INDEX(input_data!$L:$L,MATCH(dashboard!$B$5&amp;".in.enc.frt.otn.ren",input_data!$A:$A,0))</f>
        <v>0</v>
      </c>
      <c r="O329" s="119" t="n">
        <f aca="false">O318*INDEX(input_data!$L:$L,MATCH(dashboard!$B$5&amp;".in.enc.frt.otn.ren",input_data!$A:$A,0))</f>
        <v>0</v>
      </c>
      <c r="P329" s="119" t="n">
        <f aca="false">P318*INDEX(input_data!$L:$L,MATCH(dashboard!$B$5&amp;".in.enc.frt.otn.ren",input_data!$A:$A,0))</f>
        <v>0</v>
      </c>
      <c r="Q329" s="119" t="n">
        <f aca="false">Q318*INDEX(input_data!$L:$L,MATCH(dashboard!$B$5&amp;".in.enc.frt.otn.ren",input_data!$A:$A,0))</f>
        <v>0</v>
      </c>
      <c r="R329" s="119" t="n">
        <f aca="false">R318*INDEX(input_data!$L:$L,MATCH(dashboard!$B$5&amp;".in.enc.frt.otn.ren",input_data!$A:$A,0))</f>
        <v>0</v>
      </c>
      <c r="S329" s="119" t="n">
        <f aca="false">S318*INDEX(input_data!$L:$L,MATCH(dashboard!$B$5&amp;".in.enc.frt.otn.ren",input_data!$A:$A,0))</f>
        <v>0</v>
      </c>
      <c r="T329" s="119" t="n">
        <f aca="false">T318*INDEX(input_data!$L:$L,MATCH(dashboard!$B$5&amp;".in.enc.frt.otn.ren",input_data!$A:$A,0))</f>
        <v>0</v>
      </c>
      <c r="U329" s="119" t="n">
        <f aca="false">U318*INDEX(input_data!$L:$L,MATCH(dashboard!$B$5&amp;".in.enc.frt.otn.ren",input_data!$A:$A,0))</f>
        <v>0</v>
      </c>
      <c r="V329" s="119" t="n">
        <f aca="false">V318*INDEX(input_data!$L:$L,MATCH(dashboard!$B$5&amp;".in.enc.frt.otn.ren",input_data!$A:$A,0))</f>
        <v>0</v>
      </c>
      <c r="W329" s="119" t="n">
        <f aca="false">W318*INDEX(input_data!$L:$L,MATCH(dashboard!$B$5&amp;".in.enc.frt.otn.ren",input_data!$A:$A,0))</f>
        <v>0</v>
      </c>
      <c r="X329" s="119" t="n">
        <f aca="false">X318*INDEX(input_data!$L:$L,MATCH(dashboard!$B$5&amp;".in.enc.frt.otn.ren",input_data!$A:$A,0))</f>
        <v>0</v>
      </c>
    </row>
    <row r="330" customFormat="false" ht="15" hidden="false" customHeight="true" outlineLevel="0" collapsed="false">
      <c r="A330" s="108" t="str">
        <f aca="false">dashboard!$B$5&amp;".pj.enp.frt.otn.coa"</f>
        <v>egy.pj.enp.frt.otn.coa</v>
      </c>
      <c r="B330" s="108" t="str">
        <f aca="false">dashboard!$B$5</f>
        <v>egy</v>
      </c>
      <c r="C330" s="108" t="s">
        <v>3401</v>
      </c>
      <c r="D330" s="108" t="s">
        <v>918</v>
      </c>
      <c r="E330" s="108" t="s">
        <v>767</v>
      </c>
      <c r="F330" s="108" t="s">
        <v>2883</v>
      </c>
      <c r="G330" s="108" t="s">
        <v>96</v>
      </c>
      <c r="H330" s="108" t="s">
        <v>3751</v>
      </c>
      <c r="I330" s="108" t="s">
        <v>3424</v>
      </c>
      <c r="J330" s="108"/>
      <c r="K330" s="108"/>
      <c r="L330" s="108"/>
      <c r="M330" s="119" t="n">
        <f aca="false">M318*INDEX(input_data!$L:$L,MATCH(dashboard!$B$5&amp;".in.enp.frt.otn.coa",input_data!$A:$A,0))</f>
        <v>0</v>
      </c>
      <c r="N330" s="119" t="n">
        <f aca="false">N318*INDEX(input_data!$L:$L,MATCH(dashboard!$B$5&amp;".in.enp.frt.otn.coa",input_data!$A:$A,0))</f>
        <v>0</v>
      </c>
      <c r="O330" s="119" t="n">
        <f aca="false">O318*INDEX(input_data!$L:$L,MATCH(dashboard!$B$5&amp;".in.enp.frt.otn.coa",input_data!$A:$A,0))</f>
        <v>0</v>
      </c>
      <c r="P330" s="119" t="n">
        <f aca="false">P318*INDEX(input_data!$L:$L,MATCH(dashboard!$B$5&amp;".in.enp.frt.otn.coa",input_data!$A:$A,0))</f>
        <v>0</v>
      </c>
      <c r="Q330" s="119" t="n">
        <f aca="false">Q318*INDEX(input_data!$L:$L,MATCH(dashboard!$B$5&amp;".in.enp.frt.otn.coa",input_data!$A:$A,0))</f>
        <v>0</v>
      </c>
      <c r="R330" s="119" t="n">
        <f aca="false">R318*INDEX(input_data!$L:$L,MATCH(dashboard!$B$5&amp;".in.enp.frt.otn.coa",input_data!$A:$A,0))</f>
        <v>0</v>
      </c>
      <c r="S330" s="119" t="n">
        <f aca="false">S318*INDEX(input_data!$L:$L,MATCH(dashboard!$B$5&amp;".in.enp.frt.otn.coa",input_data!$A:$A,0))</f>
        <v>0</v>
      </c>
      <c r="T330" s="119" t="n">
        <f aca="false">T318*INDEX(input_data!$L:$L,MATCH(dashboard!$B$5&amp;".in.enp.frt.otn.coa",input_data!$A:$A,0))</f>
        <v>0</v>
      </c>
      <c r="U330" s="119" t="n">
        <f aca="false">U318*INDEX(input_data!$L:$L,MATCH(dashboard!$B$5&amp;".in.enp.frt.otn.coa",input_data!$A:$A,0))</f>
        <v>0</v>
      </c>
      <c r="V330" s="119" t="n">
        <f aca="false">V318*INDEX(input_data!$L:$L,MATCH(dashboard!$B$5&amp;".in.enp.frt.otn.coa",input_data!$A:$A,0))</f>
        <v>0</v>
      </c>
      <c r="W330" s="119" t="n">
        <f aca="false">W318*INDEX(input_data!$L:$L,MATCH(dashboard!$B$5&amp;".in.enp.frt.otn.coa",input_data!$A:$A,0))</f>
        <v>0</v>
      </c>
      <c r="X330" s="119" t="n">
        <f aca="false">X318*INDEX(input_data!$L:$L,MATCH(dashboard!$B$5&amp;".in.enp.frt.otn.coa",input_data!$A:$A,0))</f>
        <v>0</v>
      </c>
    </row>
    <row r="331" customFormat="false" ht="15" hidden="false" customHeight="true" outlineLevel="0" collapsed="false">
      <c r="A331" s="108" t="str">
        <f aca="false">dashboard!$B$5&amp;".pj.enp.frt.otn.nga"</f>
        <v>egy.pj.enp.frt.otn.nga</v>
      </c>
      <c r="B331" s="108" t="str">
        <f aca="false">dashboard!$B$5</f>
        <v>egy</v>
      </c>
      <c r="C331" s="108" t="s">
        <v>3401</v>
      </c>
      <c r="D331" s="108" t="s">
        <v>918</v>
      </c>
      <c r="E331" s="108" t="s">
        <v>767</v>
      </c>
      <c r="F331" s="108" t="s">
        <v>2883</v>
      </c>
      <c r="G331" s="108" t="s">
        <v>99</v>
      </c>
      <c r="H331" s="108" t="s">
        <v>3752</v>
      </c>
      <c r="I331" s="108" t="s">
        <v>3424</v>
      </c>
      <c r="J331" s="108"/>
      <c r="K331" s="108"/>
      <c r="L331" s="108"/>
      <c r="M331" s="119" t="n">
        <f aca="false">M318*INDEX(input_data!$L:$L,MATCH(dashboard!$B$5&amp;".in.enp.frt.otn.nga",input_data!$A:$A,0))</f>
        <v>0</v>
      </c>
      <c r="N331" s="119" t="n">
        <f aca="false">N318*INDEX(input_data!$L:$L,MATCH(dashboard!$B$5&amp;".in.enp.frt.otn.nga",input_data!$A:$A,0))</f>
        <v>0</v>
      </c>
      <c r="O331" s="119" t="n">
        <f aca="false">O318*INDEX(input_data!$L:$L,MATCH(dashboard!$B$5&amp;".in.enp.frt.otn.nga",input_data!$A:$A,0))</f>
        <v>0</v>
      </c>
      <c r="P331" s="119" t="n">
        <f aca="false">P318*INDEX(input_data!$L:$L,MATCH(dashboard!$B$5&amp;".in.enp.frt.otn.nga",input_data!$A:$A,0))</f>
        <v>0</v>
      </c>
      <c r="Q331" s="119" t="n">
        <f aca="false">Q318*INDEX(input_data!$L:$L,MATCH(dashboard!$B$5&amp;".in.enp.frt.otn.nga",input_data!$A:$A,0))</f>
        <v>0</v>
      </c>
      <c r="R331" s="119" t="n">
        <f aca="false">R318*INDEX(input_data!$L:$L,MATCH(dashboard!$B$5&amp;".in.enp.frt.otn.nga",input_data!$A:$A,0))</f>
        <v>0</v>
      </c>
      <c r="S331" s="119" t="n">
        <f aca="false">S318*INDEX(input_data!$L:$L,MATCH(dashboard!$B$5&amp;".in.enp.frt.otn.nga",input_data!$A:$A,0))</f>
        <v>0</v>
      </c>
      <c r="T331" s="119" t="n">
        <f aca="false">T318*INDEX(input_data!$L:$L,MATCH(dashboard!$B$5&amp;".in.enp.frt.otn.nga",input_data!$A:$A,0))</f>
        <v>0</v>
      </c>
      <c r="U331" s="119" t="n">
        <f aca="false">U318*INDEX(input_data!$L:$L,MATCH(dashboard!$B$5&amp;".in.enp.frt.otn.nga",input_data!$A:$A,0))</f>
        <v>0</v>
      </c>
      <c r="V331" s="119" t="n">
        <f aca="false">V318*INDEX(input_data!$L:$L,MATCH(dashboard!$B$5&amp;".in.enp.frt.otn.nga",input_data!$A:$A,0))</f>
        <v>0</v>
      </c>
      <c r="W331" s="119" t="n">
        <f aca="false">W318*INDEX(input_data!$L:$L,MATCH(dashboard!$B$5&amp;".in.enp.frt.otn.nga",input_data!$A:$A,0))</f>
        <v>0</v>
      </c>
      <c r="X331" s="119" t="n">
        <f aca="false">X318*INDEX(input_data!$L:$L,MATCH(dashboard!$B$5&amp;".in.enp.frt.otn.nga",input_data!$A:$A,0))</f>
        <v>0</v>
      </c>
    </row>
    <row r="332" customFormat="false" ht="15" hidden="false" customHeight="true" outlineLevel="0" collapsed="false">
      <c r="A332" s="108" t="str">
        <f aca="false">dashboard!$B$5&amp;".pj.enp.frt.otn.gso"</f>
        <v>egy.pj.enp.frt.otn.gso</v>
      </c>
      <c r="B332" s="108" t="str">
        <f aca="false">dashboard!$B$5</f>
        <v>egy</v>
      </c>
      <c r="C332" s="108" t="s">
        <v>3401</v>
      </c>
      <c r="D332" s="108" t="s">
        <v>918</v>
      </c>
      <c r="E332" s="108" t="s">
        <v>767</v>
      </c>
      <c r="F332" s="108" t="s">
        <v>2883</v>
      </c>
      <c r="G332" s="108" t="s">
        <v>101</v>
      </c>
      <c r="H332" s="108" t="s">
        <v>3753</v>
      </c>
      <c r="I332" s="108" t="s">
        <v>3424</v>
      </c>
      <c r="J332" s="108"/>
      <c r="K332" s="108"/>
      <c r="L332" s="108"/>
      <c r="M332" s="119" t="n">
        <f aca="false">M318*INDEX(input_data!$L:$L,MATCH(dashboard!$B$5&amp;".in.enp.frt.otn.gso",input_data!$A:$A,0))</f>
        <v>0</v>
      </c>
      <c r="N332" s="119" t="n">
        <f aca="false">N318*INDEX(input_data!$L:$L,MATCH(dashboard!$B$5&amp;".in.enp.frt.otn.gso",input_data!$A:$A,0))</f>
        <v>0</v>
      </c>
      <c r="O332" s="119" t="n">
        <f aca="false">O318*INDEX(input_data!$L:$L,MATCH(dashboard!$B$5&amp;".in.enp.frt.otn.gso",input_data!$A:$A,0))</f>
        <v>0</v>
      </c>
      <c r="P332" s="119" t="n">
        <f aca="false">P318*INDEX(input_data!$L:$L,MATCH(dashboard!$B$5&amp;".in.enp.frt.otn.gso",input_data!$A:$A,0))</f>
        <v>0</v>
      </c>
      <c r="Q332" s="119" t="n">
        <f aca="false">Q318*INDEX(input_data!$L:$L,MATCH(dashboard!$B$5&amp;".in.enp.frt.otn.gso",input_data!$A:$A,0))</f>
        <v>0</v>
      </c>
      <c r="R332" s="119" t="n">
        <f aca="false">R318*INDEX(input_data!$L:$L,MATCH(dashboard!$B$5&amp;".in.enp.frt.otn.gso",input_data!$A:$A,0))</f>
        <v>0</v>
      </c>
      <c r="S332" s="119" t="n">
        <f aca="false">S318*INDEX(input_data!$L:$L,MATCH(dashboard!$B$5&amp;".in.enp.frt.otn.gso",input_data!$A:$A,0))</f>
        <v>0</v>
      </c>
      <c r="T332" s="119" t="n">
        <f aca="false">T318*INDEX(input_data!$L:$L,MATCH(dashboard!$B$5&amp;".in.enp.frt.otn.gso",input_data!$A:$A,0))</f>
        <v>0</v>
      </c>
      <c r="U332" s="119" t="n">
        <f aca="false">U318*INDEX(input_data!$L:$L,MATCH(dashboard!$B$5&amp;".in.enp.frt.otn.gso",input_data!$A:$A,0))</f>
        <v>0</v>
      </c>
      <c r="V332" s="119" t="n">
        <f aca="false">V318*INDEX(input_data!$L:$L,MATCH(dashboard!$B$5&amp;".in.enp.frt.otn.gso",input_data!$A:$A,0))</f>
        <v>0</v>
      </c>
      <c r="W332" s="119" t="n">
        <f aca="false">W318*INDEX(input_data!$L:$L,MATCH(dashboard!$B$5&amp;".in.enp.frt.otn.gso",input_data!$A:$A,0))</f>
        <v>0</v>
      </c>
      <c r="X332" s="119" t="n">
        <f aca="false">X318*INDEX(input_data!$L:$L,MATCH(dashboard!$B$5&amp;".in.enp.frt.otn.gso",input_data!$A:$A,0))</f>
        <v>0</v>
      </c>
    </row>
    <row r="333" customFormat="false" ht="15" hidden="false" customHeight="true" outlineLevel="0" collapsed="false">
      <c r="A333" s="108" t="str">
        <f aca="false">dashboard!$B$5&amp;".pj.enp.frt.otn.die"</f>
        <v>egy.pj.enp.frt.otn.die</v>
      </c>
      <c r="B333" s="108" t="str">
        <f aca="false">dashboard!$B$5</f>
        <v>egy</v>
      </c>
      <c r="C333" s="108" t="s">
        <v>3401</v>
      </c>
      <c r="D333" s="108" t="s">
        <v>918</v>
      </c>
      <c r="E333" s="108" t="s">
        <v>767</v>
      </c>
      <c r="F333" s="108" t="s">
        <v>2883</v>
      </c>
      <c r="G333" s="108" t="s">
        <v>103</v>
      </c>
      <c r="H333" s="108" t="s">
        <v>3754</v>
      </c>
      <c r="I333" s="108" t="s">
        <v>3424</v>
      </c>
      <c r="J333" s="108"/>
      <c r="K333" s="108"/>
      <c r="L333" s="108"/>
      <c r="M333" s="119" t="n">
        <f aca="false">M318*INDEX(input_data!$L:$L,MATCH(dashboard!$B$5&amp;".in.enp.frt.otn.die",input_data!$A:$A,0))</f>
        <v>0</v>
      </c>
      <c r="N333" s="119" t="n">
        <f aca="false">N318*INDEX(input_data!$L:$L,MATCH(dashboard!$B$5&amp;".in.enp.frt.otn.die",input_data!$A:$A,0))</f>
        <v>0</v>
      </c>
      <c r="O333" s="119" t="n">
        <f aca="false">O318*INDEX(input_data!$L:$L,MATCH(dashboard!$B$5&amp;".in.enp.frt.otn.die",input_data!$A:$A,0))</f>
        <v>0</v>
      </c>
      <c r="P333" s="119" t="n">
        <f aca="false">P318*INDEX(input_data!$L:$L,MATCH(dashboard!$B$5&amp;".in.enp.frt.otn.die",input_data!$A:$A,0))</f>
        <v>0</v>
      </c>
      <c r="Q333" s="119" t="n">
        <f aca="false">Q318*INDEX(input_data!$L:$L,MATCH(dashboard!$B$5&amp;".in.enp.frt.otn.die",input_data!$A:$A,0))</f>
        <v>0</v>
      </c>
      <c r="R333" s="119" t="n">
        <f aca="false">R318*INDEX(input_data!$L:$L,MATCH(dashboard!$B$5&amp;".in.enp.frt.otn.die",input_data!$A:$A,0))</f>
        <v>0</v>
      </c>
      <c r="S333" s="119" t="n">
        <f aca="false">S318*INDEX(input_data!$L:$L,MATCH(dashboard!$B$5&amp;".in.enp.frt.otn.die",input_data!$A:$A,0))</f>
        <v>0</v>
      </c>
      <c r="T333" s="119" t="n">
        <f aca="false">T318*INDEX(input_data!$L:$L,MATCH(dashboard!$B$5&amp;".in.enp.frt.otn.die",input_data!$A:$A,0))</f>
        <v>0</v>
      </c>
      <c r="U333" s="119" t="n">
        <f aca="false">U318*INDEX(input_data!$L:$L,MATCH(dashboard!$B$5&amp;".in.enp.frt.otn.die",input_data!$A:$A,0))</f>
        <v>0</v>
      </c>
      <c r="V333" s="119" t="n">
        <f aca="false">V318*INDEX(input_data!$L:$L,MATCH(dashboard!$B$5&amp;".in.enp.frt.otn.die",input_data!$A:$A,0))</f>
        <v>0</v>
      </c>
      <c r="W333" s="119" t="n">
        <f aca="false">W318*INDEX(input_data!$L:$L,MATCH(dashboard!$B$5&amp;".in.enp.frt.otn.die",input_data!$A:$A,0))</f>
        <v>0</v>
      </c>
      <c r="X333" s="119" t="n">
        <f aca="false">X318*INDEX(input_data!$L:$L,MATCH(dashboard!$B$5&amp;".in.enp.frt.otn.die",input_data!$A:$A,0))</f>
        <v>0</v>
      </c>
    </row>
    <row r="334" customFormat="false" ht="15" hidden="false" customHeight="true" outlineLevel="0" collapsed="false">
      <c r="A334" s="108" t="str">
        <f aca="false">dashboard!$B$5&amp;".pj.enp.frt.otn.ker"</f>
        <v>egy.pj.enp.frt.otn.ker</v>
      </c>
      <c r="B334" s="108" t="str">
        <f aca="false">dashboard!$B$5</f>
        <v>egy</v>
      </c>
      <c r="C334" s="108" t="s">
        <v>3401</v>
      </c>
      <c r="D334" s="108" t="s">
        <v>918</v>
      </c>
      <c r="E334" s="108" t="s">
        <v>767</v>
      </c>
      <c r="F334" s="108" t="s">
        <v>2883</v>
      </c>
      <c r="G334" s="108" t="s">
        <v>105</v>
      </c>
      <c r="H334" s="108" t="s">
        <v>3755</v>
      </c>
      <c r="I334" s="108" t="s">
        <v>3424</v>
      </c>
      <c r="J334" s="108"/>
      <c r="K334" s="108"/>
      <c r="L334" s="108"/>
      <c r="M334" s="119" t="n">
        <f aca="false">M318*INDEX(input_data!$L:$L,MATCH(dashboard!$B$5&amp;".in.enp.frt.otn.ker",input_data!$A:$A,0))</f>
        <v>0</v>
      </c>
      <c r="N334" s="119" t="n">
        <f aca="false">N318*INDEX(input_data!$L:$L,MATCH(dashboard!$B$5&amp;".in.enp.frt.otn.ker",input_data!$A:$A,0))</f>
        <v>0</v>
      </c>
      <c r="O334" s="119" t="n">
        <f aca="false">O318*INDEX(input_data!$L:$L,MATCH(dashboard!$B$5&amp;".in.enp.frt.otn.ker",input_data!$A:$A,0))</f>
        <v>0</v>
      </c>
      <c r="P334" s="119" t="n">
        <f aca="false">P318*INDEX(input_data!$L:$L,MATCH(dashboard!$B$5&amp;".in.enp.frt.otn.ker",input_data!$A:$A,0))</f>
        <v>0</v>
      </c>
      <c r="Q334" s="119" t="n">
        <f aca="false">Q318*INDEX(input_data!$L:$L,MATCH(dashboard!$B$5&amp;".in.enp.frt.otn.ker",input_data!$A:$A,0))</f>
        <v>0</v>
      </c>
      <c r="R334" s="119" t="n">
        <f aca="false">R318*INDEX(input_data!$L:$L,MATCH(dashboard!$B$5&amp;".in.enp.frt.otn.ker",input_data!$A:$A,0))</f>
        <v>0</v>
      </c>
      <c r="S334" s="119" t="n">
        <f aca="false">S318*INDEX(input_data!$L:$L,MATCH(dashboard!$B$5&amp;".in.enp.frt.otn.ker",input_data!$A:$A,0))</f>
        <v>0</v>
      </c>
      <c r="T334" s="119" t="n">
        <f aca="false">T318*INDEX(input_data!$L:$L,MATCH(dashboard!$B$5&amp;".in.enp.frt.otn.ker",input_data!$A:$A,0))</f>
        <v>0</v>
      </c>
      <c r="U334" s="119" t="n">
        <f aca="false">U318*INDEX(input_data!$L:$L,MATCH(dashboard!$B$5&amp;".in.enp.frt.otn.ker",input_data!$A:$A,0))</f>
        <v>0</v>
      </c>
      <c r="V334" s="119" t="n">
        <f aca="false">V318*INDEX(input_data!$L:$L,MATCH(dashboard!$B$5&amp;".in.enp.frt.otn.ker",input_data!$A:$A,0))</f>
        <v>0</v>
      </c>
      <c r="W334" s="119" t="n">
        <f aca="false">W318*INDEX(input_data!$L:$L,MATCH(dashboard!$B$5&amp;".in.enp.frt.otn.ker",input_data!$A:$A,0))</f>
        <v>0</v>
      </c>
      <c r="X334" s="119" t="n">
        <f aca="false">X318*INDEX(input_data!$L:$L,MATCH(dashboard!$B$5&amp;".in.enp.frt.otn.ker",input_data!$A:$A,0))</f>
        <v>0</v>
      </c>
    </row>
    <row r="335" customFormat="false" ht="15" hidden="false" customHeight="true" outlineLevel="0" collapsed="false">
      <c r="A335" s="108" t="str">
        <f aca="false">dashboard!$B$5&amp;".pj.enp.frt.otn.lpg"</f>
        <v>egy.pj.enp.frt.otn.lpg</v>
      </c>
      <c r="B335" s="108" t="str">
        <f aca="false">dashboard!$B$5</f>
        <v>egy</v>
      </c>
      <c r="C335" s="108" t="s">
        <v>3401</v>
      </c>
      <c r="D335" s="108" t="s">
        <v>918</v>
      </c>
      <c r="E335" s="108" t="s">
        <v>767</v>
      </c>
      <c r="F335" s="108" t="s">
        <v>2883</v>
      </c>
      <c r="G335" s="108" t="s">
        <v>107</v>
      </c>
      <c r="H335" s="108" t="s">
        <v>3756</v>
      </c>
      <c r="I335" s="108" t="s">
        <v>3424</v>
      </c>
      <c r="J335" s="108"/>
      <c r="K335" s="108"/>
      <c r="L335" s="108"/>
      <c r="M335" s="119" t="n">
        <f aca="false">M318*INDEX(input_data!$L:$L,MATCH(dashboard!$B$5&amp;".in.enp.frt.otn.lpg",input_data!$A:$A,0))</f>
        <v>0</v>
      </c>
      <c r="N335" s="119" t="n">
        <f aca="false">N318*INDEX(input_data!$L:$L,MATCH(dashboard!$B$5&amp;".in.enp.frt.otn.lpg",input_data!$A:$A,0))</f>
        <v>0</v>
      </c>
      <c r="O335" s="119" t="n">
        <f aca="false">O318*INDEX(input_data!$L:$L,MATCH(dashboard!$B$5&amp;".in.enp.frt.otn.lpg",input_data!$A:$A,0))</f>
        <v>0</v>
      </c>
      <c r="P335" s="119" t="n">
        <f aca="false">P318*INDEX(input_data!$L:$L,MATCH(dashboard!$B$5&amp;".in.enp.frt.otn.lpg",input_data!$A:$A,0))</f>
        <v>0</v>
      </c>
      <c r="Q335" s="119" t="n">
        <f aca="false">Q318*INDEX(input_data!$L:$L,MATCH(dashboard!$B$5&amp;".in.enp.frt.otn.lpg",input_data!$A:$A,0))</f>
        <v>0</v>
      </c>
      <c r="R335" s="119" t="n">
        <f aca="false">R318*INDEX(input_data!$L:$L,MATCH(dashboard!$B$5&amp;".in.enp.frt.otn.lpg",input_data!$A:$A,0))</f>
        <v>0</v>
      </c>
      <c r="S335" s="119" t="n">
        <f aca="false">S318*INDEX(input_data!$L:$L,MATCH(dashboard!$B$5&amp;".in.enp.frt.otn.lpg",input_data!$A:$A,0))</f>
        <v>0</v>
      </c>
      <c r="T335" s="119" t="n">
        <f aca="false">T318*INDEX(input_data!$L:$L,MATCH(dashboard!$B$5&amp;".in.enp.frt.otn.lpg",input_data!$A:$A,0))</f>
        <v>0</v>
      </c>
      <c r="U335" s="119" t="n">
        <f aca="false">U318*INDEX(input_data!$L:$L,MATCH(dashboard!$B$5&amp;".in.enp.frt.otn.lpg",input_data!$A:$A,0))</f>
        <v>0</v>
      </c>
      <c r="V335" s="119" t="n">
        <f aca="false">V318*INDEX(input_data!$L:$L,MATCH(dashboard!$B$5&amp;".in.enp.frt.otn.lpg",input_data!$A:$A,0))</f>
        <v>0</v>
      </c>
      <c r="W335" s="119" t="n">
        <f aca="false">W318*INDEX(input_data!$L:$L,MATCH(dashboard!$B$5&amp;".in.enp.frt.otn.lpg",input_data!$A:$A,0))</f>
        <v>0</v>
      </c>
      <c r="X335" s="119" t="n">
        <f aca="false">X318*INDEX(input_data!$L:$L,MATCH(dashboard!$B$5&amp;".in.enp.frt.otn.lpg",input_data!$A:$A,0))</f>
        <v>0</v>
      </c>
    </row>
    <row r="336" customFormat="false" ht="15" hidden="false" customHeight="true" outlineLevel="0" collapsed="false">
      <c r="A336" s="108" t="str">
        <f aca="false">dashboard!$B$5&amp;".pj.enp.frt.otn.bio"</f>
        <v>egy.pj.enp.frt.otn.bio</v>
      </c>
      <c r="B336" s="108" t="str">
        <f aca="false">dashboard!$B$5</f>
        <v>egy</v>
      </c>
      <c r="C336" s="108" t="s">
        <v>3401</v>
      </c>
      <c r="D336" s="108" t="s">
        <v>918</v>
      </c>
      <c r="E336" s="108" t="s">
        <v>767</v>
      </c>
      <c r="F336" s="108" t="s">
        <v>2883</v>
      </c>
      <c r="G336" s="108" t="s">
        <v>109</v>
      </c>
      <c r="H336" s="108" t="s">
        <v>3757</v>
      </c>
      <c r="I336" s="108" t="s">
        <v>3424</v>
      </c>
      <c r="J336" s="108"/>
      <c r="K336" s="108"/>
      <c r="L336" s="108"/>
      <c r="M336" s="119" t="n">
        <f aca="false">M318*INDEX(input_data!$L:$L,MATCH(dashboard!$B$5&amp;".in.enp.frt.otn.bio",input_data!$A:$A,0))</f>
        <v>0</v>
      </c>
      <c r="N336" s="119" t="n">
        <f aca="false">N318*INDEX(input_data!$L:$L,MATCH(dashboard!$B$5&amp;".in.enp.frt.otn.bio",input_data!$A:$A,0))</f>
        <v>0</v>
      </c>
      <c r="O336" s="119" t="n">
        <f aca="false">O318*INDEX(input_data!$L:$L,MATCH(dashboard!$B$5&amp;".in.enp.frt.otn.bio",input_data!$A:$A,0))</f>
        <v>0</v>
      </c>
      <c r="P336" s="119" t="n">
        <f aca="false">P318*INDEX(input_data!$L:$L,MATCH(dashboard!$B$5&amp;".in.enp.frt.otn.bio",input_data!$A:$A,0))</f>
        <v>0</v>
      </c>
      <c r="Q336" s="119" t="n">
        <f aca="false">Q318*INDEX(input_data!$L:$L,MATCH(dashboard!$B$5&amp;".in.enp.frt.otn.bio",input_data!$A:$A,0))</f>
        <v>0</v>
      </c>
      <c r="R336" s="119" t="n">
        <f aca="false">R318*INDEX(input_data!$L:$L,MATCH(dashboard!$B$5&amp;".in.enp.frt.otn.bio",input_data!$A:$A,0))</f>
        <v>0</v>
      </c>
      <c r="S336" s="119" t="n">
        <f aca="false">S318*INDEX(input_data!$L:$L,MATCH(dashboard!$B$5&amp;".in.enp.frt.otn.bio",input_data!$A:$A,0))</f>
        <v>0</v>
      </c>
      <c r="T336" s="119" t="n">
        <f aca="false">T318*INDEX(input_data!$L:$L,MATCH(dashboard!$B$5&amp;".in.enp.frt.otn.bio",input_data!$A:$A,0))</f>
        <v>0</v>
      </c>
      <c r="U336" s="119" t="n">
        <f aca="false">U318*INDEX(input_data!$L:$L,MATCH(dashboard!$B$5&amp;".in.enp.frt.otn.bio",input_data!$A:$A,0))</f>
        <v>0</v>
      </c>
      <c r="V336" s="119" t="n">
        <f aca="false">V318*INDEX(input_data!$L:$L,MATCH(dashboard!$B$5&amp;".in.enp.frt.otn.bio",input_data!$A:$A,0))</f>
        <v>0</v>
      </c>
      <c r="W336" s="119" t="n">
        <f aca="false">W318*INDEX(input_data!$L:$L,MATCH(dashboard!$B$5&amp;".in.enp.frt.otn.bio",input_data!$A:$A,0))</f>
        <v>0</v>
      </c>
      <c r="X336" s="119" t="n">
        <f aca="false">X318*INDEX(input_data!$L:$L,MATCH(dashboard!$B$5&amp;".in.enp.frt.otn.bio",input_data!$A:$A,0))</f>
        <v>0</v>
      </c>
    </row>
    <row r="337" customFormat="false" ht="15" hidden="false" customHeight="true" outlineLevel="0" collapsed="false">
      <c r="A337" s="108" t="str">
        <f aca="false">dashboard!$B$5&amp;".pj.enp.frt.otn.ren"</f>
        <v>egy.pj.enp.frt.otn.ren</v>
      </c>
      <c r="B337" s="108" t="str">
        <f aca="false">dashboard!$B$5</f>
        <v>egy</v>
      </c>
      <c r="C337" s="108" t="s">
        <v>3401</v>
      </c>
      <c r="D337" s="108" t="s">
        <v>918</v>
      </c>
      <c r="E337" s="108" t="s">
        <v>767</v>
      </c>
      <c r="F337" s="108" t="s">
        <v>2883</v>
      </c>
      <c r="G337" s="108" t="s">
        <v>111</v>
      </c>
      <c r="H337" s="108" t="s">
        <v>3758</v>
      </c>
      <c r="I337" s="108" t="s">
        <v>3424</v>
      </c>
      <c r="J337" s="108"/>
      <c r="K337" s="108"/>
      <c r="L337" s="108"/>
      <c r="M337" s="119" t="n">
        <f aca="false">M318*INDEX(input_data!$L:$L,MATCH(dashboard!$B$5&amp;".in.enp.frt.otn.ren",input_data!$A:$A,0))</f>
        <v>0</v>
      </c>
      <c r="N337" s="119" t="n">
        <f aca="false">N318*INDEX(input_data!$L:$L,MATCH(dashboard!$B$5&amp;".in.enp.frt.otn.ren",input_data!$A:$A,0))</f>
        <v>0</v>
      </c>
      <c r="O337" s="119" t="n">
        <f aca="false">O318*INDEX(input_data!$L:$L,MATCH(dashboard!$B$5&amp;".in.enp.frt.otn.ren",input_data!$A:$A,0))</f>
        <v>0</v>
      </c>
      <c r="P337" s="119" t="n">
        <f aca="false">P318*INDEX(input_data!$L:$L,MATCH(dashboard!$B$5&amp;".in.enp.frt.otn.ren",input_data!$A:$A,0))</f>
        <v>0</v>
      </c>
      <c r="Q337" s="119" t="n">
        <f aca="false">Q318*INDEX(input_data!$L:$L,MATCH(dashboard!$B$5&amp;".in.enp.frt.otn.ren",input_data!$A:$A,0))</f>
        <v>0</v>
      </c>
      <c r="R337" s="119" t="n">
        <f aca="false">R318*INDEX(input_data!$L:$L,MATCH(dashboard!$B$5&amp;".in.enp.frt.otn.ren",input_data!$A:$A,0))</f>
        <v>0</v>
      </c>
      <c r="S337" s="119" t="n">
        <f aca="false">S318*INDEX(input_data!$L:$L,MATCH(dashboard!$B$5&amp;".in.enp.frt.otn.ren",input_data!$A:$A,0))</f>
        <v>0</v>
      </c>
      <c r="T337" s="119" t="n">
        <f aca="false">T318*INDEX(input_data!$L:$L,MATCH(dashboard!$B$5&amp;".in.enp.frt.otn.ren",input_data!$A:$A,0))</f>
        <v>0</v>
      </c>
      <c r="U337" s="119" t="n">
        <f aca="false">U318*INDEX(input_data!$L:$L,MATCH(dashboard!$B$5&amp;".in.enp.frt.otn.ren",input_data!$A:$A,0))</f>
        <v>0</v>
      </c>
      <c r="V337" s="119" t="n">
        <f aca="false">V318*INDEX(input_data!$L:$L,MATCH(dashboard!$B$5&amp;".in.enp.frt.otn.ren",input_data!$A:$A,0))</f>
        <v>0</v>
      </c>
      <c r="W337" s="119" t="n">
        <f aca="false">W318*INDEX(input_data!$L:$L,MATCH(dashboard!$B$5&amp;".in.enp.frt.otn.ren",input_data!$A:$A,0))</f>
        <v>0</v>
      </c>
      <c r="X337" s="119" t="n">
        <f aca="false">X318*INDEX(input_data!$L:$L,MATCH(dashboard!$B$5&amp;".in.enp.frt.otn.ren",input_data!$A:$A,0))</f>
        <v>0</v>
      </c>
    </row>
    <row r="338" customFormat="false" ht="15" hidden="false" customHeight="true" outlineLevel="0" collapsed="false">
      <c r="A338" s="108" t="str">
        <f aca="false">dashboard!$B$5&amp;".pj.ele.frt.otn.elc"</f>
        <v>egy.pj.ele.frt.otn.elc</v>
      </c>
      <c r="B338" s="108" t="str">
        <f aca="false">dashboard!$B$5</f>
        <v>egy</v>
      </c>
      <c r="C338" s="108" t="s">
        <v>3401</v>
      </c>
      <c r="D338" s="108" t="s">
        <v>943</v>
      </c>
      <c r="E338" s="108" t="s">
        <v>767</v>
      </c>
      <c r="F338" s="108" t="s">
        <v>2883</v>
      </c>
      <c r="G338" s="108" t="s">
        <v>944</v>
      </c>
      <c r="H338" s="108" t="s">
        <v>3759</v>
      </c>
      <c r="I338" s="108" t="s">
        <v>3424</v>
      </c>
      <c r="J338" s="108"/>
      <c r="K338" s="108"/>
      <c r="L338" s="108"/>
      <c r="M338" s="119" t="n">
        <f aca="false">M318*INDEX(input_data!$L:$L,MATCH(dashboard!$B$5&amp;".in.ele.frt.otn.elc",input_data!$A:$A,0))</f>
        <v>0.024</v>
      </c>
      <c r="N338" s="119" t="n">
        <f aca="false">N318*INDEX(input_data!$L:$L,MATCH(dashboard!$B$5&amp;".in.ele.frt.otn.elc",input_data!$A:$A,0))</f>
        <v>0.024651166301009</v>
      </c>
      <c r="O338" s="119" t="n">
        <f aca="false">O318*INDEX(input_data!$L:$L,MATCH(dashboard!$B$5&amp;".in.ele.frt.otn.elc",input_data!$A:$A,0))</f>
        <v>0.02532</v>
      </c>
      <c r="P338" s="119" t="n">
        <f aca="false">P318*INDEX(input_data!$L:$L,MATCH(dashboard!$B$5&amp;".in.ele.frt.otn.elc",input_data!$A:$A,0))</f>
        <v>0.0260069804475645</v>
      </c>
      <c r="Q338" s="119" t="n">
        <f aca="false">Q318*INDEX(input_data!$L:$L,MATCH(dashboard!$B$5&amp;".in.ele.frt.otn.elc",input_data!$A:$A,0))</f>
        <v>0.0267126</v>
      </c>
      <c r="R338" s="119" t="n">
        <f aca="false">R318*INDEX(input_data!$L:$L,MATCH(dashboard!$B$5&amp;".in.ele.frt.otn.elc",input_data!$A:$A,0))</f>
        <v>0.0274373643721805</v>
      </c>
      <c r="S338" s="119" t="n">
        <f aca="false">S318*INDEX(input_data!$L:$L,MATCH(dashboard!$B$5&amp;".in.ele.frt.otn.elc",input_data!$A:$A,0))</f>
        <v>0.028181793</v>
      </c>
      <c r="T338" s="119" t="n">
        <f aca="false">T318*INDEX(input_data!$L:$L,MATCH(dashboard!$B$5&amp;".in.ele.frt.otn.elc",input_data!$A:$A,0))</f>
        <v>0.0289464194126504</v>
      </c>
      <c r="U338" s="119" t="n">
        <f aca="false">U318*INDEX(input_data!$L:$L,MATCH(dashboard!$B$5&amp;".in.ele.frt.otn.elc",input_data!$A:$A,0))</f>
        <v>0.029731791615</v>
      </c>
      <c r="V338" s="119" t="n">
        <f aca="false">V318*INDEX(input_data!$L:$L,MATCH(dashboard!$B$5&amp;".in.ele.frt.otn.elc",input_data!$A:$A,0))</f>
        <v>0.0305384724803462</v>
      </c>
      <c r="W338" s="119" t="n">
        <f aca="false">W318*INDEX(input_data!$L:$L,MATCH(dashboard!$B$5&amp;".in.ele.frt.otn.elc",input_data!$A:$A,0))</f>
        <v>0.031367040153825</v>
      </c>
      <c r="X338" s="119" t="n">
        <f aca="false">X318*INDEX(input_data!$L:$L,MATCH(dashboard!$B$5&amp;".in.ele.frt.otn.elc",input_data!$A:$A,0))</f>
        <v>0.0322180884667652</v>
      </c>
    </row>
    <row r="339" customFormat="false" ht="15" hidden="false" customHeight="true" outlineLevel="0" collapsed="false">
      <c r="A339" s="108" t="str">
        <f aca="false">dashboard!$B$5&amp;".em.sfc.frt.otn.---"</f>
        <v>egy.em.sfc.frt.otn.---</v>
      </c>
      <c r="B339" s="108" t="str">
        <f aca="false">dashboard!$B$5</f>
        <v>egy</v>
      </c>
      <c r="C339" s="108" t="s">
        <v>3444</v>
      </c>
      <c r="D339" s="108" t="s">
        <v>3445</v>
      </c>
      <c r="E339" s="108" t="s">
        <v>767</v>
      </c>
      <c r="F339" s="108" t="s">
        <v>2883</v>
      </c>
      <c r="G339" s="108" t="s">
        <v>655</v>
      </c>
      <c r="H339" s="108" t="s">
        <v>3760</v>
      </c>
      <c r="I339" s="108" t="s">
        <v>3447</v>
      </c>
      <c r="J339" s="108"/>
      <c r="K339" s="108"/>
      <c r="L339" s="108"/>
      <c r="M339" s="119" t="n">
        <f aca="false">SUMPRODUCT(M322:M329,M10:M17)/1000</f>
        <v>0.02244</v>
      </c>
      <c r="N339" s="119" t="n">
        <f aca="false">SUMPRODUCT(N322:N329,N10:N17)/1000</f>
        <v>0.0230488404914434</v>
      </c>
      <c r="O339" s="119" t="n">
        <f aca="false">SUMPRODUCT(O322:O329,O10:O17)/1000</f>
        <v>0.0236742</v>
      </c>
      <c r="P339" s="119" t="n">
        <f aca="false">SUMPRODUCT(P322:P329,P10:P17)/1000</f>
        <v>0.0243165267184728</v>
      </c>
      <c r="Q339" s="119" t="n">
        <f aca="false">SUMPRODUCT(Q322:Q329,Q10:Q17)/1000</f>
        <v>0.024976281</v>
      </c>
      <c r="R339" s="119" t="n">
        <f aca="false">SUMPRODUCT(R322:R329,R10:R17)/1000</f>
        <v>0.0256539356879888</v>
      </c>
      <c r="S339" s="119" t="n">
        <f aca="false">SUMPRODUCT(S322:S329,S10:S17)/1000</f>
        <v>0.026349976455</v>
      </c>
      <c r="T339" s="119" t="n">
        <f aca="false">SUMPRODUCT(T322:T329,T10:T17)/1000</f>
        <v>0.0270649021508282</v>
      </c>
      <c r="U339" s="119" t="n">
        <f aca="false">SUMPRODUCT(U322:U329,U10:U17)/1000</f>
        <v>0.027799225160025</v>
      </c>
      <c r="V339" s="119" t="n">
        <f aca="false">SUMPRODUCT(V322:V329,V10:V17)/1000</f>
        <v>0.0285534717691237</v>
      </c>
      <c r="W339" s="119" t="n">
        <f aca="false">SUMPRODUCT(W322:W329,W10:W17)/1000</f>
        <v>0.0293281825438264</v>
      </c>
      <c r="X339" s="119" t="n">
        <f aca="false">SUMPRODUCT(X322:X329,X10:X17)/1000</f>
        <v>0.0301239127164255</v>
      </c>
    </row>
    <row r="340" customFormat="false" ht="15" hidden="false" customHeight="true" outlineLevel="0" collapsed="false">
      <c r="A340" s="108" t="str">
        <f aca="false">dashboard!$B$5&amp;".em.sfp.frt.otn.---"</f>
        <v>egy.em.sfp.frt.otn.---</v>
      </c>
      <c r="B340" s="108" t="str">
        <f aca="false">dashboard!$B$5</f>
        <v>egy</v>
      </c>
      <c r="C340" s="108" t="s">
        <v>3444</v>
      </c>
      <c r="D340" s="108" t="s">
        <v>3449</v>
      </c>
      <c r="E340" s="108" t="s">
        <v>767</v>
      </c>
      <c r="F340" s="108" t="s">
        <v>2883</v>
      </c>
      <c r="G340" s="108" t="s">
        <v>655</v>
      </c>
      <c r="H340" s="108" t="s">
        <v>3761</v>
      </c>
      <c r="I340" s="108" t="s">
        <v>3447</v>
      </c>
      <c r="J340" s="108"/>
      <c r="K340" s="108"/>
      <c r="L340" s="108"/>
      <c r="M340" s="119" t="n">
        <f aca="false">SUMPRODUCT(M330:M337,M10:M17)/1000</f>
        <v>0</v>
      </c>
      <c r="N340" s="119" t="n">
        <f aca="false">SUMPRODUCT(N330:N337,N10:N17)/1000</f>
        <v>0</v>
      </c>
      <c r="O340" s="119" t="n">
        <f aca="false">SUMPRODUCT(O330:O337,O10:O17)/1000</f>
        <v>0</v>
      </c>
      <c r="P340" s="119" t="n">
        <f aca="false">SUMPRODUCT(P330:P337,P10:P17)/1000</f>
        <v>0</v>
      </c>
      <c r="Q340" s="119" t="n">
        <f aca="false">SUMPRODUCT(Q330:Q337,Q10:Q17)/1000</f>
        <v>0</v>
      </c>
      <c r="R340" s="119" t="n">
        <f aca="false">SUMPRODUCT(R330:R337,R10:R17)/1000</f>
        <v>0</v>
      </c>
      <c r="S340" s="119" t="n">
        <f aca="false">SUMPRODUCT(S330:S337,S10:S17)/1000</f>
        <v>0</v>
      </c>
      <c r="T340" s="119" t="n">
        <f aca="false">SUMPRODUCT(T330:T337,T10:T17)/1000</f>
        <v>0</v>
      </c>
      <c r="U340" s="119" t="n">
        <f aca="false">SUMPRODUCT(U330:U337,U10:U17)/1000</f>
        <v>0</v>
      </c>
      <c r="V340" s="119" t="n">
        <f aca="false">SUMPRODUCT(V330:V337,V10:V17)/1000</f>
        <v>0</v>
      </c>
      <c r="W340" s="119" t="n">
        <f aca="false">SUMPRODUCT(W330:W337,W10:W17)/1000</f>
        <v>0</v>
      </c>
      <c r="X340" s="119" t="n">
        <f aca="false">SUMPRODUCT(X330:X337,X10:X17)/1000</f>
        <v>0</v>
      </c>
    </row>
    <row r="341" customFormat="false" ht="15" hidden="false" customHeight="true" outlineLevel="0" collapsed="false">
      <c r="A341" s="108" t="str">
        <f aca="false">dashboard!$B$5&amp;".em.snp.frt.otn.---"</f>
        <v>egy.em.snp.frt.otn.---</v>
      </c>
      <c r="B341" s="108" t="str">
        <f aca="false">dashboard!$B$5</f>
        <v>egy</v>
      </c>
      <c r="C341" s="108" t="s">
        <v>3444</v>
      </c>
      <c r="D341" s="108" t="s">
        <v>3452</v>
      </c>
      <c r="E341" s="108" t="s">
        <v>767</v>
      </c>
      <c r="F341" s="108" t="s">
        <v>2883</v>
      </c>
      <c r="G341" s="108" t="s">
        <v>655</v>
      </c>
      <c r="H341" s="108" t="s">
        <v>3762</v>
      </c>
      <c r="I341" s="108" t="s">
        <v>3447</v>
      </c>
      <c r="J341" s="108"/>
      <c r="K341" s="108"/>
      <c r="L341" s="108"/>
      <c r="M341" s="119" t="n">
        <f aca="false">M318*INDEX(input_data!$L:$L,MATCH(dashboard!$B$5&amp;".in.efn.frt.otn.---",input_data!$A:$A,0))</f>
        <v>0</v>
      </c>
      <c r="N341" s="119" t="n">
        <f aca="false">N318*INDEX(input_data!$L:$L,MATCH(dashboard!$B$5&amp;".in.efn.frt.otn.---",input_data!$A:$A,0))</f>
        <v>0</v>
      </c>
      <c r="O341" s="119" t="n">
        <f aca="false">O318*INDEX(input_data!$L:$L,MATCH(dashboard!$B$5&amp;".in.efn.frt.otn.---",input_data!$A:$A,0))</f>
        <v>0</v>
      </c>
      <c r="P341" s="119" t="n">
        <f aca="false">P318*INDEX(input_data!$L:$L,MATCH(dashboard!$B$5&amp;".in.efn.frt.otn.---",input_data!$A:$A,0))</f>
        <v>0</v>
      </c>
      <c r="Q341" s="119" t="n">
        <f aca="false">Q318*INDEX(input_data!$L:$L,MATCH(dashboard!$B$5&amp;".in.efn.frt.otn.---",input_data!$A:$A,0))</f>
        <v>0</v>
      </c>
      <c r="R341" s="119" t="n">
        <f aca="false">R318*INDEX(input_data!$L:$L,MATCH(dashboard!$B$5&amp;".in.efn.frt.otn.---",input_data!$A:$A,0))</f>
        <v>0</v>
      </c>
      <c r="S341" s="119" t="n">
        <f aca="false">S318*INDEX(input_data!$L:$L,MATCH(dashboard!$B$5&amp;".in.efn.frt.otn.---",input_data!$A:$A,0))</f>
        <v>0</v>
      </c>
      <c r="T341" s="119" t="n">
        <f aca="false">T318*INDEX(input_data!$L:$L,MATCH(dashboard!$B$5&amp;".in.efn.frt.otn.---",input_data!$A:$A,0))</f>
        <v>0</v>
      </c>
      <c r="U341" s="119" t="n">
        <f aca="false">U318*INDEX(input_data!$L:$L,MATCH(dashboard!$B$5&amp;".in.efn.frt.otn.---",input_data!$A:$A,0))</f>
        <v>0</v>
      </c>
      <c r="V341" s="119" t="n">
        <f aca="false">V318*INDEX(input_data!$L:$L,MATCH(dashboard!$B$5&amp;".in.efn.frt.otn.---",input_data!$A:$A,0))</f>
        <v>0</v>
      </c>
      <c r="W341" s="119" t="n">
        <f aca="false">W318*INDEX(input_data!$L:$L,MATCH(dashboard!$B$5&amp;".in.efn.frt.otn.---",input_data!$A:$A,0))</f>
        <v>0</v>
      </c>
      <c r="X341" s="119" t="n">
        <f aca="false">X318*INDEX(input_data!$L:$L,MATCH(dashboard!$B$5&amp;".in.efn.frt.otn.---",input_data!$A:$A,0))</f>
        <v>0</v>
      </c>
    </row>
    <row r="342" customFormat="false" ht="15" hidden="false" customHeight="true" outlineLevel="0" collapsed="false">
      <c r="A342" s="108" t="str">
        <f aca="false">dashboard!$B$5&amp;".em.sno.frt.otn.---"</f>
        <v>egy.em.sno.frt.otn.---</v>
      </c>
      <c r="B342" s="108" t="str">
        <f aca="false">dashboard!$B$5</f>
        <v>egy</v>
      </c>
      <c r="C342" s="108" t="s">
        <v>3444</v>
      </c>
      <c r="D342" s="108" t="s">
        <v>3455</v>
      </c>
      <c r="E342" s="108" t="s">
        <v>767</v>
      </c>
      <c r="F342" s="108" t="s">
        <v>2883</v>
      </c>
      <c r="G342" s="108" t="s">
        <v>655</v>
      </c>
      <c r="H342" s="108" t="s">
        <v>3763</v>
      </c>
      <c r="I342" s="108" t="s">
        <v>3457</v>
      </c>
      <c r="J342" s="108"/>
      <c r="K342" s="108"/>
      <c r="L342" s="108"/>
      <c r="M342" s="119" t="n">
        <f aca="false">M318*INDEX(input_data!$L:$L,MATCH(dashboard!$B$5&amp;".in.efo.frt.otn.---",input_data!$A:$A,0))</f>
        <v>0</v>
      </c>
      <c r="N342" s="119" t="n">
        <f aca="false">N318*INDEX(input_data!$L:$L,MATCH(dashboard!$B$5&amp;".in.efo.frt.otn.---",input_data!$A:$A,0))</f>
        <v>0</v>
      </c>
      <c r="O342" s="119" t="n">
        <f aca="false">O318*INDEX(input_data!$L:$L,MATCH(dashboard!$B$5&amp;".in.efo.frt.otn.---",input_data!$A:$A,0))</f>
        <v>0</v>
      </c>
      <c r="P342" s="119" t="n">
        <f aca="false">P318*INDEX(input_data!$L:$L,MATCH(dashboard!$B$5&amp;".in.efo.frt.otn.---",input_data!$A:$A,0))</f>
        <v>0</v>
      </c>
      <c r="Q342" s="119" t="n">
        <f aca="false">Q318*INDEX(input_data!$L:$L,MATCH(dashboard!$B$5&amp;".in.efo.frt.otn.---",input_data!$A:$A,0))</f>
        <v>0</v>
      </c>
      <c r="R342" s="119" t="n">
        <f aca="false">R318*INDEX(input_data!$L:$L,MATCH(dashboard!$B$5&amp;".in.efo.frt.otn.---",input_data!$A:$A,0))</f>
        <v>0</v>
      </c>
      <c r="S342" s="119" t="n">
        <f aca="false">S318*INDEX(input_data!$L:$L,MATCH(dashboard!$B$5&amp;".in.efo.frt.otn.---",input_data!$A:$A,0))</f>
        <v>0</v>
      </c>
      <c r="T342" s="119" t="n">
        <f aca="false">T318*INDEX(input_data!$L:$L,MATCH(dashboard!$B$5&amp;".in.efo.frt.otn.---",input_data!$A:$A,0))</f>
        <v>0</v>
      </c>
      <c r="U342" s="119" t="n">
        <f aca="false">U318*INDEX(input_data!$L:$L,MATCH(dashboard!$B$5&amp;".in.efo.frt.otn.---",input_data!$A:$A,0))</f>
        <v>0</v>
      </c>
      <c r="V342" s="119" t="n">
        <f aca="false">V318*INDEX(input_data!$L:$L,MATCH(dashboard!$B$5&amp;".in.efo.frt.otn.---",input_data!$A:$A,0))</f>
        <v>0</v>
      </c>
      <c r="W342" s="119" t="n">
        <f aca="false">W318*INDEX(input_data!$L:$L,MATCH(dashboard!$B$5&amp;".in.efo.frt.otn.---",input_data!$A:$A,0))</f>
        <v>0</v>
      </c>
      <c r="X342" s="119" t="n">
        <f aca="false">X318*INDEX(input_data!$L:$L,MATCH(dashboard!$B$5&amp;".in.efo.frt.otn.---",input_data!$A:$A,0))</f>
        <v>0</v>
      </c>
    </row>
    <row r="343" customFormat="false" ht="15" hidden="false" customHeight="true" outlineLevel="0" collapsed="false">
      <c r="A343" s="108" t="str">
        <f aca="false">dashboard!$B$5&amp;".em.s2e.frt.otn.elc"</f>
        <v>egy.em.s2e.frt.otn.elc</v>
      </c>
      <c r="B343" s="108" t="str">
        <f aca="false">dashboard!$B$5</f>
        <v>egy</v>
      </c>
      <c r="C343" s="108" t="s">
        <v>3444</v>
      </c>
      <c r="D343" s="108" t="s">
        <v>3459</v>
      </c>
      <c r="E343" s="108" t="s">
        <v>767</v>
      </c>
      <c r="F343" s="108" t="s">
        <v>2883</v>
      </c>
      <c r="G343" s="108" t="s">
        <v>944</v>
      </c>
      <c r="H343" s="108" t="s">
        <v>3764</v>
      </c>
      <c r="I343" s="108" t="s">
        <v>3447</v>
      </c>
      <c r="J343" s="108"/>
      <c r="K343" s="108"/>
      <c r="L343" s="108"/>
      <c r="M343" s="119" t="n">
        <f aca="false">M338*INDEX(input_data!$M:$X,MATCH(dashboard!$B$5&amp;".in.gef.---.---.---",input_data!$A:$A,0),COLUMNS($M:M))/3.6</f>
        <v>0.0034</v>
      </c>
      <c r="N343" s="119" t="n">
        <f aca="false">N338*INDEX(input_data!$M:$X,MATCH(dashboard!$B$5&amp;".in.gef.---.---.---",input_data!$A:$A,0),COLUMNS($M:N))/3.6</f>
        <v>0.00342377309736236</v>
      </c>
      <c r="O343" s="119" t="n">
        <f aca="false">O338*INDEX(input_data!$M:$X,MATCH(dashboard!$B$5&amp;".in.gef.---.---.---",input_data!$A:$A,0),COLUMNS($M:O))/3.6</f>
        <v>0.00344633333333333</v>
      </c>
      <c r="P343" s="119" t="n">
        <f aca="false">P338*INDEX(input_data!$M:$X,MATCH(dashboard!$B$5&amp;".in.gef.---.---.---",input_data!$A:$A,0),COLUMNS($M:P))/3.6</f>
        <v>0.00346759739300859</v>
      </c>
      <c r="Q343" s="119" t="n">
        <f aca="false">Q338*INDEX(input_data!$M:$X,MATCH(dashboard!$B$5&amp;".in.gef.---.---.---",input_data!$A:$A,0),COLUMNS($M:Q))/3.6</f>
        <v>0.00348747833333333</v>
      </c>
      <c r="R343" s="119" t="n">
        <f aca="false">R338*INDEX(input_data!$M:$X,MATCH(dashboard!$B$5&amp;".in.gef.---.---.---",input_data!$A:$A,0),COLUMNS($M:R))/3.6</f>
        <v>0.0035058854475564</v>
      </c>
      <c r="S343" s="119" t="n">
        <f aca="false">S338*INDEX(input_data!$M:$X,MATCH(dashboard!$B$5&amp;".in.gef.---.---.---",input_data!$A:$A,0),COLUMNS($M:S))/3.6</f>
        <v>0.003522724125</v>
      </c>
      <c r="T343" s="119" t="n">
        <f aca="false">T338*INDEX(input_data!$M:$X,MATCH(dashboard!$B$5&amp;".in.gef.---.---.---",input_data!$A:$A,0),COLUMNS($M:T))/3.6</f>
        <v>0.00353789570599061</v>
      </c>
      <c r="U343" s="119" t="n">
        <f aca="false">U338*INDEX(input_data!$M:$X,MATCH(dashboard!$B$5&amp;".in.gef.---.---.---",input_data!$A:$A,0),COLUMNS($M:U))/3.6</f>
        <v>0.00355129733179167</v>
      </c>
      <c r="V343" s="119" t="n">
        <f aca="false">V338*INDEX(input_data!$M:$X,MATCH(dashboard!$B$5&amp;".in.gef.---.---.---",input_data!$A:$A,0),COLUMNS($M:V))/3.6</f>
        <v>0.00356282178937372</v>
      </c>
      <c r="W343" s="119" t="n">
        <f aca="false">W338*INDEX(input_data!$M:$X,MATCH(dashboard!$B$5&amp;".in.gef.---.---.---",input_data!$A:$A,0),COLUMNS($M:W))/3.6</f>
        <v>0.00357235735085229</v>
      </c>
      <c r="X343" s="119" t="n">
        <f aca="false">X338*INDEX(input_data!$M:$X,MATCH(dashboard!$B$5&amp;".in.gef.---.---.---",input_data!$A:$A,0),COLUMNS($M:X))/3.6</f>
        <v>0.00357978760741836</v>
      </c>
    </row>
    <row r="344" customFormat="false" ht="15" hidden="false" customHeight="true" outlineLevel="0" collapsed="false">
      <c r="A344" s="108" t="str">
        <f aca="false">dashboard!$B$5&amp;".em.nh3.frt.otn.---"</f>
        <v>egy.em.nh3.frt.otn.---</v>
      </c>
      <c r="B344" s="108" t="str">
        <f aca="false">dashboard!$B$5</f>
        <v>egy</v>
      </c>
      <c r="C344" s="108" t="s">
        <v>3444</v>
      </c>
      <c r="D344" s="108" t="s">
        <v>727</v>
      </c>
      <c r="E344" s="108" t="s">
        <v>767</v>
      </c>
      <c r="F344" s="108" t="s">
        <v>2883</v>
      </c>
      <c r="G344" s="108" t="s">
        <v>655</v>
      </c>
      <c r="H344" s="108" t="s">
        <v>3765</v>
      </c>
      <c r="I344" s="108" t="s">
        <v>3457</v>
      </c>
      <c r="J344" s="108"/>
      <c r="K344" s="108"/>
      <c r="L344" s="108"/>
      <c r="M344" s="119" t="n">
        <f aca="false">INDEX(input_data!$L:$L,MATCH("all.in.nh3.frt.otn.---",input_data!$A:$A,0))*IFERROR((M153+M154+M155+M156)/M132,0)*M318</f>
        <v>0</v>
      </c>
      <c r="N344" s="119" t="n">
        <f aca="false">INDEX(input_data!$L:$L,MATCH("all.in.nh3.frt.otn.---",input_data!$A:$A,0))*IFERROR((N153+N154+N155+N156)/N132,0)*N318</f>
        <v>0</v>
      </c>
      <c r="O344" s="119" t="n">
        <f aca="false">INDEX(input_data!$L:$L,MATCH("all.in.nh3.frt.otn.---",input_data!$A:$A,0))*IFERROR((O153+O154+O155+O156)/O132,0)*O318</f>
        <v>0</v>
      </c>
      <c r="P344" s="119" t="n">
        <f aca="false">INDEX(input_data!$L:$L,MATCH("all.in.nh3.frt.otn.---",input_data!$A:$A,0))*IFERROR((P153+P154+P155+P156)/P132,0)*P318</f>
        <v>0</v>
      </c>
      <c r="Q344" s="119" t="n">
        <f aca="false">INDEX(input_data!$L:$L,MATCH("all.in.nh3.frt.otn.---",input_data!$A:$A,0))*IFERROR((Q153+Q154+Q155+Q156)/Q132,0)*Q318</f>
        <v>0</v>
      </c>
      <c r="R344" s="119" t="n">
        <f aca="false">INDEX(input_data!$L:$L,MATCH("all.in.nh3.frt.otn.---",input_data!$A:$A,0))*IFERROR((R153+R154+R155+R156)/R132,0)*R318</f>
        <v>0</v>
      </c>
      <c r="S344" s="119" t="n">
        <f aca="false">INDEX(input_data!$L:$L,MATCH("all.in.nh3.frt.otn.---",input_data!$A:$A,0))*IFERROR((S153+S154+S155+S156)/S132,0)*S318</f>
        <v>0</v>
      </c>
      <c r="T344" s="119" t="n">
        <f aca="false">INDEX(input_data!$L:$L,MATCH("all.in.nh3.frt.otn.---",input_data!$A:$A,0))*IFERROR((T153+T154+T155+T156)/T132,0)*T318</f>
        <v>0</v>
      </c>
      <c r="U344" s="119" t="n">
        <f aca="false">INDEX(input_data!$L:$L,MATCH("all.in.nh3.frt.otn.---",input_data!$A:$A,0))*IFERROR((U153+U154+U155+U156)/U132,0)*U318</f>
        <v>0</v>
      </c>
      <c r="V344" s="119" t="n">
        <f aca="false">INDEX(input_data!$L:$L,MATCH("all.in.nh3.frt.otn.---",input_data!$A:$A,0))*IFERROR((V153+V154+V155+V156)/V132,0)*V318</f>
        <v>0</v>
      </c>
      <c r="W344" s="119" t="n">
        <f aca="false">INDEX(input_data!$L:$L,MATCH("all.in.nh3.frt.otn.---",input_data!$A:$A,0))*IFERROR((W153+W154+W155+W156)/W132,0)*W318</f>
        <v>0</v>
      </c>
      <c r="X344" s="119" t="n">
        <f aca="false">INDEX(input_data!$L:$L,MATCH("all.in.nh3.frt.otn.---",input_data!$A:$A,0))*IFERROR((X153+X154+X155+X156)/X132,0)*X318</f>
        <v>0</v>
      </c>
    </row>
    <row r="345" customFormat="false" ht="15" hidden="false" customHeight="true" outlineLevel="0" collapsed="false">
      <c r="A345" s="108" t="str">
        <f aca="false">dashboard!$B$5&amp;".em.tot.frt.otn.---"</f>
        <v>egy.em.tot.frt.otn.---</v>
      </c>
      <c r="B345" s="108" t="str">
        <f aca="false">dashboard!$B$5</f>
        <v>egy</v>
      </c>
      <c r="C345" s="108" t="s">
        <v>3444</v>
      </c>
      <c r="D345" s="108" t="s">
        <v>3654</v>
      </c>
      <c r="E345" s="108" t="s">
        <v>767</v>
      </c>
      <c r="F345" s="108" t="s">
        <v>2883</v>
      </c>
      <c r="G345" s="108" t="s">
        <v>655</v>
      </c>
      <c r="H345" s="108" t="s">
        <v>3766</v>
      </c>
      <c r="I345" s="108" t="s">
        <v>3457</v>
      </c>
      <c r="J345" s="108"/>
      <c r="K345" s="108"/>
      <c r="L345" s="108"/>
      <c r="M345" s="120" t="n">
        <f aca="false">M339+M340+M341+M342+M343+M344</f>
        <v>0.02584</v>
      </c>
      <c r="N345" s="120" t="n">
        <f aca="false">N339+N340+N341+N342+N343+N344</f>
        <v>0.0264726135888057</v>
      </c>
      <c r="O345" s="120" t="n">
        <f aca="false">O339+O340+O341+O342+O343+O344</f>
        <v>0.0271205333333333</v>
      </c>
      <c r="P345" s="120" t="n">
        <f aca="false">P339+P340+P341+P342+P343+P344</f>
        <v>0.0277841241114814</v>
      </c>
      <c r="Q345" s="120" t="n">
        <f aca="false">Q339+Q340+Q341+Q342+Q343+Q344</f>
        <v>0.0284637593333333</v>
      </c>
      <c r="R345" s="120" t="n">
        <f aca="false">R339+R340+R341+R342+R343+R344</f>
        <v>0.0291598211355452</v>
      </c>
      <c r="S345" s="120" t="n">
        <f aca="false">S339+S340+S341+S342+S343+S344</f>
        <v>0.02987270058</v>
      </c>
      <c r="T345" s="120" t="n">
        <f aca="false">T339+T340+T341+T342+T343+T344</f>
        <v>0.0306027978568188</v>
      </c>
      <c r="U345" s="120" t="n">
        <f aca="false">U339+U340+U341+U342+U343+U344</f>
        <v>0.0313505224918167</v>
      </c>
      <c r="V345" s="120" t="n">
        <f aca="false">V339+V340+V341+V342+V343+V344</f>
        <v>0.0321162935584974</v>
      </c>
      <c r="W345" s="120" t="n">
        <f aca="false">W339+W340+W341+W342+W343+W344</f>
        <v>0.0329005398946787</v>
      </c>
      <c r="X345" s="120" t="n">
        <f aca="false">X339+X340+X341+X342+X343+X344</f>
        <v>0.0337037003238439</v>
      </c>
    </row>
    <row r="346" customFormat="false" ht="15" hidden="false" customHeight="true" outlineLevel="0" collapsed="false">
      <c r="A346" s="108" t="str">
        <f aca="false">dashboard!$B$5&amp;".cb.int.frt.otn.---"</f>
        <v>egy.cb.int.frt.otn.---</v>
      </c>
      <c r="B346" s="108" t="str">
        <f aca="false">dashboard!$B$5</f>
        <v>egy</v>
      </c>
      <c r="C346" s="108" t="s">
        <v>3657</v>
      </c>
      <c r="D346" s="108" t="s">
        <v>3658</v>
      </c>
      <c r="E346" s="108" t="s">
        <v>767</v>
      </c>
      <c r="F346" s="108" t="s">
        <v>2883</v>
      </c>
      <c r="G346" s="108" t="s">
        <v>655</v>
      </c>
      <c r="H346" s="108" t="s">
        <v>3767</v>
      </c>
      <c r="I346" s="108" t="s">
        <v>3768</v>
      </c>
      <c r="J346" s="108"/>
      <c r="K346" s="108"/>
      <c r="L346" s="108"/>
      <c r="M346" s="121" t="n">
        <f aca="false">IFERROR(M345/M318,0)</f>
        <v>0.323</v>
      </c>
      <c r="N346" s="121" t="n">
        <f aca="false">IFERROR(N345/N318,0)</f>
        <v>0.322166666666667</v>
      </c>
      <c r="O346" s="121" t="n">
        <f aca="false">IFERROR(O345/O318,0)</f>
        <v>0.321333333333333</v>
      </c>
      <c r="P346" s="121" t="n">
        <f aca="false">IFERROR(P345/P318,0)</f>
        <v>0.3205</v>
      </c>
      <c r="Q346" s="121" t="n">
        <f aca="false">IFERROR(Q345/Q318,0)</f>
        <v>0.319666666666667</v>
      </c>
      <c r="R346" s="121" t="n">
        <f aca="false">IFERROR(R345/R318,0)</f>
        <v>0.318833333333333</v>
      </c>
      <c r="S346" s="121" t="n">
        <f aca="false">IFERROR(S345/S318,0)</f>
        <v>0.318</v>
      </c>
      <c r="T346" s="121" t="n">
        <f aca="false">IFERROR(T345/T318,0)</f>
        <v>0.317166666666667</v>
      </c>
      <c r="U346" s="121" t="n">
        <f aca="false">IFERROR(U345/U318,0)</f>
        <v>0.316333333333333</v>
      </c>
      <c r="V346" s="121" t="n">
        <f aca="false">IFERROR(V345/V318,0)</f>
        <v>0.3155</v>
      </c>
      <c r="W346" s="121" t="n">
        <f aca="false">IFERROR(W345/W318,0)</f>
        <v>0.314666666666667</v>
      </c>
      <c r="X346" s="121" t="n">
        <f aca="false">IFERROR(X345/X318,0)</f>
        <v>0.313833333333333</v>
      </c>
    </row>
    <row r="347" customFormat="false" ht="15" hidden="false" customHeight="true" outlineLevel="0" collapsed="false">
      <c r="A347" s="108" t="str">
        <f aca="false">dashboard!$B$5&amp;".cb.mrv.frt.otn.---"</f>
        <v>egy.cb.mrv.frt.otn.---</v>
      </c>
      <c r="B347" s="108" t="str">
        <f aca="false">dashboard!$B$5</f>
        <v>egy</v>
      </c>
      <c r="C347" s="108" t="s">
        <v>3657</v>
      </c>
      <c r="D347" s="108" t="s">
        <v>814</v>
      </c>
      <c r="E347" s="108" t="s">
        <v>767</v>
      </c>
      <c r="F347" s="108" t="s">
        <v>2883</v>
      </c>
      <c r="G347" s="108" t="s">
        <v>655</v>
      </c>
      <c r="H347" s="108" t="s">
        <v>3769</v>
      </c>
      <c r="I347" s="108" t="s">
        <v>3768</v>
      </c>
      <c r="J347" s="108"/>
      <c r="K347" s="108"/>
      <c r="L347" s="108"/>
      <c r="M347" s="122" t="n">
        <f aca="false">IFERROR(IF(INDEX(input_data!$L:$L,MATCH("all.in.mrv.frt.otn.---",input_data!$A:$A,0))=1,((M345-M343*(1-INDEX(input_data!$L:$L,MATCH("all.in.cs2.frt.otn.---",input_data!$A:$A,0))))/M318),INDEX(input_data!$L:$L,MATCH("all.in.dfv.frt.otn.---",input_data!$A:$A,0))),0)</f>
        <v>0.323</v>
      </c>
      <c r="N347" s="122" t="n">
        <f aca="false">IFERROR(IF(INDEX(input_data!$L:$L,MATCH("all.in.mrv.frt.otn.---",input_data!$A:$A,0))=1,((N345-N343*(1-INDEX(input_data!$L:$L,MATCH("all.in.cs2.frt.otn.---",input_data!$A:$A,0))))/N318),INDEX(input_data!$L:$L,MATCH("all.in.dfv.frt.otn.---",input_data!$A:$A,0))),0)</f>
        <v>0.322166666666667</v>
      </c>
      <c r="O347" s="122" t="n">
        <f aca="false">IFERROR(IF(INDEX(input_data!$L:$L,MATCH("all.in.mrv.frt.otn.---",input_data!$A:$A,0))=1,((O345-O343*(1-INDEX(input_data!$L:$L,MATCH("all.in.cs2.frt.otn.---",input_data!$A:$A,0))))/O318),INDEX(input_data!$L:$L,MATCH("all.in.dfv.frt.otn.---",input_data!$A:$A,0))),0)</f>
        <v>0.321333333333333</v>
      </c>
      <c r="P347" s="122" t="n">
        <f aca="false">IFERROR(IF(INDEX(input_data!$L:$L,MATCH("all.in.mrv.frt.otn.---",input_data!$A:$A,0))=1,((P345-P343*(1-INDEX(input_data!$L:$L,MATCH("all.in.cs2.frt.otn.---",input_data!$A:$A,0))))/P318),INDEX(input_data!$L:$L,MATCH("all.in.dfv.frt.otn.---",input_data!$A:$A,0))),0)</f>
        <v>0.3205</v>
      </c>
      <c r="Q347" s="122" t="n">
        <f aca="false">IFERROR(IF(INDEX(input_data!$L:$L,MATCH("all.in.mrv.frt.otn.---",input_data!$A:$A,0))=1,((Q345-Q343*(1-INDEX(input_data!$L:$L,MATCH("all.in.cs2.frt.otn.---",input_data!$A:$A,0))))/Q318),INDEX(input_data!$L:$L,MATCH("all.in.dfv.frt.otn.---",input_data!$A:$A,0))),0)</f>
        <v>0.319666666666667</v>
      </c>
      <c r="R347" s="122" t="n">
        <f aca="false">IFERROR(IF(INDEX(input_data!$L:$L,MATCH("all.in.mrv.frt.otn.---",input_data!$A:$A,0))=1,((R345-R343*(1-INDEX(input_data!$L:$L,MATCH("all.in.cs2.frt.otn.---",input_data!$A:$A,0))))/R318),INDEX(input_data!$L:$L,MATCH("all.in.dfv.frt.otn.---",input_data!$A:$A,0))),0)</f>
        <v>0.318833333333333</v>
      </c>
      <c r="S347" s="122" t="n">
        <f aca="false">IFERROR(IF(INDEX(input_data!$L:$L,MATCH("all.in.mrv.frt.otn.---",input_data!$A:$A,0))=1,((S345-S343*(1-INDEX(input_data!$L:$L,MATCH("all.in.cs2.frt.otn.---",input_data!$A:$A,0))))/S318),INDEX(input_data!$L:$L,MATCH("all.in.dfv.frt.otn.---",input_data!$A:$A,0))),0)</f>
        <v>0.318</v>
      </c>
      <c r="T347" s="122" t="n">
        <f aca="false">IFERROR(IF(INDEX(input_data!$L:$L,MATCH("all.in.mrv.frt.otn.---",input_data!$A:$A,0))=1,((T345-T343*(1-INDEX(input_data!$L:$L,MATCH("all.in.cs2.frt.otn.---",input_data!$A:$A,0))))/T318),INDEX(input_data!$L:$L,MATCH("all.in.dfv.frt.otn.---",input_data!$A:$A,0))),0)</f>
        <v>0.317166666666667</v>
      </c>
      <c r="U347" s="122" t="n">
        <f aca="false">IFERROR(IF(INDEX(input_data!$L:$L,MATCH("all.in.mrv.frt.otn.---",input_data!$A:$A,0))=1,((U345-U343*(1-INDEX(input_data!$L:$L,MATCH("all.in.cs2.frt.otn.---",input_data!$A:$A,0))))/U318),INDEX(input_data!$L:$L,MATCH("all.in.dfv.frt.otn.---",input_data!$A:$A,0))),0)</f>
        <v>0.316333333333333</v>
      </c>
      <c r="V347" s="122" t="n">
        <f aca="false">IFERROR(IF(INDEX(input_data!$L:$L,MATCH("all.in.mrv.frt.otn.---",input_data!$A:$A,0))=1,((V345-V343*(1-INDEX(input_data!$L:$L,MATCH("all.in.cs2.frt.otn.---",input_data!$A:$A,0))))/V318),INDEX(input_data!$L:$L,MATCH("all.in.dfv.frt.otn.---",input_data!$A:$A,0))),0)</f>
        <v>0.3155</v>
      </c>
      <c r="W347" s="122" t="n">
        <f aca="false">IFERROR(IF(INDEX(input_data!$L:$L,MATCH("all.in.mrv.frt.otn.---",input_data!$A:$A,0))=1,((W345-W343*(1-INDEX(input_data!$L:$L,MATCH("all.in.cs2.frt.otn.---",input_data!$A:$A,0))))/W318),INDEX(input_data!$L:$L,MATCH("all.in.dfv.frt.otn.---",input_data!$A:$A,0))),0)</f>
        <v>0.314666666666667</v>
      </c>
      <c r="X347" s="122" t="n">
        <f aca="false">IFERROR(IF(INDEX(input_data!$L:$L,MATCH("all.in.mrv.frt.otn.---",input_data!$A:$A,0))=1,((X345-X343*(1-INDEX(input_data!$L:$L,MATCH("all.in.cs2.frt.otn.---",input_data!$A:$A,0))))/X318),INDEX(input_data!$L:$L,MATCH("all.in.dfv.frt.otn.---",input_data!$A:$A,0))),0)</f>
        <v>0.313833333333333</v>
      </c>
    </row>
    <row r="348" customFormat="false" ht="15" hidden="false" customHeight="true" outlineLevel="0" collapsed="false">
      <c r="A348" s="108" t="str">
        <f aca="false">dashboard!$B$5&amp;".cb.obl.frt.otn.---"</f>
        <v>egy.cb.obl.frt.otn.---</v>
      </c>
      <c r="B348" s="108" t="str">
        <f aca="false">dashboard!$B$5</f>
        <v>egy</v>
      </c>
      <c r="C348" s="108" t="s">
        <v>3657</v>
      </c>
      <c r="D348" s="108" t="s">
        <v>3663</v>
      </c>
      <c r="E348" s="108" t="s">
        <v>767</v>
      </c>
      <c r="F348" s="108" t="s">
        <v>2883</v>
      </c>
      <c r="G348" s="108" t="s">
        <v>655</v>
      </c>
      <c r="H348" s="108" t="s">
        <v>3770</v>
      </c>
      <c r="I348" s="108" t="s">
        <v>2890</v>
      </c>
      <c r="J348" s="108"/>
      <c r="K348" s="108"/>
      <c r="L348" s="108"/>
      <c r="M348" s="123" t="n">
        <f aca="false">MAX(M347-INDEX(input_data!$L:$L,MATCH("all.in.bnk.frt.otn.---",input_data!$A:$A,0))*(1-INDEX(input_data!$M:$X,MATCH("all.in.cbf.---.---.---",input_data!$A:$A,0),1)),0)*INDEX(input_data!$M:$X,MATCH("all.in.ets.---.---.---",input_data!$A:$A,0),1)*INDEX(input_data!$M:$X,MATCH("all.in.act.---.---.---",input_data!$A:$A,0),1)*INDEX(input_data!$M:$X,MATCH("all.in.fxr.---.---.---",input_data!$A:$A,0),1)</f>
        <v>0</v>
      </c>
      <c r="N348" s="123" t="n">
        <f aca="false">MAX(N347-INDEX(input_data!$L:$L,MATCH("all.in.bnk.frt.otn.---",input_data!$A:$A,0))*(1-INDEX(input_data!$M:$X,MATCH("all.in.cbf.---.---.---",input_data!$A:$A,0),2)),0)*INDEX(input_data!$M:$X,MATCH("all.in.ets.---.---.---",input_data!$A:$A,0),2)*INDEX(input_data!$M:$X,MATCH("all.in.act.---.---.---",input_data!$A:$A,0),2)*INDEX(input_data!$M:$X,MATCH("all.in.fxr.---.---.---",input_data!$A:$A,0),2)</f>
        <v>0</v>
      </c>
      <c r="O348" s="123" t="n">
        <f aca="false">MAX(O347-INDEX(input_data!$L:$L,MATCH("all.in.bnk.frt.otn.---",input_data!$A:$A,0))*(1-INDEX(input_data!$M:$X,MATCH("all.in.cbf.---.---.---",input_data!$A:$A,0),3)),0)*INDEX(input_data!$M:$X,MATCH("all.in.ets.---.---.---",input_data!$A:$A,0),3)*INDEX(input_data!$M:$X,MATCH("all.in.act.---.---.---",input_data!$A:$A,0),3)*INDEX(input_data!$M:$X,MATCH("all.in.fxr.---.---.---",input_data!$A:$A,0),3)</f>
        <v>0</v>
      </c>
      <c r="P348" s="123" t="n">
        <f aca="false">MAX(P347-INDEX(input_data!$L:$L,MATCH("all.in.bnk.frt.otn.---",input_data!$A:$A,0))*(1-INDEX(input_data!$M:$X,MATCH("all.in.cbf.---.---.---",input_data!$A:$A,0),4)),0)*INDEX(input_data!$M:$X,MATCH("all.in.ets.---.---.---",input_data!$A:$A,0),4)*INDEX(input_data!$M:$X,MATCH("all.in.act.---.---.---",input_data!$A:$A,0),4)*INDEX(input_data!$M:$X,MATCH("all.in.fxr.---.---.---",input_data!$A:$A,0),4)</f>
        <v>0</v>
      </c>
      <c r="Q348" s="123" t="n">
        <f aca="false">MAX(Q347-INDEX(input_data!$L:$L,MATCH("all.in.bnk.frt.otn.---",input_data!$A:$A,0))*(1-INDEX(input_data!$M:$X,MATCH("all.in.cbf.---.---.---",input_data!$A:$A,0),5)),0)*INDEX(input_data!$M:$X,MATCH("all.in.ets.---.---.---",input_data!$A:$A,0),5)*INDEX(input_data!$M:$X,MATCH("all.in.act.---.---.---",input_data!$A:$A,0),5)*INDEX(input_data!$M:$X,MATCH("all.in.fxr.---.---.---",input_data!$A:$A,0),5)</f>
        <v>0</v>
      </c>
      <c r="R348" s="123" t="n">
        <f aca="false">MAX(R347-INDEX(input_data!$L:$L,MATCH("all.in.bnk.frt.otn.---",input_data!$A:$A,0))*(1-INDEX(input_data!$M:$X,MATCH("all.in.cbf.---.---.---",input_data!$A:$A,0),6)),0)*INDEX(input_data!$M:$X,MATCH("all.in.ets.---.---.---",input_data!$A:$A,0),6)*INDEX(input_data!$M:$X,MATCH("all.in.act.---.---.---",input_data!$A:$A,0),6)*INDEX(input_data!$M:$X,MATCH("all.in.fxr.---.---.---",input_data!$A:$A,0),6)</f>
        <v>0</v>
      </c>
      <c r="S348" s="123" t="n">
        <f aca="false">MAX(S347-INDEX(input_data!$L:$L,MATCH("all.in.bnk.frt.otn.---",input_data!$A:$A,0))*(1-INDEX(input_data!$M:$X,MATCH("all.in.cbf.---.---.---",input_data!$A:$A,0),7)),0)*INDEX(input_data!$M:$X,MATCH("all.in.ets.---.---.---",input_data!$A:$A,0),7)*INDEX(input_data!$M:$X,MATCH("all.in.act.---.---.---",input_data!$A:$A,0),7)*INDEX(input_data!$M:$X,MATCH("all.in.fxr.---.---.---",input_data!$A:$A,0),7)</f>
        <v>0</v>
      </c>
      <c r="T348" s="123" t="n">
        <f aca="false">MAX(T347-INDEX(input_data!$L:$L,MATCH("all.in.bnk.frt.otn.---",input_data!$A:$A,0))*(1-INDEX(input_data!$M:$X,MATCH("all.in.cbf.---.---.---",input_data!$A:$A,0),8)),0)*INDEX(input_data!$M:$X,MATCH("all.in.ets.---.---.---",input_data!$A:$A,0),8)*INDEX(input_data!$M:$X,MATCH("all.in.act.---.---.---",input_data!$A:$A,0),8)*INDEX(input_data!$M:$X,MATCH("all.in.fxr.---.---.---",input_data!$A:$A,0),8)</f>
        <v>0</v>
      </c>
      <c r="U348" s="123" t="n">
        <f aca="false">MAX(U347-INDEX(input_data!$L:$L,MATCH("all.in.bnk.frt.otn.---",input_data!$A:$A,0))*(1-INDEX(input_data!$M:$X,MATCH("all.in.cbf.---.---.---",input_data!$A:$A,0),9)),0)*INDEX(input_data!$M:$X,MATCH("all.in.ets.---.---.---",input_data!$A:$A,0),9)*INDEX(input_data!$M:$X,MATCH("all.in.act.---.---.---",input_data!$A:$A,0),9)*INDEX(input_data!$M:$X,MATCH("all.in.fxr.---.---.---",input_data!$A:$A,0),9)</f>
        <v>0</v>
      </c>
      <c r="V348" s="123" t="n">
        <f aca="false">MAX(V347-INDEX(input_data!$L:$L,MATCH("all.in.bnk.frt.otn.---",input_data!$A:$A,0))*(1-INDEX(input_data!$M:$X,MATCH("all.in.cbf.---.---.---",input_data!$A:$A,0),10)),0)*INDEX(input_data!$M:$X,MATCH("all.in.ets.---.---.---",input_data!$A:$A,0),10)*INDEX(input_data!$M:$X,MATCH("all.in.act.---.---.---",input_data!$A:$A,0),10)*INDEX(input_data!$M:$X,MATCH("all.in.fxr.---.---.---",input_data!$A:$A,0),10)</f>
        <v>0</v>
      </c>
      <c r="W348" s="123" t="n">
        <f aca="false">MAX(W347-INDEX(input_data!$L:$L,MATCH("all.in.bnk.frt.otn.---",input_data!$A:$A,0))*(1-INDEX(input_data!$M:$X,MATCH("all.in.cbf.---.---.---",input_data!$A:$A,0),11)),0)*INDEX(input_data!$M:$X,MATCH("all.in.ets.---.---.---",input_data!$A:$A,0),11)*INDEX(input_data!$M:$X,MATCH("all.in.act.---.---.---",input_data!$A:$A,0),11)*INDEX(input_data!$M:$X,MATCH("all.in.fxr.---.---.---",input_data!$A:$A,0),11)</f>
        <v>46.728</v>
      </c>
      <c r="X348" s="123" t="n">
        <f aca="false">MAX(X347-INDEX(input_data!$L:$L,MATCH("all.in.bnk.frt.otn.---",input_data!$A:$A,0))*(1-INDEX(input_data!$M:$X,MATCH("all.in.cbf.---.---.---",input_data!$A:$A,0),12)),0)*INDEX(input_data!$M:$X,MATCH("all.in.ets.---.---.---",input_data!$A:$A,0),12)*INDEX(input_data!$M:$X,MATCH("all.in.act.---.---.---",input_data!$A:$A,0),12)*INDEX(input_data!$M:$X,MATCH("all.in.fxr.---.---.---",input_data!$A:$A,0),12)</f>
        <v>48.3303333333333</v>
      </c>
    </row>
  </sheetData>
  <mergeCells count="15">
    <mergeCell ref="A1:X1"/>
    <mergeCell ref="A2:X2"/>
    <mergeCell ref="A5:X5"/>
    <mergeCell ref="A9:X9"/>
    <mergeCell ref="A19:X19"/>
    <mergeCell ref="A47:X47"/>
    <mergeCell ref="A75:X75"/>
    <mergeCell ref="A103:X103"/>
    <mergeCell ref="A131:X131"/>
    <mergeCell ref="A159:X159"/>
    <mergeCell ref="A187:X187"/>
    <mergeCell ref="A215:X215"/>
    <mergeCell ref="A243:X243"/>
    <mergeCell ref="A285:X285"/>
    <mergeCell ref="A317:X3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2026-05-20T13:02:47Z</dcterms:created>
  <dc:creator>openpyxl</dc:creator>
  <dc:description/>
  <dc:language>en-US</dc:language>
  <cp:lastModifiedBy/>
  <dcterms:modified xsi:type="dcterms:W3CDTF">2026-05-20T22:06:21Z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