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production" sheetId="2" state="visible" r:id="rId4"/>
    <sheet name="2_trade_eu" sheetId="3" state="visible" r:id="rId5"/>
    <sheet name="3_energy_intensity" sheetId="4" state="visible" r:id="rId6"/>
    <sheet name="4_grid_ef" sheetId="5" state="visible" r:id="rId7"/>
    <sheet name="5_macro" sheetId="6" state="visible" r:id="rId8"/>
    <sheet name="6_process_e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<sst xmlns="http://schemas.openxmlformats.org/spreadsheetml/2006/main" count="1806" uniqueCount="410">
  <si>
    <t xml:space="preserve">CBAM Global Raw Dataset</t>
  </si>
  <si>
    <t xml:space="preserve">Source data to populate the CBAM Policy Assessment Tool. One tab per data domain. All values are 2024 base-year unless noted.</t>
  </si>
  <si>
    <t xml:space="preserve">Tabs</t>
  </si>
  <si>
    <t xml:space="preserve">1_production</t>
  </si>
  <si>
    <t xml:space="preserve">Production base (Mt or Mt N) by country × entity. Split by route within steel.</t>
  </si>
  <si>
    <t xml:space="preserve">2_trade_eu</t>
  </si>
  <si>
    <t xml:space="preserve">EU export volume and share (%) by country × CN code (Eurostat Comext).</t>
  </si>
  <si>
    <t xml:space="preserve">3_energy_intensity</t>
  </si>
  <si>
    <t xml:space="preserve">Energy intensities (GJ/t) by country × entity × fuel. Combustion and process columns.</t>
  </si>
  <si>
    <t xml:space="preserve">4_grid_ef</t>
  </si>
  <si>
    <t xml:space="preserve">Grid emission factors (tCO₂/MWh) by country, 2024–2035 trajectory.</t>
  </si>
  <si>
    <t xml:space="preserve">5_macro</t>
  </si>
  <si>
    <t xml:space="preserve">GDP growth rate (% p.a.) and GDP per capita (USD) by country. IMF WEO 2025.</t>
  </si>
  <si>
    <t xml:space="preserve">6_process_ef</t>
  </si>
  <si>
    <t xml:space="preserve">Non-fuel process EFs (tCO₂/t) and non-CO₂ GHG EFs (tCO₂e/t) by entity.</t>
  </si>
  <si>
    <t xml:space="preserve">Colour coding</t>
  </si>
  <si>
    <t xml:space="preserve">Blue text, blue background</t>
  </si>
  <si>
    <t xml:space="preserve">Actual sourced data — cite source in adjacent column</t>
  </si>
  <si>
    <t xml:space="preserve">Orange text, yellow bg</t>
  </si>
  <si>
    <t xml:space="preserve">Default / proxy value — should be replaced with actual data</t>
  </si>
  <si>
    <t xml:space="preserve">Light grey background</t>
  </si>
  <si>
    <t xml:space="preserve">Not applicable (ETS-exempt country, or entity not produced)</t>
  </si>
  <si>
    <t xml:space="preserve">Green total row</t>
  </si>
  <si>
    <t xml:space="preserve">Derived total or cross-check</t>
  </si>
  <si>
    <t xml:space="preserve">Bright yellow background</t>
  </si>
  <si>
    <t xml:space="preserve">Flagged for verification — data quality uncertain</t>
  </si>
  <si>
    <t xml:space="preserve">Countries covered</t>
  </si>
  <si>
    <t xml:space="preserve">ISO-3</t>
  </si>
  <si>
    <t xml:space="preserve">Country</t>
  </si>
  <si>
    <t xml:space="preserve">CHN</t>
  </si>
  <si>
    <t xml:space="preserve">China</t>
  </si>
  <si>
    <t xml:space="preserve">IND</t>
  </si>
  <si>
    <t xml:space="preserve">India</t>
  </si>
  <si>
    <t xml:space="preserve">TUR</t>
  </si>
  <si>
    <t xml:space="preserve">Turkey</t>
  </si>
  <si>
    <t xml:space="preserve">UKR</t>
  </si>
  <si>
    <t xml:space="preserve">Ukraine</t>
  </si>
  <si>
    <t xml:space="preserve">RUS</t>
  </si>
  <si>
    <t xml:space="preserve">Russia</t>
  </si>
  <si>
    <t xml:space="preserve">KOR</t>
  </si>
  <si>
    <t xml:space="preserve">South Korea</t>
  </si>
  <si>
    <t xml:space="preserve">GBR</t>
  </si>
  <si>
    <t xml:space="preserve">United Kingdom</t>
  </si>
  <si>
    <t xml:space="preserve">TWN</t>
  </si>
  <si>
    <t xml:space="preserve">Taiwan</t>
  </si>
  <si>
    <t xml:space="preserve">VNM</t>
  </si>
  <si>
    <t xml:space="preserve">Vietnam</t>
  </si>
  <si>
    <t xml:space="preserve">BRA</t>
  </si>
  <si>
    <t xml:space="preserve">Brazil</t>
  </si>
  <si>
    <t xml:space="preserve">IDN</t>
  </si>
  <si>
    <t xml:space="preserve">Indonesia</t>
  </si>
  <si>
    <t xml:space="preserve">EGY</t>
  </si>
  <si>
    <t xml:space="preserve">Egypt</t>
  </si>
  <si>
    <t xml:space="preserve">DZA</t>
  </si>
  <si>
    <t xml:space="preserve">Algeria</t>
  </si>
  <si>
    <t xml:space="preserve">MAR</t>
  </si>
  <si>
    <t xml:space="preserve">Morocco</t>
  </si>
  <si>
    <t xml:space="preserve">ALB</t>
  </si>
  <si>
    <t xml:space="preserve">Albania</t>
  </si>
  <si>
    <t xml:space="preserve">UZB</t>
  </si>
  <si>
    <t xml:space="preserve">Uzbekistan</t>
  </si>
  <si>
    <t xml:space="preserve">AZE</t>
  </si>
  <si>
    <t xml:space="preserve">Azerbaijan</t>
  </si>
  <si>
    <t xml:space="preserve">ARE</t>
  </si>
  <si>
    <t xml:space="preserve">UAE</t>
  </si>
  <si>
    <t xml:space="preserve">BHR</t>
  </si>
  <si>
    <t xml:space="preserve">Bahrain</t>
  </si>
  <si>
    <t xml:space="preserve">ZAF</t>
  </si>
  <si>
    <t xml:space="preserve">South Africa</t>
  </si>
  <si>
    <t xml:space="preserve">NOR</t>
  </si>
  <si>
    <t xml:space="preserve">Norway [ETS-exempt]</t>
  </si>
  <si>
    <t xml:space="preserve">ISL</t>
  </si>
  <si>
    <t xml:space="preserve">Iceland [ETS-exempt]</t>
  </si>
  <si>
    <t xml:space="preserve">SRB</t>
  </si>
  <si>
    <t xml:space="preserve">Serbia</t>
  </si>
  <si>
    <t xml:space="preserve">JPN</t>
  </si>
  <si>
    <t xml:space="preserve">Japan</t>
  </si>
  <si>
    <t xml:space="preserve">SAU</t>
  </si>
  <si>
    <t xml:space="preserve">Saudi Arabia</t>
  </si>
  <si>
    <t xml:space="preserve">QAT</t>
  </si>
  <si>
    <t xml:space="preserve">Qatar</t>
  </si>
  <si>
    <t xml:space="preserve">TTO</t>
  </si>
  <si>
    <t xml:space="preserve">Trinidad &amp; Tobago</t>
  </si>
  <si>
    <t xml:space="preserve">OMN</t>
  </si>
  <si>
    <t xml:space="preserve">Oman</t>
  </si>
  <si>
    <t xml:space="preserve">MYS</t>
  </si>
  <si>
    <t xml:space="preserve">Malaysia</t>
  </si>
  <si>
    <t xml:space="preserve">PHL</t>
  </si>
  <si>
    <t xml:space="preserve">Philippines</t>
  </si>
  <si>
    <t xml:space="preserve">NCL</t>
  </si>
  <si>
    <t xml:space="preserve">New Caledonia</t>
  </si>
  <si>
    <t xml:space="preserve">MEX</t>
  </si>
  <si>
    <t xml:space="preserve">Mexico</t>
  </si>
  <si>
    <t xml:space="preserve">CAN</t>
  </si>
  <si>
    <t xml:space="preserve">Canada</t>
  </si>
  <si>
    <t xml:space="preserve">USA</t>
  </si>
  <si>
    <t xml:space="preserve">United States</t>
  </si>
  <si>
    <t xml:space="preserve">Entities covered</t>
  </si>
  <si>
    <t xml:space="preserve">Code</t>
  </si>
  <si>
    <t xml:space="preserve">Entity / benchmark (tCO₂/t)</t>
  </si>
  <si>
    <t xml:space="preserve">stl.drg</t>
  </si>
  <si>
    <t xml:space="preserve">DRI-EAF steel  |  Mt  |  benchmark 0.481 tCO₂/Mt</t>
  </si>
  <si>
    <t xml:space="preserve">stl.scr</t>
  </si>
  <si>
    <t xml:space="preserve">Scrap-EAF steel  |  Mt  |  benchmark 0.072 tCO₂/Mt</t>
  </si>
  <si>
    <t xml:space="preserve">stl.bof</t>
  </si>
  <si>
    <t xml:space="preserve">BF-BOF steel  |  Mt  |  benchmark 1.37 tCO₂/Mt</t>
  </si>
  <si>
    <t xml:space="preserve">stl.oth</t>
  </si>
  <si>
    <t xml:space="preserve">Other iron &amp; steel  |  Mt  |  benchmark 1.222 tCO₂/Mt</t>
  </si>
  <si>
    <t xml:space="preserve">cmt.dry</t>
  </si>
  <si>
    <t xml:space="preserve">Cement (grey clinker)  |  Mt  |  benchmark 0.666 tCO₂/Mt</t>
  </si>
  <si>
    <t xml:space="preserve">frt.amc</t>
  </si>
  <si>
    <t xml:space="preserve">Ammonia  |  Mt  |  benchmark 1.522 tCO₂/Mt</t>
  </si>
  <si>
    <t xml:space="preserve">frt.ure</t>
  </si>
  <si>
    <t xml:space="preserve">Urea  |  Mt  |  benchmark 0.902 tCO₂/Mt</t>
  </si>
  <si>
    <t xml:space="preserve">frt.nit</t>
  </si>
  <si>
    <t xml:space="preserve">Ammonium nitrate  |  Mt  |  benchmark 0.302 tCO₂/Mt</t>
  </si>
  <si>
    <t xml:space="preserve">frt.otn</t>
  </si>
  <si>
    <t xml:space="preserve">Other N fertilisers  |  Mt N  |  benchmark 2.82 tCO₂/Mt N</t>
  </si>
  <si>
    <t xml:space="preserve">alu.prp</t>
  </si>
  <si>
    <t xml:space="preserve">Primary aluminium  |  Mt  |  benchmark 1.423 tCO₂/Mt</t>
  </si>
  <si>
    <t xml:space="preserve">Key sources</t>
  </si>
  <si>
    <t xml:space="preserve">Steel production</t>
  </si>
  <si>
    <t xml:space="preserve">World Steel Association — worldsteel.org/data, annual Steel Statistical Yearbook (free)</t>
  </si>
  <si>
    <t xml:space="preserve">Steel route split</t>
  </si>
  <si>
    <t xml:space="preserve">Worldsteel + GEM Steel Plant Tracker (gem.wiki); BIR Scrap Statistics</t>
  </si>
  <si>
    <t xml:space="preserve">Cement production</t>
  </si>
  <si>
    <t xml:space="preserve">USGS Mineral Commodity Summaries (free); Global Cement and Concrete Association GNR database</t>
  </si>
  <si>
    <t xml:space="preserve">Aluminium production</t>
  </si>
  <si>
    <t xml:space="preserve">IAI — world-aluminium.org/statistics (free)</t>
  </si>
  <si>
    <t xml:space="preserve">Fertiliser production</t>
  </si>
  <si>
    <t xml:space="preserve">IFA IFASTAT (member); FAO FAOSTAT (free); national statistics</t>
  </si>
  <si>
    <t xml:space="preserve">EU trade by CN code</t>
  </si>
  <si>
    <t xml:space="preserve">Eurostat Comext — ec.europa.eu/eurostat/web/international-trade-in-goods/data (free)</t>
  </si>
  <si>
    <t xml:space="preserve">Grid emission factors</t>
  </si>
  <si>
    <t xml:space="preserve">IEA CO₂ Emissions from Fuel Combustion / Emissions Factors 2025 (WB licence); Ember (free)</t>
  </si>
  <si>
    <t xml:space="preserve">GDP growth</t>
  </si>
  <si>
    <t xml:space="preserve">IMF World Economic Outlook Apr 2025 — imf.org/en/Publications/WEO (free)</t>
  </si>
  <si>
    <t xml:space="preserve">Energy intensities</t>
  </si>
  <si>
    <t xml:space="preserve">IEA World Energy Balances 2024 (WB licence); Worldsteel sustainability survey; IPCC 2006 defaults</t>
  </si>
  <si>
    <t xml:space="preserve">Process EFs</t>
  </si>
  <si>
    <t xml:space="preserve">IPCC 2006 Vol.2 Ch.2 (cement calcination 0.526), Ch.4 (aluminium PFCs); IFA/EFMA (fertilisers)</t>
  </si>
  <si>
    <t xml:space="preserve">CBAM benchmarks</t>
  </si>
  <si>
    <t xml:space="preserve">EU IR 2025/2621 (free — Official Journal of the EU)</t>
  </si>
  <si>
    <t xml:space="preserve">NDC trajectories</t>
  </si>
  <si>
    <t xml:space="preserve">Climate Action Tracker — climateactiontracker.org (free)</t>
  </si>
  <si>
    <t xml:space="preserve">Tab 1 — Production base (2024, Mt product or Mt N)</t>
  </si>
  <si>
    <t xml:space="preserve">Values are 2024 base-year production. Blue = sourced; Orange = IPCC/industry default or proxy. Yellow highlight = uncertain, needs verification. Grey = not produced / ETS-exempt country. For steel, provide total by route in columns to the right of the entity totals.</t>
  </si>
  <si>
    <t xml:space="preserve">CBAM
exempt?</t>
  </si>
  <si>
    <t xml:space="preserve">DRI-EAF steel
(Mt)</t>
  </si>
  <si>
    <t xml:space="preserve">Scrap-EAF steel
(Mt)</t>
  </si>
  <si>
    <t xml:space="preserve">BF-BOF steel
(Mt)</t>
  </si>
  <si>
    <t xml:space="preserve">Other iron &amp; steel
(Mt)</t>
  </si>
  <si>
    <t xml:space="preserve">Cement (grey clinker)
(Mt)</t>
  </si>
  <si>
    <t xml:space="preserve">Ammonia
(Mt)</t>
  </si>
  <si>
    <t xml:space="preserve">Urea
(Mt)</t>
  </si>
  <si>
    <t xml:space="preserve">Ammonium nitrate
(Mt)</t>
  </si>
  <si>
    <t xml:space="preserve">Other N fertilisers
(Mt N)</t>
  </si>
  <si>
    <t xml:space="preserve">Primary aluminium
(Mt)</t>
  </si>
  <si>
    <t xml:space="preserve">BF-BOF %</t>
  </si>
  <si>
    <t xml:space="preserve">DRI-EAF %</t>
  </si>
  <si>
    <t xml:space="preserve">Scrap-EAF %</t>
  </si>
  <si>
    <t xml:space="preserve">Other steel %</t>
  </si>
  <si>
    <t xml:space="preserve">Source / notes</t>
  </si>
  <si>
    <t xml:space="preserve">No</t>
  </si>
  <si>
    <t xml:space="preserve">-</t>
  </si>
  <si>
    <t xml:space="preserve">Worldsteel 2024; NBS China; IAI 2024; IFA/Argus</t>
  </si>
  <si>
    <t xml:space="preserve">Worldsteel; NMDC/Ministry of Steel; FAOSTAT; MoA India</t>
  </si>
  <si>
    <t xml:space="preserve">Worldsteel; TCMA (Turkish Cement); IAI</t>
  </si>
  <si>
    <t xml:space="preserve">Worldsteel; Ukrainian Steel 2024</t>
  </si>
  <si>
    <t xml:space="preserve">Worldsteel; Rosstat; IAI; IFA</t>
  </si>
  <si>
    <t xml:space="preserve">Worldsteel; POSCO/Hyundai IR; Korea Cement Assoc</t>
  </si>
  <si>
    <t xml:space="preserve">Worldsteel; MPA UK Cement; IAI</t>
  </si>
  <si>
    <t xml:space="preserve">Worldsteel; CISA Taiwan</t>
  </si>
  <si>
    <t xml:space="preserve">Worldsteel; Vietnam Cement Assoc 2024</t>
  </si>
  <si>
    <t xml:space="preserve">Worldsteel; SNIC Brazil; IAI; IFA</t>
  </si>
  <si>
    <t xml:space="preserve">Worldsteel; ASI Indonesia; Asosiasi Semen Indonesia</t>
  </si>
  <si>
    <t xml:space="preserve">Current model; CAPMAS Egypt</t>
  </si>
  <si>
    <t xml:space="preserve">FAOSTAT; ONS Algeria; IFA</t>
  </si>
  <si>
    <t xml:space="preserve">Morocco OCP annual report; Association Marocaine du Ciment</t>
  </si>
  <si>
    <t xml:space="preserve">Current model; Albanian Statistics INSTAT</t>
  </si>
  <si>
    <t xml:space="preserve">Current model; Uzstat</t>
  </si>
  <si>
    <t xml:space="preserve">Current model; AZSTAT</t>
  </si>
  <si>
    <t xml:space="preserve">Emirates Global Aluminium (EGA) 2024; IAI; Emirates Steel IR</t>
  </si>
  <si>
    <t xml:space="preserve">Alba annual report 2024; IAI</t>
  </si>
  <si>
    <t xml:space="preserve">SEIFSA South Africa; IAI</t>
  </si>
  <si>
    <t xml:space="preserve">Norway</t>
  </si>
  <si>
    <t xml:space="preserve">Yes</t>
  </si>
  <si>
    <t xml:space="preserve">N/A</t>
  </si>
  <si>
    <t xml:space="preserve">Norsk Hydro IR 2024; IAI; Worldsteel</t>
  </si>
  <si>
    <t xml:space="preserve">Iceland</t>
  </si>
  <si>
    <t xml:space="preserve">ISAL / Rio Tinto Iceland; IAI</t>
  </si>
  <si>
    <t xml:space="preserve">Worldsteel; Serbian Cement Assoc</t>
  </si>
  <si>
    <t xml:space="preserve">Worldsteel; JCA Japan Cement; IAI</t>
  </si>
  <si>
    <t xml:space="preserve">SABIC IR; MAADEN; SIIG; IFA/GPCA</t>
  </si>
  <si>
    <t xml:space="preserve">QAFCO / QatarEnergy LNG; IFA/GPCA</t>
  </si>
  <si>
    <t xml:space="preserve">NGC / Nutrien / Yara TTL; IFA</t>
  </si>
  <si>
    <t xml:space="preserve">Jindal Shadeed; OMANFCO; IFA/GPCA</t>
  </si>
  <si>
    <t xml:space="preserve">Press Metal; Aluminium Bahrain mirror</t>
  </si>
  <si>
    <t xml:space="preserve">CBNC (Cor Nilaga); Pacific Metals</t>
  </si>
  <si>
    <t xml:space="preserve">SLN (Société Le Nickel); SLN annual report</t>
  </si>
  <si>
    <t xml:space="preserve">Worldsteel; CANACEM; CAMIMEX</t>
  </si>
  <si>
    <t xml:space="preserve">Worldsteel; CCA Canada; Rio Tinto Aluminerie</t>
  </si>
  <si>
    <t xml:space="preserve">Worldsteel; PCA US Cement; IAI; USGS</t>
  </si>
  <si>
    <t xml:space="preserve">Tab 2 — EU export shares by country × entity (2024)</t>
  </si>
  <si>
    <t xml:space="preserve">Source: Eurostat Comext (ec.europa.eu/eurostat/web/international-trade-in-goods). Query by CN code × reporter = EU27 × partner country. EU export share = (volume to EU27) / (total production). Total export share = (all exports) / (total production). Values are 2024 actuals where available; 2023 for countries with data lag. Yellow cells should be re-queried from Comext before model population.</t>
  </si>
  <si>
    <t xml:space="preserve">Entity</t>
  </si>
  <si>
    <t xml:space="preserve">CN codes</t>
  </si>
  <si>
    <t xml:space="preserve">EU export vol
(Mt/yr)</t>
  </si>
  <si>
    <t xml:space="preserve">EU export
share %</t>
  </si>
  <si>
    <t xml:space="preserve">Total export
share %</t>
  </si>
  <si>
    <t xml:space="preserve">Implied EU
export Mt</t>
  </si>
  <si>
    <t xml:space="preserve">Scrap-EAF steel</t>
  </si>
  <si>
    <t xml:space="preserve">7206(E), 7207(E)</t>
  </si>
  <si>
    <t xml:space="preserve">Eurostat Comext CN 7206–7216; Worldsteel trade data; SteelRadar 2024</t>
  </si>
  <si>
    <t xml:space="preserve">BF-BOF steel</t>
  </si>
  <si>
    <t xml:space="preserve">7206(C), 7207(C), 7208–7216(C)</t>
  </si>
  <si>
    <t xml:space="preserve">Cement (grey clinker)</t>
  </si>
  <si>
    <t xml:space="preserve">25231000, 25232100, 25232900</t>
  </si>
  <si>
    <t xml:space="preserve">Eurostat Comext CN 2523; Cembureau EU trade statistics 2024</t>
  </si>
  <si>
    <t xml:space="preserve">Other N fertilisers</t>
  </si>
  <si>
    <t xml:space="preserve">31022100, 31028000, 3105</t>
  </si>
  <si>
    <t xml:space="preserve">Eurostat Comext CN 2814/3102/3105; DG AGRI fertiliser market analysis</t>
  </si>
  <si>
    <t xml:space="preserve">Primary aluminium</t>
  </si>
  <si>
    <t xml:space="preserve">76011000, 76041000–76091000</t>
  </si>
  <si>
    <t xml:space="preserve">Eurostat Comext CN 7601–7609; IAI trade statistics 2024</t>
  </si>
  <si>
    <t xml:space="preserve">DRI-EAF steel</t>
  </si>
  <si>
    <t xml:space="preserve">7203, 7206(D), 7207(D)</t>
  </si>
  <si>
    <t xml:space="preserve">Other iron &amp; steel</t>
  </si>
  <si>
    <t xml:space="preserve">7201, 7202 4/6/7, 7218, 7224</t>
  </si>
  <si>
    <t xml:space="preserve">Ammonium nitrate</t>
  </si>
  <si>
    <t xml:space="preserve">31023010, 31023090</t>
  </si>
  <si>
    <t xml:space="preserve">Ammonia</t>
  </si>
  <si>
    <t xml:space="preserve">28141000, 28142000</t>
  </si>
  <si>
    <t xml:space="preserve">Urea</t>
  </si>
  <si>
    <t xml:space="preserve">31021010, 31021090</t>
  </si>
  <si>
    <t xml:space="preserve">Tab 3 — Energy intensities (GJ per tonne of product, 2024 estimates)</t>
  </si>
  <si>
    <t xml:space="preserve">Units: GJ per tonne of product (or GJ per tonne N for frt.otn). Combustion = heat/steam; Process = fuel-as-reductant (coke, shaft gas) or feedstock (SMR NG). Electricity = MWh/t × 3.6 to convert to GJ/t. Sources: IEA World Energy Balances (WB licence); Worldsteel Climate Action; IEA Steel Sector Tracking; GNR Cement; IAI; IPCC 2006 defaults. Orange = IPCC/sector default; Blue = country-specific sourced value. Blank = zero or not applicable.</t>
  </si>
  <si>
    <t xml:space="preserve">Coal
combustion
(GJ/t)</t>
  </si>
  <si>
    <t xml:space="preserve">NG
combustion
(GJ/t)</t>
  </si>
  <si>
    <t xml:space="preserve">Oil/diesel
combustion
(GJ/t)</t>
  </si>
  <si>
    <t xml:space="preserve">Biomass
combustion
(GJ/t)</t>
  </si>
  <si>
    <t xml:space="preserve">Coal
process/red.
(GJ/t)</t>
  </si>
  <si>
    <t xml:space="preserve">NG
process/red.
(GJ/t)</t>
  </si>
  <si>
    <t xml:space="preserve">Electricity
(GJ/t)</t>
  </si>
  <si>
    <t xml:space="preserve">Notes on
fuel mix</t>
  </si>
  <si>
    <t xml:space="preserve">Source</t>
  </si>
  <si>
    <t xml:space="preserve">Mixed EAF; China grid; Worldsteel</t>
  </si>
  <si>
    <t xml:space="preserve">IEA World Energy Balances / Worldsteel / IPCC 2006</t>
  </si>
  <si>
    <t xml:space="preserve">High coal intensity; IPCC default+</t>
  </si>
  <si>
    <t xml:space="preserve">Dry kiln; CSI/GNR China avg</t>
  </si>
  <si>
    <t xml:space="preserve">Coal gasification (anthracite)</t>
  </si>
  <si>
    <t xml:space="preserve">Coal-based urea synthesis</t>
  </si>
  <si>
    <t xml:space="preserve">High coal grid; IAI 2024 data</t>
  </si>
  <si>
    <t xml:space="preserve">Coal DRI (rotary kiln); current model</t>
  </si>
  <si>
    <t xml:space="preserve">Current model; coal grid</t>
  </si>
  <si>
    <t xml:space="preserve">Current model values</t>
  </si>
  <si>
    <t xml:space="preserve">Current model; efficient fleet</t>
  </si>
  <si>
    <t xml:space="preserve">Current model; mixed NG/coal</t>
  </si>
  <si>
    <t xml:space="preserve">Current model; NG-based</t>
  </si>
  <si>
    <t xml:space="preserve">Modern EAF (Iskenderun, Colakoglu)</t>
  </si>
  <si>
    <t xml:space="preserve">Mostly scrap-EAF; limited BF data</t>
  </si>
  <si>
    <t xml:space="preserve">Modern dry kiln; Cimsa/Akcansa</t>
  </si>
  <si>
    <t xml:space="preserve">Metinvest Mariupol DRI (pre-war)</t>
  </si>
  <si>
    <t xml:space="preserve">Coal-dominant; Metinvest data</t>
  </si>
  <si>
    <t xml:space="preserve">HBI/DRI export; NG-based</t>
  </si>
  <si>
    <t xml:space="preserve">NLMK/Severstal/MMK average</t>
  </si>
  <si>
    <t xml:space="preserve">Wet+dry mix; Eurocement/LafargeHolcim</t>
  </si>
  <si>
    <t xml:space="preserve">EuroChem/Uralchem; NG-based</t>
  </si>
  <si>
    <t xml:space="preserve">EuroChem/PhosAgro; NG</t>
  </si>
  <si>
    <t xml:space="preserve">RUSAL; mostly hydro</t>
  </si>
  <si>
    <t xml:space="preserve">POSCO/Hyundai EAF; efficient</t>
  </si>
  <si>
    <t xml:space="preserve">POSCO/Hyundai Steel; efficient</t>
  </si>
  <si>
    <t xml:space="preserve">Ssangyong/Hyundai; dry modern</t>
  </si>
  <si>
    <t xml:space="preserve">GNR Vietnam; coal-dominant</t>
  </si>
  <si>
    <t xml:space="preserve">Charcoal BF dominant (bio replaces coal)</t>
  </si>
  <si>
    <t xml:space="preserve">Votorantim; petcoke + biomass</t>
  </si>
  <si>
    <t xml:space="preserve">CBA/Norsk Hydro; hydro</t>
  </si>
  <si>
    <t xml:space="preserve">Semen Indonesia; coal-dominant</t>
  </si>
  <si>
    <t xml:space="preserve">NG-based Midrex; current model</t>
  </si>
  <si>
    <t xml:space="preserve">Current model; NG-powered</t>
  </si>
  <si>
    <t xml:space="preserve">Current model</t>
  </si>
  <si>
    <t xml:space="preserve">NG-fired; Algerian cement sector</t>
  </si>
  <si>
    <t xml:space="preserve">ASMIDAL; NG-based</t>
  </si>
  <si>
    <t xml:space="preserve">ASMIDAL; NG</t>
  </si>
  <si>
    <t xml:space="preserve">Ciments du Maroc; petcoke dominant</t>
  </si>
  <si>
    <t xml:space="preserve">EGA; NG-powered; IAI</t>
  </si>
  <si>
    <t xml:space="preserve">Alba; NG captive power</t>
  </si>
  <si>
    <t xml:space="preserve">High coal intensity; ArcelorMittal SA</t>
  </si>
  <si>
    <t xml:space="preserve">Hillside/Mozal; Eskom coal grid</t>
  </si>
  <si>
    <t xml:space="preserve">Norsk Hydro; hydro-powered</t>
  </si>
  <si>
    <t xml:space="preserve">ISAL; geothermal/hydro</t>
  </si>
  <si>
    <t xml:space="preserve">JFE/Nippon Steel; high efficiency</t>
  </si>
  <si>
    <t xml:space="preserve">Hadeed (SABIC); NG Midrex</t>
  </si>
  <si>
    <t xml:space="preserve">SAFCO/SABIC; NG-based, efficient</t>
  </si>
  <si>
    <t xml:space="preserve">QAFCO; NG-based, LNG chain</t>
  </si>
  <si>
    <t xml:space="preserve">NGC-based; NG-based</t>
  </si>
  <si>
    <t xml:space="preserve">Jindal Shadeed; NG Midrex</t>
  </si>
  <si>
    <t xml:space="preserve">OMANFCO; NG-based</t>
  </si>
  <si>
    <t xml:space="preserve">Rio Tinto; Quebec hydro</t>
  </si>
  <si>
    <t xml:space="preserve">Nucor/Cleveland-Cliffs HBI; NG</t>
  </si>
  <si>
    <t xml:space="preserve">Nucor/CMCS; modern EAF fleet</t>
  </si>
  <si>
    <t xml:space="preserve">Tab 4 — Grid emission factors (tCO₂/MWh), 2024–2035</t>
  </si>
  <si>
    <t xml:space="preserve">Source: IEA CO₂ Emissions from Fuel Combustion 2025 (2024 anchor); Ember Global Electricity Review 2025 (cross-check); 2035 end-points from Climate Action Tracker NDC analysis. Linear interpolation between 2024 anchor and 2035 NDC-consistent end-point. ETS-linked countries (Norway, Iceland) shown for completeness but CBAM-exempt.</t>
  </si>
  <si>
    <t xml:space="preserve">Trajectory basis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</si>
  <si>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</si>
  <si>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</si>
  <si>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</si>
  <si>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</si>
  <si>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</si>
  <si>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</si>
  <si>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</si>
  <si>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</si>
  <si>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</si>
  <si>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</si>
  <si>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</si>
  <si>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</si>
  <si>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IEA 2024; NDC 65% non-fossil by 2030</t>
  </si>
  <si>
    <t xml:space="preserve">IEA 2024; NDC 60% non-fossil by 2035 (CAT)</t>
  </si>
  <si>
    <t xml:space="preserve">IEA 2024; NDC RE expansion</t>
  </si>
  <si>
    <t xml:space="preserve">IEA 2024; high nuclear + hydro share</t>
  </si>
  <si>
    <t xml:space="preserve">IEA 2024; stable gas-dominant grid</t>
  </si>
  <si>
    <t xml:space="preserve">IEA 2024; K-ETS + MOTIE RE plan</t>
  </si>
  <si>
    <t xml:space="preserve">Ember 2024; rapid decarbonisation</t>
  </si>
  <si>
    <t xml:space="preserve">IEA 2024; nuclear phase-out + offshore wind</t>
  </si>
  <si>
    <t xml:space="preserve">IEA 2024; coal dominant; RE surge planned</t>
  </si>
  <si>
    <t xml:space="preserve">IEA 2024; hydro dominant; low intensity</t>
  </si>
  <si>
    <t xml:space="preserve">IEA 2024; coal dominant</t>
  </si>
  <si>
    <t xml:space="preserve">IEA 2024; NDC 42% RE by 2030</t>
  </si>
  <si>
    <t xml:space="preserve">IEA 2024; gas-dominant; some solar</t>
  </si>
  <si>
    <t xml:space="preserve">IEA 2024; 52% RE by 2030 target</t>
  </si>
  <si>
    <t xml:space="preserve">IEA 2024; hydro-dominant</t>
  </si>
  <si>
    <t xml:space="preserve">IEA 2024; 25% RE 2030; 40% 2035</t>
  </si>
  <si>
    <t xml:space="preserve">IEA 2024; 30% RE target</t>
  </si>
  <si>
    <t xml:space="preserve">IEA 2024; nuclear (Barakah) + solar</t>
  </si>
  <si>
    <t xml:space="preserve">IEA 2024; gas-dominant</t>
  </si>
  <si>
    <t xml:space="preserve">IEA 2024; coal dominant; Eskom + RE build</t>
  </si>
  <si>
    <t xml:space="preserve">IEA 2024; hydro &gt;90%; ETS-exempt</t>
  </si>
  <si>
    <t xml:space="preserve">Geothermal/hydro; near-zero; ETS-exempt</t>
  </si>
  <si>
    <t xml:space="preserve">IEA 2024; coal + hydro mix</t>
  </si>
  <si>
    <t xml:space="preserve">IEA 2024; nuclear restart + RE</t>
  </si>
  <si>
    <t xml:space="preserve">IEA 2024; gas + oil; Vision 2030 RE</t>
  </si>
  <si>
    <t xml:space="preserve">IEA 2024; gas + solar</t>
  </si>
  <si>
    <t xml:space="preserve">IEA 2024; coal + gas + hydro</t>
  </si>
  <si>
    <t xml:space="preserve">IEA 2024; coal + geothermal + hydro</t>
  </si>
  <si>
    <t xml:space="preserve">IEA 2024; thermal-dominant</t>
  </si>
  <si>
    <t xml:space="preserve">IEA 2024; gas + RE</t>
  </si>
  <si>
    <t xml:space="preserve">IEA 2024; hydro + nuclear dominant</t>
  </si>
  <si>
    <t xml:space="preserve">IEA 2024; gas + coal declining; RE surge</t>
  </si>
  <si>
    <t xml:space="preserve">Tab 5 — Macroeconomic assumptions (IMF WEO April 2025)</t>
  </si>
  <si>
    <t xml:space="preserve">Source: IMF World Economic Outlook April 2025 (imf.org/en/Publications/WEO). GDP growth = average annual real GDP growth rate, 2024–2029 WEO projection. All values in USD unless noted. Product elasticities are model-specific (not IMF); included here for reference.</t>
  </si>
  <si>
    <t xml:space="preserve">GDP growth
% p.a.</t>
  </si>
  <si>
    <t xml:space="preserve">GDP per capita
USD (2024)</t>
  </si>
  <si>
    <t xml:space="preserve">Notes</t>
  </si>
  <si>
    <t xml:space="preserve">WEO Apr 2025 — slowing growth</t>
  </si>
  <si>
    <t xml:space="preserve">IMF WEO Apr 2025 / World Bank</t>
  </si>
  <si>
    <t xml:space="preserve">WEO Apr 2025 — fastest large economy</t>
  </si>
  <si>
    <t xml:space="preserve">WEO Apr 2025 — post-crisis stabilisation</t>
  </si>
  <si>
    <t xml:space="preserve">WEO Apr 2025 — wartime recovery</t>
  </si>
  <si>
    <t xml:space="preserve">WEO Apr 2025 — sanctions constrained</t>
  </si>
  <si>
    <t xml:space="preserve">WEO Apr 2025</t>
  </si>
  <si>
    <t xml:space="preserve">IMF Art.IV 2024</t>
  </si>
  <si>
    <t xml:space="preserve">WEO Apr 2025 — current model</t>
  </si>
  <si>
    <t xml:space="preserve">WEO Apr 2025 — ETS-exempt</t>
  </si>
  <si>
    <t xml:space="preserve">IMF Art.IV estimate</t>
  </si>
  <si>
    <t xml:space="preserve">Tab 6 — Non-fuel process emission factors and non-CO₂ GHG factors</t>
  </si>
  <si>
    <t xml:space="preserve">These factors apply globally — no country-level variation unless noted. efn = direct non-fuel process CO₂ per tonne of product (e.g. calcination, urea synthesis). efo = non-CO₂ GHG in CO₂e per tonne (N₂O from HNO₃/AN; PFCs from aluminium). Source: IPCC 2006 Vol.2 Ch.2 (cement), Ch.3 (metals), Ch.4 (chemicals); IPCC AR6 GWP100 (PFC factors); IFA/EFMA for fertilisers.</t>
  </si>
  <si>
    <t xml:space="preserve">efn
tCO₂/t product</t>
  </si>
  <si>
    <t xml:space="preserve">efo
tCO₂e/t product</t>
  </si>
  <si>
    <t xml:space="preserve">efn basis</t>
  </si>
  <si>
    <t xml:space="preserve">efo basis</t>
  </si>
  <si>
    <t xml:space="preserve">Minor slag/refractory process CO₂; IPCC 2006 2.C.1</t>
  </si>
  <si>
    <t xml:space="preserve">No significant non-CO₂ GHG in EAF</t>
  </si>
  <si>
    <t xml:space="preserve">IPCC 2006 Vol.2 Ch.2.C; Worldsteel</t>
  </si>
  <si>
    <t xml:space="preserve">efn small; main emissions are S1.fc (combustion) and S1.fp (reduction)</t>
  </si>
  <si>
    <t xml:space="preserve">Zero process CO₂ from scrap (no reduction reaction)</t>
  </si>
  <si>
    <t xml:space="preserve">No significant non-CO₂ in EAF</t>
  </si>
  <si>
    <t xml:space="preserve">IPCC 2006 Vol.2 Ch.2.C</t>
  </si>
  <si>
    <t xml:space="preserve">All emissions are from combustion fuels + electricity</t>
  </si>
  <si>
    <t xml:space="preserve">Carbon dissolved in pig iron released in BOF; ~0.25 tCO₂/t crude steel; IPCC 2.C.1</t>
  </si>
  <si>
    <t xml:space="preserve">Negligible non-CO₂ from BOF</t>
  </si>
  <si>
    <t xml:space="preserve">IPCC 2006 Vol.2 2.C.1; worldsteel benchmark</t>
  </si>
  <si>
    <t xml:space="preserve">The dominant process-route emissions (S1.fp) are from coke — see energy intensity tab</t>
  </si>
  <si>
    <t xml:space="preserve">Blended entity — process CO₂ varies; captured in blended benchmark</t>
  </si>
  <si>
    <t xml:space="preserve">Negligible</t>
  </si>
  <si>
    <t xml:space="preserve">Derived</t>
  </si>
  <si>
    <t xml:space="preserve">Pig iron/ferroalloy process CO₂ embedded in blended benchmark (1.22 tCO₂/t)</t>
  </si>
  <si>
    <t xml:space="preserve">CaCO₃ → CaO + CO₂ calcination. IPCC 2006 default 0.526 tCO₂/t clinker. Range 0.51–0.54 depending on CaO content.</t>
  </si>
  <si>
    <t xml:space="preserve">No significant non-CO₂ from cement</t>
  </si>
  <si>
    <t xml:space="preserve">IPCC 2006 Vol.2 Ch.2.A.1</t>
  </si>
  <si>
    <t xml:space="preserve">This is cement's characteristic signature — &gt;60% of total direct emissions</t>
  </si>
  <si>
    <t xml:space="preserve">No process CO₂ from ammonia synthesis per se (N₂ + H₂ → NH₃). CO₂ from SMR reforming is captured in S1.fp (NG process fuel).</t>
  </si>
  <si>
    <t xml:space="preserve">Negligible N₂O from Haber-Bosch</t>
  </si>
  <si>
    <t xml:space="preserve">IFA; IPCC 2006 Vol.2 Ch.3.G</t>
  </si>
  <si>
    <t xml:space="preserve">The entire ammonia CO₂ footprint is from SMR NG (S1.fp)</t>
  </si>
  <si>
    <t xml:space="preserve">CO₂ uptake during urea synthesis: CO₂ + 2NH₃ → NH₂CONH₂ + H₂O. ~0.733 tCO₂/t urea absorbed. This is released on field application — outside production system boundary. Negative efn is correct.</t>
  </si>
  <si>
    <t xml:space="preserve">No significant non-CO₂</t>
  </si>
  <si>
    <t xml:space="preserve">IPCC 2006 Vol.2 Ch.3.G; IFA convention</t>
  </si>
  <si>
    <t xml:space="preserve">Negative efn partially offsets upstream ammonia chain emissions for urea</t>
  </si>
  <si>
    <t xml:space="preserve">No process CO₂ from AN synthesis itself.</t>
  </si>
  <si>
    <t xml:space="preserve">N₂O from HNO₃ production: ~9.0 kg N₂O/t HNO₃ without abatement (IPCC AR6 GWP100=273). With modern N₂O abatement catalyst ~0.5 kg/t. Model uses 2.50 tCO₂e/t AN as midpoint (range 0.5–5.0 depending on abatement). Note: CBAM scope for N₂O = direct emissions only.</t>
  </si>
  <si>
    <t xml:space="preserve">IPCC 2006 Vol.2 Ch.3.G; EFMA / Yara abatement data</t>
  </si>
  <si>
    <t xml:space="preserve">N₂O is the dominant non-fuel emission in AN/CAN production; highly variable with abatement</t>
  </si>
  <si>
    <t xml:space="preserve">Blended entity (amsul/UAN/NPK). Process CO₂ negligible for this group.</t>
  </si>
  <si>
    <t xml:space="preserve">Minor N₂O from UAN/AN fraction. Captured in blended benchmark.</t>
  </si>
  <si>
    <t xml:space="preserve">Derived; IPCC 2006</t>
  </si>
  <si>
    <t xml:space="preserve">Set efo=0 for simplicity; N₂O from nitric acid fraction included in blended benchmark</t>
  </si>
  <si>
    <t xml:space="preserve">Anode oxidation (Söderberg and prebaked): ~1.5 tCO₂/t Al from carbon anode consumption. IPCC 2006 default 1.5–1.6 tCO₂/t for prebaked; Söderberg slightly higher.</t>
  </si>
  <si>
    <t xml:space="preserve">PFCs from anode effect in Hall-Héroult cells. CF₄ (GWP 6630) and C₂F₆ (GWP 11100). IPCC AR6 GWP100. Best practice ~0.05 tCO₂e/t; older smelters 0.7–2.0. Model uses 0.70 as intermediate.</t>
  </si>
  <si>
    <t xml:space="preserve">IPCC 2006 Vol.2 Ch.3.C; IAI PFC data; IPCC AR6 Annex II GWP tables</t>
  </si>
  <si>
    <t xml:space="preserve">PFC emissions highly sensitive to anode effect frequency; modern smelters have near-zero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</si>
</sst>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@"/>
    <numFmt numFmtId="168" formatCode="0.000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CC6600"/>
      <name val="Arial"/>
      <family val="0"/>
      <charset val="1"/>
    </font>
    <font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305496"/>
        <bgColor rgb="FF1F4E79"/>
      </patternFill>
    </fill>
    <fill>
      <patternFill patternType="solid">
        <fgColor rgb="FFF2F2F2"/>
        <bgColor rgb="FFF4F4F4"/>
      </patternFill>
    </fill>
    <fill>
      <patternFill patternType="solid">
        <fgColor rgb="FFF4F4F4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4F4F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18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</row>
    <row r="9" customFormat="false" ht="30" hidden="false" customHeight="true" outlineLevel="0" collapsed="false">
      <c r="A9" s="4" t="s">
        <v>11</v>
      </c>
      <c r="B9" s="5" t="s">
        <v>12</v>
      </c>
    </row>
    <row r="10" customFormat="false" ht="30" hidden="false" customHeight="true" outlineLevel="0" collapsed="false">
      <c r="A10" s="4" t="s">
        <v>13</v>
      </c>
      <c r="B10" s="5" t="s">
        <v>14</v>
      </c>
    </row>
    <row r="12" customFormat="false" ht="18" hidden="false" customHeight="true" outlineLevel="0" collapsed="false">
      <c r="A12" s="3" t="s">
        <v>15</v>
      </c>
      <c r="B12" s="3"/>
    </row>
    <row r="13" customFormat="false" ht="15.75" hidden="false" customHeight="true" outlineLevel="0" collapsed="false">
      <c r="A13" s="6" t="s">
        <v>16</v>
      </c>
      <c r="B13" s="6" t="s">
        <v>17</v>
      </c>
    </row>
    <row r="14" customFormat="false" ht="15.75" hidden="false" customHeight="true" outlineLevel="0" collapsed="false">
      <c r="A14" s="6" t="s">
        <v>18</v>
      </c>
      <c r="B14" s="6" t="s">
        <v>19</v>
      </c>
    </row>
    <row r="15" customFormat="false" ht="15.75" hidden="false" customHeight="true" outlineLevel="0" collapsed="false">
      <c r="A15" s="6" t="s">
        <v>20</v>
      </c>
      <c r="B15" s="6" t="s">
        <v>21</v>
      </c>
    </row>
    <row r="16" customFormat="false" ht="15.75" hidden="false" customHeight="true" outlineLevel="0" collapsed="false">
      <c r="A16" s="6" t="s">
        <v>22</v>
      </c>
      <c r="B16" s="6" t="s">
        <v>23</v>
      </c>
    </row>
    <row r="17" customFormat="false" ht="15.75" hidden="false" customHeight="true" outlineLevel="0" collapsed="false">
      <c r="A17" s="6" t="s">
        <v>24</v>
      </c>
      <c r="B17" s="6" t="s">
        <v>25</v>
      </c>
    </row>
    <row r="19" customFormat="false" ht="18" hidden="false" customHeight="true" outlineLevel="0" collapsed="false">
      <c r="A19" s="3" t="s">
        <v>26</v>
      </c>
      <c r="B19" s="3"/>
    </row>
    <row r="20" customFormat="false" ht="15" hidden="false" customHeight="false" outlineLevel="0" collapsed="false">
      <c r="A20" s="7" t="s">
        <v>27</v>
      </c>
      <c r="B20" s="7" t="s">
        <v>28</v>
      </c>
    </row>
    <row r="21" customFormat="false" ht="13.5" hidden="false" customHeight="true" outlineLevel="0" collapsed="false">
      <c r="A21" s="8" t="s">
        <v>29</v>
      </c>
      <c r="B21" s="9" t="s">
        <v>30</v>
      </c>
    </row>
    <row r="22" customFormat="false" ht="13.5" hidden="false" customHeight="true" outlineLevel="0" collapsed="false">
      <c r="A22" s="10" t="s">
        <v>31</v>
      </c>
      <c r="B22" s="11" t="s">
        <v>32</v>
      </c>
    </row>
    <row r="23" customFormat="false" ht="13.5" hidden="false" customHeight="true" outlineLevel="0" collapsed="false">
      <c r="A23" s="8" t="s">
        <v>33</v>
      </c>
      <c r="B23" s="9" t="s">
        <v>34</v>
      </c>
    </row>
    <row r="24" customFormat="false" ht="13.5" hidden="false" customHeight="true" outlineLevel="0" collapsed="false">
      <c r="A24" s="10" t="s">
        <v>35</v>
      </c>
      <c r="B24" s="11" t="s">
        <v>36</v>
      </c>
    </row>
    <row r="25" customFormat="false" ht="13.5" hidden="false" customHeight="true" outlineLevel="0" collapsed="false">
      <c r="A25" s="8" t="s">
        <v>37</v>
      </c>
      <c r="B25" s="9" t="s">
        <v>38</v>
      </c>
    </row>
    <row r="26" customFormat="false" ht="13.5" hidden="false" customHeight="true" outlineLevel="0" collapsed="false">
      <c r="A26" s="10" t="s">
        <v>39</v>
      </c>
      <c r="B26" s="11" t="s">
        <v>40</v>
      </c>
    </row>
    <row r="27" customFormat="false" ht="13.5" hidden="false" customHeight="true" outlineLevel="0" collapsed="false">
      <c r="A27" s="8" t="s">
        <v>41</v>
      </c>
      <c r="B27" s="9" t="s">
        <v>42</v>
      </c>
    </row>
    <row r="28" customFormat="false" ht="13.5" hidden="false" customHeight="true" outlineLevel="0" collapsed="false">
      <c r="A28" s="10" t="s">
        <v>43</v>
      </c>
      <c r="B28" s="11" t="s">
        <v>44</v>
      </c>
    </row>
    <row r="29" customFormat="false" ht="13.5" hidden="false" customHeight="true" outlineLevel="0" collapsed="false">
      <c r="A29" s="8" t="s">
        <v>45</v>
      </c>
      <c r="B29" s="9" t="s">
        <v>46</v>
      </c>
    </row>
    <row r="30" customFormat="false" ht="13.5" hidden="false" customHeight="true" outlineLevel="0" collapsed="false">
      <c r="A30" s="10" t="s">
        <v>47</v>
      </c>
      <c r="B30" s="11" t="s">
        <v>48</v>
      </c>
    </row>
    <row r="31" customFormat="false" ht="13.5" hidden="false" customHeight="true" outlineLevel="0" collapsed="false">
      <c r="A31" s="8" t="s">
        <v>49</v>
      </c>
      <c r="B31" s="9" t="s">
        <v>50</v>
      </c>
    </row>
    <row r="32" customFormat="false" ht="13.5" hidden="false" customHeight="true" outlineLevel="0" collapsed="false">
      <c r="A32" s="10" t="s">
        <v>51</v>
      </c>
      <c r="B32" s="11" t="s">
        <v>52</v>
      </c>
    </row>
    <row r="33" customFormat="false" ht="13.5" hidden="false" customHeight="true" outlineLevel="0" collapsed="false">
      <c r="A33" s="8" t="s">
        <v>53</v>
      </c>
      <c r="B33" s="9" t="s">
        <v>54</v>
      </c>
    </row>
    <row r="34" customFormat="false" ht="13.5" hidden="false" customHeight="true" outlineLevel="0" collapsed="false">
      <c r="A34" s="10" t="s">
        <v>55</v>
      </c>
      <c r="B34" s="11" t="s">
        <v>56</v>
      </c>
    </row>
    <row r="35" customFormat="false" ht="13.5" hidden="false" customHeight="true" outlineLevel="0" collapsed="false">
      <c r="A35" s="8" t="s">
        <v>57</v>
      </c>
      <c r="B35" s="9" t="s">
        <v>58</v>
      </c>
    </row>
    <row r="36" customFormat="false" ht="13.5" hidden="false" customHeight="true" outlineLevel="0" collapsed="false">
      <c r="A36" s="10" t="s">
        <v>59</v>
      </c>
      <c r="B36" s="11" t="s">
        <v>60</v>
      </c>
    </row>
    <row r="37" customFormat="false" ht="13.5" hidden="false" customHeight="true" outlineLevel="0" collapsed="false">
      <c r="A37" s="8" t="s">
        <v>61</v>
      </c>
      <c r="B37" s="9" t="s">
        <v>62</v>
      </c>
    </row>
    <row r="38" customFormat="false" ht="13.5" hidden="false" customHeight="true" outlineLevel="0" collapsed="false">
      <c r="A38" s="10" t="s">
        <v>63</v>
      </c>
      <c r="B38" s="11" t="s">
        <v>64</v>
      </c>
    </row>
    <row r="39" customFormat="false" ht="13.5" hidden="false" customHeight="true" outlineLevel="0" collapsed="false">
      <c r="A39" s="8" t="s">
        <v>65</v>
      </c>
      <c r="B39" s="9" t="s">
        <v>66</v>
      </c>
    </row>
    <row r="40" customFormat="false" ht="13.5" hidden="false" customHeight="true" outlineLevel="0" collapsed="false">
      <c r="A40" s="10" t="s">
        <v>67</v>
      </c>
      <c r="B40" s="11" t="s">
        <v>68</v>
      </c>
    </row>
    <row r="41" customFormat="false" ht="13.5" hidden="false" customHeight="true" outlineLevel="0" collapsed="false">
      <c r="A41" s="12" t="s">
        <v>69</v>
      </c>
      <c r="B41" s="13" t="s">
        <v>70</v>
      </c>
    </row>
    <row r="42" customFormat="false" ht="13.5" hidden="false" customHeight="true" outlineLevel="0" collapsed="false">
      <c r="A42" s="12" t="s">
        <v>71</v>
      </c>
      <c r="B42" s="13" t="s">
        <v>72</v>
      </c>
    </row>
    <row r="43" customFormat="false" ht="13.5" hidden="false" customHeight="true" outlineLevel="0" collapsed="false">
      <c r="A43" s="8" t="s">
        <v>73</v>
      </c>
      <c r="B43" s="9" t="s">
        <v>74</v>
      </c>
    </row>
    <row r="44" customFormat="false" ht="13.5" hidden="false" customHeight="true" outlineLevel="0" collapsed="false">
      <c r="A44" s="10" t="s">
        <v>75</v>
      </c>
      <c r="B44" s="11" t="s">
        <v>76</v>
      </c>
    </row>
    <row r="45" customFormat="false" ht="13.5" hidden="false" customHeight="true" outlineLevel="0" collapsed="false">
      <c r="A45" s="8" t="s">
        <v>77</v>
      </c>
      <c r="B45" s="9" t="s">
        <v>78</v>
      </c>
    </row>
    <row r="46" customFormat="false" ht="13.5" hidden="false" customHeight="true" outlineLevel="0" collapsed="false">
      <c r="A46" s="10" t="s">
        <v>79</v>
      </c>
      <c r="B46" s="11" t="s">
        <v>80</v>
      </c>
    </row>
    <row r="47" customFormat="false" ht="13.5" hidden="false" customHeight="true" outlineLevel="0" collapsed="false">
      <c r="A47" s="8" t="s">
        <v>81</v>
      </c>
      <c r="B47" s="9" t="s">
        <v>82</v>
      </c>
    </row>
    <row r="48" customFormat="false" ht="13.5" hidden="false" customHeight="true" outlineLevel="0" collapsed="false">
      <c r="A48" s="10" t="s">
        <v>83</v>
      </c>
      <c r="B48" s="11" t="s">
        <v>84</v>
      </c>
    </row>
    <row r="49" customFormat="false" ht="13.5" hidden="false" customHeight="true" outlineLevel="0" collapsed="false">
      <c r="A49" s="8" t="s">
        <v>85</v>
      </c>
      <c r="B49" s="9" t="s">
        <v>86</v>
      </c>
    </row>
    <row r="50" customFormat="false" ht="13.5" hidden="false" customHeight="true" outlineLevel="0" collapsed="false">
      <c r="A50" s="10" t="s">
        <v>87</v>
      </c>
      <c r="B50" s="11" t="s">
        <v>88</v>
      </c>
    </row>
    <row r="51" customFormat="false" ht="13.5" hidden="false" customHeight="true" outlineLevel="0" collapsed="false">
      <c r="A51" s="8" t="s">
        <v>89</v>
      </c>
      <c r="B51" s="9" t="s">
        <v>90</v>
      </c>
    </row>
    <row r="52" customFormat="false" ht="13.5" hidden="false" customHeight="true" outlineLevel="0" collapsed="false">
      <c r="A52" s="10" t="s">
        <v>91</v>
      </c>
      <c r="B52" s="11" t="s">
        <v>92</v>
      </c>
    </row>
    <row r="53" customFormat="false" ht="13.5" hidden="false" customHeight="true" outlineLevel="0" collapsed="false">
      <c r="A53" s="8" t="s">
        <v>93</v>
      </c>
      <c r="B53" s="9" t="s">
        <v>94</v>
      </c>
    </row>
    <row r="54" customFormat="false" ht="13.5" hidden="false" customHeight="true" outlineLevel="0" collapsed="false">
      <c r="A54" s="10" t="s">
        <v>95</v>
      </c>
      <c r="B54" s="11" t="s">
        <v>96</v>
      </c>
    </row>
    <row r="56" customFormat="false" ht="18" hidden="false" customHeight="true" outlineLevel="0" collapsed="false">
      <c r="A56" s="3" t="s">
        <v>97</v>
      </c>
      <c r="B56" s="3"/>
    </row>
    <row r="57" customFormat="false" ht="15" hidden="false" customHeight="false" outlineLevel="0" collapsed="false">
      <c r="A57" s="7" t="s">
        <v>98</v>
      </c>
      <c r="B57" s="7" t="s">
        <v>99</v>
      </c>
    </row>
    <row r="58" customFormat="false" ht="13.5" hidden="false" customHeight="true" outlineLevel="0" collapsed="false">
      <c r="A58" s="4" t="s">
        <v>100</v>
      </c>
      <c r="B58" s="14" t="s">
        <v>101</v>
      </c>
    </row>
    <row r="59" customFormat="false" ht="13.5" hidden="false" customHeight="true" outlineLevel="0" collapsed="false">
      <c r="A59" s="4" t="s">
        <v>102</v>
      </c>
      <c r="B59" s="14" t="s">
        <v>103</v>
      </c>
    </row>
    <row r="60" customFormat="false" ht="13.5" hidden="false" customHeight="true" outlineLevel="0" collapsed="false">
      <c r="A60" s="4" t="s">
        <v>104</v>
      </c>
      <c r="B60" s="14" t="s">
        <v>105</v>
      </c>
    </row>
    <row r="61" customFormat="false" ht="13.5" hidden="false" customHeight="true" outlineLevel="0" collapsed="false">
      <c r="A61" s="4" t="s">
        <v>106</v>
      </c>
      <c r="B61" s="14" t="s">
        <v>107</v>
      </c>
    </row>
    <row r="62" customFormat="false" ht="13.5" hidden="false" customHeight="true" outlineLevel="0" collapsed="false">
      <c r="A62" s="4" t="s">
        <v>108</v>
      </c>
      <c r="B62" s="14" t="s">
        <v>109</v>
      </c>
    </row>
    <row r="63" customFormat="false" ht="13.5" hidden="false" customHeight="true" outlineLevel="0" collapsed="false">
      <c r="A63" s="4" t="s">
        <v>110</v>
      </c>
      <c r="B63" s="14" t="s">
        <v>111</v>
      </c>
    </row>
    <row r="64" customFormat="false" ht="13.5" hidden="false" customHeight="true" outlineLevel="0" collapsed="false">
      <c r="A64" s="4" t="s">
        <v>112</v>
      </c>
      <c r="B64" s="14" t="s">
        <v>113</v>
      </c>
    </row>
    <row r="65" customFormat="false" ht="13.5" hidden="false" customHeight="true" outlineLevel="0" collapsed="false">
      <c r="A65" s="4" t="s">
        <v>114</v>
      </c>
      <c r="B65" s="14" t="s">
        <v>115</v>
      </c>
    </row>
    <row r="66" customFormat="false" ht="13.5" hidden="false" customHeight="true" outlineLevel="0" collapsed="false">
      <c r="A66" s="4" t="s">
        <v>116</v>
      </c>
      <c r="B66" s="14" t="s">
        <v>117</v>
      </c>
    </row>
    <row r="67" customFormat="false" ht="13.5" hidden="false" customHeight="true" outlineLevel="0" collapsed="false">
      <c r="A67" s="4" t="s">
        <v>118</v>
      </c>
      <c r="B67" s="14" t="s">
        <v>119</v>
      </c>
    </row>
    <row r="69" customFormat="false" ht="18" hidden="false" customHeight="true" outlineLevel="0" collapsed="false">
      <c r="A69" s="3" t="s">
        <v>120</v>
      </c>
      <c r="B69" s="3"/>
    </row>
    <row r="70" customFormat="false" ht="24" hidden="false" customHeight="true" outlineLevel="0" collapsed="false">
      <c r="A70" s="15" t="s">
        <v>121</v>
      </c>
      <c r="B70" s="16" t="s">
        <v>122</v>
      </c>
    </row>
    <row r="71" customFormat="false" ht="24" hidden="false" customHeight="true" outlineLevel="0" collapsed="false">
      <c r="A71" s="15" t="s">
        <v>123</v>
      </c>
      <c r="B71" s="16" t="s">
        <v>124</v>
      </c>
    </row>
    <row r="72" customFormat="false" ht="24" hidden="false" customHeight="true" outlineLevel="0" collapsed="false">
      <c r="A72" s="15" t="s">
        <v>125</v>
      </c>
      <c r="B72" s="16" t="s">
        <v>126</v>
      </c>
    </row>
    <row r="73" customFormat="false" ht="24" hidden="false" customHeight="true" outlineLevel="0" collapsed="false">
      <c r="A73" s="15" t="s">
        <v>127</v>
      </c>
      <c r="B73" s="16" t="s">
        <v>128</v>
      </c>
    </row>
    <row r="74" customFormat="false" ht="24" hidden="false" customHeight="true" outlineLevel="0" collapsed="false">
      <c r="A74" s="15" t="s">
        <v>129</v>
      </c>
      <c r="B74" s="16" t="s">
        <v>130</v>
      </c>
    </row>
    <row r="75" customFormat="false" ht="24" hidden="false" customHeight="true" outlineLevel="0" collapsed="false">
      <c r="A75" s="15" t="s">
        <v>131</v>
      </c>
      <c r="B75" s="16" t="s">
        <v>132</v>
      </c>
    </row>
    <row r="76" customFormat="false" ht="24" hidden="false" customHeight="true" outlineLevel="0" collapsed="false">
      <c r="A76" s="15" t="s">
        <v>133</v>
      </c>
      <c r="B76" s="16" t="s">
        <v>134</v>
      </c>
    </row>
    <row r="77" customFormat="false" ht="24" hidden="false" customHeight="true" outlineLevel="0" collapsed="false">
      <c r="A77" s="15" t="s">
        <v>135</v>
      </c>
      <c r="B77" s="16" t="s">
        <v>136</v>
      </c>
    </row>
    <row r="78" customFormat="false" ht="24" hidden="false" customHeight="true" outlineLevel="0" collapsed="false">
      <c r="A78" s="15" t="s">
        <v>137</v>
      </c>
      <c r="B78" s="16" t="s">
        <v>138</v>
      </c>
    </row>
    <row r="79" customFormat="false" ht="24" hidden="false" customHeight="true" outlineLevel="0" collapsed="false">
      <c r="A79" s="15" t="s">
        <v>139</v>
      </c>
      <c r="B79" s="16" t="s">
        <v>140</v>
      </c>
    </row>
    <row r="80" customFormat="false" ht="24" hidden="false" customHeight="true" outlineLevel="0" collapsed="false">
      <c r="A80" s="15" t="s">
        <v>141</v>
      </c>
      <c r="B80" s="16" t="s">
        <v>142</v>
      </c>
    </row>
    <row r="81" customFormat="false" ht="24" hidden="false" customHeight="true" outlineLevel="0" collapsed="false">
      <c r="A81" s="15" t="s">
        <v>143</v>
      </c>
      <c r="B81" s="16" t="s">
        <v>144</v>
      </c>
    </row>
  </sheetData>
  <mergeCells count="7">
    <mergeCell ref="A1:B1"/>
    <mergeCell ref="A2:B2"/>
    <mergeCell ref="A4:B4"/>
    <mergeCell ref="A12:B12"/>
    <mergeCell ref="A19:B19"/>
    <mergeCell ref="A56:B56"/>
    <mergeCell ref="A69:B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13" min="4" style="0" width="13"/>
    <col collapsed="false" customWidth="true" hidden="false" outlineLevel="0" max="17" min="14" style="0" width="11"/>
    <col collapsed="false" customWidth="true" hidden="false" outlineLevel="0" max="18" min="18" style="0" width="45"/>
  </cols>
  <sheetData>
    <row r="1" customFormat="false" ht="24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6" hidden="false" customHeight="true" outlineLevel="0" collapsed="false">
      <c r="A3" s="7" t="s">
        <v>27</v>
      </c>
      <c r="B3" s="7" t="s">
        <v>28</v>
      </c>
      <c r="C3" s="17" t="s">
        <v>147</v>
      </c>
      <c r="D3" s="17" t="s">
        <v>148</v>
      </c>
      <c r="E3" s="17" t="s">
        <v>149</v>
      </c>
      <c r="F3" s="17" t="s">
        <v>150</v>
      </c>
      <c r="G3" s="17" t="s">
        <v>151</v>
      </c>
      <c r="H3" s="17" t="s">
        <v>152</v>
      </c>
      <c r="I3" s="17" t="s">
        <v>153</v>
      </c>
      <c r="J3" s="17" t="s">
        <v>154</v>
      </c>
      <c r="K3" s="17" t="s">
        <v>155</v>
      </c>
      <c r="L3" s="17" t="s">
        <v>156</v>
      </c>
      <c r="M3" s="17" t="s">
        <v>157</v>
      </c>
      <c r="N3" s="7" t="s">
        <v>158</v>
      </c>
      <c r="O3" s="7" t="s">
        <v>159</v>
      </c>
      <c r="P3" s="7" t="s">
        <v>160</v>
      </c>
      <c r="Q3" s="7" t="s">
        <v>161</v>
      </c>
      <c r="R3" s="7" t="s">
        <v>162</v>
      </c>
    </row>
    <row r="4" customFormat="false" ht="15.75" hidden="false" customHeight="true" outlineLevel="0" collapsed="false">
      <c r="A4" s="18" t="s">
        <v>29</v>
      </c>
      <c r="B4" s="9" t="s">
        <v>30</v>
      </c>
      <c r="C4" s="8" t="s">
        <v>163</v>
      </c>
      <c r="D4" s="19" t="n">
        <v>40</v>
      </c>
      <c r="E4" s="20" t="n">
        <v>100</v>
      </c>
      <c r="F4" s="20" t="n">
        <v>1005</v>
      </c>
      <c r="G4" s="19" t="n">
        <v>60</v>
      </c>
      <c r="H4" s="20" t="n">
        <v>2000</v>
      </c>
      <c r="I4" s="20" t="n">
        <v>52</v>
      </c>
      <c r="J4" s="20" t="n">
        <v>81</v>
      </c>
      <c r="K4" s="19" t="n">
        <v>2</v>
      </c>
      <c r="L4" s="19" t="n">
        <v>3.5</v>
      </c>
      <c r="M4" s="20" t="n">
        <v>43</v>
      </c>
      <c r="N4" s="21" t="n">
        <v>0.898</v>
      </c>
      <c r="O4" s="21" t="n">
        <v>0.021</v>
      </c>
      <c r="P4" s="21" t="n">
        <v>0.081</v>
      </c>
      <c r="Q4" s="22" t="s">
        <v>164</v>
      </c>
      <c r="R4" s="23" t="s">
        <v>165</v>
      </c>
    </row>
    <row r="5" customFormat="false" ht="15.75" hidden="false" customHeight="true" outlineLevel="0" collapsed="false">
      <c r="A5" s="24" t="s">
        <v>31</v>
      </c>
      <c r="B5" s="11" t="s">
        <v>32</v>
      </c>
      <c r="C5" s="8" t="s">
        <v>163</v>
      </c>
      <c r="D5" s="20" t="n">
        <v>32</v>
      </c>
      <c r="E5" s="20" t="n">
        <v>8</v>
      </c>
      <c r="F5" s="20" t="n">
        <v>110</v>
      </c>
      <c r="G5" s="19" t="n">
        <v>12</v>
      </c>
      <c r="H5" s="20" t="n">
        <v>440</v>
      </c>
      <c r="I5" s="20" t="n">
        <v>17</v>
      </c>
      <c r="J5" s="20" t="n">
        <v>30</v>
      </c>
      <c r="K5" s="19" t="n">
        <v>0.5</v>
      </c>
      <c r="L5" s="19" t="n">
        <v>0.8</v>
      </c>
      <c r="M5" s="20" t="n">
        <v>4.1</v>
      </c>
      <c r="N5" s="21" t="n">
        <v>0.65</v>
      </c>
      <c r="O5" s="21" t="n">
        <v>0.21</v>
      </c>
      <c r="P5" s="21" t="n">
        <v>0.14</v>
      </c>
      <c r="Q5" s="22" t="s">
        <v>164</v>
      </c>
      <c r="R5" s="23" t="s">
        <v>166</v>
      </c>
    </row>
    <row r="6" customFormat="false" ht="15.75" hidden="false" customHeight="true" outlineLevel="0" collapsed="false">
      <c r="A6" s="18" t="s">
        <v>33</v>
      </c>
      <c r="B6" s="9" t="s">
        <v>34</v>
      </c>
      <c r="C6" s="8" t="s">
        <v>163</v>
      </c>
      <c r="D6" s="19" t="n">
        <v>0.5</v>
      </c>
      <c r="E6" s="20" t="n">
        <v>33</v>
      </c>
      <c r="F6" s="19" t="n">
        <v>5</v>
      </c>
      <c r="G6" s="19" t="n">
        <v>1.5</v>
      </c>
      <c r="H6" s="20" t="n">
        <v>65</v>
      </c>
      <c r="I6" s="19" t="n">
        <v>2</v>
      </c>
      <c r="J6" s="19" t="n">
        <v>1.5</v>
      </c>
      <c r="K6" s="22" t="s">
        <v>164</v>
      </c>
      <c r="L6" s="22" t="s">
        <v>164</v>
      </c>
      <c r="M6" s="19" t="n">
        <v>0.7</v>
      </c>
      <c r="N6" s="21" t="n">
        <v>0.12</v>
      </c>
      <c r="O6" s="21" t="n">
        <v>0.01</v>
      </c>
      <c r="P6" s="21" t="n">
        <v>0.84</v>
      </c>
      <c r="Q6" s="21" t="n">
        <v>0.03</v>
      </c>
      <c r="R6" s="23" t="s">
        <v>167</v>
      </c>
    </row>
    <row r="7" customFormat="false" ht="15.75" hidden="false" customHeight="true" outlineLevel="0" collapsed="false">
      <c r="A7" s="24" t="s">
        <v>35</v>
      </c>
      <c r="B7" s="11" t="s">
        <v>36</v>
      </c>
      <c r="C7" s="8" t="s">
        <v>163</v>
      </c>
      <c r="D7" s="19" t="n">
        <v>0.5</v>
      </c>
      <c r="E7" s="20" t="n">
        <v>1.5</v>
      </c>
      <c r="F7" s="20" t="n">
        <v>8</v>
      </c>
      <c r="G7" s="19" t="n">
        <v>1</v>
      </c>
      <c r="H7" s="19" t="n">
        <v>5</v>
      </c>
      <c r="I7" s="19" t="n">
        <v>1.5</v>
      </c>
      <c r="J7" s="19" t="n">
        <v>1</v>
      </c>
      <c r="K7" s="19" t="n">
        <v>1</v>
      </c>
      <c r="L7" s="19" t="n">
        <v>0.3</v>
      </c>
      <c r="M7" s="22" t="s">
        <v>164</v>
      </c>
      <c r="N7" s="21" t="n">
        <v>0.495</v>
      </c>
      <c r="O7" s="21" t="n">
        <v>0.05</v>
      </c>
      <c r="P7" s="21" t="n">
        <v>0.123</v>
      </c>
      <c r="Q7" s="21" t="n">
        <v>0.332</v>
      </c>
      <c r="R7" s="23" t="s">
        <v>168</v>
      </c>
    </row>
    <row r="8" customFormat="false" ht="15.75" hidden="false" customHeight="true" outlineLevel="0" collapsed="false">
      <c r="A8" s="18" t="s">
        <v>37</v>
      </c>
      <c r="B8" s="9" t="s">
        <v>38</v>
      </c>
      <c r="C8" s="8" t="s">
        <v>163</v>
      </c>
      <c r="D8" s="20" t="n">
        <v>8</v>
      </c>
      <c r="E8" s="20" t="n">
        <v>18</v>
      </c>
      <c r="F8" s="20" t="n">
        <v>52</v>
      </c>
      <c r="G8" s="19" t="n">
        <v>6</v>
      </c>
      <c r="H8" s="20" t="n">
        <v>58</v>
      </c>
      <c r="I8" s="20" t="n">
        <v>20</v>
      </c>
      <c r="J8" s="20" t="n">
        <v>15</v>
      </c>
      <c r="K8" s="20" t="n">
        <v>6</v>
      </c>
      <c r="L8" s="19" t="n">
        <v>3</v>
      </c>
      <c r="M8" s="20" t="n">
        <v>3.8</v>
      </c>
      <c r="N8" s="21" t="n">
        <v>0.62</v>
      </c>
      <c r="O8" s="21" t="n">
        <v>0.09</v>
      </c>
      <c r="P8" s="21" t="n">
        <v>0.21</v>
      </c>
      <c r="Q8" s="21" t="n">
        <v>0.08</v>
      </c>
      <c r="R8" s="23" t="s">
        <v>169</v>
      </c>
    </row>
    <row r="9" customFormat="false" ht="15.75" hidden="false" customHeight="true" outlineLevel="0" collapsed="false">
      <c r="A9" s="24" t="s">
        <v>39</v>
      </c>
      <c r="B9" s="11" t="s">
        <v>40</v>
      </c>
      <c r="C9" s="8" t="s">
        <v>163</v>
      </c>
      <c r="D9" s="22" t="s">
        <v>164</v>
      </c>
      <c r="E9" s="20" t="n">
        <v>21</v>
      </c>
      <c r="F9" s="20" t="n">
        <v>45</v>
      </c>
      <c r="G9" s="19" t="n">
        <v>2</v>
      </c>
      <c r="H9" s="20" t="n">
        <v>45</v>
      </c>
      <c r="I9" s="22" t="s">
        <v>164</v>
      </c>
      <c r="J9" s="22" t="s">
        <v>164</v>
      </c>
      <c r="K9" s="22" t="s">
        <v>164</v>
      </c>
      <c r="L9" s="22" t="s">
        <v>164</v>
      </c>
      <c r="M9" s="19" t="n">
        <v>0.4</v>
      </c>
      <c r="N9" s="21" t="n">
        <v>0.68</v>
      </c>
      <c r="O9" s="22" t="s">
        <v>164</v>
      </c>
      <c r="P9" s="21" t="n">
        <v>0.3</v>
      </c>
      <c r="Q9" s="21" t="n">
        <v>0.02</v>
      </c>
      <c r="R9" s="23" t="s">
        <v>170</v>
      </c>
    </row>
    <row r="10" customFormat="false" ht="15.75" hidden="false" customHeight="true" outlineLevel="0" collapsed="false">
      <c r="A10" s="18" t="s">
        <v>41</v>
      </c>
      <c r="B10" s="9" t="s">
        <v>42</v>
      </c>
      <c r="C10" s="8" t="s">
        <v>163</v>
      </c>
      <c r="D10" s="22" t="s">
        <v>164</v>
      </c>
      <c r="E10" s="20" t="n">
        <v>5.5</v>
      </c>
      <c r="F10" s="20" t="n">
        <v>1.5</v>
      </c>
      <c r="G10" s="22" t="s">
        <v>164</v>
      </c>
      <c r="H10" s="19" t="n">
        <v>9</v>
      </c>
      <c r="I10" s="22" t="s">
        <v>164</v>
      </c>
      <c r="J10" s="22" t="s">
        <v>164</v>
      </c>
      <c r="K10" s="22" t="s">
        <v>164</v>
      </c>
      <c r="L10" s="22" t="s">
        <v>164</v>
      </c>
      <c r="M10" s="19" t="n">
        <v>0.2</v>
      </c>
      <c r="N10" s="21" t="n">
        <v>0.2</v>
      </c>
      <c r="O10" s="22" t="s">
        <v>164</v>
      </c>
      <c r="P10" s="21" t="n">
        <v>0.75</v>
      </c>
      <c r="Q10" s="21" t="n">
        <v>0.05</v>
      </c>
      <c r="R10" s="23" t="s">
        <v>171</v>
      </c>
    </row>
    <row r="11" customFormat="false" ht="15.75" hidden="false" customHeight="true" outlineLevel="0" collapsed="false">
      <c r="A11" s="24" t="s">
        <v>43</v>
      </c>
      <c r="B11" s="11" t="s">
        <v>44</v>
      </c>
      <c r="C11" s="8" t="s">
        <v>163</v>
      </c>
      <c r="D11" s="22" t="s">
        <v>164</v>
      </c>
      <c r="E11" s="20" t="n">
        <v>17</v>
      </c>
      <c r="F11" s="20" t="n">
        <v>7</v>
      </c>
      <c r="G11" s="22" t="s">
        <v>164</v>
      </c>
      <c r="H11" s="22" t="s">
        <v>164</v>
      </c>
      <c r="I11" s="22" t="s">
        <v>164</v>
      </c>
      <c r="J11" s="22" t="s">
        <v>164</v>
      </c>
      <c r="K11" s="22" t="s">
        <v>164</v>
      </c>
      <c r="L11" s="22" t="s">
        <v>164</v>
      </c>
      <c r="M11" s="22" t="s">
        <v>164</v>
      </c>
      <c r="N11" s="21" t="n">
        <v>0.3</v>
      </c>
      <c r="O11" s="22" t="s">
        <v>164</v>
      </c>
      <c r="P11" s="21" t="n">
        <v>0.7</v>
      </c>
      <c r="Q11" s="22" t="s">
        <v>164</v>
      </c>
      <c r="R11" s="23" t="s">
        <v>172</v>
      </c>
    </row>
    <row r="12" customFormat="false" ht="15.75" hidden="false" customHeight="true" outlineLevel="0" collapsed="false">
      <c r="A12" s="18" t="s">
        <v>45</v>
      </c>
      <c r="B12" s="9" t="s">
        <v>46</v>
      </c>
      <c r="C12" s="8" t="s">
        <v>163</v>
      </c>
      <c r="D12" s="22" t="s">
        <v>164</v>
      </c>
      <c r="E12" s="20" t="n">
        <v>12</v>
      </c>
      <c r="F12" s="19" t="n">
        <v>8</v>
      </c>
      <c r="G12" s="22" t="s">
        <v>164</v>
      </c>
      <c r="H12" s="20" t="n">
        <v>95</v>
      </c>
      <c r="I12" s="22" t="s">
        <v>164</v>
      </c>
      <c r="J12" s="22" t="s">
        <v>164</v>
      </c>
      <c r="K12" s="22" t="s">
        <v>164</v>
      </c>
      <c r="L12" s="22" t="s">
        <v>164</v>
      </c>
      <c r="M12" s="22" t="s">
        <v>164</v>
      </c>
      <c r="N12" s="21" t="n">
        <v>0.4</v>
      </c>
      <c r="O12" s="22" t="s">
        <v>164</v>
      </c>
      <c r="P12" s="21" t="n">
        <v>0.6</v>
      </c>
      <c r="Q12" s="22" t="s">
        <v>164</v>
      </c>
      <c r="R12" s="23" t="s">
        <v>173</v>
      </c>
    </row>
    <row r="13" customFormat="false" ht="15.75" hidden="false" customHeight="true" outlineLevel="0" collapsed="false">
      <c r="A13" s="24" t="s">
        <v>47</v>
      </c>
      <c r="B13" s="11" t="s">
        <v>48</v>
      </c>
      <c r="C13" s="8" t="s">
        <v>163</v>
      </c>
      <c r="D13" s="19" t="n">
        <v>4</v>
      </c>
      <c r="E13" s="20" t="n">
        <v>10</v>
      </c>
      <c r="F13" s="20" t="n">
        <v>22</v>
      </c>
      <c r="G13" s="19" t="n">
        <v>5</v>
      </c>
      <c r="H13" s="20" t="n">
        <v>55</v>
      </c>
      <c r="I13" s="22" t="s">
        <v>164</v>
      </c>
      <c r="J13" s="22" t="s">
        <v>164</v>
      </c>
      <c r="K13" s="22" t="s">
        <v>164</v>
      </c>
      <c r="L13" s="22" t="s">
        <v>164</v>
      </c>
      <c r="M13" s="19" t="n">
        <v>1</v>
      </c>
      <c r="N13" s="21" t="n">
        <v>0.6</v>
      </c>
      <c r="O13" s="21" t="n">
        <v>0.11</v>
      </c>
      <c r="P13" s="21" t="n">
        <v>0.27</v>
      </c>
      <c r="Q13" s="21" t="n">
        <v>0.02</v>
      </c>
      <c r="R13" s="23" t="s">
        <v>174</v>
      </c>
    </row>
    <row r="14" customFormat="false" ht="15.75" hidden="false" customHeight="true" outlineLevel="0" collapsed="false">
      <c r="A14" s="18" t="s">
        <v>49</v>
      </c>
      <c r="B14" s="9" t="s">
        <v>50</v>
      </c>
      <c r="C14" s="8" t="s">
        <v>163</v>
      </c>
      <c r="D14" s="22" t="s">
        <v>164</v>
      </c>
      <c r="E14" s="20" t="n">
        <v>5</v>
      </c>
      <c r="F14" s="20" t="n">
        <v>8</v>
      </c>
      <c r="G14" s="19" t="n">
        <v>4</v>
      </c>
      <c r="H14" s="20" t="n">
        <v>68</v>
      </c>
      <c r="I14" s="22" t="s">
        <v>164</v>
      </c>
      <c r="J14" s="22" t="s">
        <v>164</v>
      </c>
      <c r="K14" s="22" t="s">
        <v>164</v>
      </c>
      <c r="L14" s="22" t="s">
        <v>164</v>
      </c>
      <c r="M14" s="19" t="n">
        <v>0.3</v>
      </c>
      <c r="N14" s="21" t="n">
        <v>0.45</v>
      </c>
      <c r="O14" s="22" t="s">
        <v>164</v>
      </c>
      <c r="P14" s="21" t="n">
        <v>0.4</v>
      </c>
      <c r="Q14" s="21" t="n">
        <v>0.15</v>
      </c>
      <c r="R14" s="23" t="s">
        <v>175</v>
      </c>
    </row>
    <row r="15" customFormat="false" ht="15.75" hidden="false" customHeight="true" outlineLevel="0" collapsed="false">
      <c r="A15" s="24" t="s">
        <v>51</v>
      </c>
      <c r="B15" s="11" t="s">
        <v>52</v>
      </c>
      <c r="C15" s="8" t="s">
        <v>163</v>
      </c>
      <c r="D15" s="20" t="n">
        <v>5.1</v>
      </c>
      <c r="E15" s="20" t="n">
        <v>4.6</v>
      </c>
      <c r="F15" s="22" t="s">
        <v>164</v>
      </c>
      <c r="G15" s="22" t="s">
        <v>164</v>
      </c>
      <c r="H15" s="20" t="n">
        <v>50</v>
      </c>
      <c r="I15" s="20" t="n">
        <v>1.2</v>
      </c>
      <c r="J15" s="20" t="n">
        <v>1.4</v>
      </c>
      <c r="K15" s="20" t="n">
        <v>0.5</v>
      </c>
      <c r="L15" s="19" t="n">
        <v>0.08</v>
      </c>
      <c r="M15" s="20" t="n">
        <v>0.29</v>
      </c>
      <c r="N15" s="22" t="s">
        <v>164</v>
      </c>
      <c r="O15" s="21" t="n">
        <v>0.52</v>
      </c>
      <c r="P15" s="21" t="n">
        <v>0.47</v>
      </c>
      <c r="Q15" s="21" t="n">
        <v>0.01</v>
      </c>
      <c r="R15" s="23" t="s">
        <v>176</v>
      </c>
    </row>
    <row r="16" customFormat="false" ht="15.75" hidden="false" customHeight="true" outlineLevel="0" collapsed="false">
      <c r="A16" s="18" t="s">
        <v>53</v>
      </c>
      <c r="B16" s="9" t="s">
        <v>54</v>
      </c>
      <c r="C16" s="8" t="s">
        <v>163</v>
      </c>
      <c r="D16" s="22" t="s">
        <v>164</v>
      </c>
      <c r="E16" s="19" t="n">
        <v>1.5</v>
      </c>
      <c r="F16" s="22" t="s">
        <v>164</v>
      </c>
      <c r="G16" s="22" t="s">
        <v>164</v>
      </c>
      <c r="H16" s="20" t="n">
        <v>20</v>
      </c>
      <c r="I16" s="19" t="n">
        <v>2</v>
      </c>
      <c r="J16" s="19" t="n">
        <v>2.5</v>
      </c>
      <c r="K16" s="22" t="s">
        <v>164</v>
      </c>
      <c r="L16" s="22" t="s">
        <v>164</v>
      </c>
      <c r="M16" s="22" t="s">
        <v>164</v>
      </c>
      <c r="N16" s="22" t="s">
        <v>164</v>
      </c>
      <c r="O16" s="22" t="s">
        <v>164</v>
      </c>
      <c r="P16" s="21" t="n">
        <v>0.9</v>
      </c>
      <c r="Q16" s="21" t="n">
        <v>0.1</v>
      </c>
      <c r="R16" s="23" t="s">
        <v>177</v>
      </c>
    </row>
    <row r="17" customFormat="false" ht="15.75" hidden="false" customHeight="true" outlineLevel="0" collapsed="false">
      <c r="A17" s="24" t="s">
        <v>55</v>
      </c>
      <c r="B17" s="11" t="s">
        <v>56</v>
      </c>
      <c r="C17" s="8" t="s">
        <v>163</v>
      </c>
      <c r="D17" s="22" t="s">
        <v>164</v>
      </c>
      <c r="E17" s="19" t="n">
        <v>0.8</v>
      </c>
      <c r="F17" s="22" t="s">
        <v>164</v>
      </c>
      <c r="G17" s="22" t="s">
        <v>164</v>
      </c>
      <c r="H17" s="20" t="n">
        <v>17</v>
      </c>
      <c r="I17" s="22" t="s">
        <v>164</v>
      </c>
      <c r="J17" s="22" t="s">
        <v>164</v>
      </c>
      <c r="K17" s="22" t="s">
        <v>164</v>
      </c>
      <c r="L17" s="19" t="n">
        <v>2</v>
      </c>
      <c r="M17" s="22" t="s">
        <v>164</v>
      </c>
      <c r="N17" s="22" t="s">
        <v>164</v>
      </c>
      <c r="O17" s="22" t="s">
        <v>164</v>
      </c>
      <c r="P17" s="22" t="s">
        <v>164</v>
      </c>
      <c r="Q17" s="22" t="s">
        <v>164</v>
      </c>
      <c r="R17" s="23" t="s">
        <v>178</v>
      </c>
    </row>
    <row r="18" customFormat="false" ht="15.75" hidden="false" customHeight="true" outlineLevel="0" collapsed="false">
      <c r="A18" s="18" t="s">
        <v>57</v>
      </c>
      <c r="B18" s="9" t="s">
        <v>58</v>
      </c>
      <c r="C18" s="8" t="s">
        <v>163</v>
      </c>
      <c r="D18" s="22" t="s">
        <v>164</v>
      </c>
      <c r="E18" s="20" t="n">
        <v>0.4</v>
      </c>
      <c r="F18" s="22" t="s">
        <v>164</v>
      </c>
      <c r="G18" s="22" t="s">
        <v>164</v>
      </c>
      <c r="H18" s="20" t="n">
        <v>1.8</v>
      </c>
      <c r="I18" s="22" t="s">
        <v>164</v>
      </c>
      <c r="J18" s="22" t="s">
        <v>164</v>
      </c>
      <c r="K18" s="22" t="s">
        <v>164</v>
      </c>
      <c r="L18" s="22" t="s">
        <v>164</v>
      </c>
      <c r="M18" s="22" t="s">
        <v>164</v>
      </c>
      <c r="N18" s="22" t="s">
        <v>164</v>
      </c>
      <c r="O18" s="22" t="s">
        <v>164</v>
      </c>
      <c r="P18" s="22" t="s">
        <v>164</v>
      </c>
      <c r="Q18" s="22" t="s">
        <v>164</v>
      </c>
      <c r="R18" s="23" t="s">
        <v>179</v>
      </c>
    </row>
    <row r="19" customFormat="false" ht="15.75" hidden="false" customHeight="true" outlineLevel="0" collapsed="false">
      <c r="A19" s="24" t="s">
        <v>59</v>
      </c>
      <c r="B19" s="11" t="s">
        <v>60</v>
      </c>
      <c r="C19" s="8" t="s">
        <v>163</v>
      </c>
      <c r="D19" s="20" t="n">
        <v>0.2</v>
      </c>
      <c r="E19" s="20" t="n">
        <v>1</v>
      </c>
      <c r="F19" s="22" t="s">
        <v>164</v>
      </c>
      <c r="G19" s="22" t="s">
        <v>164</v>
      </c>
      <c r="H19" s="20" t="n">
        <v>15.5</v>
      </c>
      <c r="I19" s="20" t="n">
        <v>1.1</v>
      </c>
      <c r="J19" s="20" t="n">
        <v>1.5</v>
      </c>
      <c r="K19" s="20" t="n">
        <v>0.4</v>
      </c>
      <c r="L19" s="22" t="s">
        <v>164</v>
      </c>
      <c r="M19" s="22" t="s">
        <v>164</v>
      </c>
      <c r="N19" s="22" t="s">
        <v>164</v>
      </c>
      <c r="O19" s="22" t="s">
        <v>164</v>
      </c>
      <c r="P19" s="22" t="s">
        <v>164</v>
      </c>
      <c r="Q19" s="22" t="s">
        <v>164</v>
      </c>
      <c r="R19" s="23" t="s">
        <v>180</v>
      </c>
    </row>
    <row r="20" customFormat="false" ht="15.75" hidden="false" customHeight="true" outlineLevel="0" collapsed="false">
      <c r="A20" s="18" t="s">
        <v>61</v>
      </c>
      <c r="B20" s="9" t="s">
        <v>62</v>
      </c>
      <c r="C20" s="8" t="s">
        <v>163</v>
      </c>
      <c r="D20" s="22" t="s">
        <v>164</v>
      </c>
      <c r="E20" s="20" t="n">
        <v>0.35</v>
      </c>
      <c r="F20" s="22" t="s">
        <v>164</v>
      </c>
      <c r="G20" s="22" t="s">
        <v>164</v>
      </c>
      <c r="H20" s="20" t="n">
        <v>3.5</v>
      </c>
      <c r="I20" s="20" t="n">
        <v>0.45</v>
      </c>
      <c r="J20" s="20" t="n">
        <v>0.65</v>
      </c>
      <c r="K20" s="22" t="s">
        <v>164</v>
      </c>
      <c r="L20" s="22" t="s">
        <v>164</v>
      </c>
      <c r="M20" s="22" t="s">
        <v>164</v>
      </c>
      <c r="N20" s="22" t="s">
        <v>164</v>
      </c>
      <c r="O20" s="22" t="s">
        <v>164</v>
      </c>
      <c r="P20" s="22" t="s">
        <v>164</v>
      </c>
      <c r="Q20" s="22" t="s">
        <v>164</v>
      </c>
      <c r="R20" s="23" t="s">
        <v>181</v>
      </c>
    </row>
    <row r="21" customFormat="false" ht="15.75" hidden="false" customHeight="true" outlineLevel="0" collapsed="false">
      <c r="A21" s="24" t="s">
        <v>63</v>
      </c>
      <c r="B21" s="11" t="s">
        <v>64</v>
      </c>
      <c r="C21" s="8" t="s">
        <v>163</v>
      </c>
      <c r="D21" s="22" t="s">
        <v>164</v>
      </c>
      <c r="E21" s="19" t="n">
        <v>2</v>
      </c>
      <c r="F21" s="19" t="n">
        <v>3.5</v>
      </c>
      <c r="G21" s="22" t="s">
        <v>164</v>
      </c>
      <c r="H21" s="22" t="s">
        <v>164</v>
      </c>
      <c r="I21" s="19" t="n">
        <v>0.8</v>
      </c>
      <c r="J21" s="19" t="n">
        <v>1</v>
      </c>
      <c r="K21" s="22" t="s">
        <v>164</v>
      </c>
      <c r="L21" s="22" t="s">
        <v>164</v>
      </c>
      <c r="M21" s="20" t="n">
        <v>2.7</v>
      </c>
      <c r="N21" s="22" t="s">
        <v>164</v>
      </c>
      <c r="O21" s="22" t="s">
        <v>164</v>
      </c>
      <c r="P21" s="22" t="s">
        <v>164</v>
      </c>
      <c r="Q21" s="22" t="s">
        <v>164</v>
      </c>
      <c r="R21" s="23" t="s">
        <v>182</v>
      </c>
    </row>
    <row r="22" customFormat="false" ht="15.75" hidden="false" customHeight="true" outlineLevel="0" collapsed="false">
      <c r="A22" s="18" t="s">
        <v>65</v>
      </c>
      <c r="B22" s="9" t="s">
        <v>66</v>
      </c>
      <c r="C22" s="8" t="s">
        <v>163</v>
      </c>
      <c r="D22" s="22" t="s">
        <v>164</v>
      </c>
      <c r="E22" s="22" t="s">
        <v>164</v>
      </c>
      <c r="F22" s="22" t="s">
        <v>164</v>
      </c>
      <c r="G22" s="22" t="s">
        <v>164</v>
      </c>
      <c r="H22" s="22" t="s">
        <v>164</v>
      </c>
      <c r="I22" s="22" t="s">
        <v>164</v>
      </c>
      <c r="J22" s="22" t="s">
        <v>164</v>
      </c>
      <c r="K22" s="22" t="s">
        <v>164</v>
      </c>
      <c r="L22" s="22" t="s">
        <v>164</v>
      </c>
      <c r="M22" s="20" t="n">
        <v>1.6</v>
      </c>
      <c r="N22" s="22" t="s">
        <v>164</v>
      </c>
      <c r="O22" s="22" t="s">
        <v>164</v>
      </c>
      <c r="P22" s="22" t="s">
        <v>164</v>
      </c>
      <c r="Q22" s="22" t="s">
        <v>164</v>
      </c>
      <c r="R22" s="23" t="s">
        <v>183</v>
      </c>
    </row>
    <row r="23" customFormat="false" ht="15.75" hidden="false" customHeight="true" outlineLevel="0" collapsed="false">
      <c r="A23" s="24" t="s">
        <v>67</v>
      </c>
      <c r="B23" s="11" t="s">
        <v>68</v>
      </c>
      <c r="C23" s="8" t="s">
        <v>163</v>
      </c>
      <c r="D23" s="22" t="s">
        <v>164</v>
      </c>
      <c r="E23" s="20" t="n">
        <v>1.5</v>
      </c>
      <c r="F23" s="20" t="n">
        <v>4.5</v>
      </c>
      <c r="G23" s="19" t="n">
        <v>2.5</v>
      </c>
      <c r="H23" s="22" t="s">
        <v>164</v>
      </c>
      <c r="I23" s="22" t="s">
        <v>164</v>
      </c>
      <c r="J23" s="22" t="s">
        <v>164</v>
      </c>
      <c r="K23" s="22" t="s">
        <v>164</v>
      </c>
      <c r="L23" s="22" t="s">
        <v>164</v>
      </c>
      <c r="M23" s="19" t="n">
        <v>0.75</v>
      </c>
      <c r="N23" s="21" t="n">
        <v>0.52</v>
      </c>
      <c r="O23" s="22" t="s">
        <v>164</v>
      </c>
      <c r="P23" s="21" t="n">
        <v>0.22</v>
      </c>
      <c r="Q23" s="21" t="n">
        <v>0.26</v>
      </c>
      <c r="R23" s="23" t="s">
        <v>184</v>
      </c>
    </row>
    <row r="24" customFormat="false" ht="15.75" hidden="false" customHeight="true" outlineLevel="0" collapsed="false">
      <c r="A24" s="18" t="s">
        <v>69</v>
      </c>
      <c r="B24" s="9" t="s">
        <v>185</v>
      </c>
      <c r="C24" s="12" t="s">
        <v>186</v>
      </c>
      <c r="D24" s="25" t="s">
        <v>187</v>
      </c>
      <c r="E24" s="25" t="s">
        <v>187</v>
      </c>
      <c r="F24" s="25" t="s">
        <v>187</v>
      </c>
      <c r="G24" s="25" t="s">
        <v>187</v>
      </c>
      <c r="H24" s="25" t="s">
        <v>187</v>
      </c>
      <c r="I24" s="25" t="s">
        <v>187</v>
      </c>
      <c r="J24" s="25" t="s">
        <v>187</v>
      </c>
      <c r="K24" s="25" t="s">
        <v>187</v>
      </c>
      <c r="L24" s="25" t="s">
        <v>187</v>
      </c>
      <c r="M24" s="25" t="s">
        <v>187</v>
      </c>
      <c r="N24" s="22" t="s">
        <v>164</v>
      </c>
      <c r="O24" s="22" t="s">
        <v>164</v>
      </c>
      <c r="P24" s="22" t="s">
        <v>164</v>
      </c>
      <c r="Q24" s="22" t="s">
        <v>164</v>
      </c>
      <c r="R24" s="23" t="s">
        <v>188</v>
      </c>
    </row>
    <row r="25" customFormat="false" ht="15.75" hidden="false" customHeight="true" outlineLevel="0" collapsed="false">
      <c r="A25" s="24" t="s">
        <v>71</v>
      </c>
      <c r="B25" s="11" t="s">
        <v>189</v>
      </c>
      <c r="C25" s="12" t="s">
        <v>186</v>
      </c>
      <c r="D25" s="25" t="s">
        <v>187</v>
      </c>
      <c r="E25" s="25" t="s">
        <v>187</v>
      </c>
      <c r="F25" s="25" t="s">
        <v>187</v>
      </c>
      <c r="G25" s="25" t="s">
        <v>187</v>
      </c>
      <c r="H25" s="25" t="s">
        <v>187</v>
      </c>
      <c r="I25" s="25" t="s">
        <v>187</v>
      </c>
      <c r="J25" s="25" t="s">
        <v>187</v>
      </c>
      <c r="K25" s="25" t="s">
        <v>187</v>
      </c>
      <c r="L25" s="25" t="s">
        <v>187</v>
      </c>
      <c r="M25" s="25" t="s">
        <v>187</v>
      </c>
      <c r="N25" s="22" t="s">
        <v>164</v>
      </c>
      <c r="O25" s="22" t="s">
        <v>164</v>
      </c>
      <c r="P25" s="22" t="s">
        <v>164</v>
      </c>
      <c r="Q25" s="22" t="s">
        <v>164</v>
      </c>
      <c r="R25" s="23" t="s">
        <v>190</v>
      </c>
    </row>
    <row r="26" customFormat="false" ht="15.75" hidden="false" customHeight="true" outlineLevel="0" collapsed="false">
      <c r="A26" s="18" t="s">
        <v>73</v>
      </c>
      <c r="B26" s="9" t="s">
        <v>74</v>
      </c>
      <c r="C26" s="8" t="s">
        <v>163</v>
      </c>
      <c r="D26" s="22" t="s">
        <v>164</v>
      </c>
      <c r="E26" s="20" t="n">
        <v>1.2</v>
      </c>
      <c r="F26" s="22" t="s">
        <v>164</v>
      </c>
      <c r="G26" s="22" t="s">
        <v>164</v>
      </c>
      <c r="H26" s="19" t="n">
        <v>2.5</v>
      </c>
      <c r="I26" s="22" t="s">
        <v>164</v>
      </c>
      <c r="J26" s="22" t="s">
        <v>164</v>
      </c>
      <c r="K26" s="22" t="s">
        <v>164</v>
      </c>
      <c r="L26" s="22" t="s">
        <v>164</v>
      </c>
      <c r="M26" s="19" t="n">
        <v>0.1</v>
      </c>
      <c r="N26" s="22" t="s">
        <v>164</v>
      </c>
      <c r="O26" s="22" t="s">
        <v>164</v>
      </c>
      <c r="P26" s="22" t="s">
        <v>164</v>
      </c>
      <c r="Q26" s="22" t="s">
        <v>164</v>
      </c>
      <c r="R26" s="23" t="s">
        <v>191</v>
      </c>
    </row>
    <row r="27" customFormat="false" ht="15.75" hidden="false" customHeight="true" outlineLevel="0" collapsed="false">
      <c r="A27" s="24" t="s">
        <v>75</v>
      </c>
      <c r="B27" s="11" t="s">
        <v>76</v>
      </c>
      <c r="C27" s="8" t="s">
        <v>163</v>
      </c>
      <c r="D27" s="22" t="s">
        <v>164</v>
      </c>
      <c r="E27" s="20" t="n">
        <v>32</v>
      </c>
      <c r="F27" s="20" t="n">
        <v>65</v>
      </c>
      <c r="G27" s="22" t="s">
        <v>164</v>
      </c>
      <c r="H27" s="20" t="n">
        <v>52</v>
      </c>
      <c r="I27" s="22" t="s">
        <v>164</v>
      </c>
      <c r="J27" s="22" t="s">
        <v>164</v>
      </c>
      <c r="K27" s="22" t="s">
        <v>164</v>
      </c>
      <c r="L27" s="22" t="s">
        <v>164</v>
      </c>
      <c r="M27" s="19" t="n">
        <v>0.2</v>
      </c>
      <c r="N27" s="21" t="n">
        <v>0.67</v>
      </c>
      <c r="O27" s="22" t="s">
        <v>164</v>
      </c>
      <c r="P27" s="21" t="n">
        <v>0.33</v>
      </c>
      <c r="Q27" s="22" t="s">
        <v>164</v>
      </c>
      <c r="R27" s="23" t="s">
        <v>192</v>
      </c>
    </row>
    <row r="28" customFormat="false" ht="15.75" hidden="false" customHeight="true" outlineLevel="0" collapsed="false">
      <c r="A28" s="18" t="s">
        <v>77</v>
      </c>
      <c r="B28" s="9" t="s">
        <v>78</v>
      </c>
      <c r="C28" s="8" t="s">
        <v>163</v>
      </c>
      <c r="D28" s="20" t="n">
        <v>8.5</v>
      </c>
      <c r="E28" s="19" t="n">
        <v>4</v>
      </c>
      <c r="F28" s="22" t="s">
        <v>164</v>
      </c>
      <c r="G28" s="22" t="s">
        <v>164</v>
      </c>
      <c r="H28" s="20" t="n">
        <v>55</v>
      </c>
      <c r="I28" s="19" t="n">
        <v>4</v>
      </c>
      <c r="J28" s="19" t="n">
        <v>5</v>
      </c>
      <c r="K28" s="22" t="s">
        <v>164</v>
      </c>
      <c r="L28" s="22" t="s">
        <v>164</v>
      </c>
      <c r="M28" s="19" t="n">
        <v>0.8</v>
      </c>
      <c r="N28" s="21" t="n">
        <v>0.45</v>
      </c>
      <c r="O28" s="21" t="n">
        <v>0.45</v>
      </c>
      <c r="P28" s="21" t="n">
        <v>0.1</v>
      </c>
      <c r="Q28" s="22" t="s">
        <v>164</v>
      </c>
      <c r="R28" s="23" t="s">
        <v>193</v>
      </c>
    </row>
    <row r="29" customFormat="false" ht="15.75" hidden="false" customHeight="true" outlineLevel="0" collapsed="false">
      <c r="A29" s="24" t="s">
        <v>79</v>
      </c>
      <c r="B29" s="11" t="s">
        <v>80</v>
      </c>
      <c r="C29" s="8" t="s">
        <v>163</v>
      </c>
      <c r="D29" s="22" t="s">
        <v>164</v>
      </c>
      <c r="E29" s="22" t="s">
        <v>164</v>
      </c>
      <c r="F29" s="22" t="s">
        <v>164</v>
      </c>
      <c r="G29" s="22" t="s">
        <v>164</v>
      </c>
      <c r="H29" s="22" t="s">
        <v>164</v>
      </c>
      <c r="I29" s="19" t="n">
        <v>3.5</v>
      </c>
      <c r="J29" s="19" t="n">
        <v>6</v>
      </c>
      <c r="K29" s="22" t="s">
        <v>164</v>
      </c>
      <c r="L29" s="22" t="s">
        <v>164</v>
      </c>
      <c r="M29" s="22" t="s">
        <v>164</v>
      </c>
      <c r="N29" s="22" t="s">
        <v>164</v>
      </c>
      <c r="O29" s="22" t="s">
        <v>164</v>
      </c>
      <c r="P29" s="22" t="s">
        <v>164</v>
      </c>
      <c r="Q29" s="22" t="s">
        <v>164</v>
      </c>
      <c r="R29" s="23" t="s">
        <v>194</v>
      </c>
    </row>
    <row r="30" customFormat="false" ht="15.75" hidden="false" customHeight="true" outlineLevel="0" collapsed="false">
      <c r="A30" s="18" t="s">
        <v>81</v>
      </c>
      <c r="B30" s="9" t="s">
        <v>82</v>
      </c>
      <c r="C30" s="8" t="s">
        <v>163</v>
      </c>
      <c r="D30" s="22" t="s">
        <v>164</v>
      </c>
      <c r="E30" s="22" t="s">
        <v>164</v>
      </c>
      <c r="F30" s="22" t="s">
        <v>164</v>
      </c>
      <c r="G30" s="22" t="s">
        <v>164</v>
      </c>
      <c r="H30" s="22" t="s">
        <v>164</v>
      </c>
      <c r="I30" s="19" t="n">
        <v>5</v>
      </c>
      <c r="J30" s="19" t="n">
        <v>5.5</v>
      </c>
      <c r="K30" s="22" t="s">
        <v>164</v>
      </c>
      <c r="L30" s="19" t="n">
        <v>0.5</v>
      </c>
      <c r="M30" s="22" t="s">
        <v>164</v>
      </c>
      <c r="N30" s="22" t="s">
        <v>164</v>
      </c>
      <c r="O30" s="22" t="s">
        <v>164</v>
      </c>
      <c r="P30" s="22" t="s">
        <v>164</v>
      </c>
      <c r="Q30" s="22" t="s">
        <v>164</v>
      </c>
      <c r="R30" s="23" t="s">
        <v>195</v>
      </c>
    </row>
    <row r="31" customFormat="false" ht="15.75" hidden="false" customHeight="true" outlineLevel="0" collapsed="false">
      <c r="A31" s="24" t="s">
        <v>83</v>
      </c>
      <c r="B31" s="11" t="s">
        <v>84</v>
      </c>
      <c r="C31" s="8" t="s">
        <v>163</v>
      </c>
      <c r="D31" s="19" t="n">
        <v>3</v>
      </c>
      <c r="E31" s="22" t="s">
        <v>164</v>
      </c>
      <c r="F31" s="22" t="s">
        <v>164</v>
      </c>
      <c r="G31" s="22" t="s">
        <v>164</v>
      </c>
      <c r="H31" s="22" t="s">
        <v>164</v>
      </c>
      <c r="I31" s="19" t="n">
        <v>1</v>
      </c>
      <c r="J31" s="19" t="n">
        <v>1</v>
      </c>
      <c r="K31" s="22" t="s">
        <v>164</v>
      </c>
      <c r="L31" s="22" t="s">
        <v>164</v>
      </c>
      <c r="M31" s="22" t="s">
        <v>164</v>
      </c>
      <c r="N31" s="22" t="s">
        <v>164</v>
      </c>
      <c r="O31" s="21" t="n">
        <v>0.9</v>
      </c>
      <c r="P31" s="22" t="s">
        <v>164</v>
      </c>
      <c r="Q31" s="21" t="n">
        <v>0.1</v>
      </c>
      <c r="R31" s="23" t="s">
        <v>196</v>
      </c>
    </row>
    <row r="32" customFormat="false" ht="15.75" hidden="false" customHeight="true" outlineLevel="0" collapsed="false">
      <c r="A32" s="18" t="s">
        <v>85</v>
      </c>
      <c r="B32" s="9" t="s">
        <v>86</v>
      </c>
      <c r="C32" s="8" t="s">
        <v>163</v>
      </c>
      <c r="D32" s="22" t="s">
        <v>164</v>
      </c>
      <c r="E32" s="22" t="s">
        <v>164</v>
      </c>
      <c r="F32" s="22" t="s">
        <v>164</v>
      </c>
      <c r="G32" s="19" t="n">
        <v>0.5</v>
      </c>
      <c r="H32" s="22" t="s">
        <v>164</v>
      </c>
      <c r="I32" s="22" t="s">
        <v>164</v>
      </c>
      <c r="J32" s="22" t="s">
        <v>164</v>
      </c>
      <c r="K32" s="22" t="s">
        <v>164</v>
      </c>
      <c r="L32" s="22" t="s">
        <v>164</v>
      </c>
      <c r="M32" s="19" t="n">
        <v>0.8</v>
      </c>
      <c r="N32" s="22" t="s">
        <v>164</v>
      </c>
      <c r="O32" s="22" t="s">
        <v>164</v>
      </c>
      <c r="P32" s="22" t="s">
        <v>164</v>
      </c>
      <c r="Q32" s="22" t="s">
        <v>164</v>
      </c>
      <c r="R32" s="23" t="s">
        <v>197</v>
      </c>
    </row>
    <row r="33" customFormat="false" ht="15.75" hidden="false" customHeight="true" outlineLevel="0" collapsed="false">
      <c r="A33" s="24" t="s">
        <v>87</v>
      </c>
      <c r="B33" s="11" t="s">
        <v>88</v>
      </c>
      <c r="C33" s="8" t="s">
        <v>163</v>
      </c>
      <c r="D33" s="22" t="s">
        <v>164</v>
      </c>
      <c r="E33" s="22" t="s">
        <v>164</v>
      </c>
      <c r="F33" s="22" t="s">
        <v>164</v>
      </c>
      <c r="G33" s="19" t="n">
        <v>1</v>
      </c>
      <c r="H33" s="22" t="s">
        <v>164</v>
      </c>
      <c r="I33" s="22" t="s">
        <v>164</v>
      </c>
      <c r="J33" s="22" t="s">
        <v>164</v>
      </c>
      <c r="K33" s="22" t="s">
        <v>164</v>
      </c>
      <c r="L33" s="22" t="s">
        <v>164</v>
      </c>
      <c r="M33" s="22" t="s">
        <v>164</v>
      </c>
      <c r="N33" s="22" t="s">
        <v>164</v>
      </c>
      <c r="O33" s="22" t="s">
        <v>164</v>
      </c>
      <c r="P33" s="22" t="s">
        <v>164</v>
      </c>
      <c r="Q33" s="22" t="s">
        <v>164</v>
      </c>
      <c r="R33" s="23" t="s">
        <v>198</v>
      </c>
    </row>
    <row r="34" customFormat="false" ht="15.75" hidden="false" customHeight="true" outlineLevel="0" collapsed="false">
      <c r="A34" s="18" t="s">
        <v>89</v>
      </c>
      <c r="B34" s="9" t="s">
        <v>90</v>
      </c>
      <c r="C34" s="8" t="s">
        <v>163</v>
      </c>
      <c r="D34" s="22" t="s">
        <v>164</v>
      </c>
      <c r="E34" s="22" t="s">
        <v>164</v>
      </c>
      <c r="F34" s="22" t="s">
        <v>164</v>
      </c>
      <c r="G34" s="19" t="n">
        <v>0.5</v>
      </c>
      <c r="H34" s="22" t="s">
        <v>164</v>
      </c>
      <c r="I34" s="22" t="s">
        <v>164</v>
      </c>
      <c r="J34" s="22" t="s">
        <v>164</v>
      </c>
      <c r="K34" s="22" t="s">
        <v>164</v>
      </c>
      <c r="L34" s="22" t="s">
        <v>164</v>
      </c>
      <c r="M34" s="22" t="s">
        <v>164</v>
      </c>
      <c r="N34" s="22" t="s">
        <v>164</v>
      </c>
      <c r="O34" s="22" t="s">
        <v>164</v>
      </c>
      <c r="P34" s="22" t="s">
        <v>164</v>
      </c>
      <c r="Q34" s="22" t="s">
        <v>164</v>
      </c>
      <c r="R34" s="23" t="s">
        <v>199</v>
      </c>
    </row>
    <row r="35" customFormat="false" ht="15.75" hidden="false" customHeight="true" outlineLevel="0" collapsed="false">
      <c r="A35" s="24" t="s">
        <v>91</v>
      </c>
      <c r="B35" s="11" t="s">
        <v>92</v>
      </c>
      <c r="C35" s="8" t="s">
        <v>163</v>
      </c>
      <c r="D35" s="22" t="s">
        <v>164</v>
      </c>
      <c r="E35" s="20" t="n">
        <v>13</v>
      </c>
      <c r="F35" s="19" t="n">
        <v>6</v>
      </c>
      <c r="G35" s="22" t="s">
        <v>164</v>
      </c>
      <c r="H35" s="20" t="n">
        <v>35</v>
      </c>
      <c r="I35" s="22" t="s">
        <v>164</v>
      </c>
      <c r="J35" s="22" t="s">
        <v>164</v>
      </c>
      <c r="K35" s="22" t="s">
        <v>164</v>
      </c>
      <c r="L35" s="22" t="s">
        <v>164</v>
      </c>
      <c r="M35" s="22" t="s">
        <v>164</v>
      </c>
      <c r="N35" s="21" t="n">
        <v>0.28</v>
      </c>
      <c r="O35" s="22" t="s">
        <v>164</v>
      </c>
      <c r="P35" s="21" t="n">
        <v>0.69</v>
      </c>
      <c r="Q35" s="21" t="n">
        <v>0.03</v>
      </c>
      <c r="R35" s="23" t="s">
        <v>200</v>
      </c>
    </row>
    <row r="36" customFormat="false" ht="15.75" hidden="false" customHeight="true" outlineLevel="0" collapsed="false">
      <c r="A36" s="18" t="s">
        <v>93</v>
      </c>
      <c r="B36" s="9" t="s">
        <v>94</v>
      </c>
      <c r="C36" s="8" t="s">
        <v>163</v>
      </c>
      <c r="D36" s="22" t="s">
        <v>164</v>
      </c>
      <c r="E36" s="20" t="n">
        <v>5</v>
      </c>
      <c r="F36" s="20" t="n">
        <v>8</v>
      </c>
      <c r="G36" s="22" t="s">
        <v>164</v>
      </c>
      <c r="H36" s="22" t="s">
        <v>164</v>
      </c>
      <c r="I36" s="22" t="s">
        <v>164</v>
      </c>
      <c r="J36" s="22" t="s">
        <v>164</v>
      </c>
      <c r="K36" s="22" t="s">
        <v>164</v>
      </c>
      <c r="L36" s="22" t="s">
        <v>164</v>
      </c>
      <c r="M36" s="20" t="n">
        <v>3.1</v>
      </c>
      <c r="N36" s="21" t="n">
        <v>0.55</v>
      </c>
      <c r="O36" s="22" t="s">
        <v>164</v>
      </c>
      <c r="P36" s="21" t="n">
        <v>0.45</v>
      </c>
      <c r="Q36" s="22" t="s">
        <v>164</v>
      </c>
      <c r="R36" s="23" t="s">
        <v>201</v>
      </c>
    </row>
    <row r="37" customFormat="false" ht="15.75" hidden="false" customHeight="true" outlineLevel="0" collapsed="false">
      <c r="A37" s="24" t="s">
        <v>95</v>
      </c>
      <c r="B37" s="11" t="s">
        <v>96</v>
      </c>
      <c r="C37" s="8" t="s">
        <v>163</v>
      </c>
      <c r="D37" s="20" t="n">
        <v>7</v>
      </c>
      <c r="E37" s="20" t="n">
        <v>65</v>
      </c>
      <c r="F37" s="20" t="n">
        <v>15</v>
      </c>
      <c r="G37" s="22" t="s">
        <v>164</v>
      </c>
      <c r="H37" s="22" t="s">
        <v>164</v>
      </c>
      <c r="I37" s="20" t="n">
        <v>9</v>
      </c>
      <c r="J37" s="19" t="n">
        <v>8</v>
      </c>
      <c r="K37" s="22" t="s">
        <v>164</v>
      </c>
      <c r="L37" s="19" t="n">
        <v>1</v>
      </c>
      <c r="M37" s="20" t="n">
        <v>0.86</v>
      </c>
      <c r="N37" s="21" t="n">
        <v>0.28</v>
      </c>
      <c r="O37" s="21" t="n">
        <v>0.09</v>
      </c>
      <c r="P37" s="21" t="n">
        <v>0.63</v>
      </c>
      <c r="Q37" s="22" t="s">
        <v>164</v>
      </c>
      <c r="R37" s="23" t="s">
        <v>202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48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7" t="s">
        <v>27</v>
      </c>
      <c r="B3" s="7" t="s">
        <v>28</v>
      </c>
      <c r="C3" s="7" t="s">
        <v>205</v>
      </c>
      <c r="D3" s="7" t="s">
        <v>206</v>
      </c>
      <c r="E3" s="17" t="s">
        <v>207</v>
      </c>
      <c r="F3" s="17" t="s">
        <v>208</v>
      </c>
      <c r="G3" s="17" t="s">
        <v>209</v>
      </c>
      <c r="H3" s="17" t="s">
        <v>210</v>
      </c>
      <c r="I3" s="7" t="s">
        <v>162</v>
      </c>
    </row>
    <row r="4" customFormat="false" ht="13.5" hidden="false" customHeight="true" outlineLevel="0" collapsed="false">
      <c r="A4" s="8" t="s">
        <v>29</v>
      </c>
      <c r="B4" s="14" t="s">
        <v>30</v>
      </c>
      <c r="C4" s="14" t="s">
        <v>211</v>
      </c>
      <c r="D4" s="26" t="s">
        <v>212</v>
      </c>
      <c r="E4" s="20" t="n">
        <v>0.3</v>
      </c>
      <c r="F4" s="21" t="n">
        <v>0</v>
      </c>
      <c r="G4" s="21" t="n">
        <v>0.05</v>
      </c>
      <c r="H4" s="27" t="n">
        <f aca="false">E4</f>
        <v>0.3</v>
      </c>
      <c r="I4" s="23" t="s">
        <v>213</v>
      </c>
    </row>
    <row r="5" customFormat="false" ht="13.5" hidden="false" customHeight="true" outlineLevel="0" collapsed="false">
      <c r="A5" s="8" t="s">
        <v>29</v>
      </c>
      <c r="B5" s="14" t="s">
        <v>30</v>
      </c>
      <c r="C5" s="14" t="s">
        <v>214</v>
      </c>
      <c r="D5" s="26" t="s">
        <v>215</v>
      </c>
      <c r="E5" s="20" t="n">
        <v>1.5</v>
      </c>
      <c r="F5" s="21" t="n">
        <v>0</v>
      </c>
      <c r="G5" s="21" t="n">
        <v>0.25</v>
      </c>
      <c r="H5" s="27" t="n">
        <f aca="false">E5</f>
        <v>1.5</v>
      </c>
      <c r="I5" s="23" t="s">
        <v>213</v>
      </c>
    </row>
    <row r="6" customFormat="false" ht="13.5" hidden="false" customHeight="true" outlineLevel="0" collapsed="false">
      <c r="A6" s="8" t="s">
        <v>29</v>
      </c>
      <c r="B6" s="14" t="s">
        <v>30</v>
      </c>
      <c r="C6" s="14" t="s">
        <v>216</v>
      </c>
      <c r="D6" s="26" t="s">
        <v>217</v>
      </c>
      <c r="E6" s="20" t="n">
        <v>0.1</v>
      </c>
      <c r="F6" s="21" t="n">
        <v>0</v>
      </c>
      <c r="G6" s="21" t="n">
        <v>0.02</v>
      </c>
      <c r="H6" s="27" t="n">
        <f aca="false">E6</f>
        <v>0.1</v>
      </c>
      <c r="I6" s="23" t="s">
        <v>218</v>
      </c>
    </row>
    <row r="7" customFormat="false" ht="13.5" hidden="false" customHeight="true" outlineLevel="0" collapsed="false">
      <c r="A7" s="8" t="s">
        <v>29</v>
      </c>
      <c r="B7" s="14" t="s">
        <v>30</v>
      </c>
      <c r="C7" s="14" t="s">
        <v>219</v>
      </c>
      <c r="D7" s="26" t="s">
        <v>220</v>
      </c>
      <c r="E7" s="20" t="n">
        <v>0.3</v>
      </c>
      <c r="F7" s="21" t="n">
        <v>0.09</v>
      </c>
      <c r="G7" s="21" t="n">
        <v>0.15</v>
      </c>
      <c r="H7" s="27" t="n">
        <f aca="false">E7</f>
        <v>0.3</v>
      </c>
      <c r="I7" s="23" t="s">
        <v>221</v>
      </c>
    </row>
    <row r="8" customFormat="false" ht="13.5" hidden="false" customHeight="true" outlineLevel="0" collapsed="false">
      <c r="A8" s="8" t="s">
        <v>29</v>
      </c>
      <c r="B8" s="14" t="s">
        <v>30</v>
      </c>
      <c r="C8" s="14" t="s">
        <v>222</v>
      </c>
      <c r="D8" s="26" t="s">
        <v>223</v>
      </c>
      <c r="E8" s="20" t="n">
        <v>0.8</v>
      </c>
      <c r="F8" s="21" t="n">
        <v>0.02</v>
      </c>
      <c r="G8" s="21" t="n">
        <v>0.2</v>
      </c>
      <c r="H8" s="27" t="n">
        <f aca="false">E8</f>
        <v>0.8</v>
      </c>
      <c r="I8" s="23" t="s">
        <v>224</v>
      </c>
    </row>
    <row r="9" customFormat="false" ht="13.5" hidden="false" customHeight="true" outlineLevel="0" collapsed="false">
      <c r="A9" s="8" t="s">
        <v>31</v>
      </c>
      <c r="B9" s="14" t="s">
        <v>32</v>
      </c>
      <c r="C9" s="14" t="s">
        <v>225</v>
      </c>
      <c r="D9" s="26" t="s">
        <v>226</v>
      </c>
      <c r="E9" s="20" t="n">
        <v>0.2</v>
      </c>
      <c r="F9" s="21" t="n">
        <v>0.01</v>
      </c>
      <c r="G9" s="21" t="n">
        <v>0.05</v>
      </c>
      <c r="H9" s="27" t="n">
        <f aca="false">E9</f>
        <v>0.2</v>
      </c>
      <c r="I9" s="23" t="s">
        <v>213</v>
      </c>
    </row>
    <row r="10" customFormat="false" ht="13.5" hidden="false" customHeight="true" outlineLevel="0" collapsed="false">
      <c r="A10" s="8" t="s">
        <v>31</v>
      </c>
      <c r="B10" s="14" t="s">
        <v>32</v>
      </c>
      <c r="C10" s="14" t="s">
        <v>211</v>
      </c>
      <c r="D10" s="26" t="s">
        <v>212</v>
      </c>
      <c r="E10" s="20" t="n">
        <v>0.1</v>
      </c>
      <c r="F10" s="21" t="n">
        <v>0.01</v>
      </c>
      <c r="G10" s="21" t="n">
        <v>0.05</v>
      </c>
      <c r="H10" s="27" t="n">
        <f aca="false">E10</f>
        <v>0.1</v>
      </c>
      <c r="I10" s="23" t="s">
        <v>213</v>
      </c>
    </row>
    <row r="11" customFormat="false" ht="13.5" hidden="false" customHeight="true" outlineLevel="0" collapsed="false">
      <c r="A11" s="8" t="s">
        <v>31</v>
      </c>
      <c r="B11" s="14" t="s">
        <v>32</v>
      </c>
      <c r="C11" s="14" t="s">
        <v>214</v>
      </c>
      <c r="D11" s="26" t="s">
        <v>215</v>
      </c>
      <c r="E11" s="20" t="n">
        <v>4.3</v>
      </c>
      <c r="F11" s="21" t="n">
        <v>0.06</v>
      </c>
      <c r="G11" s="21" t="n">
        <v>0.15</v>
      </c>
      <c r="H11" s="27" t="n">
        <f aca="false">E11</f>
        <v>4.3</v>
      </c>
      <c r="I11" s="23" t="s">
        <v>213</v>
      </c>
    </row>
    <row r="12" customFormat="false" ht="13.5" hidden="false" customHeight="true" outlineLevel="0" collapsed="false">
      <c r="A12" s="8" t="s">
        <v>31</v>
      </c>
      <c r="B12" s="14" t="s">
        <v>32</v>
      </c>
      <c r="C12" s="14" t="s">
        <v>227</v>
      </c>
      <c r="D12" s="26" t="s">
        <v>228</v>
      </c>
      <c r="E12" s="20" t="n">
        <v>0.6</v>
      </c>
      <c r="F12" s="21" t="n">
        <v>0.05</v>
      </c>
      <c r="G12" s="21" t="n">
        <v>0.2</v>
      </c>
      <c r="H12" s="27" t="n">
        <f aca="false">E12</f>
        <v>0.6</v>
      </c>
      <c r="I12" s="23" t="s">
        <v>213</v>
      </c>
    </row>
    <row r="13" customFormat="false" ht="13.5" hidden="false" customHeight="true" outlineLevel="0" collapsed="false">
      <c r="A13" s="8" t="s">
        <v>31</v>
      </c>
      <c r="B13" s="14" t="s">
        <v>32</v>
      </c>
      <c r="C13" s="14" t="s">
        <v>222</v>
      </c>
      <c r="D13" s="26" t="s">
        <v>223</v>
      </c>
      <c r="E13" s="20" t="n">
        <v>0.1</v>
      </c>
      <c r="F13" s="21" t="n">
        <v>0.03</v>
      </c>
      <c r="G13" s="21" t="n">
        <v>0.12</v>
      </c>
      <c r="H13" s="27" t="n">
        <f aca="false">E13</f>
        <v>0.1</v>
      </c>
      <c r="I13" s="23" t="s">
        <v>224</v>
      </c>
    </row>
    <row r="14" customFormat="false" ht="13.5" hidden="false" customHeight="true" outlineLevel="0" collapsed="false">
      <c r="A14" s="8" t="s">
        <v>33</v>
      </c>
      <c r="B14" s="14" t="s">
        <v>34</v>
      </c>
      <c r="C14" s="14" t="s">
        <v>211</v>
      </c>
      <c r="D14" s="26" t="s">
        <v>212</v>
      </c>
      <c r="E14" s="20" t="n">
        <v>4.7</v>
      </c>
      <c r="F14" s="21" t="n">
        <v>0.14</v>
      </c>
      <c r="G14" s="21" t="n">
        <v>0.35</v>
      </c>
      <c r="H14" s="27" t="n">
        <f aca="false">E14</f>
        <v>4.7</v>
      </c>
      <c r="I14" s="23" t="s">
        <v>213</v>
      </c>
    </row>
    <row r="15" customFormat="false" ht="13.5" hidden="false" customHeight="true" outlineLevel="0" collapsed="false">
      <c r="A15" s="8" t="s">
        <v>33</v>
      </c>
      <c r="B15" s="14" t="s">
        <v>34</v>
      </c>
      <c r="C15" s="14" t="s">
        <v>214</v>
      </c>
      <c r="D15" s="26" t="s">
        <v>215</v>
      </c>
      <c r="E15" s="20" t="n">
        <v>0.3</v>
      </c>
      <c r="F15" s="21" t="n">
        <v>0.06</v>
      </c>
      <c r="G15" s="21" t="n">
        <v>0.15</v>
      </c>
      <c r="H15" s="27" t="n">
        <f aca="false">E15</f>
        <v>0.3</v>
      </c>
      <c r="I15" s="23" t="s">
        <v>213</v>
      </c>
    </row>
    <row r="16" customFormat="false" ht="13.5" hidden="false" customHeight="true" outlineLevel="0" collapsed="false">
      <c r="A16" s="8" t="s">
        <v>33</v>
      </c>
      <c r="B16" s="14" t="s">
        <v>34</v>
      </c>
      <c r="C16" s="14" t="s">
        <v>216</v>
      </c>
      <c r="D16" s="26" t="s">
        <v>217</v>
      </c>
      <c r="E16" s="20" t="n">
        <v>4.7</v>
      </c>
      <c r="F16" s="21" t="n">
        <v>0.07</v>
      </c>
      <c r="G16" s="21" t="n">
        <v>0.1</v>
      </c>
      <c r="H16" s="27" t="n">
        <f aca="false">E16</f>
        <v>4.7</v>
      </c>
      <c r="I16" s="23" t="s">
        <v>218</v>
      </c>
    </row>
    <row r="17" customFormat="false" ht="13.5" hidden="false" customHeight="true" outlineLevel="0" collapsed="false">
      <c r="A17" s="8" t="s">
        <v>33</v>
      </c>
      <c r="B17" s="14" t="s">
        <v>34</v>
      </c>
      <c r="C17" s="14" t="s">
        <v>222</v>
      </c>
      <c r="D17" s="26" t="s">
        <v>223</v>
      </c>
      <c r="E17" s="20" t="n">
        <v>0.2</v>
      </c>
      <c r="F17" s="21" t="n">
        <v>0.25</v>
      </c>
      <c r="G17" s="21" t="n">
        <v>0.55</v>
      </c>
      <c r="H17" s="27" t="n">
        <f aca="false">E17</f>
        <v>0.2</v>
      </c>
      <c r="I17" s="23" t="s">
        <v>224</v>
      </c>
    </row>
    <row r="18" customFormat="false" ht="13.5" hidden="false" customHeight="true" outlineLevel="0" collapsed="false">
      <c r="A18" s="8" t="s">
        <v>35</v>
      </c>
      <c r="B18" s="14" t="s">
        <v>36</v>
      </c>
      <c r="C18" s="14" t="s">
        <v>211</v>
      </c>
      <c r="D18" s="26" t="s">
        <v>212</v>
      </c>
      <c r="E18" s="20" t="n">
        <v>0.5</v>
      </c>
      <c r="F18" s="21" t="n">
        <v>0.33</v>
      </c>
      <c r="G18" s="21" t="n">
        <v>0.5</v>
      </c>
      <c r="H18" s="27" t="n">
        <f aca="false">E18</f>
        <v>0.5</v>
      </c>
      <c r="I18" s="23" t="s">
        <v>213</v>
      </c>
    </row>
    <row r="19" customFormat="false" ht="13.5" hidden="false" customHeight="true" outlineLevel="0" collapsed="false">
      <c r="A19" s="8" t="s">
        <v>35</v>
      </c>
      <c r="B19" s="14" t="s">
        <v>36</v>
      </c>
      <c r="C19" s="14" t="s">
        <v>214</v>
      </c>
      <c r="D19" s="26" t="s">
        <v>215</v>
      </c>
      <c r="E19" s="20" t="n">
        <v>2.8</v>
      </c>
      <c r="F19" s="21" t="n">
        <v>0.35</v>
      </c>
      <c r="G19" s="21" t="n">
        <v>0.55</v>
      </c>
      <c r="H19" s="27" t="n">
        <f aca="false">E19</f>
        <v>2.8</v>
      </c>
      <c r="I19" s="23" t="s">
        <v>213</v>
      </c>
    </row>
    <row r="20" customFormat="false" ht="13.5" hidden="false" customHeight="true" outlineLevel="0" collapsed="false">
      <c r="A20" s="8" t="s">
        <v>35</v>
      </c>
      <c r="B20" s="14" t="s">
        <v>36</v>
      </c>
      <c r="C20" s="14" t="s">
        <v>227</v>
      </c>
      <c r="D20" s="26" t="s">
        <v>228</v>
      </c>
      <c r="E20" s="20" t="n">
        <v>1.5</v>
      </c>
      <c r="F20" s="21" t="n">
        <v>0.5</v>
      </c>
      <c r="G20" s="21" t="n">
        <v>0.7</v>
      </c>
      <c r="H20" s="27" t="n">
        <f aca="false">E20</f>
        <v>1.5</v>
      </c>
      <c r="I20" s="23" t="s">
        <v>213</v>
      </c>
    </row>
    <row r="21" customFormat="false" ht="13.5" hidden="false" customHeight="true" outlineLevel="0" collapsed="false">
      <c r="A21" s="8" t="s">
        <v>35</v>
      </c>
      <c r="B21" s="14" t="s">
        <v>36</v>
      </c>
      <c r="C21" s="14" t="s">
        <v>216</v>
      </c>
      <c r="D21" s="26" t="s">
        <v>217</v>
      </c>
      <c r="E21" s="20" t="n">
        <v>0.4</v>
      </c>
      <c r="F21" s="21" t="n">
        <v>0.08</v>
      </c>
      <c r="G21" s="21" t="n">
        <v>0.15</v>
      </c>
      <c r="H21" s="27" t="n">
        <f aca="false">E21</f>
        <v>0.4</v>
      </c>
      <c r="I21" s="23" t="s">
        <v>218</v>
      </c>
    </row>
    <row r="22" customFormat="false" ht="13.5" hidden="false" customHeight="true" outlineLevel="0" collapsed="false">
      <c r="A22" s="8" t="s">
        <v>35</v>
      </c>
      <c r="B22" s="14" t="s">
        <v>36</v>
      </c>
      <c r="C22" s="14" t="s">
        <v>229</v>
      </c>
      <c r="D22" s="26" t="s">
        <v>230</v>
      </c>
      <c r="E22" s="20" t="n">
        <v>0.2</v>
      </c>
      <c r="F22" s="21" t="n">
        <v>0.15</v>
      </c>
      <c r="G22" s="21" t="n">
        <v>0.35</v>
      </c>
      <c r="H22" s="27" t="n">
        <f aca="false">E22</f>
        <v>0.2</v>
      </c>
      <c r="I22" s="23" t="s">
        <v>221</v>
      </c>
    </row>
    <row r="23" customFormat="false" ht="13.5" hidden="false" customHeight="true" outlineLevel="0" collapsed="false">
      <c r="A23" s="8" t="s">
        <v>35</v>
      </c>
      <c r="B23" s="14" t="s">
        <v>36</v>
      </c>
      <c r="C23" s="14" t="s">
        <v>219</v>
      </c>
      <c r="D23" s="26" t="s">
        <v>220</v>
      </c>
      <c r="E23" s="20" t="n">
        <v>0.3</v>
      </c>
      <c r="F23" s="21" t="n">
        <v>0.3</v>
      </c>
      <c r="G23" s="21" t="n">
        <v>0.55</v>
      </c>
      <c r="H23" s="27" t="n">
        <f aca="false">E23</f>
        <v>0.3</v>
      </c>
      <c r="I23" s="23" t="s">
        <v>221</v>
      </c>
    </row>
    <row r="24" customFormat="false" ht="13.5" hidden="false" customHeight="true" outlineLevel="0" collapsed="false">
      <c r="A24" s="8" t="s">
        <v>37</v>
      </c>
      <c r="B24" s="14" t="s">
        <v>38</v>
      </c>
      <c r="C24" s="14" t="s">
        <v>227</v>
      </c>
      <c r="D24" s="26" t="s">
        <v>228</v>
      </c>
      <c r="E24" s="20" t="n">
        <v>0.6</v>
      </c>
      <c r="F24" s="21" t="n">
        <v>0.1</v>
      </c>
      <c r="G24" s="21" t="n">
        <v>0.4</v>
      </c>
      <c r="H24" s="27" t="n">
        <f aca="false">E24</f>
        <v>0.6</v>
      </c>
      <c r="I24" s="23" t="s">
        <v>213</v>
      </c>
    </row>
    <row r="25" customFormat="false" ht="13.5" hidden="false" customHeight="true" outlineLevel="0" collapsed="false">
      <c r="A25" s="8" t="s">
        <v>37</v>
      </c>
      <c r="B25" s="14" t="s">
        <v>38</v>
      </c>
      <c r="C25" s="14" t="s">
        <v>231</v>
      </c>
      <c r="D25" s="26" t="s">
        <v>232</v>
      </c>
      <c r="E25" s="20" t="n">
        <v>0.5</v>
      </c>
      <c r="F25" s="21" t="n">
        <v>0.03</v>
      </c>
      <c r="G25" s="21" t="n">
        <v>0.08</v>
      </c>
      <c r="H25" s="27" t="n">
        <f aca="false">E25</f>
        <v>0.5</v>
      </c>
      <c r="I25" s="23" t="s">
        <v>221</v>
      </c>
    </row>
    <row r="26" customFormat="false" ht="13.5" hidden="false" customHeight="true" outlineLevel="0" collapsed="false">
      <c r="A26" s="8" t="s">
        <v>37</v>
      </c>
      <c r="B26" s="14" t="s">
        <v>38</v>
      </c>
      <c r="C26" s="14" t="s">
        <v>233</v>
      </c>
      <c r="D26" s="26" t="s">
        <v>234</v>
      </c>
      <c r="E26" s="20" t="n">
        <v>1.7</v>
      </c>
      <c r="F26" s="21" t="n">
        <v>0.27</v>
      </c>
      <c r="G26" s="21" t="n">
        <v>0.35</v>
      </c>
      <c r="H26" s="27" t="n">
        <f aca="false">E26</f>
        <v>1.7</v>
      </c>
      <c r="I26" s="23" t="s">
        <v>221</v>
      </c>
    </row>
    <row r="27" customFormat="false" ht="13.5" hidden="false" customHeight="true" outlineLevel="0" collapsed="false">
      <c r="A27" s="8" t="s">
        <v>37</v>
      </c>
      <c r="B27" s="14" t="s">
        <v>38</v>
      </c>
      <c r="C27" s="14" t="s">
        <v>229</v>
      </c>
      <c r="D27" s="26" t="s">
        <v>230</v>
      </c>
      <c r="E27" s="20" t="n">
        <v>1.2</v>
      </c>
      <c r="F27" s="21" t="n">
        <v>0.4</v>
      </c>
      <c r="G27" s="21" t="n">
        <v>0.55</v>
      </c>
      <c r="H27" s="27" t="n">
        <f aca="false">E27</f>
        <v>1.2</v>
      </c>
      <c r="I27" s="23" t="s">
        <v>221</v>
      </c>
    </row>
    <row r="28" customFormat="false" ht="13.5" hidden="false" customHeight="true" outlineLevel="0" collapsed="false">
      <c r="A28" s="8" t="s">
        <v>37</v>
      </c>
      <c r="B28" s="14" t="s">
        <v>38</v>
      </c>
      <c r="C28" s="14" t="s">
        <v>219</v>
      </c>
      <c r="D28" s="26" t="s">
        <v>220</v>
      </c>
      <c r="E28" s="20" t="n">
        <v>1.5</v>
      </c>
      <c r="F28" s="21" t="n">
        <v>0.5</v>
      </c>
      <c r="G28" s="21" t="n">
        <v>0.6</v>
      </c>
      <c r="H28" s="27" t="n">
        <f aca="false">E28</f>
        <v>1.5</v>
      </c>
      <c r="I28" s="23" t="s">
        <v>221</v>
      </c>
    </row>
    <row r="29" customFormat="false" ht="13.5" hidden="false" customHeight="true" outlineLevel="0" collapsed="false">
      <c r="A29" s="8" t="s">
        <v>37</v>
      </c>
      <c r="B29" s="14" t="s">
        <v>38</v>
      </c>
      <c r="C29" s="14" t="s">
        <v>222</v>
      </c>
      <c r="D29" s="26" t="s">
        <v>223</v>
      </c>
      <c r="E29" s="20" t="n">
        <v>0.4</v>
      </c>
      <c r="F29" s="21" t="n">
        <v>0.1</v>
      </c>
      <c r="G29" s="21" t="n">
        <v>0.4</v>
      </c>
      <c r="H29" s="27" t="n">
        <f aca="false">E29</f>
        <v>0.4</v>
      </c>
      <c r="I29" s="23" t="s">
        <v>224</v>
      </c>
    </row>
    <row r="30" customFormat="false" ht="13.5" hidden="false" customHeight="true" outlineLevel="0" collapsed="false">
      <c r="A30" s="8" t="s">
        <v>39</v>
      </c>
      <c r="B30" s="14" t="s">
        <v>40</v>
      </c>
      <c r="C30" s="14" t="s">
        <v>211</v>
      </c>
      <c r="D30" s="26" t="s">
        <v>212</v>
      </c>
      <c r="E30" s="20" t="n">
        <v>1.2</v>
      </c>
      <c r="F30" s="21" t="n">
        <v>0.06</v>
      </c>
      <c r="G30" s="21" t="n">
        <v>0.15</v>
      </c>
      <c r="H30" s="27" t="n">
        <f aca="false">E30</f>
        <v>1.2</v>
      </c>
      <c r="I30" s="23" t="s">
        <v>213</v>
      </c>
    </row>
    <row r="31" customFormat="false" ht="13.5" hidden="false" customHeight="true" outlineLevel="0" collapsed="false">
      <c r="A31" s="8" t="s">
        <v>39</v>
      </c>
      <c r="B31" s="14" t="s">
        <v>40</v>
      </c>
      <c r="C31" s="14" t="s">
        <v>214</v>
      </c>
      <c r="D31" s="26" t="s">
        <v>215</v>
      </c>
      <c r="E31" s="20" t="n">
        <v>1.8</v>
      </c>
      <c r="F31" s="21" t="n">
        <v>0.04</v>
      </c>
      <c r="G31" s="21" t="n">
        <v>0.12</v>
      </c>
      <c r="H31" s="27" t="n">
        <f aca="false">E31</f>
        <v>1.8</v>
      </c>
      <c r="I31" s="23" t="s">
        <v>213</v>
      </c>
    </row>
    <row r="32" customFormat="false" ht="13.5" hidden="false" customHeight="true" outlineLevel="0" collapsed="false">
      <c r="A32" s="8" t="s">
        <v>41</v>
      </c>
      <c r="B32" s="14" t="s">
        <v>42</v>
      </c>
      <c r="C32" s="14" t="s">
        <v>211</v>
      </c>
      <c r="D32" s="26" t="s">
        <v>212</v>
      </c>
      <c r="E32" s="20" t="n">
        <v>1.2</v>
      </c>
      <c r="F32" s="21" t="n">
        <v>0.22</v>
      </c>
      <c r="G32" s="21" t="n">
        <v>0.6</v>
      </c>
      <c r="H32" s="27" t="n">
        <f aca="false">E32</f>
        <v>1.2</v>
      </c>
      <c r="I32" s="23" t="s">
        <v>213</v>
      </c>
    </row>
    <row r="33" customFormat="false" ht="13.5" hidden="false" customHeight="true" outlineLevel="0" collapsed="false">
      <c r="A33" s="8" t="s">
        <v>41</v>
      </c>
      <c r="B33" s="14" t="s">
        <v>42</v>
      </c>
      <c r="C33" s="14" t="s">
        <v>214</v>
      </c>
      <c r="D33" s="26" t="s">
        <v>215</v>
      </c>
      <c r="E33" s="20" t="n">
        <v>0.5</v>
      </c>
      <c r="F33" s="21" t="n">
        <v>0.33</v>
      </c>
      <c r="G33" s="21" t="n">
        <v>0.65</v>
      </c>
      <c r="H33" s="27" t="n">
        <f aca="false">E33</f>
        <v>0.5</v>
      </c>
      <c r="I33" s="23" t="s">
        <v>213</v>
      </c>
    </row>
    <row r="34" customFormat="false" ht="13.5" hidden="false" customHeight="true" outlineLevel="0" collapsed="false">
      <c r="A34" s="8" t="s">
        <v>43</v>
      </c>
      <c r="B34" s="14" t="s">
        <v>44</v>
      </c>
      <c r="C34" s="14" t="s">
        <v>211</v>
      </c>
      <c r="D34" s="26" t="s">
        <v>212</v>
      </c>
      <c r="E34" s="20" t="n">
        <v>2.2</v>
      </c>
      <c r="F34" s="21" t="n">
        <v>0.13</v>
      </c>
      <c r="G34" s="21" t="n">
        <v>0.4</v>
      </c>
      <c r="H34" s="27" t="n">
        <f aca="false">E34</f>
        <v>2.2</v>
      </c>
      <c r="I34" s="23" t="s">
        <v>213</v>
      </c>
    </row>
    <row r="35" customFormat="false" ht="13.5" hidden="false" customHeight="true" outlineLevel="0" collapsed="false">
      <c r="A35" s="8" t="s">
        <v>43</v>
      </c>
      <c r="B35" s="14" t="s">
        <v>44</v>
      </c>
      <c r="C35" s="14" t="s">
        <v>214</v>
      </c>
      <c r="D35" s="26" t="s">
        <v>215</v>
      </c>
      <c r="E35" s="20" t="n">
        <v>0.8</v>
      </c>
      <c r="F35" s="21" t="n">
        <v>0.11</v>
      </c>
      <c r="G35" s="21" t="n">
        <v>0.3</v>
      </c>
      <c r="H35" s="27" t="n">
        <f aca="false">E35</f>
        <v>0.8</v>
      </c>
      <c r="I35" s="23" t="s">
        <v>213</v>
      </c>
    </row>
    <row r="36" customFormat="false" ht="13.5" hidden="false" customHeight="true" outlineLevel="0" collapsed="false">
      <c r="A36" s="8" t="s">
        <v>45</v>
      </c>
      <c r="B36" s="14" t="s">
        <v>46</v>
      </c>
      <c r="C36" s="14" t="s">
        <v>211</v>
      </c>
      <c r="D36" s="26" t="s">
        <v>212</v>
      </c>
      <c r="E36" s="20" t="n">
        <v>2</v>
      </c>
      <c r="F36" s="21" t="n">
        <v>0.17</v>
      </c>
      <c r="G36" s="21" t="n">
        <v>0.45</v>
      </c>
      <c r="H36" s="27" t="n">
        <f aca="false">E36</f>
        <v>2</v>
      </c>
      <c r="I36" s="23" t="s">
        <v>213</v>
      </c>
    </row>
    <row r="37" customFormat="false" ht="13.5" hidden="false" customHeight="true" outlineLevel="0" collapsed="false">
      <c r="A37" s="8" t="s">
        <v>45</v>
      </c>
      <c r="B37" s="14" t="s">
        <v>46</v>
      </c>
      <c r="C37" s="14" t="s">
        <v>214</v>
      </c>
      <c r="D37" s="26" t="s">
        <v>215</v>
      </c>
      <c r="E37" s="20" t="n">
        <v>0.5</v>
      </c>
      <c r="F37" s="21" t="n">
        <v>0.06</v>
      </c>
      <c r="G37" s="21" t="n">
        <v>0.18</v>
      </c>
      <c r="H37" s="27" t="n">
        <f aca="false">E37</f>
        <v>0.5</v>
      </c>
      <c r="I37" s="23" t="s">
        <v>213</v>
      </c>
    </row>
    <row r="38" customFormat="false" ht="13.5" hidden="false" customHeight="true" outlineLevel="0" collapsed="false">
      <c r="A38" s="8" t="s">
        <v>45</v>
      </c>
      <c r="B38" s="14" t="s">
        <v>46</v>
      </c>
      <c r="C38" s="14" t="s">
        <v>216</v>
      </c>
      <c r="D38" s="26" t="s">
        <v>217</v>
      </c>
      <c r="E38" s="20" t="n">
        <v>0.1</v>
      </c>
      <c r="F38" s="21" t="n">
        <v>0</v>
      </c>
      <c r="G38" s="21" t="n">
        <v>0.05</v>
      </c>
      <c r="H38" s="27" t="n">
        <f aca="false">E38</f>
        <v>0.1</v>
      </c>
      <c r="I38" s="23" t="s">
        <v>218</v>
      </c>
    </row>
    <row r="39" customFormat="false" ht="13.5" hidden="false" customHeight="true" outlineLevel="0" collapsed="false">
      <c r="A39" s="8" t="s">
        <v>47</v>
      </c>
      <c r="B39" s="14" t="s">
        <v>48</v>
      </c>
      <c r="C39" s="14" t="s">
        <v>225</v>
      </c>
      <c r="D39" s="26" t="s">
        <v>226</v>
      </c>
      <c r="E39" s="20" t="n">
        <v>0.2</v>
      </c>
      <c r="F39" s="21" t="n">
        <v>0.05</v>
      </c>
      <c r="G39" s="21" t="n">
        <v>0.15</v>
      </c>
      <c r="H39" s="27" t="n">
        <f aca="false">E39</f>
        <v>0.2</v>
      </c>
      <c r="I39" s="23" t="s">
        <v>213</v>
      </c>
    </row>
    <row r="40" customFormat="false" ht="13.5" hidden="false" customHeight="true" outlineLevel="0" collapsed="false">
      <c r="A40" s="8" t="s">
        <v>47</v>
      </c>
      <c r="B40" s="14" t="s">
        <v>48</v>
      </c>
      <c r="C40" s="14" t="s">
        <v>214</v>
      </c>
      <c r="D40" s="26" t="s">
        <v>215</v>
      </c>
      <c r="E40" s="20" t="n">
        <v>0.5</v>
      </c>
      <c r="F40" s="21" t="n">
        <v>0.02</v>
      </c>
      <c r="G40" s="21" t="n">
        <v>0.1</v>
      </c>
      <c r="H40" s="27" t="n">
        <f aca="false">E40</f>
        <v>0.5</v>
      </c>
      <c r="I40" s="23" t="s">
        <v>213</v>
      </c>
    </row>
    <row r="41" customFormat="false" ht="13.5" hidden="false" customHeight="true" outlineLevel="0" collapsed="false">
      <c r="A41" s="8" t="s">
        <v>47</v>
      </c>
      <c r="B41" s="14" t="s">
        <v>48</v>
      </c>
      <c r="C41" s="14" t="s">
        <v>227</v>
      </c>
      <c r="D41" s="26" t="s">
        <v>228</v>
      </c>
      <c r="E41" s="20" t="n">
        <v>0.7</v>
      </c>
      <c r="F41" s="21" t="n">
        <v>0.14</v>
      </c>
      <c r="G41" s="21" t="n">
        <v>0.35</v>
      </c>
      <c r="H41" s="27" t="n">
        <f aca="false">E41</f>
        <v>0.7</v>
      </c>
      <c r="I41" s="23" t="s">
        <v>213</v>
      </c>
    </row>
    <row r="42" customFormat="false" ht="13.5" hidden="false" customHeight="true" outlineLevel="0" collapsed="false">
      <c r="A42" s="8" t="s">
        <v>51</v>
      </c>
      <c r="B42" s="14" t="s">
        <v>52</v>
      </c>
      <c r="C42" s="14" t="s">
        <v>225</v>
      </c>
      <c r="D42" s="26" t="s">
        <v>226</v>
      </c>
      <c r="E42" s="20" t="n">
        <v>0.9</v>
      </c>
      <c r="F42" s="21" t="n">
        <v>0.18</v>
      </c>
      <c r="G42" s="21" t="n">
        <v>0.4</v>
      </c>
      <c r="H42" s="27" t="n">
        <f aca="false">E42</f>
        <v>0.9</v>
      </c>
      <c r="I42" s="23" t="s">
        <v>213</v>
      </c>
    </row>
    <row r="43" customFormat="false" ht="13.5" hidden="false" customHeight="true" outlineLevel="0" collapsed="false">
      <c r="A43" s="8" t="s">
        <v>51</v>
      </c>
      <c r="B43" s="14" t="s">
        <v>52</v>
      </c>
      <c r="C43" s="14" t="s">
        <v>211</v>
      </c>
      <c r="D43" s="26" t="s">
        <v>212</v>
      </c>
      <c r="E43" s="20" t="n">
        <v>0.5</v>
      </c>
      <c r="F43" s="21" t="n">
        <v>0.1</v>
      </c>
      <c r="G43" s="21" t="n">
        <v>0.3</v>
      </c>
      <c r="H43" s="27" t="n">
        <f aca="false">E43</f>
        <v>0.5</v>
      </c>
      <c r="I43" s="23" t="s">
        <v>213</v>
      </c>
    </row>
    <row r="44" customFormat="false" ht="13.5" hidden="false" customHeight="true" outlineLevel="0" collapsed="false">
      <c r="A44" s="8" t="s">
        <v>51</v>
      </c>
      <c r="B44" s="14" t="s">
        <v>52</v>
      </c>
      <c r="C44" s="14" t="s">
        <v>216</v>
      </c>
      <c r="D44" s="26" t="s">
        <v>217</v>
      </c>
      <c r="E44" s="20" t="n">
        <v>0.7</v>
      </c>
      <c r="F44" s="21" t="n">
        <v>0.01</v>
      </c>
      <c r="G44" s="21" t="n">
        <v>0.05</v>
      </c>
      <c r="H44" s="27" t="n">
        <f aca="false">E44</f>
        <v>0.7</v>
      </c>
      <c r="I44" s="23" t="s">
        <v>218</v>
      </c>
    </row>
    <row r="45" customFormat="false" ht="13.5" hidden="false" customHeight="true" outlineLevel="0" collapsed="false">
      <c r="A45" s="8" t="s">
        <v>51</v>
      </c>
      <c r="B45" s="14" t="s">
        <v>52</v>
      </c>
      <c r="C45" s="14" t="s">
        <v>231</v>
      </c>
      <c r="D45" s="26" t="s">
        <v>232</v>
      </c>
      <c r="E45" s="20" t="n">
        <v>0.3</v>
      </c>
      <c r="F45" s="21" t="n">
        <v>0.2</v>
      </c>
      <c r="G45" s="21" t="n">
        <v>0.4</v>
      </c>
      <c r="H45" s="27" t="n">
        <f aca="false">E45</f>
        <v>0.3</v>
      </c>
      <c r="I45" s="23" t="s">
        <v>221</v>
      </c>
    </row>
    <row r="46" customFormat="false" ht="13.5" hidden="false" customHeight="true" outlineLevel="0" collapsed="false">
      <c r="A46" s="8" t="s">
        <v>51</v>
      </c>
      <c r="B46" s="14" t="s">
        <v>52</v>
      </c>
      <c r="C46" s="14" t="s">
        <v>233</v>
      </c>
      <c r="D46" s="26" t="s">
        <v>234</v>
      </c>
      <c r="E46" s="20" t="n">
        <v>2.8</v>
      </c>
      <c r="F46" s="21" t="n">
        <v>0.22</v>
      </c>
      <c r="G46" s="21" t="n">
        <v>0.45</v>
      </c>
      <c r="H46" s="27" t="n">
        <f aca="false">E46</f>
        <v>2.8</v>
      </c>
      <c r="I46" s="23" t="s">
        <v>221</v>
      </c>
    </row>
    <row r="47" customFormat="false" ht="13.5" hidden="false" customHeight="true" outlineLevel="0" collapsed="false">
      <c r="A47" s="8" t="s">
        <v>51</v>
      </c>
      <c r="B47" s="14" t="s">
        <v>52</v>
      </c>
      <c r="C47" s="14" t="s">
        <v>219</v>
      </c>
      <c r="D47" s="26" t="s">
        <v>220</v>
      </c>
      <c r="E47" s="20" t="n">
        <v>0.1</v>
      </c>
      <c r="F47" s="21" t="n">
        <v>0.18</v>
      </c>
      <c r="G47" s="21" t="n">
        <v>0.35</v>
      </c>
      <c r="H47" s="27" t="n">
        <f aca="false">E47</f>
        <v>0.1</v>
      </c>
      <c r="I47" s="23" t="s">
        <v>221</v>
      </c>
    </row>
    <row r="48" customFormat="false" ht="13.5" hidden="false" customHeight="true" outlineLevel="0" collapsed="false">
      <c r="A48" s="8" t="s">
        <v>53</v>
      </c>
      <c r="B48" s="14" t="s">
        <v>54</v>
      </c>
      <c r="C48" s="14" t="s">
        <v>216</v>
      </c>
      <c r="D48" s="26" t="s">
        <v>217</v>
      </c>
      <c r="E48" s="20" t="n">
        <v>1.5</v>
      </c>
      <c r="F48" s="21" t="n">
        <v>0.08</v>
      </c>
      <c r="G48" s="21" t="n">
        <v>0.2</v>
      </c>
      <c r="H48" s="27" t="n">
        <f aca="false">E48</f>
        <v>1.5</v>
      </c>
      <c r="I48" s="23" t="s">
        <v>218</v>
      </c>
    </row>
    <row r="49" customFormat="false" ht="13.5" hidden="false" customHeight="true" outlineLevel="0" collapsed="false">
      <c r="A49" s="8" t="s">
        <v>53</v>
      </c>
      <c r="B49" s="14" t="s">
        <v>54</v>
      </c>
      <c r="C49" s="14" t="s">
        <v>231</v>
      </c>
      <c r="D49" s="26" t="s">
        <v>232</v>
      </c>
      <c r="E49" s="20" t="n">
        <v>0.2</v>
      </c>
      <c r="F49" s="21" t="n">
        <v>0.08</v>
      </c>
      <c r="G49" s="21" t="n">
        <v>0.25</v>
      </c>
      <c r="H49" s="27" t="n">
        <f aca="false">E49</f>
        <v>0.2</v>
      </c>
      <c r="I49" s="23" t="s">
        <v>221</v>
      </c>
    </row>
    <row r="50" customFormat="false" ht="13.5" hidden="false" customHeight="true" outlineLevel="0" collapsed="false">
      <c r="A50" s="8" t="s">
        <v>53</v>
      </c>
      <c r="B50" s="14" t="s">
        <v>54</v>
      </c>
      <c r="C50" s="14" t="s">
        <v>233</v>
      </c>
      <c r="D50" s="26" t="s">
        <v>234</v>
      </c>
      <c r="E50" s="20" t="n">
        <v>1.1</v>
      </c>
      <c r="F50" s="21" t="n">
        <v>0.17</v>
      </c>
      <c r="G50" s="21" t="n">
        <v>0.55</v>
      </c>
      <c r="H50" s="27" t="n">
        <f aca="false">E50</f>
        <v>1.1</v>
      </c>
      <c r="I50" s="23" t="s">
        <v>221</v>
      </c>
    </row>
    <row r="51" customFormat="false" ht="13.5" hidden="false" customHeight="true" outlineLevel="0" collapsed="false">
      <c r="A51" s="8" t="s">
        <v>55</v>
      </c>
      <c r="B51" s="14" t="s">
        <v>56</v>
      </c>
      <c r="C51" s="14" t="s">
        <v>216</v>
      </c>
      <c r="D51" s="26" t="s">
        <v>217</v>
      </c>
      <c r="E51" s="20" t="n">
        <v>0.4</v>
      </c>
      <c r="F51" s="21" t="n">
        <v>0.02</v>
      </c>
      <c r="G51" s="21" t="n">
        <v>0.06</v>
      </c>
      <c r="H51" s="27" t="n">
        <f aca="false">E51</f>
        <v>0.4</v>
      </c>
      <c r="I51" s="23" t="s">
        <v>218</v>
      </c>
    </row>
    <row r="52" customFormat="false" ht="13.5" hidden="false" customHeight="true" outlineLevel="0" collapsed="false">
      <c r="A52" s="8" t="s">
        <v>55</v>
      </c>
      <c r="B52" s="14" t="s">
        <v>56</v>
      </c>
      <c r="C52" s="14" t="s">
        <v>219</v>
      </c>
      <c r="D52" s="26" t="s">
        <v>220</v>
      </c>
      <c r="E52" s="20" t="n">
        <v>0.5</v>
      </c>
      <c r="F52" s="21" t="n">
        <v>0.25</v>
      </c>
      <c r="G52" s="21" t="n">
        <v>0.55</v>
      </c>
      <c r="H52" s="27" t="n">
        <f aca="false">E52</f>
        <v>0.5</v>
      </c>
      <c r="I52" s="23" t="s">
        <v>221</v>
      </c>
    </row>
    <row r="53" customFormat="false" ht="13.5" hidden="false" customHeight="true" outlineLevel="0" collapsed="false">
      <c r="A53" s="8" t="s">
        <v>59</v>
      </c>
      <c r="B53" s="14" t="s">
        <v>60</v>
      </c>
      <c r="C53" s="14" t="s">
        <v>233</v>
      </c>
      <c r="D53" s="26" t="s">
        <v>234</v>
      </c>
      <c r="E53" s="20" t="n">
        <v>0.2</v>
      </c>
      <c r="F53" s="21" t="n">
        <v>0.1</v>
      </c>
      <c r="G53" s="21" t="n">
        <v>0.2</v>
      </c>
      <c r="H53" s="27" t="n">
        <f aca="false">E53</f>
        <v>0.2</v>
      </c>
      <c r="I53" s="23" t="s">
        <v>221</v>
      </c>
    </row>
    <row r="54" customFormat="false" ht="13.5" hidden="false" customHeight="true" outlineLevel="0" collapsed="false">
      <c r="A54" s="8" t="s">
        <v>59</v>
      </c>
      <c r="B54" s="14" t="s">
        <v>60</v>
      </c>
      <c r="C54" s="14" t="s">
        <v>229</v>
      </c>
      <c r="D54" s="26" t="s">
        <v>230</v>
      </c>
      <c r="E54" s="20" t="n">
        <v>0.1</v>
      </c>
      <c r="F54" s="21" t="n">
        <v>0.03</v>
      </c>
      <c r="G54" s="21" t="n">
        <v>0.12</v>
      </c>
      <c r="H54" s="27" t="n">
        <f aca="false">E54</f>
        <v>0.1</v>
      </c>
      <c r="I54" s="23" t="s">
        <v>221</v>
      </c>
    </row>
    <row r="55" customFormat="false" ht="13.5" hidden="false" customHeight="true" outlineLevel="0" collapsed="false">
      <c r="A55" s="8" t="s">
        <v>63</v>
      </c>
      <c r="B55" s="14" t="s">
        <v>64</v>
      </c>
      <c r="C55" s="14" t="s">
        <v>222</v>
      </c>
      <c r="D55" s="26" t="s">
        <v>223</v>
      </c>
      <c r="E55" s="20" t="n">
        <v>0.5</v>
      </c>
      <c r="F55" s="21" t="n">
        <v>0.17</v>
      </c>
      <c r="G55" s="21" t="n">
        <v>0.5</v>
      </c>
      <c r="H55" s="27" t="n">
        <f aca="false">E55</f>
        <v>0.5</v>
      </c>
      <c r="I55" s="23" t="s">
        <v>224</v>
      </c>
    </row>
    <row r="56" customFormat="false" ht="13.5" hidden="false" customHeight="true" outlineLevel="0" collapsed="false">
      <c r="A56" s="8" t="s">
        <v>65</v>
      </c>
      <c r="B56" s="14" t="s">
        <v>66</v>
      </c>
      <c r="C56" s="14" t="s">
        <v>222</v>
      </c>
      <c r="D56" s="26" t="s">
        <v>223</v>
      </c>
      <c r="E56" s="20" t="n">
        <v>0.5</v>
      </c>
      <c r="F56" s="21" t="n">
        <v>0.33</v>
      </c>
      <c r="G56" s="21" t="n">
        <v>0.65</v>
      </c>
      <c r="H56" s="27" t="n">
        <f aca="false">E56</f>
        <v>0.5</v>
      </c>
      <c r="I56" s="23" t="s">
        <v>224</v>
      </c>
    </row>
    <row r="57" customFormat="false" ht="13.5" hidden="false" customHeight="true" outlineLevel="0" collapsed="false">
      <c r="A57" s="8" t="s">
        <v>67</v>
      </c>
      <c r="B57" s="14" t="s">
        <v>68</v>
      </c>
      <c r="C57" s="14" t="s">
        <v>214</v>
      </c>
      <c r="D57" s="26" t="s">
        <v>215</v>
      </c>
      <c r="E57" s="20" t="n">
        <v>0.4</v>
      </c>
      <c r="F57" s="21" t="n">
        <v>0.09</v>
      </c>
      <c r="G57" s="21" t="n">
        <v>0.2</v>
      </c>
      <c r="H57" s="27" t="n">
        <f aca="false">E57</f>
        <v>0.4</v>
      </c>
      <c r="I57" s="23" t="s">
        <v>213</v>
      </c>
    </row>
    <row r="58" customFormat="false" ht="13.5" hidden="false" customHeight="true" outlineLevel="0" collapsed="false">
      <c r="A58" s="8" t="s">
        <v>67</v>
      </c>
      <c r="B58" s="14" t="s">
        <v>68</v>
      </c>
      <c r="C58" s="14" t="s">
        <v>227</v>
      </c>
      <c r="D58" s="26" t="s">
        <v>228</v>
      </c>
      <c r="E58" s="20" t="n">
        <v>0.5</v>
      </c>
      <c r="F58" s="21" t="n">
        <v>0.2</v>
      </c>
      <c r="G58" s="21" t="n">
        <v>0.4</v>
      </c>
      <c r="H58" s="27" t="n">
        <f aca="false">E58</f>
        <v>0.5</v>
      </c>
      <c r="I58" s="23" t="s">
        <v>213</v>
      </c>
    </row>
    <row r="59" customFormat="false" ht="13.5" hidden="false" customHeight="true" outlineLevel="0" collapsed="false">
      <c r="A59" s="8" t="s">
        <v>67</v>
      </c>
      <c r="B59" s="14" t="s">
        <v>68</v>
      </c>
      <c r="C59" s="14" t="s">
        <v>222</v>
      </c>
      <c r="D59" s="26" t="s">
        <v>223</v>
      </c>
      <c r="E59" s="20" t="n">
        <v>0.1</v>
      </c>
      <c r="F59" s="21" t="n">
        <v>0.1</v>
      </c>
      <c r="G59" s="21" t="n">
        <v>0.3</v>
      </c>
      <c r="H59" s="27" t="n">
        <f aca="false">E59</f>
        <v>0.1</v>
      </c>
      <c r="I59" s="23" t="s">
        <v>224</v>
      </c>
    </row>
    <row r="60" customFormat="false" ht="13.5" hidden="false" customHeight="true" outlineLevel="0" collapsed="false">
      <c r="A60" s="8" t="s">
        <v>69</v>
      </c>
      <c r="B60" s="14" t="s">
        <v>185</v>
      </c>
      <c r="C60" s="14" t="s">
        <v>227</v>
      </c>
      <c r="D60" s="26" t="s">
        <v>228</v>
      </c>
      <c r="E60" s="20" t="n">
        <v>0.6</v>
      </c>
      <c r="F60" s="21" t="n">
        <v>0.75</v>
      </c>
      <c r="G60" s="21" t="n">
        <v>0.9</v>
      </c>
      <c r="H60" s="27" t="n">
        <f aca="false">E60</f>
        <v>0.6</v>
      </c>
      <c r="I60" s="23" t="s">
        <v>213</v>
      </c>
    </row>
    <row r="61" customFormat="false" ht="13.5" hidden="false" customHeight="true" outlineLevel="0" collapsed="false">
      <c r="A61" s="8" t="s">
        <v>69</v>
      </c>
      <c r="B61" s="14" t="s">
        <v>185</v>
      </c>
      <c r="C61" s="14" t="s">
        <v>222</v>
      </c>
      <c r="D61" s="26" t="s">
        <v>223</v>
      </c>
      <c r="E61" s="20" t="n">
        <v>1.3</v>
      </c>
      <c r="F61" s="21" t="n">
        <v>0.93</v>
      </c>
      <c r="G61" s="21" t="n">
        <v>0.99</v>
      </c>
      <c r="H61" s="27" t="n">
        <f aca="false">E61</f>
        <v>1.3</v>
      </c>
      <c r="I61" s="23" t="s">
        <v>224</v>
      </c>
    </row>
    <row r="62" customFormat="false" ht="13.5" hidden="false" customHeight="true" outlineLevel="0" collapsed="false">
      <c r="A62" s="8" t="s">
        <v>71</v>
      </c>
      <c r="B62" s="14" t="s">
        <v>189</v>
      </c>
      <c r="C62" s="14" t="s">
        <v>222</v>
      </c>
      <c r="D62" s="26" t="s">
        <v>223</v>
      </c>
      <c r="E62" s="20" t="n">
        <v>0.9</v>
      </c>
      <c r="F62" s="21" t="n">
        <v>0.99</v>
      </c>
      <c r="G62" s="21" t="n">
        <v>0.99</v>
      </c>
      <c r="H62" s="27" t="n">
        <f aca="false">E62</f>
        <v>0.9</v>
      </c>
      <c r="I62" s="23" t="s">
        <v>224</v>
      </c>
    </row>
    <row r="63" customFormat="false" ht="13.5" hidden="false" customHeight="true" outlineLevel="0" collapsed="false">
      <c r="A63" s="8" t="s">
        <v>73</v>
      </c>
      <c r="B63" s="14" t="s">
        <v>74</v>
      </c>
      <c r="C63" s="14" t="s">
        <v>211</v>
      </c>
      <c r="D63" s="26" t="s">
        <v>212</v>
      </c>
      <c r="E63" s="20" t="n">
        <v>0.5</v>
      </c>
      <c r="F63" s="21" t="n">
        <v>0.42</v>
      </c>
      <c r="G63" s="21" t="n">
        <v>0.65</v>
      </c>
      <c r="H63" s="27" t="n">
        <f aca="false">E63</f>
        <v>0.5</v>
      </c>
      <c r="I63" s="23" t="s">
        <v>213</v>
      </c>
    </row>
    <row r="64" customFormat="false" ht="13.5" hidden="false" customHeight="true" outlineLevel="0" collapsed="false">
      <c r="A64" s="8" t="s">
        <v>73</v>
      </c>
      <c r="B64" s="14" t="s">
        <v>74</v>
      </c>
      <c r="C64" s="14" t="s">
        <v>216</v>
      </c>
      <c r="D64" s="26" t="s">
        <v>217</v>
      </c>
      <c r="E64" s="20" t="n">
        <v>0.3</v>
      </c>
      <c r="F64" s="21" t="n">
        <v>0.12</v>
      </c>
      <c r="G64" s="21" t="n">
        <v>0.25</v>
      </c>
      <c r="H64" s="27" t="n">
        <f aca="false">E64</f>
        <v>0.3</v>
      </c>
      <c r="I64" s="23" t="s">
        <v>218</v>
      </c>
    </row>
    <row r="65" customFormat="false" ht="13.5" hidden="false" customHeight="true" outlineLevel="0" collapsed="false">
      <c r="A65" s="8" t="s">
        <v>75</v>
      </c>
      <c r="B65" s="14" t="s">
        <v>76</v>
      </c>
      <c r="C65" s="14" t="s">
        <v>214</v>
      </c>
      <c r="D65" s="26" t="s">
        <v>215</v>
      </c>
      <c r="E65" s="20" t="n">
        <v>0.3</v>
      </c>
      <c r="F65" s="21" t="n">
        <v>0</v>
      </c>
      <c r="G65" s="21" t="n">
        <v>0.05</v>
      </c>
      <c r="H65" s="27" t="n">
        <f aca="false">E65</f>
        <v>0.3</v>
      </c>
      <c r="I65" s="23" t="s">
        <v>213</v>
      </c>
    </row>
    <row r="66" customFormat="false" ht="13.5" hidden="false" customHeight="true" outlineLevel="0" collapsed="false">
      <c r="A66" s="8" t="s">
        <v>77</v>
      </c>
      <c r="B66" s="14" t="s">
        <v>78</v>
      </c>
      <c r="C66" s="14" t="s">
        <v>233</v>
      </c>
      <c r="D66" s="26" t="s">
        <v>234</v>
      </c>
      <c r="E66" s="20" t="n">
        <v>0.4</v>
      </c>
      <c r="F66" s="21" t="n">
        <v>0.08</v>
      </c>
      <c r="G66" s="21" t="n">
        <v>0.15</v>
      </c>
      <c r="H66" s="27" t="n">
        <f aca="false">E66</f>
        <v>0.4</v>
      </c>
      <c r="I66" s="23" t="s">
        <v>221</v>
      </c>
    </row>
    <row r="67" customFormat="false" ht="13.5" hidden="false" customHeight="true" outlineLevel="0" collapsed="false">
      <c r="A67" s="8" t="s">
        <v>79</v>
      </c>
      <c r="B67" s="14" t="s">
        <v>80</v>
      </c>
      <c r="C67" s="14" t="s">
        <v>233</v>
      </c>
      <c r="D67" s="26" t="s">
        <v>234</v>
      </c>
      <c r="E67" s="20" t="n">
        <v>0.3</v>
      </c>
      <c r="F67" s="21" t="n">
        <v>0.05</v>
      </c>
      <c r="G67" s="21" t="n">
        <v>0.15</v>
      </c>
      <c r="H67" s="27" t="n">
        <f aca="false">E67</f>
        <v>0.3</v>
      </c>
      <c r="I67" s="23" t="s">
        <v>221</v>
      </c>
    </row>
    <row r="68" customFormat="false" ht="13.5" hidden="false" customHeight="true" outlineLevel="0" collapsed="false">
      <c r="A68" s="8" t="s">
        <v>81</v>
      </c>
      <c r="B68" s="14" t="s">
        <v>82</v>
      </c>
      <c r="C68" s="14" t="s">
        <v>231</v>
      </c>
      <c r="D68" s="26" t="s">
        <v>232</v>
      </c>
      <c r="E68" s="20" t="n">
        <v>0.8</v>
      </c>
      <c r="F68" s="21" t="n">
        <v>0.16</v>
      </c>
      <c r="G68" s="21" t="n">
        <v>0.55</v>
      </c>
      <c r="H68" s="27" t="n">
        <f aca="false">E68</f>
        <v>0.8</v>
      </c>
      <c r="I68" s="23" t="s">
        <v>221</v>
      </c>
    </row>
    <row r="69" customFormat="false" ht="13.5" hidden="false" customHeight="true" outlineLevel="0" collapsed="false">
      <c r="A69" s="8" t="s">
        <v>81</v>
      </c>
      <c r="B69" s="14" t="s">
        <v>82</v>
      </c>
      <c r="C69" s="14" t="s">
        <v>233</v>
      </c>
      <c r="D69" s="26" t="s">
        <v>234</v>
      </c>
      <c r="E69" s="20" t="n">
        <v>0.5</v>
      </c>
      <c r="F69" s="21" t="n">
        <v>0.09</v>
      </c>
      <c r="G69" s="21" t="n">
        <v>0.3</v>
      </c>
      <c r="H69" s="27" t="n">
        <f aca="false">E69</f>
        <v>0.5</v>
      </c>
      <c r="I69" s="23" t="s">
        <v>221</v>
      </c>
    </row>
    <row r="70" customFormat="false" ht="13.5" hidden="false" customHeight="true" outlineLevel="0" collapsed="false">
      <c r="A70" s="8" t="s">
        <v>83</v>
      </c>
      <c r="B70" s="14" t="s">
        <v>84</v>
      </c>
      <c r="C70" s="14" t="s">
        <v>233</v>
      </c>
      <c r="D70" s="26" t="s">
        <v>234</v>
      </c>
      <c r="E70" s="20" t="n">
        <v>0.3</v>
      </c>
      <c r="F70" s="21" t="n">
        <v>0.3</v>
      </c>
      <c r="G70" s="21" t="n">
        <v>0.5</v>
      </c>
      <c r="H70" s="27" t="n">
        <f aca="false">E70</f>
        <v>0.3</v>
      </c>
      <c r="I70" s="23" t="s">
        <v>221</v>
      </c>
    </row>
    <row r="71" customFormat="false" ht="13.5" hidden="false" customHeight="true" outlineLevel="0" collapsed="false">
      <c r="A71" s="8" t="s">
        <v>85</v>
      </c>
      <c r="B71" s="14" t="s">
        <v>86</v>
      </c>
      <c r="C71" s="14" t="s">
        <v>222</v>
      </c>
      <c r="D71" s="26" t="s">
        <v>223</v>
      </c>
      <c r="E71" s="20" t="n">
        <v>0.1</v>
      </c>
      <c r="F71" s="21" t="n">
        <v>0.12</v>
      </c>
      <c r="G71" s="21" t="n">
        <v>0.35</v>
      </c>
      <c r="H71" s="27" t="n">
        <f aca="false">E71</f>
        <v>0.1</v>
      </c>
      <c r="I71" s="23" t="s">
        <v>224</v>
      </c>
    </row>
    <row r="72" customFormat="false" ht="13.5" hidden="false" customHeight="true" outlineLevel="0" collapsed="false">
      <c r="A72" s="8" t="s">
        <v>91</v>
      </c>
      <c r="B72" s="14" t="s">
        <v>92</v>
      </c>
      <c r="C72" s="14" t="s">
        <v>211</v>
      </c>
      <c r="D72" s="26" t="s">
        <v>212</v>
      </c>
      <c r="E72" s="20" t="n">
        <v>0.1</v>
      </c>
      <c r="F72" s="21" t="n">
        <v>0.01</v>
      </c>
      <c r="G72" s="21" t="n">
        <v>0.05</v>
      </c>
      <c r="H72" s="27" t="n">
        <f aca="false">E72</f>
        <v>0.1</v>
      </c>
      <c r="I72" s="23" t="s">
        <v>213</v>
      </c>
    </row>
    <row r="73" customFormat="false" ht="13.5" hidden="false" customHeight="true" outlineLevel="0" collapsed="false">
      <c r="A73" s="8" t="s">
        <v>93</v>
      </c>
      <c r="B73" s="14" t="s">
        <v>94</v>
      </c>
      <c r="C73" s="14" t="s">
        <v>222</v>
      </c>
      <c r="D73" s="26" t="s">
        <v>223</v>
      </c>
      <c r="E73" s="20" t="n">
        <v>0.1</v>
      </c>
      <c r="F73" s="21" t="n">
        <v>0.03</v>
      </c>
      <c r="G73" s="21" t="n">
        <v>0.1</v>
      </c>
      <c r="H73" s="27" t="n">
        <f aca="false">E73</f>
        <v>0.1</v>
      </c>
      <c r="I73" s="23" t="s">
        <v>224</v>
      </c>
    </row>
    <row r="74" customFormat="false" ht="13.5" hidden="false" customHeight="true" outlineLevel="0" collapsed="false">
      <c r="A74" s="8" t="s">
        <v>95</v>
      </c>
      <c r="B74" s="14" t="s">
        <v>96</v>
      </c>
      <c r="C74" s="14" t="s">
        <v>211</v>
      </c>
      <c r="D74" s="26" t="s">
        <v>212</v>
      </c>
      <c r="E74" s="20" t="n">
        <v>0.2</v>
      </c>
      <c r="F74" s="21" t="n">
        <v>0</v>
      </c>
      <c r="G74" s="21" t="n">
        <v>0.03</v>
      </c>
      <c r="H74" s="27" t="n">
        <f aca="false">E74</f>
        <v>0.2</v>
      </c>
      <c r="I74" s="23" t="s">
        <v>213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11" min="4" style="0" width="11"/>
    <col collapsed="false" customWidth="true" hidden="false" outlineLevel="0" max="12" min="12" style="0" width="35"/>
  </cols>
  <sheetData>
    <row r="1" customFormat="false" ht="24" hidden="false" customHeight="true" outlineLevel="0" collapsed="false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54" hidden="false" customHeight="true" outlineLevel="0" collapsed="false">
      <c r="A2" s="2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8" hidden="false" customHeight="true" outlineLevel="0" collapsed="false">
      <c r="A3" s="17" t="s">
        <v>27</v>
      </c>
      <c r="B3" s="17" t="s">
        <v>28</v>
      </c>
      <c r="C3" s="17" t="s">
        <v>205</v>
      </c>
      <c r="D3" s="17" t="s">
        <v>237</v>
      </c>
      <c r="E3" s="17" t="s">
        <v>238</v>
      </c>
      <c r="F3" s="17" t="s">
        <v>239</v>
      </c>
      <c r="G3" s="17" t="s">
        <v>240</v>
      </c>
      <c r="H3" s="17" t="s">
        <v>241</v>
      </c>
      <c r="I3" s="17" t="s">
        <v>242</v>
      </c>
      <c r="J3" s="17" t="s">
        <v>243</v>
      </c>
      <c r="K3" s="17" t="s">
        <v>244</v>
      </c>
      <c r="L3" s="17" t="s">
        <v>245</v>
      </c>
    </row>
    <row r="4" customFormat="false" ht="13.5" hidden="false" customHeight="true" outlineLevel="0" collapsed="false">
      <c r="A4" s="8" t="s">
        <v>29</v>
      </c>
      <c r="B4" s="14" t="s">
        <v>30</v>
      </c>
      <c r="C4" s="14" t="s">
        <v>211</v>
      </c>
      <c r="D4" s="28" t="n">
        <v>0.5</v>
      </c>
      <c r="E4" s="28" t="n">
        <v>1</v>
      </c>
      <c r="F4" s="28" t="n">
        <v>0.2</v>
      </c>
      <c r="G4" s="22" t="s">
        <v>164</v>
      </c>
      <c r="H4" s="22" t="s">
        <v>164</v>
      </c>
      <c r="I4" s="22" t="s">
        <v>164</v>
      </c>
      <c r="J4" s="28" t="n">
        <v>5.5</v>
      </c>
      <c r="K4" s="23" t="s">
        <v>246</v>
      </c>
      <c r="L4" s="23" t="s">
        <v>247</v>
      </c>
    </row>
    <row r="5" customFormat="false" ht="13.5" hidden="false" customHeight="true" outlineLevel="0" collapsed="false">
      <c r="A5" s="8" t="s">
        <v>29</v>
      </c>
      <c r="B5" s="14" t="s">
        <v>30</v>
      </c>
      <c r="C5" s="14" t="s">
        <v>214</v>
      </c>
      <c r="D5" s="28" t="n">
        <v>5</v>
      </c>
      <c r="E5" s="28" t="n">
        <v>0.2</v>
      </c>
      <c r="F5" s="28" t="n">
        <v>0.1</v>
      </c>
      <c r="G5" s="22" t="s">
        <v>164</v>
      </c>
      <c r="H5" s="28" t="n">
        <v>19</v>
      </c>
      <c r="I5" s="28" t="n">
        <v>0.5</v>
      </c>
      <c r="J5" s="28" t="n">
        <v>1.8</v>
      </c>
      <c r="K5" s="23" t="s">
        <v>248</v>
      </c>
      <c r="L5" s="23" t="s">
        <v>247</v>
      </c>
    </row>
    <row r="6" customFormat="false" ht="13.5" hidden="false" customHeight="true" outlineLevel="0" collapsed="false">
      <c r="A6" s="8" t="s">
        <v>29</v>
      </c>
      <c r="B6" s="14" t="s">
        <v>30</v>
      </c>
      <c r="C6" s="14" t="s">
        <v>216</v>
      </c>
      <c r="D6" s="28" t="n">
        <v>3.2</v>
      </c>
      <c r="E6" s="28" t="n">
        <v>0.1</v>
      </c>
      <c r="F6" s="22" t="s">
        <v>164</v>
      </c>
      <c r="G6" s="22" t="s">
        <v>164</v>
      </c>
      <c r="H6" s="22" t="s">
        <v>164</v>
      </c>
      <c r="I6" s="22" t="s">
        <v>164</v>
      </c>
      <c r="J6" s="28" t="n">
        <v>0.5</v>
      </c>
      <c r="K6" s="23" t="s">
        <v>249</v>
      </c>
      <c r="L6" s="23" t="s">
        <v>247</v>
      </c>
    </row>
    <row r="7" customFormat="false" ht="13.5" hidden="false" customHeight="true" outlineLevel="0" collapsed="false">
      <c r="A7" s="8" t="s">
        <v>29</v>
      </c>
      <c r="B7" s="14" t="s">
        <v>30</v>
      </c>
      <c r="C7" s="14" t="s">
        <v>231</v>
      </c>
      <c r="D7" s="28" t="n">
        <v>12</v>
      </c>
      <c r="E7" s="22" t="s">
        <v>164</v>
      </c>
      <c r="F7" s="22" t="s">
        <v>164</v>
      </c>
      <c r="G7" s="22" t="s">
        <v>164</v>
      </c>
      <c r="H7" s="22" t="s">
        <v>164</v>
      </c>
      <c r="I7" s="28" t="n">
        <v>22</v>
      </c>
      <c r="J7" s="28" t="n">
        <v>1.5</v>
      </c>
      <c r="K7" s="23" t="s">
        <v>250</v>
      </c>
      <c r="L7" s="23" t="s">
        <v>247</v>
      </c>
    </row>
    <row r="8" customFormat="false" ht="13.5" hidden="false" customHeight="true" outlineLevel="0" collapsed="false">
      <c r="A8" s="8" t="s">
        <v>29</v>
      </c>
      <c r="B8" s="14" t="s">
        <v>30</v>
      </c>
      <c r="C8" s="14" t="s">
        <v>233</v>
      </c>
      <c r="D8" s="28" t="n">
        <v>3</v>
      </c>
      <c r="E8" s="22" t="s">
        <v>164</v>
      </c>
      <c r="F8" s="22" t="s">
        <v>164</v>
      </c>
      <c r="G8" s="22" t="s">
        <v>164</v>
      </c>
      <c r="H8" s="22" t="s">
        <v>164</v>
      </c>
      <c r="I8" s="22" t="s">
        <v>164</v>
      </c>
      <c r="J8" s="28" t="n">
        <v>0.3</v>
      </c>
      <c r="K8" s="23" t="s">
        <v>251</v>
      </c>
      <c r="L8" s="23" t="s">
        <v>247</v>
      </c>
    </row>
    <row r="9" customFormat="false" ht="13.5" hidden="false" customHeight="true" outlineLevel="0" collapsed="false">
      <c r="A9" s="8" t="s">
        <v>29</v>
      </c>
      <c r="B9" s="14" t="s">
        <v>30</v>
      </c>
      <c r="C9" s="14" t="s">
        <v>222</v>
      </c>
      <c r="D9" s="29" t="n">
        <v>1.5</v>
      </c>
      <c r="E9" s="22" t="s">
        <v>164</v>
      </c>
      <c r="F9" s="29" t="n">
        <v>0.2</v>
      </c>
      <c r="G9" s="22" t="s">
        <v>164</v>
      </c>
      <c r="H9" s="22" t="s">
        <v>164</v>
      </c>
      <c r="I9" s="22" t="s">
        <v>164</v>
      </c>
      <c r="J9" s="29" t="n">
        <v>56</v>
      </c>
      <c r="K9" s="23" t="s">
        <v>252</v>
      </c>
      <c r="L9" s="23" t="s">
        <v>247</v>
      </c>
    </row>
    <row r="10" customFormat="false" ht="13.5" hidden="false" customHeight="true" outlineLevel="0" collapsed="false">
      <c r="A10" s="8" t="s">
        <v>31</v>
      </c>
      <c r="B10" s="14" t="s">
        <v>32</v>
      </c>
      <c r="C10" s="14" t="s">
        <v>225</v>
      </c>
      <c r="D10" s="29" t="n">
        <v>5</v>
      </c>
      <c r="E10" s="29" t="n">
        <v>1</v>
      </c>
      <c r="F10" s="22" t="s">
        <v>164</v>
      </c>
      <c r="G10" s="22" t="s">
        <v>164</v>
      </c>
      <c r="H10" s="29" t="n">
        <v>20</v>
      </c>
      <c r="I10" s="22" t="s">
        <v>164</v>
      </c>
      <c r="J10" s="29" t="n">
        <v>3.5</v>
      </c>
      <c r="K10" s="23" t="s">
        <v>253</v>
      </c>
      <c r="L10" s="23" t="s">
        <v>247</v>
      </c>
    </row>
    <row r="11" customFormat="false" ht="13.5" hidden="false" customHeight="true" outlineLevel="0" collapsed="false">
      <c r="A11" s="8" t="s">
        <v>31</v>
      </c>
      <c r="B11" s="14" t="s">
        <v>32</v>
      </c>
      <c r="C11" s="14" t="s">
        <v>211</v>
      </c>
      <c r="D11" s="29" t="n">
        <v>1.5</v>
      </c>
      <c r="E11" s="29" t="n">
        <v>0.5</v>
      </c>
      <c r="F11" s="29" t="n">
        <v>0.2</v>
      </c>
      <c r="G11" s="22" t="s">
        <v>164</v>
      </c>
      <c r="H11" s="22" t="s">
        <v>164</v>
      </c>
      <c r="I11" s="22" t="s">
        <v>164</v>
      </c>
      <c r="J11" s="29" t="n">
        <v>5</v>
      </c>
      <c r="K11" s="23" t="s">
        <v>254</v>
      </c>
      <c r="L11" s="23" t="s">
        <v>247</v>
      </c>
    </row>
    <row r="12" customFormat="false" ht="13.5" hidden="false" customHeight="true" outlineLevel="0" collapsed="false">
      <c r="A12" s="8" t="s">
        <v>31</v>
      </c>
      <c r="B12" s="14" t="s">
        <v>32</v>
      </c>
      <c r="C12" s="14" t="s">
        <v>214</v>
      </c>
      <c r="D12" s="29" t="n">
        <v>4.5</v>
      </c>
      <c r="E12" s="29" t="n">
        <v>0.5</v>
      </c>
      <c r="F12" s="29" t="n">
        <v>0.2</v>
      </c>
      <c r="G12" s="22" t="s">
        <v>164</v>
      </c>
      <c r="H12" s="29" t="n">
        <v>18</v>
      </c>
      <c r="I12" s="29" t="n">
        <v>1.5</v>
      </c>
      <c r="J12" s="29" t="n">
        <v>1.5</v>
      </c>
      <c r="K12" s="23" t="s">
        <v>255</v>
      </c>
      <c r="L12" s="23" t="s">
        <v>247</v>
      </c>
    </row>
    <row r="13" customFormat="false" ht="13.5" hidden="false" customHeight="true" outlineLevel="0" collapsed="false">
      <c r="A13" s="8" t="s">
        <v>31</v>
      </c>
      <c r="B13" s="14" t="s">
        <v>32</v>
      </c>
      <c r="C13" s="14" t="s">
        <v>216</v>
      </c>
      <c r="D13" s="29" t="n">
        <v>3</v>
      </c>
      <c r="E13" s="29" t="n">
        <v>0.2</v>
      </c>
      <c r="F13" s="22" t="s">
        <v>164</v>
      </c>
      <c r="G13" s="22" t="s">
        <v>164</v>
      </c>
      <c r="H13" s="22" t="s">
        <v>164</v>
      </c>
      <c r="I13" s="22" t="s">
        <v>164</v>
      </c>
      <c r="J13" s="29" t="n">
        <v>0.5</v>
      </c>
      <c r="K13" s="23" t="s">
        <v>256</v>
      </c>
      <c r="L13" s="23" t="s">
        <v>247</v>
      </c>
    </row>
    <row r="14" customFormat="false" ht="13.5" hidden="false" customHeight="true" outlineLevel="0" collapsed="false">
      <c r="A14" s="8" t="s">
        <v>31</v>
      </c>
      <c r="B14" s="14" t="s">
        <v>32</v>
      </c>
      <c r="C14" s="14" t="s">
        <v>231</v>
      </c>
      <c r="D14" s="29" t="n">
        <v>2</v>
      </c>
      <c r="E14" s="29" t="n">
        <v>11</v>
      </c>
      <c r="F14" s="22" t="s">
        <v>164</v>
      </c>
      <c r="G14" s="22" t="s">
        <v>164</v>
      </c>
      <c r="H14" s="22" t="s">
        <v>164</v>
      </c>
      <c r="I14" s="29" t="n">
        <v>22</v>
      </c>
      <c r="J14" s="29" t="n">
        <v>0.35</v>
      </c>
      <c r="K14" s="23" t="s">
        <v>257</v>
      </c>
      <c r="L14" s="23" t="s">
        <v>247</v>
      </c>
    </row>
    <row r="15" customFormat="false" ht="13.5" hidden="false" customHeight="true" outlineLevel="0" collapsed="false">
      <c r="A15" s="8" t="s">
        <v>31</v>
      </c>
      <c r="B15" s="14" t="s">
        <v>32</v>
      </c>
      <c r="C15" s="14" t="s">
        <v>233</v>
      </c>
      <c r="D15" s="22" t="s">
        <v>164</v>
      </c>
      <c r="E15" s="29" t="n">
        <v>3</v>
      </c>
      <c r="F15" s="22" t="s">
        <v>164</v>
      </c>
      <c r="G15" s="22" t="s">
        <v>164</v>
      </c>
      <c r="H15" s="22" t="s">
        <v>164</v>
      </c>
      <c r="I15" s="22" t="s">
        <v>164</v>
      </c>
      <c r="J15" s="29" t="n">
        <v>0.3</v>
      </c>
      <c r="K15" s="23" t="s">
        <v>258</v>
      </c>
      <c r="L15" s="23" t="s">
        <v>247</v>
      </c>
    </row>
    <row r="16" customFormat="false" ht="13.5" hidden="false" customHeight="true" outlineLevel="0" collapsed="false">
      <c r="A16" s="8" t="s">
        <v>31</v>
      </c>
      <c r="B16" s="14" t="s">
        <v>32</v>
      </c>
      <c r="C16" s="14" t="s">
        <v>222</v>
      </c>
      <c r="D16" s="29" t="n">
        <v>1.5</v>
      </c>
      <c r="E16" s="29" t="n">
        <v>0.5</v>
      </c>
      <c r="F16" s="22" t="s">
        <v>164</v>
      </c>
      <c r="G16" s="22" t="s">
        <v>164</v>
      </c>
      <c r="H16" s="22" t="s">
        <v>164</v>
      </c>
      <c r="I16" s="22" t="s">
        <v>164</v>
      </c>
      <c r="J16" s="29" t="n">
        <v>54</v>
      </c>
      <c r="K16" s="23" t="s">
        <v>254</v>
      </c>
      <c r="L16" s="23" t="s">
        <v>247</v>
      </c>
    </row>
    <row r="17" customFormat="false" ht="13.5" hidden="false" customHeight="true" outlineLevel="0" collapsed="false">
      <c r="A17" s="8" t="s">
        <v>33</v>
      </c>
      <c r="B17" s="14" t="s">
        <v>34</v>
      </c>
      <c r="C17" s="14" t="s">
        <v>211</v>
      </c>
      <c r="D17" s="28" t="n">
        <v>0.2</v>
      </c>
      <c r="E17" s="28" t="n">
        <v>1.5</v>
      </c>
      <c r="F17" s="28" t="n">
        <v>0.2</v>
      </c>
      <c r="G17" s="22" t="s">
        <v>164</v>
      </c>
      <c r="H17" s="22" t="s">
        <v>164</v>
      </c>
      <c r="I17" s="22" t="s">
        <v>164</v>
      </c>
      <c r="J17" s="28" t="n">
        <v>4.5</v>
      </c>
      <c r="K17" s="23" t="s">
        <v>259</v>
      </c>
      <c r="L17" s="23" t="s">
        <v>247</v>
      </c>
    </row>
    <row r="18" customFormat="false" ht="13.5" hidden="false" customHeight="true" outlineLevel="0" collapsed="false">
      <c r="A18" s="8" t="s">
        <v>33</v>
      </c>
      <c r="B18" s="14" t="s">
        <v>34</v>
      </c>
      <c r="C18" s="14" t="s">
        <v>214</v>
      </c>
      <c r="D18" s="28" t="n">
        <v>4</v>
      </c>
      <c r="E18" s="28" t="n">
        <v>1</v>
      </c>
      <c r="F18" s="28" t="n">
        <v>0.2</v>
      </c>
      <c r="G18" s="22" t="s">
        <v>164</v>
      </c>
      <c r="H18" s="28" t="n">
        <v>16.5</v>
      </c>
      <c r="I18" s="28" t="n">
        <v>1</v>
      </c>
      <c r="J18" s="28" t="n">
        <v>2</v>
      </c>
      <c r="K18" s="23" t="s">
        <v>260</v>
      </c>
      <c r="L18" s="23" t="s">
        <v>247</v>
      </c>
    </row>
    <row r="19" customFormat="false" ht="13.5" hidden="false" customHeight="true" outlineLevel="0" collapsed="false">
      <c r="A19" s="8" t="s">
        <v>33</v>
      </c>
      <c r="B19" s="14" t="s">
        <v>34</v>
      </c>
      <c r="C19" s="14" t="s">
        <v>216</v>
      </c>
      <c r="D19" s="28" t="n">
        <v>2.8</v>
      </c>
      <c r="E19" s="28" t="n">
        <v>0.5</v>
      </c>
      <c r="F19" s="22" t="s">
        <v>164</v>
      </c>
      <c r="G19" s="22" t="s">
        <v>164</v>
      </c>
      <c r="H19" s="22" t="s">
        <v>164</v>
      </c>
      <c r="I19" s="22" t="s">
        <v>164</v>
      </c>
      <c r="J19" s="28" t="n">
        <v>0.45</v>
      </c>
      <c r="K19" s="23" t="s">
        <v>261</v>
      </c>
      <c r="L19" s="23" t="s">
        <v>247</v>
      </c>
    </row>
    <row r="20" customFormat="false" ht="13.5" hidden="false" customHeight="true" outlineLevel="0" collapsed="false">
      <c r="A20" s="8" t="s">
        <v>35</v>
      </c>
      <c r="B20" s="14" t="s">
        <v>36</v>
      </c>
      <c r="C20" s="14" t="s">
        <v>225</v>
      </c>
      <c r="D20" s="22" t="s">
        <v>164</v>
      </c>
      <c r="E20" s="28" t="n">
        <v>4.8</v>
      </c>
      <c r="F20" s="28" t="n">
        <v>0.3</v>
      </c>
      <c r="G20" s="22" t="s">
        <v>164</v>
      </c>
      <c r="H20" s="22" t="s">
        <v>164</v>
      </c>
      <c r="I20" s="28" t="n">
        <v>22</v>
      </c>
      <c r="J20" s="28" t="n">
        <v>2.5</v>
      </c>
      <c r="K20" s="23" t="s">
        <v>262</v>
      </c>
      <c r="L20" s="23" t="s">
        <v>247</v>
      </c>
    </row>
    <row r="21" customFormat="false" ht="13.5" hidden="false" customHeight="true" outlineLevel="0" collapsed="false">
      <c r="A21" s="8" t="s">
        <v>35</v>
      </c>
      <c r="B21" s="14" t="s">
        <v>36</v>
      </c>
      <c r="C21" s="14" t="s">
        <v>214</v>
      </c>
      <c r="D21" s="28" t="n">
        <v>4.8</v>
      </c>
      <c r="E21" s="28" t="n">
        <v>0.3</v>
      </c>
      <c r="F21" s="28" t="n">
        <v>0.1</v>
      </c>
      <c r="G21" s="22" t="s">
        <v>164</v>
      </c>
      <c r="H21" s="28" t="n">
        <v>17.5</v>
      </c>
      <c r="I21" s="28" t="n">
        <v>0.5</v>
      </c>
      <c r="J21" s="28" t="n">
        <v>1.6</v>
      </c>
      <c r="K21" s="23" t="s">
        <v>263</v>
      </c>
      <c r="L21" s="23" t="s">
        <v>247</v>
      </c>
    </row>
    <row r="22" customFormat="false" ht="13.5" hidden="false" customHeight="true" outlineLevel="0" collapsed="false">
      <c r="A22" s="8" t="s">
        <v>37</v>
      </c>
      <c r="B22" s="14" t="s">
        <v>38</v>
      </c>
      <c r="C22" s="14" t="s">
        <v>225</v>
      </c>
      <c r="D22" s="22" t="s">
        <v>164</v>
      </c>
      <c r="E22" s="28" t="n">
        <v>5.5</v>
      </c>
      <c r="F22" s="28" t="n">
        <v>0.3</v>
      </c>
      <c r="G22" s="22" t="s">
        <v>164</v>
      </c>
      <c r="H22" s="22" t="s">
        <v>164</v>
      </c>
      <c r="I22" s="28" t="n">
        <v>25</v>
      </c>
      <c r="J22" s="28" t="n">
        <v>2.5</v>
      </c>
      <c r="K22" s="23" t="s">
        <v>264</v>
      </c>
      <c r="L22" s="23" t="s">
        <v>247</v>
      </c>
    </row>
    <row r="23" customFormat="false" ht="13.5" hidden="false" customHeight="true" outlineLevel="0" collapsed="false">
      <c r="A23" s="8" t="s">
        <v>37</v>
      </c>
      <c r="B23" s="14" t="s">
        <v>38</v>
      </c>
      <c r="C23" s="14" t="s">
        <v>214</v>
      </c>
      <c r="D23" s="28" t="n">
        <v>4.5</v>
      </c>
      <c r="E23" s="28" t="n">
        <v>1.5</v>
      </c>
      <c r="F23" s="28" t="n">
        <v>0.2</v>
      </c>
      <c r="G23" s="22" t="s">
        <v>164</v>
      </c>
      <c r="H23" s="28" t="n">
        <v>17</v>
      </c>
      <c r="I23" s="28" t="n">
        <v>1</v>
      </c>
      <c r="J23" s="28" t="n">
        <v>1.7</v>
      </c>
      <c r="K23" s="23" t="s">
        <v>265</v>
      </c>
      <c r="L23" s="23" t="s">
        <v>247</v>
      </c>
    </row>
    <row r="24" customFormat="false" ht="13.5" hidden="false" customHeight="true" outlineLevel="0" collapsed="false">
      <c r="A24" s="8" t="s">
        <v>37</v>
      </c>
      <c r="B24" s="14" t="s">
        <v>38</v>
      </c>
      <c r="C24" s="14" t="s">
        <v>216</v>
      </c>
      <c r="D24" s="28" t="n">
        <v>2.5</v>
      </c>
      <c r="E24" s="28" t="n">
        <v>1.5</v>
      </c>
      <c r="F24" s="28" t="n">
        <v>0.1</v>
      </c>
      <c r="G24" s="22" t="s">
        <v>164</v>
      </c>
      <c r="H24" s="22" t="s">
        <v>164</v>
      </c>
      <c r="I24" s="22" t="s">
        <v>164</v>
      </c>
      <c r="J24" s="28" t="n">
        <v>0.52</v>
      </c>
      <c r="K24" s="23" t="s">
        <v>266</v>
      </c>
      <c r="L24" s="23" t="s">
        <v>247</v>
      </c>
    </row>
    <row r="25" customFormat="false" ht="13.5" hidden="false" customHeight="true" outlineLevel="0" collapsed="false">
      <c r="A25" s="8" t="s">
        <v>37</v>
      </c>
      <c r="B25" s="14" t="s">
        <v>38</v>
      </c>
      <c r="C25" s="14" t="s">
        <v>231</v>
      </c>
      <c r="D25" s="22" t="s">
        <v>164</v>
      </c>
      <c r="E25" s="28" t="n">
        <v>12</v>
      </c>
      <c r="F25" s="22" t="s">
        <v>164</v>
      </c>
      <c r="G25" s="22" t="s">
        <v>164</v>
      </c>
      <c r="H25" s="22" t="s">
        <v>164</v>
      </c>
      <c r="I25" s="28" t="n">
        <v>30</v>
      </c>
      <c r="J25" s="28" t="n">
        <v>0.3</v>
      </c>
      <c r="K25" s="23" t="s">
        <v>267</v>
      </c>
      <c r="L25" s="23" t="s">
        <v>247</v>
      </c>
    </row>
    <row r="26" customFormat="false" ht="13.5" hidden="false" customHeight="true" outlineLevel="0" collapsed="false">
      <c r="A26" s="8" t="s">
        <v>37</v>
      </c>
      <c r="B26" s="14" t="s">
        <v>38</v>
      </c>
      <c r="C26" s="14" t="s">
        <v>233</v>
      </c>
      <c r="D26" s="22" t="s">
        <v>164</v>
      </c>
      <c r="E26" s="28" t="n">
        <v>3</v>
      </c>
      <c r="F26" s="22" t="s">
        <v>164</v>
      </c>
      <c r="G26" s="22" t="s">
        <v>164</v>
      </c>
      <c r="H26" s="22" t="s">
        <v>164</v>
      </c>
      <c r="I26" s="22" t="s">
        <v>164</v>
      </c>
      <c r="J26" s="28" t="n">
        <v>0.28</v>
      </c>
      <c r="K26" s="23" t="s">
        <v>268</v>
      </c>
      <c r="L26" s="23" t="s">
        <v>247</v>
      </c>
    </row>
    <row r="27" customFormat="false" ht="13.5" hidden="false" customHeight="true" outlineLevel="0" collapsed="false">
      <c r="A27" s="8" t="s">
        <v>37</v>
      </c>
      <c r="B27" s="14" t="s">
        <v>38</v>
      </c>
      <c r="C27" s="14" t="s">
        <v>222</v>
      </c>
      <c r="D27" s="22" t="s">
        <v>164</v>
      </c>
      <c r="E27" s="28" t="n">
        <v>0.5</v>
      </c>
      <c r="F27" s="22" t="s">
        <v>164</v>
      </c>
      <c r="G27" s="22" t="s">
        <v>164</v>
      </c>
      <c r="H27" s="22" t="s">
        <v>164</v>
      </c>
      <c r="I27" s="22" t="s">
        <v>164</v>
      </c>
      <c r="J27" s="28" t="n">
        <v>51</v>
      </c>
      <c r="K27" s="23" t="s">
        <v>269</v>
      </c>
      <c r="L27" s="23" t="s">
        <v>247</v>
      </c>
    </row>
    <row r="28" customFormat="false" ht="13.5" hidden="false" customHeight="true" outlineLevel="0" collapsed="false">
      <c r="A28" s="8" t="s">
        <v>39</v>
      </c>
      <c r="B28" s="14" t="s">
        <v>40</v>
      </c>
      <c r="C28" s="14" t="s">
        <v>211</v>
      </c>
      <c r="D28" s="28" t="n">
        <v>0.1</v>
      </c>
      <c r="E28" s="28" t="n">
        <v>1</v>
      </c>
      <c r="F28" s="28" t="n">
        <v>0.1</v>
      </c>
      <c r="G28" s="22" t="s">
        <v>164</v>
      </c>
      <c r="H28" s="22" t="s">
        <v>164</v>
      </c>
      <c r="I28" s="22" t="s">
        <v>164</v>
      </c>
      <c r="J28" s="28" t="n">
        <v>3.8</v>
      </c>
      <c r="K28" s="23" t="s">
        <v>270</v>
      </c>
      <c r="L28" s="23" t="s">
        <v>247</v>
      </c>
    </row>
    <row r="29" customFormat="false" ht="13.5" hidden="false" customHeight="true" outlineLevel="0" collapsed="false">
      <c r="A29" s="8" t="s">
        <v>39</v>
      </c>
      <c r="B29" s="14" t="s">
        <v>40</v>
      </c>
      <c r="C29" s="14" t="s">
        <v>214</v>
      </c>
      <c r="D29" s="28" t="n">
        <v>4</v>
      </c>
      <c r="E29" s="28" t="n">
        <v>0.5</v>
      </c>
      <c r="F29" s="28" t="n">
        <v>0.1</v>
      </c>
      <c r="G29" s="22" t="s">
        <v>164</v>
      </c>
      <c r="H29" s="28" t="n">
        <v>16</v>
      </c>
      <c r="I29" s="28" t="n">
        <v>0.8</v>
      </c>
      <c r="J29" s="28" t="n">
        <v>1.5</v>
      </c>
      <c r="K29" s="23" t="s">
        <v>271</v>
      </c>
      <c r="L29" s="23" t="s">
        <v>247</v>
      </c>
    </row>
    <row r="30" customFormat="false" ht="13.5" hidden="false" customHeight="true" outlineLevel="0" collapsed="false">
      <c r="A30" s="8" t="s">
        <v>39</v>
      </c>
      <c r="B30" s="14" t="s">
        <v>40</v>
      </c>
      <c r="C30" s="14" t="s">
        <v>216</v>
      </c>
      <c r="D30" s="28" t="n">
        <v>3</v>
      </c>
      <c r="E30" s="28" t="n">
        <v>0.3</v>
      </c>
      <c r="F30" s="22" t="s">
        <v>164</v>
      </c>
      <c r="G30" s="22" t="s">
        <v>164</v>
      </c>
      <c r="H30" s="22" t="s">
        <v>164</v>
      </c>
      <c r="I30" s="22" t="s">
        <v>164</v>
      </c>
      <c r="J30" s="28" t="n">
        <v>0.45</v>
      </c>
      <c r="K30" s="23" t="s">
        <v>272</v>
      </c>
      <c r="L30" s="23" t="s">
        <v>247</v>
      </c>
    </row>
    <row r="31" customFormat="false" ht="13.5" hidden="false" customHeight="true" outlineLevel="0" collapsed="false">
      <c r="A31" s="8" t="s">
        <v>45</v>
      </c>
      <c r="B31" s="14" t="s">
        <v>46</v>
      </c>
      <c r="C31" s="14" t="s">
        <v>216</v>
      </c>
      <c r="D31" s="28" t="n">
        <v>3.1</v>
      </c>
      <c r="E31" s="28" t="n">
        <v>0.2</v>
      </c>
      <c r="F31" s="22" t="s">
        <v>164</v>
      </c>
      <c r="G31" s="22" t="s">
        <v>164</v>
      </c>
      <c r="H31" s="22" t="s">
        <v>164</v>
      </c>
      <c r="I31" s="22" t="s">
        <v>164</v>
      </c>
      <c r="J31" s="28" t="n">
        <v>0.52</v>
      </c>
      <c r="K31" s="23" t="s">
        <v>273</v>
      </c>
      <c r="L31" s="23" t="s">
        <v>247</v>
      </c>
    </row>
    <row r="32" customFormat="false" ht="13.5" hidden="false" customHeight="true" outlineLevel="0" collapsed="false">
      <c r="A32" s="8" t="s">
        <v>47</v>
      </c>
      <c r="B32" s="14" t="s">
        <v>48</v>
      </c>
      <c r="C32" s="14" t="s">
        <v>214</v>
      </c>
      <c r="D32" s="28" t="n">
        <v>2</v>
      </c>
      <c r="E32" s="28" t="n">
        <v>0.5</v>
      </c>
      <c r="F32" s="28" t="n">
        <v>0.2</v>
      </c>
      <c r="G32" s="28" t="n">
        <v>2.5</v>
      </c>
      <c r="H32" s="28" t="n">
        <v>10</v>
      </c>
      <c r="I32" s="28" t="n">
        <v>0.5</v>
      </c>
      <c r="J32" s="28" t="n">
        <v>1.6</v>
      </c>
      <c r="K32" s="23" t="s">
        <v>274</v>
      </c>
      <c r="L32" s="23" t="s">
        <v>247</v>
      </c>
    </row>
    <row r="33" customFormat="false" ht="13.5" hidden="false" customHeight="true" outlineLevel="0" collapsed="false">
      <c r="A33" s="8" t="s">
        <v>47</v>
      </c>
      <c r="B33" s="14" t="s">
        <v>48</v>
      </c>
      <c r="C33" s="14" t="s">
        <v>216</v>
      </c>
      <c r="D33" s="28" t="n">
        <v>2.2</v>
      </c>
      <c r="E33" s="28" t="n">
        <v>0.3</v>
      </c>
      <c r="F33" s="22" t="s">
        <v>164</v>
      </c>
      <c r="G33" s="28" t="n">
        <v>0.5</v>
      </c>
      <c r="H33" s="22" t="s">
        <v>164</v>
      </c>
      <c r="I33" s="22" t="s">
        <v>164</v>
      </c>
      <c r="J33" s="28" t="n">
        <v>0.46</v>
      </c>
      <c r="K33" s="23" t="s">
        <v>275</v>
      </c>
      <c r="L33" s="23" t="s">
        <v>247</v>
      </c>
    </row>
    <row r="34" customFormat="false" ht="13.5" hidden="false" customHeight="true" outlineLevel="0" collapsed="false">
      <c r="A34" s="8" t="s">
        <v>47</v>
      </c>
      <c r="B34" s="14" t="s">
        <v>48</v>
      </c>
      <c r="C34" s="14" t="s">
        <v>222</v>
      </c>
      <c r="D34" s="22" t="s">
        <v>164</v>
      </c>
      <c r="E34" s="28" t="n">
        <v>0.2</v>
      </c>
      <c r="F34" s="22" t="s">
        <v>164</v>
      </c>
      <c r="G34" s="22" t="s">
        <v>164</v>
      </c>
      <c r="H34" s="22" t="s">
        <v>164</v>
      </c>
      <c r="I34" s="22" t="s">
        <v>164</v>
      </c>
      <c r="J34" s="28" t="n">
        <v>51</v>
      </c>
      <c r="K34" s="23" t="s">
        <v>276</v>
      </c>
      <c r="L34" s="23" t="s">
        <v>247</v>
      </c>
    </row>
    <row r="35" customFormat="false" ht="13.5" hidden="false" customHeight="true" outlineLevel="0" collapsed="false">
      <c r="A35" s="8" t="s">
        <v>49</v>
      </c>
      <c r="B35" s="14" t="s">
        <v>50</v>
      </c>
      <c r="C35" s="14" t="s">
        <v>216</v>
      </c>
      <c r="D35" s="28" t="n">
        <v>3.3</v>
      </c>
      <c r="E35" s="28" t="n">
        <v>0.2</v>
      </c>
      <c r="F35" s="22" t="s">
        <v>164</v>
      </c>
      <c r="G35" s="22" t="s">
        <v>164</v>
      </c>
      <c r="H35" s="22" t="s">
        <v>164</v>
      </c>
      <c r="I35" s="22" t="s">
        <v>164</v>
      </c>
      <c r="J35" s="28" t="n">
        <v>0.52</v>
      </c>
      <c r="K35" s="23" t="s">
        <v>277</v>
      </c>
      <c r="L35" s="23" t="s">
        <v>247</v>
      </c>
    </row>
    <row r="36" customFormat="false" ht="13.5" hidden="false" customHeight="true" outlineLevel="0" collapsed="false">
      <c r="A36" s="8" t="s">
        <v>51</v>
      </c>
      <c r="B36" s="14" t="s">
        <v>52</v>
      </c>
      <c r="C36" s="14" t="s">
        <v>225</v>
      </c>
      <c r="D36" s="22" t="s">
        <v>164</v>
      </c>
      <c r="E36" s="29" t="n">
        <v>5</v>
      </c>
      <c r="F36" s="29" t="n">
        <v>0.5</v>
      </c>
      <c r="G36" s="22" t="s">
        <v>164</v>
      </c>
      <c r="H36" s="22" t="s">
        <v>164</v>
      </c>
      <c r="I36" s="29" t="n">
        <v>24</v>
      </c>
      <c r="J36" s="29" t="n">
        <v>2.5</v>
      </c>
      <c r="K36" s="23" t="s">
        <v>278</v>
      </c>
      <c r="L36" s="23" t="s">
        <v>247</v>
      </c>
    </row>
    <row r="37" customFormat="false" ht="13.5" hidden="false" customHeight="true" outlineLevel="0" collapsed="false">
      <c r="A37" s="8" t="s">
        <v>51</v>
      </c>
      <c r="B37" s="14" t="s">
        <v>52</v>
      </c>
      <c r="C37" s="14" t="s">
        <v>211</v>
      </c>
      <c r="D37" s="22" t="s">
        <v>164</v>
      </c>
      <c r="E37" s="29" t="n">
        <v>2.5</v>
      </c>
      <c r="F37" s="29" t="n">
        <v>0.2</v>
      </c>
      <c r="G37" s="22" t="s">
        <v>164</v>
      </c>
      <c r="H37" s="22" t="s">
        <v>164</v>
      </c>
      <c r="I37" s="22" t="s">
        <v>164</v>
      </c>
      <c r="J37" s="29" t="n">
        <v>4.5</v>
      </c>
      <c r="K37" s="23" t="s">
        <v>279</v>
      </c>
      <c r="L37" s="23" t="s">
        <v>247</v>
      </c>
    </row>
    <row r="38" customFormat="false" ht="13.5" hidden="false" customHeight="true" outlineLevel="0" collapsed="false">
      <c r="A38" s="8" t="s">
        <v>51</v>
      </c>
      <c r="B38" s="14" t="s">
        <v>52</v>
      </c>
      <c r="C38" s="14" t="s">
        <v>216</v>
      </c>
      <c r="D38" s="29" t="n">
        <v>2.5</v>
      </c>
      <c r="E38" s="29" t="n">
        <v>0.5</v>
      </c>
      <c r="F38" s="22" t="s">
        <v>164</v>
      </c>
      <c r="G38" s="22" t="s">
        <v>164</v>
      </c>
      <c r="H38" s="22" t="s">
        <v>164</v>
      </c>
      <c r="I38" s="22" t="s">
        <v>164</v>
      </c>
      <c r="J38" s="29" t="n">
        <v>0.45</v>
      </c>
      <c r="K38" s="23" t="s">
        <v>280</v>
      </c>
      <c r="L38" s="23" t="s">
        <v>247</v>
      </c>
    </row>
    <row r="39" customFormat="false" ht="13.5" hidden="false" customHeight="true" outlineLevel="0" collapsed="false">
      <c r="A39" s="8" t="s">
        <v>51</v>
      </c>
      <c r="B39" s="14" t="s">
        <v>52</v>
      </c>
      <c r="C39" s="14" t="s">
        <v>231</v>
      </c>
      <c r="D39" s="22" t="s">
        <v>164</v>
      </c>
      <c r="E39" s="29" t="n">
        <v>12</v>
      </c>
      <c r="F39" s="22" t="s">
        <v>164</v>
      </c>
      <c r="G39" s="22" t="s">
        <v>164</v>
      </c>
      <c r="H39" s="22" t="s">
        <v>164</v>
      </c>
      <c r="I39" s="29" t="n">
        <v>24</v>
      </c>
      <c r="J39" s="29" t="n">
        <v>0.3</v>
      </c>
      <c r="K39" s="23" t="s">
        <v>258</v>
      </c>
      <c r="L39" s="23" t="s">
        <v>247</v>
      </c>
    </row>
    <row r="40" customFormat="false" ht="13.5" hidden="false" customHeight="true" outlineLevel="0" collapsed="false">
      <c r="A40" s="8" t="s">
        <v>51</v>
      </c>
      <c r="B40" s="14" t="s">
        <v>52</v>
      </c>
      <c r="C40" s="14" t="s">
        <v>233</v>
      </c>
      <c r="D40" s="22" t="s">
        <v>164</v>
      </c>
      <c r="E40" s="29" t="n">
        <v>3</v>
      </c>
      <c r="F40" s="22" t="s">
        <v>164</v>
      </c>
      <c r="G40" s="22" t="s">
        <v>164</v>
      </c>
      <c r="H40" s="22" t="s">
        <v>164</v>
      </c>
      <c r="I40" s="22" t="s">
        <v>164</v>
      </c>
      <c r="J40" s="29" t="n">
        <v>0.3</v>
      </c>
      <c r="K40" s="23" t="s">
        <v>280</v>
      </c>
      <c r="L40" s="23" t="s">
        <v>247</v>
      </c>
    </row>
    <row r="41" customFormat="false" ht="13.5" hidden="false" customHeight="true" outlineLevel="0" collapsed="false">
      <c r="A41" s="8" t="s">
        <v>53</v>
      </c>
      <c r="B41" s="14" t="s">
        <v>54</v>
      </c>
      <c r="C41" s="14" t="s">
        <v>216</v>
      </c>
      <c r="D41" s="28" t="n">
        <v>2</v>
      </c>
      <c r="E41" s="28" t="n">
        <v>1</v>
      </c>
      <c r="F41" s="22" t="s">
        <v>164</v>
      </c>
      <c r="G41" s="22" t="s">
        <v>164</v>
      </c>
      <c r="H41" s="22" t="s">
        <v>164</v>
      </c>
      <c r="I41" s="22" t="s">
        <v>164</v>
      </c>
      <c r="J41" s="28" t="n">
        <v>0.48</v>
      </c>
      <c r="K41" s="23" t="s">
        <v>281</v>
      </c>
      <c r="L41" s="23" t="s">
        <v>247</v>
      </c>
    </row>
    <row r="42" customFormat="false" ht="13.5" hidden="false" customHeight="true" outlineLevel="0" collapsed="false">
      <c r="A42" s="8" t="s">
        <v>53</v>
      </c>
      <c r="B42" s="14" t="s">
        <v>54</v>
      </c>
      <c r="C42" s="14" t="s">
        <v>231</v>
      </c>
      <c r="D42" s="22" t="s">
        <v>164</v>
      </c>
      <c r="E42" s="28" t="n">
        <v>11.5</v>
      </c>
      <c r="F42" s="22" t="s">
        <v>164</v>
      </c>
      <c r="G42" s="22" t="s">
        <v>164</v>
      </c>
      <c r="H42" s="22" t="s">
        <v>164</v>
      </c>
      <c r="I42" s="28" t="n">
        <v>24</v>
      </c>
      <c r="J42" s="28" t="n">
        <v>0.3</v>
      </c>
      <c r="K42" s="23" t="s">
        <v>282</v>
      </c>
      <c r="L42" s="23" t="s">
        <v>247</v>
      </c>
    </row>
    <row r="43" customFormat="false" ht="13.5" hidden="false" customHeight="true" outlineLevel="0" collapsed="false">
      <c r="A43" s="8" t="s">
        <v>53</v>
      </c>
      <c r="B43" s="14" t="s">
        <v>54</v>
      </c>
      <c r="C43" s="14" t="s">
        <v>233</v>
      </c>
      <c r="D43" s="22" t="s">
        <v>164</v>
      </c>
      <c r="E43" s="28" t="n">
        <v>3</v>
      </c>
      <c r="F43" s="22" t="s">
        <v>164</v>
      </c>
      <c r="G43" s="22" t="s">
        <v>164</v>
      </c>
      <c r="H43" s="22" t="s">
        <v>164</v>
      </c>
      <c r="I43" s="22" t="s">
        <v>164</v>
      </c>
      <c r="J43" s="28" t="n">
        <v>0.3</v>
      </c>
      <c r="K43" s="23" t="s">
        <v>283</v>
      </c>
      <c r="L43" s="23" t="s">
        <v>247</v>
      </c>
    </row>
    <row r="44" customFormat="false" ht="13.5" hidden="false" customHeight="true" outlineLevel="0" collapsed="false">
      <c r="A44" s="8" t="s">
        <v>55</v>
      </c>
      <c r="B44" s="14" t="s">
        <v>56</v>
      </c>
      <c r="C44" s="14" t="s">
        <v>216</v>
      </c>
      <c r="D44" s="28" t="n">
        <v>2.2</v>
      </c>
      <c r="E44" s="28" t="n">
        <v>0.5</v>
      </c>
      <c r="F44" s="22" t="s">
        <v>164</v>
      </c>
      <c r="G44" s="28" t="n">
        <v>0.1</v>
      </c>
      <c r="H44" s="22" t="s">
        <v>164</v>
      </c>
      <c r="I44" s="22" t="s">
        <v>164</v>
      </c>
      <c r="J44" s="28" t="n">
        <v>0.45</v>
      </c>
      <c r="K44" s="23" t="s">
        <v>284</v>
      </c>
      <c r="L44" s="23" t="s">
        <v>247</v>
      </c>
    </row>
    <row r="45" customFormat="false" ht="13.5" hidden="false" customHeight="true" outlineLevel="0" collapsed="false">
      <c r="A45" s="8" t="s">
        <v>57</v>
      </c>
      <c r="B45" s="14" t="s">
        <v>58</v>
      </c>
      <c r="C45" s="14" t="s">
        <v>211</v>
      </c>
      <c r="D45" s="22" t="s">
        <v>164</v>
      </c>
      <c r="E45" s="29" t="n">
        <v>2.5</v>
      </c>
      <c r="F45" s="29" t="n">
        <v>0.2</v>
      </c>
      <c r="G45" s="22" t="s">
        <v>164</v>
      </c>
      <c r="H45" s="22" t="s">
        <v>164</v>
      </c>
      <c r="I45" s="22" t="s">
        <v>164</v>
      </c>
      <c r="J45" s="29" t="n">
        <v>4.5</v>
      </c>
      <c r="K45" s="23" t="s">
        <v>280</v>
      </c>
      <c r="L45" s="23" t="s">
        <v>247</v>
      </c>
    </row>
    <row r="46" customFormat="false" ht="13.5" hidden="false" customHeight="true" outlineLevel="0" collapsed="false">
      <c r="A46" s="8" t="s">
        <v>59</v>
      </c>
      <c r="B46" s="14" t="s">
        <v>60</v>
      </c>
      <c r="C46" s="14" t="s">
        <v>225</v>
      </c>
      <c r="D46" s="22" t="s">
        <v>164</v>
      </c>
      <c r="E46" s="29" t="n">
        <v>5</v>
      </c>
      <c r="F46" s="29" t="n">
        <v>0.3</v>
      </c>
      <c r="G46" s="22" t="s">
        <v>164</v>
      </c>
      <c r="H46" s="22" t="s">
        <v>164</v>
      </c>
      <c r="I46" s="29" t="n">
        <v>24</v>
      </c>
      <c r="J46" s="29" t="n">
        <v>2.5</v>
      </c>
      <c r="K46" s="23" t="s">
        <v>258</v>
      </c>
      <c r="L46" s="23" t="s">
        <v>247</v>
      </c>
    </row>
    <row r="47" customFormat="false" ht="13.5" hidden="false" customHeight="true" outlineLevel="0" collapsed="false">
      <c r="A47" s="8" t="s">
        <v>59</v>
      </c>
      <c r="B47" s="14" t="s">
        <v>60</v>
      </c>
      <c r="C47" s="14" t="s">
        <v>211</v>
      </c>
      <c r="D47" s="22" t="s">
        <v>164</v>
      </c>
      <c r="E47" s="29" t="n">
        <v>2.5</v>
      </c>
      <c r="F47" s="29" t="n">
        <v>0.2</v>
      </c>
      <c r="G47" s="22" t="s">
        <v>164</v>
      </c>
      <c r="H47" s="22" t="s">
        <v>164</v>
      </c>
      <c r="I47" s="22" t="s">
        <v>164</v>
      </c>
      <c r="J47" s="29" t="n">
        <v>4.5</v>
      </c>
      <c r="K47" s="23" t="s">
        <v>280</v>
      </c>
      <c r="L47" s="23" t="s">
        <v>247</v>
      </c>
    </row>
    <row r="48" customFormat="false" ht="13.5" hidden="false" customHeight="true" outlineLevel="0" collapsed="false">
      <c r="A48" s="8" t="s">
        <v>59</v>
      </c>
      <c r="B48" s="14" t="s">
        <v>60</v>
      </c>
      <c r="C48" s="14" t="s">
        <v>231</v>
      </c>
      <c r="D48" s="22" t="s">
        <v>164</v>
      </c>
      <c r="E48" s="29" t="n">
        <v>12</v>
      </c>
      <c r="F48" s="22" t="s">
        <v>164</v>
      </c>
      <c r="G48" s="22" t="s">
        <v>164</v>
      </c>
      <c r="H48" s="22" t="s">
        <v>164</v>
      </c>
      <c r="I48" s="29" t="n">
        <v>24</v>
      </c>
      <c r="J48" s="29" t="n">
        <v>0.3</v>
      </c>
      <c r="K48" s="23" t="s">
        <v>258</v>
      </c>
      <c r="L48" s="23" t="s">
        <v>247</v>
      </c>
    </row>
    <row r="49" customFormat="false" ht="13.5" hidden="false" customHeight="true" outlineLevel="0" collapsed="false">
      <c r="A49" s="8" t="s">
        <v>61</v>
      </c>
      <c r="B49" s="14" t="s">
        <v>62</v>
      </c>
      <c r="C49" s="14" t="s">
        <v>231</v>
      </c>
      <c r="D49" s="22" t="s">
        <v>164</v>
      </c>
      <c r="E49" s="29" t="n">
        <v>12</v>
      </c>
      <c r="F49" s="22" t="s">
        <v>164</v>
      </c>
      <c r="G49" s="22" t="s">
        <v>164</v>
      </c>
      <c r="H49" s="22" t="s">
        <v>164</v>
      </c>
      <c r="I49" s="29" t="n">
        <v>24</v>
      </c>
      <c r="J49" s="29" t="n">
        <v>0.3</v>
      </c>
      <c r="K49" s="23" t="s">
        <v>258</v>
      </c>
      <c r="L49" s="23" t="s">
        <v>247</v>
      </c>
    </row>
    <row r="50" customFormat="false" ht="13.5" hidden="false" customHeight="true" outlineLevel="0" collapsed="false">
      <c r="A50" s="8" t="s">
        <v>63</v>
      </c>
      <c r="B50" s="14" t="s">
        <v>64</v>
      </c>
      <c r="C50" s="14" t="s">
        <v>222</v>
      </c>
      <c r="D50" s="28" t="n">
        <v>0.5</v>
      </c>
      <c r="E50" s="28" t="n">
        <v>1.5</v>
      </c>
      <c r="F50" s="28" t="n">
        <v>0.1</v>
      </c>
      <c r="G50" s="22" t="s">
        <v>164</v>
      </c>
      <c r="H50" s="22" t="s">
        <v>164</v>
      </c>
      <c r="I50" s="22" t="s">
        <v>164</v>
      </c>
      <c r="J50" s="28" t="n">
        <v>54</v>
      </c>
      <c r="K50" s="23" t="s">
        <v>285</v>
      </c>
      <c r="L50" s="23" t="s">
        <v>247</v>
      </c>
    </row>
    <row r="51" customFormat="false" ht="13.5" hidden="false" customHeight="true" outlineLevel="0" collapsed="false">
      <c r="A51" s="8" t="s">
        <v>65</v>
      </c>
      <c r="B51" s="14" t="s">
        <v>66</v>
      </c>
      <c r="C51" s="14" t="s">
        <v>222</v>
      </c>
      <c r="D51" s="28" t="n">
        <v>0.5</v>
      </c>
      <c r="E51" s="28" t="n">
        <v>2</v>
      </c>
      <c r="F51" s="28" t="n">
        <v>0.1</v>
      </c>
      <c r="G51" s="22" t="s">
        <v>164</v>
      </c>
      <c r="H51" s="22" t="s">
        <v>164</v>
      </c>
      <c r="I51" s="22" t="s">
        <v>164</v>
      </c>
      <c r="J51" s="28" t="n">
        <v>55</v>
      </c>
      <c r="K51" s="23" t="s">
        <v>286</v>
      </c>
      <c r="L51" s="23" t="s">
        <v>247</v>
      </c>
    </row>
    <row r="52" customFormat="false" ht="13.5" hidden="false" customHeight="true" outlineLevel="0" collapsed="false">
      <c r="A52" s="8" t="s">
        <v>67</v>
      </c>
      <c r="B52" s="14" t="s">
        <v>68</v>
      </c>
      <c r="C52" s="14" t="s">
        <v>214</v>
      </c>
      <c r="D52" s="28" t="n">
        <v>5.5</v>
      </c>
      <c r="E52" s="28" t="n">
        <v>0.3</v>
      </c>
      <c r="F52" s="28" t="n">
        <v>0.1</v>
      </c>
      <c r="G52" s="22" t="s">
        <v>164</v>
      </c>
      <c r="H52" s="28" t="n">
        <v>19.5</v>
      </c>
      <c r="I52" s="28" t="n">
        <v>0.3</v>
      </c>
      <c r="J52" s="28" t="n">
        <v>1.6</v>
      </c>
      <c r="K52" s="23" t="s">
        <v>287</v>
      </c>
      <c r="L52" s="23" t="s">
        <v>247</v>
      </c>
    </row>
    <row r="53" customFormat="false" ht="13.5" hidden="false" customHeight="true" outlineLevel="0" collapsed="false">
      <c r="A53" s="8" t="s">
        <v>67</v>
      </c>
      <c r="B53" s="14" t="s">
        <v>68</v>
      </c>
      <c r="C53" s="14" t="s">
        <v>222</v>
      </c>
      <c r="D53" s="28" t="n">
        <v>1</v>
      </c>
      <c r="E53" s="28" t="n">
        <v>0.2</v>
      </c>
      <c r="F53" s="22" t="s">
        <v>164</v>
      </c>
      <c r="G53" s="22" t="s">
        <v>164</v>
      </c>
      <c r="H53" s="22" t="s">
        <v>164</v>
      </c>
      <c r="I53" s="22" t="s">
        <v>164</v>
      </c>
      <c r="J53" s="28" t="n">
        <v>55</v>
      </c>
      <c r="K53" s="23" t="s">
        <v>288</v>
      </c>
      <c r="L53" s="23" t="s">
        <v>247</v>
      </c>
    </row>
    <row r="54" customFormat="false" ht="13.5" hidden="false" customHeight="true" outlineLevel="0" collapsed="false">
      <c r="A54" s="8" t="s">
        <v>69</v>
      </c>
      <c r="B54" s="14" t="s">
        <v>185</v>
      </c>
      <c r="C54" s="14" t="s">
        <v>222</v>
      </c>
      <c r="D54" s="22" t="s">
        <v>164</v>
      </c>
      <c r="E54" s="29" t="n">
        <v>0.1</v>
      </c>
      <c r="F54" s="22" t="s">
        <v>164</v>
      </c>
      <c r="G54" s="22" t="s">
        <v>164</v>
      </c>
      <c r="H54" s="22" t="s">
        <v>164</v>
      </c>
      <c r="I54" s="22" t="s">
        <v>164</v>
      </c>
      <c r="J54" s="29" t="n">
        <v>52</v>
      </c>
      <c r="K54" s="23" t="s">
        <v>289</v>
      </c>
      <c r="L54" s="23" t="s">
        <v>247</v>
      </c>
    </row>
    <row r="55" customFormat="false" ht="13.5" hidden="false" customHeight="true" outlineLevel="0" collapsed="false">
      <c r="A55" s="8" t="s">
        <v>71</v>
      </c>
      <c r="B55" s="14" t="s">
        <v>189</v>
      </c>
      <c r="C55" s="14" t="s">
        <v>222</v>
      </c>
      <c r="D55" s="22" t="s">
        <v>164</v>
      </c>
      <c r="E55" s="29" t="n">
        <v>0.1</v>
      </c>
      <c r="F55" s="22" t="s">
        <v>164</v>
      </c>
      <c r="G55" s="22" t="s">
        <v>164</v>
      </c>
      <c r="H55" s="22" t="s">
        <v>164</v>
      </c>
      <c r="I55" s="22" t="s">
        <v>164</v>
      </c>
      <c r="J55" s="29" t="n">
        <v>50</v>
      </c>
      <c r="K55" s="23" t="s">
        <v>290</v>
      </c>
      <c r="L55" s="23" t="s">
        <v>247</v>
      </c>
    </row>
    <row r="56" customFormat="false" ht="13.5" hidden="false" customHeight="true" outlineLevel="0" collapsed="false">
      <c r="A56" s="8" t="s">
        <v>75</v>
      </c>
      <c r="B56" s="14" t="s">
        <v>76</v>
      </c>
      <c r="C56" s="14" t="s">
        <v>214</v>
      </c>
      <c r="D56" s="28" t="n">
        <v>3.8</v>
      </c>
      <c r="E56" s="28" t="n">
        <v>0.5</v>
      </c>
      <c r="F56" s="28" t="n">
        <v>0.1</v>
      </c>
      <c r="G56" s="22" t="s">
        <v>164</v>
      </c>
      <c r="H56" s="28" t="n">
        <v>15.5</v>
      </c>
      <c r="I56" s="28" t="n">
        <v>0.8</v>
      </c>
      <c r="J56" s="28" t="n">
        <v>1.4</v>
      </c>
      <c r="K56" s="23" t="s">
        <v>291</v>
      </c>
      <c r="L56" s="23" t="s">
        <v>247</v>
      </c>
    </row>
    <row r="57" customFormat="false" ht="13.5" hidden="false" customHeight="true" outlineLevel="0" collapsed="false">
      <c r="A57" s="8" t="s">
        <v>77</v>
      </c>
      <c r="B57" s="14" t="s">
        <v>78</v>
      </c>
      <c r="C57" s="14" t="s">
        <v>225</v>
      </c>
      <c r="D57" s="22" t="s">
        <v>164</v>
      </c>
      <c r="E57" s="28" t="n">
        <v>4.5</v>
      </c>
      <c r="F57" s="28" t="n">
        <v>0.3</v>
      </c>
      <c r="G57" s="22" t="s">
        <v>164</v>
      </c>
      <c r="H57" s="22" t="s">
        <v>164</v>
      </c>
      <c r="I57" s="28" t="n">
        <v>22</v>
      </c>
      <c r="J57" s="28" t="n">
        <v>2</v>
      </c>
      <c r="K57" s="23" t="s">
        <v>292</v>
      </c>
      <c r="L57" s="23" t="s">
        <v>247</v>
      </c>
    </row>
    <row r="58" customFormat="false" ht="13.5" hidden="false" customHeight="true" outlineLevel="0" collapsed="false">
      <c r="A58" s="8" t="s">
        <v>77</v>
      </c>
      <c r="B58" s="14" t="s">
        <v>78</v>
      </c>
      <c r="C58" s="14" t="s">
        <v>231</v>
      </c>
      <c r="D58" s="22" t="s">
        <v>164</v>
      </c>
      <c r="E58" s="28" t="n">
        <v>10.5</v>
      </c>
      <c r="F58" s="22" t="s">
        <v>164</v>
      </c>
      <c r="G58" s="22" t="s">
        <v>164</v>
      </c>
      <c r="H58" s="22" t="s">
        <v>164</v>
      </c>
      <c r="I58" s="28" t="n">
        <v>22</v>
      </c>
      <c r="J58" s="28" t="n">
        <v>0.25</v>
      </c>
      <c r="K58" s="23" t="s">
        <v>293</v>
      </c>
      <c r="L58" s="23" t="s">
        <v>247</v>
      </c>
    </row>
    <row r="59" customFormat="false" ht="13.5" hidden="false" customHeight="true" outlineLevel="0" collapsed="false">
      <c r="A59" s="8" t="s">
        <v>79</v>
      </c>
      <c r="B59" s="14" t="s">
        <v>80</v>
      </c>
      <c r="C59" s="14" t="s">
        <v>231</v>
      </c>
      <c r="D59" s="22" t="s">
        <v>164</v>
      </c>
      <c r="E59" s="28" t="n">
        <v>10</v>
      </c>
      <c r="F59" s="22" t="s">
        <v>164</v>
      </c>
      <c r="G59" s="22" t="s">
        <v>164</v>
      </c>
      <c r="H59" s="22" t="s">
        <v>164</v>
      </c>
      <c r="I59" s="28" t="n">
        <v>21</v>
      </c>
      <c r="J59" s="28" t="n">
        <v>0.25</v>
      </c>
      <c r="K59" s="23" t="s">
        <v>294</v>
      </c>
      <c r="L59" s="23" t="s">
        <v>247</v>
      </c>
    </row>
    <row r="60" customFormat="false" ht="13.5" hidden="false" customHeight="true" outlineLevel="0" collapsed="false">
      <c r="A60" s="8" t="s">
        <v>81</v>
      </c>
      <c r="B60" s="14" t="s">
        <v>82</v>
      </c>
      <c r="C60" s="14" t="s">
        <v>231</v>
      </c>
      <c r="D60" s="22" t="s">
        <v>164</v>
      </c>
      <c r="E60" s="28" t="n">
        <v>11</v>
      </c>
      <c r="F60" s="22" t="s">
        <v>164</v>
      </c>
      <c r="G60" s="22" t="s">
        <v>164</v>
      </c>
      <c r="H60" s="22" t="s">
        <v>164</v>
      </c>
      <c r="I60" s="28" t="n">
        <v>22.5</v>
      </c>
      <c r="J60" s="28" t="n">
        <v>0.3</v>
      </c>
      <c r="K60" s="23" t="s">
        <v>295</v>
      </c>
      <c r="L60" s="23" t="s">
        <v>247</v>
      </c>
    </row>
    <row r="61" customFormat="false" ht="13.5" hidden="false" customHeight="true" outlineLevel="0" collapsed="false">
      <c r="A61" s="8" t="s">
        <v>83</v>
      </c>
      <c r="B61" s="14" t="s">
        <v>84</v>
      </c>
      <c r="C61" s="14" t="s">
        <v>225</v>
      </c>
      <c r="D61" s="22" t="s">
        <v>164</v>
      </c>
      <c r="E61" s="28" t="n">
        <v>4.5</v>
      </c>
      <c r="F61" s="28" t="n">
        <v>0.3</v>
      </c>
      <c r="G61" s="22" t="s">
        <v>164</v>
      </c>
      <c r="H61" s="22" t="s">
        <v>164</v>
      </c>
      <c r="I61" s="28" t="n">
        <v>22</v>
      </c>
      <c r="J61" s="28" t="n">
        <v>2</v>
      </c>
      <c r="K61" s="23" t="s">
        <v>296</v>
      </c>
      <c r="L61" s="23" t="s">
        <v>247</v>
      </c>
    </row>
    <row r="62" customFormat="false" ht="13.5" hidden="false" customHeight="true" outlineLevel="0" collapsed="false">
      <c r="A62" s="8" t="s">
        <v>83</v>
      </c>
      <c r="B62" s="14" t="s">
        <v>84</v>
      </c>
      <c r="C62" s="14" t="s">
        <v>231</v>
      </c>
      <c r="D62" s="22" t="s">
        <v>164</v>
      </c>
      <c r="E62" s="28" t="n">
        <v>11</v>
      </c>
      <c r="F62" s="22" t="s">
        <v>164</v>
      </c>
      <c r="G62" s="22" t="s">
        <v>164</v>
      </c>
      <c r="H62" s="22" t="s">
        <v>164</v>
      </c>
      <c r="I62" s="28" t="n">
        <v>23</v>
      </c>
      <c r="J62" s="28" t="n">
        <v>0.28</v>
      </c>
      <c r="K62" s="23" t="s">
        <v>297</v>
      </c>
      <c r="L62" s="23" t="s">
        <v>247</v>
      </c>
    </row>
    <row r="63" customFormat="false" ht="13.5" hidden="false" customHeight="true" outlineLevel="0" collapsed="false">
      <c r="A63" s="8" t="s">
        <v>93</v>
      </c>
      <c r="B63" s="14" t="s">
        <v>94</v>
      </c>
      <c r="C63" s="14" t="s">
        <v>222</v>
      </c>
      <c r="D63" s="22" t="s">
        <v>164</v>
      </c>
      <c r="E63" s="28" t="n">
        <v>0.2</v>
      </c>
      <c r="F63" s="22" t="s">
        <v>164</v>
      </c>
      <c r="G63" s="22" t="s">
        <v>164</v>
      </c>
      <c r="H63" s="22" t="s">
        <v>164</v>
      </c>
      <c r="I63" s="22" t="s">
        <v>164</v>
      </c>
      <c r="J63" s="28" t="n">
        <v>50</v>
      </c>
      <c r="K63" s="23" t="s">
        <v>298</v>
      </c>
      <c r="L63" s="23" t="s">
        <v>247</v>
      </c>
    </row>
    <row r="64" customFormat="false" ht="13.5" hidden="false" customHeight="true" outlineLevel="0" collapsed="false">
      <c r="A64" s="8" t="s">
        <v>95</v>
      </c>
      <c r="B64" s="14" t="s">
        <v>96</v>
      </c>
      <c r="C64" s="14" t="s">
        <v>225</v>
      </c>
      <c r="D64" s="22" t="s">
        <v>164</v>
      </c>
      <c r="E64" s="28" t="n">
        <v>4.5</v>
      </c>
      <c r="F64" s="28" t="n">
        <v>0.2</v>
      </c>
      <c r="G64" s="22" t="s">
        <v>164</v>
      </c>
      <c r="H64" s="22" t="s">
        <v>164</v>
      </c>
      <c r="I64" s="28" t="n">
        <v>20</v>
      </c>
      <c r="J64" s="28" t="n">
        <v>2</v>
      </c>
      <c r="K64" s="23" t="s">
        <v>299</v>
      </c>
      <c r="L64" s="23" t="s">
        <v>247</v>
      </c>
    </row>
    <row r="65" customFormat="false" ht="13.5" hidden="false" customHeight="true" outlineLevel="0" collapsed="false">
      <c r="A65" s="8" t="s">
        <v>95</v>
      </c>
      <c r="B65" s="14" t="s">
        <v>96</v>
      </c>
      <c r="C65" s="14" t="s">
        <v>211</v>
      </c>
      <c r="D65" s="28" t="n">
        <v>0.1</v>
      </c>
      <c r="E65" s="28" t="n">
        <v>0.5</v>
      </c>
      <c r="F65" s="28" t="n">
        <v>0.1</v>
      </c>
      <c r="G65" s="22" t="s">
        <v>164</v>
      </c>
      <c r="H65" s="22" t="s">
        <v>164</v>
      </c>
      <c r="I65" s="22" t="s">
        <v>164</v>
      </c>
      <c r="J65" s="28" t="n">
        <v>3.5</v>
      </c>
      <c r="K65" s="23" t="s">
        <v>300</v>
      </c>
      <c r="L65" s="23" t="s">
        <v>247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15" min="4" style="0" width="9"/>
  </cols>
  <sheetData>
    <row r="1" customFormat="false" ht="24" hidden="false" customHeight="true" outlineLevel="0" collapsed="false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42" hidden="false" customHeight="true" outlineLevel="0" collapsed="false">
      <c r="A2" s="2" t="s">
        <v>302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7" t="s">
        <v>27</v>
      </c>
      <c r="B3" s="7" t="s">
        <v>28</v>
      </c>
      <c r="C3" s="7" t="s">
        <v>303</v>
      </c>
      <c r="D3" s="7" t="s">
        <v>304</v>
      </c>
      <c r="E3" s="7" t="s">
        <v>305</v>
      </c>
      <c r="F3" s="7" t="s">
        <v>306</v>
      </c>
      <c r="G3" s="7" t="s">
        <v>307</v>
      </c>
      <c r="H3" s="7" t="s">
        <v>308</v>
      </c>
      <c r="I3" s="7" t="s">
        <v>309</v>
      </c>
      <c r="J3" s="7" t="s">
        <v>310</v>
      </c>
      <c r="K3" s="7" t="s">
        <v>311</v>
      </c>
      <c r="L3" s="7" t="s">
        <v>312</v>
      </c>
      <c r="M3" s="7" t="s">
        <v>313</v>
      </c>
      <c r="N3" s="7" t="s">
        <v>314</v>
      </c>
      <c r="O3" s="7" t="s">
        <v>315</v>
      </c>
    </row>
    <row r="4" customFormat="false" ht="13.5" hidden="false" customHeight="true" outlineLevel="0" collapsed="false">
      <c r="A4" s="8" t="s">
        <v>29</v>
      </c>
      <c r="B4" s="14" t="s">
        <v>30</v>
      </c>
      <c r="C4" s="23" t="s">
        <v>316</v>
      </c>
      <c r="D4" s="28" t="n">
        <v>0.58</v>
      </c>
      <c r="E4" s="28" t="n">
        <v>0.5655</v>
      </c>
      <c r="F4" s="28" t="n">
        <v>0.5509</v>
      </c>
      <c r="G4" s="28" t="n">
        <v>0.5364</v>
      </c>
      <c r="H4" s="28" t="n">
        <v>0.5218</v>
      </c>
      <c r="I4" s="28" t="n">
        <v>0.5073</v>
      </c>
      <c r="J4" s="28" t="n">
        <v>0.4927</v>
      </c>
      <c r="K4" s="28" t="n">
        <v>0.4782</v>
      </c>
      <c r="L4" s="28" t="n">
        <v>0.4636</v>
      </c>
      <c r="M4" s="28" t="n">
        <v>0.4491</v>
      </c>
      <c r="N4" s="28" t="n">
        <v>0.4345</v>
      </c>
      <c r="O4" s="28" t="n">
        <v>0.42</v>
      </c>
    </row>
    <row r="5" customFormat="false" ht="13.5" hidden="false" customHeight="true" outlineLevel="0" collapsed="false">
      <c r="A5" s="8" t="s">
        <v>31</v>
      </c>
      <c r="B5" s="14" t="s">
        <v>32</v>
      </c>
      <c r="C5" s="23" t="s">
        <v>317</v>
      </c>
      <c r="D5" s="29" t="n">
        <v>0.713</v>
      </c>
      <c r="E5" s="29" t="n">
        <v>0.6936</v>
      </c>
      <c r="F5" s="29" t="n">
        <v>0.6743</v>
      </c>
      <c r="G5" s="29" t="n">
        <v>0.6549</v>
      </c>
      <c r="H5" s="29" t="n">
        <v>0.6355</v>
      </c>
      <c r="I5" s="29" t="n">
        <v>0.6162</v>
      </c>
      <c r="J5" s="29" t="n">
        <v>0.5968</v>
      </c>
      <c r="K5" s="29" t="n">
        <v>0.5775</v>
      </c>
      <c r="L5" s="29" t="n">
        <v>0.5581</v>
      </c>
      <c r="M5" s="29" t="n">
        <v>0.5387</v>
      </c>
      <c r="N5" s="29" t="n">
        <v>0.5194</v>
      </c>
      <c r="O5" s="29" t="n">
        <v>0.5</v>
      </c>
    </row>
    <row r="6" customFormat="false" ht="13.5" hidden="false" customHeight="true" outlineLevel="0" collapsed="false">
      <c r="A6" s="8" t="s">
        <v>33</v>
      </c>
      <c r="B6" s="14" t="s">
        <v>34</v>
      </c>
      <c r="C6" s="23" t="s">
        <v>318</v>
      </c>
      <c r="D6" s="28" t="n">
        <v>0.43</v>
      </c>
      <c r="E6" s="28" t="n">
        <v>0.4218</v>
      </c>
      <c r="F6" s="28" t="n">
        <v>0.4136</v>
      </c>
      <c r="G6" s="28" t="n">
        <v>0.4055</v>
      </c>
      <c r="H6" s="28" t="n">
        <v>0.3973</v>
      </c>
      <c r="I6" s="28" t="n">
        <v>0.3891</v>
      </c>
      <c r="J6" s="28" t="n">
        <v>0.3809</v>
      </c>
      <c r="K6" s="28" t="n">
        <v>0.3727</v>
      </c>
      <c r="L6" s="28" t="n">
        <v>0.3645</v>
      </c>
      <c r="M6" s="28" t="n">
        <v>0.3564</v>
      </c>
      <c r="N6" s="28" t="n">
        <v>0.3482</v>
      </c>
      <c r="O6" s="28" t="n">
        <v>0.34</v>
      </c>
    </row>
    <row r="7" customFormat="false" ht="13.5" hidden="false" customHeight="true" outlineLevel="0" collapsed="false">
      <c r="A7" s="8" t="s">
        <v>35</v>
      </c>
      <c r="B7" s="14" t="s">
        <v>36</v>
      </c>
      <c r="C7" s="23" t="s">
        <v>319</v>
      </c>
      <c r="D7" s="28" t="n">
        <v>0.28</v>
      </c>
      <c r="E7" s="28" t="n">
        <v>0.2736</v>
      </c>
      <c r="F7" s="28" t="n">
        <v>0.2673</v>
      </c>
      <c r="G7" s="28" t="n">
        <v>0.2609</v>
      </c>
      <c r="H7" s="28" t="n">
        <v>0.2545</v>
      </c>
      <c r="I7" s="28" t="n">
        <v>0.2482</v>
      </c>
      <c r="J7" s="28" t="n">
        <v>0.2418</v>
      </c>
      <c r="K7" s="28" t="n">
        <v>0.2355</v>
      </c>
      <c r="L7" s="28" t="n">
        <v>0.2291</v>
      </c>
      <c r="M7" s="28" t="n">
        <v>0.2227</v>
      </c>
      <c r="N7" s="28" t="n">
        <v>0.2164</v>
      </c>
      <c r="O7" s="28" t="n">
        <v>0.21</v>
      </c>
    </row>
    <row r="8" customFormat="false" ht="13.5" hidden="false" customHeight="true" outlineLevel="0" collapsed="false">
      <c r="A8" s="8" t="s">
        <v>37</v>
      </c>
      <c r="B8" s="14" t="s">
        <v>38</v>
      </c>
      <c r="C8" s="23" t="s">
        <v>320</v>
      </c>
      <c r="D8" s="28" t="n">
        <v>0.33</v>
      </c>
      <c r="E8" s="28" t="n">
        <v>0.3264</v>
      </c>
      <c r="F8" s="28" t="n">
        <v>0.3227</v>
      </c>
      <c r="G8" s="28" t="n">
        <v>0.3191</v>
      </c>
      <c r="H8" s="28" t="n">
        <v>0.3155</v>
      </c>
      <c r="I8" s="28" t="n">
        <v>0.3118</v>
      </c>
      <c r="J8" s="28" t="n">
        <v>0.3082</v>
      </c>
      <c r="K8" s="28" t="n">
        <v>0.3045</v>
      </c>
      <c r="L8" s="28" t="n">
        <v>0.3009</v>
      </c>
      <c r="M8" s="28" t="n">
        <v>0.2973</v>
      </c>
      <c r="N8" s="28" t="n">
        <v>0.2936</v>
      </c>
      <c r="O8" s="28" t="n">
        <v>0.29</v>
      </c>
    </row>
    <row r="9" customFormat="false" ht="13.5" hidden="false" customHeight="true" outlineLevel="0" collapsed="false">
      <c r="A9" s="8" t="s">
        <v>39</v>
      </c>
      <c r="B9" s="14" t="s">
        <v>40</v>
      </c>
      <c r="C9" s="23" t="s">
        <v>321</v>
      </c>
      <c r="D9" s="28" t="n">
        <v>0.44</v>
      </c>
      <c r="E9" s="28" t="n">
        <v>0.4291</v>
      </c>
      <c r="F9" s="28" t="n">
        <v>0.4182</v>
      </c>
      <c r="G9" s="28" t="n">
        <v>0.4073</v>
      </c>
      <c r="H9" s="28" t="n">
        <v>0.3964</v>
      </c>
      <c r="I9" s="28" t="n">
        <v>0.3855</v>
      </c>
      <c r="J9" s="28" t="n">
        <v>0.3745</v>
      </c>
      <c r="K9" s="28" t="n">
        <v>0.3636</v>
      </c>
      <c r="L9" s="28" t="n">
        <v>0.3527</v>
      </c>
      <c r="M9" s="28" t="n">
        <v>0.3418</v>
      </c>
      <c r="N9" s="28" t="n">
        <v>0.3309</v>
      </c>
      <c r="O9" s="28" t="n">
        <v>0.32</v>
      </c>
    </row>
    <row r="10" customFormat="false" ht="13.5" hidden="false" customHeight="true" outlineLevel="0" collapsed="false">
      <c r="A10" s="8" t="s">
        <v>41</v>
      </c>
      <c r="B10" s="14" t="s">
        <v>42</v>
      </c>
      <c r="C10" s="23" t="s">
        <v>322</v>
      </c>
      <c r="D10" s="29" t="n">
        <v>0.19</v>
      </c>
      <c r="E10" s="29" t="n">
        <v>0.18</v>
      </c>
      <c r="F10" s="29" t="n">
        <v>0.17</v>
      </c>
      <c r="G10" s="29" t="n">
        <v>0.16</v>
      </c>
      <c r="H10" s="29" t="n">
        <v>0.15</v>
      </c>
      <c r="I10" s="29" t="n">
        <v>0.14</v>
      </c>
      <c r="J10" s="29" t="n">
        <v>0.13</v>
      </c>
      <c r="K10" s="29" t="n">
        <v>0.12</v>
      </c>
      <c r="L10" s="29" t="n">
        <v>0.11</v>
      </c>
      <c r="M10" s="29" t="n">
        <v>0.1</v>
      </c>
      <c r="N10" s="29" t="n">
        <v>0.09</v>
      </c>
      <c r="O10" s="29" t="n">
        <v>0.08</v>
      </c>
    </row>
    <row r="11" customFormat="false" ht="13.5" hidden="false" customHeight="true" outlineLevel="0" collapsed="false">
      <c r="A11" s="8" t="s">
        <v>43</v>
      </c>
      <c r="B11" s="14" t="s">
        <v>44</v>
      </c>
      <c r="C11" s="23" t="s">
        <v>323</v>
      </c>
      <c r="D11" s="28" t="n">
        <v>0.51</v>
      </c>
      <c r="E11" s="28" t="n">
        <v>0.4973</v>
      </c>
      <c r="F11" s="28" t="n">
        <v>0.4845</v>
      </c>
      <c r="G11" s="28" t="n">
        <v>0.4718</v>
      </c>
      <c r="H11" s="28" t="n">
        <v>0.4591</v>
      </c>
      <c r="I11" s="28" t="n">
        <v>0.4464</v>
      </c>
      <c r="J11" s="28" t="n">
        <v>0.4336</v>
      </c>
      <c r="K11" s="28" t="n">
        <v>0.4209</v>
      </c>
      <c r="L11" s="28" t="n">
        <v>0.4082</v>
      </c>
      <c r="M11" s="28" t="n">
        <v>0.3955</v>
      </c>
      <c r="N11" s="28" t="n">
        <v>0.3827</v>
      </c>
      <c r="O11" s="28" t="n">
        <v>0.37</v>
      </c>
    </row>
    <row r="12" customFormat="false" ht="13.5" hidden="false" customHeight="true" outlineLevel="0" collapsed="false">
      <c r="A12" s="8" t="s">
        <v>45</v>
      </c>
      <c r="B12" s="14" t="s">
        <v>46</v>
      </c>
      <c r="C12" s="23" t="s">
        <v>324</v>
      </c>
      <c r="D12" s="28" t="n">
        <v>0.62</v>
      </c>
      <c r="E12" s="28" t="n">
        <v>0.6027</v>
      </c>
      <c r="F12" s="28" t="n">
        <v>0.5855</v>
      </c>
      <c r="G12" s="28" t="n">
        <v>0.5682</v>
      </c>
      <c r="H12" s="28" t="n">
        <v>0.5509</v>
      </c>
      <c r="I12" s="28" t="n">
        <v>0.5336</v>
      </c>
      <c r="J12" s="28" t="n">
        <v>0.5164</v>
      </c>
      <c r="K12" s="28" t="n">
        <v>0.4991</v>
      </c>
      <c r="L12" s="28" t="n">
        <v>0.4818</v>
      </c>
      <c r="M12" s="28" t="n">
        <v>0.4645</v>
      </c>
      <c r="N12" s="28" t="n">
        <v>0.4473</v>
      </c>
      <c r="O12" s="28" t="n">
        <v>0.43</v>
      </c>
    </row>
    <row r="13" customFormat="false" ht="13.5" hidden="false" customHeight="true" outlineLevel="0" collapsed="false">
      <c r="A13" s="8" t="s">
        <v>47</v>
      </c>
      <c r="B13" s="14" t="s">
        <v>48</v>
      </c>
      <c r="C13" s="23" t="s">
        <v>325</v>
      </c>
      <c r="D13" s="29" t="n">
        <v>0.075</v>
      </c>
      <c r="E13" s="29" t="n">
        <v>0.0736</v>
      </c>
      <c r="F13" s="29" t="n">
        <v>0.0723</v>
      </c>
      <c r="G13" s="29" t="n">
        <v>0.0709</v>
      </c>
      <c r="H13" s="29" t="n">
        <v>0.0695</v>
      </c>
      <c r="I13" s="29" t="n">
        <v>0.0682</v>
      </c>
      <c r="J13" s="29" t="n">
        <v>0.0668</v>
      </c>
      <c r="K13" s="29" t="n">
        <v>0.0655</v>
      </c>
      <c r="L13" s="29" t="n">
        <v>0.0641</v>
      </c>
      <c r="M13" s="29" t="n">
        <v>0.0627</v>
      </c>
      <c r="N13" s="29" t="n">
        <v>0.0614</v>
      </c>
      <c r="O13" s="29" t="n">
        <v>0.06</v>
      </c>
    </row>
    <row r="14" customFormat="false" ht="13.5" hidden="false" customHeight="true" outlineLevel="0" collapsed="false">
      <c r="A14" s="8" t="s">
        <v>49</v>
      </c>
      <c r="B14" s="14" t="s">
        <v>50</v>
      </c>
      <c r="C14" s="23" t="s">
        <v>326</v>
      </c>
      <c r="D14" s="28" t="n">
        <v>0.7</v>
      </c>
      <c r="E14" s="28" t="n">
        <v>0.6855</v>
      </c>
      <c r="F14" s="28" t="n">
        <v>0.6709</v>
      </c>
      <c r="G14" s="28" t="n">
        <v>0.6564</v>
      </c>
      <c r="H14" s="28" t="n">
        <v>0.6418</v>
      </c>
      <c r="I14" s="28" t="n">
        <v>0.6273</v>
      </c>
      <c r="J14" s="28" t="n">
        <v>0.6127</v>
      </c>
      <c r="K14" s="28" t="n">
        <v>0.5982</v>
      </c>
      <c r="L14" s="28" t="n">
        <v>0.5836</v>
      </c>
      <c r="M14" s="28" t="n">
        <v>0.5691</v>
      </c>
      <c r="N14" s="28" t="n">
        <v>0.5545</v>
      </c>
      <c r="O14" s="28" t="n">
        <v>0.54</v>
      </c>
    </row>
    <row r="15" customFormat="false" ht="13.5" hidden="false" customHeight="true" outlineLevel="0" collapsed="false">
      <c r="A15" s="8" t="s">
        <v>51</v>
      </c>
      <c r="B15" s="14" t="s">
        <v>52</v>
      </c>
      <c r="C15" s="23" t="s">
        <v>327</v>
      </c>
      <c r="D15" s="29" t="n">
        <v>0.51</v>
      </c>
      <c r="E15" s="29" t="n">
        <v>0.5</v>
      </c>
      <c r="F15" s="29" t="n">
        <v>0.49</v>
      </c>
      <c r="G15" s="29" t="n">
        <v>0.48</v>
      </c>
      <c r="H15" s="29" t="n">
        <v>0.47</v>
      </c>
      <c r="I15" s="29" t="n">
        <v>0.46</v>
      </c>
      <c r="J15" s="29" t="n">
        <v>0.45</v>
      </c>
      <c r="K15" s="29" t="n">
        <v>0.44</v>
      </c>
      <c r="L15" s="29" t="n">
        <v>0.43</v>
      </c>
      <c r="M15" s="29" t="n">
        <v>0.42</v>
      </c>
      <c r="N15" s="29" t="n">
        <v>0.41</v>
      </c>
      <c r="O15" s="29" t="n">
        <v>0.4</v>
      </c>
    </row>
    <row r="16" customFormat="false" ht="13.5" hidden="false" customHeight="true" outlineLevel="0" collapsed="false">
      <c r="A16" s="8" t="s">
        <v>53</v>
      </c>
      <c r="B16" s="14" t="s">
        <v>54</v>
      </c>
      <c r="C16" s="23" t="s">
        <v>328</v>
      </c>
      <c r="D16" s="28" t="n">
        <v>0.59</v>
      </c>
      <c r="E16" s="28" t="n">
        <v>0.58</v>
      </c>
      <c r="F16" s="28" t="n">
        <v>0.57</v>
      </c>
      <c r="G16" s="28" t="n">
        <v>0.56</v>
      </c>
      <c r="H16" s="28" t="n">
        <v>0.55</v>
      </c>
      <c r="I16" s="28" t="n">
        <v>0.54</v>
      </c>
      <c r="J16" s="28" t="n">
        <v>0.53</v>
      </c>
      <c r="K16" s="28" t="n">
        <v>0.52</v>
      </c>
      <c r="L16" s="28" t="n">
        <v>0.51</v>
      </c>
      <c r="M16" s="28" t="n">
        <v>0.5</v>
      </c>
      <c r="N16" s="28" t="n">
        <v>0.49</v>
      </c>
      <c r="O16" s="28" t="n">
        <v>0.48</v>
      </c>
    </row>
    <row r="17" customFormat="false" ht="13.5" hidden="false" customHeight="true" outlineLevel="0" collapsed="false">
      <c r="A17" s="8" t="s">
        <v>55</v>
      </c>
      <c r="B17" s="14" t="s">
        <v>56</v>
      </c>
      <c r="C17" s="23" t="s">
        <v>329</v>
      </c>
      <c r="D17" s="28" t="n">
        <v>0.52</v>
      </c>
      <c r="E17" s="28" t="n">
        <v>0.5064</v>
      </c>
      <c r="F17" s="28" t="n">
        <v>0.4927</v>
      </c>
      <c r="G17" s="28" t="n">
        <v>0.4791</v>
      </c>
      <c r="H17" s="28" t="n">
        <v>0.4655</v>
      </c>
      <c r="I17" s="28" t="n">
        <v>0.4518</v>
      </c>
      <c r="J17" s="28" t="n">
        <v>0.4382</v>
      </c>
      <c r="K17" s="28" t="n">
        <v>0.4245</v>
      </c>
      <c r="L17" s="28" t="n">
        <v>0.4109</v>
      </c>
      <c r="M17" s="28" t="n">
        <v>0.3973</v>
      </c>
      <c r="N17" s="28" t="n">
        <v>0.3836</v>
      </c>
      <c r="O17" s="28" t="n">
        <v>0.37</v>
      </c>
    </row>
    <row r="18" customFormat="false" ht="13.5" hidden="false" customHeight="true" outlineLevel="0" collapsed="false">
      <c r="A18" s="8" t="s">
        <v>57</v>
      </c>
      <c r="B18" s="14" t="s">
        <v>58</v>
      </c>
      <c r="C18" s="23" t="s">
        <v>330</v>
      </c>
      <c r="D18" s="29" t="n">
        <v>0.045</v>
      </c>
      <c r="E18" s="29" t="n">
        <v>0.0441</v>
      </c>
      <c r="F18" s="29" t="n">
        <v>0.0432</v>
      </c>
      <c r="G18" s="29" t="n">
        <v>0.0423</v>
      </c>
      <c r="H18" s="29" t="n">
        <v>0.0414</v>
      </c>
      <c r="I18" s="29" t="n">
        <v>0.0405</v>
      </c>
      <c r="J18" s="29" t="n">
        <v>0.0395</v>
      </c>
      <c r="K18" s="29" t="n">
        <v>0.0386</v>
      </c>
      <c r="L18" s="29" t="n">
        <v>0.0377</v>
      </c>
      <c r="M18" s="29" t="n">
        <v>0.0368</v>
      </c>
      <c r="N18" s="29" t="n">
        <v>0.0359</v>
      </c>
      <c r="O18" s="29" t="n">
        <v>0.035</v>
      </c>
    </row>
    <row r="19" customFormat="false" ht="13.5" hidden="false" customHeight="true" outlineLevel="0" collapsed="false">
      <c r="A19" s="8" t="s">
        <v>59</v>
      </c>
      <c r="B19" s="14" t="s">
        <v>60</v>
      </c>
      <c r="C19" s="23" t="s">
        <v>331</v>
      </c>
      <c r="D19" s="29" t="n">
        <v>0.54</v>
      </c>
      <c r="E19" s="29" t="n">
        <v>0.5291</v>
      </c>
      <c r="F19" s="29" t="n">
        <v>0.5182</v>
      </c>
      <c r="G19" s="29" t="n">
        <v>0.5073</v>
      </c>
      <c r="H19" s="29" t="n">
        <v>0.4964</v>
      </c>
      <c r="I19" s="29" t="n">
        <v>0.4855</v>
      </c>
      <c r="J19" s="29" t="n">
        <v>0.4745</v>
      </c>
      <c r="K19" s="29" t="n">
        <v>0.4636</v>
      </c>
      <c r="L19" s="29" t="n">
        <v>0.4527</v>
      </c>
      <c r="M19" s="29" t="n">
        <v>0.4418</v>
      </c>
      <c r="N19" s="29" t="n">
        <v>0.4309</v>
      </c>
      <c r="O19" s="29" t="n">
        <v>0.42</v>
      </c>
    </row>
    <row r="20" customFormat="false" ht="13.5" hidden="false" customHeight="true" outlineLevel="0" collapsed="false">
      <c r="A20" s="8" t="s">
        <v>61</v>
      </c>
      <c r="B20" s="14" t="s">
        <v>62</v>
      </c>
      <c r="C20" s="23" t="s">
        <v>332</v>
      </c>
      <c r="D20" s="29" t="n">
        <v>0.46</v>
      </c>
      <c r="E20" s="29" t="n">
        <v>0.4518</v>
      </c>
      <c r="F20" s="29" t="n">
        <v>0.4436</v>
      </c>
      <c r="G20" s="29" t="n">
        <v>0.4355</v>
      </c>
      <c r="H20" s="29" t="n">
        <v>0.4273</v>
      </c>
      <c r="I20" s="29" t="n">
        <v>0.4191</v>
      </c>
      <c r="J20" s="29" t="n">
        <v>0.4109</v>
      </c>
      <c r="K20" s="29" t="n">
        <v>0.4027</v>
      </c>
      <c r="L20" s="29" t="n">
        <v>0.3945</v>
      </c>
      <c r="M20" s="29" t="n">
        <v>0.3864</v>
      </c>
      <c r="N20" s="29" t="n">
        <v>0.3782</v>
      </c>
      <c r="O20" s="29" t="n">
        <v>0.37</v>
      </c>
    </row>
    <row r="21" customFormat="false" ht="13.5" hidden="false" customHeight="true" outlineLevel="0" collapsed="false">
      <c r="A21" s="8" t="s">
        <v>63</v>
      </c>
      <c r="B21" s="14" t="s">
        <v>64</v>
      </c>
      <c r="C21" s="23" t="s">
        <v>333</v>
      </c>
      <c r="D21" s="28" t="n">
        <v>0.38</v>
      </c>
      <c r="E21" s="28" t="n">
        <v>0.3691</v>
      </c>
      <c r="F21" s="28" t="n">
        <v>0.3582</v>
      </c>
      <c r="G21" s="28" t="n">
        <v>0.3473</v>
      </c>
      <c r="H21" s="28" t="n">
        <v>0.3364</v>
      </c>
      <c r="I21" s="28" t="n">
        <v>0.3255</v>
      </c>
      <c r="J21" s="28" t="n">
        <v>0.3145</v>
      </c>
      <c r="K21" s="28" t="n">
        <v>0.3036</v>
      </c>
      <c r="L21" s="28" t="n">
        <v>0.2927</v>
      </c>
      <c r="M21" s="28" t="n">
        <v>0.2818</v>
      </c>
      <c r="N21" s="28" t="n">
        <v>0.2709</v>
      </c>
      <c r="O21" s="28" t="n">
        <v>0.26</v>
      </c>
    </row>
    <row r="22" customFormat="false" ht="13.5" hidden="false" customHeight="true" outlineLevel="0" collapsed="false">
      <c r="A22" s="8" t="s">
        <v>65</v>
      </c>
      <c r="B22" s="14" t="s">
        <v>66</v>
      </c>
      <c r="C22" s="23" t="s">
        <v>334</v>
      </c>
      <c r="D22" s="28" t="n">
        <v>0.58</v>
      </c>
      <c r="E22" s="28" t="n">
        <v>0.5718</v>
      </c>
      <c r="F22" s="28" t="n">
        <v>0.5636</v>
      </c>
      <c r="G22" s="28" t="n">
        <v>0.5555</v>
      </c>
      <c r="H22" s="28" t="n">
        <v>0.5473</v>
      </c>
      <c r="I22" s="28" t="n">
        <v>0.5391</v>
      </c>
      <c r="J22" s="28" t="n">
        <v>0.5309</v>
      </c>
      <c r="K22" s="28" t="n">
        <v>0.5227</v>
      </c>
      <c r="L22" s="28" t="n">
        <v>0.5145</v>
      </c>
      <c r="M22" s="28" t="n">
        <v>0.5064</v>
      </c>
      <c r="N22" s="28" t="n">
        <v>0.4982</v>
      </c>
      <c r="O22" s="28" t="n">
        <v>0.49</v>
      </c>
    </row>
    <row r="23" customFormat="false" ht="13.5" hidden="false" customHeight="true" outlineLevel="0" collapsed="false">
      <c r="A23" s="8" t="s">
        <v>67</v>
      </c>
      <c r="B23" s="14" t="s">
        <v>68</v>
      </c>
      <c r="C23" s="23" t="s">
        <v>335</v>
      </c>
      <c r="D23" s="28" t="n">
        <v>0.85</v>
      </c>
      <c r="E23" s="28" t="n">
        <v>0.8273</v>
      </c>
      <c r="F23" s="28" t="n">
        <v>0.8045</v>
      </c>
      <c r="G23" s="28" t="n">
        <v>0.7818</v>
      </c>
      <c r="H23" s="28" t="n">
        <v>0.7591</v>
      </c>
      <c r="I23" s="28" t="n">
        <v>0.7364</v>
      </c>
      <c r="J23" s="28" t="n">
        <v>0.7136</v>
      </c>
      <c r="K23" s="28" t="n">
        <v>0.6909</v>
      </c>
      <c r="L23" s="28" t="n">
        <v>0.6682</v>
      </c>
      <c r="M23" s="28" t="n">
        <v>0.6455</v>
      </c>
      <c r="N23" s="28" t="n">
        <v>0.6227</v>
      </c>
      <c r="O23" s="28" t="n">
        <v>0.6</v>
      </c>
    </row>
    <row r="24" customFormat="false" ht="13.5" hidden="false" customHeight="true" outlineLevel="0" collapsed="false">
      <c r="A24" s="8" t="s">
        <v>69</v>
      </c>
      <c r="B24" s="14" t="s">
        <v>185</v>
      </c>
      <c r="C24" s="23" t="s">
        <v>336</v>
      </c>
      <c r="D24" s="30" t="n">
        <v>0.02</v>
      </c>
      <c r="E24" s="30" t="n">
        <v>0.0195</v>
      </c>
      <c r="F24" s="30" t="n">
        <v>0.0191</v>
      </c>
      <c r="G24" s="30" t="n">
        <v>0.0186</v>
      </c>
      <c r="H24" s="30" t="n">
        <v>0.0182</v>
      </c>
      <c r="I24" s="30" t="n">
        <v>0.0177</v>
      </c>
      <c r="J24" s="30" t="n">
        <v>0.0173</v>
      </c>
      <c r="K24" s="30" t="n">
        <v>0.0168</v>
      </c>
      <c r="L24" s="30" t="n">
        <v>0.0164</v>
      </c>
      <c r="M24" s="30" t="n">
        <v>0.0159</v>
      </c>
      <c r="N24" s="30" t="n">
        <v>0.0155</v>
      </c>
      <c r="O24" s="30" t="n">
        <v>0.015</v>
      </c>
    </row>
    <row r="25" customFormat="false" ht="13.5" hidden="false" customHeight="true" outlineLevel="0" collapsed="false">
      <c r="A25" s="8" t="s">
        <v>71</v>
      </c>
      <c r="B25" s="14" t="s">
        <v>189</v>
      </c>
      <c r="C25" s="23" t="s">
        <v>337</v>
      </c>
      <c r="D25" s="30" t="n">
        <v>0</v>
      </c>
      <c r="E25" s="30" t="n">
        <v>0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0</v>
      </c>
      <c r="O25" s="30" t="n">
        <v>0</v>
      </c>
    </row>
    <row r="26" customFormat="false" ht="13.5" hidden="false" customHeight="true" outlineLevel="0" collapsed="false">
      <c r="A26" s="8" t="s">
        <v>73</v>
      </c>
      <c r="B26" s="14" t="s">
        <v>74</v>
      </c>
      <c r="C26" s="23" t="s">
        <v>338</v>
      </c>
      <c r="D26" s="28" t="n">
        <v>0.62</v>
      </c>
      <c r="E26" s="28" t="n">
        <v>0.6055</v>
      </c>
      <c r="F26" s="28" t="n">
        <v>0.5909</v>
      </c>
      <c r="G26" s="28" t="n">
        <v>0.5764</v>
      </c>
      <c r="H26" s="28" t="n">
        <v>0.5618</v>
      </c>
      <c r="I26" s="28" t="n">
        <v>0.5473</v>
      </c>
      <c r="J26" s="28" t="n">
        <v>0.5327</v>
      </c>
      <c r="K26" s="28" t="n">
        <v>0.5182</v>
      </c>
      <c r="L26" s="28" t="n">
        <v>0.5036</v>
      </c>
      <c r="M26" s="28" t="n">
        <v>0.4891</v>
      </c>
      <c r="N26" s="28" t="n">
        <v>0.4745</v>
      </c>
      <c r="O26" s="28" t="n">
        <v>0.46</v>
      </c>
    </row>
    <row r="27" customFormat="false" ht="13.5" hidden="false" customHeight="true" outlineLevel="0" collapsed="false">
      <c r="A27" s="8" t="s">
        <v>75</v>
      </c>
      <c r="B27" s="14" t="s">
        <v>76</v>
      </c>
      <c r="C27" s="23" t="s">
        <v>339</v>
      </c>
      <c r="D27" s="28" t="n">
        <v>0.45</v>
      </c>
      <c r="E27" s="28" t="n">
        <v>0.4382</v>
      </c>
      <c r="F27" s="28" t="n">
        <v>0.4264</v>
      </c>
      <c r="G27" s="28" t="n">
        <v>0.4145</v>
      </c>
      <c r="H27" s="28" t="n">
        <v>0.4027</v>
      </c>
      <c r="I27" s="28" t="n">
        <v>0.3909</v>
      </c>
      <c r="J27" s="28" t="n">
        <v>0.3791</v>
      </c>
      <c r="K27" s="28" t="n">
        <v>0.3673</v>
      </c>
      <c r="L27" s="28" t="n">
        <v>0.3555</v>
      </c>
      <c r="M27" s="28" t="n">
        <v>0.3436</v>
      </c>
      <c r="N27" s="28" t="n">
        <v>0.3318</v>
      </c>
      <c r="O27" s="28" t="n">
        <v>0.32</v>
      </c>
    </row>
    <row r="28" customFormat="false" ht="13.5" hidden="false" customHeight="true" outlineLevel="0" collapsed="false">
      <c r="A28" s="8" t="s">
        <v>77</v>
      </c>
      <c r="B28" s="14" t="s">
        <v>78</v>
      </c>
      <c r="C28" s="23" t="s">
        <v>340</v>
      </c>
      <c r="D28" s="28" t="n">
        <v>0.68</v>
      </c>
      <c r="E28" s="28" t="n">
        <v>0.6645</v>
      </c>
      <c r="F28" s="28" t="n">
        <v>0.6491</v>
      </c>
      <c r="G28" s="28" t="n">
        <v>0.6336</v>
      </c>
      <c r="H28" s="28" t="n">
        <v>0.6182</v>
      </c>
      <c r="I28" s="28" t="n">
        <v>0.6027</v>
      </c>
      <c r="J28" s="28" t="n">
        <v>0.5873</v>
      </c>
      <c r="K28" s="28" t="n">
        <v>0.5718</v>
      </c>
      <c r="L28" s="28" t="n">
        <v>0.5564</v>
      </c>
      <c r="M28" s="28" t="n">
        <v>0.5409</v>
      </c>
      <c r="N28" s="28" t="n">
        <v>0.5255</v>
      </c>
      <c r="O28" s="28" t="n">
        <v>0.51</v>
      </c>
    </row>
    <row r="29" customFormat="false" ht="13.5" hidden="false" customHeight="true" outlineLevel="0" collapsed="false">
      <c r="A29" s="8" t="s">
        <v>79</v>
      </c>
      <c r="B29" s="14" t="s">
        <v>80</v>
      </c>
      <c r="C29" s="23" t="s">
        <v>334</v>
      </c>
      <c r="D29" s="28" t="n">
        <v>0.49</v>
      </c>
      <c r="E29" s="28" t="n">
        <v>0.4818</v>
      </c>
      <c r="F29" s="28" t="n">
        <v>0.4736</v>
      </c>
      <c r="G29" s="28" t="n">
        <v>0.4655</v>
      </c>
      <c r="H29" s="28" t="n">
        <v>0.4573</v>
      </c>
      <c r="I29" s="28" t="n">
        <v>0.4491</v>
      </c>
      <c r="J29" s="28" t="n">
        <v>0.4409</v>
      </c>
      <c r="K29" s="28" t="n">
        <v>0.4327</v>
      </c>
      <c r="L29" s="28" t="n">
        <v>0.4245</v>
      </c>
      <c r="M29" s="28" t="n">
        <v>0.4164</v>
      </c>
      <c r="N29" s="28" t="n">
        <v>0.4082</v>
      </c>
      <c r="O29" s="28" t="n">
        <v>0.4</v>
      </c>
    </row>
    <row r="30" customFormat="false" ht="13.5" hidden="false" customHeight="true" outlineLevel="0" collapsed="false">
      <c r="A30" s="8" t="s">
        <v>81</v>
      </c>
      <c r="B30" s="14" t="s">
        <v>82</v>
      </c>
      <c r="C30" s="23" t="s">
        <v>334</v>
      </c>
      <c r="D30" s="28" t="n">
        <v>0.46</v>
      </c>
      <c r="E30" s="28" t="n">
        <v>0.4545</v>
      </c>
      <c r="F30" s="28" t="n">
        <v>0.4491</v>
      </c>
      <c r="G30" s="28" t="n">
        <v>0.4436</v>
      </c>
      <c r="H30" s="28" t="n">
        <v>0.4382</v>
      </c>
      <c r="I30" s="28" t="n">
        <v>0.4327</v>
      </c>
      <c r="J30" s="28" t="n">
        <v>0.4273</v>
      </c>
      <c r="K30" s="28" t="n">
        <v>0.4218</v>
      </c>
      <c r="L30" s="28" t="n">
        <v>0.4164</v>
      </c>
      <c r="M30" s="28" t="n">
        <v>0.4109</v>
      </c>
      <c r="N30" s="28" t="n">
        <v>0.4055</v>
      </c>
      <c r="O30" s="28" t="n">
        <v>0.4</v>
      </c>
    </row>
    <row r="31" customFormat="false" ht="13.5" hidden="false" customHeight="true" outlineLevel="0" collapsed="false">
      <c r="A31" s="8" t="s">
        <v>83</v>
      </c>
      <c r="B31" s="14" t="s">
        <v>84</v>
      </c>
      <c r="C31" s="23" t="s">
        <v>341</v>
      </c>
      <c r="D31" s="28" t="n">
        <v>0.57</v>
      </c>
      <c r="E31" s="28" t="n">
        <v>0.5582</v>
      </c>
      <c r="F31" s="28" t="n">
        <v>0.5464</v>
      </c>
      <c r="G31" s="28" t="n">
        <v>0.5345</v>
      </c>
      <c r="H31" s="28" t="n">
        <v>0.5227</v>
      </c>
      <c r="I31" s="28" t="n">
        <v>0.5109</v>
      </c>
      <c r="J31" s="28" t="n">
        <v>0.4991</v>
      </c>
      <c r="K31" s="28" t="n">
        <v>0.4873</v>
      </c>
      <c r="L31" s="28" t="n">
        <v>0.4755</v>
      </c>
      <c r="M31" s="28" t="n">
        <v>0.4636</v>
      </c>
      <c r="N31" s="28" t="n">
        <v>0.4518</v>
      </c>
      <c r="O31" s="28" t="n">
        <v>0.44</v>
      </c>
    </row>
    <row r="32" customFormat="false" ht="13.5" hidden="false" customHeight="true" outlineLevel="0" collapsed="false">
      <c r="A32" s="8" t="s">
        <v>85</v>
      </c>
      <c r="B32" s="14" t="s">
        <v>86</v>
      </c>
      <c r="C32" s="23" t="s">
        <v>342</v>
      </c>
      <c r="D32" s="28" t="n">
        <v>0.58</v>
      </c>
      <c r="E32" s="28" t="n">
        <v>0.5664</v>
      </c>
      <c r="F32" s="28" t="n">
        <v>0.5527</v>
      </c>
      <c r="G32" s="28" t="n">
        <v>0.5391</v>
      </c>
      <c r="H32" s="28" t="n">
        <v>0.5255</v>
      </c>
      <c r="I32" s="28" t="n">
        <v>0.5118</v>
      </c>
      <c r="J32" s="28" t="n">
        <v>0.4982</v>
      </c>
      <c r="K32" s="28" t="n">
        <v>0.4845</v>
      </c>
      <c r="L32" s="28" t="n">
        <v>0.4709</v>
      </c>
      <c r="M32" s="28" t="n">
        <v>0.4573</v>
      </c>
      <c r="N32" s="28" t="n">
        <v>0.4436</v>
      </c>
      <c r="O32" s="28" t="n">
        <v>0.43</v>
      </c>
    </row>
    <row r="33" customFormat="false" ht="13.5" hidden="false" customHeight="true" outlineLevel="0" collapsed="false">
      <c r="A33" s="8" t="s">
        <v>87</v>
      </c>
      <c r="B33" s="14" t="s">
        <v>88</v>
      </c>
      <c r="C33" s="23" t="s">
        <v>343</v>
      </c>
      <c r="D33" s="28" t="n">
        <v>0.59</v>
      </c>
      <c r="E33" s="28" t="n">
        <v>0.5773</v>
      </c>
      <c r="F33" s="28" t="n">
        <v>0.5645</v>
      </c>
      <c r="G33" s="28" t="n">
        <v>0.5518</v>
      </c>
      <c r="H33" s="28" t="n">
        <v>0.5391</v>
      </c>
      <c r="I33" s="28" t="n">
        <v>0.5264</v>
      </c>
      <c r="J33" s="28" t="n">
        <v>0.5136</v>
      </c>
      <c r="K33" s="28" t="n">
        <v>0.5009</v>
      </c>
      <c r="L33" s="28" t="n">
        <v>0.4882</v>
      </c>
      <c r="M33" s="28" t="n">
        <v>0.4755</v>
      </c>
      <c r="N33" s="28" t="n">
        <v>0.4627</v>
      </c>
      <c r="O33" s="28" t="n">
        <v>0.45</v>
      </c>
    </row>
    <row r="34" customFormat="false" ht="13.5" hidden="false" customHeight="true" outlineLevel="0" collapsed="false">
      <c r="A34" s="8" t="s">
        <v>89</v>
      </c>
      <c r="B34" s="14" t="s">
        <v>90</v>
      </c>
      <c r="C34" s="23" t="s">
        <v>344</v>
      </c>
      <c r="D34" s="28" t="n">
        <v>0.58</v>
      </c>
      <c r="E34" s="28" t="n">
        <v>0.5682</v>
      </c>
      <c r="F34" s="28" t="n">
        <v>0.5564</v>
      </c>
      <c r="G34" s="28" t="n">
        <v>0.5445</v>
      </c>
      <c r="H34" s="28" t="n">
        <v>0.5327</v>
      </c>
      <c r="I34" s="28" t="n">
        <v>0.5209</v>
      </c>
      <c r="J34" s="28" t="n">
        <v>0.5091</v>
      </c>
      <c r="K34" s="28" t="n">
        <v>0.4973</v>
      </c>
      <c r="L34" s="28" t="n">
        <v>0.4855</v>
      </c>
      <c r="M34" s="28" t="n">
        <v>0.4736</v>
      </c>
      <c r="N34" s="28" t="n">
        <v>0.4618</v>
      </c>
      <c r="O34" s="28" t="n">
        <v>0.45</v>
      </c>
    </row>
    <row r="35" customFormat="false" ht="13.5" hidden="false" customHeight="true" outlineLevel="0" collapsed="false">
      <c r="A35" s="8" t="s">
        <v>91</v>
      </c>
      <c r="B35" s="14" t="s">
        <v>92</v>
      </c>
      <c r="C35" s="23" t="s">
        <v>345</v>
      </c>
      <c r="D35" s="28" t="n">
        <v>0.44</v>
      </c>
      <c r="E35" s="28" t="n">
        <v>0.43</v>
      </c>
      <c r="F35" s="28" t="n">
        <v>0.42</v>
      </c>
      <c r="G35" s="28" t="n">
        <v>0.41</v>
      </c>
      <c r="H35" s="28" t="n">
        <v>0.4</v>
      </c>
      <c r="I35" s="28" t="n">
        <v>0.39</v>
      </c>
      <c r="J35" s="28" t="n">
        <v>0.38</v>
      </c>
      <c r="K35" s="28" t="n">
        <v>0.37</v>
      </c>
      <c r="L35" s="28" t="n">
        <v>0.36</v>
      </c>
      <c r="M35" s="28" t="n">
        <v>0.35</v>
      </c>
      <c r="N35" s="28" t="n">
        <v>0.34</v>
      </c>
      <c r="O35" s="28" t="n">
        <v>0.33</v>
      </c>
    </row>
    <row r="36" customFormat="false" ht="13.5" hidden="false" customHeight="true" outlineLevel="0" collapsed="false">
      <c r="A36" s="8" t="s">
        <v>93</v>
      </c>
      <c r="B36" s="14" t="s">
        <v>94</v>
      </c>
      <c r="C36" s="23" t="s">
        <v>346</v>
      </c>
      <c r="D36" s="28" t="n">
        <v>0.13</v>
      </c>
      <c r="E36" s="28" t="n">
        <v>0.1264</v>
      </c>
      <c r="F36" s="28" t="n">
        <v>0.1227</v>
      </c>
      <c r="G36" s="28" t="n">
        <v>0.1191</v>
      </c>
      <c r="H36" s="28" t="n">
        <v>0.1155</v>
      </c>
      <c r="I36" s="28" t="n">
        <v>0.1118</v>
      </c>
      <c r="J36" s="28" t="n">
        <v>0.1082</v>
      </c>
      <c r="K36" s="28" t="n">
        <v>0.1045</v>
      </c>
      <c r="L36" s="28" t="n">
        <v>0.1009</v>
      </c>
      <c r="M36" s="28" t="n">
        <v>0.0973</v>
      </c>
      <c r="N36" s="28" t="n">
        <v>0.0936</v>
      </c>
      <c r="O36" s="28" t="n">
        <v>0.09</v>
      </c>
    </row>
    <row r="37" customFormat="false" ht="13.5" hidden="false" customHeight="true" outlineLevel="0" collapsed="false">
      <c r="A37" s="8" t="s">
        <v>95</v>
      </c>
      <c r="B37" s="14" t="s">
        <v>96</v>
      </c>
      <c r="C37" s="23" t="s">
        <v>347</v>
      </c>
      <c r="D37" s="28" t="n">
        <v>0.37</v>
      </c>
      <c r="E37" s="28" t="n">
        <v>0.3573</v>
      </c>
      <c r="F37" s="28" t="n">
        <v>0.3445</v>
      </c>
      <c r="G37" s="28" t="n">
        <v>0.3318</v>
      </c>
      <c r="H37" s="28" t="n">
        <v>0.3191</v>
      </c>
      <c r="I37" s="28" t="n">
        <v>0.3064</v>
      </c>
      <c r="J37" s="28" t="n">
        <v>0.2936</v>
      </c>
      <c r="K37" s="28" t="n">
        <v>0.2809</v>
      </c>
      <c r="L37" s="28" t="n">
        <v>0.2682</v>
      </c>
      <c r="M37" s="28" t="n">
        <v>0.2555</v>
      </c>
      <c r="N37" s="28" t="n">
        <v>0.2427</v>
      </c>
      <c r="O37" s="28" t="n">
        <v>0.23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348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349</v>
      </c>
      <c r="B2" s="2"/>
      <c r="C2" s="2"/>
      <c r="D2" s="2"/>
      <c r="E2" s="2"/>
      <c r="F2" s="2"/>
    </row>
    <row r="3" customFormat="false" ht="36" hidden="false" customHeight="true" outlineLevel="0" collapsed="false">
      <c r="A3" s="7" t="s">
        <v>27</v>
      </c>
      <c r="B3" s="7" t="s">
        <v>28</v>
      </c>
      <c r="C3" s="17" t="s">
        <v>350</v>
      </c>
      <c r="D3" s="17" t="s">
        <v>351</v>
      </c>
      <c r="E3" s="7" t="s">
        <v>352</v>
      </c>
      <c r="F3" s="7" t="s">
        <v>245</v>
      </c>
    </row>
    <row r="4" customFormat="false" ht="13.5" hidden="false" customHeight="true" outlineLevel="0" collapsed="false">
      <c r="A4" s="8" t="s">
        <v>29</v>
      </c>
      <c r="B4" s="14" t="s">
        <v>30</v>
      </c>
      <c r="C4" s="31" t="n">
        <v>0.045</v>
      </c>
      <c r="D4" s="32" t="n">
        <v>13700</v>
      </c>
      <c r="E4" s="26" t="s">
        <v>353</v>
      </c>
      <c r="F4" s="26" t="s">
        <v>354</v>
      </c>
    </row>
    <row r="5" customFormat="false" ht="13.5" hidden="false" customHeight="true" outlineLevel="0" collapsed="false">
      <c r="A5" s="8" t="s">
        <v>31</v>
      </c>
      <c r="B5" s="14" t="s">
        <v>32</v>
      </c>
      <c r="C5" s="21" t="n">
        <v>0.063</v>
      </c>
      <c r="D5" s="33" t="n">
        <v>2600</v>
      </c>
      <c r="E5" s="26" t="s">
        <v>355</v>
      </c>
      <c r="F5" s="26" t="s">
        <v>354</v>
      </c>
    </row>
    <row r="6" customFormat="false" ht="13.5" hidden="false" customHeight="true" outlineLevel="0" collapsed="false">
      <c r="A6" s="8" t="s">
        <v>33</v>
      </c>
      <c r="B6" s="14" t="s">
        <v>34</v>
      </c>
      <c r="C6" s="31" t="n">
        <v>0.03</v>
      </c>
      <c r="D6" s="32" t="n">
        <v>13800</v>
      </c>
      <c r="E6" s="26" t="s">
        <v>356</v>
      </c>
      <c r="F6" s="26" t="s">
        <v>354</v>
      </c>
    </row>
    <row r="7" customFormat="false" ht="13.5" hidden="false" customHeight="true" outlineLevel="0" collapsed="false">
      <c r="A7" s="8" t="s">
        <v>35</v>
      </c>
      <c r="B7" s="14" t="s">
        <v>36</v>
      </c>
      <c r="C7" s="31" t="n">
        <v>0.025</v>
      </c>
      <c r="D7" s="32" t="n">
        <v>4800</v>
      </c>
      <c r="E7" s="26" t="s">
        <v>357</v>
      </c>
      <c r="F7" s="26" t="s">
        <v>354</v>
      </c>
    </row>
    <row r="8" customFormat="false" ht="13.5" hidden="false" customHeight="true" outlineLevel="0" collapsed="false">
      <c r="A8" s="8" t="s">
        <v>37</v>
      </c>
      <c r="B8" s="14" t="s">
        <v>38</v>
      </c>
      <c r="C8" s="31" t="n">
        <v>0.015</v>
      </c>
      <c r="D8" s="32" t="n">
        <v>12800</v>
      </c>
      <c r="E8" s="26" t="s">
        <v>358</v>
      </c>
      <c r="F8" s="26" t="s">
        <v>354</v>
      </c>
    </row>
    <row r="9" customFormat="false" ht="13.5" hidden="false" customHeight="true" outlineLevel="0" collapsed="false">
      <c r="A9" s="8" t="s">
        <v>39</v>
      </c>
      <c r="B9" s="14" t="s">
        <v>40</v>
      </c>
      <c r="C9" s="31" t="n">
        <v>0.023</v>
      </c>
      <c r="D9" s="32" t="n">
        <v>35000</v>
      </c>
      <c r="E9" s="26" t="s">
        <v>359</v>
      </c>
      <c r="F9" s="26" t="s">
        <v>354</v>
      </c>
    </row>
    <row r="10" customFormat="false" ht="13.5" hidden="false" customHeight="true" outlineLevel="0" collapsed="false">
      <c r="A10" s="8" t="s">
        <v>41</v>
      </c>
      <c r="B10" s="14" t="s">
        <v>42</v>
      </c>
      <c r="C10" s="31" t="n">
        <v>0.016</v>
      </c>
      <c r="D10" s="32" t="n">
        <v>48000</v>
      </c>
      <c r="E10" s="26" t="s">
        <v>359</v>
      </c>
      <c r="F10" s="26" t="s">
        <v>354</v>
      </c>
    </row>
    <row r="11" customFormat="false" ht="13.5" hidden="false" customHeight="true" outlineLevel="0" collapsed="false">
      <c r="A11" s="8" t="s">
        <v>43</v>
      </c>
      <c r="B11" s="14" t="s">
        <v>44</v>
      </c>
      <c r="C11" s="31" t="n">
        <v>0.028</v>
      </c>
      <c r="D11" s="32" t="n">
        <v>34000</v>
      </c>
      <c r="E11" s="26" t="s">
        <v>360</v>
      </c>
      <c r="F11" s="26" t="s">
        <v>354</v>
      </c>
    </row>
    <row r="12" customFormat="false" ht="13.5" hidden="false" customHeight="true" outlineLevel="0" collapsed="false">
      <c r="A12" s="8" t="s">
        <v>45</v>
      </c>
      <c r="B12" s="14" t="s">
        <v>46</v>
      </c>
      <c r="C12" s="31" t="n">
        <v>0.065</v>
      </c>
      <c r="D12" s="32" t="n">
        <v>4300</v>
      </c>
      <c r="E12" s="26" t="s">
        <v>359</v>
      </c>
      <c r="F12" s="26" t="s">
        <v>354</v>
      </c>
    </row>
    <row r="13" customFormat="false" ht="13.5" hidden="false" customHeight="true" outlineLevel="0" collapsed="false">
      <c r="A13" s="8" t="s">
        <v>47</v>
      </c>
      <c r="B13" s="14" t="s">
        <v>48</v>
      </c>
      <c r="C13" s="31" t="n">
        <v>0.022</v>
      </c>
      <c r="D13" s="32" t="n">
        <v>10600</v>
      </c>
      <c r="E13" s="26" t="s">
        <v>359</v>
      </c>
      <c r="F13" s="26" t="s">
        <v>354</v>
      </c>
    </row>
    <row r="14" customFormat="false" ht="13.5" hidden="false" customHeight="true" outlineLevel="0" collapsed="false">
      <c r="A14" s="8" t="s">
        <v>49</v>
      </c>
      <c r="B14" s="14" t="s">
        <v>50</v>
      </c>
      <c r="C14" s="31" t="n">
        <v>0.05</v>
      </c>
      <c r="D14" s="32" t="n">
        <v>4900</v>
      </c>
      <c r="E14" s="26" t="s">
        <v>359</v>
      </c>
      <c r="F14" s="26" t="s">
        <v>354</v>
      </c>
    </row>
    <row r="15" customFormat="false" ht="13.5" hidden="false" customHeight="true" outlineLevel="0" collapsed="false">
      <c r="A15" s="8" t="s">
        <v>51</v>
      </c>
      <c r="B15" s="14" t="s">
        <v>52</v>
      </c>
      <c r="C15" s="21" t="n">
        <v>0.055</v>
      </c>
      <c r="D15" s="33" t="n">
        <v>4300</v>
      </c>
      <c r="E15" s="26" t="s">
        <v>361</v>
      </c>
      <c r="F15" s="26" t="s">
        <v>354</v>
      </c>
    </row>
    <row r="16" customFormat="false" ht="13.5" hidden="false" customHeight="true" outlineLevel="0" collapsed="false">
      <c r="A16" s="8" t="s">
        <v>53</v>
      </c>
      <c r="B16" s="14" t="s">
        <v>54</v>
      </c>
      <c r="C16" s="31" t="n">
        <v>0.035</v>
      </c>
      <c r="D16" s="32" t="n">
        <v>5400</v>
      </c>
      <c r="E16" s="26" t="s">
        <v>359</v>
      </c>
      <c r="F16" s="26" t="s">
        <v>354</v>
      </c>
    </row>
    <row r="17" customFormat="false" ht="13.5" hidden="false" customHeight="true" outlineLevel="0" collapsed="false">
      <c r="A17" s="8" t="s">
        <v>55</v>
      </c>
      <c r="B17" s="14" t="s">
        <v>56</v>
      </c>
      <c r="C17" s="31" t="n">
        <v>0.038</v>
      </c>
      <c r="D17" s="32" t="n">
        <v>3700</v>
      </c>
      <c r="E17" s="26" t="s">
        <v>359</v>
      </c>
      <c r="F17" s="26" t="s">
        <v>354</v>
      </c>
    </row>
    <row r="18" customFormat="false" ht="13.5" hidden="false" customHeight="true" outlineLevel="0" collapsed="false">
      <c r="A18" s="8" t="s">
        <v>57</v>
      </c>
      <c r="B18" s="14" t="s">
        <v>58</v>
      </c>
      <c r="C18" s="21" t="n">
        <v>0.038</v>
      </c>
      <c r="D18" s="33" t="n">
        <v>7800</v>
      </c>
      <c r="E18" s="26" t="s">
        <v>361</v>
      </c>
      <c r="F18" s="26" t="s">
        <v>354</v>
      </c>
    </row>
    <row r="19" customFormat="false" ht="13.5" hidden="false" customHeight="true" outlineLevel="0" collapsed="false">
      <c r="A19" s="8" t="s">
        <v>59</v>
      </c>
      <c r="B19" s="14" t="s">
        <v>60</v>
      </c>
      <c r="C19" s="21" t="n">
        <v>0.055</v>
      </c>
      <c r="D19" s="33" t="n">
        <v>2600</v>
      </c>
      <c r="E19" s="26" t="s">
        <v>361</v>
      </c>
      <c r="F19" s="26" t="s">
        <v>354</v>
      </c>
    </row>
    <row r="20" customFormat="false" ht="13.5" hidden="false" customHeight="true" outlineLevel="0" collapsed="false">
      <c r="A20" s="8" t="s">
        <v>61</v>
      </c>
      <c r="B20" s="14" t="s">
        <v>62</v>
      </c>
      <c r="C20" s="21" t="n">
        <v>0.025</v>
      </c>
      <c r="D20" s="33" t="n">
        <v>7500</v>
      </c>
      <c r="E20" s="26" t="s">
        <v>361</v>
      </c>
      <c r="F20" s="26" t="s">
        <v>354</v>
      </c>
    </row>
    <row r="21" customFormat="false" ht="13.5" hidden="false" customHeight="true" outlineLevel="0" collapsed="false">
      <c r="A21" s="8" t="s">
        <v>63</v>
      </c>
      <c r="B21" s="14" t="s">
        <v>64</v>
      </c>
      <c r="C21" s="31" t="n">
        <v>0.045</v>
      </c>
      <c r="D21" s="32" t="n">
        <v>49000</v>
      </c>
      <c r="E21" s="26" t="s">
        <v>359</v>
      </c>
      <c r="F21" s="26" t="s">
        <v>354</v>
      </c>
    </row>
    <row r="22" customFormat="false" ht="13.5" hidden="false" customHeight="true" outlineLevel="0" collapsed="false">
      <c r="A22" s="8" t="s">
        <v>65</v>
      </c>
      <c r="B22" s="14" t="s">
        <v>66</v>
      </c>
      <c r="C22" s="31" t="n">
        <v>0.032</v>
      </c>
      <c r="D22" s="32" t="n">
        <v>28000</v>
      </c>
      <c r="E22" s="26" t="s">
        <v>359</v>
      </c>
      <c r="F22" s="26" t="s">
        <v>354</v>
      </c>
    </row>
    <row r="23" customFormat="false" ht="13.5" hidden="false" customHeight="true" outlineLevel="0" collapsed="false">
      <c r="A23" s="8" t="s">
        <v>67</v>
      </c>
      <c r="B23" s="14" t="s">
        <v>68</v>
      </c>
      <c r="C23" s="31" t="n">
        <v>0.015</v>
      </c>
      <c r="D23" s="32" t="n">
        <v>7200</v>
      </c>
      <c r="E23" s="26" t="s">
        <v>359</v>
      </c>
      <c r="F23" s="26" t="s">
        <v>354</v>
      </c>
    </row>
    <row r="24" customFormat="false" ht="13.5" hidden="false" customHeight="true" outlineLevel="0" collapsed="false">
      <c r="A24" s="8" t="s">
        <v>69</v>
      </c>
      <c r="B24" s="14" t="s">
        <v>185</v>
      </c>
      <c r="C24" s="31" t="n">
        <v>0.02</v>
      </c>
      <c r="D24" s="32" t="n">
        <v>97000</v>
      </c>
      <c r="E24" s="26" t="s">
        <v>362</v>
      </c>
      <c r="F24" s="26" t="s">
        <v>354</v>
      </c>
    </row>
    <row r="25" customFormat="false" ht="13.5" hidden="false" customHeight="true" outlineLevel="0" collapsed="false">
      <c r="A25" s="8" t="s">
        <v>71</v>
      </c>
      <c r="B25" s="14" t="s">
        <v>189</v>
      </c>
      <c r="C25" s="31" t="n">
        <v>0.025</v>
      </c>
      <c r="D25" s="32" t="n">
        <v>77000</v>
      </c>
      <c r="E25" s="26" t="s">
        <v>362</v>
      </c>
      <c r="F25" s="26" t="s">
        <v>354</v>
      </c>
    </row>
    <row r="26" customFormat="false" ht="13.5" hidden="false" customHeight="true" outlineLevel="0" collapsed="false">
      <c r="A26" s="8" t="s">
        <v>73</v>
      </c>
      <c r="B26" s="14" t="s">
        <v>74</v>
      </c>
      <c r="C26" s="31" t="n">
        <v>0.035</v>
      </c>
      <c r="D26" s="32" t="n">
        <v>10500</v>
      </c>
      <c r="E26" s="26" t="s">
        <v>359</v>
      </c>
      <c r="F26" s="26" t="s">
        <v>354</v>
      </c>
    </row>
    <row r="27" customFormat="false" ht="13.5" hidden="false" customHeight="true" outlineLevel="0" collapsed="false">
      <c r="A27" s="8" t="s">
        <v>75</v>
      </c>
      <c r="B27" s="14" t="s">
        <v>76</v>
      </c>
      <c r="C27" s="31" t="n">
        <v>0.009</v>
      </c>
      <c r="D27" s="32" t="n">
        <v>33000</v>
      </c>
      <c r="E27" s="26" t="s">
        <v>359</v>
      </c>
      <c r="F27" s="26" t="s">
        <v>354</v>
      </c>
    </row>
    <row r="28" customFormat="false" ht="13.5" hidden="false" customHeight="true" outlineLevel="0" collapsed="false">
      <c r="A28" s="8" t="s">
        <v>77</v>
      </c>
      <c r="B28" s="14" t="s">
        <v>78</v>
      </c>
      <c r="C28" s="31" t="n">
        <v>0.038</v>
      </c>
      <c r="D28" s="32" t="n">
        <v>32000</v>
      </c>
      <c r="E28" s="26" t="s">
        <v>359</v>
      </c>
      <c r="F28" s="26" t="s">
        <v>354</v>
      </c>
    </row>
    <row r="29" customFormat="false" ht="13.5" hidden="false" customHeight="true" outlineLevel="0" collapsed="false">
      <c r="A29" s="8" t="s">
        <v>79</v>
      </c>
      <c r="B29" s="14" t="s">
        <v>80</v>
      </c>
      <c r="C29" s="31" t="n">
        <v>0.022</v>
      </c>
      <c r="D29" s="32" t="n">
        <v>83000</v>
      </c>
      <c r="E29" s="26" t="s">
        <v>359</v>
      </c>
      <c r="F29" s="26" t="s">
        <v>354</v>
      </c>
    </row>
    <row r="30" customFormat="false" ht="13.5" hidden="false" customHeight="true" outlineLevel="0" collapsed="false">
      <c r="A30" s="8" t="s">
        <v>81</v>
      </c>
      <c r="B30" s="14" t="s">
        <v>82</v>
      </c>
      <c r="C30" s="31" t="n">
        <v>0.018</v>
      </c>
      <c r="D30" s="32" t="n">
        <v>17000</v>
      </c>
      <c r="E30" s="26" t="s">
        <v>359</v>
      </c>
      <c r="F30" s="26" t="s">
        <v>354</v>
      </c>
    </row>
    <row r="31" customFormat="false" ht="13.5" hidden="false" customHeight="true" outlineLevel="0" collapsed="false">
      <c r="A31" s="8" t="s">
        <v>83</v>
      </c>
      <c r="B31" s="14" t="s">
        <v>84</v>
      </c>
      <c r="C31" s="31" t="n">
        <v>0.03</v>
      </c>
      <c r="D31" s="32" t="n">
        <v>22000</v>
      </c>
      <c r="E31" s="26" t="s">
        <v>359</v>
      </c>
      <c r="F31" s="26" t="s">
        <v>354</v>
      </c>
    </row>
    <row r="32" customFormat="false" ht="13.5" hidden="false" customHeight="true" outlineLevel="0" collapsed="false">
      <c r="A32" s="8" t="s">
        <v>85</v>
      </c>
      <c r="B32" s="14" t="s">
        <v>86</v>
      </c>
      <c r="C32" s="31" t="n">
        <v>0.045</v>
      </c>
      <c r="D32" s="32" t="n">
        <v>13500</v>
      </c>
      <c r="E32" s="26" t="s">
        <v>359</v>
      </c>
      <c r="F32" s="26" t="s">
        <v>354</v>
      </c>
    </row>
    <row r="33" customFormat="false" ht="13.5" hidden="false" customHeight="true" outlineLevel="0" collapsed="false">
      <c r="A33" s="8" t="s">
        <v>87</v>
      </c>
      <c r="B33" s="14" t="s">
        <v>88</v>
      </c>
      <c r="C33" s="31" t="n">
        <v>0.06</v>
      </c>
      <c r="D33" s="32" t="n">
        <v>3800</v>
      </c>
      <c r="E33" s="26" t="s">
        <v>359</v>
      </c>
      <c r="F33" s="26" t="s">
        <v>354</v>
      </c>
    </row>
    <row r="34" customFormat="false" ht="13.5" hidden="false" customHeight="true" outlineLevel="0" collapsed="false">
      <c r="A34" s="8" t="s">
        <v>89</v>
      </c>
      <c r="B34" s="14" t="s">
        <v>90</v>
      </c>
      <c r="C34" s="31" t="n">
        <v>0.015</v>
      </c>
      <c r="D34" s="32" t="n">
        <v>36000</v>
      </c>
      <c r="E34" s="26" t="s">
        <v>363</v>
      </c>
      <c r="F34" s="26" t="s">
        <v>354</v>
      </c>
    </row>
    <row r="35" customFormat="false" ht="13.5" hidden="false" customHeight="true" outlineLevel="0" collapsed="false">
      <c r="A35" s="8" t="s">
        <v>91</v>
      </c>
      <c r="B35" s="14" t="s">
        <v>92</v>
      </c>
      <c r="C35" s="31" t="n">
        <v>0.018</v>
      </c>
      <c r="D35" s="32" t="n">
        <v>11500</v>
      </c>
      <c r="E35" s="26" t="s">
        <v>359</v>
      </c>
      <c r="F35" s="26" t="s">
        <v>354</v>
      </c>
    </row>
    <row r="36" customFormat="false" ht="13.5" hidden="false" customHeight="true" outlineLevel="0" collapsed="false">
      <c r="A36" s="8" t="s">
        <v>93</v>
      </c>
      <c r="B36" s="14" t="s">
        <v>94</v>
      </c>
      <c r="C36" s="31" t="n">
        <v>0.018</v>
      </c>
      <c r="D36" s="32" t="n">
        <v>55000</v>
      </c>
      <c r="E36" s="26" t="s">
        <v>359</v>
      </c>
      <c r="F36" s="26" t="s">
        <v>354</v>
      </c>
    </row>
    <row r="37" customFormat="false" ht="13.5" hidden="false" customHeight="true" outlineLevel="0" collapsed="false">
      <c r="A37" s="8" t="s">
        <v>95</v>
      </c>
      <c r="B37" s="14" t="s">
        <v>96</v>
      </c>
      <c r="C37" s="31" t="n">
        <v>0.021</v>
      </c>
      <c r="D37" s="32" t="n">
        <v>85000</v>
      </c>
      <c r="E37" s="26" t="s">
        <v>359</v>
      </c>
      <c r="F37" s="26" t="s">
        <v>354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6" min="5" style="0" width="28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364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365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7" t="s">
        <v>205</v>
      </c>
      <c r="B3" s="7" t="s">
        <v>98</v>
      </c>
      <c r="C3" s="17" t="s">
        <v>366</v>
      </c>
      <c r="D3" s="17" t="s">
        <v>367</v>
      </c>
      <c r="E3" s="7" t="s">
        <v>368</v>
      </c>
      <c r="F3" s="7" t="s">
        <v>369</v>
      </c>
      <c r="G3" s="7" t="s">
        <v>245</v>
      </c>
      <c r="H3" s="7" t="s">
        <v>352</v>
      </c>
    </row>
    <row r="4" customFormat="false" ht="42" hidden="false" customHeight="true" outlineLevel="0" collapsed="false">
      <c r="A4" s="4" t="s">
        <v>225</v>
      </c>
      <c r="B4" s="9" t="s">
        <v>100</v>
      </c>
      <c r="C4" s="29" t="n">
        <v>0.1</v>
      </c>
      <c r="D4" s="29" t="n">
        <v>0</v>
      </c>
      <c r="E4" s="23" t="s">
        <v>370</v>
      </c>
      <c r="F4" s="23" t="s">
        <v>371</v>
      </c>
      <c r="G4" s="23" t="s">
        <v>372</v>
      </c>
      <c r="H4" s="23" t="s">
        <v>373</v>
      </c>
    </row>
    <row r="5" customFormat="false" ht="27.75" hidden="false" customHeight="true" outlineLevel="0" collapsed="false">
      <c r="A5" s="34" t="s">
        <v>211</v>
      </c>
      <c r="B5" s="11" t="s">
        <v>102</v>
      </c>
      <c r="C5" s="29" t="n">
        <v>0</v>
      </c>
      <c r="D5" s="29" t="n">
        <v>0</v>
      </c>
      <c r="E5" s="23" t="s">
        <v>374</v>
      </c>
      <c r="F5" s="23" t="s">
        <v>375</v>
      </c>
      <c r="G5" s="23" t="s">
        <v>376</v>
      </c>
      <c r="H5" s="23" t="s">
        <v>377</v>
      </c>
    </row>
    <row r="6" customFormat="false" ht="42" hidden="false" customHeight="true" outlineLevel="0" collapsed="false">
      <c r="A6" s="4" t="s">
        <v>214</v>
      </c>
      <c r="B6" s="9" t="s">
        <v>104</v>
      </c>
      <c r="C6" s="29" t="n">
        <v>0.25</v>
      </c>
      <c r="D6" s="29" t="n">
        <v>0</v>
      </c>
      <c r="E6" s="23" t="s">
        <v>378</v>
      </c>
      <c r="F6" s="23" t="s">
        <v>379</v>
      </c>
      <c r="G6" s="23" t="s">
        <v>380</v>
      </c>
      <c r="H6" s="23" t="s">
        <v>381</v>
      </c>
    </row>
    <row r="7" customFormat="false" ht="42" hidden="false" customHeight="true" outlineLevel="0" collapsed="false">
      <c r="A7" s="34" t="s">
        <v>227</v>
      </c>
      <c r="B7" s="11" t="s">
        <v>106</v>
      </c>
      <c r="C7" s="29" t="n">
        <v>0</v>
      </c>
      <c r="D7" s="29" t="n">
        <v>0</v>
      </c>
      <c r="E7" s="23" t="s">
        <v>382</v>
      </c>
      <c r="F7" s="23" t="s">
        <v>383</v>
      </c>
      <c r="G7" s="23" t="s">
        <v>384</v>
      </c>
      <c r="H7" s="23" t="s">
        <v>385</v>
      </c>
    </row>
    <row r="8" customFormat="false" ht="55.5" hidden="false" customHeight="true" outlineLevel="0" collapsed="false">
      <c r="A8" s="4" t="s">
        <v>216</v>
      </c>
      <c r="B8" s="9" t="s">
        <v>108</v>
      </c>
      <c r="C8" s="29" t="n">
        <v>0.526</v>
      </c>
      <c r="D8" s="29" t="n">
        <v>0</v>
      </c>
      <c r="E8" s="23" t="s">
        <v>386</v>
      </c>
      <c r="F8" s="23" t="s">
        <v>387</v>
      </c>
      <c r="G8" s="23" t="s">
        <v>388</v>
      </c>
      <c r="H8" s="23" t="s">
        <v>389</v>
      </c>
    </row>
    <row r="9" customFormat="false" ht="55.5" hidden="false" customHeight="true" outlineLevel="0" collapsed="false">
      <c r="A9" s="34" t="s">
        <v>231</v>
      </c>
      <c r="B9" s="11" t="s">
        <v>110</v>
      </c>
      <c r="C9" s="29" t="n">
        <v>0</v>
      </c>
      <c r="D9" s="29" t="n">
        <v>0</v>
      </c>
      <c r="E9" s="23" t="s">
        <v>390</v>
      </c>
      <c r="F9" s="23" t="s">
        <v>391</v>
      </c>
      <c r="G9" s="23" t="s">
        <v>392</v>
      </c>
      <c r="H9" s="23" t="s">
        <v>393</v>
      </c>
    </row>
    <row r="10" customFormat="false" ht="69.75" hidden="false" customHeight="true" outlineLevel="0" collapsed="false">
      <c r="A10" s="4" t="s">
        <v>233</v>
      </c>
      <c r="B10" s="9" t="s">
        <v>112</v>
      </c>
      <c r="C10" s="29" t="n">
        <v>-0.733</v>
      </c>
      <c r="D10" s="29" t="n">
        <v>0</v>
      </c>
      <c r="E10" s="23" t="s">
        <v>394</v>
      </c>
      <c r="F10" s="23" t="s">
        <v>395</v>
      </c>
      <c r="G10" s="23" t="s">
        <v>396</v>
      </c>
      <c r="H10" s="23" t="s">
        <v>397</v>
      </c>
    </row>
    <row r="11" customFormat="false" ht="84" hidden="false" customHeight="true" outlineLevel="0" collapsed="false">
      <c r="A11" s="34" t="s">
        <v>229</v>
      </c>
      <c r="B11" s="11" t="s">
        <v>114</v>
      </c>
      <c r="C11" s="29" t="n">
        <v>0</v>
      </c>
      <c r="D11" s="29" t="n">
        <v>2.5</v>
      </c>
      <c r="E11" s="23" t="s">
        <v>398</v>
      </c>
      <c r="F11" s="23" t="s">
        <v>399</v>
      </c>
      <c r="G11" s="23" t="s">
        <v>400</v>
      </c>
      <c r="H11" s="23" t="s">
        <v>401</v>
      </c>
    </row>
    <row r="12" customFormat="false" ht="42" hidden="false" customHeight="true" outlineLevel="0" collapsed="false">
      <c r="A12" s="4" t="s">
        <v>219</v>
      </c>
      <c r="B12" s="9" t="s">
        <v>116</v>
      </c>
      <c r="C12" s="29" t="n">
        <v>0</v>
      </c>
      <c r="D12" s="29" t="n">
        <v>0</v>
      </c>
      <c r="E12" s="23" t="s">
        <v>402</v>
      </c>
      <c r="F12" s="23" t="s">
        <v>403</v>
      </c>
      <c r="G12" s="23" t="s">
        <v>404</v>
      </c>
      <c r="H12" s="23" t="s">
        <v>405</v>
      </c>
    </row>
    <row r="13" customFormat="false" ht="69.75" hidden="false" customHeight="true" outlineLevel="0" collapsed="false">
      <c r="A13" s="34" t="s">
        <v>222</v>
      </c>
      <c r="B13" s="11" t="s">
        <v>118</v>
      </c>
      <c r="C13" s="29" t="n">
        <v>1.5</v>
      </c>
      <c r="D13" s="29" t="n">
        <v>0.7</v>
      </c>
      <c r="E13" s="23" t="s">
        <v>406</v>
      </c>
      <c r="F13" s="23" t="s">
        <v>407</v>
      </c>
      <c r="G13" s="23" t="s">
        <v>408</v>
      </c>
      <c r="H13" s="23" t="s">
        <v>409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2026-05-20T21:49:17Z</dcterms:created>
  <dc:creator>openpyxl</dc:creator>
  <dc:description/>
  <dc:language>en-US</dc:language>
  <cp:lastModifiedBy/>
  <dcterms:modified xsi:type="dcterms:W3CDTF">2026-05-20T21:49:17Z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