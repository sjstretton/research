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orldbankgroup-my.sharepoint.com/personal/sstretton_worldbank_org1/Documents/Microsoft Teams Data/Desktop/"/>
    </mc:Choice>
  </mc:AlternateContent>
  <xr:revisionPtr revIDLastSave="0" documentId="11_CB71BC43456A666CE99DB03695A0C62AC3014735" xr6:coauthVersionLast="47" xr6:coauthVersionMax="47" xr10:uidLastSave="{00000000-0000-0000-0000-000000000000}"/>
  <bookViews>
    <workbookView xWindow="-105" yWindow="0" windowWidth="14610" windowHeight="15585" tabRatio="500" activeTab="5" xr2:uid="{00000000-000D-0000-FFFF-FFFF00000000}"/>
  </bookViews>
  <sheets>
    <sheet name="Guide" sheetId="1" r:id="rId1"/>
    <sheet name="CBAM" sheetId="2" r:id="rId2"/>
    <sheet name="EF" sheetId="3" r:id="rId3"/>
    <sheet name="EF_benchmarks" sheetId="4" r:id="rId4"/>
    <sheet name="EF_data" sheetId="5" r:id="rId5"/>
    <sheet name="calculations" sheetId="6" r:id="rId6"/>
    <sheet name="input_data" sheetId="7" state="hidden" r:id="rId7"/>
    <sheet name="ref_data" sheetId="8" state="hidden" r:id="rId8"/>
    <sheet name="version" sheetId="9" r:id="rId9"/>
  </sheets>
  <definedNames>
    <definedName name="CountrySelector">CBAM!$B$5</definedName>
    <definedName name="CovS1fc">CBAM!$B$11</definedName>
    <definedName name="CovS1fp">CBAM!$B$12</definedName>
    <definedName name="CovS1no">CBAM!$B$14</definedName>
    <definedName name="CovS1np">CBAM!$B$13</definedName>
    <definedName name="CovS2">CBAM!$B$15</definedName>
    <definedName name="DetailYear">CBAM!$B$6</definedName>
    <definedName name="ExportsOnly">CBAM!$B$22</definedName>
    <definedName name="MRVmaster">CBAM!$B$19</definedName>
    <definedName name="Theta">CBAM!$B$7</definedName>
    <definedName name="Version">version!$A$3</definedName>
    <definedName name="YearIdx">CBAM!$P$6</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69" i="6" l="1"/>
  <c r="A368" i="6"/>
  <c r="A367" i="6"/>
  <c r="A366" i="6"/>
  <c r="A365" i="6"/>
  <c r="A364" i="6"/>
  <c r="A363" i="6"/>
  <c r="A362" i="6"/>
  <c r="A361" i="6"/>
  <c r="A360" i="6"/>
  <c r="A359" i="6"/>
  <c r="A358" i="6"/>
  <c r="A357" i="6"/>
  <c r="A356" i="6"/>
  <c r="A355" i="6"/>
  <c r="A354" i="6"/>
  <c r="A353" i="6"/>
  <c r="A352" i="6"/>
  <c r="A351" i="6"/>
  <c r="A350" i="6"/>
  <c r="B348" i="6"/>
  <c r="A348" i="6"/>
  <c r="B347" i="6"/>
  <c r="A347" i="6"/>
  <c r="B346" i="6"/>
  <c r="A346" i="6"/>
  <c r="B345" i="6"/>
  <c r="A345" i="6"/>
  <c r="B344" i="6"/>
  <c r="A344" i="6"/>
  <c r="B343" i="6"/>
  <c r="A343" i="6"/>
  <c r="B342" i="6"/>
  <c r="A342" i="6"/>
  <c r="B341" i="6"/>
  <c r="A341" i="6"/>
  <c r="B340" i="6"/>
  <c r="A340" i="6"/>
  <c r="B339" i="6"/>
  <c r="A339" i="6"/>
  <c r="B338" i="6"/>
  <c r="A338" i="6"/>
  <c r="B337" i="6"/>
  <c r="A337" i="6"/>
  <c r="B336" i="6"/>
  <c r="A336" i="6"/>
  <c r="B335" i="6"/>
  <c r="A335" i="6"/>
  <c r="B334" i="6"/>
  <c r="A334" i="6"/>
  <c r="B333" i="6"/>
  <c r="A333" i="6"/>
  <c r="B332" i="6"/>
  <c r="A332" i="6"/>
  <c r="B331" i="6"/>
  <c r="A331" i="6"/>
  <c r="B330" i="6"/>
  <c r="A330" i="6"/>
  <c r="B329" i="6"/>
  <c r="A329" i="6"/>
  <c r="B328" i="6"/>
  <c r="A328" i="6"/>
  <c r="B327" i="6"/>
  <c r="A327" i="6"/>
  <c r="B326" i="6"/>
  <c r="A326" i="6"/>
  <c r="B325" i="6"/>
  <c r="A325" i="6"/>
  <c r="B324" i="6"/>
  <c r="A324" i="6"/>
  <c r="B323" i="6"/>
  <c r="A323" i="6"/>
  <c r="B322" i="6"/>
  <c r="A322" i="6"/>
  <c r="B321" i="6"/>
  <c r="A321" i="6"/>
  <c r="B320" i="6"/>
  <c r="A320" i="6"/>
  <c r="B319" i="6"/>
  <c r="A319" i="6"/>
  <c r="B318" i="6"/>
  <c r="A318" i="6"/>
  <c r="B316" i="6"/>
  <c r="A316" i="6"/>
  <c r="B315" i="6"/>
  <c r="A315" i="6"/>
  <c r="B314" i="6"/>
  <c r="A314" i="6"/>
  <c r="B313" i="6"/>
  <c r="A313" i="6"/>
  <c r="B312" i="6"/>
  <c r="A312" i="6"/>
  <c r="B311" i="6"/>
  <c r="A311" i="6"/>
  <c r="B310" i="6"/>
  <c r="A310" i="6"/>
  <c r="B309" i="6"/>
  <c r="A309" i="6"/>
  <c r="B308" i="6"/>
  <c r="A308" i="6"/>
  <c r="B307" i="6"/>
  <c r="A307" i="6"/>
  <c r="B306" i="6"/>
  <c r="A306" i="6"/>
  <c r="B305" i="6"/>
  <c r="A305" i="6"/>
  <c r="B304" i="6"/>
  <c r="A304" i="6"/>
  <c r="B303" i="6"/>
  <c r="A303" i="6"/>
  <c r="B302" i="6"/>
  <c r="A302" i="6"/>
  <c r="B301" i="6"/>
  <c r="A301" i="6"/>
  <c r="B300" i="6"/>
  <c r="A300" i="6"/>
  <c r="B299" i="6"/>
  <c r="A299" i="6"/>
  <c r="B298" i="6"/>
  <c r="A298" i="6"/>
  <c r="B297" i="6"/>
  <c r="A297" i="6"/>
  <c r="B296" i="6"/>
  <c r="A296" i="6"/>
  <c r="B295" i="6"/>
  <c r="A295" i="6"/>
  <c r="B294" i="6"/>
  <c r="A294" i="6"/>
  <c r="B293" i="6"/>
  <c r="A293" i="6"/>
  <c r="B292" i="6"/>
  <c r="A292" i="6"/>
  <c r="B291" i="6"/>
  <c r="A291" i="6"/>
  <c r="B290" i="6"/>
  <c r="A290" i="6"/>
  <c r="B289" i="6"/>
  <c r="A289" i="6"/>
  <c r="B288" i="6"/>
  <c r="A288" i="6"/>
  <c r="B287" i="6"/>
  <c r="A287" i="6"/>
  <c r="B286" i="6"/>
  <c r="A286" i="6"/>
  <c r="B283" i="6"/>
  <c r="A283" i="6"/>
  <c r="B282" i="6"/>
  <c r="A282" i="6"/>
  <c r="B281" i="6"/>
  <c r="A281" i="6"/>
  <c r="B280" i="6"/>
  <c r="A280" i="6"/>
  <c r="B279" i="6"/>
  <c r="A279" i="6"/>
  <c r="B278" i="6"/>
  <c r="A278" i="6"/>
  <c r="B277" i="6"/>
  <c r="A277" i="6"/>
  <c r="B276" i="6"/>
  <c r="A276" i="6"/>
  <c r="B275" i="6"/>
  <c r="A275" i="6"/>
  <c r="B274" i="6"/>
  <c r="A274" i="6"/>
  <c r="B273" i="6"/>
  <c r="A273" i="6"/>
  <c r="B272" i="6"/>
  <c r="A272" i="6"/>
  <c r="B271" i="6"/>
  <c r="A271" i="6"/>
  <c r="B270" i="6"/>
  <c r="A270" i="6"/>
  <c r="B269" i="6"/>
  <c r="A269" i="6"/>
  <c r="B268" i="6"/>
  <c r="A268" i="6"/>
  <c r="B267" i="6"/>
  <c r="A267" i="6"/>
  <c r="B266" i="6"/>
  <c r="A266" i="6"/>
  <c r="B265" i="6"/>
  <c r="A265" i="6"/>
  <c r="B264" i="6"/>
  <c r="A264" i="6"/>
  <c r="B263" i="6"/>
  <c r="A263" i="6"/>
  <c r="B262" i="6"/>
  <c r="A262" i="6"/>
  <c r="B261" i="6"/>
  <c r="A261" i="6"/>
  <c r="B260" i="6"/>
  <c r="A260" i="6"/>
  <c r="B259" i="6"/>
  <c r="A259" i="6"/>
  <c r="B258" i="6"/>
  <c r="A258" i="6"/>
  <c r="B257" i="6"/>
  <c r="A257" i="6"/>
  <c r="B256" i="6"/>
  <c r="A256" i="6"/>
  <c r="B255" i="6"/>
  <c r="A255" i="6"/>
  <c r="B254" i="6"/>
  <c r="A254" i="6"/>
  <c r="B253" i="6"/>
  <c r="A253" i="6"/>
  <c r="B252" i="6"/>
  <c r="A252" i="6"/>
  <c r="B251" i="6"/>
  <c r="A251" i="6"/>
  <c r="B250" i="6"/>
  <c r="A250" i="6"/>
  <c r="B249" i="6"/>
  <c r="A249" i="6"/>
  <c r="B248" i="6"/>
  <c r="A248" i="6"/>
  <c r="B247" i="6"/>
  <c r="A247" i="6"/>
  <c r="B246" i="6"/>
  <c r="A246" i="6"/>
  <c r="B245" i="6"/>
  <c r="A245" i="6"/>
  <c r="B244" i="6"/>
  <c r="A244" i="6"/>
  <c r="B241" i="6"/>
  <c r="A241" i="6"/>
  <c r="B240" i="6"/>
  <c r="A240" i="6"/>
  <c r="B239" i="6"/>
  <c r="A239" i="6"/>
  <c r="B238" i="6"/>
  <c r="A238" i="6"/>
  <c r="B237" i="6"/>
  <c r="A237" i="6"/>
  <c r="B236" i="6"/>
  <c r="A236" i="6"/>
  <c r="B235" i="6"/>
  <c r="A235" i="6"/>
  <c r="B234" i="6"/>
  <c r="A234" i="6"/>
  <c r="B233" i="6"/>
  <c r="A233" i="6"/>
  <c r="B232" i="6"/>
  <c r="A232" i="6"/>
  <c r="B231" i="6"/>
  <c r="A231" i="6"/>
  <c r="B230" i="6"/>
  <c r="A230" i="6"/>
  <c r="B229" i="6"/>
  <c r="A229" i="6"/>
  <c r="B228" i="6"/>
  <c r="A228" i="6"/>
  <c r="B227" i="6"/>
  <c r="A227" i="6"/>
  <c r="B226" i="6"/>
  <c r="A226" i="6"/>
  <c r="B225" i="6"/>
  <c r="A225" i="6"/>
  <c r="B224" i="6"/>
  <c r="A224" i="6"/>
  <c r="B223" i="6"/>
  <c r="A223" i="6"/>
  <c r="B222" i="6"/>
  <c r="A222" i="6"/>
  <c r="B221" i="6"/>
  <c r="A221" i="6"/>
  <c r="B220" i="6"/>
  <c r="A220" i="6"/>
  <c r="B219" i="6"/>
  <c r="A219" i="6"/>
  <c r="B218" i="6"/>
  <c r="A218" i="6"/>
  <c r="B217" i="6"/>
  <c r="A217" i="6"/>
  <c r="B216" i="6"/>
  <c r="A216" i="6"/>
  <c r="B213" i="6"/>
  <c r="A213" i="6"/>
  <c r="B212" i="6"/>
  <c r="A212" i="6"/>
  <c r="B211" i="6"/>
  <c r="A211" i="6"/>
  <c r="B210" i="6"/>
  <c r="A210" i="6"/>
  <c r="B209" i="6"/>
  <c r="A209" i="6"/>
  <c r="B208" i="6"/>
  <c r="A208" i="6"/>
  <c r="B207" i="6"/>
  <c r="A207" i="6"/>
  <c r="B206" i="6"/>
  <c r="A206" i="6"/>
  <c r="B205" i="6"/>
  <c r="A205" i="6"/>
  <c r="B204" i="6"/>
  <c r="A204" i="6"/>
  <c r="B203" i="6"/>
  <c r="A203" i="6"/>
  <c r="B202" i="6"/>
  <c r="A202" i="6"/>
  <c r="B201" i="6"/>
  <c r="A201" i="6"/>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X17" i="6"/>
  <c r="W17" i="6"/>
  <c r="V17" i="6"/>
  <c r="U17" i="6"/>
  <c r="T17" i="6"/>
  <c r="S17" i="6"/>
  <c r="R17" i="6"/>
  <c r="Q17" i="6"/>
  <c r="P17" i="6"/>
  <c r="O17" i="6"/>
  <c r="N17" i="6"/>
  <c r="M17" i="6"/>
  <c r="B17" i="6"/>
  <c r="X16" i="6"/>
  <c r="W16" i="6"/>
  <c r="V16" i="6"/>
  <c r="U16" i="6"/>
  <c r="T16" i="6"/>
  <c r="S16" i="6"/>
  <c r="R16" i="6"/>
  <c r="Q16" i="6"/>
  <c r="P16" i="6"/>
  <c r="O16" i="6"/>
  <c r="N16" i="6"/>
  <c r="M16" i="6"/>
  <c r="B16" i="6"/>
  <c r="X15" i="6"/>
  <c r="W15" i="6"/>
  <c r="V15" i="6"/>
  <c r="U15" i="6"/>
  <c r="T15" i="6"/>
  <c r="S15" i="6"/>
  <c r="R15" i="6"/>
  <c r="Q15" i="6"/>
  <c r="P15" i="6"/>
  <c r="O15" i="6"/>
  <c r="N15" i="6"/>
  <c r="M15" i="6"/>
  <c r="B15" i="6"/>
  <c r="X14" i="6"/>
  <c r="W14" i="6"/>
  <c r="V14" i="6"/>
  <c r="U14" i="6"/>
  <c r="T14" i="6"/>
  <c r="S14" i="6"/>
  <c r="R14" i="6"/>
  <c r="Q14" i="6"/>
  <c r="P14" i="6"/>
  <c r="O14" i="6"/>
  <c r="N14" i="6"/>
  <c r="M14" i="6"/>
  <c r="B14" i="6"/>
  <c r="X13" i="6"/>
  <c r="W13" i="6"/>
  <c r="V13" i="6"/>
  <c r="U13" i="6"/>
  <c r="T13" i="6"/>
  <c r="S13" i="6"/>
  <c r="R13" i="6"/>
  <c r="Q13" i="6"/>
  <c r="P13" i="6"/>
  <c r="O13" i="6"/>
  <c r="N13" i="6"/>
  <c r="M13" i="6"/>
  <c r="B13" i="6"/>
  <c r="X12" i="6"/>
  <c r="W12" i="6"/>
  <c r="V12" i="6"/>
  <c r="U12" i="6"/>
  <c r="T12" i="6"/>
  <c r="S12" i="6"/>
  <c r="R12" i="6"/>
  <c r="Q12" i="6"/>
  <c r="P12" i="6"/>
  <c r="O12" i="6"/>
  <c r="N12" i="6"/>
  <c r="M12" i="6"/>
  <c r="B12" i="6"/>
  <c r="X11" i="6"/>
  <c r="W11" i="6"/>
  <c r="V11" i="6"/>
  <c r="U11" i="6"/>
  <c r="T11" i="6"/>
  <c r="S11" i="6"/>
  <c r="R11" i="6"/>
  <c r="Q11" i="6"/>
  <c r="P11" i="6"/>
  <c r="O11" i="6"/>
  <c r="N11" i="6"/>
  <c r="M11" i="6"/>
  <c r="B11" i="6"/>
  <c r="X10" i="6"/>
  <c r="W10" i="6"/>
  <c r="V10" i="6"/>
  <c r="U10" i="6"/>
  <c r="T10" i="6"/>
  <c r="S10" i="6"/>
  <c r="R10" i="6"/>
  <c r="Q10" i="6"/>
  <c r="P10" i="6"/>
  <c r="O10" i="6"/>
  <c r="N10" i="6"/>
  <c r="M10" i="6"/>
  <c r="B10" i="6"/>
  <c r="M7" i="6"/>
  <c r="B7" i="6"/>
  <c r="A7" i="6"/>
  <c r="X6" i="6"/>
  <c r="W6" i="6"/>
  <c r="V6" i="6"/>
  <c r="U6" i="6"/>
  <c r="T6" i="6"/>
  <c r="S6" i="6"/>
  <c r="R6" i="6"/>
  <c r="Q6" i="6"/>
  <c r="P6" i="6"/>
  <c r="O6" i="6"/>
  <c r="N6" i="6"/>
  <c r="N7" i="6" s="1"/>
  <c r="N132" i="6" s="1"/>
  <c r="M6" i="6"/>
  <c r="B6" i="6"/>
  <c r="A6" i="6"/>
  <c r="M47" i="5"/>
  <c r="N47" i="5" s="1"/>
  <c r="O47" i="5" s="1"/>
  <c r="F47" i="5"/>
  <c r="G47" i="5" s="1"/>
  <c r="H47" i="5" s="1"/>
  <c r="I47" i="5" s="1"/>
  <c r="J47" i="5" s="1"/>
  <c r="K47" i="5" s="1"/>
  <c r="L47" i="5" s="1"/>
  <c r="E47" i="5"/>
  <c r="C47" i="5"/>
  <c r="F46" i="5"/>
  <c r="G46" i="5" s="1"/>
  <c r="H46" i="5" s="1"/>
  <c r="I46" i="5" s="1"/>
  <c r="J46" i="5" s="1"/>
  <c r="K46" i="5" s="1"/>
  <c r="L46" i="5" s="1"/>
  <c r="M46" i="5" s="1"/>
  <c r="N46" i="5" s="1"/>
  <c r="O46" i="5" s="1"/>
  <c r="E46" i="5"/>
  <c r="C46" i="5"/>
  <c r="E45" i="5"/>
  <c r="F45" i="5" s="1"/>
  <c r="G45" i="5" s="1"/>
  <c r="H45" i="5" s="1"/>
  <c r="I45" i="5" s="1"/>
  <c r="J45" i="5" s="1"/>
  <c r="K45" i="5" s="1"/>
  <c r="L45" i="5" s="1"/>
  <c r="M45" i="5" s="1"/>
  <c r="N45" i="5" s="1"/>
  <c r="O45" i="5" s="1"/>
  <c r="C45" i="5"/>
  <c r="N44" i="5"/>
  <c r="O44" i="5" s="1"/>
  <c r="G44" i="5"/>
  <c r="H44" i="5" s="1"/>
  <c r="I44" i="5" s="1"/>
  <c r="J44" i="5" s="1"/>
  <c r="K44" i="5" s="1"/>
  <c r="L44" i="5" s="1"/>
  <c r="M44" i="5" s="1"/>
  <c r="F44" i="5"/>
  <c r="E44" i="5"/>
  <c r="C44" i="5"/>
  <c r="G43" i="5"/>
  <c r="H43" i="5" s="1"/>
  <c r="I43" i="5" s="1"/>
  <c r="J43" i="5" s="1"/>
  <c r="K43" i="5" s="1"/>
  <c r="L43" i="5" s="1"/>
  <c r="M43" i="5" s="1"/>
  <c r="N43" i="5" s="1"/>
  <c r="O43" i="5" s="1"/>
  <c r="E43" i="5"/>
  <c r="F43" i="5" s="1"/>
  <c r="C43" i="5"/>
  <c r="E42" i="5"/>
  <c r="F42" i="5" s="1"/>
  <c r="G42" i="5" s="1"/>
  <c r="H42" i="5" s="1"/>
  <c r="I42" i="5" s="1"/>
  <c r="J42" i="5" s="1"/>
  <c r="K42" i="5" s="1"/>
  <c r="L42" i="5" s="1"/>
  <c r="M42" i="5" s="1"/>
  <c r="N42" i="5" s="1"/>
  <c r="O42" i="5" s="1"/>
  <c r="C42" i="5"/>
  <c r="E41" i="5"/>
  <c r="F41" i="5" s="1"/>
  <c r="G41" i="5" s="1"/>
  <c r="H41" i="5" s="1"/>
  <c r="I41" i="5" s="1"/>
  <c r="J41" i="5" s="1"/>
  <c r="K41" i="5" s="1"/>
  <c r="L41" i="5" s="1"/>
  <c r="M41" i="5" s="1"/>
  <c r="N41" i="5" s="1"/>
  <c r="O41" i="5" s="1"/>
  <c r="C41" i="5"/>
  <c r="O40" i="5"/>
  <c r="N40" i="5"/>
  <c r="F40" i="5"/>
  <c r="G40" i="5" s="1"/>
  <c r="H40" i="5" s="1"/>
  <c r="I40" i="5" s="1"/>
  <c r="J40" i="5" s="1"/>
  <c r="K40" i="5" s="1"/>
  <c r="L40" i="5" s="1"/>
  <c r="M40" i="5" s="1"/>
  <c r="E40" i="5"/>
  <c r="C40" i="5"/>
  <c r="F36" i="5"/>
  <c r="G36" i="5" s="1"/>
  <c r="H36" i="5" s="1"/>
  <c r="I36" i="5" s="1"/>
  <c r="J36" i="5" s="1"/>
  <c r="K36" i="5" s="1"/>
  <c r="L36" i="5" s="1"/>
  <c r="M36" i="5" s="1"/>
  <c r="N36" i="5" s="1"/>
  <c r="O36" i="5" s="1"/>
  <c r="E36" i="5"/>
  <c r="C36" i="5"/>
  <c r="E35" i="5"/>
  <c r="F35" i="5" s="1"/>
  <c r="G35" i="5" s="1"/>
  <c r="H35" i="5" s="1"/>
  <c r="I35" i="5" s="1"/>
  <c r="J35" i="5" s="1"/>
  <c r="K35" i="5" s="1"/>
  <c r="L35" i="5" s="1"/>
  <c r="M35" i="5" s="1"/>
  <c r="N35" i="5" s="1"/>
  <c r="O35" i="5" s="1"/>
  <c r="C35" i="5"/>
  <c r="G34" i="5"/>
  <c r="H34" i="5" s="1"/>
  <c r="I34" i="5" s="1"/>
  <c r="J34" i="5" s="1"/>
  <c r="K34" i="5" s="1"/>
  <c r="L34" i="5" s="1"/>
  <c r="M34" i="5" s="1"/>
  <c r="N34" i="5" s="1"/>
  <c r="O34" i="5" s="1"/>
  <c r="F34" i="5"/>
  <c r="E34" i="5"/>
  <c r="C34" i="5"/>
  <c r="E33" i="5"/>
  <c r="F33" i="5" s="1"/>
  <c r="G33" i="5" s="1"/>
  <c r="H33" i="5" s="1"/>
  <c r="I33" i="5" s="1"/>
  <c r="J33" i="5" s="1"/>
  <c r="K33" i="5" s="1"/>
  <c r="L33" i="5" s="1"/>
  <c r="M33" i="5" s="1"/>
  <c r="N33" i="5" s="1"/>
  <c r="O33" i="5" s="1"/>
  <c r="C33" i="5"/>
  <c r="E32" i="5"/>
  <c r="F32" i="5" s="1"/>
  <c r="G32" i="5" s="1"/>
  <c r="H32" i="5" s="1"/>
  <c r="I32" i="5" s="1"/>
  <c r="J32" i="5" s="1"/>
  <c r="K32" i="5" s="1"/>
  <c r="L32" i="5" s="1"/>
  <c r="M32" i="5" s="1"/>
  <c r="N32" i="5" s="1"/>
  <c r="O32" i="5" s="1"/>
  <c r="C32" i="5"/>
  <c r="O31" i="5"/>
  <c r="H31" i="5"/>
  <c r="I31" i="5" s="1"/>
  <c r="J31" i="5" s="1"/>
  <c r="K31" i="5" s="1"/>
  <c r="L31" i="5" s="1"/>
  <c r="M31" i="5" s="1"/>
  <c r="N31" i="5" s="1"/>
  <c r="E31" i="5"/>
  <c r="F31" i="5" s="1"/>
  <c r="G31" i="5" s="1"/>
  <c r="C31" i="5"/>
  <c r="F30" i="5"/>
  <c r="G30" i="5" s="1"/>
  <c r="H30" i="5" s="1"/>
  <c r="I30" i="5" s="1"/>
  <c r="J30" i="5" s="1"/>
  <c r="K30" i="5" s="1"/>
  <c r="L30" i="5" s="1"/>
  <c r="M30" i="5" s="1"/>
  <c r="N30" i="5" s="1"/>
  <c r="O30" i="5" s="1"/>
  <c r="E30" i="5"/>
  <c r="C30" i="5"/>
  <c r="F29" i="5"/>
  <c r="G29" i="5" s="1"/>
  <c r="H29" i="5" s="1"/>
  <c r="I29" i="5" s="1"/>
  <c r="J29" i="5" s="1"/>
  <c r="K29" i="5" s="1"/>
  <c r="L29" i="5" s="1"/>
  <c r="M29" i="5" s="1"/>
  <c r="N29" i="5" s="1"/>
  <c r="O29" i="5" s="1"/>
  <c r="E29" i="5"/>
  <c r="C29" i="5"/>
  <c r="I25" i="5"/>
  <c r="J25" i="5" s="1"/>
  <c r="K25" i="5" s="1"/>
  <c r="L25" i="5" s="1"/>
  <c r="M25" i="5" s="1"/>
  <c r="N25" i="5" s="1"/>
  <c r="O25" i="5" s="1"/>
  <c r="E25" i="5"/>
  <c r="F25" i="5" s="1"/>
  <c r="G25" i="5" s="1"/>
  <c r="H25" i="5" s="1"/>
  <c r="C25" i="5"/>
  <c r="H24" i="5"/>
  <c r="I24" i="5" s="1"/>
  <c r="J24" i="5" s="1"/>
  <c r="K24" i="5" s="1"/>
  <c r="L24" i="5" s="1"/>
  <c r="M24" i="5" s="1"/>
  <c r="N24" i="5" s="1"/>
  <c r="O24" i="5" s="1"/>
  <c r="G24" i="5"/>
  <c r="F24" i="5"/>
  <c r="E24" i="5"/>
  <c r="C24" i="5"/>
  <c r="E23" i="5"/>
  <c r="F23" i="5" s="1"/>
  <c r="G23" i="5" s="1"/>
  <c r="H23" i="5" s="1"/>
  <c r="I23" i="5" s="1"/>
  <c r="J23" i="5" s="1"/>
  <c r="K23" i="5" s="1"/>
  <c r="L23" i="5" s="1"/>
  <c r="M23" i="5" s="1"/>
  <c r="N23" i="5" s="1"/>
  <c r="O23" i="5" s="1"/>
  <c r="C23" i="5"/>
  <c r="F22" i="5"/>
  <c r="G22" i="5" s="1"/>
  <c r="H22" i="5" s="1"/>
  <c r="I22" i="5" s="1"/>
  <c r="J22" i="5" s="1"/>
  <c r="K22" i="5" s="1"/>
  <c r="L22" i="5" s="1"/>
  <c r="M22" i="5" s="1"/>
  <c r="N22" i="5" s="1"/>
  <c r="O22" i="5" s="1"/>
  <c r="E22" i="5"/>
  <c r="C22" i="5"/>
  <c r="H21" i="5"/>
  <c r="I21" i="5" s="1"/>
  <c r="J21" i="5" s="1"/>
  <c r="K21" i="5" s="1"/>
  <c r="L21" i="5" s="1"/>
  <c r="M21" i="5" s="1"/>
  <c r="N21" i="5" s="1"/>
  <c r="O21" i="5" s="1"/>
  <c r="E21" i="5"/>
  <c r="F21" i="5" s="1"/>
  <c r="G21" i="5" s="1"/>
  <c r="C21" i="5"/>
  <c r="F20" i="5"/>
  <c r="G20" i="5" s="1"/>
  <c r="H20" i="5" s="1"/>
  <c r="I20" i="5" s="1"/>
  <c r="J20" i="5" s="1"/>
  <c r="K20" i="5" s="1"/>
  <c r="L20" i="5" s="1"/>
  <c r="M20" i="5" s="1"/>
  <c r="N20" i="5" s="1"/>
  <c r="O20" i="5" s="1"/>
  <c r="E20" i="5"/>
  <c r="C20" i="5"/>
  <c r="F19" i="5"/>
  <c r="G19" i="5" s="1"/>
  <c r="H19" i="5" s="1"/>
  <c r="I19" i="5" s="1"/>
  <c r="J19" i="5" s="1"/>
  <c r="K19" i="5" s="1"/>
  <c r="L19" i="5" s="1"/>
  <c r="M19" i="5" s="1"/>
  <c r="N19" i="5" s="1"/>
  <c r="O19" i="5" s="1"/>
  <c r="E19" i="5"/>
  <c r="C19" i="5"/>
  <c r="I18" i="5"/>
  <c r="J18" i="5" s="1"/>
  <c r="K18" i="5" s="1"/>
  <c r="L18" i="5" s="1"/>
  <c r="M18" i="5" s="1"/>
  <c r="N18" i="5" s="1"/>
  <c r="O18" i="5" s="1"/>
  <c r="F18" i="5"/>
  <c r="G18" i="5" s="1"/>
  <c r="H18" i="5" s="1"/>
  <c r="E18" i="5"/>
  <c r="C18" i="5"/>
  <c r="G47" i="4"/>
  <c r="F47" i="4"/>
  <c r="E47" i="4"/>
  <c r="D47" i="4"/>
  <c r="C47" i="4"/>
  <c r="G46" i="4"/>
  <c r="F46" i="4"/>
  <c r="E46" i="4"/>
  <c r="D46" i="4"/>
  <c r="C46" i="4"/>
  <c r="G45" i="4"/>
  <c r="F45" i="4"/>
  <c r="E45" i="4"/>
  <c r="D45" i="4"/>
  <c r="C45" i="4"/>
  <c r="G44" i="4"/>
  <c r="F44" i="4"/>
  <c r="E44" i="4"/>
  <c r="D44" i="4"/>
  <c r="C44" i="4"/>
  <c r="G43" i="4"/>
  <c r="F43" i="4"/>
  <c r="E43" i="4"/>
  <c r="D43" i="4"/>
  <c r="C43" i="4"/>
  <c r="G42" i="4"/>
  <c r="F42" i="4"/>
  <c r="E42" i="4"/>
  <c r="D42" i="4"/>
  <c r="C42" i="4"/>
  <c r="G41" i="4"/>
  <c r="F41" i="4"/>
  <c r="E41" i="4"/>
  <c r="D41" i="4"/>
  <c r="C41" i="4"/>
  <c r="G40" i="4"/>
  <c r="F40" i="4"/>
  <c r="E40" i="4"/>
  <c r="D40" i="4"/>
  <c r="C40" i="4"/>
  <c r="G39" i="4"/>
  <c r="F39" i="4"/>
  <c r="E39" i="4"/>
  <c r="D39" i="4"/>
  <c r="C39" i="4"/>
  <c r="G38" i="4"/>
  <c r="F38" i="4"/>
  <c r="E38" i="4"/>
  <c r="D38" i="4"/>
  <c r="C38" i="4"/>
  <c r="G37" i="4"/>
  <c r="F37" i="4"/>
  <c r="E37" i="4"/>
  <c r="D37" i="4"/>
  <c r="C37" i="4"/>
  <c r="G36" i="4"/>
  <c r="F36" i="4"/>
  <c r="E36" i="4"/>
  <c r="D36" i="4"/>
  <c r="C36" i="4"/>
  <c r="G35" i="4"/>
  <c r="F35" i="4"/>
  <c r="E35" i="4"/>
  <c r="D35" i="4"/>
  <c r="C35" i="4"/>
  <c r="G34" i="4"/>
  <c r="F34" i="4"/>
  <c r="E34" i="4"/>
  <c r="D34" i="4"/>
  <c r="C34" i="4"/>
  <c r="G33" i="4"/>
  <c r="F33" i="4"/>
  <c r="E33" i="4"/>
  <c r="D33" i="4"/>
  <c r="C33" i="4"/>
  <c r="G32" i="4"/>
  <c r="F32" i="4"/>
  <c r="E32" i="4"/>
  <c r="D32" i="4"/>
  <c r="C32" i="4"/>
  <c r="G31" i="4"/>
  <c r="F31" i="4"/>
  <c r="E31" i="4"/>
  <c r="D31" i="4"/>
  <c r="C31" i="4"/>
  <c r="G30" i="4"/>
  <c r="F30" i="4"/>
  <c r="E30" i="4"/>
  <c r="D30" i="4"/>
  <c r="C30" i="4"/>
  <c r="G29" i="4"/>
  <c r="F29" i="4"/>
  <c r="E29" i="4"/>
  <c r="D29" i="4"/>
  <c r="C29" i="4"/>
  <c r="G28" i="4"/>
  <c r="F28" i="4"/>
  <c r="E28" i="4"/>
  <c r="D28" i="4"/>
  <c r="C28" i="4"/>
  <c r="G27" i="4"/>
  <c r="F27" i="4"/>
  <c r="E27" i="4"/>
  <c r="D27" i="4"/>
  <c r="C27" i="4"/>
  <c r="G26" i="4"/>
  <c r="F26" i="4"/>
  <c r="E26" i="4"/>
  <c r="D26" i="4"/>
  <c r="C26" i="4"/>
  <c r="G25" i="4"/>
  <c r="F25" i="4"/>
  <c r="E25" i="4"/>
  <c r="D25" i="4"/>
  <c r="C25" i="4"/>
  <c r="G24" i="4"/>
  <c r="F24" i="4"/>
  <c r="E24" i="4"/>
  <c r="D24" i="4"/>
  <c r="C24" i="4"/>
  <c r="G23" i="4"/>
  <c r="F23" i="4"/>
  <c r="E23" i="4"/>
  <c r="D23" i="4"/>
  <c r="C23" i="4"/>
  <c r="G22" i="4"/>
  <c r="F22" i="4"/>
  <c r="E22" i="4"/>
  <c r="D22" i="4"/>
  <c r="C22" i="4"/>
  <c r="G21" i="4"/>
  <c r="F21" i="4"/>
  <c r="E21" i="4"/>
  <c r="D21" i="4"/>
  <c r="C21" i="4"/>
  <c r="D15" i="4"/>
  <c r="C15" i="4"/>
  <c r="D14" i="4"/>
  <c r="C14" i="4"/>
  <c r="D13" i="4"/>
  <c r="C13" i="4"/>
  <c r="D12" i="4"/>
  <c r="C12" i="4"/>
  <c r="D11" i="4"/>
  <c r="C11" i="4"/>
  <c r="D10" i="4"/>
  <c r="C10" i="4"/>
  <c r="D9" i="4"/>
  <c r="C9" i="4"/>
  <c r="D8" i="4"/>
  <c r="C8" i="4"/>
  <c r="I123" i="3"/>
  <c r="L277" i="7" s="1"/>
  <c r="H123" i="3"/>
  <c r="L276" i="7" s="1"/>
  <c r="G123" i="3"/>
  <c r="L275" i="7" s="1"/>
  <c r="E123" i="3"/>
  <c r="C123" i="3"/>
  <c r="L262" i="7" s="1"/>
  <c r="I122" i="3"/>
  <c r="L253" i="7" s="1"/>
  <c r="H122" i="3"/>
  <c r="L252" i="7" s="1"/>
  <c r="G122" i="3"/>
  <c r="L251" i="7" s="1"/>
  <c r="E122" i="3"/>
  <c r="C122" i="3"/>
  <c r="L236" i="7" s="1"/>
  <c r="I121" i="3"/>
  <c r="L229" i="7" s="1"/>
  <c r="H121" i="3"/>
  <c r="L228" i="7" s="1"/>
  <c r="G121" i="3"/>
  <c r="L227" i="7" s="1"/>
  <c r="E121" i="3"/>
  <c r="C121" i="3"/>
  <c r="L212" i="7" s="1"/>
  <c r="I120" i="3"/>
  <c r="L205" i="7" s="1"/>
  <c r="H120" i="3"/>
  <c r="L204" i="7" s="1"/>
  <c r="G120" i="3"/>
  <c r="L203" i="7" s="1"/>
  <c r="E120" i="3"/>
  <c r="L196" i="7" s="1"/>
  <c r="C120" i="3"/>
  <c r="L188" i="7" s="1"/>
  <c r="I119" i="3"/>
  <c r="L181" i="7" s="1"/>
  <c r="H119" i="3"/>
  <c r="L180" i="7" s="1"/>
  <c r="G119" i="3"/>
  <c r="L179" i="7" s="1"/>
  <c r="E119" i="3"/>
  <c r="C119" i="3"/>
  <c r="L163" i="7" s="1"/>
  <c r="I118" i="3"/>
  <c r="L157" i="7" s="1"/>
  <c r="H118" i="3"/>
  <c r="L156" i="7" s="1"/>
  <c r="G118" i="3"/>
  <c r="L155" i="7" s="1"/>
  <c r="E118" i="3"/>
  <c r="L147" i="7" s="1"/>
  <c r="C118" i="3"/>
  <c r="L139" i="7" s="1"/>
  <c r="I117" i="3"/>
  <c r="L133" i="7" s="1"/>
  <c r="H117" i="3"/>
  <c r="L132" i="7" s="1"/>
  <c r="G117" i="3"/>
  <c r="L131" i="7" s="1"/>
  <c r="E117" i="3"/>
  <c r="C117" i="3"/>
  <c r="L116" i="7" s="1"/>
  <c r="I116" i="3"/>
  <c r="L109" i="7" s="1"/>
  <c r="H116" i="3"/>
  <c r="L108" i="7" s="1"/>
  <c r="G116" i="3"/>
  <c r="L107" i="7" s="1"/>
  <c r="E116" i="3"/>
  <c r="L100" i="7" s="1"/>
  <c r="C116" i="3"/>
  <c r="L92" i="7" s="1"/>
  <c r="Y76" i="3"/>
  <c r="K76" i="3"/>
  <c r="H76" i="3"/>
  <c r="G76" i="3"/>
  <c r="Y75" i="3"/>
  <c r="H75" i="3"/>
  <c r="G75" i="3"/>
  <c r="K75" i="3" s="1"/>
  <c r="AJ74" i="3"/>
  <c r="AK74" i="3" s="1"/>
  <c r="AL74" i="3" s="1"/>
  <c r="AM74" i="3" s="1"/>
  <c r="AN74" i="3" s="1"/>
  <c r="AO74" i="3" s="1"/>
  <c r="AP74" i="3" s="1"/>
  <c r="AQ74" i="3" s="1"/>
  <c r="AR74" i="3" s="1"/>
  <c r="AS74" i="3" s="1"/>
  <c r="AT74" i="3" s="1"/>
  <c r="AU74" i="3" s="1"/>
  <c r="Y74" i="3"/>
  <c r="H74" i="3"/>
  <c r="K74" i="3" s="1"/>
  <c r="G74" i="3"/>
  <c r="AZ73" i="3"/>
  <c r="AS73" i="3"/>
  <c r="AT73" i="3" s="1"/>
  <c r="AU73" i="3" s="1"/>
  <c r="AL73" i="3"/>
  <c r="AM73" i="3" s="1"/>
  <c r="AN73" i="3" s="1"/>
  <c r="AO73" i="3" s="1"/>
  <c r="AP73" i="3" s="1"/>
  <c r="AQ73" i="3" s="1"/>
  <c r="AR73" i="3" s="1"/>
  <c r="AK73" i="3"/>
  <c r="AJ73" i="3"/>
  <c r="AA73" i="3"/>
  <c r="Y73" i="3"/>
  <c r="P73" i="3"/>
  <c r="Q73" i="3" s="1"/>
  <c r="H73" i="3"/>
  <c r="G73" i="3"/>
  <c r="K73" i="3" s="1"/>
  <c r="M73" i="3" s="1"/>
  <c r="AJ72" i="3"/>
  <c r="AK72" i="3" s="1"/>
  <c r="AL72" i="3" s="1"/>
  <c r="AM72" i="3" s="1"/>
  <c r="AN72" i="3" s="1"/>
  <c r="AO72" i="3" s="1"/>
  <c r="AP72" i="3" s="1"/>
  <c r="AQ72" i="3" s="1"/>
  <c r="AR72" i="3" s="1"/>
  <c r="AS72" i="3" s="1"/>
  <c r="AT72" i="3" s="1"/>
  <c r="AU72" i="3" s="1"/>
  <c r="Y72" i="3"/>
  <c r="K72" i="3"/>
  <c r="H72" i="3"/>
  <c r="G72" i="3"/>
  <c r="AM71" i="3"/>
  <c r="AN71" i="3" s="1"/>
  <c r="AO71" i="3" s="1"/>
  <c r="AP71" i="3" s="1"/>
  <c r="AQ71" i="3" s="1"/>
  <c r="AR71" i="3" s="1"/>
  <c r="AS71" i="3" s="1"/>
  <c r="AT71" i="3" s="1"/>
  <c r="AU71" i="3" s="1"/>
  <c r="AL71" i="3"/>
  <c r="AK71" i="3"/>
  <c r="AJ71" i="3"/>
  <c r="Y71" i="3"/>
  <c r="H71" i="3"/>
  <c r="G71" i="3"/>
  <c r="AJ70" i="3"/>
  <c r="Y70" i="3"/>
  <c r="H70" i="3"/>
  <c r="G70" i="3"/>
  <c r="K70" i="3" s="1"/>
  <c r="Y68" i="3"/>
  <c r="H68" i="3"/>
  <c r="G68" i="3"/>
  <c r="K68" i="3" s="1"/>
  <c r="AZ68" i="3" s="1"/>
  <c r="Y67" i="3"/>
  <c r="H67" i="3"/>
  <c r="G67" i="3"/>
  <c r="K67" i="3" s="1"/>
  <c r="AZ67" i="3" s="1"/>
  <c r="AO66" i="3"/>
  <c r="AP66" i="3" s="1"/>
  <c r="AQ66" i="3" s="1"/>
  <c r="AR66" i="3" s="1"/>
  <c r="AS66" i="3" s="1"/>
  <c r="AT66" i="3" s="1"/>
  <c r="AU66" i="3" s="1"/>
  <c r="AK66" i="3"/>
  <c r="AL66" i="3" s="1"/>
  <c r="AM66" i="3" s="1"/>
  <c r="AN66" i="3" s="1"/>
  <c r="AJ66" i="3"/>
  <c r="Y66" i="3"/>
  <c r="L66" i="3"/>
  <c r="H66" i="3"/>
  <c r="G66" i="3"/>
  <c r="AJ65" i="3"/>
  <c r="AK65" i="3" s="1"/>
  <c r="AL65" i="3" s="1"/>
  <c r="AM65" i="3" s="1"/>
  <c r="AN65" i="3" s="1"/>
  <c r="AO65" i="3" s="1"/>
  <c r="AP65" i="3" s="1"/>
  <c r="AQ65" i="3" s="1"/>
  <c r="AR65" i="3" s="1"/>
  <c r="AS65" i="3" s="1"/>
  <c r="AT65" i="3" s="1"/>
  <c r="AU65" i="3" s="1"/>
  <c r="Y65" i="3"/>
  <c r="L65" i="3"/>
  <c r="H65" i="3"/>
  <c r="G65" i="3"/>
  <c r="AZ64" i="3"/>
  <c r="AS64" i="3"/>
  <c r="AT64" i="3" s="1"/>
  <c r="AU64" i="3" s="1"/>
  <c r="AL64" i="3"/>
  <c r="AM64" i="3" s="1"/>
  <c r="AN64" i="3" s="1"/>
  <c r="AO64" i="3" s="1"/>
  <c r="AP64" i="3" s="1"/>
  <c r="AQ64" i="3" s="1"/>
  <c r="AR64" i="3" s="1"/>
  <c r="AK64" i="3"/>
  <c r="AJ64" i="3"/>
  <c r="Y64" i="3"/>
  <c r="L64" i="3"/>
  <c r="H64" i="3"/>
  <c r="G64" i="3"/>
  <c r="K64" i="3" s="1"/>
  <c r="AK63" i="3"/>
  <c r="AL63" i="3" s="1"/>
  <c r="AM63" i="3" s="1"/>
  <c r="AN63" i="3" s="1"/>
  <c r="AO63" i="3" s="1"/>
  <c r="AP63" i="3" s="1"/>
  <c r="AQ63" i="3" s="1"/>
  <c r="AR63" i="3" s="1"/>
  <c r="AS63" i="3" s="1"/>
  <c r="AT63" i="3" s="1"/>
  <c r="AU63" i="3" s="1"/>
  <c r="AJ63" i="3"/>
  <c r="Y63" i="3"/>
  <c r="L63" i="3"/>
  <c r="K63" i="3"/>
  <c r="H63" i="3"/>
  <c r="G63" i="3"/>
  <c r="AM62" i="3"/>
  <c r="AN62" i="3" s="1"/>
  <c r="AO62" i="3" s="1"/>
  <c r="AP62" i="3" s="1"/>
  <c r="AQ62" i="3" s="1"/>
  <c r="AR62" i="3" s="1"/>
  <c r="AS62" i="3" s="1"/>
  <c r="AT62" i="3" s="1"/>
  <c r="AU62" i="3" s="1"/>
  <c r="AK62" i="3"/>
  <c r="AL62" i="3" s="1"/>
  <c r="AJ62" i="3"/>
  <c r="Y62" i="3"/>
  <c r="H62" i="3"/>
  <c r="K62" i="3" s="1"/>
  <c r="G62" i="3"/>
  <c r="G30" i="3" s="1"/>
  <c r="AJ61" i="3"/>
  <c r="Y61" i="3"/>
  <c r="H61" i="3"/>
  <c r="G61" i="3"/>
  <c r="AZ59" i="3"/>
  <c r="AT59" i="3"/>
  <c r="AU59" i="3" s="1"/>
  <c r="AL59" i="3"/>
  <c r="AM59" i="3" s="1"/>
  <c r="AN59" i="3" s="1"/>
  <c r="AO59" i="3" s="1"/>
  <c r="AP59" i="3" s="1"/>
  <c r="AQ59" i="3" s="1"/>
  <c r="AR59" i="3" s="1"/>
  <c r="AS59" i="3" s="1"/>
  <c r="AK59" i="3"/>
  <c r="AJ59" i="3"/>
  <c r="Y59" i="3"/>
  <c r="P59" i="3"/>
  <c r="Q59" i="3" s="1"/>
  <c r="AA59" i="3" s="1"/>
  <c r="H59" i="3"/>
  <c r="G59" i="3"/>
  <c r="K59" i="3" s="1"/>
  <c r="M59" i="3" s="1"/>
  <c r="AZ58" i="3"/>
  <c r="AR58" i="3"/>
  <c r="AS58" i="3" s="1"/>
  <c r="AT58" i="3" s="1"/>
  <c r="AU58" i="3" s="1"/>
  <c r="AJ58" i="3"/>
  <c r="AK58" i="3" s="1"/>
  <c r="AL58" i="3" s="1"/>
  <c r="AM58" i="3" s="1"/>
  <c r="AN58" i="3" s="1"/>
  <c r="AO58" i="3" s="1"/>
  <c r="AP58" i="3" s="1"/>
  <c r="AQ58" i="3" s="1"/>
  <c r="Y58" i="3"/>
  <c r="K58" i="3"/>
  <c r="M58" i="3" s="1"/>
  <c r="P58" i="3" s="1"/>
  <c r="Q58" i="3" s="1"/>
  <c r="H58" i="3"/>
  <c r="H28" i="3" s="1"/>
  <c r="G58" i="3"/>
  <c r="AK57" i="3"/>
  <c r="AL57" i="3" s="1"/>
  <c r="AM57" i="3" s="1"/>
  <c r="AN57" i="3" s="1"/>
  <c r="AO57" i="3" s="1"/>
  <c r="AP57" i="3" s="1"/>
  <c r="AQ57" i="3" s="1"/>
  <c r="AR57" i="3" s="1"/>
  <c r="AS57" i="3" s="1"/>
  <c r="AT57" i="3" s="1"/>
  <c r="AU57" i="3" s="1"/>
  <c r="AJ57" i="3"/>
  <c r="Y57" i="3"/>
  <c r="M57" i="3"/>
  <c r="H57" i="3"/>
  <c r="G57" i="3"/>
  <c r="K57" i="3" s="1"/>
  <c r="BD55" i="3"/>
  <c r="AZ55" i="3"/>
  <c r="AB55" i="3"/>
  <c r="AA55" i="3"/>
  <c r="Y55" i="3"/>
  <c r="H55" i="3"/>
  <c r="G55" i="3"/>
  <c r="K55" i="3" s="1"/>
  <c r="M55" i="3" s="1"/>
  <c r="P55" i="3" s="1"/>
  <c r="Q55" i="3" s="1"/>
  <c r="Y54" i="3"/>
  <c r="H54" i="3"/>
  <c r="G54" i="3"/>
  <c r="K54" i="3" s="1"/>
  <c r="Y53" i="3"/>
  <c r="K53" i="3"/>
  <c r="H53" i="3"/>
  <c r="G53" i="3"/>
  <c r="Y52" i="3"/>
  <c r="H52" i="3"/>
  <c r="K52" i="3" s="1"/>
  <c r="G52" i="3"/>
  <c r="Y51" i="3"/>
  <c r="K51" i="3"/>
  <c r="M51" i="3" s="1"/>
  <c r="P51" i="3" s="1"/>
  <c r="Q51" i="3" s="1"/>
  <c r="H51" i="3"/>
  <c r="G51" i="3"/>
  <c r="AJ50" i="3"/>
  <c r="Y50" i="3"/>
  <c r="H50" i="3"/>
  <c r="G50" i="3"/>
  <c r="K50" i="3" s="1"/>
  <c r="AK49" i="3"/>
  <c r="AL49" i="3" s="1"/>
  <c r="AM49" i="3" s="1"/>
  <c r="AN49" i="3" s="1"/>
  <c r="AO49" i="3" s="1"/>
  <c r="AP49" i="3" s="1"/>
  <c r="AQ49" i="3" s="1"/>
  <c r="AR49" i="3" s="1"/>
  <c r="AS49" i="3" s="1"/>
  <c r="AT49" i="3" s="1"/>
  <c r="AU49" i="3" s="1"/>
  <c r="AJ49" i="3"/>
  <c r="Y49" i="3"/>
  <c r="K49" i="3"/>
  <c r="AZ49" i="3" s="1"/>
  <c r="H49" i="3"/>
  <c r="G49" i="3"/>
  <c r="AL48" i="3"/>
  <c r="AM48" i="3" s="1"/>
  <c r="AN48" i="3" s="1"/>
  <c r="AO48" i="3" s="1"/>
  <c r="AP48" i="3" s="1"/>
  <c r="AQ48" i="3" s="1"/>
  <c r="AR48" i="3" s="1"/>
  <c r="AS48" i="3" s="1"/>
  <c r="AT48" i="3" s="1"/>
  <c r="AU48" i="3" s="1"/>
  <c r="AJ48" i="3"/>
  <c r="AK48" i="3" s="1"/>
  <c r="Y48" i="3"/>
  <c r="H48" i="3"/>
  <c r="G48" i="3"/>
  <c r="K48" i="3" s="1"/>
  <c r="AJ47" i="3"/>
  <c r="AK47" i="3" s="1"/>
  <c r="AL47" i="3" s="1"/>
  <c r="AM47" i="3" s="1"/>
  <c r="AN47" i="3" s="1"/>
  <c r="AO47" i="3" s="1"/>
  <c r="AP47" i="3" s="1"/>
  <c r="AQ47" i="3" s="1"/>
  <c r="AR47" i="3" s="1"/>
  <c r="AS47" i="3" s="1"/>
  <c r="AT47" i="3" s="1"/>
  <c r="AU47" i="3" s="1"/>
  <c r="Y47" i="3"/>
  <c r="H47" i="3"/>
  <c r="G47" i="3"/>
  <c r="AR46" i="3"/>
  <c r="AS46" i="3" s="1"/>
  <c r="AT46" i="3" s="1"/>
  <c r="AU46" i="3" s="1"/>
  <c r="AK46" i="3"/>
  <c r="AL46" i="3" s="1"/>
  <c r="AM46" i="3" s="1"/>
  <c r="AN46" i="3" s="1"/>
  <c r="AO46" i="3" s="1"/>
  <c r="AP46" i="3" s="1"/>
  <c r="AQ46" i="3" s="1"/>
  <c r="AJ46" i="3"/>
  <c r="Y46" i="3"/>
  <c r="H46" i="3"/>
  <c r="G46" i="3"/>
  <c r="K46" i="3" s="1"/>
  <c r="AK45" i="3"/>
  <c r="AL45" i="3" s="1"/>
  <c r="AM45" i="3" s="1"/>
  <c r="AN45" i="3" s="1"/>
  <c r="AO45" i="3" s="1"/>
  <c r="AP45" i="3" s="1"/>
  <c r="AQ45" i="3" s="1"/>
  <c r="AR45" i="3" s="1"/>
  <c r="AS45" i="3" s="1"/>
  <c r="AT45" i="3" s="1"/>
  <c r="AU45" i="3" s="1"/>
  <c r="AJ45" i="3"/>
  <c r="Y45" i="3"/>
  <c r="K45" i="3"/>
  <c r="H45" i="3"/>
  <c r="G45" i="3"/>
  <c r="AK44" i="3"/>
  <c r="AL44" i="3" s="1"/>
  <c r="AM44" i="3" s="1"/>
  <c r="AN44" i="3" s="1"/>
  <c r="AO44" i="3" s="1"/>
  <c r="AP44" i="3" s="1"/>
  <c r="AQ44" i="3" s="1"/>
  <c r="AR44" i="3" s="1"/>
  <c r="AS44" i="3" s="1"/>
  <c r="AT44" i="3" s="1"/>
  <c r="AU44" i="3" s="1"/>
  <c r="AJ44" i="3"/>
  <c r="Y44" i="3"/>
  <c r="K44" i="3"/>
  <c r="H44" i="3"/>
  <c r="G44" i="3"/>
  <c r="BD43" i="3"/>
  <c r="AJ43" i="3"/>
  <c r="AA43" i="3"/>
  <c r="Y43" i="3"/>
  <c r="H43" i="3"/>
  <c r="G43" i="3"/>
  <c r="K43" i="3" s="1"/>
  <c r="M43" i="3" s="1"/>
  <c r="P43" i="3" s="1"/>
  <c r="Q43" i="3" s="1"/>
  <c r="AB43" i="3" s="1"/>
  <c r="AK42" i="3"/>
  <c r="AL42" i="3" s="1"/>
  <c r="AM42" i="3" s="1"/>
  <c r="AN42" i="3" s="1"/>
  <c r="AO42" i="3" s="1"/>
  <c r="AP42" i="3" s="1"/>
  <c r="AQ42" i="3" s="1"/>
  <c r="AR42" i="3" s="1"/>
  <c r="AS42" i="3" s="1"/>
  <c r="AT42" i="3" s="1"/>
  <c r="AU42" i="3" s="1"/>
  <c r="AJ42" i="3"/>
  <c r="Y42" i="3"/>
  <c r="H42" i="3"/>
  <c r="K42" i="3" s="1"/>
  <c r="G42" i="3"/>
  <c r="AL41" i="3"/>
  <c r="AM41" i="3" s="1"/>
  <c r="AN41" i="3" s="1"/>
  <c r="AO41" i="3" s="1"/>
  <c r="AP41" i="3" s="1"/>
  <c r="AQ41" i="3" s="1"/>
  <c r="AR41" i="3" s="1"/>
  <c r="AS41" i="3" s="1"/>
  <c r="AT41" i="3" s="1"/>
  <c r="AU41" i="3" s="1"/>
  <c r="AK41" i="3"/>
  <c r="AJ41" i="3"/>
  <c r="Y41" i="3"/>
  <c r="H41" i="3"/>
  <c r="G41" i="3"/>
  <c r="N37" i="3"/>
  <c r="G37" i="3"/>
  <c r="N36" i="3"/>
  <c r="N35" i="3"/>
  <c r="N34" i="3"/>
  <c r="F34" i="3"/>
  <c r="N33" i="3"/>
  <c r="N32" i="3"/>
  <c r="G32" i="3"/>
  <c r="F32" i="3"/>
  <c r="N31" i="3"/>
  <c r="H31" i="3"/>
  <c r="G31" i="3"/>
  <c r="F31" i="3"/>
  <c r="N30" i="3"/>
  <c r="F30" i="3"/>
  <c r="N29" i="3"/>
  <c r="H29" i="3"/>
  <c r="G29" i="3"/>
  <c r="N28" i="3"/>
  <c r="G28" i="3"/>
  <c r="F28" i="3"/>
  <c r="N27" i="3"/>
  <c r="N26" i="3"/>
  <c r="K26" i="3"/>
  <c r="H26" i="3"/>
  <c r="G26" i="3"/>
  <c r="F26" i="3"/>
  <c r="N25" i="3"/>
  <c r="H25" i="3"/>
  <c r="F25" i="3"/>
  <c r="N24" i="3"/>
  <c r="F24" i="3"/>
  <c r="AP20" i="3"/>
  <c r="AQ20" i="3" s="1"/>
  <c r="AR20" i="3" s="1"/>
  <c r="AS20" i="3" s="1"/>
  <c r="AT20" i="3" s="1"/>
  <c r="AU20" i="3" s="1"/>
  <c r="AK20" i="3"/>
  <c r="AL20" i="3" s="1"/>
  <c r="AM20" i="3" s="1"/>
  <c r="AN20" i="3" s="1"/>
  <c r="AO20" i="3" s="1"/>
  <c r="AJ20" i="3"/>
  <c r="Y20" i="3"/>
  <c r="H20" i="3"/>
  <c r="G20" i="3"/>
  <c r="AL19" i="3"/>
  <c r="AM19" i="3" s="1"/>
  <c r="AN19" i="3" s="1"/>
  <c r="AO19" i="3" s="1"/>
  <c r="AP19" i="3" s="1"/>
  <c r="AQ19" i="3" s="1"/>
  <c r="AR19" i="3" s="1"/>
  <c r="AS19" i="3" s="1"/>
  <c r="AT19" i="3" s="1"/>
  <c r="AU19" i="3" s="1"/>
  <c r="AK19" i="3"/>
  <c r="AJ19" i="3"/>
  <c r="Y19" i="3"/>
  <c r="H19" i="3"/>
  <c r="H36" i="3" s="1"/>
  <c r="G19" i="3"/>
  <c r="AO18" i="3"/>
  <c r="AP18" i="3" s="1"/>
  <c r="AQ18" i="3" s="1"/>
  <c r="AR18" i="3" s="1"/>
  <c r="AS18" i="3" s="1"/>
  <c r="AT18" i="3" s="1"/>
  <c r="AU18" i="3" s="1"/>
  <c r="AK18" i="3"/>
  <c r="AL18" i="3" s="1"/>
  <c r="AM18" i="3" s="1"/>
  <c r="AN18" i="3" s="1"/>
  <c r="AJ18" i="3"/>
  <c r="Y18" i="3"/>
  <c r="H18" i="3"/>
  <c r="H35" i="3" s="1"/>
  <c r="G18" i="3"/>
  <c r="AT17" i="3"/>
  <c r="AU17" i="3" s="1"/>
  <c r="AR17" i="3"/>
  <c r="AS17" i="3" s="1"/>
  <c r="AK17" i="3"/>
  <c r="AL17" i="3" s="1"/>
  <c r="AM17" i="3" s="1"/>
  <c r="AN17" i="3" s="1"/>
  <c r="AO17" i="3" s="1"/>
  <c r="AP17" i="3" s="1"/>
  <c r="AQ17" i="3" s="1"/>
  <c r="AJ17" i="3"/>
  <c r="Y17" i="3"/>
  <c r="H17" i="3"/>
  <c r="G17" i="3"/>
  <c r="K17" i="3" s="1"/>
  <c r="AN16" i="3"/>
  <c r="AO16" i="3" s="1"/>
  <c r="AP16" i="3" s="1"/>
  <c r="AQ16" i="3" s="1"/>
  <c r="AR16" i="3" s="1"/>
  <c r="AS16" i="3" s="1"/>
  <c r="AT16" i="3" s="1"/>
  <c r="AU16" i="3" s="1"/>
  <c r="AK16" i="3"/>
  <c r="AL16" i="3" s="1"/>
  <c r="AM16" i="3" s="1"/>
  <c r="AJ16" i="3"/>
  <c r="Y16" i="3"/>
  <c r="H16" i="3"/>
  <c r="H33" i="3" s="1"/>
  <c r="G16" i="3"/>
  <c r="G33" i="3" s="1"/>
  <c r="BE15" i="3"/>
  <c r="AL15" i="3"/>
  <c r="AM15" i="3" s="1"/>
  <c r="AN15" i="3" s="1"/>
  <c r="AO15" i="3" s="1"/>
  <c r="AP15" i="3" s="1"/>
  <c r="AQ15" i="3" s="1"/>
  <c r="AR15" i="3" s="1"/>
  <c r="AS15" i="3" s="1"/>
  <c r="AT15" i="3" s="1"/>
  <c r="AU15" i="3" s="1"/>
  <c r="AK15" i="3"/>
  <c r="AJ15" i="3"/>
  <c r="Y15" i="3"/>
  <c r="L15" i="3"/>
  <c r="H15" i="3"/>
  <c r="G15" i="3"/>
  <c r="K15" i="3" s="1"/>
  <c r="AZ15" i="3" s="1"/>
  <c r="BE14" i="3"/>
  <c r="AK14" i="3"/>
  <c r="AL14" i="3" s="1"/>
  <c r="AM14" i="3" s="1"/>
  <c r="AN14" i="3" s="1"/>
  <c r="AO14" i="3" s="1"/>
  <c r="AP14" i="3" s="1"/>
  <c r="AQ14" i="3" s="1"/>
  <c r="AR14" i="3" s="1"/>
  <c r="AS14" i="3" s="1"/>
  <c r="AT14" i="3" s="1"/>
  <c r="AU14" i="3" s="1"/>
  <c r="AJ14" i="3"/>
  <c r="Y14" i="3"/>
  <c r="L14" i="3"/>
  <c r="K14" i="3"/>
  <c r="H14" i="3"/>
  <c r="G14" i="3"/>
  <c r="BE13" i="3"/>
  <c r="BD13" i="3"/>
  <c r="AK13" i="3"/>
  <c r="AL13" i="3" s="1"/>
  <c r="AM13" i="3" s="1"/>
  <c r="AN13" i="3" s="1"/>
  <c r="AO13" i="3" s="1"/>
  <c r="AP13" i="3" s="1"/>
  <c r="AQ13" i="3" s="1"/>
  <c r="AR13" i="3" s="1"/>
  <c r="AS13" i="3" s="1"/>
  <c r="AT13" i="3" s="1"/>
  <c r="AU13" i="3" s="1"/>
  <c r="AJ13" i="3"/>
  <c r="BB13" i="3" s="1"/>
  <c r="AA13" i="3"/>
  <c r="Y13" i="3"/>
  <c r="H13" i="3"/>
  <c r="G13" i="3"/>
  <c r="K13" i="3" s="1"/>
  <c r="M13" i="3" s="1"/>
  <c r="P13" i="3" s="1"/>
  <c r="Q13" i="3" s="1"/>
  <c r="R30" i="3" s="1"/>
  <c r="AJ12" i="3"/>
  <c r="Y12" i="3"/>
  <c r="M12" i="3"/>
  <c r="K12" i="3"/>
  <c r="AZ12" i="3" s="1"/>
  <c r="H12" i="3"/>
  <c r="G12" i="3"/>
  <c r="BE11" i="3"/>
  <c r="AK11" i="3"/>
  <c r="AL11" i="3" s="1"/>
  <c r="AM11" i="3" s="1"/>
  <c r="AN11" i="3" s="1"/>
  <c r="AO11" i="3" s="1"/>
  <c r="AP11" i="3" s="1"/>
  <c r="AQ11" i="3" s="1"/>
  <c r="AR11" i="3" s="1"/>
  <c r="AS11" i="3" s="1"/>
  <c r="AT11" i="3" s="1"/>
  <c r="AU11" i="3" s="1"/>
  <c r="AJ11" i="3"/>
  <c r="Y11" i="3"/>
  <c r="H11" i="3"/>
  <c r="G11" i="3"/>
  <c r="K11" i="3" s="1"/>
  <c r="AZ11" i="3" s="1"/>
  <c r="AN10" i="3"/>
  <c r="AO10" i="3" s="1"/>
  <c r="AP10" i="3" s="1"/>
  <c r="AQ10" i="3" s="1"/>
  <c r="AR10" i="3" s="1"/>
  <c r="AS10" i="3" s="1"/>
  <c r="AT10" i="3" s="1"/>
  <c r="AU10" i="3" s="1"/>
  <c r="AK10" i="3"/>
  <c r="AL10" i="3" s="1"/>
  <c r="AM10" i="3" s="1"/>
  <c r="AJ10" i="3"/>
  <c r="Y10" i="3"/>
  <c r="K10" i="3"/>
  <c r="H10" i="3"/>
  <c r="H27" i="3" s="1"/>
  <c r="G10" i="3"/>
  <c r="G27" i="3" s="1"/>
  <c r="AZ9" i="3"/>
  <c r="AM9" i="3"/>
  <c r="AN9" i="3" s="1"/>
  <c r="AO9" i="3" s="1"/>
  <c r="AP9" i="3" s="1"/>
  <c r="AQ9" i="3" s="1"/>
  <c r="AR9" i="3" s="1"/>
  <c r="AS9" i="3" s="1"/>
  <c r="AT9" i="3" s="1"/>
  <c r="AU9" i="3" s="1"/>
  <c r="AJ9" i="3"/>
  <c r="AK9" i="3" s="1"/>
  <c r="AL9" i="3" s="1"/>
  <c r="Y9" i="3"/>
  <c r="Q9" i="3"/>
  <c r="H9" i="3"/>
  <c r="G9" i="3"/>
  <c r="K9" i="3" s="1"/>
  <c r="M9" i="3" s="1"/>
  <c r="P9" i="3" s="1"/>
  <c r="AK8" i="3"/>
  <c r="AL8" i="3" s="1"/>
  <c r="AM8" i="3" s="1"/>
  <c r="AN8" i="3" s="1"/>
  <c r="AO8" i="3" s="1"/>
  <c r="AP8" i="3" s="1"/>
  <c r="AQ8" i="3" s="1"/>
  <c r="AR8" i="3" s="1"/>
  <c r="AS8" i="3" s="1"/>
  <c r="AT8" i="3" s="1"/>
  <c r="AU8" i="3" s="1"/>
  <c r="AJ8" i="3"/>
  <c r="Y8" i="3"/>
  <c r="H8" i="3"/>
  <c r="K8" i="3" s="1"/>
  <c r="AZ8" i="3" s="1"/>
  <c r="G8" i="3"/>
  <c r="AM7" i="3"/>
  <c r="AN7" i="3" s="1"/>
  <c r="AO7" i="3" s="1"/>
  <c r="AP7" i="3" s="1"/>
  <c r="AQ7" i="3" s="1"/>
  <c r="AR7" i="3" s="1"/>
  <c r="AS7" i="3" s="1"/>
  <c r="AT7" i="3" s="1"/>
  <c r="AU7" i="3" s="1"/>
  <c r="AL7" i="3"/>
  <c r="AJ7" i="3"/>
  <c r="AK7" i="3" s="1"/>
  <c r="Y7" i="3"/>
  <c r="H7" i="3"/>
  <c r="G7" i="3"/>
  <c r="D137" i="2"/>
  <c r="D136" i="2"/>
  <c r="D135" i="2"/>
  <c r="D134" i="2"/>
  <c r="D133" i="2"/>
  <c r="D132" i="2"/>
  <c r="D131" i="2"/>
  <c r="D130" i="2"/>
  <c r="D129" i="2"/>
  <c r="D128" i="2"/>
  <c r="B124" i="2"/>
  <c r="B123" i="2"/>
  <c r="B122" i="2"/>
  <c r="B121" i="2"/>
  <c r="B120" i="2"/>
  <c r="B119" i="2"/>
  <c r="B118" i="2"/>
  <c r="B117" i="2"/>
  <c r="B116" i="2"/>
  <c r="B115" i="2"/>
  <c r="A109" i="2"/>
  <c r="A108" i="2"/>
  <c r="N107" i="2"/>
  <c r="K107" i="2"/>
  <c r="I107" i="2"/>
  <c r="G107" i="2"/>
  <c r="E107" i="2"/>
  <c r="A107" i="2"/>
  <c r="N106" i="2"/>
  <c r="K106" i="2"/>
  <c r="I106" i="2"/>
  <c r="G106" i="2"/>
  <c r="E106" i="2"/>
  <c r="A106" i="2"/>
  <c r="N105" i="2"/>
  <c r="K105" i="2"/>
  <c r="I105" i="2"/>
  <c r="G105" i="2"/>
  <c r="E105" i="2"/>
  <c r="A105" i="2"/>
  <c r="N104" i="2"/>
  <c r="K104" i="2"/>
  <c r="I104" i="2"/>
  <c r="G104" i="2"/>
  <c r="E104" i="2"/>
  <c r="A104" i="2"/>
  <c r="N103" i="2"/>
  <c r="K103" i="2"/>
  <c r="I103" i="2"/>
  <c r="G103" i="2"/>
  <c r="E103" i="2"/>
  <c r="A103" i="2"/>
  <c r="N102" i="2"/>
  <c r="K102" i="2"/>
  <c r="I102" i="2"/>
  <c r="G102" i="2"/>
  <c r="E102" i="2"/>
  <c r="A102" i="2"/>
  <c r="N101" i="2"/>
  <c r="K101" i="2"/>
  <c r="I101" i="2"/>
  <c r="G101" i="2"/>
  <c r="E101" i="2"/>
  <c r="A101" i="2"/>
  <c r="N100" i="2"/>
  <c r="K100" i="2"/>
  <c r="I100" i="2"/>
  <c r="G100" i="2"/>
  <c r="E100" i="2"/>
  <c r="A100" i="2"/>
  <c r="N94" i="2"/>
  <c r="M94" i="2"/>
  <c r="J94" i="2"/>
  <c r="A94" i="2"/>
  <c r="N93" i="2"/>
  <c r="M93" i="2"/>
  <c r="J93" i="2"/>
  <c r="A93" i="2"/>
  <c r="N92" i="2"/>
  <c r="M92" i="2"/>
  <c r="J92" i="2"/>
  <c r="A92" i="2"/>
  <c r="N91" i="2"/>
  <c r="M91" i="2"/>
  <c r="J91" i="2"/>
  <c r="A91" i="2"/>
  <c r="N90" i="2"/>
  <c r="M90" i="2"/>
  <c r="J90" i="2"/>
  <c r="A90" i="2"/>
  <c r="N89" i="2"/>
  <c r="M89" i="2"/>
  <c r="J89" i="2"/>
  <c r="A89" i="2"/>
  <c r="N88" i="2"/>
  <c r="M88" i="2"/>
  <c r="J88" i="2"/>
  <c r="A88" i="2"/>
  <c r="N87" i="2"/>
  <c r="M87" i="2"/>
  <c r="J87" i="2"/>
  <c r="A87" i="2"/>
  <c r="N86" i="2"/>
  <c r="M86" i="2"/>
  <c r="J86" i="2"/>
  <c r="A86" i="2"/>
  <c r="N85" i="2"/>
  <c r="M85" i="2"/>
  <c r="J85" i="2"/>
  <c r="A85" i="2"/>
  <c r="A80" i="2"/>
  <c r="A79" i="2"/>
  <c r="A78" i="2"/>
  <c r="A77" i="2"/>
  <c r="A76" i="2"/>
  <c r="A75" i="2"/>
  <c r="A74" i="2"/>
  <c r="A73" i="2"/>
  <c r="A72" i="2"/>
  <c r="A71" i="2"/>
  <c r="C66" i="2"/>
  <c r="C65" i="2"/>
  <c r="C64" i="2"/>
  <c r="C63" i="2"/>
  <c r="C62" i="2"/>
  <c r="C61" i="2"/>
  <c r="C60" i="2"/>
  <c r="C59" i="2"/>
  <c r="B51" i="2"/>
  <c r="B49" i="2"/>
  <c r="B48" i="2"/>
  <c r="B45" i="2"/>
  <c r="O27" i="2"/>
  <c r="N27" i="2"/>
  <c r="M27" i="2"/>
  <c r="L27" i="2"/>
  <c r="K27" i="2"/>
  <c r="J27" i="2"/>
  <c r="I27" i="2"/>
  <c r="H27" i="2"/>
  <c r="G27" i="2"/>
  <c r="F27" i="2"/>
  <c r="E27" i="2"/>
  <c r="D27" i="2"/>
  <c r="O26" i="2"/>
  <c r="N26" i="2"/>
  <c r="M26" i="2"/>
  <c r="L26" i="2"/>
  <c r="K26" i="2"/>
  <c r="J26" i="2"/>
  <c r="I26" i="2"/>
  <c r="H26" i="2"/>
  <c r="G26" i="2"/>
  <c r="F26" i="2"/>
  <c r="E26" i="2"/>
  <c r="D26" i="2"/>
  <c r="I20" i="2"/>
  <c r="H20" i="2"/>
  <c r="G20" i="2"/>
  <c r="F20" i="2"/>
  <c r="E20" i="2"/>
  <c r="D20" i="2"/>
  <c r="C20" i="2"/>
  <c r="B20" i="2"/>
  <c r="P6" i="2"/>
  <c r="A1" i="2"/>
  <c r="AZ62" i="3" l="1"/>
  <c r="M62" i="3"/>
  <c r="P62" i="3" s="1"/>
  <c r="Q62" i="3" s="1"/>
  <c r="AZ51" i="3"/>
  <c r="M67" i="3"/>
  <c r="P67" i="3" s="1"/>
  <c r="Q67" i="3" s="1"/>
  <c r="K27" i="3"/>
  <c r="AZ10" i="3"/>
  <c r="M10" i="3"/>
  <c r="M64" i="3"/>
  <c r="K32" i="3"/>
  <c r="BD73" i="3"/>
  <c r="BB73" i="3"/>
  <c r="AB73" i="3"/>
  <c r="BB74" i="3"/>
  <c r="K18" i="3"/>
  <c r="G35" i="3"/>
  <c r="AZ42" i="3"/>
  <c r="M42" i="3"/>
  <c r="P42" i="3" s="1"/>
  <c r="Q42" i="3" s="1"/>
  <c r="M8" i="3"/>
  <c r="P8" i="3" s="1"/>
  <c r="Q8" i="3" s="1"/>
  <c r="M49" i="3"/>
  <c r="P49" i="3" s="1"/>
  <c r="Q49" i="3" s="1"/>
  <c r="M46" i="3"/>
  <c r="AZ46" i="3"/>
  <c r="AZ52" i="3"/>
  <c r="M52" i="3"/>
  <c r="P52" i="3" s="1"/>
  <c r="Q52" i="3" s="1"/>
  <c r="AZ75" i="3"/>
  <c r="M75" i="3"/>
  <c r="P75" i="3" s="1"/>
  <c r="Q75" i="3" s="1"/>
  <c r="H37" i="3"/>
  <c r="K20" i="3"/>
  <c r="M29" i="3"/>
  <c r="P12" i="3"/>
  <c r="M17" i="3"/>
  <c r="P17" i="3" s="1"/>
  <c r="Q17" i="3" s="1"/>
  <c r="AZ17" i="3"/>
  <c r="AZ48" i="3"/>
  <c r="M48" i="3"/>
  <c r="P48" i="3" s="1"/>
  <c r="Q48" i="3" s="1"/>
  <c r="BD58" i="3"/>
  <c r="AB58" i="3"/>
  <c r="AA58" i="3"/>
  <c r="BD59" i="3"/>
  <c r="AB59" i="3"/>
  <c r="K7" i="3"/>
  <c r="M50" i="3"/>
  <c r="AZ50" i="3"/>
  <c r="BB59" i="3"/>
  <c r="AZ53" i="3"/>
  <c r="M53" i="3"/>
  <c r="P53" i="3" s="1"/>
  <c r="Q53" i="3" s="1"/>
  <c r="K31" i="3"/>
  <c r="AZ63" i="3"/>
  <c r="M63" i="3"/>
  <c r="N156" i="6"/>
  <c r="N142" i="6"/>
  <c r="N143" i="6"/>
  <c r="N148" i="6"/>
  <c r="N150" i="6"/>
  <c r="N133" i="6"/>
  <c r="N145" i="6"/>
  <c r="N138" i="6"/>
  <c r="N134" i="6"/>
  <c r="N151" i="6"/>
  <c r="N139" i="6"/>
  <c r="N155" i="6"/>
  <c r="N140" i="6"/>
  <c r="N144" i="6"/>
  <c r="N154" i="6" s="1"/>
  <c r="N137" i="6"/>
  <c r="N149" i="6"/>
  <c r="N146" i="6"/>
  <c r="N141" i="6"/>
  <c r="N147" i="6"/>
  <c r="N152" i="6"/>
  <c r="N157" i="6" s="1"/>
  <c r="N136" i="6"/>
  <c r="N135" i="6"/>
  <c r="H30" i="3"/>
  <c r="K61" i="3"/>
  <c r="AZ76" i="3"/>
  <c r="M76" i="3"/>
  <c r="P76" i="3" s="1"/>
  <c r="Q76" i="3" s="1"/>
  <c r="M11" i="3"/>
  <c r="P11" i="3" s="1"/>
  <c r="Q11" i="3" s="1"/>
  <c r="AK43" i="3"/>
  <c r="AL43" i="3" s="1"/>
  <c r="AM43" i="3" s="1"/>
  <c r="AN43" i="3" s="1"/>
  <c r="AO43" i="3" s="1"/>
  <c r="AP43" i="3" s="1"/>
  <c r="AQ43" i="3" s="1"/>
  <c r="AR43" i="3" s="1"/>
  <c r="AS43" i="3" s="1"/>
  <c r="AT43" i="3" s="1"/>
  <c r="AU43" i="3" s="1"/>
  <c r="BB43" i="3"/>
  <c r="AK50" i="3"/>
  <c r="AL50" i="3" s="1"/>
  <c r="AM50" i="3" s="1"/>
  <c r="AN50" i="3" s="1"/>
  <c r="AO50" i="3" s="1"/>
  <c r="AP50" i="3" s="1"/>
  <c r="AQ50" i="3" s="1"/>
  <c r="AR50" i="3" s="1"/>
  <c r="AS50" i="3" s="1"/>
  <c r="AT50" i="3" s="1"/>
  <c r="AU50" i="3" s="1"/>
  <c r="AZ72" i="3"/>
  <c r="M72" i="3"/>
  <c r="P72" i="3" s="1"/>
  <c r="Q72" i="3" s="1"/>
  <c r="K47" i="3"/>
  <c r="K25" i="3" s="1"/>
  <c r="G25" i="3"/>
  <c r="AB51" i="3"/>
  <c r="AA51" i="3"/>
  <c r="BD51" i="3"/>
  <c r="R26" i="3"/>
  <c r="BD9" i="3"/>
  <c r="AB9" i="3"/>
  <c r="AA9" i="3"/>
  <c r="AZ45" i="3"/>
  <c r="M45" i="3"/>
  <c r="P45" i="3" s="1"/>
  <c r="Q45" i="3" s="1"/>
  <c r="AK61" i="3"/>
  <c r="AL61" i="3" s="1"/>
  <c r="AM61" i="3" s="1"/>
  <c r="AN61" i="3" s="1"/>
  <c r="AO61" i="3" s="1"/>
  <c r="AP61" i="3" s="1"/>
  <c r="AQ61" i="3" s="1"/>
  <c r="AR61" i="3" s="1"/>
  <c r="AS61" i="3" s="1"/>
  <c r="AT61" i="3" s="1"/>
  <c r="AU61" i="3" s="1"/>
  <c r="M70" i="3"/>
  <c r="AZ70" i="3"/>
  <c r="BB14" i="3"/>
  <c r="M28" i="3"/>
  <c r="P57" i="3"/>
  <c r="AK70" i="3"/>
  <c r="AL70" i="3" s="1"/>
  <c r="AM70" i="3" s="1"/>
  <c r="AN70" i="3" s="1"/>
  <c r="AO70" i="3" s="1"/>
  <c r="AP70" i="3" s="1"/>
  <c r="AQ70" i="3" s="1"/>
  <c r="AR70" i="3" s="1"/>
  <c r="AS70" i="3" s="1"/>
  <c r="AT70" i="3" s="1"/>
  <c r="AU70" i="3" s="1"/>
  <c r="AZ74" i="3"/>
  <c r="M74" i="3"/>
  <c r="P74" i="3" s="1"/>
  <c r="Q74" i="3" s="1"/>
  <c r="AB13" i="3"/>
  <c r="G34" i="3"/>
  <c r="K71" i="3"/>
  <c r="AK12" i="3"/>
  <c r="AL12" i="3" s="1"/>
  <c r="AM12" i="3" s="1"/>
  <c r="AN12" i="3" s="1"/>
  <c r="AO12" i="3" s="1"/>
  <c r="AP12" i="3" s="1"/>
  <c r="AQ12" i="3" s="1"/>
  <c r="AR12" i="3" s="1"/>
  <c r="AS12" i="3" s="1"/>
  <c r="AT12" i="3" s="1"/>
  <c r="AU12" i="3" s="1"/>
  <c r="K66" i="3"/>
  <c r="H34" i="3"/>
  <c r="AZ13" i="3"/>
  <c r="G36" i="3"/>
  <c r="K19" i="3"/>
  <c r="K29" i="3"/>
  <c r="AZ43" i="3"/>
  <c r="M54" i="3"/>
  <c r="P54" i="3" s="1"/>
  <c r="Q54" i="3" s="1"/>
  <c r="AZ54" i="3"/>
  <c r="AZ57" i="3"/>
  <c r="K28" i="3"/>
  <c r="K65" i="3"/>
  <c r="H32" i="3"/>
  <c r="B44" i="2"/>
  <c r="B46" i="2"/>
  <c r="M350" i="6"/>
  <c r="M351" i="6" s="1"/>
  <c r="G24" i="3"/>
  <c r="K41" i="3"/>
  <c r="K16" i="3"/>
  <c r="H24" i="3"/>
  <c r="AZ44" i="3"/>
  <c r="M44" i="3"/>
  <c r="P44" i="3" s="1"/>
  <c r="Q44" i="3" s="1"/>
  <c r="M68" i="3"/>
  <c r="P68" i="3" s="1"/>
  <c r="Q68" i="3" s="1"/>
  <c r="N286" i="6"/>
  <c r="N216" i="6"/>
  <c r="N318" i="6"/>
  <c r="N104" i="6"/>
  <c r="N188" i="6"/>
  <c r="N76" i="6"/>
  <c r="N48" i="6"/>
  <c r="N20" i="6"/>
  <c r="N160" i="6"/>
  <c r="O7" i="6"/>
  <c r="BB9" i="3"/>
  <c r="AZ14" i="3"/>
  <c r="M14" i="3"/>
  <c r="P14" i="3" s="1"/>
  <c r="Q14" i="3" s="1"/>
  <c r="P368" i="6"/>
  <c r="P369" i="6" s="1"/>
  <c r="N366" i="6"/>
  <c r="N367" i="6" s="1"/>
  <c r="X362" i="6"/>
  <c r="X363" i="6" s="1"/>
  <c r="V360" i="6"/>
  <c r="V361" i="6" s="1"/>
  <c r="T358" i="6"/>
  <c r="T359" i="6" s="1"/>
  <c r="R356" i="6"/>
  <c r="R357" i="6" s="1"/>
  <c r="P354" i="6"/>
  <c r="P355" i="6" s="1"/>
  <c r="N352" i="6"/>
  <c r="N353" i="6" s="1"/>
  <c r="O368" i="6"/>
  <c r="O369" i="6" s="1"/>
  <c r="M366" i="6"/>
  <c r="M367" i="6" s="1"/>
  <c r="W362" i="6"/>
  <c r="W363" i="6" s="1"/>
  <c r="U360" i="6"/>
  <c r="U361" i="6" s="1"/>
  <c r="S358" i="6"/>
  <c r="S359" i="6" s="1"/>
  <c r="Q356" i="6"/>
  <c r="Q357" i="6" s="1"/>
  <c r="O354" i="6"/>
  <c r="O355" i="6" s="1"/>
  <c r="M352" i="6"/>
  <c r="M353" i="6" s="1"/>
  <c r="N368" i="6"/>
  <c r="N369" i="6" s="1"/>
  <c r="X364" i="6"/>
  <c r="X365" i="6" s="1"/>
  <c r="V362" i="6"/>
  <c r="V363" i="6" s="1"/>
  <c r="T360" i="6"/>
  <c r="T361" i="6" s="1"/>
  <c r="R358" i="6"/>
  <c r="R359" i="6" s="1"/>
  <c r="P356" i="6"/>
  <c r="P357" i="6" s="1"/>
  <c r="N354" i="6"/>
  <c r="N355" i="6" s="1"/>
  <c r="X350" i="6"/>
  <c r="X351" i="6" s="1"/>
  <c r="M368" i="6"/>
  <c r="M369" i="6" s="1"/>
  <c r="W364" i="6"/>
  <c r="W365" i="6" s="1"/>
  <c r="U362" i="6"/>
  <c r="U363" i="6" s="1"/>
  <c r="S360" i="6"/>
  <c r="S361" i="6" s="1"/>
  <c r="Q358" i="6"/>
  <c r="Q359" i="6" s="1"/>
  <c r="O356" i="6"/>
  <c r="O357" i="6" s="1"/>
  <c r="M354" i="6"/>
  <c r="M355" i="6" s="1"/>
  <c r="W350" i="6"/>
  <c r="W351" i="6" s="1"/>
  <c r="X366" i="6"/>
  <c r="X367" i="6" s="1"/>
  <c r="V364" i="6"/>
  <c r="V365" i="6" s="1"/>
  <c r="T362" i="6"/>
  <c r="T363" i="6" s="1"/>
  <c r="R360" i="6"/>
  <c r="R361" i="6" s="1"/>
  <c r="P358" i="6"/>
  <c r="P359" i="6" s="1"/>
  <c r="N356" i="6"/>
  <c r="N357" i="6" s="1"/>
  <c r="X352" i="6"/>
  <c r="X353" i="6" s="1"/>
  <c r="V350" i="6"/>
  <c r="V351" i="6" s="1"/>
  <c r="V368" i="6"/>
  <c r="V369" i="6" s="1"/>
  <c r="P364" i="6"/>
  <c r="P365" i="6" s="1"/>
  <c r="S362" i="6"/>
  <c r="S363" i="6" s="1"/>
  <c r="R354" i="6"/>
  <c r="R355" i="6" s="1"/>
  <c r="V352" i="6"/>
  <c r="V353" i="6" s="1"/>
  <c r="U368" i="6"/>
  <c r="U369" i="6" s="1"/>
  <c r="O364" i="6"/>
  <c r="O365" i="6" s="1"/>
  <c r="R362" i="6"/>
  <c r="R363" i="6" s="1"/>
  <c r="Q354" i="6"/>
  <c r="Q355" i="6" s="1"/>
  <c r="U352" i="6"/>
  <c r="U353" i="6" s="1"/>
  <c r="T368" i="6"/>
  <c r="T369" i="6" s="1"/>
  <c r="N364" i="6"/>
  <c r="N365" i="6" s="1"/>
  <c r="Q362" i="6"/>
  <c r="Q363" i="6" s="1"/>
  <c r="X360" i="6"/>
  <c r="X361" i="6" s="1"/>
  <c r="T352" i="6"/>
  <c r="T353" i="6" s="1"/>
  <c r="Q368" i="6"/>
  <c r="Q369" i="6" s="1"/>
  <c r="U366" i="6"/>
  <c r="U367" i="6" s="1"/>
  <c r="N362" i="6"/>
  <c r="N363" i="6" s="1"/>
  <c r="P360" i="6"/>
  <c r="P361" i="6" s="1"/>
  <c r="W358" i="6"/>
  <c r="W359" i="6" s="1"/>
  <c r="Q352" i="6"/>
  <c r="Q353" i="6" s="1"/>
  <c r="U350" i="6"/>
  <c r="U351" i="6" s="1"/>
  <c r="W356" i="6"/>
  <c r="W357" i="6" s="1"/>
  <c r="U354" i="6"/>
  <c r="U355" i="6" s="1"/>
  <c r="S352" i="6"/>
  <c r="S353" i="6" s="1"/>
  <c r="R350" i="6"/>
  <c r="R351" i="6" s="1"/>
  <c r="X358" i="6"/>
  <c r="X359" i="6" s="1"/>
  <c r="V356" i="6"/>
  <c r="V357" i="6" s="1"/>
  <c r="T354" i="6"/>
  <c r="T355" i="6" s="1"/>
  <c r="R352" i="6"/>
  <c r="R353" i="6" s="1"/>
  <c r="Q350" i="6"/>
  <c r="Q351" i="6" s="1"/>
  <c r="U358" i="6"/>
  <c r="U359" i="6" s="1"/>
  <c r="T356" i="6"/>
  <c r="T357" i="6" s="1"/>
  <c r="O352" i="6"/>
  <c r="O353" i="6" s="1"/>
  <c r="O350" i="6"/>
  <c r="O351" i="6" s="1"/>
  <c r="W360" i="6"/>
  <c r="W361" i="6" s="1"/>
  <c r="O358" i="6"/>
  <c r="O359" i="6" s="1"/>
  <c r="S356" i="6"/>
  <c r="S357" i="6" s="1"/>
  <c r="N350" i="6"/>
  <c r="N351" i="6" s="1"/>
  <c r="W368" i="6"/>
  <c r="W369" i="6" s="1"/>
  <c r="T366" i="6"/>
  <c r="T367" i="6" s="1"/>
  <c r="T364" i="6"/>
  <c r="T365" i="6" s="1"/>
  <c r="P362" i="6"/>
  <c r="P363" i="6" s="1"/>
  <c r="N360" i="6"/>
  <c r="N361" i="6" s="1"/>
  <c r="O366" i="6"/>
  <c r="O367" i="6" s="1"/>
  <c r="W354" i="6"/>
  <c r="W355" i="6" s="1"/>
  <c r="T350" i="6"/>
  <c r="T351" i="6" s="1"/>
  <c r="X356" i="6"/>
  <c r="X357" i="6" s="1"/>
  <c r="V354" i="6"/>
  <c r="V355" i="6" s="1"/>
  <c r="W352" i="6"/>
  <c r="W353" i="6" s="1"/>
  <c r="S350" i="6"/>
  <c r="S351" i="6" s="1"/>
  <c r="M364" i="6"/>
  <c r="M365" i="6" s="1"/>
  <c r="M356" i="6"/>
  <c r="M357" i="6" s="1"/>
  <c r="W366" i="6"/>
  <c r="W367" i="6" s="1"/>
  <c r="P352" i="6"/>
  <c r="P353" i="6" s="1"/>
  <c r="V366" i="6"/>
  <c r="V367" i="6" s="1"/>
  <c r="P366" i="6"/>
  <c r="P367" i="6" s="1"/>
  <c r="M362" i="6"/>
  <c r="M363" i="6" s="1"/>
  <c r="M358" i="6"/>
  <c r="M359" i="6" s="1"/>
  <c r="S354" i="6"/>
  <c r="S355" i="6" s="1"/>
  <c r="S364" i="6"/>
  <c r="S365" i="6" s="1"/>
  <c r="Q360" i="6"/>
  <c r="Q361" i="6" s="1"/>
  <c r="R364" i="6"/>
  <c r="R365" i="6" s="1"/>
  <c r="O360" i="6"/>
  <c r="O361" i="6" s="1"/>
  <c r="V358" i="6"/>
  <c r="V359" i="6" s="1"/>
  <c r="U364" i="6"/>
  <c r="U365" i="6" s="1"/>
  <c r="N358" i="6"/>
  <c r="N359" i="6" s="1"/>
  <c r="Q364" i="6"/>
  <c r="Q365" i="6" s="1"/>
  <c r="R368" i="6"/>
  <c r="R369" i="6" s="1"/>
  <c r="O362" i="6"/>
  <c r="O363" i="6" s="1"/>
  <c r="X368" i="6"/>
  <c r="X369" i="6" s="1"/>
  <c r="X354" i="6"/>
  <c r="X355" i="6" s="1"/>
  <c r="S368" i="6"/>
  <c r="S369" i="6" s="1"/>
  <c r="M360" i="6"/>
  <c r="M361" i="6" s="1"/>
  <c r="Q366" i="6"/>
  <c r="Q367" i="6" s="1"/>
  <c r="P350" i="6"/>
  <c r="P351" i="6" s="1"/>
  <c r="B50" i="2"/>
  <c r="B47" i="2"/>
  <c r="S366" i="6"/>
  <c r="S367" i="6" s="1"/>
  <c r="U356" i="6"/>
  <c r="U357" i="6" s="1"/>
  <c r="R366" i="6"/>
  <c r="R367" i="6" s="1"/>
  <c r="M15" i="3"/>
  <c r="P15" i="3" s="1"/>
  <c r="Q15" i="3" s="1"/>
  <c r="BB44" i="3"/>
  <c r="M318" i="6"/>
  <c r="M286" i="6"/>
  <c r="M216" i="6"/>
  <c r="M132" i="6"/>
  <c r="M104" i="6"/>
  <c r="M188" i="6"/>
  <c r="M76" i="6"/>
  <c r="M48" i="6"/>
  <c r="M20" i="6"/>
  <c r="BB58" i="3"/>
  <c r="BB72" i="3"/>
  <c r="M160" i="6"/>
  <c r="BB48" i="3"/>
  <c r="AB44" i="3" l="1"/>
  <c r="AA44" i="3"/>
  <c r="BD44" i="3"/>
  <c r="BD48" i="3"/>
  <c r="AB48" i="3"/>
  <c r="AA48" i="3"/>
  <c r="P46" i="3"/>
  <c r="AZ61" i="3"/>
  <c r="M61" i="3"/>
  <c r="K30" i="3"/>
  <c r="P10" i="3"/>
  <c r="M27" i="3"/>
  <c r="BD11" i="3"/>
  <c r="BB11" i="3"/>
  <c r="AB11" i="3"/>
  <c r="AA11" i="3"/>
  <c r="R28" i="3"/>
  <c r="AZ66" i="3"/>
  <c r="M66" i="3"/>
  <c r="P66" i="3" s="1"/>
  <c r="Q66" i="3" s="1"/>
  <c r="BD53" i="3"/>
  <c r="AA53" i="3"/>
  <c r="AB53" i="3"/>
  <c r="BD49" i="3"/>
  <c r="AA49" i="3"/>
  <c r="AB49" i="3"/>
  <c r="BB49" i="3"/>
  <c r="M240" i="6"/>
  <c r="M233" i="6"/>
  <c r="M226" i="6"/>
  <c r="M221" i="6"/>
  <c r="M234" i="6"/>
  <c r="M227" i="6"/>
  <c r="M222" i="6"/>
  <c r="M228" i="6"/>
  <c r="M224" i="6"/>
  <c r="M229" i="6"/>
  <c r="M232" i="6"/>
  <c r="M225" i="6"/>
  <c r="M223" i="6"/>
  <c r="M236" i="6"/>
  <c r="M241" i="6" s="1"/>
  <c r="M230" i="6"/>
  <c r="M220" i="6"/>
  <c r="M217" i="6"/>
  <c r="M218" i="6"/>
  <c r="M219" i="6"/>
  <c r="M231" i="6"/>
  <c r="M235" i="6"/>
  <c r="M239" i="6"/>
  <c r="N231" i="6"/>
  <c r="N224" i="6"/>
  <c r="N217" i="6"/>
  <c r="N239" i="6"/>
  <c r="N232" i="6"/>
  <c r="N230" i="6"/>
  <c r="N235" i="6"/>
  <c r="N219" i="6"/>
  <c r="N236" i="6"/>
  <c r="N241" i="6" s="1"/>
  <c r="N233" i="6"/>
  <c r="N221" i="6"/>
  <c r="N240" i="6"/>
  <c r="N234" i="6"/>
  <c r="N222" i="6"/>
  <c r="N223" i="6"/>
  <c r="N220" i="6"/>
  <c r="N237" i="6" s="1"/>
  <c r="N227" i="6"/>
  <c r="N229" i="6"/>
  <c r="N218" i="6"/>
  <c r="N228" i="6"/>
  <c r="N226" i="6"/>
  <c r="N225" i="6"/>
  <c r="AZ19" i="3"/>
  <c r="M19" i="3"/>
  <c r="K36" i="3"/>
  <c r="N183" i="6"/>
  <c r="N179" i="6"/>
  <c r="N174" i="6"/>
  <c r="N167" i="6"/>
  <c r="N176" i="6"/>
  <c r="N184" i="6"/>
  <c r="N172" i="6"/>
  <c r="N165" i="6"/>
  <c r="N178" i="6"/>
  <c r="N166" i="6"/>
  <c r="N161" i="6"/>
  <c r="N171" i="6"/>
  <c r="N169" i="6"/>
  <c r="N164" i="6"/>
  <c r="N181" i="6" s="1"/>
  <c r="N177" i="6"/>
  <c r="N162" i="6"/>
  <c r="N175" i="6"/>
  <c r="N180" i="6"/>
  <c r="N185" i="6" s="1"/>
  <c r="N163" i="6"/>
  <c r="N168" i="6"/>
  <c r="N173" i="6"/>
  <c r="N170" i="6"/>
  <c r="M65" i="3"/>
  <c r="P65" i="3" s="1"/>
  <c r="Q65" i="3" s="1"/>
  <c r="AZ65" i="3"/>
  <c r="P70" i="3"/>
  <c r="M47" i="3"/>
  <c r="P47" i="3" s="1"/>
  <c r="Q47" i="3" s="1"/>
  <c r="AZ47" i="3"/>
  <c r="N153" i="6"/>
  <c r="P29" i="3"/>
  <c r="Q12" i="3"/>
  <c r="BD42" i="3"/>
  <c r="AA42" i="3"/>
  <c r="BB42" i="3"/>
  <c r="AB42" i="3"/>
  <c r="M310" i="6"/>
  <c r="M303" i="6"/>
  <c r="M296" i="6"/>
  <c r="M289" i="6"/>
  <c r="M300" i="6"/>
  <c r="M293" i="6"/>
  <c r="M294" i="6"/>
  <c r="M309" i="6"/>
  <c r="M287" i="6"/>
  <c r="M305" i="6"/>
  <c r="M302" i="6"/>
  <c r="M304" i="6"/>
  <c r="M290" i="6"/>
  <c r="M288" i="6"/>
  <c r="M295" i="6"/>
  <c r="M298" i="6"/>
  <c r="M301" i="6"/>
  <c r="M291" i="6"/>
  <c r="M306" i="6"/>
  <c r="M311" i="6" s="1"/>
  <c r="M299" i="6"/>
  <c r="M292" i="6"/>
  <c r="M297" i="6"/>
  <c r="M332" i="6"/>
  <c r="M325" i="6"/>
  <c r="M336" i="6"/>
  <c r="M329" i="6"/>
  <c r="M322" i="6"/>
  <c r="M335" i="6"/>
  <c r="M333" i="6"/>
  <c r="M320" i="6"/>
  <c r="M331" i="6"/>
  <c r="M334" i="6"/>
  <c r="M337" i="6"/>
  <c r="M328" i="6"/>
  <c r="M326" i="6"/>
  <c r="M342" i="6"/>
  <c r="M319" i="6"/>
  <c r="M341" i="6"/>
  <c r="M321" i="6"/>
  <c r="M330" i="6"/>
  <c r="M324" i="6"/>
  <c r="M323" i="6"/>
  <c r="M338" i="6"/>
  <c r="M343" i="6" s="1"/>
  <c r="M327" i="6"/>
  <c r="BD76" i="3"/>
  <c r="AA76" i="3"/>
  <c r="AB76" i="3"/>
  <c r="M31" i="3"/>
  <c r="P63" i="3"/>
  <c r="M184" i="6"/>
  <c r="M173" i="6"/>
  <c r="M166" i="6"/>
  <c r="M169" i="6"/>
  <c r="M162" i="6"/>
  <c r="M172" i="6"/>
  <c r="M165" i="6"/>
  <c r="M183" i="6"/>
  <c r="M163" i="6"/>
  <c r="M161" i="6"/>
  <c r="M176" i="6"/>
  <c r="M171" i="6"/>
  <c r="M174" i="6"/>
  <c r="M179" i="6"/>
  <c r="M177" i="6"/>
  <c r="M164" i="6"/>
  <c r="M180" i="6"/>
  <c r="M185" i="6" s="1"/>
  <c r="M168" i="6"/>
  <c r="M175" i="6"/>
  <c r="M178" i="6"/>
  <c r="M167" i="6"/>
  <c r="M170" i="6"/>
  <c r="M44" i="6"/>
  <c r="M43" i="6"/>
  <c r="M40" i="6"/>
  <c r="M45" i="6" s="1"/>
  <c r="M39" i="6"/>
  <c r="M38" i="6"/>
  <c r="M37" i="6"/>
  <c r="M36" i="6"/>
  <c r="M35" i="6"/>
  <c r="M34" i="6"/>
  <c r="M33" i="6"/>
  <c r="M32" i="6"/>
  <c r="M42" i="6" s="1"/>
  <c r="M31" i="6"/>
  <c r="M30" i="6"/>
  <c r="M29" i="6"/>
  <c r="M28" i="6"/>
  <c r="M27" i="6"/>
  <c r="M26" i="6"/>
  <c r="M25" i="6"/>
  <c r="M24" i="6"/>
  <c r="M23" i="6"/>
  <c r="M22" i="6"/>
  <c r="M21" i="6"/>
  <c r="O286" i="6"/>
  <c r="O188" i="6"/>
  <c r="O318" i="6"/>
  <c r="O216" i="6"/>
  <c r="O160" i="6"/>
  <c r="O104" i="6"/>
  <c r="O76" i="6"/>
  <c r="O48" i="6"/>
  <c r="O20" i="6"/>
  <c r="P7" i="6"/>
  <c r="O132" i="6"/>
  <c r="AZ16" i="3"/>
  <c r="K33" i="3"/>
  <c r="M16" i="3"/>
  <c r="AZ71" i="3"/>
  <c r="M71" i="3"/>
  <c r="P71" i="3" s="1"/>
  <c r="Q71" i="3" s="1"/>
  <c r="K34" i="3"/>
  <c r="BD17" i="3"/>
  <c r="AB17" i="3"/>
  <c r="R34" i="3"/>
  <c r="AA17" i="3"/>
  <c r="R25" i="3"/>
  <c r="BD8" i="3"/>
  <c r="AA8" i="3"/>
  <c r="AB8" i="3"/>
  <c r="BB8" i="3"/>
  <c r="M72" i="6"/>
  <c r="M71" i="6"/>
  <c r="M68" i="6"/>
  <c r="M73" i="6" s="1"/>
  <c r="M67" i="6"/>
  <c r="M66" i="6"/>
  <c r="M65" i="6"/>
  <c r="M64" i="6"/>
  <c r="M63" i="6"/>
  <c r="M62" i="6"/>
  <c r="M61" i="6"/>
  <c r="M60" i="6"/>
  <c r="M59" i="6"/>
  <c r="M58" i="6"/>
  <c r="M57" i="6"/>
  <c r="M56" i="6"/>
  <c r="M55" i="6"/>
  <c r="M54" i="6"/>
  <c r="M53" i="6"/>
  <c r="M52" i="6"/>
  <c r="M69" i="6" s="1"/>
  <c r="M51" i="6"/>
  <c r="M50" i="6"/>
  <c r="M49" i="6"/>
  <c r="M257" i="6"/>
  <c r="M258" i="6" s="1"/>
  <c r="M100" i="6"/>
  <c r="M99" i="6"/>
  <c r="M96" i="6"/>
  <c r="M101" i="6" s="1"/>
  <c r="M95" i="6"/>
  <c r="M94" i="6"/>
  <c r="M93" i="6"/>
  <c r="M92" i="6"/>
  <c r="M256" i="6"/>
  <c r="M87" i="6"/>
  <c r="M86" i="6"/>
  <c r="M85" i="6"/>
  <c r="M84" i="6"/>
  <c r="M83" i="6"/>
  <c r="M82" i="6"/>
  <c r="M81" i="6"/>
  <c r="M80" i="6"/>
  <c r="M79" i="6"/>
  <c r="M78" i="6"/>
  <c r="M77" i="6"/>
  <c r="M90" i="6"/>
  <c r="M88" i="6"/>
  <c r="M89" i="6"/>
  <c r="M91" i="6"/>
  <c r="AA14" i="3"/>
  <c r="R31" i="3"/>
  <c r="AB14" i="3"/>
  <c r="BD14" i="3"/>
  <c r="N44" i="6"/>
  <c r="N43" i="6"/>
  <c r="N40" i="6"/>
  <c r="N45" i="6" s="1"/>
  <c r="N39" i="6"/>
  <c r="N38" i="6"/>
  <c r="N37" i="6"/>
  <c r="N36" i="6"/>
  <c r="N35" i="6"/>
  <c r="N34" i="6"/>
  <c r="N33" i="6"/>
  <c r="N32" i="6"/>
  <c r="N42" i="6" s="1"/>
  <c r="N31" i="6"/>
  <c r="N30" i="6"/>
  <c r="N29" i="6"/>
  <c r="N28" i="6"/>
  <c r="N27" i="6"/>
  <c r="N26" i="6"/>
  <c r="N25" i="6"/>
  <c r="N24" i="6"/>
  <c r="N23" i="6"/>
  <c r="N22" i="6"/>
  <c r="N21" i="6"/>
  <c r="BD72" i="3"/>
  <c r="AB72" i="3"/>
  <c r="AA72" i="3"/>
  <c r="BD67" i="3"/>
  <c r="AB67" i="3"/>
  <c r="AA67" i="3"/>
  <c r="BD15" i="3"/>
  <c r="AB15" i="3"/>
  <c r="R32" i="3"/>
  <c r="AA15" i="3"/>
  <c r="P28" i="3"/>
  <c r="Q57" i="3"/>
  <c r="M32" i="3"/>
  <c r="P64" i="3"/>
  <c r="M204" i="6"/>
  <c r="M194" i="6"/>
  <c r="M206" i="6"/>
  <c r="M203" i="6"/>
  <c r="M191" i="6"/>
  <c r="M212" i="6"/>
  <c r="M189" i="6"/>
  <c r="M202" i="6"/>
  <c r="M207" i="6"/>
  <c r="M205" i="6"/>
  <c r="M200" i="6"/>
  <c r="M192" i="6"/>
  <c r="M198" i="6"/>
  <c r="M190" i="6"/>
  <c r="M196" i="6"/>
  <c r="M195" i="6"/>
  <c r="M199" i="6"/>
  <c r="M208" i="6"/>
  <c r="M213" i="6" s="1"/>
  <c r="M201" i="6"/>
  <c r="M197" i="6"/>
  <c r="M193" i="6"/>
  <c r="M211" i="6"/>
  <c r="N72" i="6"/>
  <c r="N71" i="6"/>
  <c r="N68" i="6"/>
  <c r="N73" i="6" s="1"/>
  <c r="N67" i="6"/>
  <c r="N66" i="6"/>
  <c r="N65" i="6"/>
  <c r="N64" i="6"/>
  <c r="N63" i="6"/>
  <c r="N62" i="6"/>
  <c r="N61" i="6"/>
  <c r="N60" i="6"/>
  <c r="N59" i="6"/>
  <c r="N58" i="6"/>
  <c r="N57" i="6"/>
  <c r="N56" i="6"/>
  <c r="N55" i="6"/>
  <c r="N54" i="6"/>
  <c r="N53" i="6"/>
  <c r="N52" i="6"/>
  <c r="N69" i="6" s="1"/>
  <c r="N51" i="6"/>
  <c r="N50" i="6"/>
  <c r="N49" i="6"/>
  <c r="BB17" i="3"/>
  <c r="K37" i="3"/>
  <c r="AZ20" i="3"/>
  <c r="M20" i="3"/>
  <c r="BD52" i="3"/>
  <c r="AB52" i="3"/>
  <c r="AA52" i="3"/>
  <c r="AB68" i="3"/>
  <c r="AA68" i="3"/>
  <c r="BD68" i="3"/>
  <c r="M128" i="6"/>
  <c r="M127" i="6"/>
  <c r="M124" i="6"/>
  <c r="M129" i="6" s="1"/>
  <c r="M123" i="6"/>
  <c r="M122" i="6"/>
  <c r="M121" i="6"/>
  <c r="M120" i="6"/>
  <c r="M119" i="6"/>
  <c r="M118" i="6"/>
  <c r="M117" i="6"/>
  <c r="M116" i="6"/>
  <c r="M126" i="6" s="1"/>
  <c r="M115" i="6"/>
  <c r="M114" i="6"/>
  <c r="M113" i="6"/>
  <c r="M112" i="6"/>
  <c r="M111" i="6"/>
  <c r="M110" i="6"/>
  <c r="M109" i="6"/>
  <c r="M108" i="6"/>
  <c r="M107" i="6"/>
  <c r="M106" i="6"/>
  <c r="M105" i="6"/>
  <c r="P50" i="3"/>
  <c r="M26" i="3"/>
  <c r="M18" i="3"/>
  <c r="K35" i="3"/>
  <c r="AZ18" i="3"/>
  <c r="N300" i="6"/>
  <c r="N293" i="6"/>
  <c r="N301" i="6"/>
  <c r="N294" i="6"/>
  <c r="N287" i="6"/>
  <c r="N303" i="6"/>
  <c r="N292" i="6"/>
  <c r="N290" i="6"/>
  <c r="N310" i="6"/>
  <c r="N299" i="6"/>
  <c r="N297" i="6"/>
  <c r="N295" i="6"/>
  <c r="N305" i="6"/>
  <c r="N296" i="6"/>
  <c r="N304" i="6"/>
  <c r="N288" i="6"/>
  <c r="N291" i="6"/>
  <c r="N302" i="6"/>
  <c r="N309" i="6"/>
  <c r="N298" i="6"/>
  <c r="N289" i="6"/>
  <c r="N306" i="6"/>
  <c r="N311" i="6" s="1"/>
  <c r="N256" i="6"/>
  <c r="N257" i="6"/>
  <c r="N258" i="6" s="1"/>
  <c r="N95" i="6"/>
  <c r="N96" i="6"/>
  <c r="N101" i="6" s="1"/>
  <c r="N87" i="6"/>
  <c r="N86" i="6"/>
  <c r="N85" i="6"/>
  <c r="N84" i="6"/>
  <c r="N83" i="6"/>
  <c r="N82" i="6"/>
  <c r="N81" i="6"/>
  <c r="N80" i="6"/>
  <c r="N79" i="6"/>
  <c r="N78" i="6"/>
  <c r="N77" i="6"/>
  <c r="N88" i="6"/>
  <c r="N91" i="6"/>
  <c r="N99" i="6"/>
  <c r="N93" i="6"/>
  <c r="N92" i="6"/>
  <c r="N100" i="6"/>
  <c r="N94" i="6"/>
  <c r="N89" i="6"/>
  <c r="N90" i="6"/>
  <c r="BB15" i="3"/>
  <c r="BD45" i="3"/>
  <c r="BB45" i="3"/>
  <c r="AB45" i="3"/>
  <c r="AA45" i="3"/>
  <c r="M155" i="6"/>
  <c r="M141" i="6"/>
  <c r="M140" i="6"/>
  <c r="M139" i="6"/>
  <c r="M138" i="6"/>
  <c r="M137" i="6"/>
  <c r="M136" i="6"/>
  <c r="M135" i="6"/>
  <c r="M134" i="6"/>
  <c r="M133" i="6"/>
  <c r="M156" i="6"/>
  <c r="M142" i="6"/>
  <c r="M147" i="6"/>
  <c r="M152" i="6"/>
  <c r="M157" i="6" s="1"/>
  <c r="M150" i="6"/>
  <c r="M145" i="6"/>
  <c r="M148" i="6"/>
  <c r="M146" i="6"/>
  <c r="M144" i="6"/>
  <c r="M149" i="6"/>
  <c r="M151" i="6"/>
  <c r="M143" i="6"/>
  <c r="N208" i="6"/>
  <c r="N213" i="6" s="1"/>
  <c r="N201" i="6"/>
  <c r="N194" i="6"/>
  <c r="N204" i="6"/>
  <c r="N199" i="6"/>
  <c r="N205" i="6"/>
  <c r="N200" i="6"/>
  <c r="N195" i="6"/>
  <c r="N198" i="6"/>
  <c r="N193" i="6"/>
  <c r="N212" i="6"/>
  <c r="N207" i="6"/>
  <c r="N197" i="6"/>
  <c r="N203" i="6"/>
  <c r="N192" i="6"/>
  <c r="N190" i="6"/>
  <c r="N196" i="6"/>
  <c r="N202" i="6"/>
  <c r="N191" i="6"/>
  <c r="N206" i="6"/>
  <c r="N189" i="6"/>
  <c r="N211" i="6"/>
  <c r="K24" i="3"/>
  <c r="AZ41" i="3"/>
  <c r="M41" i="3"/>
  <c r="BD54" i="3"/>
  <c r="AB54" i="3"/>
  <c r="AA54" i="3"/>
  <c r="AZ7" i="3"/>
  <c r="M7" i="3"/>
  <c r="P7" i="3" s="1"/>
  <c r="Q7" i="3" s="1"/>
  <c r="BD75" i="3"/>
  <c r="AB75" i="3"/>
  <c r="AA75" i="3"/>
  <c r="BD62" i="3"/>
  <c r="BB62" i="3"/>
  <c r="AB62" i="3"/>
  <c r="AA62" i="3"/>
  <c r="N122" i="6"/>
  <c r="N116" i="6"/>
  <c r="N127" i="6"/>
  <c r="N105" i="6"/>
  <c r="N117" i="6"/>
  <c r="N106" i="6"/>
  <c r="N123" i="6"/>
  <c r="N107" i="6"/>
  <c r="N124" i="6"/>
  <c r="N129" i="6" s="1"/>
  <c r="N119" i="6"/>
  <c r="N111" i="6"/>
  <c r="N128" i="6"/>
  <c r="N114" i="6"/>
  <c r="N112" i="6"/>
  <c r="N110" i="6"/>
  <c r="N115" i="6"/>
  <c r="N120" i="6"/>
  <c r="N109" i="6"/>
  <c r="N108" i="6"/>
  <c r="N118" i="6"/>
  <c r="N113" i="6"/>
  <c r="N121" i="6"/>
  <c r="AA74" i="3"/>
  <c r="BD74" i="3"/>
  <c r="AB74" i="3"/>
  <c r="N336" i="6"/>
  <c r="N329" i="6"/>
  <c r="N322" i="6"/>
  <c r="N337" i="6"/>
  <c r="N330" i="6"/>
  <c r="N323" i="6"/>
  <c r="N342" i="6"/>
  <c r="N324" i="6"/>
  <c r="N331" i="6"/>
  <c r="N327" i="6"/>
  <c r="N325" i="6"/>
  <c r="N335" i="6"/>
  <c r="N333" i="6"/>
  <c r="N319" i="6"/>
  <c r="N341" i="6"/>
  <c r="N328" i="6"/>
  <c r="N321" i="6"/>
  <c r="N320" i="6"/>
  <c r="N326" i="6"/>
  <c r="N334" i="6"/>
  <c r="N338" i="6"/>
  <c r="N343" i="6" s="1"/>
  <c r="N332" i="6"/>
  <c r="R29" i="3" l="1"/>
  <c r="Q29" i="3"/>
  <c r="S29" i="3" s="1"/>
  <c r="AB12" i="3"/>
  <c r="AA12" i="3"/>
  <c r="BD12" i="3"/>
  <c r="BB12" i="3"/>
  <c r="M34" i="3"/>
  <c r="P25" i="3"/>
  <c r="Q46" i="3"/>
  <c r="N210" i="6"/>
  <c r="O72" i="6"/>
  <c r="O71" i="6"/>
  <c r="O68" i="6"/>
  <c r="O73" i="6" s="1"/>
  <c r="O67" i="6"/>
  <c r="O66" i="6"/>
  <c r="O65" i="6"/>
  <c r="O64" i="6"/>
  <c r="O63" i="6"/>
  <c r="O62" i="6"/>
  <c r="O61" i="6"/>
  <c r="O60" i="6"/>
  <c r="O59" i="6"/>
  <c r="O58" i="6"/>
  <c r="O57" i="6"/>
  <c r="O56" i="6"/>
  <c r="O55" i="6"/>
  <c r="O54" i="6"/>
  <c r="O53" i="6"/>
  <c r="O52" i="6"/>
  <c r="O51" i="6"/>
  <c r="O50" i="6"/>
  <c r="O49" i="6"/>
  <c r="N98" i="6"/>
  <c r="N125" i="6"/>
  <c r="BD7" i="3"/>
  <c r="BB7" i="3"/>
  <c r="AB7" i="3"/>
  <c r="AA7" i="3"/>
  <c r="R24" i="3"/>
  <c r="N307" i="6"/>
  <c r="P26" i="3"/>
  <c r="Q50" i="3"/>
  <c r="M210" i="6"/>
  <c r="AB47" i="3"/>
  <c r="BD47" i="3"/>
  <c r="AA47" i="3"/>
  <c r="BB47" i="3"/>
  <c r="M238" i="6"/>
  <c r="M98" i="6"/>
  <c r="O199" i="6"/>
  <c r="O212" i="6"/>
  <c r="O207" i="6"/>
  <c r="O203" i="6"/>
  <c r="O195" i="6"/>
  <c r="O211" i="6"/>
  <c r="O204" i="6"/>
  <c r="O196" i="6"/>
  <c r="O205" i="6"/>
  <c r="O200" i="6"/>
  <c r="O197" i="6"/>
  <c r="O194" i="6"/>
  <c r="O191" i="6"/>
  <c r="O192" i="6"/>
  <c r="O209" i="6" s="1"/>
  <c r="O190" i="6"/>
  <c r="O198" i="6"/>
  <c r="O193" i="6"/>
  <c r="O206" i="6"/>
  <c r="O202" i="6"/>
  <c r="O189" i="6"/>
  <c r="O208" i="6"/>
  <c r="O213" i="6" s="1"/>
  <c r="O201" i="6"/>
  <c r="N340" i="6"/>
  <c r="N126" i="6"/>
  <c r="N97" i="6"/>
  <c r="N255" i="6" s="1"/>
  <c r="N308" i="6"/>
  <c r="N41" i="6"/>
  <c r="N245" i="6" s="1"/>
  <c r="O300" i="6"/>
  <c r="O293" i="6"/>
  <c r="O304" i="6"/>
  <c r="O297" i="6"/>
  <c r="O290" i="6"/>
  <c r="O303" i="6"/>
  <c r="O292" i="6"/>
  <c r="O301" i="6"/>
  <c r="O291" i="6"/>
  <c r="O296" i="6"/>
  <c r="O294" i="6"/>
  <c r="O288" i="6"/>
  <c r="O309" i="6"/>
  <c r="O306" i="6"/>
  <c r="O311" i="6" s="1"/>
  <c r="O302" i="6"/>
  <c r="O299" i="6"/>
  <c r="O298" i="6"/>
  <c r="O295" i="6"/>
  <c r="O287" i="6"/>
  <c r="O305" i="6"/>
  <c r="O289" i="6"/>
  <c r="O310" i="6"/>
  <c r="M308" i="6"/>
  <c r="Q70" i="3"/>
  <c r="P34" i="3"/>
  <c r="M36" i="3"/>
  <c r="P19" i="3"/>
  <c r="M25" i="3"/>
  <c r="M37" i="3"/>
  <c r="P20" i="3"/>
  <c r="P16" i="3"/>
  <c r="M33" i="3"/>
  <c r="M182" i="6"/>
  <c r="BD66" i="3"/>
  <c r="AB66" i="3"/>
  <c r="AA66" i="3"/>
  <c r="BB66" i="3"/>
  <c r="N339" i="6"/>
  <c r="M24" i="3"/>
  <c r="P41" i="3"/>
  <c r="N70" i="6"/>
  <c r="N250" i="6" s="1"/>
  <c r="M340" i="6"/>
  <c r="M339" i="6"/>
  <c r="AB65" i="3"/>
  <c r="AA65" i="3"/>
  <c r="BD65" i="3"/>
  <c r="BB65" i="3"/>
  <c r="P31" i="3"/>
  <c r="Q63" i="3"/>
  <c r="P18" i="3"/>
  <c r="M35" i="3"/>
  <c r="O184" i="6"/>
  <c r="O179" i="6"/>
  <c r="O174" i="6"/>
  <c r="O167" i="6"/>
  <c r="O170" i="6"/>
  <c r="O163" i="6"/>
  <c r="O178" i="6"/>
  <c r="O173" i="6"/>
  <c r="O166" i="6"/>
  <c r="O171" i="6"/>
  <c r="O176" i="6"/>
  <c r="O169" i="6"/>
  <c r="O164" i="6"/>
  <c r="O175" i="6"/>
  <c r="O180" i="6"/>
  <c r="O185" i="6" s="1"/>
  <c r="O183" i="6"/>
  <c r="O177" i="6"/>
  <c r="O161" i="6"/>
  <c r="O168" i="6"/>
  <c r="O172" i="6"/>
  <c r="O162" i="6"/>
  <c r="O165" i="6"/>
  <c r="N344" i="6"/>
  <c r="N249" i="6"/>
  <c r="N312" i="6"/>
  <c r="N265" i="6"/>
  <c r="N279" i="6"/>
  <c r="N269" i="6"/>
  <c r="N274" i="6"/>
  <c r="N264" i="6"/>
  <c r="N254" i="6"/>
  <c r="N259" i="6"/>
  <c r="N244" i="6"/>
  <c r="P32" i="3"/>
  <c r="Q64" i="3"/>
  <c r="O234" i="6"/>
  <c r="O227" i="6"/>
  <c r="O230" i="6"/>
  <c r="O222" i="6"/>
  <c r="O217" i="6"/>
  <c r="O223" i="6"/>
  <c r="O218" i="6"/>
  <c r="O232" i="6"/>
  <c r="O240" i="6"/>
  <c r="O226" i="6"/>
  <c r="O221" i="6"/>
  <c r="O228" i="6"/>
  <c r="O219" i="6"/>
  <c r="O233" i="6"/>
  <c r="O224" i="6"/>
  <c r="O229" i="6"/>
  <c r="O225" i="6"/>
  <c r="O235" i="6"/>
  <c r="O239" i="6"/>
  <c r="O236" i="6"/>
  <c r="O241" i="6" s="1"/>
  <c r="O220" i="6"/>
  <c r="O231" i="6"/>
  <c r="M307" i="6"/>
  <c r="O257" i="6"/>
  <c r="O258" i="6" s="1"/>
  <c r="O256" i="6"/>
  <c r="O95" i="6"/>
  <c r="O96" i="6"/>
  <c r="O101" i="6" s="1"/>
  <c r="O87" i="6"/>
  <c r="O86" i="6"/>
  <c r="O85" i="6"/>
  <c r="O84" i="6"/>
  <c r="O83" i="6"/>
  <c r="O82" i="6"/>
  <c r="O81" i="6"/>
  <c r="O80" i="6"/>
  <c r="O97" i="6" s="1"/>
  <c r="O79" i="6"/>
  <c r="O78" i="6"/>
  <c r="O77" i="6"/>
  <c r="O88" i="6"/>
  <c r="O89" i="6"/>
  <c r="O99" i="6"/>
  <c r="O91" i="6"/>
  <c r="O100" i="6"/>
  <c r="O94" i="6"/>
  <c r="O93" i="6"/>
  <c r="O90" i="6"/>
  <c r="O92" i="6"/>
  <c r="O122" i="6"/>
  <c r="O116" i="6"/>
  <c r="O127" i="6"/>
  <c r="O105" i="6"/>
  <c r="O117" i="6"/>
  <c r="O106" i="6"/>
  <c r="O123" i="6"/>
  <c r="O107" i="6"/>
  <c r="O128" i="6"/>
  <c r="O118" i="6"/>
  <c r="O108" i="6"/>
  <c r="O120" i="6"/>
  <c r="O112" i="6"/>
  <c r="O124" i="6"/>
  <c r="O129" i="6" s="1"/>
  <c r="O114" i="6"/>
  <c r="O110" i="6"/>
  <c r="O121" i="6"/>
  <c r="O115" i="6"/>
  <c r="O109" i="6"/>
  <c r="O119" i="6"/>
  <c r="O111" i="6"/>
  <c r="O113" i="6"/>
  <c r="Q10" i="3"/>
  <c r="P27" i="3"/>
  <c r="M209" i="6"/>
  <c r="P61" i="3"/>
  <c r="M30" i="3"/>
  <c r="M153" i="6"/>
  <c r="M154" i="6"/>
  <c r="M97" i="6"/>
  <c r="O143" i="6"/>
  <c r="O144" i="6"/>
  <c r="O149" i="6"/>
  <c r="O155" i="6"/>
  <c r="O145" i="6"/>
  <c r="O142" i="6"/>
  <c r="O138" i="6"/>
  <c r="O134" i="6"/>
  <c r="O151" i="6"/>
  <c r="O148" i="6"/>
  <c r="O139" i="6"/>
  <c r="O152" i="6"/>
  <c r="O157" i="6" s="1"/>
  <c r="O136" i="6"/>
  <c r="O137" i="6"/>
  <c r="O146" i="6"/>
  <c r="O141" i="6"/>
  <c r="O156" i="6"/>
  <c r="O140" i="6"/>
  <c r="O147" i="6"/>
  <c r="O133" i="6"/>
  <c r="O150" i="6"/>
  <c r="O135" i="6"/>
  <c r="M41" i="6"/>
  <c r="M181" i="6"/>
  <c r="N182" i="6"/>
  <c r="N270" i="6" s="1"/>
  <c r="N238" i="6"/>
  <c r="N280" i="6" s="1"/>
  <c r="M237" i="6"/>
  <c r="N209" i="6"/>
  <c r="N275" i="6" s="1"/>
  <c r="O336" i="6"/>
  <c r="O329" i="6"/>
  <c r="O322" i="6"/>
  <c r="O333" i="6"/>
  <c r="O326" i="6"/>
  <c r="O319" i="6"/>
  <c r="O342" i="6"/>
  <c r="O324" i="6"/>
  <c r="O320" i="6"/>
  <c r="O327" i="6"/>
  <c r="O338" i="6"/>
  <c r="O343" i="6" s="1"/>
  <c r="O341" i="6"/>
  <c r="O323" i="6"/>
  <c r="O335" i="6"/>
  <c r="O325" i="6"/>
  <c r="O330" i="6"/>
  <c r="O334" i="6"/>
  <c r="O331" i="6"/>
  <c r="O328" i="6"/>
  <c r="O337" i="6"/>
  <c r="O321" i="6"/>
  <c r="O332" i="6"/>
  <c r="BD57" i="3"/>
  <c r="Q28" i="3"/>
  <c r="S28" i="3" s="1"/>
  <c r="AB57" i="3"/>
  <c r="AA57" i="3"/>
  <c r="BB57" i="3"/>
  <c r="BD71" i="3"/>
  <c r="AB71" i="3"/>
  <c r="AA71" i="3"/>
  <c r="BB71" i="3"/>
  <c r="M125" i="6"/>
  <c r="M70" i="6"/>
  <c r="P318" i="6"/>
  <c r="P160" i="6"/>
  <c r="P188" i="6"/>
  <c r="P216" i="6"/>
  <c r="P132" i="6"/>
  <c r="P286" i="6"/>
  <c r="P104" i="6"/>
  <c r="P76" i="6"/>
  <c r="P48" i="6"/>
  <c r="P20" i="6"/>
  <c r="Q7" i="6"/>
  <c r="O44" i="6"/>
  <c r="O43" i="6"/>
  <c r="O40" i="6"/>
  <c r="O45" i="6" s="1"/>
  <c r="O39" i="6"/>
  <c r="O38" i="6"/>
  <c r="O37" i="6"/>
  <c r="O36" i="6"/>
  <c r="O35" i="6"/>
  <c r="O34" i="6"/>
  <c r="O33" i="6"/>
  <c r="O32" i="6"/>
  <c r="O31" i="6"/>
  <c r="O30" i="6"/>
  <c r="O29" i="6"/>
  <c r="O28" i="6"/>
  <c r="O27" i="6"/>
  <c r="O26" i="6"/>
  <c r="O25" i="6"/>
  <c r="O24" i="6"/>
  <c r="O41" i="6" s="1"/>
  <c r="O23" i="6"/>
  <c r="O22" i="6"/>
  <c r="O21" i="6"/>
  <c r="N272" i="6" l="1"/>
  <c r="N273" i="6" s="1"/>
  <c r="N271" i="6"/>
  <c r="N282" i="6"/>
  <c r="N283" i="6" s="1"/>
  <c r="N281" i="6"/>
  <c r="N251" i="6"/>
  <c r="N252" i="6"/>
  <c r="N253" i="6" s="1"/>
  <c r="P202" i="6"/>
  <c r="P195" i="6"/>
  <c r="P205" i="6"/>
  <c r="P200" i="6"/>
  <c r="P210" i="6" s="1"/>
  <c r="P211" i="6"/>
  <c r="P189" i="6"/>
  <c r="P204" i="6"/>
  <c r="P203" i="6"/>
  <c r="P198" i="6"/>
  <c r="P199" i="6"/>
  <c r="P193" i="6"/>
  <c r="P191" i="6"/>
  <c r="P190" i="6"/>
  <c r="P194" i="6"/>
  <c r="P196" i="6"/>
  <c r="P212" i="6"/>
  <c r="P207" i="6"/>
  <c r="P206" i="6"/>
  <c r="P197" i="6"/>
  <c r="P201" i="6"/>
  <c r="P192" i="6"/>
  <c r="P208" i="6"/>
  <c r="P213" i="6" s="1"/>
  <c r="O98" i="6"/>
  <c r="Q32" i="3"/>
  <c r="S32" i="3" s="1"/>
  <c r="BD64" i="3"/>
  <c r="AB64" i="3"/>
  <c r="AA64" i="3"/>
  <c r="BB64" i="3"/>
  <c r="O126" i="6"/>
  <c r="O210" i="6"/>
  <c r="O70" i="6"/>
  <c r="Q25" i="3"/>
  <c r="S25" i="3" s="1"/>
  <c r="BD46" i="3"/>
  <c r="AB46" i="3"/>
  <c r="AA46" i="3"/>
  <c r="BB46" i="3"/>
  <c r="P239" i="6"/>
  <c r="P232" i="6"/>
  <c r="P225" i="6"/>
  <c r="P218" i="6"/>
  <c r="P240" i="6"/>
  <c r="P233" i="6"/>
  <c r="P222" i="6"/>
  <c r="P217" i="6"/>
  <c r="P234" i="6"/>
  <c r="P227" i="6"/>
  <c r="P231" i="6"/>
  <c r="P228" i="6"/>
  <c r="P219" i="6"/>
  <c r="P236" i="6"/>
  <c r="P241" i="6" s="1"/>
  <c r="P230" i="6"/>
  <c r="P226" i="6"/>
  <c r="P220" i="6"/>
  <c r="P237" i="6" s="1"/>
  <c r="P224" i="6"/>
  <c r="P235" i="6"/>
  <c r="P221" i="6"/>
  <c r="P229" i="6"/>
  <c r="P223" i="6"/>
  <c r="AB70" i="3"/>
  <c r="Q34" i="3"/>
  <c r="S34" i="3" s="1"/>
  <c r="AA70" i="3"/>
  <c r="BD70" i="3"/>
  <c r="BB70" i="3"/>
  <c r="M344" i="6"/>
  <c r="M345" i="6" s="1"/>
  <c r="M312" i="6"/>
  <c r="M313" i="6" s="1"/>
  <c r="M265" i="6"/>
  <c r="M249" i="6"/>
  <c r="M250" i="6" s="1"/>
  <c r="M274" i="6"/>
  <c r="M264" i="6"/>
  <c r="M259" i="6"/>
  <c r="M260" i="6" s="1"/>
  <c r="M254" i="6"/>
  <c r="M255" i="6" s="1"/>
  <c r="M279" i="6"/>
  <c r="M269" i="6"/>
  <c r="M244" i="6"/>
  <c r="O340" i="6"/>
  <c r="Q61" i="3"/>
  <c r="P30" i="3"/>
  <c r="O237" i="6"/>
  <c r="N247" i="6"/>
  <c r="N248" i="6" s="1"/>
  <c r="N246" i="6"/>
  <c r="O42" i="6"/>
  <c r="P44" i="6"/>
  <c r="P43" i="6"/>
  <c r="P40" i="6"/>
  <c r="P45" i="6" s="1"/>
  <c r="P39" i="6"/>
  <c r="P38" i="6"/>
  <c r="P37" i="6"/>
  <c r="P36" i="6"/>
  <c r="P35" i="6"/>
  <c r="P34" i="6"/>
  <c r="P33" i="6"/>
  <c r="P32" i="6"/>
  <c r="P31" i="6"/>
  <c r="P30" i="6"/>
  <c r="P29" i="6"/>
  <c r="P28" i="6"/>
  <c r="P27" i="6"/>
  <c r="P26" i="6"/>
  <c r="P25" i="6"/>
  <c r="P24" i="6"/>
  <c r="P23" i="6"/>
  <c r="P22" i="6"/>
  <c r="P21" i="6"/>
  <c r="O339" i="6"/>
  <c r="M275" i="6"/>
  <c r="O307" i="6"/>
  <c r="Q26" i="3"/>
  <c r="S26" i="3" s="1"/>
  <c r="AB50" i="3"/>
  <c r="AA50" i="3"/>
  <c r="BD50" i="3"/>
  <c r="BB50" i="3"/>
  <c r="O238" i="6"/>
  <c r="Q188" i="6"/>
  <c r="Q286" i="6"/>
  <c r="Q216" i="6"/>
  <c r="Q160" i="6"/>
  <c r="Q104" i="6"/>
  <c r="Q76" i="6"/>
  <c r="Q48" i="6"/>
  <c r="Q20" i="6"/>
  <c r="Q132" i="6"/>
  <c r="Q318" i="6"/>
  <c r="R7" i="6"/>
  <c r="P72" i="6"/>
  <c r="P71" i="6"/>
  <c r="P68" i="6"/>
  <c r="P73" i="6" s="1"/>
  <c r="P67" i="6"/>
  <c r="P66" i="6"/>
  <c r="P65" i="6"/>
  <c r="P64" i="6"/>
  <c r="P63" i="6"/>
  <c r="P62" i="6"/>
  <c r="P61" i="6"/>
  <c r="P60" i="6"/>
  <c r="P59" i="6"/>
  <c r="P58" i="6"/>
  <c r="P57" i="6"/>
  <c r="P56" i="6"/>
  <c r="P55" i="6"/>
  <c r="P54" i="6"/>
  <c r="P53" i="6"/>
  <c r="P52" i="6"/>
  <c r="P51" i="6"/>
  <c r="P50" i="6"/>
  <c r="P49" i="6"/>
  <c r="O125" i="6"/>
  <c r="Q16" i="3"/>
  <c r="P33" i="3"/>
  <c r="O308" i="6"/>
  <c r="P257" i="6"/>
  <c r="P258" i="6" s="1"/>
  <c r="P96" i="6"/>
  <c r="P101" i="6" s="1"/>
  <c r="P87" i="6"/>
  <c r="P86" i="6"/>
  <c r="P85" i="6"/>
  <c r="P84" i="6"/>
  <c r="P83" i="6"/>
  <c r="P82" i="6"/>
  <c r="P81" i="6"/>
  <c r="P80" i="6"/>
  <c r="P79" i="6"/>
  <c r="P78" i="6"/>
  <c r="P77" i="6"/>
  <c r="P88" i="6"/>
  <c r="P89" i="6"/>
  <c r="P90" i="6"/>
  <c r="P99" i="6"/>
  <c r="P92" i="6"/>
  <c r="P95" i="6"/>
  <c r="P91" i="6"/>
  <c r="P93" i="6"/>
  <c r="P100" i="6"/>
  <c r="P94" i="6"/>
  <c r="P256" i="6"/>
  <c r="AB10" i="3"/>
  <c r="AA10" i="3"/>
  <c r="R27" i="3"/>
  <c r="Q27" i="3"/>
  <c r="S27" i="3" s="1"/>
  <c r="BD10" i="3"/>
  <c r="BB10" i="3"/>
  <c r="O181" i="6"/>
  <c r="Q41" i="3"/>
  <c r="P24" i="3"/>
  <c r="P37" i="3"/>
  <c r="Q20" i="3"/>
  <c r="N313" i="6"/>
  <c r="M270" i="6"/>
  <c r="O182" i="6"/>
  <c r="P128" i="6"/>
  <c r="P127" i="6"/>
  <c r="P124" i="6"/>
  <c r="P129" i="6" s="1"/>
  <c r="P123" i="6"/>
  <c r="P122" i="6"/>
  <c r="P121" i="6"/>
  <c r="P120" i="6"/>
  <c r="P119" i="6"/>
  <c r="P118" i="6"/>
  <c r="P117" i="6"/>
  <c r="P116" i="6"/>
  <c r="P115" i="6"/>
  <c r="P114" i="6"/>
  <c r="P105" i="6"/>
  <c r="P106" i="6"/>
  <c r="P107" i="6"/>
  <c r="P108" i="6"/>
  <c r="P125" i="6" s="1"/>
  <c r="P109" i="6"/>
  <c r="P113" i="6"/>
  <c r="P112" i="6"/>
  <c r="P110" i="6"/>
  <c r="P111" i="6"/>
  <c r="N277" i="6"/>
  <c r="N278" i="6" s="1"/>
  <c r="N276" i="6"/>
  <c r="O154" i="6"/>
  <c r="N267" i="6"/>
  <c r="N268" i="6" s="1"/>
  <c r="N266" i="6"/>
  <c r="O69" i="6"/>
  <c r="BD63" i="3"/>
  <c r="AA63" i="3"/>
  <c r="AB63" i="3"/>
  <c r="BB63" i="3"/>
  <c r="Q31" i="3"/>
  <c r="S31" i="3" s="1"/>
  <c r="M245" i="6"/>
  <c r="N260" i="6"/>
  <c r="P304" i="6"/>
  <c r="P297" i="6"/>
  <c r="P290" i="6"/>
  <c r="P305" i="6"/>
  <c r="P298" i="6"/>
  <c r="P291" i="6"/>
  <c r="P301" i="6"/>
  <c r="P310" i="6"/>
  <c r="P299" i="6"/>
  <c r="P306" i="6"/>
  <c r="P311" i="6" s="1"/>
  <c r="P288" i="6"/>
  <c r="P302" i="6"/>
  <c r="P293" i="6"/>
  <c r="P294" i="6"/>
  <c r="P303" i="6"/>
  <c r="P292" i="6"/>
  <c r="P309" i="6"/>
  <c r="P296" i="6"/>
  <c r="P295" i="6"/>
  <c r="P287" i="6"/>
  <c r="P300" i="6"/>
  <c r="P289" i="6"/>
  <c r="Q18" i="3"/>
  <c r="P35" i="3"/>
  <c r="N345" i="6"/>
  <c r="P180" i="6"/>
  <c r="P185" i="6" s="1"/>
  <c r="P175" i="6"/>
  <c r="P168" i="6"/>
  <c r="P161" i="6"/>
  <c r="P173" i="6"/>
  <c r="P166" i="6"/>
  <c r="P176" i="6"/>
  <c r="P174" i="6"/>
  <c r="P169" i="6"/>
  <c r="P164" i="6"/>
  <c r="P181" i="6" s="1"/>
  <c r="P179" i="6"/>
  <c r="P165" i="6"/>
  <c r="P183" i="6"/>
  <c r="P177" i="6"/>
  <c r="P171" i="6"/>
  <c r="P178" i="6"/>
  <c r="P167" i="6"/>
  <c r="P170" i="6"/>
  <c r="P163" i="6"/>
  <c r="P184" i="6"/>
  <c r="P172" i="6"/>
  <c r="P162" i="6"/>
  <c r="P333" i="6"/>
  <c r="P326" i="6"/>
  <c r="P319" i="6"/>
  <c r="P341" i="6"/>
  <c r="P334" i="6"/>
  <c r="P327" i="6"/>
  <c r="P320" i="6"/>
  <c r="P331" i="6"/>
  <c r="P322" i="6"/>
  <c r="P338" i="6"/>
  <c r="P343" i="6" s="1"/>
  <c r="P329" i="6"/>
  <c r="P332" i="6"/>
  <c r="P321" i="6"/>
  <c r="P342" i="6"/>
  <c r="P324" i="6"/>
  <c r="P330" i="6"/>
  <c r="P328" i="6"/>
  <c r="P337" i="6"/>
  <c r="P325" i="6"/>
  <c r="P336" i="6"/>
  <c r="P335" i="6"/>
  <c r="P323" i="6"/>
  <c r="P144" i="6"/>
  <c r="P145" i="6"/>
  <c r="P150" i="6"/>
  <c r="P155" i="6"/>
  <c r="P141" i="6"/>
  <c r="P140" i="6"/>
  <c r="P139" i="6"/>
  <c r="P138" i="6"/>
  <c r="P137" i="6"/>
  <c r="P136" i="6"/>
  <c r="P135" i="6"/>
  <c r="P134" i="6"/>
  <c r="P133" i="6"/>
  <c r="P156" i="6"/>
  <c r="P151" i="6"/>
  <c r="P148" i="6"/>
  <c r="P146" i="6"/>
  <c r="P143" i="6"/>
  <c r="P152" i="6"/>
  <c r="P157" i="6" s="1"/>
  <c r="P149" i="6"/>
  <c r="P147" i="6"/>
  <c r="P142" i="6"/>
  <c r="M280" i="6"/>
  <c r="O153" i="6"/>
  <c r="Q19" i="3"/>
  <c r="P36" i="3"/>
  <c r="M262" i="6" l="1"/>
  <c r="M263" i="6" s="1"/>
  <c r="M261" i="6"/>
  <c r="M347" i="6"/>
  <c r="M348" i="6" s="1"/>
  <c r="M346" i="6"/>
  <c r="M252" i="6"/>
  <c r="M253" i="6" s="1"/>
  <c r="M251" i="6"/>
  <c r="M315" i="6"/>
  <c r="M316" i="6" s="1"/>
  <c r="M314" i="6"/>
  <c r="N315" i="6"/>
  <c r="N316" i="6" s="1"/>
  <c r="N314" i="6"/>
  <c r="Q127" i="6"/>
  <c r="Q106" i="6"/>
  <c r="Q117" i="6"/>
  <c r="Q107" i="6"/>
  <c r="Q123" i="6"/>
  <c r="Q108" i="6"/>
  <c r="Q128" i="6"/>
  <c r="Q118" i="6"/>
  <c r="Q109" i="6"/>
  <c r="Q110" i="6"/>
  <c r="Q120" i="6"/>
  <c r="Q124" i="6"/>
  <c r="Q129" i="6" s="1"/>
  <c r="Q122" i="6"/>
  <c r="Q114" i="6"/>
  <c r="Q112" i="6"/>
  <c r="Q119" i="6"/>
  <c r="Q105" i="6"/>
  <c r="Q113" i="6"/>
  <c r="Q111" i="6"/>
  <c r="Q121" i="6"/>
  <c r="Q116" i="6"/>
  <c r="Q115" i="6"/>
  <c r="BD20" i="3"/>
  <c r="AA20" i="3"/>
  <c r="AB20" i="3"/>
  <c r="Q37" i="3"/>
  <c r="S37" i="3" s="1"/>
  <c r="R37" i="3"/>
  <c r="BB20" i="3"/>
  <c r="P69" i="6"/>
  <c r="Q180" i="6"/>
  <c r="Q185" i="6" s="1"/>
  <c r="Q175" i="6"/>
  <c r="Q168" i="6"/>
  <c r="Q161" i="6"/>
  <c r="Q183" i="6"/>
  <c r="Q177" i="6"/>
  <c r="Q171" i="6"/>
  <c r="Q164" i="6"/>
  <c r="Q181" i="6" s="1"/>
  <c r="Q179" i="6"/>
  <c r="Q174" i="6"/>
  <c r="Q167" i="6"/>
  <c r="Q169" i="6"/>
  <c r="Q184" i="6"/>
  <c r="Q172" i="6"/>
  <c r="Q162" i="6"/>
  <c r="Q165" i="6"/>
  <c r="Q170" i="6"/>
  <c r="Q166" i="6"/>
  <c r="Q178" i="6"/>
  <c r="Q163" i="6"/>
  <c r="Q173" i="6"/>
  <c r="Q176" i="6"/>
  <c r="O313" i="6"/>
  <c r="P42" i="6"/>
  <c r="BD41" i="3"/>
  <c r="BB41" i="3"/>
  <c r="AB41" i="3"/>
  <c r="AA41" i="3"/>
  <c r="Q24" i="3"/>
  <c r="S24" i="3" s="1"/>
  <c r="Q205" i="6"/>
  <c r="Q200" i="6"/>
  <c r="Q195" i="6"/>
  <c r="Q206" i="6"/>
  <c r="Q201" i="6"/>
  <c r="Q196" i="6"/>
  <c r="Q190" i="6"/>
  <c r="Q199" i="6"/>
  <c r="Q194" i="6"/>
  <c r="Q198" i="6"/>
  <c r="Q208" i="6"/>
  <c r="Q213" i="6" s="1"/>
  <c r="Q192" i="6"/>
  <c r="Q212" i="6"/>
  <c r="Q207" i="6"/>
  <c r="Q193" i="6"/>
  <c r="Q191" i="6"/>
  <c r="Q204" i="6"/>
  <c r="Q197" i="6"/>
  <c r="Q189" i="6"/>
  <c r="Q202" i="6"/>
  <c r="Q211" i="6"/>
  <c r="Q203" i="6"/>
  <c r="Q235" i="6"/>
  <c r="Q228" i="6"/>
  <c r="Q234" i="6"/>
  <c r="Q227" i="6"/>
  <c r="Q223" i="6"/>
  <c r="Q239" i="6"/>
  <c r="Q225" i="6"/>
  <c r="Q220" i="6"/>
  <c r="Q230" i="6"/>
  <c r="Q240" i="6"/>
  <c r="Q236" i="6"/>
  <c r="Q241" i="6" s="1"/>
  <c r="Q232" i="6"/>
  <c r="Q226" i="6"/>
  <c r="Q231" i="6"/>
  <c r="Q221" i="6"/>
  <c r="Q233" i="6"/>
  <c r="Q217" i="6"/>
  <c r="Q224" i="6"/>
  <c r="Q222" i="6"/>
  <c r="Q229" i="6"/>
  <c r="Q219" i="6"/>
  <c r="Q218" i="6"/>
  <c r="M276" i="6"/>
  <c r="M277" i="6"/>
  <c r="M278" i="6" s="1"/>
  <c r="P307" i="6"/>
  <c r="AA61" i="3"/>
  <c r="AB61" i="3"/>
  <c r="BD61" i="3"/>
  <c r="Q30" i="3"/>
  <c r="S30" i="3" s="1"/>
  <c r="BB61" i="3"/>
  <c r="P154" i="6"/>
  <c r="P182" i="6"/>
  <c r="M266" i="6"/>
  <c r="M267" i="6"/>
  <c r="M268" i="6" s="1"/>
  <c r="Q304" i="6"/>
  <c r="Q297" i="6"/>
  <c r="Q290" i="6"/>
  <c r="Q301" i="6"/>
  <c r="Q294" i="6"/>
  <c r="Q287" i="6"/>
  <c r="Q310" i="6"/>
  <c r="Q299" i="6"/>
  <c r="Q303" i="6"/>
  <c r="Q292" i="6"/>
  <c r="Q309" i="6"/>
  <c r="Q296" i="6"/>
  <c r="Q306" i="6"/>
  <c r="Q311" i="6" s="1"/>
  <c r="Q298" i="6"/>
  <c r="Q293" i="6"/>
  <c r="Q302" i="6"/>
  <c r="Q291" i="6"/>
  <c r="Q305" i="6"/>
  <c r="Q300" i="6"/>
  <c r="Q295" i="6"/>
  <c r="Q289" i="6"/>
  <c r="Q288" i="6"/>
  <c r="O345" i="6"/>
  <c r="BD19" i="3"/>
  <c r="BB19" i="3"/>
  <c r="AB19" i="3"/>
  <c r="AA19" i="3"/>
  <c r="R36" i="3"/>
  <c r="Q36" i="3"/>
  <c r="S36" i="3" s="1"/>
  <c r="P339" i="6"/>
  <c r="P308" i="6"/>
  <c r="O250" i="6"/>
  <c r="O274" i="6"/>
  <c r="O275" i="6" s="1"/>
  <c r="O254" i="6"/>
  <c r="O255" i="6" s="1"/>
  <c r="O249" i="6"/>
  <c r="O264" i="6"/>
  <c r="O259" i="6"/>
  <c r="O260" i="6" s="1"/>
  <c r="O244" i="6"/>
  <c r="O245" i="6" s="1"/>
  <c r="O344" i="6"/>
  <c r="O312" i="6"/>
  <c r="O265" i="6"/>
  <c r="O279" i="6"/>
  <c r="O280" i="6" s="1"/>
  <c r="O269" i="6"/>
  <c r="O270" i="6" s="1"/>
  <c r="P153" i="6"/>
  <c r="M281" i="6"/>
  <c r="M282" i="6"/>
  <c r="M283" i="6" s="1"/>
  <c r="P41" i="6"/>
  <c r="P238" i="6"/>
  <c r="P126" i="6"/>
  <c r="P98" i="6"/>
  <c r="R318" i="6"/>
  <c r="R286" i="6"/>
  <c r="R160" i="6"/>
  <c r="R188" i="6"/>
  <c r="R216" i="6"/>
  <c r="R132" i="6"/>
  <c r="R20" i="6"/>
  <c r="S7" i="6"/>
  <c r="R104" i="6"/>
  <c r="R76" i="6"/>
  <c r="R48" i="6"/>
  <c r="P70" i="6"/>
  <c r="Q333" i="6"/>
  <c r="Q326" i="6"/>
  <c r="Q319" i="6"/>
  <c r="Q337" i="6"/>
  <c r="Q330" i="6"/>
  <c r="Q323" i="6"/>
  <c r="Q331" i="6"/>
  <c r="Q322" i="6"/>
  <c r="Q320" i="6"/>
  <c r="Q336" i="6"/>
  <c r="Q334" i="6"/>
  <c r="Q325" i="6"/>
  <c r="Q342" i="6"/>
  <c r="Q324" i="6"/>
  <c r="Q327" i="6"/>
  <c r="Q338" i="6"/>
  <c r="Q343" i="6" s="1"/>
  <c r="Q329" i="6"/>
  <c r="Q328" i="6"/>
  <c r="Q321" i="6"/>
  <c r="Q332" i="6"/>
  <c r="Q335" i="6"/>
  <c r="Q341" i="6"/>
  <c r="N346" i="6"/>
  <c r="N347" i="6"/>
  <c r="N348" i="6" s="1"/>
  <c r="N262" i="6"/>
  <c r="N263" i="6" s="1"/>
  <c r="E28" i="2" s="1"/>
  <c r="E29" i="2" s="1"/>
  <c r="N261" i="6"/>
  <c r="BD16" i="3"/>
  <c r="BB16" i="3"/>
  <c r="AB16" i="3"/>
  <c r="AA16" i="3"/>
  <c r="R33" i="3"/>
  <c r="Q33" i="3"/>
  <c r="S33" i="3" s="1"/>
  <c r="Q145" i="6"/>
  <c r="Q146" i="6"/>
  <c r="Q151" i="6"/>
  <c r="Q156" i="6"/>
  <c r="Q142" i="6"/>
  <c r="Q143" i="6"/>
  <c r="Q148" i="6"/>
  <c r="Q134" i="6"/>
  <c r="Q139" i="6"/>
  <c r="Q135" i="6"/>
  <c r="Q149" i="6"/>
  <c r="Q136" i="6"/>
  <c r="Q141" i="6"/>
  <c r="Q140" i="6"/>
  <c r="Q138" i="6"/>
  <c r="Q147" i="6"/>
  <c r="Q144" i="6"/>
  <c r="Q137" i="6"/>
  <c r="Q150" i="6"/>
  <c r="Q133" i="6"/>
  <c r="Q152" i="6"/>
  <c r="Q157" i="6" s="1"/>
  <c r="Q155" i="6"/>
  <c r="Q44" i="6"/>
  <c r="Q43" i="6"/>
  <c r="Q40" i="6"/>
  <c r="Q45" i="6" s="1"/>
  <c r="Q39" i="6"/>
  <c r="Q38" i="6"/>
  <c r="Q37" i="6"/>
  <c r="Q36" i="6"/>
  <c r="Q35" i="6"/>
  <c r="Q34" i="6"/>
  <c r="Q33" i="6"/>
  <c r="Q32" i="6"/>
  <c r="Q31" i="6"/>
  <c r="Q30" i="6"/>
  <c r="Q29" i="6"/>
  <c r="Q28" i="6"/>
  <c r="Q27" i="6"/>
  <c r="Q26" i="6"/>
  <c r="Q25" i="6"/>
  <c r="Q24" i="6"/>
  <c r="Q41" i="6" s="1"/>
  <c r="Q23" i="6"/>
  <c r="Q22" i="6"/>
  <c r="Q21" i="6"/>
  <c r="P209" i="6"/>
  <c r="M247" i="6"/>
  <c r="M248" i="6" s="1"/>
  <c r="M246" i="6"/>
  <c r="P97" i="6"/>
  <c r="Q72" i="6"/>
  <c r="Q71" i="6"/>
  <c r="Q68" i="6"/>
  <c r="Q73" i="6" s="1"/>
  <c r="Q67" i="6"/>
  <c r="Q66" i="6"/>
  <c r="Q65" i="6"/>
  <c r="Q64" i="6"/>
  <c r="Q63" i="6"/>
  <c r="Q62" i="6"/>
  <c r="Q61" i="6"/>
  <c r="Q60" i="6"/>
  <c r="Q59" i="6"/>
  <c r="Q58" i="6"/>
  <c r="Q57" i="6"/>
  <c r="Q56" i="6"/>
  <c r="Q55" i="6"/>
  <c r="Q54" i="6"/>
  <c r="Q53" i="6"/>
  <c r="Q52" i="6"/>
  <c r="Q69" i="6" s="1"/>
  <c r="Q51" i="6"/>
  <c r="Q50" i="6"/>
  <c r="Q49" i="6"/>
  <c r="P340" i="6"/>
  <c r="R35" i="3"/>
  <c r="Q35" i="3"/>
  <c r="S35" i="3" s="1"/>
  <c r="AB18" i="3"/>
  <c r="AA18" i="3"/>
  <c r="BD18" i="3"/>
  <c r="BB18" i="3"/>
  <c r="M272" i="6"/>
  <c r="M273" i="6" s="1"/>
  <c r="M271" i="6"/>
  <c r="Q257" i="6"/>
  <c r="Q258" i="6" s="1"/>
  <c r="Q256" i="6"/>
  <c r="Q96" i="6"/>
  <c r="Q101" i="6" s="1"/>
  <c r="Q87" i="6"/>
  <c r="Q86" i="6"/>
  <c r="Q85" i="6"/>
  <c r="Q84" i="6"/>
  <c r="Q83" i="6"/>
  <c r="Q82" i="6"/>
  <c r="Q81" i="6"/>
  <c r="Q80" i="6"/>
  <c r="Q79" i="6"/>
  <c r="Q78" i="6"/>
  <c r="Q77" i="6"/>
  <c r="Q88" i="6"/>
  <c r="Q89" i="6"/>
  <c r="Q90" i="6"/>
  <c r="Q91" i="6"/>
  <c r="Q95" i="6"/>
  <c r="Q93" i="6"/>
  <c r="Q94" i="6"/>
  <c r="Q100" i="6"/>
  <c r="Q99" i="6"/>
  <c r="Q92" i="6"/>
  <c r="O282" i="6" l="1"/>
  <c r="O283" i="6" s="1"/>
  <c r="O281" i="6"/>
  <c r="E37" i="2"/>
  <c r="E38" i="2"/>
  <c r="E35" i="2"/>
  <c r="E34" i="2"/>
  <c r="O261" i="6"/>
  <c r="O262" i="6"/>
  <c r="O263" i="6" s="1"/>
  <c r="P260" i="6"/>
  <c r="O246" i="6"/>
  <c r="O247" i="6"/>
  <c r="O248" i="6" s="1"/>
  <c r="O272" i="6"/>
  <c r="O273" i="6" s="1"/>
  <c r="O271" i="6"/>
  <c r="O277" i="6"/>
  <c r="O278" i="6" s="1"/>
  <c r="O276" i="6"/>
  <c r="O251" i="6"/>
  <c r="O252" i="6"/>
  <c r="O253" i="6" s="1"/>
  <c r="Q97" i="6"/>
  <c r="R156" i="6"/>
  <c r="R155" i="6"/>
  <c r="R152" i="6"/>
  <c r="R157" i="6" s="1"/>
  <c r="R151" i="6"/>
  <c r="R150" i="6"/>
  <c r="R149" i="6"/>
  <c r="R148" i="6"/>
  <c r="R147" i="6"/>
  <c r="R146" i="6"/>
  <c r="R145" i="6"/>
  <c r="R144" i="6"/>
  <c r="R143" i="6"/>
  <c r="R142" i="6"/>
  <c r="R141" i="6"/>
  <c r="R134" i="6"/>
  <c r="R139" i="6"/>
  <c r="R135" i="6"/>
  <c r="R140" i="6"/>
  <c r="R137" i="6"/>
  <c r="R136" i="6"/>
  <c r="R133" i="6"/>
  <c r="R138" i="6"/>
  <c r="Q308" i="6"/>
  <c r="Q154" i="6"/>
  <c r="R117" i="6"/>
  <c r="R107" i="6"/>
  <c r="R123" i="6"/>
  <c r="R108" i="6"/>
  <c r="R125" i="6" s="1"/>
  <c r="R128" i="6"/>
  <c r="R118" i="6"/>
  <c r="R109" i="6"/>
  <c r="R110" i="6"/>
  <c r="R124" i="6"/>
  <c r="R129" i="6" s="1"/>
  <c r="R119" i="6"/>
  <c r="R111" i="6"/>
  <c r="R114" i="6"/>
  <c r="R105" i="6"/>
  <c r="R120" i="6"/>
  <c r="R112" i="6"/>
  <c r="R116" i="6"/>
  <c r="R126" i="6" s="1"/>
  <c r="R106" i="6"/>
  <c r="R127" i="6"/>
  <c r="R122" i="6"/>
  <c r="R113" i="6"/>
  <c r="R121" i="6"/>
  <c r="R115" i="6"/>
  <c r="P274" i="6"/>
  <c r="P312" i="6"/>
  <c r="P259" i="6"/>
  <c r="P279" i="6"/>
  <c r="P280" i="6" s="1"/>
  <c r="P269" i="6"/>
  <c r="P270" i="6" s="1"/>
  <c r="P344" i="6"/>
  <c r="P345" i="6" s="1"/>
  <c r="P265" i="6"/>
  <c r="P244" i="6"/>
  <c r="P249" i="6"/>
  <c r="P250" i="6" s="1"/>
  <c r="P264" i="6"/>
  <c r="P254" i="6"/>
  <c r="P313" i="6"/>
  <c r="Q126" i="6"/>
  <c r="R203" i="6"/>
  <c r="R196" i="6"/>
  <c r="R211" i="6"/>
  <c r="R189" i="6"/>
  <c r="R191" i="6"/>
  <c r="R208" i="6"/>
  <c r="R213" i="6" s="1"/>
  <c r="R195" i="6"/>
  <c r="R192" i="6"/>
  <c r="R209" i="6" s="1"/>
  <c r="R201" i="6"/>
  <c r="R190" i="6"/>
  <c r="R212" i="6"/>
  <c r="R194" i="6"/>
  <c r="R198" i="6"/>
  <c r="R205" i="6"/>
  <c r="R207" i="6"/>
  <c r="R202" i="6"/>
  <c r="R200" i="6"/>
  <c r="R204" i="6"/>
  <c r="R197" i="6"/>
  <c r="R206" i="6"/>
  <c r="R193" i="6"/>
  <c r="R199" i="6"/>
  <c r="Q210" i="6"/>
  <c r="Q125" i="6"/>
  <c r="Q339" i="6"/>
  <c r="Q307" i="6"/>
  <c r="Q340" i="6"/>
  <c r="O267" i="6"/>
  <c r="O268" i="6" s="1"/>
  <c r="O266" i="6"/>
  <c r="P255" i="6"/>
  <c r="R175" i="6"/>
  <c r="R174" i="6"/>
  <c r="R173" i="6"/>
  <c r="R172" i="6"/>
  <c r="R171" i="6"/>
  <c r="R170" i="6"/>
  <c r="R169" i="6"/>
  <c r="R168" i="6"/>
  <c r="R167" i="6"/>
  <c r="R166" i="6"/>
  <c r="R165" i="6"/>
  <c r="R164" i="6"/>
  <c r="R181" i="6" s="1"/>
  <c r="R163" i="6"/>
  <c r="R162" i="6"/>
  <c r="R161" i="6"/>
  <c r="R179" i="6"/>
  <c r="R184" i="6"/>
  <c r="R177" i="6"/>
  <c r="R180" i="6"/>
  <c r="R185" i="6" s="1"/>
  <c r="R183" i="6"/>
  <c r="R176" i="6"/>
  <c r="R178" i="6"/>
  <c r="Q98" i="6"/>
  <c r="O314" i="6"/>
  <c r="O315" i="6"/>
  <c r="O316" i="6" s="1"/>
  <c r="Q238" i="6"/>
  <c r="S318" i="6"/>
  <c r="S160" i="6"/>
  <c r="S188" i="6"/>
  <c r="S286" i="6"/>
  <c r="S132" i="6"/>
  <c r="S20" i="6"/>
  <c r="T7" i="6"/>
  <c r="S104" i="6"/>
  <c r="S48" i="6"/>
  <c r="S76" i="6"/>
  <c r="S216" i="6"/>
  <c r="R28" i="6"/>
  <c r="R31" i="6"/>
  <c r="R34" i="6"/>
  <c r="R37" i="6"/>
  <c r="R23" i="6"/>
  <c r="R40" i="6"/>
  <c r="R45" i="6" s="1"/>
  <c r="R26" i="6"/>
  <c r="R43" i="6"/>
  <c r="R29" i="6"/>
  <c r="R35" i="6"/>
  <c r="R21" i="6"/>
  <c r="R38" i="6"/>
  <c r="R24" i="6"/>
  <c r="R41" i="6" s="1"/>
  <c r="R39" i="6"/>
  <c r="R25" i="6"/>
  <c r="R36" i="6"/>
  <c r="R22" i="6"/>
  <c r="R30" i="6"/>
  <c r="R33" i="6"/>
  <c r="R44" i="6"/>
  <c r="R32" i="6"/>
  <c r="R27" i="6"/>
  <c r="Q153" i="6"/>
  <c r="R240" i="6"/>
  <c r="R233" i="6"/>
  <c r="R226" i="6"/>
  <c r="R219" i="6"/>
  <c r="R234" i="6"/>
  <c r="R223" i="6"/>
  <c r="R231" i="6"/>
  <c r="R218" i="6"/>
  <c r="R228" i="6"/>
  <c r="R224" i="6"/>
  <c r="R229" i="6"/>
  <c r="R222" i="6"/>
  <c r="R217" i="6"/>
  <c r="R230" i="6"/>
  <c r="R221" i="6"/>
  <c r="R227" i="6"/>
  <c r="R235" i="6"/>
  <c r="R232" i="6"/>
  <c r="R225" i="6"/>
  <c r="R236" i="6"/>
  <c r="R241" i="6" s="1"/>
  <c r="R239" i="6"/>
  <c r="R220" i="6"/>
  <c r="Q70" i="6"/>
  <c r="R301" i="6"/>
  <c r="R294" i="6"/>
  <c r="R287" i="6"/>
  <c r="R309" i="6"/>
  <c r="R302" i="6"/>
  <c r="R295" i="6"/>
  <c r="R288" i="6"/>
  <c r="R290" i="6"/>
  <c r="R306" i="6"/>
  <c r="R311" i="6" s="1"/>
  <c r="R300" i="6"/>
  <c r="R298" i="6"/>
  <c r="R289" i="6"/>
  <c r="R310" i="6"/>
  <c r="R299" i="6"/>
  <c r="R293" i="6"/>
  <c r="R303" i="6"/>
  <c r="R292" i="6"/>
  <c r="R305" i="6"/>
  <c r="R296" i="6"/>
  <c r="R291" i="6"/>
  <c r="R304" i="6"/>
  <c r="R297" i="6"/>
  <c r="R337" i="6"/>
  <c r="R330" i="6"/>
  <c r="R323" i="6"/>
  <c r="R338" i="6"/>
  <c r="R343" i="6" s="1"/>
  <c r="R331" i="6"/>
  <c r="R324" i="6"/>
  <c r="R329" i="6"/>
  <c r="R327" i="6"/>
  <c r="R336" i="6"/>
  <c r="R334" i="6"/>
  <c r="R325" i="6"/>
  <c r="R328" i="6"/>
  <c r="R333" i="6"/>
  <c r="R322" i="6"/>
  <c r="R320" i="6"/>
  <c r="R321" i="6"/>
  <c r="R332" i="6"/>
  <c r="R326" i="6"/>
  <c r="R341" i="6"/>
  <c r="R319" i="6"/>
  <c r="R342" i="6"/>
  <c r="R335" i="6"/>
  <c r="O346" i="6"/>
  <c r="O347" i="6"/>
  <c r="O348" i="6" s="1"/>
  <c r="E33" i="2"/>
  <c r="E36" i="2" s="1"/>
  <c r="Q237" i="6"/>
  <c r="Q182" i="6"/>
  <c r="Q209" i="6"/>
  <c r="R72" i="6"/>
  <c r="R65" i="6"/>
  <c r="R58" i="6"/>
  <c r="R50" i="6"/>
  <c r="R63" i="6"/>
  <c r="R53" i="6"/>
  <c r="R56" i="6"/>
  <c r="R68" i="6"/>
  <c r="R73" i="6" s="1"/>
  <c r="R61" i="6"/>
  <c r="R66" i="6"/>
  <c r="R59" i="6"/>
  <c r="R51" i="6"/>
  <c r="R54" i="6"/>
  <c r="R71" i="6"/>
  <c r="R62" i="6"/>
  <c r="R64" i="6"/>
  <c r="R67" i="6"/>
  <c r="R55" i="6"/>
  <c r="R52" i="6"/>
  <c r="R60" i="6"/>
  <c r="R57" i="6"/>
  <c r="R49" i="6"/>
  <c r="R256" i="6"/>
  <c r="R257" i="6"/>
  <c r="R258" i="6" s="1"/>
  <c r="R88" i="6"/>
  <c r="R89" i="6"/>
  <c r="R90" i="6"/>
  <c r="R91" i="6"/>
  <c r="R100" i="6"/>
  <c r="R93" i="6"/>
  <c r="R95" i="6"/>
  <c r="R81" i="6"/>
  <c r="R86" i="6"/>
  <c r="R79" i="6"/>
  <c r="R84" i="6"/>
  <c r="R77" i="6"/>
  <c r="R82" i="6"/>
  <c r="R96" i="6"/>
  <c r="R101" i="6" s="1"/>
  <c r="R83" i="6"/>
  <c r="R94" i="6"/>
  <c r="R85" i="6"/>
  <c r="R99" i="6"/>
  <c r="R87" i="6"/>
  <c r="R78" i="6"/>
  <c r="R92" i="6"/>
  <c r="R80" i="6"/>
  <c r="D33" i="2"/>
  <c r="D28" i="2"/>
  <c r="D29" i="2" s="1"/>
  <c r="Q42" i="6"/>
  <c r="P275" i="6"/>
  <c r="P347" i="6" l="1"/>
  <c r="P348" i="6" s="1"/>
  <c r="P346" i="6"/>
  <c r="P252" i="6"/>
  <c r="P253" i="6" s="1"/>
  <c r="P251" i="6"/>
  <c r="S123" i="6"/>
  <c r="S108" i="6"/>
  <c r="S128" i="6"/>
  <c r="S118" i="6"/>
  <c r="S109" i="6"/>
  <c r="S110" i="6"/>
  <c r="S124" i="6"/>
  <c r="S129" i="6" s="1"/>
  <c r="S119" i="6"/>
  <c r="S111" i="6"/>
  <c r="S112" i="6"/>
  <c r="S121" i="6"/>
  <c r="S105" i="6"/>
  <c r="S115" i="6"/>
  <c r="S106" i="6"/>
  <c r="S120" i="6"/>
  <c r="S117" i="6"/>
  <c r="S107" i="6"/>
  <c r="S122" i="6"/>
  <c r="S114" i="6"/>
  <c r="S116" i="6"/>
  <c r="S113" i="6"/>
  <c r="S127" i="6"/>
  <c r="P245" i="6"/>
  <c r="R97" i="6"/>
  <c r="R69" i="6"/>
  <c r="S337" i="6"/>
  <c r="S330" i="6"/>
  <c r="S323" i="6"/>
  <c r="S341" i="6"/>
  <c r="F94" i="2" s="1"/>
  <c r="S334" i="6"/>
  <c r="S327" i="6"/>
  <c r="S320" i="6"/>
  <c r="S329" i="6"/>
  <c r="S338" i="6"/>
  <c r="S343" i="6" s="1"/>
  <c r="H94" i="2" s="1"/>
  <c r="S332" i="6"/>
  <c r="S321" i="6"/>
  <c r="S319" i="6"/>
  <c r="S322" i="6"/>
  <c r="S331" i="6"/>
  <c r="S336" i="6"/>
  <c r="S335" i="6"/>
  <c r="S342" i="6"/>
  <c r="G94" i="2" s="1"/>
  <c r="S325" i="6"/>
  <c r="S333" i="6"/>
  <c r="S328" i="6"/>
  <c r="S324" i="6"/>
  <c r="S326" i="6"/>
  <c r="R153" i="6"/>
  <c r="R307" i="6"/>
  <c r="P262" i="6"/>
  <c r="P263" i="6" s="1"/>
  <c r="P261" i="6"/>
  <c r="S72" i="6"/>
  <c r="S65" i="6"/>
  <c r="S58" i="6"/>
  <c r="S50" i="6"/>
  <c r="S63" i="6"/>
  <c r="S53" i="6"/>
  <c r="S56" i="6"/>
  <c r="S68" i="6"/>
  <c r="S73" i="6" s="1"/>
  <c r="S61" i="6"/>
  <c r="S54" i="6"/>
  <c r="S71" i="6"/>
  <c r="S64" i="6"/>
  <c r="S57" i="6"/>
  <c r="S59" i="6"/>
  <c r="S62" i="6"/>
  <c r="S67" i="6"/>
  <c r="S55" i="6"/>
  <c r="S52" i="6"/>
  <c r="S49" i="6"/>
  <c r="S51" i="6"/>
  <c r="S60" i="6"/>
  <c r="S66" i="6"/>
  <c r="P272" i="6"/>
  <c r="P273" i="6" s="1"/>
  <c r="P271" i="6"/>
  <c r="P266" i="6"/>
  <c r="P267" i="6"/>
  <c r="P268" i="6" s="1"/>
  <c r="R340" i="6"/>
  <c r="T286" i="6"/>
  <c r="T216" i="6"/>
  <c r="T318" i="6"/>
  <c r="T160" i="6"/>
  <c r="T188" i="6"/>
  <c r="T132" i="6"/>
  <c r="T20" i="6"/>
  <c r="U7" i="6"/>
  <c r="T104" i="6"/>
  <c r="T48" i="6"/>
  <c r="T76" i="6"/>
  <c r="E39" i="2"/>
  <c r="E40" i="2" s="1"/>
  <c r="R98" i="6"/>
  <c r="R42" i="6"/>
  <c r="S31" i="6"/>
  <c r="S34" i="6"/>
  <c r="S37" i="6"/>
  <c r="S23" i="6"/>
  <c r="S40" i="6"/>
  <c r="S45" i="6" s="1"/>
  <c r="S26" i="6"/>
  <c r="S43" i="6"/>
  <c r="S29" i="6"/>
  <c r="S32" i="6"/>
  <c r="S38" i="6"/>
  <c r="S24" i="6"/>
  <c r="S27" i="6"/>
  <c r="S39" i="6"/>
  <c r="S28" i="6"/>
  <c r="S25" i="6"/>
  <c r="S36" i="6"/>
  <c r="S22" i="6"/>
  <c r="S33" i="6"/>
  <c r="S35" i="6"/>
  <c r="S21" i="6"/>
  <c r="S30" i="6"/>
  <c r="S44" i="6"/>
  <c r="F33" i="2"/>
  <c r="F28" i="2"/>
  <c r="F29" i="2" s="1"/>
  <c r="S236" i="6"/>
  <c r="S241" i="6" s="1"/>
  <c r="S229" i="6"/>
  <c r="S231" i="6"/>
  <c r="S218" i="6"/>
  <c r="S235" i="6"/>
  <c r="S219" i="6"/>
  <c r="S227" i="6"/>
  <c r="S234" i="6"/>
  <c r="S224" i="6"/>
  <c r="S217" i="6"/>
  <c r="S239" i="6"/>
  <c r="S233" i="6"/>
  <c r="S232" i="6"/>
  <c r="S222" i="6"/>
  <c r="S225" i="6"/>
  <c r="S240" i="6"/>
  <c r="S221" i="6"/>
  <c r="S228" i="6"/>
  <c r="S223" i="6"/>
  <c r="S226" i="6"/>
  <c r="S230" i="6"/>
  <c r="S220" i="6"/>
  <c r="S257" i="6"/>
  <c r="S89" i="6"/>
  <c r="S90" i="6"/>
  <c r="S91" i="6"/>
  <c r="S99" i="6"/>
  <c r="S92" i="6"/>
  <c r="S95" i="6"/>
  <c r="S88" i="6"/>
  <c r="S81" i="6"/>
  <c r="S86" i="6"/>
  <c r="S79" i="6"/>
  <c r="S93" i="6"/>
  <c r="S84" i="6"/>
  <c r="S77" i="6"/>
  <c r="S100" i="6"/>
  <c r="S96" i="6"/>
  <c r="S101" i="6" s="1"/>
  <c r="S94" i="6"/>
  <c r="S87" i="6"/>
  <c r="S80" i="6"/>
  <c r="S82" i="6"/>
  <c r="S85" i="6"/>
  <c r="S256" i="6"/>
  <c r="S78" i="6"/>
  <c r="S83" i="6"/>
  <c r="P276" i="6"/>
  <c r="P277" i="6"/>
  <c r="P278" i="6" s="1"/>
  <c r="R339" i="6"/>
  <c r="S146" i="6"/>
  <c r="S147" i="6"/>
  <c r="S152" i="6"/>
  <c r="S157" i="6" s="1"/>
  <c r="S143" i="6"/>
  <c r="S144" i="6"/>
  <c r="S148" i="6"/>
  <c r="S139" i="6"/>
  <c r="S151" i="6"/>
  <c r="S135" i="6"/>
  <c r="S140" i="6"/>
  <c r="S141" i="6"/>
  <c r="S137" i="6"/>
  <c r="S149" i="6"/>
  <c r="S156" i="6"/>
  <c r="S136" i="6"/>
  <c r="S155" i="6"/>
  <c r="S134" i="6"/>
  <c r="S150" i="6"/>
  <c r="S142" i="6"/>
  <c r="S133" i="6"/>
  <c r="S145" i="6"/>
  <c r="S138" i="6"/>
  <c r="R154" i="6"/>
  <c r="R210" i="6"/>
  <c r="R237" i="6"/>
  <c r="R238" i="6"/>
  <c r="S301" i="6"/>
  <c r="S294" i="6"/>
  <c r="S287" i="6"/>
  <c r="S305" i="6"/>
  <c r="S298" i="6"/>
  <c r="S291" i="6"/>
  <c r="S306" i="6"/>
  <c r="S311" i="6" s="1"/>
  <c r="H93" i="2" s="1"/>
  <c r="S297" i="6"/>
  <c r="S288" i="6"/>
  <c r="S304" i="6"/>
  <c r="S295" i="6"/>
  <c r="S309" i="6"/>
  <c r="F93" i="2" s="1"/>
  <c r="S310" i="6"/>
  <c r="G93" i="2" s="1"/>
  <c r="S299" i="6"/>
  <c r="S290" i="6"/>
  <c r="S293" i="6"/>
  <c r="S289" i="6"/>
  <c r="S296" i="6"/>
  <c r="S292" i="6"/>
  <c r="S300" i="6"/>
  <c r="S303" i="6"/>
  <c r="S302" i="6"/>
  <c r="P282" i="6"/>
  <c r="P283" i="6" s="1"/>
  <c r="P281" i="6"/>
  <c r="D34" i="2"/>
  <c r="D35" i="2"/>
  <c r="D37" i="2"/>
  <c r="D38" i="2"/>
  <c r="R308" i="6"/>
  <c r="S211" i="6"/>
  <c r="S206" i="6"/>
  <c r="S201" i="6"/>
  <c r="S190" i="6"/>
  <c r="S212" i="6"/>
  <c r="S207" i="6"/>
  <c r="S205" i="6"/>
  <c r="S200" i="6"/>
  <c r="S208" i="6"/>
  <c r="S213" i="6" s="1"/>
  <c r="S202" i="6"/>
  <c r="S203" i="6"/>
  <c r="S198" i="6"/>
  <c r="S196" i="6"/>
  <c r="S195" i="6"/>
  <c r="S189" i="6"/>
  <c r="S191" i="6"/>
  <c r="S194" i="6"/>
  <c r="S204" i="6"/>
  <c r="S193" i="6"/>
  <c r="S197" i="6"/>
  <c r="S192" i="6"/>
  <c r="S199" i="6"/>
  <c r="R182" i="6"/>
  <c r="Q274" i="6"/>
  <c r="Q275" i="6" s="1"/>
  <c r="Q344" i="6"/>
  <c r="Q345" i="6" s="1"/>
  <c r="Q249" i="6"/>
  <c r="Q250" i="6" s="1"/>
  <c r="Q264" i="6"/>
  <c r="Q244" i="6"/>
  <c r="Q279" i="6"/>
  <c r="Q280" i="6" s="1"/>
  <c r="Q312" i="6"/>
  <c r="Q313" i="6" s="1"/>
  <c r="Q254" i="6"/>
  <c r="Q255" i="6" s="1"/>
  <c r="Q269" i="6"/>
  <c r="Q270" i="6" s="1"/>
  <c r="Q259" i="6"/>
  <c r="Q260" i="6" s="1"/>
  <c r="Q265" i="6"/>
  <c r="D36" i="2"/>
  <c r="R70" i="6"/>
  <c r="S176" i="6"/>
  <c r="S169" i="6"/>
  <c r="S162" i="6"/>
  <c r="S174" i="6"/>
  <c r="S167" i="6"/>
  <c r="S180" i="6"/>
  <c r="S185" i="6" s="1"/>
  <c r="S164" i="6"/>
  <c r="S184" i="6"/>
  <c r="S179" i="6"/>
  <c r="S177" i="6"/>
  <c r="S172" i="6"/>
  <c r="S170" i="6"/>
  <c r="S178" i="6"/>
  <c r="S183" i="6"/>
  <c r="S161" i="6"/>
  <c r="S166" i="6"/>
  <c r="S168" i="6"/>
  <c r="S163" i="6"/>
  <c r="S173" i="6"/>
  <c r="S175" i="6"/>
  <c r="S171" i="6"/>
  <c r="S165" i="6"/>
  <c r="P315" i="6"/>
  <c r="P316" i="6" s="1"/>
  <c r="P314" i="6"/>
  <c r="Q346" i="6" l="1"/>
  <c r="Q347" i="6"/>
  <c r="Q348" i="6" s="1"/>
  <c r="Q251" i="6"/>
  <c r="Q252" i="6"/>
  <c r="Q253" i="6" s="1"/>
  <c r="Q277" i="6"/>
  <c r="Q278" i="6" s="1"/>
  <c r="Q276" i="6"/>
  <c r="Q261" i="6"/>
  <c r="Q262" i="6"/>
  <c r="Q263" i="6" s="1"/>
  <c r="Q314" i="6"/>
  <c r="Q315" i="6"/>
  <c r="Q316" i="6" s="1"/>
  <c r="Q282" i="6"/>
  <c r="Q283" i="6" s="1"/>
  <c r="Q281" i="6"/>
  <c r="S238" i="6"/>
  <c r="E78" i="2"/>
  <c r="G78" i="2"/>
  <c r="T128" i="6"/>
  <c r="T118" i="6"/>
  <c r="T109" i="6"/>
  <c r="T110" i="6"/>
  <c r="T124" i="6"/>
  <c r="T129" i="6" s="1"/>
  <c r="T119" i="6"/>
  <c r="T111" i="6"/>
  <c r="T112" i="6"/>
  <c r="T120" i="6"/>
  <c r="T113" i="6"/>
  <c r="T121" i="6"/>
  <c r="T115" i="6"/>
  <c r="T105" i="6"/>
  <c r="T117" i="6"/>
  <c r="T108" i="6"/>
  <c r="T127" i="6"/>
  <c r="T123" i="6"/>
  <c r="T107" i="6"/>
  <c r="T122" i="6"/>
  <c r="T114" i="6"/>
  <c r="T106" i="6"/>
  <c r="T116" i="6"/>
  <c r="T126" i="6" s="1"/>
  <c r="G86" i="2"/>
  <c r="J101" i="2"/>
  <c r="S182" i="6"/>
  <c r="G76" i="2"/>
  <c r="E76" i="2"/>
  <c r="H90" i="2"/>
  <c r="L105" i="2"/>
  <c r="T34" i="6"/>
  <c r="T37" i="6"/>
  <c r="T23" i="6"/>
  <c r="T40" i="6"/>
  <c r="T45" i="6" s="1"/>
  <c r="T26" i="6"/>
  <c r="T43" i="6"/>
  <c r="T29" i="6"/>
  <c r="T32" i="6"/>
  <c r="T35" i="6"/>
  <c r="T21" i="6"/>
  <c r="T27" i="6"/>
  <c r="T44" i="6"/>
  <c r="T30" i="6"/>
  <c r="T39" i="6"/>
  <c r="T31" i="6"/>
  <c r="T28" i="6"/>
  <c r="T25" i="6"/>
  <c r="T36" i="6"/>
  <c r="T22" i="6"/>
  <c r="T33" i="6"/>
  <c r="T24" i="6"/>
  <c r="T38" i="6"/>
  <c r="S308" i="6"/>
  <c r="E93" i="2" s="1"/>
  <c r="G79" i="2"/>
  <c r="E79" i="2"/>
  <c r="S154" i="6"/>
  <c r="E75" i="2"/>
  <c r="G75" i="2"/>
  <c r="T147" i="6"/>
  <c r="T148" i="6"/>
  <c r="T144" i="6"/>
  <c r="T145" i="6"/>
  <c r="T151" i="6"/>
  <c r="T135" i="6"/>
  <c r="T140" i="6"/>
  <c r="T146" i="6"/>
  <c r="T143" i="6"/>
  <c r="T155" i="6"/>
  <c r="T136" i="6"/>
  <c r="T137" i="6"/>
  <c r="T149" i="6"/>
  <c r="T139" i="6"/>
  <c r="T141" i="6"/>
  <c r="T156" i="6"/>
  <c r="T138" i="6"/>
  <c r="T134" i="6"/>
  <c r="T150" i="6"/>
  <c r="T133" i="6"/>
  <c r="T142" i="6"/>
  <c r="T152" i="6"/>
  <c r="T157" i="6" s="1"/>
  <c r="F91" i="2"/>
  <c r="H106" i="2"/>
  <c r="T211" i="6"/>
  <c r="T204" i="6"/>
  <c r="T197" i="6"/>
  <c r="T206" i="6"/>
  <c r="T201" i="6"/>
  <c r="T196" i="6"/>
  <c r="T191" i="6"/>
  <c r="T202" i="6"/>
  <c r="T195" i="6"/>
  <c r="T189" i="6"/>
  <c r="T203" i="6"/>
  <c r="T198" i="6"/>
  <c r="T192" i="6"/>
  <c r="T205" i="6"/>
  <c r="T207" i="6"/>
  <c r="T200" i="6"/>
  <c r="T212" i="6"/>
  <c r="T193" i="6"/>
  <c r="T199" i="6"/>
  <c r="T194" i="6"/>
  <c r="T208" i="6"/>
  <c r="T213" i="6" s="1"/>
  <c r="T190" i="6"/>
  <c r="L104" i="2"/>
  <c r="H89" i="2"/>
  <c r="S97" i="6"/>
  <c r="F73" i="2"/>
  <c r="D73" i="2"/>
  <c r="H102" i="2"/>
  <c r="F87" i="2"/>
  <c r="T175" i="6"/>
  <c r="T174" i="6"/>
  <c r="T173" i="6"/>
  <c r="T172" i="6"/>
  <c r="T171" i="6"/>
  <c r="T170" i="6"/>
  <c r="T169" i="6"/>
  <c r="T168" i="6"/>
  <c r="T167" i="6"/>
  <c r="T166" i="6"/>
  <c r="T165" i="6"/>
  <c r="T164" i="6"/>
  <c r="T163" i="6"/>
  <c r="T162" i="6"/>
  <c r="T161" i="6"/>
  <c r="T177" i="6"/>
  <c r="T176" i="6"/>
  <c r="T184" i="6"/>
  <c r="T178" i="6"/>
  <c r="T180" i="6"/>
  <c r="T185" i="6" s="1"/>
  <c r="T179" i="6"/>
  <c r="T183" i="6"/>
  <c r="S340" i="6"/>
  <c r="E94" i="2" s="1"/>
  <c r="G80" i="2"/>
  <c r="E80" i="2"/>
  <c r="S210" i="6"/>
  <c r="E77" i="2"/>
  <c r="G77" i="2"/>
  <c r="G91" i="2"/>
  <c r="J106" i="2"/>
  <c r="U318" i="6"/>
  <c r="U286" i="6"/>
  <c r="U216" i="6"/>
  <c r="U132" i="6"/>
  <c r="U188" i="6"/>
  <c r="U160" i="6"/>
  <c r="U104" i="6"/>
  <c r="U48" i="6"/>
  <c r="U76" i="6"/>
  <c r="V7" i="6"/>
  <c r="U20" i="6"/>
  <c r="K87" i="2"/>
  <c r="F10" i="4" s="1"/>
  <c r="M102" i="2"/>
  <c r="O102" i="2" s="1"/>
  <c r="S125" i="6"/>
  <c r="D74" i="2"/>
  <c r="F74" i="2"/>
  <c r="H92" i="2"/>
  <c r="L107" i="2"/>
  <c r="F86" i="2"/>
  <c r="H101" i="2"/>
  <c r="F89" i="2"/>
  <c r="H104" i="2"/>
  <c r="F35" i="2"/>
  <c r="F36" i="2" s="1"/>
  <c r="F37" i="2"/>
  <c r="F34" i="2"/>
  <c r="F38" i="2"/>
  <c r="S41" i="6"/>
  <c r="F71" i="2"/>
  <c r="D71" i="2"/>
  <c r="T341" i="6"/>
  <c r="T334" i="6"/>
  <c r="T327" i="6"/>
  <c r="T320" i="6"/>
  <c r="T342" i="6"/>
  <c r="T335" i="6"/>
  <c r="T328" i="6"/>
  <c r="T321" i="6"/>
  <c r="T338" i="6"/>
  <c r="T343" i="6" s="1"/>
  <c r="T336" i="6"/>
  <c r="T325" i="6"/>
  <c r="T332" i="6"/>
  <c r="T330" i="6"/>
  <c r="T331" i="6"/>
  <c r="T329" i="6"/>
  <c r="T333" i="6"/>
  <c r="T326" i="6"/>
  <c r="T337" i="6"/>
  <c r="T319" i="6"/>
  <c r="T324" i="6"/>
  <c r="T323" i="6"/>
  <c r="T322" i="6"/>
  <c r="T339" i="6" s="1"/>
  <c r="S307" i="6"/>
  <c r="F79" i="2"/>
  <c r="D79" i="2"/>
  <c r="S153" i="6"/>
  <c r="D75" i="2"/>
  <c r="F75" i="2"/>
  <c r="T234" i="6"/>
  <c r="T227" i="6"/>
  <c r="T220" i="6"/>
  <c r="T235" i="6"/>
  <c r="T228" i="6"/>
  <c r="T238" i="6" s="1"/>
  <c r="T224" i="6"/>
  <c r="T232" i="6"/>
  <c r="T236" i="6"/>
  <c r="T241" i="6" s="1"/>
  <c r="T221" i="6"/>
  <c r="T223" i="6"/>
  <c r="T217" i="6"/>
  <c r="T229" i="6"/>
  <c r="T225" i="6"/>
  <c r="T218" i="6"/>
  <c r="T240" i="6"/>
  <c r="T230" i="6"/>
  <c r="T226" i="6"/>
  <c r="T219" i="6"/>
  <c r="T222" i="6"/>
  <c r="T231" i="6"/>
  <c r="T233" i="6"/>
  <c r="T239" i="6"/>
  <c r="S70" i="6"/>
  <c r="E72" i="2"/>
  <c r="G72" i="2"/>
  <c r="H86" i="2"/>
  <c r="L101" i="2"/>
  <c r="S339" i="6"/>
  <c r="F80" i="2"/>
  <c r="D80" i="2"/>
  <c r="R250" i="6"/>
  <c r="J104" i="2"/>
  <c r="G89" i="2"/>
  <c r="H87" i="2"/>
  <c r="L102" i="2"/>
  <c r="F92" i="2"/>
  <c r="H107" i="2"/>
  <c r="S42" i="6"/>
  <c r="G71" i="2"/>
  <c r="E71" i="2"/>
  <c r="T305" i="6"/>
  <c r="T298" i="6"/>
  <c r="T291" i="6"/>
  <c r="T306" i="6"/>
  <c r="T311" i="6" s="1"/>
  <c r="T299" i="6"/>
  <c r="T292" i="6"/>
  <c r="T297" i="6"/>
  <c r="T288" i="6"/>
  <c r="T293" i="6"/>
  <c r="T296" i="6"/>
  <c r="T290" i="6"/>
  <c r="T301" i="6"/>
  <c r="T300" i="6"/>
  <c r="T294" i="6"/>
  <c r="T304" i="6"/>
  <c r="T309" i="6"/>
  <c r="T287" i="6"/>
  <c r="T289" i="6"/>
  <c r="T303" i="6"/>
  <c r="T310" i="6"/>
  <c r="T295" i="6"/>
  <c r="T302" i="6"/>
  <c r="S209" i="6"/>
  <c r="F77" i="2"/>
  <c r="D77" i="2"/>
  <c r="G90" i="2"/>
  <c r="J105" i="2"/>
  <c r="G88" i="2"/>
  <c r="J103" i="2"/>
  <c r="S98" i="6"/>
  <c r="E73" i="2"/>
  <c r="G73" i="2"/>
  <c r="J102" i="2"/>
  <c r="G87" i="2"/>
  <c r="S258" i="6"/>
  <c r="C46" i="2" s="1"/>
  <c r="L87" i="2"/>
  <c r="J100" i="2"/>
  <c r="G85" i="2"/>
  <c r="R344" i="6"/>
  <c r="R254" i="6"/>
  <c r="R255" i="6" s="1"/>
  <c r="R279" i="6"/>
  <c r="R249" i="6"/>
  <c r="R244" i="6"/>
  <c r="R312" i="6"/>
  <c r="R313" i="6" s="1"/>
  <c r="R265" i="6"/>
  <c r="R274" i="6"/>
  <c r="R275" i="6" s="1"/>
  <c r="R264" i="6"/>
  <c r="R269" i="6"/>
  <c r="R270" i="6" s="1"/>
  <c r="R259" i="6"/>
  <c r="R260" i="6" s="1"/>
  <c r="P246" i="6"/>
  <c r="P247" i="6"/>
  <c r="P248" i="6" s="1"/>
  <c r="T50" i="6"/>
  <c r="T63" i="6"/>
  <c r="T53" i="6"/>
  <c r="T56" i="6"/>
  <c r="T68" i="6"/>
  <c r="T73" i="6" s="1"/>
  <c r="T61" i="6"/>
  <c r="T66" i="6"/>
  <c r="T59" i="6"/>
  <c r="T51" i="6"/>
  <c r="T71" i="6"/>
  <c r="T64" i="6"/>
  <c r="T57" i="6"/>
  <c r="T62" i="6"/>
  <c r="T65" i="6"/>
  <c r="T67" i="6"/>
  <c r="T55" i="6"/>
  <c r="T58" i="6"/>
  <c r="T52" i="6"/>
  <c r="T49" i="6"/>
  <c r="T54" i="6"/>
  <c r="T60" i="6"/>
  <c r="T72" i="6"/>
  <c r="Q271" i="6"/>
  <c r="Q272" i="6"/>
  <c r="Q273" i="6" s="1"/>
  <c r="S181" i="6"/>
  <c r="D76" i="2"/>
  <c r="F76" i="2"/>
  <c r="G92" i="2"/>
  <c r="J107" i="2"/>
  <c r="F90" i="2"/>
  <c r="H105" i="2"/>
  <c r="H91" i="2"/>
  <c r="L106" i="2"/>
  <c r="D39" i="2"/>
  <c r="D40" i="2" s="1"/>
  <c r="R345" i="6"/>
  <c r="S237" i="6"/>
  <c r="F78" i="2"/>
  <c r="D78" i="2"/>
  <c r="F85" i="2"/>
  <c r="H100" i="2"/>
  <c r="S69" i="6"/>
  <c r="F72" i="2"/>
  <c r="D72" i="2"/>
  <c r="F88" i="2"/>
  <c r="H103" i="2"/>
  <c r="Q245" i="6"/>
  <c r="R280" i="6"/>
  <c r="L103" i="2"/>
  <c r="H88" i="2"/>
  <c r="Q266" i="6"/>
  <c r="Q267" i="6"/>
  <c r="Q268" i="6" s="1"/>
  <c r="L100" i="2"/>
  <c r="H85" i="2"/>
  <c r="T256" i="6"/>
  <c r="T257" i="6"/>
  <c r="T258" i="6" s="1"/>
  <c r="T90" i="6"/>
  <c r="T91" i="6"/>
  <c r="T99" i="6"/>
  <c r="T92" i="6"/>
  <c r="T94" i="6"/>
  <c r="T86" i="6"/>
  <c r="T79" i="6"/>
  <c r="T93" i="6"/>
  <c r="T84" i="6"/>
  <c r="T77" i="6"/>
  <c r="T100" i="6"/>
  <c r="T89" i="6"/>
  <c r="T82" i="6"/>
  <c r="T87" i="6"/>
  <c r="T80" i="6"/>
  <c r="T85" i="6"/>
  <c r="T88" i="6"/>
  <c r="T98" i="6" s="1"/>
  <c r="T96" i="6"/>
  <c r="T101" i="6" s="1"/>
  <c r="T78" i="6"/>
  <c r="T81" i="6"/>
  <c r="T83" i="6"/>
  <c r="T95" i="6"/>
  <c r="S126" i="6"/>
  <c r="G74" i="2"/>
  <c r="E74" i="2"/>
  <c r="R277" i="6" l="1"/>
  <c r="R278" i="6" s="1"/>
  <c r="R276" i="6"/>
  <c r="R314" i="6"/>
  <c r="R315" i="6"/>
  <c r="R316" i="6" s="1"/>
  <c r="U63" i="6"/>
  <c r="U53" i="6"/>
  <c r="U56" i="6"/>
  <c r="U68" i="6"/>
  <c r="U73" i="6" s="1"/>
  <c r="U61" i="6"/>
  <c r="U66" i="6"/>
  <c r="U59" i="6"/>
  <c r="U51" i="6"/>
  <c r="U54" i="6"/>
  <c r="U62" i="6"/>
  <c r="U49" i="6"/>
  <c r="U71" i="6"/>
  <c r="U65" i="6"/>
  <c r="U50" i="6"/>
  <c r="U67" i="6"/>
  <c r="U55" i="6"/>
  <c r="U64" i="6"/>
  <c r="U58" i="6"/>
  <c r="U52" i="6"/>
  <c r="U60" i="6"/>
  <c r="U70" i="6" s="1"/>
  <c r="U72" i="6"/>
  <c r="U57" i="6"/>
  <c r="U148" i="6"/>
  <c r="U149" i="6"/>
  <c r="U140" i="6"/>
  <c r="U139" i="6"/>
  <c r="U138" i="6"/>
  <c r="U137" i="6"/>
  <c r="U136" i="6"/>
  <c r="U135" i="6"/>
  <c r="U134" i="6"/>
  <c r="U133" i="6"/>
  <c r="U145" i="6"/>
  <c r="U146" i="6"/>
  <c r="U143" i="6"/>
  <c r="U155" i="6"/>
  <c r="U152" i="6"/>
  <c r="U157" i="6" s="1"/>
  <c r="U147" i="6"/>
  <c r="U144" i="6"/>
  <c r="U141" i="6"/>
  <c r="U156" i="6"/>
  <c r="U151" i="6"/>
  <c r="U150" i="6"/>
  <c r="U142" i="6"/>
  <c r="T153" i="6"/>
  <c r="R266" i="6"/>
  <c r="R267" i="6"/>
  <c r="R268" i="6" s="1"/>
  <c r="T69" i="6"/>
  <c r="D94" i="2"/>
  <c r="U128" i="6"/>
  <c r="U127" i="6"/>
  <c r="U124" i="6"/>
  <c r="U129" i="6" s="1"/>
  <c r="U123" i="6"/>
  <c r="U122" i="6"/>
  <c r="U121" i="6"/>
  <c r="U120" i="6"/>
  <c r="U110" i="6"/>
  <c r="U119" i="6"/>
  <c r="U111" i="6"/>
  <c r="U112" i="6"/>
  <c r="U113" i="6"/>
  <c r="U115" i="6"/>
  <c r="U105" i="6"/>
  <c r="U117" i="6"/>
  <c r="U108" i="6"/>
  <c r="U109" i="6"/>
  <c r="U114" i="6"/>
  <c r="U106" i="6"/>
  <c r="U116" i="6"/>
  <c r="U118" i="6"/>
  <c r="U107" i="6"/>
  <c r="U176" i="6"/>
  <c r="U178" i="6"/>
  <c r="U169" i="6"/>
  <c r="U162" i="6"/>
  <c r="U172" i="6"/>
  <c r="U165" i="6"/>
  <c r="U175" i="6"/>
  <c r="U168" i="6"/>
  <c r="U161" i="6"/>
  <c r="U179" i="6"/>
  <c r="U164" i="6"/>
  <c r="U181" i="6" s="1"/>
  <c r="U184" i="6"/>
  <c r="U174" i="6"/>
  <c r="U177" i="6"/>
  <c r="U167" i="6"/>
  <c r="U183" i="6"/>
  <c r="U173" i="6"/>
  <c r="U180" i="6"/>
  <c r="U185" i="6" s="1"/>
  <c r="U166" i="6"/>
  <c r="U163" i="6"/>
  <c r="U171" i="6"/>
  <c r="U170" i="6"/>
  <c r="S255" i="6"/>
  <c r="D87" i="2"/>
  <c r="D102" i="2"/>
  <c r="U212" i="6"/>
  <c r="U211" i="6"/>
  <c r="U208" i="6"/>
  <c r="U213" i="6" s="1"/>
  <c r="U207" i="6"/>
  <c r="U206" i="6"/>
  <c r="U205" i="6"/>
  <c r="U204" i="6"/>
  <c r="U203" i="6"/>
  <c r="U202" i="6"/>
  <c r="U201" i="6"/>
  <c r="U200" i="6"/>
  <c r="U210" i="6" s="1"/>
  <c r="U199" i="6"/>
  <c r="U198" i="6"/>
  <c r="U197" i="6"/>
  <c r="U196" i="6"/>
  <c r="U195" i="6"/>
  <c r="U194" i="6"/>
  <c r="U193" i="6"/>
  <c r="U192" i="6"/>
  <c r="U191" i="6"/>
  <c r="U189" i="6"/>
  <c r="U190" i="6"/>
  <c r="D86" i="2"/>
  <c r="D101" i="2"/>
  <c r="E88" i="2"/>
  <c r="F103" i="2"/>
  <c r="G33" i="2"/>
  <c r="G28" i="2"/>
  <c r="G29" i="2" s="1"/>
  <c r="S275" i="6"/>
  <c r="D91" i="2"/>
  <c r="D106" i="2"/>
  <c r="T307" i="6"/>
  <c r="E85" i="2"/>
  <c r="F100" i="2"/>
  <c r="U240" i="6"/>
  <c r="U239" i="6"/>
  <c r="U236" i="6"/>
  <c r="U241" i="6" s="1"/>
  <c r="U235" i="6"/>
  <c r="U234" i="6"/>
  <c r="U233" i="6"/>
  <c r="U232" i="6"/>
  <c r="U231" i="6"/>
  <c r="U230" i="6"/>
  <c r="U229" i="6"/>
  <c r="U228" i="6"/>
  <c r="U238" i="6" s="1"/>
  <c r="U227" i="6"/>
  <c r="U226" i="6"/>
  <c r="U225" i="6"/>
  <c r="U224" i="6"/>
  <c r="U223" i="6"/>
  <c r="U222" i="6"/>
  <c r="U221" i="6"/>
  <c r="U220" i="6"/>
  <c r="U219" i="6"/>
  <c r="U218" i="6"/>
  <c r="U217" i="6"/>
  <c r="E89" i="2"/>
  <c r="F104" i="2"/>
  <c r="R282" i="6"/>
  <c r="R283" i="6" s="1"/>
  <c r="R281" i="6"/>
  <c r="R251" i="6"/>
  <c r="R252" i="6"/>
  <c r="R253" i="6" s="1"/>
  <c r="E92" i="2"/>
  <c r="F107" i="2"/>
  <c r="Q246" i="6"/>
  <c r="Q247" i="6"/>
  <c r="Q248" i="6" s="1"/>
  <c r="U257" i="6"/>
  <c r="U258" i="6" s="1"/>
  <c r="U256" i="6"/>
  <c r="U91" i="6"/>
  <c r="U99" i="6"/>
  <c r="U92" i="6"/>
  <c r="U100" i="6"/>
  <c r="U93" i="6"/>
  <c r="U86" i="6"/>
  <c r="U79" i="6"/>
  <c r="U84" i="6"/>
  <c r="U77" i="6"/>
  <c r="U89" i="6"/>
  <c r="U82" i="6"/>
  <c r="U96" i="6"/>
  <c r="U101" i="6" s="1"/>
  <c r="U94" i="6"/>
  <c r="U85" i="6"/>
  <c r="U78" i="6"/>
  <c r="U88" i="6"/>
  <c r="U90" i="6"/>
  <c r="U87" i="6"/>
  <c r="U81" i="6"/>
  <c r="U80" i="6"/>
  <c r="U83" i="6"/>
  <c r="U95" i="6"/>
  <c r="T154" i="6"/>
  <c r="T237" i="6"/>
  <c r="T308" i="6"/>
  <c r="D90" i="2"/>
  <c r="D105" i="2"/>
  <c r="O87" i="2"/>
  <c r="E10" i="4"/>
  <c r="E86" i="2"/>
  <c r="F101" i="2"/>
  <c r="S344" i="6"/>
  <c r="I94" i="2" s="1"/>
  <c r="S249" i="6"/>
  <c r="I86" i="2" s="1"/>
  <c r="S312" i="6"/>
  <c r="I93" i="2" s="1"/>
  <c r="S259" i="6"/>
  <c r="I88" i="2" s="1"/>
  <c r="S254" i="6"/>
  <c r="I87" i="2" s="1"/>
  <c r="S279" i="6"/>
  <c r="I92" i="2" s="1"/>
  <c r="S269" i="6"/>
  <c r="I90" i="2" s="1"/>
  <c r="S274" i="6"/>
  <c r="I91" i="2" s="1"/>
  <c r="S264" i="6"/>
  <c r="I89" i="2" s="1"/>
  <c r="S244" i="6"/>
  <c r="C123" i="2"/>
  <c r="D123" i="2" s="1"/>
  <c r="D89" i="2"/>
  <c r="C120" i="2"/>
  <c r="D120" i="2" s="1"/>
  <c r="C119" i="2"/>
  <c r="D119" i="2" s="1"/>
  <c r="C116" i="2"/>
  <c r="D116" i="2" s="1"/>
  <c r="C117" i="2"/>
  <c r="D117" i="2" s="1"/>
  <c r="C121" i="2"/>
  <c r="D121" i="2" s="1"/>
  <c r="C115" i="2"/>
  <c r="D115" i="2" s="1"/>
  <c r="C122" i="2"/>
  <c r="D122" i="2" s="1"/>
  <c r="C118" i="2"/>
  <c r="D118" i="2" s="1"/>
  <c r="D104" i="2"/>
  <c r="C124" i="2"/>
  <c r="D124" i="2" s="1"/>
  <c r="T340" i="6"/>
  <c r="U310" i="6"/>
  <c r="U309" i="6"/>
  <c r="U306" i="6"/>
  <c r="U311" i="6" s="1"/>
  <c r="U305" i="6"/>
  <c r="U304" i="6"/>
  <c r="U303" i="6"/>
  <c r="U302" i="6"/>
  <c r="U301" i="6"/>
  <c r="U300" i="6"/>
  <c r="U299" i="6"/>
  <c r="U298" i="6"/>
  <c r="U297" i="6"/>
  <c r="U296" i="6"/>
  <c r="U295" i="6"/>
  <c r="U294" i="6"/>
  <c r="U293" i="6"/>
  <c r="U292" i="6"/>
  <c r="U291" i="6"/>
  <c r="U290" i="6"/>
  <c r="U289" i="6"/>
  <c r="U288" i="6"/>
  <c r="U287" i="6"/>
  <c r="E87" i="2"/>
  <c r="F102" i="2"/>
  <c r="E91" i="2"/>
  <c r="F106" i="2"/>
  <c r="T97" i="6"/>
  <c r="R245" i="6"/>
  <c r="T209" i="6"/>
  <c r="R261" i="6"/>
  <c r="R262" i="6"/>
  <c r="R263" i="6" s="1"/>
  <c r="U342" i="6"/>
  <c r="U341" i="6"/>
  <c r="U338" i="6"/>
  <c r="U343" i="6" s="1"/>
  <c r="U337" i="6"/>
  <c r="U336" i="6"/>
  <c r="U335" i="6"/>
  <c r="U334" i="6"/>
  <c r="U333" i="6"/>
  <c r="U332" i="6"/>
  <c r="U331" i="6"/>
  <c r="U330" i="6"/>
  <c r="U329" i="6"/>
  <c r="U328" i="6"/>
  <c r="U327" i="6"/>
  <c r="U326" i="6"/>
  <c r="U325" i="6"/>
  <c r="U324" i="6"/>
  <c r="U323" i="6"/>
  <c r="U322" i="6"/>
  <c r="U339" i="6" s="1"/>
  <c r="U321" i="6"/>
  <c r="U320" i="6"/>
  <c r="U319" i="6"/>
  <c r="T125" i="6"/>
  <c r="R272" i="6"/>
  <c r="R273" i="6" s="1"/>
  <c r="R271" i="6"/>
  <c r="D103" i="2"/>
  <c r="D88" i="2"/>
  <c r="T182" i="6"/>
  <c r="V318" i="6"/>
  <c r="V286" i="6"/>
  <c r="V188" i="6"/>
  <c r="V132" i="6"/>
  <c r="V160" i="6"/>
  <c r="V104" i="6"/>
  <c r="V48" i="6"/>
  <c r="V216" i="6"/>
  <c r="V76" i="6"/>
  <c r="W7" i="6"/>
  <c r="V20" i="6"/>
  <c r="D93" i="2"/>
  <c r="S245" i="6"/>
  <c r="D85" i="2"/>
  <c r="D100" i="2"/>
  <c r="T42" i="6"/>
  <c r="T181" i="6"/>
  <c r="S280" i="6"/>
  <c r="D92" i="2"/>
  <c r="D107" i="2"/>
  <c r="R347" i="6"/>
  <c r="R348" i="6" s="1"/>
  <c r="R346" i="6"/>
  <c r="T70" i="6"/>
  <c r="T41" i="6"/>
  <c r="E90" i="2"/>
  <c r="F105" i="2"/>
  <c r="F39" i="2"/>
  <c r="F40" i="2" s="1"/>
  <c r="U37" i="6"/>
  <c r="U23" i="6"/>
  <c r="U40" i="6"/>
  <c r="U45" i="6" s="1"/>
  <c r="U26" i="6"/>
  <c r="U43" i="6"/>
  <c r="U29" i="6"/>
  <c r="U32" i="6"/>
  <c r="U35" i="6"/>
  <c r="U21" i="6"/>
  <c r="U38" i="6"/>
  <c r="U24" i="6"/>
  <c r="U44" i="6"/>
  <c r="U30" i="6"/>
  <c r="U33" i="6"/>
  <c r="U34" i="6"/>
  <c r="U39" i="6"/>
  <c r="U31" i="6"/>
  <c r="U28" i="6"/>
  <c r="U25" i="6"/>
  <c r="U36" i="6"/>
  <c r="U22" i="6"/>
  <c r="U27" i="6"/>
  <c r="T210" i="6"/>
  <c r="R247" i="6" l="1"/>
  <c r="R248" i="6" s="1"/>
  <c r="R246" i="6"/>
  <c r="V257" i="6"/>
  <c r="V258" i="6" s="1"/>
  <c r="V256" i="6"/>
  <c r="V99" i="6"/>
  <c r="V92" i="6"/>
  <c r="V100" i="6"/>
  <c r="V93" i="6"/>
  <c r="V95" i="6"/>
  <c r="V84" i="6"/>
  <c r="V77" i="6"/>
  <c r="V91" i="6"/>
  <c r="V89" i="6"/>
  <c r="V82" i="6"/>
  <c r="V96" i="6"/>
  <c r="V101" i="6" s="1"/>
  <c r="V87" i="6"/>
  <c r="V80" i="6"/>
  <c r="V85" i="6"/>
  <c r="V78" i="6"/>
  <c r="V94" i="6"/>
  <c r="V88" i="6"/>
  <c r="V79" i="6"/>
  <c r="V90" i="6"/>
  <c r="V81" i="6"/>
  <c r="V83" i="6"/>
  <c r="V86" i="6"/>
  <c r="I85" i="2"/>
  <c r="S313" i="6"/>
  <c r="U97" i="6"/>
  <c r="U126" i="6"/>
  <c r="V40" i="6"/>
  <c r="V45" i="6" s="1"/>
  <c r="V26" i="6"/>
  <c r="V43" i="6"/>
  <c r="V29" i="6"/>
  <c r="V32" i="6"/>
  <c r="V35" i="6"/>
  <c r="V21" i="6"/>
  <c r="V38" i="6"/>
  <c r="V24" i="6"/>
  <c r="V27" i="6"/>
  <c r="V33" i="6"/>
  <c r="V36" i="6"/>
  <c r="V22" i="6"/>
  <c r="V37" i="6"/>
  <c r="V23" i="6"/>
  <c r="V34" i="6"/>
  <c r="V39" i="6"/>
  <c r="V31" i="6"/>
  <c r="V28" i="6"/>
  <c r="V25" i="6"/>
  <c r="V44" i="6"/>
  <c r="V30" i="6"/>
  <c r="S250" i="6"/>
  <c r="U153" i="6"/>
  <c r="U209" i="6"/>
  <c r="U182" i="6"/>
  <c r="U154" i="6"/>
  <c r="V342" i="6"/>
  <c r="V341" i="6"/>
  <c r="V338" i="6"/>
  <c r="V343" i="6" s="1"/>
  <c r="V337" i="6"/>
  <c r="V336" i="6"/>
  <c r="V335" i="6"/>
  <c r="V334" i="6"/>
  <c r="V333" i="6"/>
  <c r="V332" i="6"/>
  <c r="V331" i="6"/>
  <c r="V330" i="6"/>
  <c r="V340" i="6" s="1"/>
  <c r="V329" i="6"/>
  <c r="V328" i="6"/>
  <c r="V327" i="6"/>
  <c r="V326" i="6"/>
  <c r="V325" i="6"/>
  <c r="V324" i="6"/>
  <c r="V323" i="6"/>
  <c r="V322" i="6"/>
  <c r="V321" i="6"/>
  <c r="V320" i="6"/>
  <c r="V319" i="6"/>
  <c r="W318" i="6"/>
  <c r="W286" i="6"/>
  <c r="W216" i="6"/>
  <c r="W188" i="6"/>
  <c r="W132" i="6"/>
  <c r="W104" i="6"/>
  <c r="W160" i="6"/>
  <c r="W48" i="6"/>
  <c r="W76" i="6"/>
  <c r="W20" i="6"/>
  <c r="X7" i="6"/>
  <c r="S260" i="6"/>
  <c r="U308" i="6"/>
  <c r="S282" i="6"/>
  <c r="S281" i="6"/>
  <c r="S265" i="6"/>
  <c r="T270" i="6"/>
  <c r="V119" i="6"/>
  <c r="V111" i="6"/>
  <c r="V124" i="6"/>
  <c r="V129" i="6" s="1"/>
  <c r="V112" i="6"/>
  <c r="V113" i="6"/>
  <c r="V120" i="6"/>
  <c r="V114" i="6"/>
  <c r="V116" i="6"/>
  <c r="V110" i="6"/>
  <c r="V128" i="6"/>
  <c r="V117" i="6"/>
  <c r="V108" i="6"/>
  <c r="V115" i="6"/>
  <c r="V121" i="6"/>
  <c r="V106" i="6"/>
  <c r="V123" i="6"/>
  <c r="V109" i="6"/>
  <c r="V122" i="6"/>
  <c r="V127" i="6"/>
  <c r="V118" i="6"/>
  <c r="V105" i="6"/>
  <c r="V107" i="6"/>
  <c r="T245" i="6"/>
  <c r="T254" i="6"/>
  <c r="T255" i="6" s="1"/>
  <c r="T312" i="6"/>
  <c r="T313" i="6" s="1"/>
  <c r="T259" i="6"/>
  <c r="T260" i="6" s="1"/>
  <c r="T264" i="6"/>
  <c r="T244" i="6"/>
  <c r="T269" i="6"/>
  <c r="T265" i="6"/>
  <c r="T279" i="6"/>
  <c r="T274" i="6"/>
  <c r="T344" i="6"/>
  <c r="T345" i="6" s="1"/>
  <c r="T249" i="6"/>
  <c r="V184" i="6"/>
  <c r="V183" i="6"/>
  <c r="V180" i="6"/>
  <c r="V185" i="6" s="1"/>
  <c r="V179" i="6"/>
  <c r="V178" i="6"/>
  <c r="V177" i="6"/>
  <c r="V176" i="6"/>
  <c r="V175" i="6"/>
  <c r="V170" i="6"/>
  <c r="V163" i="6"/>
  <c r="V168" i="6"/>
  <c r="V161" i="6"/>
  <c r="V174" i="6"/>
  <c r="V169" i="6"/>
  <c r="V172" i="6"/>
  <c r="V182" i="6" s="1"/>
  <c r="V167" i="6"/>
  <c r="V162" i="6"/>
  <c r="V173" i="6"/>
  <c r="V166" i="6"/>
  <c r="V171" i="6"/>
  <c r="V165" i="6"/>
  <c r="V164" i="6"/>
  <c r="H10" i="4"/>
  <c r="G10" i="4"/>
  <c r="U98" i="6"/>
  <c r="S270" i="6"/>
  <c r="S276" i="6"/>
  <c r="S277" i="6"/>
  <c r="V149" i="6"/>
  <c r="V150" i="6"/>
  <c r="V155" i="6"/>
  <c r="V141" i="6"/>
  <c r="V146" i="6"/>
  <c r="V147" i="6"/>
  <c r="V135" i="6"/>
  <c r="V143" i="6"/>
  <c r="V140" i="6"/>
  <c r="V152" i="6"/>
  <c r="V157" i="6" s="1"/>
  <c r="V136" i="6"/>
  <c r="V144" i="6"/>
  <c r="V156" i="6"/>
  <c r="V133" i="6"/>
  <c r="V151" i="6"/>
  <c r="V138" i="6"/>
  <c r="V134" i="6"/>
  <c r="V145" i="6"/>
  <c r="V142" i="6"/>
  <c r="V137" i="6"/>
  <c r="V139" i="6"/>
  <c r="V148" i="6"/>
  <c r="H33" i="2"/>
  <c r="H28" i="2"/>
  <c r="H29" i="2" s="1"/>
  <c r="U237" i="6"/>
  <c r="G37" i="2"/>
  <c r="G38" i="2"/>
  <c r="G34" i="2"/>
  <c r="G35" i="2"/>
  <c r="U42" i="6"/>
  <c r="V230" i="6"/>
  <c r="V224" i="6"/>
  <c r="V228" i="6"/>
  <c r="V219" i="6"/>
  <c r="V239" i="6"/>
  <c r="V225" i="6"/>
  <c r="V233" i="6"/>
  <c r="V226" i="6"/>
  <c r="V234" i="6"/>
  <c r="V231" i="6"/>
  <c r="V218" i="6"/>
  <c r="V235" i="6"/>
  <c r="V227" i="6"/>
  <c r="V240" i="6"/>
  <c r="V232" i="6"/>
  <c r="V236" i="6"/>
  <c r="V241" i="6" s="1"/>
  <c r="V217" i="6"/>
  <c r="V229" i="6"/>
  <c r="V223" i="6"/>
  <c r="V222" i="6"/>
  <c r="V221" i="6"/>
  <c r="V220" i="6"/>
  <c r="U125" i="6"/>
  <c r="V56" i="6"/>
  <c r="V68" i="6"/>
  <c r="V73" i="6" s="1"/>
  <c r="V61" i="6"/>
  <c r="V66" i="6"/>
  <c r="V59" i="6"/>
  <c r="V51" i="6"/>
  <c r="V54" i="6"/>
  <c r="V71" i="6"/>
  <c r="V64" i="6"/>
  <c r="V57" i="6"/>
  <c r="V62" i="6"/>
  <c r="V49" i="6"/>
  <c r="V52" i="6"/>
  <c r="V65" i="6"/>
  <c r="V53" i="6"/>
  <c r="V50" i="6"/>
  <c r="V67" i="6"/>
  <c r="V55" i="6"/>
  <c r="V58" i="6"/>
  <c r="V60" i="6"/>
  <c r="V63" i="6"/>
  <c r="V72" i="6"/>
  <c r="U340" i="6"/>
  <c r="V190" i="6"/>
  <c r="V189" i="6"/>
  <c r="V212" i="6"/>
  <c r="V207" i="6"/>
  <c r="V197" i="6"/>
  <c r="V192" i="6"/>
  <c r="V201" i="6"/>
  <c r="V206" i="6"/>
  <c r="V193" i="6"/>
  <c r="V194" i="6"/>
  <c r="V208" i="6"/>
  <c r="V213" i="6" s="1"/>
  <c r="V195" i="6"/>
  <c r="V205" i="6"/>
  <c r="V198" i="6"/>
  <c r="V196" i="6"/>
  <c r="V200" i="6"/>
  <c r="V202" i="6"/>
  <c r="V199" i="6"/>
  <c r="V211" i="6"/>
  <c r="V191" i="6"/>
  <c r="V204" i="6"/>
  <c r="V203" i="6"/>
  <c r="T275" i="6"/>
  <c r="G36" i="2"/>
  <c r="S345" i="6"/>
  <c r="S246" i="6"/>
  <c r="S247" i="6"/>
  <c r="U69" i="6"/>
  <c r="U41" i="6"/>
  <c r="V310" i="6"/>
  <c r="V309" i="6"/>
  <c r="V306" i="6"/>
  <c r="V311" i="6" s="1"/>
  <c r="V305" i="6"/>
  <c r="V304" i="6"/>
  <c r="V303" i="6"/>
  <c r="V302" i="6"/>
  <c r="V301" i="6"/>
  <c r="V300" i="6"/>
  <c r="V299" i="6"/>
  <c r="V298" i="6"/>
  <c r="V297" i="6"/>
  <c r="V296" i="6"/>
  <c r="V295" i="6"/>
  <c r="V294" i="6"/>
  <c r="V293" i="6"/>
  <c r="V292" i="6"/>
  <c r="V291" i="6"/>
  <c r="V290" i="6"/>
  <c r="V289" i="6"/>
  <c r="V288" i="6"/>
  <c r="V287" i="6"/>
  <c r="U307" i="6"/>
  <c r="T280" i="6"/>
  <c r="T250" i="6"/>
  <c r="T262" i="6" l="1"/>
  <c r="T263" i="6" s="1"/>
  <c r="T261" i="6"/>
  <c r="T315" i="6"/>
  <c r="T316" i="6" s="1"/>
  <c r="T314" i="6"/>
  <c r="T347" i="6"/>
  <c r="T348" i="6" s="1"/>
  <c r="T346" i="6"/>
  <c r="S347" i="6"/>
  <c r="S346" i="6"/>
  <c r="K94" i="2" s="1"/>
  <c r="V237" i="6"/>
  <c r="V307" i="6"/>
  <c r="H34" i="2"/>
  <c r="H35" i="2"/>
  <c r="H38" i="2"/>
  <c r="H37" i="2"/>
  <c r="V153" i="6"/>
  <c r="K91" i="2"/>
  <c r="F14" i="4" s="1"/>
  <c r="M106" i="2"/>
  <c r="O106" i="2" s="1"/>
  <c r="W124" i="6"/>
  <c r="W129" i="6" s="1"/>
  <c r="W112" i="6"/>
  <c r="W113" i="6"/>
  <c r="W120" i="6"/>
  <c r="W114" i="6"/>
  <c r="W116" i="6"/>
  <c r="W122" i="6"/>
  <c r="W128" i="6"/>
  <c r="W117" i="6"/>
  <c r="W108" i="6"/>
  <c r="W115" i="6"/>
  <c r="W121" i="6"/>
  <c r="W119" i="6"/>
  <c r="W106" i="6"/>
  <c r="W109" i="6"/>
  <c r="W111" i="6"/>
  <c r="W118" i="6"/>
  <c r="W110" i="6"/>
  <c r="W105" i="6"/>
  <c r="W107" i="6"/>
  <c r="W123" i="6"/>
  <c r="W127" i="6"/>
  <c r="T276" i="6"/>
  <c r="T277" i="6"/>
  <c r="T278" i="6" s="1"/>
  <c r="H36" i="2"/>
  <c r="S271" i="6"/>
  <c r="S272" i="6"/>
  <c r="W150" i="6"/>
  <c r="W151" i="6"/>
  <c r="W156" i="6"/>
  <c r="W142" i="6"/>
  <c r="W147" i="6"/>
  <c r="W148" i="6"/>
  <c r="W143" i="6"/>
  <c r="W140" i="6"/>
  <c r="W155" i="6"/>
  <c r="W152" i="6"/>
  <c r="W157" i="6" s="1"/>
  <c r="W146" i="6"/>
  <c r="W136" i="6"/>
  <c r="W149" i="6"/>
  <c r="W141" i="6"/>
  <c r="W133" i="6"/>
  <c r="W138" i="6"/>
  <c r="W134" i="6"/>
  <c r="W144" i="6"/>
  <c r="W154" i="6" s="1"/>
  <c r="W139" i="6"/>
  <c r="W137" i="6"/>
  <c r="W145" i="6"/>
  <c r="W135" i="6"/>
  <c r="K92" i="2"/>
  <c r="F15" i="4" s="1"/>
  <c r="M107" i="2"/>
  <c r="O107" i="2" s="1"/>
  <c r="W342" i="6"/>
  <c r="W341" i="6"/>
  <c r="W338" i="6"/>
  <c r="W343" i="6" s="1"/>
  <c r="W337" i="6"/>
  <c r="W336" i="6"/>
  <c r="W335" i="6"/>
  <c r="W334" i="6"/>
  <c r="W333" i="6"/>
  <c r="W332" i="6"/>
  <c r="W331" i="6"/>
  <c r="W330" i="6"/>
  <c r="W329" i="6"/>
  <c r="W328" i="6"/>
  <c r="W327" i="6"/>
  <c r="W326" i="6"/>
  <c r="W325" i="6"/>
  <c r="W324" i="6"/>
  <c r="W323" i="6"/>
  <c r="W322" i="6"/>
  <c r="W339" i="6" s="1"/>
  <c r="W321" i="6"/>
  <c r="W320" i="6"/>
  <c r="W319" i="6"/>
  <c r="S283" i="6"/>
  <c r="C51" i="2" s="1"/>
  <c r="L92" i="2"/>
  <c r="V98" i="6"/>
  <c r="U344" i="6"/>
  <c r="U345" i="6" s="1"/>
  <c r="U312" i="6"/>
  <c r="U279" i="6"/>
  <c r="U274" i="6"/>
  <c r="U275" i="6" s="1"/>
  <c r="U269" i="6"/>
  <c r="U270" i="6" s="1"/>
  <c r="U264" i="6"/>
  <c r="U265" i="6" s="1"/>
  <c r="U259" i="6"/>
  <c r="U260" i="6" s="1"/>
  <c r="U254" i="6"/>
  <c r="U249" i="6"/>
  <c r="U244" i="6"/>
  <c r="U255" i="6"/>
  <c r="S262" i="6"/>
  <c r="S261" i="6"/>
  <c r="S251" i="6"/>
  <c r="S252" i="6"/>
  <c r="S314" i="6"/>
  <c r="K93" i="2" s="1"/>
  <c r="S315" i="6"/>
  <c r="V125" i="6"/>
  <c r="T271" i="6"/>
  <c r="T272" i="6"/>
  <c r="T273" i="6" s="1"/>
  <c r="S266" i="6"/>
  <c r="S267" i="6"/>
  <c r="U245" i="6"/>
  <c r="V126" i="6"/>
  <c r="T281" i="6"/>
  <c r="T282" i="6"/>
  <c r="T283" i="6" s="1"/>
  <c r="U313" i="6"/>
  <c r="V210" i="6"/>
  <c r="X318" i="6"/>
  <c r="X286" i="6"/>
  <c r="X216" i="6"/>
  <c r="X132" i="6"/>
  <c r="X160" i="6"/>
  <c r="X188" i="6"/>
  <c r="X104" i="6"/>
  <c r="X76" i="6"/>
  <c r="X48" i="6"/>
  <c r="X20" i="6"/>
  <c r="V339" i="6"/>
  <c r="V41" i="6"/>
  <c r="W212" i="6"/>
  <c r="W205" i="6"/>
  <c r="W198" i="6"/>
  <c r="W191" i="6"/>
  <c r="W207" i="6"/>
  <c r="W202" i="6"/>
  <c r="W208" i="6"/>
  <c r="W213" i="6" s="1"/>
  <c r="W211" i="6"/>
  <c r="W206" i="6"/>
  <c r="W201" i="6"/>
  <c r="W190" i="6"/>
  <c r="W193" i="6"/>
  <c r="W189" i="6"/>
  <c r="W204" i="6"/>
  <c r="W199" i="6"/>
  <c r="W197" i="6"/>
  <c r="W195" i="6"/>
  <c r="W192" i="6"/>
  <c r="W209" i="6" s="1"/>
  <c r="W200" i="6"/>
  <c r="W194" i="6"/>
  <c r="W196" i="6"/>
  <c r="W203" i="6"/>
  <c r="V70" i="6"/>
  <c r="W235" i="6"/>
  <c r="W228" i="6"/>
  <c r="W221" i="6"/>
  <c r="W236" i="6"/>
  <c r="W241" i="6" s="1"/>
  <c r="W229" i="6"/>
  <c r="W219" i="6"/>
  <c r="W232" i="6"/>
  <c r="W220" i="6"/>
  <c r="W240" i="6"/>
  <c r="W224" i="6"/>
  <c r="W222" i="6"/>
  <c r="W230" i="6"/>
  <c r="W226" i="6"/>
  <c r="W217" i="6"/>
  <c r="W227" i="6"/>
  <c r="W231" i="6"/>
  <c r="W223" i="6"/>
  <c r="W218" i="6"/>
  <c r="W225" i="6"/>
  <c r="W233" i="6"/>
  <c r="W239" i="6"/>
  <c r="W234" i="6"/>
  <c r="W310" i="6"/>
  <c r="W309" i="6"/>
  <c r="W306" i="6"/>
  <c r="W311" i="6" s="1"/>
  <c r="W305" i="6"/>
  <c r="W304" i="6"/>
  <c r="W303" i="6"/>
  <c r="W302" i="6"/>
  <c r="W301" i="6"/>
  <c r="W300" i="6"/>
  <c r="W299" i="6"/>
  <c r="W298" i="6"/>
  <c r="W308" i="6" s="1"/>
  <c r="W297" i="6"/>
  <c r="W296" i="6"/>
  <c r="W295" i="6"/>
  <c r="W294" i="6"/>
  <c r="W293" i="6"/>
  <c r="W292" i="6"/>
  <c r="W291" i="6"/>
  <c r="W290" i="6"/>
  <c r="W289" i="6"/>
  <c r="W288" i="6"/>
  <c r="W287" i="6"/>
  <c r="V209" i="6"/>
  <c r="T252" i="6"/>
  <c r="T253" i="6" s="1"/>
  <c r="T251" i="6"/>
  <c r="V308" i="6"/>
  <c r="U250" i="6"/>
  <c r="S248" i="6"/>
  <c r="L85" i="2"/>
  <c r="V69" i="6"/>
  <c r="G39" i="2"/>
  <c r="G40" i="2" s="1"/>
  <c r="W43" i="6"/>
  <c r="W29" i="6"/>
  <c r="W32" i="6"/>
  <c r="W35" i="6"/>
  <c r="W21" i="6"/>
  <c r="W38" i="6"/>
  <c r="W24" i="6"/>
  <c r="W27" i="6"/>
  <c r="W44" i="6"/>
  <c r="W30" i="6"/>
  <c r="W36" i="6"/>
  <c r="W22" i="6"/>
  <c r="W39" i="6"/>
  <c r="W25" i="6"/>
  <c r="W40" i="6"/>
  <c r="W45" i="6" s="1"/>
  <c r="W37" i="6"/>
  <c r="W26" i="6"/>
  <c r="W23" i="6"/>
  <c r="W34" i="6"/>
  <c r="W31" i="6"/>
  <c r="W28" i="6"/>
  <c r="W33" i="6"/>
  <c r="V97" i="6"/>
  <c r="V238" i="6"/>
  <c r="T247" i="6"/>
  <c r="T248" i="6" s="1"/>
  <c r="T246" i="6"/>
  <c r="M100" i="2"/>
  <c r="O100" i="2" s="1"/>
  <c r="K85" i="2"/>
  <c r="F8" i="4" s="1"/>
  <c r="V181" i="6"/>
  <c r="T267" i="6"/>
  <c r="T268" i="6" s="1"/>
  <c r="T266" i="6"/>
  <c r="W256" i="6"/>
  <c r="W257" i="6"/>
  <c r="W258" i="6" s="1"/>
  <c r="W99" i="6"/>
  <c r="W92" i="6"/>
  <c r="W100" i="6"/>
  <c r="W93" i="6"/>
  <c r="W94" i="6"/>
  <c r="W84" i="6"/>
  <c r="W77" i="6"/>
  <c r="W91" i="6"/>
  <c r="W89" i="6"/>
  <c r="W82" i="6"/>
  <c r="W96" i="6"/>
  <c r="W101" i="6" s="1"/>
  <c r="W87" i="6"/>
  <c r="W80" i="6"/>
  <c r="W97" i="6" s="1"/>
  <c r="W83" i="6"/>
  <c r="W88" i="6"/>
  <c r="W85" i="6"/>
  <c r="W79" i="6"/>
  <c r="W90" i="6"/>
  <c r="W81" i="6"/>
  <c r="W78" i="6"/>
  <c r="W95" i="6"/>
  <c r="W86" i="6"/>
  <c r="W68" i="6"/>
  <c r="W73" i="6" s="1"/>
  <c r="W61" i="6"/>
  <c r="W66" i="6"/>
  <c r="W59" i="6"/>
  <c r="W51" i="6"/>
  <c r="W54" i="6"/>
  <c r="W71" i="6"/>
  <c r="W64" i="6"/>
  <c r="W57" i="6"/>
  <c r="W52" i="6"/>
  <c r="W67" i="6"/>
  <c r="W60" i="6"/>
  <c r="W70" i="6" s="1"/>
  <c r="W55" i="6"/>
  <c r="W65" i="6"/>
  <c r="W62" i="6"/>
  <c r="W56" i="6"/>
  <c r="W53" i="6"/>
  <c r="W50" i="6"/>
  <c r="W58" i="6"/>
  <c r="W49" i="6"/>
  <c r="W63" i="6"/>
  <c r="W72" i="6"/>
  <c r="I33" i="2"/>
  <c r="I28" i="2"/>
  <c r="I29" i="2" s="1"/>
  <c r="U280" i="6"/>
  <c r="V154" i="6"/>
  <c r="S278" i="6"/>
  <c r="C50" i="2" s="1"/>
  <c r="L91" i="2"/>
  <c r="W177" i="6"/>
  <c r="W179" i="6"/>
  <c r="W176" i="6"/>
  <c r="W170" i="6"/>
  <c r="W163" i="6"/>
  <c r="W183" i="6"/>
  <c r="W173" i="6"/>
  <c r="W166" i="6"/>
  <c r="W175" i="6"/>
  <c r="W169" i="6"/>
  <c r="W162" i="6"/>
  <c r="W184" i="6"/>
  <c r="W172" i="6"/>
  <c r="W167" i="6"/>
  <c r="W165" i="6"/>
  <c r="W178" i="6"/>
  <c r="W168" i="6"/>
  <c r="W180" i="6"/>
  <c r="W185" i="6" s="1"/>
  <c r="W161" i="6"/>
  <c r="W171" i="6"/>
  <c r="W174" i="6"/>
  <c r="W164" i="6"/>
  <c r="V42" i="6"/>
  <c r="U276" i="6" l="1"/>
  <c r="U277" i="6"/>
  <c r="U278" i="6" s="1"/>
  <c r="U346" i="6"/>
  <c r="U347" i="6"/>
  <c r="U348" i="6" s="1"/>
  <c r="U262" i="6"/>
  <c r="U263" i="6" s="1"/>
  <c r="U261" i="6"/>
  <c r="U271" i="6"/>
  <c r="U272" i="6"/>
  <c r="U273" i="6" s="1"/>
  <c r="U267" i="6"/>
  <c r="U268" i="6" s="1"/>
  <c r="U266" i="6"/>
  <c r="S348" i="6"/>
  <c r="L94" i="2"/>
  <c r="O94" i="2" s="1"/>
  <c r="X151" i="6"/>
  <c r="X152" i="6"/>
  <c r="X157" i="6" s="1"/>
  <c r="X143" i="6"/>
  <c r="X148" i="6"/>
  <c r="X149" i="6"/>
  <c r="X155" i="6"/>
  <c r="X146" i="6"/>
  <c r="X136" i="6"/>
  <c r="X141" i="6"/>
  <c r="X137" i="6"/>
  <c r="X156" i="6"/>
  <c r="X147" i="6"/>
  <c r="X138" i="6"/>
  <c r="X150" i="6"/>
  <c r="X142" i="6"/>
  <c r="X134" i="6"/>
  <c r="X140" i="6"/>
  <c r="X139" i="6"/>
  <c r="X133" i="6"/>
  <c r="X145" i="6"/>
  <c r="X135" i="6"/>
  <c r="X144" i="6"/>
  <c r="U281" i="6"/>
  <c r="U282" i="6"/>
  <c r="U283" i="6" s="1"/>
  <c r="I36" i="2"/>
  <c r="X342" i="6"/>
  <c r="X341" i="6"/>
  <c r="X338" i="6"/>
  <c r="X343" i="6" s="1"/>
  <c r="X337" i="6"/>
  <c r="X336" i="6"/>
  <c r="X335" i="6"/>
  <c r="X334" i="6"/>
  <c r="X333" i="6"/>
  <c r="X332" i="6"/>
  <c r="X331" i="6"/>
  <c r="X330" i="6"/>
  <c r="X329" i="6"/>
  <c r="X328" i="6"/>
  <c r="X327" i="6"/>
  <c r="X326" i="6"/>
  <c r="X325" i="6"/>
  <c r="X324" i="6"/>
  <c r="X323" i="6"/>
  <c r="X322" i="6"/>
  <c r="X321" i="6"/>
  <c r="X320" i="6"/>
  <c r="X319" i="6"/>
  <c r="S316" i="6"/>
  <c r="L93" i="2"/>
  <c r="O93" i="2" s="1"/>
  <c r="W238" i="6"/>
  <c r="I35" i="2"/>
  <c r="I34" i="2"/>
  <c r="I37" i="2"/>
  <c r="I38" i="2"/>
  <c r="X310" i="6"/>
  <c r="X309" i="6"/>
  <c r="X306" i="6"/>
  <c r="X311" i="6" s="1"/>
  <c r="X305" i="6"/>
  <c r="X304" i="6"/>
  <c r="X303" i="6"/>
  <c r="X302" i="6"/>
  <c r="X301" i="6"/>
  <c r="X300" i="6"/>
  <c r="X299" i="6"/>
  <c r="X298" i="6"/>
  <c r="X297" i="6"/>
  <c r="X296" i="6"/>
  <c r="X295" i="6"/>
  <c r="X294" i="6"/>
  <c r="X293" i="6"/>
  <c r="X292" i="6"/>
  <c r="X291" i="6"/>
  <c r="X290" i="6"/>
  <c r="X307" i="6" s="1"/>
  <c r="X289" i="6"/>
  <c r="X288" i="6"/>
  <c r="X287" i="6"/>
  <c r="W307" i="6"/>
  <c r="S253" i="6"/>
  <c r="C45" i="2" s="1"/>
  <c r="L86" i="2"/>
  <c r="W153" i="6"/>
  <c r="S273" i="6"/>
  <c r="C49" i="2" s="1"/>
  <c r="L90" i="2"/>
  <c r="M105" i="2"/>
  <c r="O105" i="2" s="1"/>
  <c r="K90" i="2"/>
  <c r="F13" i="4" s="1"/>
  <c r="M103" i="2"/>
  <c r="O103" i="2" s="1"/>
  <c r="K88" i="2"/>
  <c r="F11" i="4" s="1"/>
  <c r="X240" i="6"/>
  <c r="X239" i="6"/>
  <c r="X236" i="6"/>
  <c r="X241" i="6" s="1"/>
  <c r="X235" i="6"/>
  <c r="X234" i="6"/>
  <c r="X233" i="6"/>
  <c r="X232" i="6"/>
  <c r="X231" i="6"/>
  <c r="X230" i="6"/>
  <c r="X229" i="6"/>
  <c r="X228" i="6"/>
  <c r="X227" i="6"/>
  <c r="X226" i="6"/>
  <c r="X225" i="6"/>
  <c r="X224" i="6"/>
  <c r="X223" i="6"/>
  <c r="X222" i="6"/>
  <c r="X221" i="6"/>
  <c r="X220" i="6"/>
  <c r="X219" i="6"/>
  <c r="X218" i="6"/>
  <c r="X217" i="6"/>
  <c r="K33" i="2"/>
  <c r="K28" i="2"/>
  <c r="K29" i="2" s="1"/>
  <c r="X32" i="6"/>
  <c r="X35" i="6"/>
  <c r="X21" i="6"/>
  <c r="X38" i="6"/>
  <c r="X24" i="6"/>
  <c r="X27" i="6"/>
  <c r="X44" i="6"/>
  <c r="X30" i="6"/>
  <c r="X33" i="6"/>
  <c r="X39" i="6"/>
  <c r="X25" i="6"/>
  <c r="X28" i="6"/>
  <c r="X43" i="6"/>
  <c r="X40" i="6"/>
  <c r="X45" i="6" s="1"/>
  <c r="X37" i="6"/>
  <c r="X29" i="6"/>
  <c r="X26" i="6"/>
  <c r="X23" i="6"/>
  <c r="X34" i="6"/>
  <c r="X31" i="6"/>
  <c r="X36" i="6"/>
  <c r="X22" i="6"/>
  <c r="S263" i="6"/>
  <c r="C47" i="2" s="1"/>
  <c r="L88" i="2"/>
  <c r="O92" i="2"/>
  <c r="E15" i="4"/>
  <c r="W340" i="6"/>
  <c r="W125" i="6"/>
  <c r="V344" i="6"/>
  <c r="V345" i="6" s="1"/>
  <c r="V312" i="6"/>
  <c r="V313" i="6" s="1"/>
  <c r="V279" i="6"/>
  <c r="V280" i="6" s="1"/>
  <c r="V274" i="6"/>
  <c r="V275" i="6" s="1"/>
  <c r="V269" i="6"/>
  <c r="V264" i="6"/>
  <c r="V265" i="6" s="1"/>
  <c r="V259" i="6"/>
  <c r="V260" i="6" s="1"/>
  <c r="V254" i="6"/>
  <c r="V249" i="6"/>
  <c r="V250" i="6" s="1"/>
  <c r="V244" i="6"/>
  <c r="W181" i="6"/>
  <c r="V245" i="6"/>
  <c r="K86" i="2"/>
  <c r="F9" i="4" s="1"/>
  <c r="M101" i="2"/>
  <c r="O101" i="2" s="1"/>
  <c r="M104" i="2"/>
  <c r="O104" i="2" s="1"/>
  <c r="K89" i="2"/>
  <c r="F12" i="4" s="1"/>
  <c r="U314" i="6"/>
  <c r="U315" i="6"/>
  <c r="U316" i="6" s="1"/>
  <c r="X178" i="6"/>
  <c r="X180" i="6"/>
  <c r="X185" i="6" s="1"/>
  <c r="X183" i="6"/>
  <c r="X171" i="6"/>
  <c r="X164" i="6"/>
  <c r="X169" i="6"/>
  <c r="X162" i="6"/>
  <c r="X172" i="6"/>
  <c r="X177" i="6"/>
  <c r="X167" i="6"/>
  <c r="X165" i="6"/>
  <c r="X168" i="6"/>
  <c r="X163" i="6"/>
  <c r="X166" i="6"/>
  <c r="X161" i="6"/>
  <c r="X174" i="6"/>
  <c r="X179" i="6"/>
  <c r="X175" i="6"/>
  <c r="X173" i="6"/>
  <c r="X184" i="6"/>
  <c r="X176" i="6"/>
  <c r="X170" i="6"/>
  <c r="V270" i="6"/>
  <c r="O85" i="2"/>
  <c r="E8" i="4"/>
  <c r="X72" i="6"/>
  <c r="X71" i="6"/>
  <c r="X68" i="6"/>
  <c r="X73" i="6" s="1"/>
  <c r="X67" i="6"/>
  <c r="X66" i="6"/>
  <c r="X65" i="6"/>
  <c r="X64" i="6"/>
  <c r="X63" i="6"/>
  <c r="X62" i="6"/>
  <c r="X61" i="6"/>
  <c r="X60" i="6"/>
  <c r="X70" i="6" s="1"/>
  <c r="X59" i="6"/>
  <c r="X58" i="6"/>
  <c r="X57" i="6"/>
  <c r="X51" i="6"/>
  <c r="X54" i="6"/>
  <c r="X49" i="6"/>
  <c r="X55" i="6"/>
  <c r="X56" i="6"/>
  <c r="X53" i="6"/>
  <c r="X50" i="6"/>
  <c r="X52" i="6"/>
  <c r="X257" i="6"/>
  <c r="X258" i="6" s="1"/>
  <c r="X256" i="6"/>
  <c r="X100" i="6"/>
  <c r="X99" i="6"/>
  <c r="X96" i="6"/>
  <c r="X101" i="6" s="1"/>
  <c r="X95" i="6"/>
  <c r="X94" i="6"/>
  <c r="X93" i="6"/>
  <c r="X92" i="6"/>
  <c r="X91" i="6"/>
  <c r="X90" i="6"/>
  <c r="X89" i="6"/>
  <c r="X88" i="6"/>
  <c r="X87" i="6"/>
  <c r="X86" i="6"/>
  <c r="X85" i="6"/>
  <c r="X84" i="6"/>
  <c r="X83" i="6"/>
  <c r="X82" i="6"/>
  <c r="X81" i="6"/>
  <c r="X80" i="6"/>
  <c r="X79" i="6"/>
  <c r="X78" i="6"/>
  <c r="X77" i="6"/>
  <c r="W98" i="6"/>
  <c r="W41" i="6"/>
  <c r="U251" i="6"/>
  <c r="U252" i="6"/>
  <c r="U253" i="6" s="1"/>
  <c r="X113" i="6"/>
  <c r="X120" i="6"/>
  <c r="X114" i="6"/>
  <c r="X121" i="6"/>
  <c r="X115" i="6"/>
  <c r="X122" i="6"/>
  <c r="X127" i="6"/>
  <c r="X117" i="6"/>
  <c r="X108" i="6"/>
  <c r="X119" i="6"/>
  <c r="X106" i="6"/>
  <c r="X123" i="6"/>
  <c r="X112" i="6"/>
  <c r="X109" i="6"/>
  <c r="X116" i="6"/>
  <c r="X111" i="6"/>
  <c r="X118" i="6"/>
  <c r="X110" i="6"/>
  <c r="X105" i="6"/>
  <c r="X107" i="6"/>
  <c r="X124" i="6"/>
  <c r="X129" i="6" s="1"/>
  <c r="X128" i="6"/>
  <c r="W42" i="6"/>
  <c r="W69" i="6"/>
  <c r="V255" i="6"/>
  <c r="C44" i="2"/>
  <c r="J33" i="2"/>
  <c r="U246" i="6"/>
  <c r="U247" i="6"/>
  <c r="U248" i="6" s="1"/>
  <c r="W182" i="6"/>
  <c r="O91" i="2"/>
  <c r="E14" i="4"/>
  <c r="W237" i="6"/>
  <c r="W210" i="6"/>
  <c r="X212" i="6"/>
  <c r="X211" i="6"/>
  <c r="X208" i="6"/>
  <c r="X213" i="6" s="1"/>
  <c r="X207" i="6"/>
  <c r="X206" i="6"/>
  <c r="X205" i="6"/>
  <c r="X204" i="6"/>
  <c r="X203" i="6"/>
  <c r="X202" i="6"/>
  <c r="X201" i="6"/>
  <c r="X200" i="6"/>
  <c r="X199" i="6"/>
  <c r="X198" i="6"/>
  <c r="X197" i="6"/>
  <c r="X196" i="6"/>
  <c r="X195" i="6"/>
  <c r="X194" i="6"/>
  <c r="X193" i="6"/>
  <c r="X192" i="6"/>
  <c r="X191" i="6"/>
  <c r="X189" i="6"/>
  <c r="X190" i="6"/>
  <c r="S268" i="6"/>
  <c r="C48" i="2" s="1"/>
  <c r="L89" i="2"/>
  <c r="W126" i="6"/>
  <c r="H39" i="2"/>
  <c r="H40" i="2" s="1"/>
  <c r="V276" i="6" l="1"/>
  <c r="V277" i="6"/>
  <c r="V278" i="6" s="1"/>
  <c r="V347" i="6"/>
  <c r="V348" i="6" s="1"/>
  <c r="V346" i="6"/>
  <c r="V252" i="6"/>
  <c r="V253" i="6" s="1"/>
  <c r="V251" i="6"/>
  <c r="V314" i="6"/>
  <c r="V315" i="6"/>
  <c r="V316" i="6" s="1"/>
  <c r="V262" i="6"/>
  <c r="V263" i="6" s="1"/>
  <c r="V261" i="6"/>
  <c r="V282" i="6"/>
  <c r="V283" i="6" s="1"/>
  <c r="V281" i="6"/>
  <c r="V266" i="6"/>
  <c r="V267" i="6"/>
  <c r="V268" i="6" s="1"/>
  <c r="X154" i="6"/>
  <c r="X153" i="6"/>
  <c r="V272" i="6"/>
  <c r="V273" i="6" s="1"/>
  <c r="V271" i="6"/>
  <c r="X69" i="6"/>
  <c r="X340" i="6"/>
  <c r="O90" i="2"/>
  <c r="E13" i="4"/>
  <c r="X98" i="6"/>
  <c r="X210" i="6"/>
  <c r="X181" i="6"/>
  <c r="W344" i="6"/>
  <c r="W345" i="6" s="1"/>
  <c r="W312" i="6"/>
  <c r="W279" i="6"/>
  <c r="W280" i="6" s="1"/>
  <c r="W274" i="6"/>
  <c r="W275" i="6" s="1"/>
  <c r="W269" i="6"/>
  <c r="W270" i="6" s="1"/>
  <c r="W259" i="6"/>
  <c r="W244" i="6"/>
  <c r="W264" i="6"/>
  <c r="W254" i="6"/>
  <c r="W255" i="6" s="1"/>
  <c r="W265" i="6"/>
  <c r="W249" i="6"/>
  <c r="W250" i="6" s="1"/>
  <c r="X339" i="6"/>
  <c r="G14" i="4"/>
  <c r="H14" i="4"/>
  <c r="X42" i="6"/>
  <c r="V247" i="6"/>
  <c r="V248" i="6" s="1"/>
  <c r="V246" i="6"/>
  <c r="W260" i="6"/>
  <c r="X308" i="6"/>
  <c r="X182" i="6"/>
  <c r="X125" i="6"/>
  <c r="I39" i="2"/>
  <c r="I40" i="2" s="1"/>
  <c r="O86" i="2"/>
  <c r="E9" i="4"/>
  <c r="H15" i="4"/>
  <c r="G15" i="4"/>
  <c r="X238" i="6"/>
  <c r="W313" i="6"/>
  <c r="H8" i="4"/>
  <c r="G8" i="4"/>
  <c r="X41" i="6"/>
  <c r="L28" i="2"/>
  <c r="L29" i="2" s="1"/>
  <c r="L33" i="2"/>
  <c r="X97" i="6"/>
  <c r="K35" i="2"/>
  <c r="K36" i="2" s="1"/>
  <c r="K37" i="2"/>
  <c r="K38" i="2"/>
  <c r="K34" i="2"/>
  <c r="K39" i="2" s="1"/>
  <c r="X126" i="6"/>
  <c r="X237" i="6"/>
  <c r="O89" i="2"/>
  <c r="E12" i="4"/>
  <c r="X209" i="6"/>
  <c r="J28" i="2"/>
  <c r="J29" i="2" s="1"/>
  <c r="O88" i="2"/>
  <c r="E11" i="4"/>
  <c r="W281" i="6" l="1"/>
  <c r="W282" i="6"/>
  <c r="W283" i="6" s="1"/>
  <c r="W251" i="6"/>
  <c r="W252" i="6"/>
  <c r="W253" i="6" s="1"/>
  <c r="W272" i="6"/>
  <c r="W273" i="6" s="1"/>
  <c r="W271" i="6"/>
  <c r="W277" i="6"/>
  <c r="W278" i="6" s="1"/>
  <c r="W276" i="6"/>
  <c r="X280" i="6"/>
  <c r="W261" i="6"/>
  <c r="W262" i="6"/>
  <c r="W263" i="6" s="1"/>
  <c r="K40" i="2"/>
  <c r="W347" i="6"/>
  <c r="W348" i="6" s="1"/>
  <c r="W346" i="6"/>
  <c r="X270" i="6"/>
  <c r="X250" i="6"/>
  <c r="G13" i="4"/>
  <c r="H13" i="4"/>
  <c r="H9" i="4"/>
  <c r="G9" i="4"/>
  <c r="W245" i="6"/>
  <c r="W314" i="6"/>
  <c r="W315" i="6"/>
  <c r="W316" i="6" s="1"/>
  <c r="M28" i="2"/>
  <c r="M29" i="2" s="1"/>
  <c r="M33" i="2"/>
  <c r="X344" i="6"/>
  <c r="X312" i="6"/>
  <c r="X313" i="6" s="1"/>
  <c r="X279" i="6"/>
  <c r="X274" i="6"/>
  <c r="X269" i="6"/>
  <c r="X264" i="6"/>
  <c r="X265" i="6" s="1"/>
  <c r="X259" i="6"/>
  <c r="X254" i="6"/>
  <c r="X255" i="6" s="1"/>
  <c r="X249" i="6"/>
  <c r="X244" i="6"/>
  <c r="L34" i="2"/>
  <c r="L35" i="2"/>
  <c r="L36" i="2" s="1"/>
  <c r="L37" i="2"/>
  <c r="L38" i="2"/>
  <c r="X260" i="6"/>
  <c r="W267" i="6"/>
  <c r="W268" i="6" s="1"/>
  <c r="W266" i="6"/>
  <c r="H11" i="4"/>
  <c r="G11" i="4"/>
  <c r="X345" i="6"/>
  <c r="X245" i="6"/>
  <c r="J37" i="2"/>
  <c r="D47" i="2"/>
  <c r="D46" i="2"/>
  <c r="D50" i="2"/>
  <c r="D51" i="2"/>
  <c r="J34" i="2"/>
  <c r="J39" i="2" s="1"/>
  <c r="J35" i="2"/>
  <c r="J36" i="2" s="1"/>
  <c r="D48" i="2"/>
  <c r="D45" i="2"/>
  <c r="D49" i="2"/>
  <c r="J38" i="2"/>
  <c r="D44" i="2"/>
  <c r="X275" i="6"/>
  <c r="H12" i="4"/>
  <c r="G12" i="4"/>
  <c r="X267" i="6" l="1"/>
  <c r="X268" i="6" s="1"/>
  <c r="X266" i="6"/>
  <c r="L39" i="2"/>
  <c r="L40" i="2" s="1"/>
  <c r="W247" i="6"/>
  <c r="W248" i="6" s="1"/>
  <c r="W246" i="6"/>
  <c r="X281" i="6"/>
  <c r="X282" i="6"/>
  <c r="X283" i="6" s="1"/>
  <c r="X277" i="6"/>
  <c r="X278" i="6" s="1"/>
  <c r="X276" i="6"/>
  <c r="X347" i="6"/>
  <c r="X348" i="6" s="1"/>
  <c r="X346" i="6"/>
  <c r="F49" i="2"/>
  <c r="G49" i="2"/>
  <c r="E49" i="2"/>
  <c r="M37" i="2"/>
  <c r="M34" i="2"/>
  <c r="M35" i="2"/>
  <c r="M36" i="2" s="1"/>
  <c r="M38" i="2"/>
  <c r="X247" i="6"/>
  <c r="X248" i="6" s="1"/>
  <c r="X246" i="6"/>
  <c r="F44" i="2"/>
  <c r="G44" i="2"/>
  <c r="E44" i="2"/>
  <c r="F45" i="2"/>
  <c r="G45" i="2"/>
  <c r="E45" i="2"/>
  <c r="F48" i="2"/>
  <c r="G48" i="2"/>
  <c r="E48" i="2"/>
  <c r="X252" i="6"/>
  <c r="X253" i="6" s="1"/>
  <c r="X251" i="6"/>
  <c r="X261" i="6"/>
  <c r="X262" i="6"/>
  <c r="X263" i="6" s="1"/>
  <c r="X315" i="6"/>
  <c r="X316" i="6" s="1"/>
  <c r="X314" i="6"/>
  <c r="X272" i="6"/>
  <c r="X273" i="6" s="1"/>
  <c r="X271" i="6"/>
  <c r="J40" i="2"/>
  <c r="G50" i="2"/>
  <c r="F50" i="2"/>
  <c r="E50" i="2"/>
  <c r="F51" i="2"/>
  <c r="G51" i="2"/>
  <c r="E51" i="2"/>
  <c r="G46" i="2"/>
  <c r="F46" i="2"/>
  <c r="E46" i="2"/>
  <c r="F47" i="2"/>
  <c r="G47" i="2"/>
  <c r="E47" i="2"/>
  <c r="J44" i="2" l="1"/>
  <c r="H44" i="2"/>
  <c r="I47" i="2"/>
  <c r="K47" i="2"/>
  <c r="K44" i="2"/>
  <c r="I44" i="2"/>
  <c r="O33" i="2"/>
  <c r="O28" i="2"/>
  <c r="O29" i="2" s="1"/>
  <c r="K48" i="2"/>
  <c r="I48" i="2"/>
  <c r="K49" i="2"/>
  <c r="I49" i="2"/>
  <c r="I45" i="2"/>
  <c r="K45" i="2"/>
  <c r="J47" i="2"/>
  <c r="H47" i="2"/>
  <c r="N28" i="2"/>
  <c r="N29" i="2" s="1"/>
  <c r="N33" i="2"/>
  <c r="J50" i="2"/>
  <c r="H50" i="2"/>
  <c r="K50" i="2"/>
  <c r="I50" i="2"/>
  <c r="J45" i="2"/>
  <c r="H45" i="2"/>
  <c r="M39" i="2"/>
  <c r="M40" i="2" s="1"/>
  <c r="H46" i="2"/>
  <c r="J46" i="2"/>
  <c r="I46" i="2"/>
  <c r="K46" i="2"/>
  <c r="H51" i="2"/>
  <c r="J51" i="2"/>
  <c r="K51" i="2"/>
  <c r="I51" i="2"/>
  <c r="H48" i="2"/>
  <c r="J48" i="2"/>
  <c r="J49" i="2"/>
  <c r="H49" i="2"/>
  <c r="O38" i="2" l="1"/>
  <c r="O35" i="2"/>
  <c r="O36" i="2" s="1"/>
  <c r="O37" i="2"/>
  <c r="O34" i="2"/>
  <c r="O39" i="2" s="1"/>
  <c r="N38" i="2"/>
  <c r="N35" i="2"/>
  <c r="N36" i="2" s="1"/>
  <c r="N34" i="2"/>
  <c r="N37" i="2"/>
  <c r="O40" i="2" l="1"/>
  <c r="N39" i="2"/>
  <c r="N40" i="2" s="1"/>
</calcChain>
</file>

<file path=xl/sharedStrings.xml><?xml version="1.0" encoding="utf-8"?>
<sst xmlns="http://schemas.openxmlformats.org/spreadsheetml/2006/main" count="18855" uniqueCount="4593">
  <si>
    <t>Pass 8 — Explainer &amp; Legend</t>
  </si>
  <si>
    <t>What this workbook does, how the levers work, and how to read each sheet.</t>
  </si>
  <si>
    <t>1.  What this workbook models</t>
  </si>
  <si>
    <t>Scope</t>
  </si>
  <si>
    <t>5 countries (Egypt, Albania, Uzbekistan, Azerbaijan, India) × 8 CBAM-eligible products × 12 years (2024–2035). Tracks production, exports, emissions across 5 scope buckets, EU CBAM obligations, and optimal country-level carbon-pricing responses.</t>
  </si>
  <si>
    <t>Products</t>
  </si>
  <si>
    <t>DRI-EAF steel, Scrap-EAF steel, BF-BOF steel, Cement, Ammonia, Urea, Ammonium nitrate, Primary aluminium. BF-BOF appears in all countries' production matrices; only India has non-zero base BF-BOF capacity at this stage.</t>
  </si>
  <si>
    <t>Five scope buckets</t>
  </si>
  <si>
    <t>S1.fc — fuel combustion CO₂ (boilers, kilns, heat).
S1.fp — fuel-as-reductant CO₂ (BF coke + PCI, DRI shaft NG, SMR reformer NG).
S1.np — non-fuel process CO₂ (cement calcination, anode oxidation, urea CO₂ uptake).
S1.no — non-CO₂ GHG in CO₂e (N₂O from HNO₃, PFCs from Hall-Héroult cells).
S2 — electricity (indirect via grid).</t>
  </si>
  <si>
    <t>Coverage flags</t>
  </si>
  <si>
    <t>Each scope has an independent on/off flag on the dashboard (2a, cells B11–B15). These say what the country's domestic CP is levied on. They do NOT change the regulatory definition of CBAM scope — that's controlled by the cs2 flag per product (EU Reg 2023/956 Annex II: cs2=0 for iron/steel and aluminium; cs2=1 for cement and fertilisers).</t>
  </si>
  <si>
    <t>2.  What's new in Pass 8</t>
  </si>
  <si>
    <t>Finalised CBAM benchmarks</t>
  </si>
  <si>
    <t>Implementing Regulation (EU) 2025/2621 adopted 16 Dec 2025. Benchmarks for the default-value pathway (column B): BF-BOF 1.370 (was 1.530), DRI-EAF 0.481 (was 1.033), Scrap-EAF 0.072 (was 0.288), Cement clinker 0.666 (was 0.693), Ammonia 1.522 (unchanged), Urea 0.902 (unchanged), Aluminium 1.423 (was 1.484). The scrap benchmark drop is the largest in proportional terms and ratchets recycled steel firmly into the CBAM net even at low actual intensities. EU default values reset to ~20% above the new benchmark.</t>
  </si>
  <si>
    <t>Declining grid emission factors</t>
  </si>
  <si>
    <t>Grid EFs are now 12-year time series rather than constants, declining linearly in line with each country's NDC trajectory. Egypt 0.510 → 0.400 (NDC 42% RE by 2030); Albania 0.045 → 0.035 (already low from hydro); Uzbekistan 0.540 → 0.420 (40% RE by 2035); Azerbaijan 0.460 → 0.370 (30% RE by 2030); India 0.713 → 0.500 (60% non-fossil by 2035 NDC). The s2e formula now resolves the year-indexed value; everything downstream — intensities, CBAM obligation, optimal CP — responds automatically.</t>
  </si>
  <si>
    <t>3.  Carried over from Pass 7</t>
  </si>
  <si>
    <t>India added</t>
  </si>
  <si>
    <t>Fifth country with realistic 2024 production: ~150 Mt crude steel (110 BF-BOF, 32 DRI-EAF, 8 scrap), 440 Mt cement, 17 Mt NH₃, 30 Mt urea, 4.1 Mt aluminium.</t>
  </si>
  <si>
    <t>BF-BOF integrated</t>
  </si>
  <si>
    <t>BF-BOF steel is a regular entity in every country's matrix (energy intensity rows, emissions rows, intensity matrix). India is currently the only country with non-zero BF-BOF base capacity; structure exists for all.</t>
  </si>
  <si>
    <t>5-scope coverage flags</t>
  </si>
  <si>
    <t>Independent on/off flags per scope (2a on dashboard). Replaces the previous A/B/C aggregation.</t>
  </si>
  <si>
    <t>Global MRV per product</t>
  </si>
  <si>
    <t>Single row B19:I19 on dashboard, one cell per product. Applies to all 5 countries. MRV=0 falls back to the EU default value.</t>
  </si>
  <si>
    <t>Exports-only tax toggle</t>
  </si>
  <si>
    <t>B22: when 1, the country's CP is levied only on exports (EU + non-EU). Useful for politically-constrained pricing.</t>
  </si>
  <si>
    <t>NH₃ chain transparency</t>
  </si>
  <si>
    <t>Section 8 of dashboard makes the upstream ammonia chain visible. Only direct emissions of ammonia cascade into urea/AN; S2 of ammonia is shown but NOT cascaded — each downstream product accounts for its own electricity.</t>
  </si>
  <si>
    <t>EF matrix display</t>
  </si>
  <si>
    <t>Section 6: fuel emission factors (IPCC 2006) and per-product calculated intensities for the selected country, alongside EU benchmarks and default values.</t>
  </si>
  <si>
    <t>4.  Key levers — what to move first</t>
  </si>
  <si>
    <t>B5 — country</t>
  </si>
  <si>
    <t>Pick from egy/alb/uzb/aze/ind. Everything redraws.</t>
  </si>
  <si>
    <t>B6 — detail year</t>
  </si>
  <si>
    <t>Year for Section 5 (price impact) and Section 6b (per-product intensities). Other sections show full 12-year series.</t>
  </si>
  <si>
    <t>B7 — pass-through θ</t>
  </si>
  <si>
    <t>Share of wedge passed to buyer prices vs absorbed by producer margins. Default 0.7.</t>
  </si>
  <si>
    <t>B11–B15 — coverage flags</t>
  </si>
  <si>
    <t>Independent on/off for fc, fp, np, no, s2. Whether S2 is credited against CBAM is separately gated by the cs2 regulatory flag per product (row 20).</t>
  </si>
  <si>
    <t>B19:I19 — MRV per product</t>
  </si>
  <si>
    <t>1 if exporter has actual MRV data; 0 to use EU default. Global per product.</t>
  </si>
  <si>
    <t>B22 — exports-only tax</t>
  </si>
  <si>
    <t>0: CP levied on all production. 1: only on exports.</t>
  </si>
  <si>
    <t>Row 29 — domestic CP</t>
  </si>
  <si>
    <t>Defaults to optimal CP from row 28 (the level that exactly captures the CBAM gross). Edit to test sub-optimal or over-shooting pricing.</t>
  </si>
  <si>
    <t>5.  Sheets in this workbook</t>
  </si>
  <si>
    <t>dashboard</t>
  </si>
  <si>
    <t>Inputs and headline outputs. Sections 1-4 are the policy control panel; Sections 5-8 are diagnostic views of the selected country at the detail year.</t>
  </si>
  <si>
    <t>explainer</t>
  </si>
  <si>
    <t>This sheet — overview, lever guide, and methodology notes.</t>
  </si>
  <si>
    <t>input_data</t>
  </si>
  <si>
    <t>1,053 rows keyed by code (cty.dom.par.sec.prc.sub). Universal time series, fuel EFs, per-entity constants (now with finalised benchmarks), country-level constants (grid EFs now time series), 5 country × 8 product blocks.</t>
  </si>
  <si>
    <t>calculations</t>
  </si>
  <si>
    <t>284 rows. Country-aware (pulls from CBAM!B5). Uniform per-entity block. s2e formula now resolves year-indexed grid EF.</t>
  </si>
  <si>
    <t>6.  Methodology notes</t>
  </si>
  <si>
    <t>Two CBAM benchmark columns</t>
  </si>
  <si>
    <t>EU Reg 2025/2621 specifies separate benchmarks for column A (use with actual measured data) and column B (use with default values). The workbook uses column B for the default-value pathway when MRV=0 and treats the same benchmark consistently when MRV=1 — a simplification but adequate for first-pass policy analysis.</t>
  </si>
  <si>
    <t>CBAM factor schedule</t>
  </si>
  <si>
    <t>EU Reg 2025/2620: 2.5% 2026, 5% 2027, 10% 2028, 22.5% 2029, 48.5% 2030, 61% 2031, 73.5% 2032, 86% 2033, 100% 2034. The factor is the share of certificates that must be purchased (= 1 minus free allocation share).</t>
  </si>
  <si>
    <t>CBAM scope per product (cs2)</t>
  </si>
  <si>
    <t>EU Reg 2023/956 Annex II: direct + indirect (S2) for cement, fertilisers, hydrogen. Direct only for iron &amp; steel and aluminium. The cs2 row in section 2b shows the regulatory scope; it gates whether S2 contributes to creditability against CBAM.</t>
  </si>
  <si>
    <t>NH₃ chain accounting</t>
  </si>
  <si>
    <t>Upstream ammonia feedstock embedded in urea (0.567 t NH₃/t) and AN (0.213 t NH₃/t). Only ammonia's direct emissions cascade — S2 is NOT cascaded because each downstream product accounts for its own electricity via its own S2 row. This avoids double-counting.</t>
  </si>
  <si>
    <t>Optimal carbon price</t>
  </si>
  <si>
    <t>Row 28: country-level CP that exactly captures the CBAM gross as country revenue. Derived analytically as CBAM_gross / (Σ EU_exports × creditable_intensity), where creditable intensity sums the scopes that are BOTH covered by the CP AND in CBAM scope.</t>
  </si>
  <si>
    <t>Revenue accounting</t>
  </si>
  <si>
    <t>Country revenue = (CP × covered_intensity) × (EU + non-EU exports + domestic × (1−exports_only)). CBAM credit = (CP × creditable_intensity × EU exports). EU net = MAX(CBAM_gross − credit, 0). Total pool = country revenue + EU net.</t>
  </si>
  <si>
    <t>Grid EF trajectories</t>
  </si>
  <si>
    <t>Linear interpolation between 2024 anchors (IEA Emission Factors 2025) and 2035 end-points consistent with NDC commitments. Egypt and Uzbekistan trajectories reflect modest decarbonisation; India's reflects its accelerating non-fossil capacity build-out.</t>
  </si>
  <si>
    <t>7.  Key regulatory references</t>
  </si>
  <si>
    <t>EU Reg 2023/956</t>
  </si>
  <si>
    <t>CBAM regulation. Annex II lists covered products and scope.</t>
  </si>
  <si>
    <t>EU IR 2025/2620</t>
  </si>
  <si>
    <t>CBAM phase-in schedule + free allocation adjustment rules.</t>
  </si>
  <si>
    <t>EU IR 2025/2621</t>
  </si>
  <si>
    <t>Final CBAM benchmarks and default values (16 Dec 2025).</t>
  </si>
  <si>
    <t>IPCC 2006 Vol. 2 Ch. 2</t>
  </si>
  <si>
    <t>Stationary combustion emission factors per fuel.</t>
  </si>
  <si>
    <t>GEM 2024 Steel Brief</t>
  </si>
  <si>
    <t>India steel data — BF-BOF dominance, capacity by route.</t>
  </si>
  <si>
    <t>IEA Emission Factors 2025</t>
  </si>
  <si>
    <t>Grid EF base year anchors.</t>
  </si>
  <si>
    <t>Climate Action Tracker 2026</t>
  </si>
  <si>
    <t>India 2035 NDC analysis (60% non-fossil capacity).</t>
  </si>
  <si>
    <t>5 countries × 8 products × 12 years. 5-scope coverage flags, global MRV per product, exports-only tax option, BF-BOF integrated, NH₃ chain explicitly accounted, EF matrix included.</t>
  </si>
  <si>
    <t>1.  COUNTRY &amp; VIEW SETTINGS</t>
  </si>
  <si>
    <t>Country selector</t>
  </si>
  <si>
    <t>egy</t>
  </si>
  <si>
    <t>→</t>
  </si>
  <si>
    <t>Choose from: egy, alb, uzb, aze, ind.</t>
  </si>
  <si>
    <t>Detail year (for price-impact table)</t>
  </si>
  <si>
    <t>Year for the price-impact section.</t>
  </si>
  <si>
    <t>Pass-through θ (share of wedge to buyer prices)</t>
  </si>
  <si>
    <t>Share of carbon wedge passed to buyers (rest hits producer margins).</t>
  </si>
  <si>
    <t>2.  POLICY CHOICES</t>
  </si>
  <si>
    <t xml:space="preserve">  2a.  Coverage flags — what the domestic CP is levied on (1 = covered, 0 = not)</t>
  </si>
  <si>
    <t xml:space="preserve">    Coverage S1.fc (Scope 1 — Fuel combustion CO₂)</t>
  </si>
  <si>
    <t>Combustion fuels (heat, steam).</t>
  </si>
  <si>
    <t xml:space="preserve">    Coverage S1.fp (Scope 1 — Fuel-as-reductant CO₂)</t>
  </si>
  <si>
    <t>Fuel-as-reductant (BF coke + PCI, DRI shaft NG, SMR reformer NG).</t>
  </si>
  <si>
    <t xml:space="preserve">    Coverage S1.np (Scope 1 — Non-fuel process CO₂)</t>
  </si>
  <si>
    <t>Calcination CO₂ (cement, anode), urea CO₂ uptake (negative for urea).</t>
  </si>
  <si>
    <t xml:space="preserve">    Coverage S1.no (Scope 1 — Non-CO₂ GHG (CO₂e))</t>
  </si>
  <si>
    <t>N₂O from HNO₃, PFCs from Hall-Héroult.</t>
  </si>
  <si>
    <t xml:space="preserve">    Coverage S2 (Scope 2 — Electricity (indirect))</t>
  </si>
  <si>
    <t>Indirect electricity emissions.</t>
  </si>
  <si>
    <t xml:space="preserve">  2b.  MRV per product (global — applies to all countries; 1 = MRV verified, EU uses actual)</t>
  </si>
  <si>
    <t xml:space="preserve">    Product →</t>
  </si>
  <si>
    <t>DRI</t>
  </si>
  <si>
    <t>Scrap</t>
  </si>
  <si>
    <t>BF-BOF</t>
  </si>
  <si>
    <t>Cement</t>
  </si>
  <si>
    <t>NH₃</t>
  </si>
  <si>
    <t>Urea</t>
  </si>
  <si>
    <t>AN</t>
  </si>
  <si>
    <t>Al</t>
  </si>
  <si>
    <t xml:space="preserve">    MRV flag (edit here):</t>
  </si>
  <si>
    <t xml:space="preserve">    CBAM S2 scope (reg., Annex II = 0):</t>
  </si>
  <si>
    <t xml:space="preserve">  2c.  Tax only exports? (1 = yes — no domestic CP on home consumption; 0 = no)</t>
  </si>
  <si>
    <t>When 1, the country's CP is levied only on EU + non-EU exports (not on domestic-consumed product). Useful for politically-constrained pricing.</t>
  </si>
  <si>
    <t>3.  CARBON PRICE TIME SERIES</t>
  </si>
  <si>
    <t>row</t>
  </si>
  <si>
    <t>unit</t>
  </si>
  <si>
    <t>2024</t>
  </si>
  <si>
    <t>2025</t>
  </si>
  <si>
    <t>2026</t>
  </si>
  <si>
    <t>2027</t>
  </si>
  <si>
    <t>2028</t>
  </si>
  <si>
    <t>2029</t>
  </si>
  <si>
    <t>2030</t>
  </si>
  <si>
    <t>2031</t>
  </si>
  <si>
    <t>2032</t>
  </si>
  <si>
    <t>2033</t>
  </si>
  <si>
    <t>2034</t>
  </si>
  <si>
    <t>2035</t>
  </si>
  <si>
    <t>EU ETS price</t>
  </si>
  <si>
    <t>EUR/tCO2</t>
  </si>
  <si>
    <t>CBAM factor</t>
  </si>
  <si>
    <t>fraction</t>
  </si>
  <si>
    <t>↓ OPTIMAL CP (captures full CBAM as country revenue)</t>
  </si>
  <si>
    <t>USD/tCO2</t>
  </si>
  <si>
    <t>↓ DOMESTIC CARBON PRICE (editable, default = optimal)</t>
  </si>
  <si>
    <t>4.  HEADLINE REVENUES (USD millions)</t>
  </si>
  <si>
    <t>EU CBAM obligation gross</t>
  </si>
  <si>
    <t>USD m</t>
  </si>
  <si>
    <t>● Country revenue on EU exports (total covered)</t>
  </si>
  <si>
    <t xml:space="preserve">    of which creditable against CBAM</t>
  </si>
  <si>
    <t>● EU CBAM retained = MAX(gross − creditable, 0)</t>
  </si>
  <si>
    <t>● Country revenue on non-EU exports</t>
  </si>
  <si>
    <t>● Country revenue on domestic consumption (zero if 2c=1)</t>
  </si>
  <si>
    <t>TOTAL COUNTRY REVENUE</t>
  </si>
  <si>
    <t>TOTAL POOL (country + EU)</t>
  </si>
  <si>
    <t>5.  PRICE IMPACT BY PRODUCT (detail year set by B6)</t>
  </si>
  <si>
    <t>Product</t>
  </si>
  <si>
    <t>Pre-policy price (USD/t)</t>
  </si>
  <si>
    <t>EU wedge — CBAM/t</t>
  </si>
  <si>
    <t>Domestic wedge — CP × covered int</t>
  </si>
  <si>
    <t>Stack on EU exports</t>
  </si>
  <si>
    <t>Stack on non-EU exports</t>
  </si>
  <si>
    <t>Stack on domestic</t>
  </si>
  <si>
    <t>Buyer price ↑ EU</t>
  </si>
  <si>
    <t>Buyer price ↑ non-EU</t>
  </si>
  <si>
    <t>Producer margin hit EU</t>
  </si>
  <si>
    <t>Producer margin hit non-EU</t>
  </si>
  <si>
    <t>DRI-EAF steel (CN 7206 (D))</t>
  </si>
  <si>
    <t>Scrap-EAF steel (CN 7206 (E))</t>
  </si>
  <si>
    <t>BF-BOF steel (CN 7206 (C))</t>
  </si>
  <si>
    <t>Cement (CN 25231000 (A))</t>
  </si>
  <si>
    <t>Ammonia (CN 28141000)</t>
  </si>
  <si>
    <t>Urea (CN 31021010)</t>
  </si>
  <si>
    <t>Ammonium nitrate (CN 31023090)</t>
  </si>
  <si>
    <t>Primary aluminium (CN 76011000 (K))</t>
  </si>
  <si>
    <t>EU wedge = CBAM/t (uses CBAM-eligible intensity, Annex II respected). Domestic wedge = CP × covered_intensity (covers whatever scopes 2a flags say). Stack on EU = max(EU wedge, dom wedge) — producer pays whichever is higher. Stack on domestic = 0 when exports-only toggle (2c) is on. θ (B7) splits each wedge between buyer prices and producer margins.</t>
  </si>
  <si>
    <t>6.  EMISSION INTENSITY MATRIX — country (B5), detail year (B6).  Fuel EF reference in ef_benchmarks sheet.</t>
  </si>
  <si>
    <t>6a.  Fuel emission factors (kgCO₂/GJ, IPCC 2006 stationary combustion defaults). Global constants — same for all countries and entities.</t>
  </si>
  <si>
    <t>These IPCC 2006 defaults live in input_data under code all.in.eff.---.---.[fuel]. They are constant across years (IPCC physical constants). Column A of each row below holds the lookup code; column C formula reads from input_data via MATCH($A{row},...). To add or change an EF: update input_data row; formula here auto-updates.</t>
  </si>
  <si>
    <t>Code in input_data (col A → MATCH)</t>
  </si>
  <si>
    <t>Fuel</t>
  </si>
  <si>
    <t>EF (kgCO₂/GJ)
from input_data</t>
  </si>
  <si>
    <t>IPCC 2006 reference</t>
  </si>
  <si>
    <t>all.in.eff.---.---.coa</t>
  </si>
  <si>
    <t>Coal</t>
  </si>
  <si>
    <t>Coal — 96.1 kgCO₂/GJ (IPCC 2006 T2.2; bituminous default)</t>
  </si>
  <si>
    <t>all.in.eff.---.---.nga</t>
  </si>
  <si>
    <t>Natural gas</t>
  </si>
  <si>
    <t>Natural gas — 56.1 kgCO₂/GJ (IPCC 2006 T2.2)</t>
  </si>
  <si>
    <t>all.in.eff.---.---.gso</t>
  </si>
  <si>
    <t>Gasoline</t>
  </si>
  <si>
    <t>Gasoline — 69.3 kgCO₂/GJ</t>
  </si>
  <si>
    <t>all.in.eff.---.---.die</t>
  </si>
  <si>
    <t>Diesel</t>
  </si>
  <si>
    <t>Diesel — 74.1 kgCO₂/GJ</t>
  </si>
  <si>
    <t>all.in.eff.---.---.ker</t>
  </si>
  <si>
    <t>Kerosene</t>
  </si>
  <si>
    <t>Kerosene — 71.9 kgCO₂/GJ</t>
  </si>
  <si>
    <t>all.in.eff.---.---.lpg</t>
  </si>
  <si>
    <t>LPG</t>
  </si>
  <si>
    <t>LPG — 63.1 kgCO₂/GJ</t>
  </si>
  <si>
    <t>all.in.eff.---.---.bio</t>
  </si>
  <si>
    <t>Biomass</t>
  </si>
  <si>
    <t>Biomass — 0 (biogenic, not counted under IPCC GHG inventory rules)</t>
  </si>
  <si>
    <t>all.in.eff.---.---.ren</t>
  </si>
  <si>
    <t>Self-gen renewables</t>
  </si>
  <si>
    <t>Self-gen renewables — 0 (zero direct emission)</t>
  </si>
  <si>
    <t>6b.  Weighted-average fuel emission factor per entity × application [= Σ(energy_GJ × fuel_EF) / Σ(energy_GJ), kgCO₂/GJ]</t>
  </si>
  <si>
    <t>This converts the multi-fuel energy mix into a single combined EF for (a) combustion and (b) process/reduction. It answers: 'what is the effective kgCO₂/GJ for this entity's fuel blend?' Formula: =SUMPRODUCT(enc_rows, ef_rows) / SUM(enc_rows), where enc_rows are the annual energy consumption rows from the calculations sheet for the current country (B5) and detail year (YEAR_IDX). Code column (A) is self-generated from entity code. Zero denominator → IFERROR returns 0. These are per-tonne intensities expressed as kgCO₂/GJ — multiply by GJ/t intensity to get tCO₂/t.</t>
  </si>
  <si>
    <t>Code
(self-generated)</t>
  </si>
  <si>
    <t>Entity</t>
  </si>
  <si>
    <t>Unit</t>
  </si>
  <si>
    <t>Wtd-avg EF
COMBUSTION
(kgCO₂/GJ)</t>
  </si>
  <si>
    <t>Wtd-avg EF
PROCESS/RED.
(kgCO₂/GJ)</t>
  </si>
  <si>
    <t>Total combustion
energy (PJ)
[for weighting]</t>
  </si>
  <si>
    <t>Total process
energy (PJ)
[for weighting]</t>
  </si>
  <si>
    <t>Formula note</t>
  </si>
  <si>
    <t>DRI-EAF steel (stl.drg)</t>
  </si>
  <si>
    <t>t</t>
  </si>
  <si>
    <t>cmb: SUMPRODUCT(enc rows 24–31, ef rows 10–17) / SUM(enc). prc: same with enp rows 32–39</t>
  </si>
  <si>
    <t>Scrap-EAF steel (stl.scr)</t>
  </si>
  <si>
    <t>cmb: SUMPRODUCT(enc rows 52–59, ef rows 10–17) / SUM(enc). prc: same with enp rows 60–67</t>
  </si>
  <si>
    <t>BF-BOF steel (stl.bof)</t>
  </si>
  <si>
    <t>cmb: SUMPRODUCT(enc rows 80–87, ef rows 10–17) / SUM(enc). prc: same with enp rows 88–95</t>
  </si>
  <si>
    <t>Cement (cmt.dry)</t>
  </si>
  <si>
    <t>cmb: SUMPRODUCT(enc rows 108–115, ef rows 10–17) / SUM(enc). prc: same with enp rows 116–123</t>
  </si>
  <si>
    <t>Ammonia (frt.amc)</t>
  </si>
  <si>
    <t>cmb: SUMPRODUCT(enc rows 136–143, ef rows 10–17) / SUM(enc). prc: same with enp rows 144–151</t>
  </si>
  <si>
    <t>Urea (frt.ure)</t>
  </si>
  <si>
    <t>cmb: SUMPRODUCT(enc rows 164–171, ef rows 10–17) / SUM(enc). prc: same with enp rows 172–179</t>
  </si>
  <si>
    <t>Ammonium nitrate (frt.nit)</t>
  </si>
  <si>
    <t>cmb: SUMPRODUCT(enc rows 192–199, ef rows 10–17) / SUM(enc). prc: same with enp rows 200–207</t>
  </si>
  <si>
    <t>Primary aluminium (alu.prp)</t>
  </si>
  <si>
    <t>cmb: SUMPRODUCT(enc rows 220–227, ef rows 10–17) / SUM(enc). prc: same with enp rows 228–235</t>
  </si>
  <si>
    <t>Other iron &amp; steel (stl.oth)</t>
  </si>
  <si>
    <t>cmb: SUMPRODUCT(enc rows 290–297, ef rows 10–17) / SUM(enc). prc: same with enp rows 298–305</t>
  </si>
  <si>
    <t>Other nitrogen fertilisers (frt.otn)</t>
  </si>
  <si>
    <t>t N</t>
  </si>
  <si>
    <t>cmb: SUMPRODUCT(enc rows 322–329, ef rows 10–17) / SUM(enc). prc: same with enp rows 330–337</t>
  </si>
  <si>
    <t>6a.  Emission intensity decomposition — all 10 entities, detail year (B6), country (B5). Column order: direct scope 1 (combustion, process, non-fuel, non-CO₂) THEN scope 2, THEN chain.</t>
  </si>
  <si>
    <t>S1.np (non-fuel process CO₂) and S1.no (non-CO₂ GHG: N₂O, PFCs) are SCOPE 1 direct emissions — they appear here BEFORE S2 (indirect/electricity). All values = MtCO₂e ÷ Mt production = tCO₂e/t (or tCO₂e/t N for frt.otn). Scope-2-in-CBAM column: green=YES (cement and fertilisers per Annex II of Reg 2023/956), orange=NO (steel and aluminium — direct emissions only for CBAM). Benchmark and EU default from input_data (IR 2025/2620 and IR 2025/2621). Excess = MAX(CBAM-eligible − benchmark, 0).</t>
  </si>
  <si>
    <t>Code
(col A)</t>
  </si>
  <si>
    <t>S1.fc
combustion
tCO₂/t</t>
  </si>
  <si>
    <t>S1.fp
process fuel
tCO₂/t</t>
  </si>
  <si>
    <t>S1.np
non-fuel
process CO₂/t</t>
  </si>
  <si>
    <t>S1.no
N₂O/PFCs
tCO₂e/t</t>
  </si>
  <si>
    <t>S2
electricity
tCO₂/t</t>
  </si>
  <si>
    <t>NH₃
chain
tCO₂/t</t>
  </si>
  <si>
    <t>S2 in
CBAM
scope?</t>
  </si>
  <si>
    <t>Holistic
tCO₂e/t</t>
  </si>
  <si>
    <t>CBAM-eligible
(MRV)
tCO₂e/t</t>
  </si>
  <si>
    <t>EU default
(IR 2025/2621)
SEE</t>
  </si>
  <si>
    <t>Free alloc.
equivalent
(IR 2025/2620)</t>
  </si>
  <si>
    <t>Excess
over
benchmark</t>
  </si>
  <si>
    <t>CN codes
(CBAM Annex I)</t>
  </si>
  <si>
    <t>7206(D), 7207(D)</t>
  </si>
  <si>
    <t>7206(E), 7207(E)</t>
  </si>
  <si>
    <t>7206(C), 7207(C)</t>
  </si>
  <si>
    <t>25231000(A)</t>
  </si>
  <si>
    <t>28141000</t>
  </si>
  <si>
    <t>31021010</t>
  </si>
  <si>
    <t>31023090</t>
  </si>
  <si>
    <t>76011000(K)</t>
  </si>
  <si>
    <t>7201/7202 4,6,7/7203</t>
  </si>
  <si>
    <t>31022100/31028000/3105</t>
  </si>
  <si>
    <t>CBAM-eligible (col 12) = Holistic − S2×(1−cs2): for steel and aluminium (S2 NOT in CBAM scope), CBAM intensity = S1 direct only. For cement and fertilisers (S2 IN scope), CBAM intensity = S1 + S2. EU default (col 14) = SEE before 10% markup, from IR 2025/2621. Benchmarks from IR 2025/2620. Both regulations dated 16 December 2025.</t>
  </si>
  <si>
    <t>6b.  EF comparison: model computed intensities vs IR 2025/2621 reference default values. Country (B5), detail year (B6). Reference values from ref_data sheet.</t>
  </si>
  <si>
    <t>REGULATORY GUIDANCE IN USE: Commission Implementing Regulation (EU) 2025/2621 of 16 December 2025 (OJ L 2025/2621, 22.12.2025). Legally binding from 1 January 2026. XLS file published February 2026. No revision as of May 2026; next mandatory review by December 2027 (Recital 15, IR 2025/2621). Default values = country-specific average embedded emission intensity + mark-up (+10% in 2026, +20% in 2027, +30% from 2028; fertilisers +1% only per Reg 2025/2083 Omnibus simplification). This table shows the PRE-MARKUP default (= country average) vs model holistic intensity. The benchmark (EU ETS) is a separate concept — it is the free-allocation equivalent used to compute the deduction in the certificate formula. Model EFs respond to country selector (B5) and are compared against the corresponding IR 2025/2621 country-specific SEE value.</t>
  </si>
  <si>
    <t>Model
S1.fc
tCO₂/t</t>
  </si>
  <si>
    <t>Ref S1.fc
(from ref_data
GJ/t × EF)</t>
  </si>
  <si>
    <t>Model
S1.fp
tCO₂/t</t>
  </si>
  <si>
    <t>Ref S1.fp
(from ref_data)</t>
  </si>
  <si>
    <t>Model
efn S1.np
tCO₂/t</t>
  </si>
  <si>
    <t>Ref efn
(IPCC 2006
tCO₂/t)</t>
  </si>
  <si>
    <t>Model
efo S1.no
tCO₂e/t</t>
  </si>
  <si>
    <t>Ref efo
(IPCC AR6
tCO₂e/t)</t>
  </si>
  <si>
    <t>Model
S2
tCO₂/t</t>
  </si>
  <si>
    <t>Model
holistic
tCO₂e/t</t>
  </si>
  <si>
    <t>IR 2025/2621
SEE total
(pre-markup)</t>
  </si>
  <si>
    <t>Model/
SEE
ratio</t>
  </si>
  <si>
    <t>Note</t>
  </si>
  <si>
    <t>DRI-EAF steel</t>
  </si>
  <si>
    <t>DRI: model S1.fp (NG reduction) vs ref. Ratio &gt;1 if model includes more process scope.</t>
  </si>
  <si>
    <t>Scrap-EAF steel</t>
  </si>
  <si>
    <t>Scrap-EAF: low direct intensity; S2 large but excluded from CBAM for steel.</t>
  </si>
  <si>
    <t>BF-BOF steel</t>
  </si>
  <si>
    <t>BF-BOF: coal-intensive; ref S1.fp (coke reduction) should dominate.</t>
  </si>
  <si>
    <t>Cement: efn=0.526 (calcination) identical in both; fuel mix comparison meaningful.</t>
  </si>
  <si>
    <t>Ammonia</t>
  </si>
  <si>
    <t>Ammonia: S1.fp = SMR NG dominates; model and ref should be close.</t>
  </si>
  <si>
    <t>Urea: efn is negative (CO2 uptake). Model should ≈ ref.</t>
  </si>
  <si>
    <t>Ammonium nitrate</t>
  </si>
  <si>
    <t>AN: efo (N2O) is the key variable. Model uses 2.5 tCO2e/t midpoint.</t>
  </si>
  <si>
    <t>Primary aluminium</t>
  </si>
  <si>
    <t>Aluminium: S2 large but CBAM-excluded. Direct (efn+efo) comparison key.</t>
  </si>
  <si>
    <t>Other iron &amp; steel</t>
  </si>
  <si>
    <t>→ Step 2</t>
  </si>
  <si>
    <t>→ Step 2 (blended entity; reference EI data not yet in ref_data by sub-product)</t>
  </si>
  <si>
    <t>Other nitrogen fertilisers</t>
  </si>
  <si>
    <t>Green cells = model-computed (from calculations sheet). Purple cells = reference from IR 2025/2621 / ref_data sheet. Ratio col: model holistic ÷ IR 2025/2621 SEE. Values &lt;1.0 mean model is below the default (good for exporter). Values &gt;1.0 mean model intensity exceeds the EU default (unusual unless N2O or PFC intensive). Note: holistic includes NH3 chain and S2; IR 2025/2621 SEE includes S1+S2 per scope rules. Comparison is most meaningful for S1.fc + S1.fp where fuel mix data is common to both.</t>
  </si>
  <si>
    <t>7.  NH₃ CHAIN ACCOUNTING — transparency block (detail year set by B6)</t>
  </si>
  <si>
    <t>The NH₃ chain accounts for upstream ammonia emissions cascaded into downstream N fertilisers. The chain factor (t NH₃/t product) × ammonia direct intensity = additional scope-1 embedded emissions. This ensures that urea and AN total intensities properly include their ammonia feedstock component. Where NH3 factor = 0 (steel, cement, aluminium), no chain cascade applies.</t>
  </si>
  <si>
    <t>NH₃ factor
(t NH₃/t product)</t>
  </si>
  <si>
    <t>Ammonia direct
intensity (tCO₂/t)</t>
  </si>
  <si>
    <t>Chain contribution
(tCO₂/t product)</t>
  </si>
  <si>
    <t>Chain formula note</t>
  </si>
  <si>
    <t>NH₃ factor × (frt.amc S1 direct / frt.amc production) at detail year. Chain = stl.drg NH₃ content × upstream ammonia direct intensity.</t>
  </si>
  <si>
    <t>NH₃ factor × (frt.amc S1 direct / frt.amc production) at detail year. Chain = stl.scr NH₃ content × upstream ammonia direct intensity.</t>
  </si>
  <si>
    <t>NH₃ factor × (frt.amc S1 direct / frt.amc production) at detail year. Chain = stl.bof NH₃ content × upstream ammonia direct intensity.</t>
  </si>
  <si>
    <t>NH₃ factor × (frt.amc S1 direct / frt.amc production) at detail year. Chain = cmt.dry NH₃ content × upstream ammonia direct intensity.</t>
  </si>
  <si>
    <t>NH₃ factor × (frt.amc S1 direct / frt.amc production) at detail year. Chain = frt.amc NH₃ content × upstream ammonia direct intensity.</t>
  </si>
  <si>
    <t>NH₃ factor × (frt.amc S1 direct / frt.amc production) at detail year. Chain = frt.ure NH₃ content × upstream ammonia direct intensity.</t>
  </si>
  <si>
    <t>NH₃ factor × (frt.amc S1 direct / frt.amc production) at detail year. Chain = frt.nit NH₃ content × upstream ammonia direct intensity.</t>
  </si>
  <si>
    <t>NH₃ factor × (frt.amc S1 direct / frt.amc production) at detail year. Chain = alu.prp NH₃ content × upstream ammonia direct intensity.</t>
  </si>
  <si>
    <t>NH₃ factor × (frt.amc S1 direct / frt.amc production) at detail year. Chain = stl.oth NH₃ content × upstream ammonia direct intensity.</t>
  </si>
  <si>
    <t>Other N fertilisers</t>
  </si>
  <si>
    <t>NH₃ factor × (frt.amc S1 direct / frt.amc production) at detail year. Chain = frt.otn NH₃ content × upstream ammonia direct intensity.</t>
  </si>
  <si>
    <t>8.  PRODUCT REFERENCE — CN codes (EU Reg 2023/956 Annex I) + model entity codes</t>
  </si>
  <si>
    <t>Model code</t>
  </si>
  <si>
    <t>CBAM CN codes</t>
  </si>
  <si>
    <t>Benchmark
Col B (tCO₂/t)</t>
  </si>
  <si>
    <t>Sector</t>
  </si>
  <si>
    <t>S2 in CBAM
(Annex II)?</t>
  </si>
  <si>
    <t>stl.drg</t>
  </si>
  <si>
    <t>stl</t>
  </si>
  <si>
    <t>NO</t>
  </si>
  <si>
    <t>stl.scr</t>
  </si>
  <si>
    <t>stl.bof</t>
  </si>
  <si>
    <t>cmt.dry</t>
  </si>
  <si>
    <t>cmt</t>
  </si>
  <si>
    <t>YES</t>
  </si>
  <si>
    <t>frt.amc</t>
  </si>
  <si>
    <t>frt</t>
  </si>
  <si>
    <t>frt.ure</t>
  </si>
  <si>
    <t>frt.nit</t>
  </si>
  <si>
    <t>alu.prp</t>
  </si>
  <si>
    <t>alu</t>
  </si>
  <si>
    <t>stl.oth</t>
  </si>
  <si>
    <t>frt.otn</t>
  </si>
  <si>
    <t>Benchmarks are Column B values from IR 2025/2620 (free allocation benchmark) = the quantity of embedded emissions per unit that is already covered by free ETS allocation. CN code route indicators: (A)=grey clinker, (C)=BF-BOF, (D)=DRI-EAF, (E)=Scrap-EAF, (K)=primary Al. For frt.otn (other N fertilisers) the unit is tCO₂/t N; benchmark 2.82 is blended across amsul+UAN+NPK. S2 in CBAM scope: Annex II of Reg 2023/956 lists cement (25...) and fertilisers (28...,31...) only.</t>
  </si>
  <si>
    <t>Egypt CBAM — Emission Factor Matrix</t>
  </si>
  <si>
    <t>STRUCTURE (global spreadsheet): Section A = 14 aggregate CBAM categories (all 6 sectors + 4 residual catch-alls), the headline values. Section B = reconstruction &amp; cross-check vs A (CN-built categories rebuilt from Section C lines; cross-check Δ = 0). Section C = global detail, merging Egypt-specific CN lines + global-default goods grouped by sector. LEVEL column tags each row: AGGREGATE / CN · Egypt / Global. All use IDENTICAL columns. NH₃ integrated (full EF 1.889 incl S2) into urea/AN headline. Net ammonia = production; gross in memo. Weight column = CN line's % of parent's 2024 EU exports (blank for aggregate/global rows). 🟢 Auth 🟡 Est 🔴 Prox · BLUE input · BLACK formula · GREEN cross-ref. CBAM-equivalent = S1(incl NH₃)+S2 minus S2 for steel/Al/ferro-alloys/H2 (S2 out of scope); = full for cement/fert/alumina/electricity.</t>
  </si>
  <si>
    <t>IDENTITY</t>
  </si>
  <si>
    <t>SCOPE 1 (tCO₂e/t, NH₃ integrated)</t>
  </si>
  <si>
    <t>SCOPE 2 + TOTALS</t>
  </si>
  <si>
    <t>WT</t>
  </si>
  <si>
    <t>INPUTS</t>
  </si>
  <si>
    <t>LATEST MAY 2026 EU DEFAULTS + BENCHMARKS</t>
  </si>
  <si>
    <t>CONFIDENCE</t>
  </si>
  <si>
    <t>VOL+GR</t>
  </si>
  <si>
    <t>EU EXPORTS (kt) — PROJECTIONS</t>
  </si>
  <si>
    <t>MEMO (raw)</t>
  </si>
  <si>
    <t>STD BASIS</t>
  </si>
  <si>
    <t>Level</t>
  </si>
  <si>
    <t>#</t>
  </si>
  <si>
    <t>CN codes / form</t>
  </si>
  <si>
    <t>Route</t>
  </si>
  <si>
    <t>S1.fc</t>
  </si>
  <si>
    <t>S1.fp</t>
  </si>
  <si>
    <t>S1.np</t>
  </si>
  <si>
    <t>S1.no</t>
  </si>
  <si>
    <t>S1 own</t>
  </si>
  <si>
    <t>Emb
NH₃</t>
  </si>
  <si>
    <t>S1 incl
NH₃</t>
  </si>
  <si>
    <t>S2</t>
  </si>
  <si>
    <t>S2 in CBAM
scope?</t>
  </si>
  <si>
    <t>S1+S2</t>
  </si>
  <si>
    <t>CBAM-
equiv</t>
  </si>
  <si>
    <t>% of
parent</t>
  </si>
  <si>
    <t>fcGJ</t>
  </si>
  <si>
    <t>fcEF</t>
  </si>
  <si>
    <t>fpGJ</t>
  </si>
  <si>
    <t>fpEF</t>
  </si>
  <si>
    <t>EU def
base</t>
  </si>
  <si>
    <t>mk
up</t>
  </si>
  <si>
    <t>EU def
2026</t>
  </si>
  <si>
    <t>EU
bench</t>
  </si>
  <si>
    <t>Gap
def</t>
  </si>
  <si>
    <t>Gap
bench</t>
  </si>
  <si>
    <t>Latest EU regulatory note (May 2026)</t>
  </si>
  <si>
    <t>S1.fc / S1.fp confidence</t>
  </si>
  <si>
    <t>S1.np / S1.no confidence</t>
  </si>
  <si>
    <t>Prod kt
(net)</t>
  </si>
  <si>
    <t>EU exp
kt</t>
  </si>
  <si>
    <t>Total exp
kt</t>
  </si>
  <si>
    <t>Gr
%/yr</t>
  </si>
  <si>
    <t>NH₃
cont</t>
  </si>
  <si>
    <t>NH₃ dir
EF</t>
  </si>
  <si>
    <t>NH₃ full
EF</t>
  </si>
  <si>
    <t>Own-only
CBAMeq</t>
  </si>
  <si>
    <t>Gross
NH₃ kt</t>
  </si>
  <si>
    <t>MtCO₂
'24 EUx</t>
  </si>
  <si>
    <t>Std basis</t>
  </si>
  <si>
    <t>EF per
std unit</t>
  </si>
  <si>
    <t>Prod
std unit</t>
  </si>
  <si>
    <t>SECTION A — AGGREGATED (14 generic CBAM categories: all 6 sectors + 4 residual catch-alls). Values. This is the headline layer the calculator consumes.</t>
  </si>
  <si>
    <t>AGGREGATE</t>
  </si>
  <si>
    <t>Primary steel (DRI-EAF)</t>
  </si>
  <si>
    <t>t crude steel</t>
  </si>
  <si>
    <t>7207 10 (D); 7207 12 (D); 7208/7209 flat (partial); 7214 rebar</t>
  </si>
  <si>
    <t>Midrex NG shaft furnace + EAF</t>
  </si>
  <si>
    <t>DRI-EAF. Default base 1.820 ×1.10 markup = 2.002 (2026). Benchmark 0.481 (final IR 2025/2620). CAUTION: CBAM default matrix for HRC CN 7208 may assign only BF-BOF route (4.454) — 'DRI default vacancy' risk for flat products.</t>
  </si>
  <si>
    <t>S1.fc: Est: Midrex heat:reductant ratio 5:24 GJ/t NG. Total EF Auth / S1.fp: Est: Midrex standard ratio; IPCC 2006 Vol2 2C1; WSA 2023. To</t>
  </si>
  <si>
    <t>S1.np: Auth: IPCC 2006 2C1 — DRI process CO2 = 0 / S1.no: Auth: IPCC 2006 2C1</t>
  </si>
  <si>
    <t>per t product</t>
  </si>
  <si>
    <t>Secondary steel (Scrap-EAF)</t>
  </si>
  <si>
    <t>7206 10; 7207 10 (E); 7214 rebar; 7208 HRC (E-route); 7216 sections</t>
  </si>
  <si>
    <t>Scrap-EAF</t>
  </si>
  <si>
    <t>Scrap-EAF. Default base 0.720 ×1.10 = 0.792 (2026). Benchmark 0.072 (final, scrap route).</t>
  </si>
  <si>
    <t>S1.fc: Est: IEA Egypt sector average; WSA 2023 scrap-EAF range 2-3  / S1.fp: Auth: no reductant in scrap melting process</t>
  </si>
  <si>
    <t>S1.np: Est: IPCC 2006 Vol2 2C1 default 0.01-0.02 tCO2/t for scrap-E / S1.no: Auth: IPCC 2006 2C1</t>
  </si>
  <si>
    <t>Reference steel (BF-BOF)</t>
  </si>
  <si>
    <t>7206 10 (C); 7207 10 (C); 7209 CR (C-route); 7208 HRC (C-route)</t>
  </si>
  <si>
    <t>BF-BOF coal/coke</t>
  </si>
  <si>
    <t>BF-BOF reference. Default base 2.800 ×1.10 = 3.080 (2026). Benchmark 1.370 (final IR 2025/2620).</t>
  </si>
  <si>
    <t>S1.fc: Prox: WSA 2023 global BF-BOF average. No Egypt-specific data / S1.fp: Prox: WSA 2023 BF standard; IPCC 2006 Vol2 2C1. Split Est wi</t>
  </si>
  <si>
    <t>S1.np: Auth: IPCC 2006 Vol2 2C1 default 0.22-0.28 tCO2/t crude stee / S1.no: Auth: IPCC 2006 2C1</t>
  </si>
  <si>
    <t>Other steel &amp; ferro-alloys</t>
  </si>
  <si>
    <t>t CO2e/t</t>
  </si>
  <si>
    <t>7202 / 7201 / 7203 (ferro-alloys, pig iron, DRI)</t>
  </si>
  <si>
    <t>Ferro-alloy / precursor (mixed)</t>
  </si>
  <si>
    <t>Aggregate catch-all for ferro-alloys (FeSi/FeMn/FeCr) + merchant pig iron/DRI. ZERO Egypt volume. See Section D for per-good detail. S2 excluded (steel scope).</t>
  </si>
  <si>
    <t>S1.fc: Prox ferro-alloy mean / S1.fp: Prox carbothermic reductant</t>
  </si>
  <si>
    <t>S1.np: Prox electrode/flux / S1.no: Auth none</t>
  </si>
  <si>
    <t>Cement &amp; clinker</t>
  </si>
  <si>
    <t>t clinker</t>
  </si>
  <si>
    <t>2523 10 (clinker); 2523 21; 2523 29 Portland cement</t>
  </si>
  <si>
    <t>Dry rotary kiln</t>
  </si>
  <si>
    <t>Cement clinker. Default base 1.580 ×1.10 = 1.738 (2026). Benchmark 0.666 (col B). S2 IN CBAM scope.</t>
  </si>
  <si>
    <t>S1.fc: Est: IEA Egypt cement sector; CSI/GCCA GNR Egypt 2022. Total / S1.fp: Auth: cement production has no chemical reductant fuel</t>
  </si>
  <si>
    <t>S1.np: Auth: IPCC 2006 2A1 stoichiometric constant (44/100 × fracti / S1.no: Auth</t>
  </si>
  <si>
    <t>per t clinker (80% ratio)</t>
  </si>
  <si>
    <t>Other cement products</t>
  </si>
  <si>
    <t>2523 30 / 2523 90 (aluminous, other cements)</t>
  </si>
  <si>
    <t>Kiln (aluminous / other)</t>
  </si>
  <si>
    <t>Aggregate catch-all for aluminous cement, other cements and cement variants. ZERO Egypt volume. S2 in scope (cement).</t>
  </si>
  <si>
    <t>S1.fc: Prox kiln fuel / S1.fp: Auth none</t>
  </si>
  <si>
    <t>S1.np: Prox calcination (variant) / S1.no: Auth none</t>
  </si>
  <si>
    <t>Ammonia (net merchant)</t>
  </si>
  <si>
    <t>t NH3</t>
  </si>
  <si>
    <t>2814 10 (anhydrous ammonia)</t>
  </si>
  <si>
    <t>Steam methane reforming (SMR) + Haber-Bosch synthesis</t>
  </si>
  <si>
    <t>Egypt ammonia 2026 default = 2.07 tCO2e/t (incl 1% fertiliser markup; Argus 17 Dec 2025). Benchmark 1.522 → 1.484 after 2.5% reduction in 2026. S2 IN CBAM scope.</t>
  </si>
  <si>
    <t xml:space="preserve">S1.fc: Est: IFA/EFMA BAT Vol.1; combustion ~6-8 GJ/t NH3. Total Aut / S1.fp: Est: IFA/EFMA BAT Vol.1 standard SMR ~24-28 GJ/t NH3. Total </t>
  </si>
  <si>
    <t>S1.np: Auth: NH3 synthesis has no carbon process emissions / S1.no: Auth</t>
  </si>
  <si>
    <t>per t N (82.2% N)</t>
  </si>
  <si>
    <t>t urea</t>
  </si>
  <si>
    <t>3102 10 (urea &gt;= 45% N)</t>
  </si>
  <si>
    <t>Urea synthesis from captured CO2 + NH3 feedstock</t>
  </si>
  <si>
    <t>Egypt urea 2026 default = 1.404 tCO2e/t (incl 1% markup; Sandbag Feb 2026). Benchmark col B 0.902 (col A 0.053 for actual-data pathway). SEFA chain uses ammonia benchmark 1.522. S2 IN CBAM scope.</t>
  </si>
  <si>
    <t>S1.fc: Est: IFA/EFMA; small relative to NH3 chain. ~1.5-2.5 GJ/t ur / S1.fp: Auth: no additional reductant/feedstock in urea synthesis it</t>
  </si>
  <si>
    <t>S1.np: Auth: IPCC 2006 Vol2 3G stoichiometric constant. 44/60 = 0.7 / S1.no: Auth</t>
  </si>
  <si>
    <t>per t N (46.6% N)</t>
  </si>
  <si>
    <t>t AN</t>
  </si>
  <si>
    <t>3102 30 (AN &gt;= 28% N); 3102 40 (CAN)</t>
  </si>
  <si>
    <t>Ostwald process (NH3 → HNO3) + neutralisation (HNO3 + NH3 → NH4NO3)</t>
  </si>
  <si>
    <t>AN/CAN. Default base ~2.64 ×1.01 = 2.666 (2026, N2O-driven). Benchmark 0.302. S2 IN CBAM scope. Default value highly sensitive to assumed N2O abatement.</t>
  </si>
  <si>
    <t>S1.fc: Est: IFA/EFMA BAT Vol.3; 1.5-2.5 GJ/t AN typical. Total dire / S1.fp: Auth: HNO3 and neutralisation have no reductant</t>
  </si>
  <si>
    <t>S1.np: Auth: AN chemistry (NH4NO3) contains no carbon / S1.no: Est: IPCC 2006 2B2; GWP AR6 AII.1.2. CRITICAL: range 0.21 (w</t>
  </si>
  <si>
    <t>per t N (35.0% N)</t>
  </si>
  <si>
    <t>Other fertiliser products</t>
  </si>
  <si>
    <t>3105 / 2808 / 3102 50 (NPK, nitric acid, other N)</t>
  </si>
  <si>
    <t>NPK blend / nitric acid (mixed)</t>
  </si>
  <si>
    <t>Aggregate catch-all for NPK compounds, nitric acid, and other N fertilisers. ZERO Egypt volume. See Section D for per-good detail. S2 in scope (fertiliser).</t>
  </si>
  <si>
    <t>S1.fc: Prox blend heat / S1.fp: Auth none</t>
  </si>
  <si>
    <t>S1.np: Prox acidulation / S1.no: Prox embedded N2O</t>
  </si>
  <si>
    <t>t Al</t>
  </si>
  <si>
    <t>7601 10 (unwrought primary); 7601 20 (alloys, semi-finished); 7604 (bars/rods); 7606 (sheet/plate)</t>
  </si>
  <si>
    <t>Hall-Héroult electrolysis + carbon anode prebaking</t>
  </si>
  <si>
    <t>Primary aluminium. Default base 2.060 ×1.10 = 2.266 (2026). Benchmark 1.423. S2 NOT in CBAM scope (direct emissions only).</t>
  </si>
  <si>
    <t xml:space="preserve">S1.fc: Est: IAI 2023 smelter profile; 1.5-2.5 GJ/t range. Weighted  / S1.fp: Auth: Hall-Héroult is electrolytic; reduction is electrical </t>
  </si>
  <si>
    <t>S1.np: Auth: IPCC 2006 Vol2 2C3 default 1.5 tCO2/t Al for prebaked  / S1.no: Est: IAI 2023 Egypt country profile. Global prebaked average</t>
  </si>
  <si>
    <t>Other aluminium products</t>
  </si>
  <si>
    <t>2818 20 / 7602 / 7603 (alumina, scrap, powder)</t>
  </si>
  <si>
    <t>Refining / scrap / semis (mixed)</t>
  </si>
  <si>
    <t>Aggregate catch-all for alumina, aluminium scrap, powder and semis. ZERO Egypt volume. See Section D for alumina/scrap detail. S2 excluded (metal scope).</t>
  </si>
  <si>
    <t>S1.fc: Prox alumina/semis mean / S1.fp: Auth none</t>
  </si>
  <si>
    <t>S1.np: Prox anode/refining / S1.no: Prox residual PFC</t>
  </si>
  <si>
    <t>Hydrogen (grey, SMR)</t>
  </si>
  <si>
    <t>2804 10</t>
  </si>
  <si>
    <t>Steam methane reforming</t>
  </si>
  <si>
    <t>Grey H2 via SMR. EU transitional default 10.4 tCO2/t H2. S2 excluded (like steel/Al). Green H2 ~0.5-2.</t>
  </si>
  <si>
    <t>S1.fc: Prox SMR fuel / S1.fp: Prox NG feedstock</t>
  </si>
  <si>
    <t>S1.np: Auth none / S1.no: Auth none</t>
  </si>
  <si>
    <t>Electricity</t>
  </si>
  <si>
    <t>t CO2e/MWh</t>
  </si>
  <si>
    <t>2716 00</t>
  </si>
  <si>
    <t>Grid generation mix</t>
  </si>
  <si>
    <t>Electricity import. The EF IS the direct grid emission (tCO2/MWh). Coal grid ~0.9; gas ~0.4; default per origin mix. No S2 (it is S2).</t>
  </si>
  <si>
    <t>S1.fc: Auth (EF is direct) / S1.fp: Auth none</t>
  </si>
  <si>
    <t>S1.np: Prox grid mix (IEA 5-yr avg) / S1.no: Auth none</t>
  </si>
  <si>
    <t>SECTION B — RECONSTRUCTION &amp; CROSS-CHECK vs Section A (all 14 categories; CN-built ones rebuilt via SUMPRODUCT of Section C lines; cross-check should be 0)</t>
  </si>
  <si>
    <t>Category</t>
  </si>
  <si>
    <t>Basis</t>
  </si>
  <si>
    <t>Source</t>
  </si>
  <si>
    <t>Σwt / chk</t>
  </si>
  <si>
    <t>S1own</t>
  </si>
  <si>
    <t>S1inc</t>
  </si>
  <si>
    <t>CBAMeq</t>
  </si>
  <si>
    <t>A CBAMeq</t>
  </si>
  <si>
    <t>Δ check</t>
  </si>
  <si>
    <t>CN-reconstructed</t>
  </si>
  <si>
    <t>direct input</t>
  </si>
  <si>
    <t>n/a</t>
  </si>
  <si>
    <t>SECTION C — GLOBAL DETAIL (merged disaggregation: Egypt-specific CN lines + global-default goods, grouped by sector under each parent). Origin tagged per row.</t>
  </si>
  <si>
    <t>IRON &amp; STEEL</t>
  </si>
  <si>
    <t>CN · Egypt</t>
  </si>
  <si>
    <t>Flat-rolled HRC, hot-rolled, not clad (DRI-route share)</t>
  </si>
  <si>
    <t>7208 (10/25/26/27/36/37/38/39/40/52/53/54)</t>
  </si>
  <si>
    <t>DRI-EAF → hot strip mill</t>
  </si>
  <si>
    <t>Flat-rolled &lt;600mm, not clad (DRI-route)</t>
  </si>
  <si>
    <t>7211 13/14/19</t>
  </si>
  <si>
    <t>DRI-EAF → narrow strip</t>
  </si>
  <si>
    <t>Flat-rolled other alloy steel (DRI-route)</t>
  </si>
  <si>
    <t>7225 / 7226</t>
  </si>
  <si>
    <t>DRI-EAF → alloy flat</t>
  </si>
  <si>
    <t>Semi-finished billets/blooms (DRI-route)</t>
  </si>
  <si>
    <t>7207 11/12</t>
  </si>
  <si>
    <t>DRI-EAF → continuous casting</t>
  </si>
  <si>
    <t>Bars and rods, rebar (DRI-route long)</t>
  </si>
  <si>
    <t>7214 20/99</t>
  </si>
  <si>
    <t>DRI-EAF → bar mill</t>
  </si>
  <si>
    <t>Bars and rods, rebar (scrap-route)</t>
  </si>
  <si>
    <t>Scrap-EAF → bar mill</t>
  </si>
  <si>
    <t>Wire rod in coils (scrap-route)</t>
  </si>
  <si>
    <t>7213</t>
  </si>
  <si>
    <t>Scrap-EAF → rod mill</t>
  </si>
  <si>
    <t>Angles, shapes and sections (scrap-route)</t>
  </si>
  <si>
    <t>7216</t>
  </si>
  <si>
    <t>Scrap-EAF → section mill</t>
  </si>
  <si>
    <t>Flat HRC, scrap-EAF route share</t>
  </si>
  <si>
    <t>7208 (scrap-route share)</t>
  </si>
  <si>
    <t>Scrap-EAF → hot strip</t>
  </si>
  <si>
    <t>Flat products, BF-BOF reference (NO Egypt production)</t>
  </si>
  <si>
    <t>7208/7209/7210 (BF-BOF reference)</t>
  </si>
  <si>
    <t>BF-BOF (reference)</t>
  </si>
  <si>
    <t>Global</t>
  </si>
  <si>
    <t>Pig iron (merchant, BF)</t>
  </si>
  <si>
    <t>7201 10/20/50</t>
  </si>
  <si>
    <t>Blast furnace ironmaking</t>
  </si>
  <si>
    <t>Merchant pig iron, BF route. Precursor to BOF steel. Global default ~2.0-2.2 tCO2/t.</t>
  </si>
  <si>
    <t>S1.fc: Prox global BF (worldsteel) / S1.fp: Prox coke reductant</t>
  </si>
  <si>
    <t>S1.np: Prox BF slag/flux / S1.no: Auth none</t>
  </si>
  <si>
    <t>Direct-reduced iron (merchant)</t>
  </si>
  <si>
    <t>7203 10/90</t>
  </si>
  <si>
    <t>Gas-based direct reduction</t>
  </si>
  <si>
    <t>Merchant DRI/HBI. Gas-based global default; coal-based (India) up to 2.5. Precursor to EAF.</t>
  </si>
  <si>
    <t>S1.fc: Prox Midrex global / S1.fp: Prox NG reductant</t>
  </si>
  <si>
    <t>Ferro-silicon</t>
  </si>
  <si>
    <t>7202 21/29</t>
  </si>
  <si>
    <t>Submerged arc furnace</t>
  </si>
  <si>
    <t>FeSi 75%. Very high: carbothermic reduction + huge electricity (S2 excluded but globally large).</t>
  </si>
  <si>
    <t>S1.fc: Prox SAF global / S1.fp: Prox carbothermic reductant</t>
  </si>
  <si>
    <t>S1.np: Prox electrode / S1.no: Auth none</t>
  </si>
  <si>
    <t>Ferro-manganese</t>
  </si>
  <si>
    <t>7202 11/19</t>
  </si>
  <si>
    <t>Submerged arc / BF</t>
  </si>
  <si>
    <t>High-carbon FeMn. Carbothermic reduction of Mn ore.</t>
  </si>
  <si>
    <t>S1.fc: Prox SAF global / S1.fp: Prox carbothermic</t>
  </si>
  <si>
    <t>Ferro-chromium</t>
  </si>
  <si>
    <t>7202 41/49</t>
  </si>
  <si>
    <t>HC FeCr. Large electricity (excluded). South Africa/Kazakhstan dominant.</t>
  </si>
  <si>
    <t>CEMENT</t>
  </si>
  <si>
    <t>Cement clinker</t>
  </si>
  <si>
    <t>2523 10</t>
  </si>
  <si>
    <t>Dry kiln → clinker</t>
  </si>
  <si>
    <t>Portland cement, other (grey)</t>
  </si>
  <si>
    <t>2523 29</t>
  </si>
  <si>
    <t>Dry kiln → ground cement</t>
  </si>
  <si>
    <t>White Portland cement</t>
  </si>
  <si>
    <t>2523 21</t>
  </si>
  <si>
    <t>Dry kiln → white cement</t>
  </si>
  <si>
    <t>FERTILISERS</t>
  </si>
  <si>
    <t>Anhydrous ammonia</t>
  </si>
  <si>
    <t>2814 10</t>
  </si>
  <si>
    <t>SMR + Haber-Bosch</t>
  </si>
  <si>
    <t>Ammonia in aqueous solution</t>
  </si>
  <si>
    <t>2814 20</t>
  </si>
  <si>
    <t>SMR + Haber-Bosch → aqueous</t>
  </si>
  <si>
    <t>Urea (≥45% N)</t>
  </si>
  <si>
    <t>3102 10</t>
  </si>
  <si>
    <t>CO2 + NH3 synthesis</t>
  </si>
  <si>
    <t>3102 30</t>
  </si>
  <si>
    <t>Ostwald + neutralisation</t>
  </si>
  <si>
    <t>AN + calcium carbonate mixtures (CAN)</t>
  </si>
  <si>
    <t>3102 40</t>
  </si>
  <si>
    <t>Ostwald + CAN blending</t>
  </si>
  <si>
    <t>UAN solutions (urea-ammonium nitrate)</t>
  </si>
  <si>
    <t>3102 80</t>
  </si>
  <si>
    <t>AN + urea solution</t>
  </si>
  <si>
    <t>Nitric acid</t>
  </si>
  <si>
    <t>2808 00</t>
  </si>
  <si>
    <t>Ostwald (NH3 oxidation)</t>
  </si>
  <si>
    <t>Nitric acid precursor. N2O-dominated (AR6 GWP 273). With abatement ~0.2; without ~3.5. Precursor to AN.</t>
  </si>
  <si>
    <t>S1.fc: Prox process heat / S1.fp: Auth none</t>
  </si>
  <si>
    <t>S1.np: Auth none / S1.no: Prox N2O (abatement-dependent)</t>
  </si>
  <si>
    <t>per t N (22.2% N)</t>
  </si>
  <si>
    <t>NPK compound fertiliser</t>
  </si>
  <si>
    <t>3105 (10-90)</t>
  </si>
  <si>
    <t>Blending / granulation</t>
  </si>
  <si>
    <t>Mixed NPK. EF depends on N-content + AN/urea/nitric-acid precursors. Global default midpoint.</t>
  </si>
  <si>
    <t>S1.fc: Prox granulation heat / S1.fp: Auth none</t>
  </si>
  <si>
    <t>S1.np: Prox acidulation / S1.no: Prox embedded AN N2O</t>
  </si>
  <si>
    <t>per t N (15.0% N)</t>
  </si>
  <si>
    <t>ALUMINIUM</t>
  </si>
  <si>
    <t>Unwrought aluminium, not alloyed</t>
  </si>
  <si>
    <t>7601 10</t>
  </si>
  <si>
    <t>Hall-Héroult → ingot</t>
  </si>
  <si>
    <t>Unwrought aluminium alloys</t>
  </si>
  <si>
    <t>7601 20</t>
  </si>
  <si>
    <t>Hall-Héroult → alloy ingot</t>
  </si>
  <si>
    <t>Bars, rods and profiles</t>
  </si>
  <si>
    <t>7604</t>
  </si>
  <si>
    <t>Cast → extrusion</t>
  </si>
  <si>
    <t>Plates, sheets and strip (&gt;0.2mm)</t>
  </si>
  <si>
    <t>7606</t>
  </si>
  <si>
    <t>Cast → rolling</t>
  </si>
  <si>
    <t>Tubes and pipes</t>
  </si>
  <si>
    <t>7608</t>
  </si>
  <si>
    <t>Cast → tube</t>
  </si>
  <si>
    <t>Alumina (metallurgical)</t>
  </si>
  <si>
    <t>2818 20</t>
  </si>
  <si>
    <t>Bayer process refining</t>
  </si>
  <si>
    <t>Alumina (Al2O3) precursor to primary aluminium. Bayer digestion + calcination. S2 in scope (refining).</t>
  </si>
  <si>
    <t>S1.fc: Prox Bayer calcination / S1.fp: Auth none</t>
  </si>
  <si>
    <t>S1.np: Prox lime/caustic / S1.no: Auth none</t>
  </si>
  <si>
    <t>Aluminium waste &amp; scrap</t>
  </si>
  <si>
    <t>7602 00</t>
  </si>
  <si>
    <t>Collection / sorting</t>
  </si>
  <si>
    <t>Scrap: near-zero embedded (remelt counted downstream). Included for completeness.</t>
  </si>
  <si>
    <t>S1.fc: Prox handling / S1.fp: Auth none</t>
  </si>
  <si>
    <t>HYDROGEN</t>
  </si>
  <si>
    <t>ELECTRICITY</t>
  </si>
  <si>
    <t>COMMON BASIS: Sections A, B, C share identical columns. A = aggregate headline values (calculator consumes this). B = reconstruction &amp; cross-check adjacent to A for comparability. C = global detail (Egypt CN lines + global goods by sector). Level column tags each row.</t>
  </si>
  <si>
    <t>NH₃ INTEGRATED (full EF 1.889 incl S2): urea/AN headline CBAM-equivalent includes embedded ammonia = NH₃ content × NH₃ full EF. Net ammonia (1,785 kt) = production; gross (3,500) in memo. Urea CBAM-eq 0.488; AN 3.057; ammonia 1.889.</t>
  </si>
  <si>
    <t>CROSS-CHECK: Section B Δ column = reconstructed CBAM-eq minus Section A CBAM-eq. Zero everywhere (CN-built categories rebuild exactly via SUMPRODUCT; direct-input categories reference A). WEIGHT column in Section C = each CN line's % of parent's 2024 EU exports (sums to 100% per parent).</t>
  </si>
  <si>
    <t>EU DEFAULTS: 'EU def 2026' = base×(1+markup), +10% steel/cement/Al, +1% fert. Egypt ammonia 2.07, urea 1.404. Steel benchmarks DRI 0.481/scrap 0.072/BF-BOF 1.370; ammonia bench 1.484.</t>
  </si>
  <si>
    <t>KEY UNCERTAINTY: AN N₂O (🔴) 0.21–1.91 tCO₂e/t per KIMA/Helwan abatement. With NH₃ integrated, AN CBAM-eq 3.057 exceeds EU default 2.666 (gap +0.39).</t>
  </si>
  <si>
    <t>v1.2 corrections applied to this combined view: DRI-EAF NG 29→12.3 GJ/t (S1own 1.627→0.730); Scrap-EAF S2 4.5→2.0 GJ/t; Ammonium nitrate N₂O 2.500→0.970 tCO₂e/t (was above IPCC ceiling); Primary aluminium PFC 0.700→0.850 tCO₂e/t. Cement calcination 0.526 and BF-BOF coal/coke EFs were already correct.</t>
  </si>
  <si>
    <t>SOURCES OF EF — DATA &amp; BIBLIOGRAPHY</t>
  </si>
  <si>
    <t>Data Sources Audit Trail — Egypt CBAM EF Spreadsheet v1.2</t>
  </si>
  <si>
    <t>Source name</t>
  </si>
  <si>
    <t>Publication / database</t>
  </si>
  <si>
    <t>Variables informed</t>
  </si>
  <si>
    <t>Data year</t>
  </si>
  <si>
    <t>Conf.</t>
  </si>
  <si>
    <t>URL / access</t>
  </si>
  <si>
    <t>Notes</t>
  </si>
  <si>
    <t>Ezz Steel / Daily News Egypt 2019</t>
  </si>
  <si>
    <t>Industry news report</t>
  </si>
  <si>
    <t>DRI NG consumption 11 mmBtu/tDRI (Ezz Steel actual plant data)</t>
  </si>
  <si>
    <t>2019</t>
  </si>
  <si>
    <t>🟢</t>
  </si>
  <si>
    <t>dailynewsegypt.com</t>
  </si>
  <si>
    <t>Primary plant-level source for DRI-EAF NG correction. Explicitly confirmed for Midrex process.</t>
  </si>
  <si>
    <t>VDEh / Cavaliere 2019 (Midrex data)</t>
  </si>
  <si>
    <t>Academic/industry review</t>
  </si>
  <si>
    <t>Midrex NG split: shaft gas 9.5–10.0 GJ/tDRI; reformer fuel fraction ~20%</t>
  </si>
  <si>
    <t>2019/2022</t>
  </si>
  <si>
    <t>🟡</t>
  </si>
  <si>
    <t>vdeh.de; ScienceDirect</t>
  </si>
  <si>
    <t>Source for reformer:shaft split ~20:80. Cavaliere total 10.3–10.9 GJ/tDRI consistent with Ezz 11.61.</t>
  </si>
  <si>
    <t>WSA Energy Use in the Steel Industry</t>
  </si>
  <si>
    <t>WSA Technical Report 2023</t>
  </si>
  <si>
    <t>Route EF benchmarks; scrap-EAF electricity 0.5–0.7 MWh/t</t>
  </si>
  <si>
    <t>2022/23</t>
  </si>
  <si>
    <t>worldsteel.org/publications/</t>
  </si>
  <si>
    <t>Authority for scrap-EAF S2 correction and DRI-EAF total EF reconciliation.</t>
  </si>
  <si>
    <t>IPCC 2006 Guidelines Vol.2 Ch.2A1 — Cement</t>
  </si>
  <si>
    <t>IPCC NGHGI 2006</t>
  </si>
  <si>
    <t>Calcination EF = 0.526 tCO₂/t clinker (stoichiometric constant)</t>
  </si>
  <si>
    <t>2006</t>
  </si>
  <si>
    <t>ipcc-nggip.iges.or.jp/public/2006gl/</t>
  </si>
  <si>
    <t>Universally applied stoichiometric constant.</t>
  </si>
  <si>
    <t>IPCC 2006 Guidelines Vol.2 Ch.2B2 — Nitric acid</t>
  </si>
  <si>
    <t>N₂O from Ostwald: range 0.3–9.0 kg N₂O/t HNO₃ (upper bound 9)</t>
  </si>
  <si>
    <t>Source of IPCC ceiling that v1.0 value (2.500 → 12.9 kg/t HNO₃) violated.</t>
  </si>
  <si>
    <t>IPCC 2006 Guidelines Vol.2 Ch.2C1 — Iron and steel</t>
  </si>
  <si>
    <t>EAF electrodes/C injection; confirms DRI process CO₂=0; BOF carbon dissolution</t>
  </si>
  <si>
    <t>IPCC 2006 Guidelines Vol.2 Ch.2C3 — Aluminium</t>
  </si>
  <si>
    <t>Anode consumption EF = 1.500 tCO₂/t Al (prebaked, stoichiometric)</t>
  </si>
  <si>
    <t>Range 1.4–1.7 prebaked.</t>
  </si>
  <si>
    <t>IPCC 2006 Guidelines Vol.2 Ch.3G — Urea</t>
  </si>
  <si>
    <t>CO₂ absorption = −0.733 tCO₂/t urea (stoichiometric: 44/60)</t>
  </si>
  <si>
    <t>IPCC AR6 WG1 Annex II Table AII.1.2</t>
  </si>
  <si>
    <t>IPCC Sixth Assessment Report 2021</t>
  </si>
  <si>
    <t>GWP100: N₂O=273; CF4=7380; C₂F₆=12400</t>
  </si>
  <si>
    <t>2021</t>
  </si>
  <si>
    <t>ipcc.ch/report/ar6/wg1/</t>
  </si>
  <si>
    <t>All S1.no tCO₂e conversions.</t>
  </si>
  <si>
    <t>IFA/EFMA BAT Vol.1 — Ammonia</t>
  </si>
  <si>
    <t>IFA/EFMA Best Available Techniques</t>
  </si>
  <si>
    <t>SMR ammonia NG range 33–35 GJ/t NH₃; combustion:feedstock split</t>
  </si>
  <si>
    <t>2000/2011</t>
  </si>
  <si>
    <t>fertilizer.org/</t>
  </si>
  <si>
    <t>Total authoritative; split estimated.</t>
  </si>
  <si>
    <t>IFA/EFMA BAT Vol.3 — Nitric acid</t>
  </si>
  <si>
    <t>N₂O abatement range with/without SCR catalyst</t>
  </si>
  <si>
    <t>2000</t>
  </si>
  <si>
    <t>Consistent with IPCC 2006 2B2.</t>
  </si>
  <si>
    <t>IAI World Aluminium Statistics / GHG Pathways 2050</t>
  </si>
  <si>
    <t>IAI Reports 2023</t>
  </si>
  <si>
    <t>PFC global avg 0.8 tCO₂e/t prebake; older potlines 0.8–1.0</t>
  </si>
  <si>
    <t>world-aluminium.org/</t>
  </si>
  <si>
    <t>Basis for PFC correction from 0.700 to 0.850. Egyptalum 1980s vintage.</t>
  </si>
  <si>
    <t>IEA World Energy Balances 2024</t>
  </si>
  <si>
    <t>IEA data service</t>
  </si>
  <si>
    <t>Egypt grid EF 0.45 tCO₂/MWh (2022 actuals); sector energy</t>
  </si>
  <si>
    <t>2022</t>
  </si>
  <si>
    <t>iea.org/data-and-statistics</t>
  </si>
  <si>
    <t>Egypt grid EF for all S2 calculations.</t>
  </si>
  <si>
    <t>GCCA GNR 2022 / CSI Getting the Numbers Right</t>
  </si>
  <si>
    <t>GCCA GNR database</t>
  </si>
  <si>
    <t>Egypt cement thermal energy ~3.0 GJ/t clinker (dry kiln)</t>
  </si>
  <si>
    <t>gccassociation.org/gnr/</t>
  </si>
  <si>
    <t>WSA Steel Statistical Yearbook 2024</t>
  </si>
  <si>
    <t>World Steel Association</t>
  </si>
  <si>
    <t>Egypt total steel 10.7 Mt 2024; route split est from company data</t>
  </si>
  <si>
    <t>worldsteel.org/</t>
  </si>
  <si>
    <t>Eurostat COMEXT</t>
  </si>
  <si>
    <t>Eurostat trade database</t>
  </si>
  <si>
    <t>EU imports from Egypt by CN code: steel, Al, fertilisers, cement</t>
  </si>
  <si>
    <t>ec.europa.eu/eurostat/comext/</t>
  </si>
  <si>
    <t>Definitive EU-side statistics.</t>
  </si>
  <si>
    <t>UN Comtrade HS 2022</t>
  </si>
  <si>
    <t>UNSD Comtrade portal</t>
  </si>
  <si>
    <t>Egypt export volumes by HS code to world and EU</t>
  </si>
  <si>
    <t>comtrade.un.org/</t>
  </si>
  <si>
    <t>Egypt-side; small discrepancy vs COMEXT normal.</t>
  </si>
  <si>
    <t>IFA Production and Trade Data</t>
  </si>
  <si>
    <t>IFA database 2023</t>
  </si>
  <si>
    <t>Egypt fertiliser production by type (urea, AN, ammonia)</t>
  </si>
  <si>
    <t>2023</t>
  </si>
  <si>
    <t>Egypt 6th largest urea producer; ~3.5 Mt N total.</t>
  </si>
  <si>
    <t>IR 2025/2621 (OJ L 2025/2621, 22.12.2025)</t>
  </si>
  <si>
    <t>EU Commission Implementing Regulation</t>
  </si>
  <si>
    <t>EU default values (SEE, pre-markup) for all CBAM products</t>
  </si>
  <si>
    <t>eur-lex.europa.eu/</t>
  </si>
  <si>
    <t>Values in EU_default column.</t>
  </si>
  <si>
    <t>IR 2025/2620 (OJ L 2025/2620, 22.12.2025)</t>
  </si>
  <si>
    <t>EU free allocation equivalents (benchmarks) all CBAM products</t>
  </si>
  <si>
    <t>Values in EU_benchmark column.</t>
  </si>
  <si>
    <t>AlCircle / Egyptalum announcements</t>
  </si>
  <si>
    <t>AlCircle industry news 2024</t>
  </si>
  <si>
    <t>Egyptalum 310 kt capacity; 174 kt exports; 96% EU markets</t>
  </si>
  <si>
    <t>alcircle.com/</t>
  </si>
  <si>
    <t>Italy/Germany/Greece/Poland = 96% of Al exports.</t>
  </si>
  <si>
    <t>EF CALCULATIONS &amp; → CBAM HAND-OFF  (scope intensities feeding the CBAM model)</t>
  </si>
  <si>
    <t>Every value below is a live reference to the EF matrix above (Section A) — edit factors in the matrix and the CBAM model updates. Combustion/feedstock are GJ/t; electricity GJ/t is recovered from matrix S2 at the EF reference grid (0.45 tCO2/MWh) so the CBAM can re-apply its own declining grid EF. CBAM input_data references the C/E/G/H/I cells here.</t>
  </si>
  <si>
    <t>Combustion GJ/t</t>
  </si>
  <si>
    <t>Comb. fuel</t>
  </si>
  <si>
    <t>Feedstock GJ/t</t>
  </si>
  <si>
    <t>Feed fuel</t>
  </si>
  <si>
    <t>Electricity GJ/t</t>
  </si>
  <si>
    <t>Process CO₂ tCO₂/t</t>
  </si>
  <si>
    <t>Non-CO₂ tCO₂e/t</t>
  </si>
  <si>
    <t>nga</t>
  </si>
  <si>
    <t>—</t>
  </si>
  <si>
    <t>BF-BOF steel (ref)</t>
  </si>
  <si>
    <t>coa</t>
  </si>
  <si>
    <t>Reference only (no Egypt production)</t>
  </si>
  <si>
    <t>Grey clinker</t>
  </si>
  <si>
    <t>Combustion = coal/petcoke (EF 96.1)</t>
  </si>
  <si>
    <t>Ammonia (net)</t>
  </si>
  <si>
    <t>die</t>
  </si>
  <si>
    <t>Combustion assigned to DIESEL (EF 74.1) as representative fuel; matrix uses fuel-oil/NG blend (EF 78). ~0.008 tCO2e/t, negligible.</t>
  </si>
  <si>
    <t>Emission Factors, Benchmarks &amp; Default Values — Executive Summary</t>
  </si>
  <si>
    <t>Country: see dashboard (B5)  |  Detail year: see dashboard (B6)  |  All intensities tCO₂e/t (t N for frt.otn). Updates live with dashboard country/year selector.</t>
  </si>
  <si>
    <t>What the table below shows: for each product we produce or export, the EU CBAM regulation sets two reference points. The EU ETS benchmark is the free-allocation equivalent — the amount of embedded emissions that is effectively 'forgiven' in the CBAM calculation (i.e. already covered by the EU ETS free allocation equivalent). The EU default value is the country-specific emission intensity the EU assigns to importers who do not submit verified actual data — it is conservative by design and carries a +10% mark-up in 2026. Our model intensity is the holistic computed intensity for the selected country and year. The gap column shows how much our model intensity exceeds the benchmark.</t>
  </si>
  <si>
    <t>Interpretation: a gap greater than zero means the product is exposed to CBAM costs. A model intensity above the EU default value is unusual — it means actual emissions are higher than the EU's conservative default, which typically signals a data or methodology issue to investigate. Green = model intensity at or below benchmark (no/minimal CBAM exposure). Amber = model intensity above benchmark but below EU default. Red = model intensity above EU default (check data).</t>
  </si>
  <si>
    <t>1.  Executive comparison: model emission intensity vs EU ETS benchmark and EU default (IR 2025/2621)</t>
  </si>
  <si>
    <t>Product
(model entity code)</t>
  </si>
  <si>
    <t>EU ETS
benchmark
(tCO₂e/t)
[IR 2025/2620]</t>
  </si>
  <si>
    <t>EU default value
(IR 2025/2621)
SEE pre-markup
'Other countries'</t>
  </si>
  <si>
    <t>Model intensity
— CBAM-eligible
(tCO₂e/t)
Country: B5, Yr: B6</t>
  </si>
  <si>
    <t>Model intensity
— Holistic
(tCO₂e/t)
[incl. S2+NH₃]</t>
  </si>
  <si>
    <t>Gap:
model CBAM
minus
benchmark</t>
  </si>
  <si>
    <t>Status</t>
  </si>
  <si>
    <t>Note for decision-maker</t>
  </si>
  <si>
    <t>DRI-EAF steel
(stl.drg)</t>
  </si>
  <si>
    <t>NG-based DRI: efficient. CBAM exposure mainly from S1.fp (NG reforming). Actual (MRV) intensity well above benchmark; export exposure material by 2030.</t>
  </si>
  <si>
    <t>Scrap-EAF steel
(stl.scr)</t>
  </si>
  <si>
    <t>Scrap route: very low direct emissions. EU default assumes coal-heavy EAF. Actual data submission almost always favourable vs default.</t>
  </si>
  <si>
    <t>BF-BOF steel
(stl.bof)</t>
  </si>
  <si>
    <t>Coal-dominant; highest direct intensity of steel routes. Model calculates zero (no BF-BOF production in current 5 countries).</t>
  </si>
  <si>
    <t>Cement (grey clinker)
(cmt.dry)</t>
  </si>
  <si>
    <t>Calcination CO₂ (~60% of total) is unavoidable. S2 included in CBAM. Actual intensity typically well below EU default.</t>
  </si>
  <si>
    <t>Ammonia
(frt.amc)</t>
  </si>
  <si>
    <t>NG-based SMR dominates emissions. Model intensity driven by S1.fp. Ammonia is a precursor — its emissions cascade into urea and AN.</t>
  </si>
  <si>
    <t>Urea
(frt.ure)</t>
  </si>
  <si>
    <t>Holistic includes NH₃ chain + CO₂ absorption credit. CBAM-eligible is lower than holistic due to urea's CO₂ uptake.</t>
  </si>
  <si>
    <t>Ammonium nitrate
(frt.nit)</t>
  </si>
  <si>
    <t>N₂O from HNO₃ production dominates holistic (2.5 tCO₂e/t). CBAM-eligible includes N₂O (scope 1). Direct CBAM exposure moderate.</t>
  </si>
  <si>
    <t>Primary aluminium
(alu.prp)</t>
  </si>
  <si>
    <t>S2 (electricity) is large but EXCLUDED from CBAM for aluminium. CBAM exposure is direct only: anode consumption (~1.5) + PFCs (~0.7).</t>
  </si>
  <si>
    <t>Colour guide — purple: EU regulatory values (benchmarks, defaults). Green: model-computed (live from dashboard). Benchmark = EU ETS free-allocation equivalent (IR 2025/2620). Default = country-average SEE + mark-up from IR 2025/2621. Model holistic includes NH₃ feedstock chain and S2 electricity; model CBAM-eligible strips S2 for products where it is out of scope (steel, aluminium). Status: ✓ = no CBAM exposure above benchmark; ⚠ = exposure exists; ✗ = above conservative default (verify data).</t>
  </si>
  <si>
    <t>2.  EU default values — IR 2025/2621 (16 December 2025). Country × entity SEE table.</t>
  </si>
  <si>
    <t>Source: Commission Implementing Regulation (EU) 2025/2621 of 16 December 2025 laying down rules for the application of Regulation (EU) 2023/956 as regards the establishment of default values. OJ L 2025/2621, 22.12.2025. In force from 1 January 2026. XLS version published February 2026. No revision as of May 2026. Next review required by December 2027 at latest (Art. 3(2)). Values shown are BEFORE the annual mark-up. Mark-ups: +10% in 2026, +20% in 2027, +30% from 2028 for steel / cement / aluminium / hydrogen. EXCEPTION: fertilisers carry only +1% mark-up in 2026–2028 (Reg 2025/2083 Omnibus simplification).</t>
  </si>
  <si>
    <t>Country</t>
  </si>
  <si>
    <t>Entity
(model code)</t>
  </si>
  <si>
    <t>SEE direct
tCO₂e/t</t>
  </si>
  <si>
    <t>SEE indirect
tCO₂e/t
(S2 if in scope)</t>
  </si>
  <si>
    <t>SEE total
(pre-markup)
tCO₂e/t</t>
  </si>
  <si>
    <t>EU ETS
benchmark
tCO₂e/t</t>
  </si>
  <si>
    <t>Excess over
benchmark
tCO₂e/t</t>
  </si>
  <si>
    <t>Egypt</t>
  </si>
  <si>
    <t>Egypt listed; DRI-EAF (D); +10% markup → 1.544 in 2026</t>
  </si>
  <si>
    <t>Egypt listed; Scrap-EAF (E)</t>
  </si>
  <si>
    <t>Egypt listed; cement S2 included (+indirect)</t>
  </si>
  <si>
    <t>Egypt listed; NG-based ammonia</t>
  </si>
  <si>
    <t>Egypt listed; urea (col B benchmark 0.902)</t>
  </si>
  <si>
    <t>Egypt listed; ammonium nitrate</t>
  </si>
  <si>
    <t>Egypt listed; direct only (S2 excluded for Al)</t>
  </si>
  <si>
    <t>Albania</t>
  </si>
  <si>
    <t>Albania listed; scrap-EAF; near-hydro grid</t>
  </si>
  <si>
    <t>Albania listed; cement</t>
  </si>
  <si>
    <t>Uzbekistan</t>
  </si>
  <si>
    <t>Uzbekistan listed; scrap-EAF; NG grid</t>
  </si>
  <si>
    <t>Uzbekistan listed; DRI-EAF (NG-based)</t>
  </si>
  <si>
    <t>Uzbekistan listed; cement</t>
  </si>
  <si>
    <t>Uzbekistan listed; NG-based ammonia</t>
  </si>
  <si>
    <t>Uzbekistan listed; urea</t>
  </si>
  <si>
    <t>Uzbekistan listed; ammonium nitrate</t>
  </si>
  <si>
    <t>Azerbaijan</t>
  </si>
  <si>
    <t>Azerbaijan listed; scrap-EAF</t>
  </si>
  <si>
    <t>Azerbaijan listed; cement</t>
  </si>
  <si>
    <t>Azerbaijan listed; NG-based ammonia</t>
  </si>
  <si>
    <t>Azerbaijan listed; urea</t>
  </si>
  <si>
    <t>India</t>
  </si>
  <si>
    <t>India listed; coal DRI rotary kiln — very high</t>
  </si>
  <si>
    <t>India listed; scrap-EAF; coal grid</t>
  </si>
  <si>
    <t>India listed; BF-BOF; coal dominant</t>
  </si>
  <si>
    <t>India listed; dry kiln; coal/gas mix</t>
  </si>
  <si>
    <t>India listed; mixed coal+NG feedstock</t>
  </si>
  <si>
    <t>India listed; urea</t>
  </si>
  <si>
    <t>India listed; AN (proxy — limited production)</t>
  </si>
  <si>
    <t>India listed; direct only; coal smelting</t>
  </si>
  <si>
    <t>What default values are — explanation</t>
  </si>
  <si>
    <t>What they are</t>
  </si>
  <si>
    <t>Default values are country-specific and product-specific emission intensities (SEE = Specific Embedded Emissions, in tCO₂e/t) set by the EU Commission for use when a non-EU producer cannot or does not provide verified actual emissions data. They are intentionally conservative — set above the estimated country average — to create a financial incentive to submit actual MRV data.</t>
  </si>
  <si>
    <t>Relation to benchmarks</t>
  </si>
  <si>
    <t>The benchmark (BM, from IR 2025/2620) and the default value (SEE, from IR 2025/2621) are distinct. The benchmark is used in the CBAM formula as a deduction: certificates = max(SEE − BM×CBAM_factor, 0). The default value is what SEE is SET TO if actual data is not used. A high SEE (default) means more certificates must be purchased. A high BM means more is deducted. The gap (SEE − BM) is what drives the CBAM financial obligation.</t>
  </si>
  <si>
    <t>Mark-up schedule</t>
  </si>
  <si>
    <t>Default values carry a mark-up above the calculated country average:
  2026: +10%  |  2027: +20%  |  2028 onwards: +30%
Exception: fertilisers carry only +1% in 2026–2028 (Omnibus simplification, Reg 2025/2083, Art. 9).
The values in the table above are PRE-MARKUP. Importers using defaults in 2026 multiply by 1.10 (or 1.01 for fertilisers).</t>
  </si>
  <si>
    <t>Column A vs Column B</t>
  </si>
  <si>
    <t>IR 2025/2620 defines two columns for benchmarks:
Column A (BMg*): used when actual verified emissions are reported (Pathway A). Low values.
Column B (BMg): used when default values are applied (Pathway B). Generally higher.
For urea, this is consequential: Column A benchmark = 0.053 tCO₂/t; Column B = 0.902 tCO₂/t. For steel, both columns are identical.</t>
  </si>
  <si>
    <t>'Other countries' fallback</t>
  </si>
  <si>
    <t>IR 2025/2621 Annex I lists specific default values for named countries. Where a country is NOT listed (or is listed but a specific CN code has no value), the 'Other countries and territories' row applies. This typically gives the highest default values — the penalty for unknown origin. Example: Turkey is not listed for cement clinker as of February 2026 (Turkish Cement Manufacturers' Association confirmed actual intensity ~0.88 tCO₂/t vs the 'other countries' default of ~1.58 tCO₂/t).</t>
  </si>
  <si>
    <t>3.  EU ETS benchmarks — IR 2025/2620 (16 December 2025). Column A and Column B table.</t>
  </si>
  <si>
    <t>Source: Commission Implementing Regulation (EU) 2025/2620 of 16 December 2025 laying down rules for the application of Regulation (EU) 2023/956 as regards the calculation of the free allocation adjustment to the number of CBAM certificates to be surrendered. OJ L 2025/2620, 22.12.2025. The benchmark mirrors the EU ETS free allocation benchmarks for 2026–2030. Column A (BMg*) = benchmark for actual-data pathway. Column B (BMg) = benchmark for default-values pathway. Where identical, producers face the same deduction regardless of pathway chosen.</t>
  </si>
  <si>
    <t>Column A vs Column B — when each applies</t>
  </si>
  <si>
    <t>Pathway</t>
  </si>
  <si>
    <t>When it applies</t>
  </si>
  <si>
    <t>Benchmark used</t>
  </si>
  <si>
    <t>Net effect</t>
  </si>
  <si>
    <t>Pathway A — actual data</t>
  </si>
  <si>
    <t>Verified actual emissions from the installation</t>
  </si>
  <si>
    <t>Column A (BMg*)</t>
  </si>
  <si>
    <t>Lower deduction; but SEE is actual (often much lower than default)</t>
  </si>
  <si>
    <t>Pathway B — default values</t>
  </si>
  <si>
    <t>No verified data; EU default value used for SEE</t>
  </si>
  <si>
    <t>Column B (BMg)</t>
  </si>
  <si>
    <t>Higher deduction; but SEE is conservative default (often much higher than actual)</t>
  </si>
  <si>
    <t>Benchmark values by CN code and production route — from IR 2025/2620 Annex (near-verbatim)</t>
  </si>
  <si>
    <t>CN code</t>
  </si>
  <si>
    <t>Product description (abbreviated)</t>
  </si>
  <si>
    <t>Col A (BMg*)
tCO₂e/t</t>
  </si>
  <si>
    <t>Col B (BMg)
tCO₂e/t</t>
  </si>
  <si>
    <t>Model entity</t>
  </si>
  <si>
    <t>25231000</t>
  </si>
  <si>
    <t>Cement clinkers</t>
  </si>
  <si>
    <t>(A)</t>
  </si>
  <si>
    <t>Grey clinker benchmark</t>
  </si>
  <si>
    <t>Cement clinkers — white</t>
  </si>
  <si>
    <t>(B)</t>
  </si>
  <si>
    <t>White clinker — distinct benchmark</t>
  </si>
  <si>
    <t>25232100</t>
  </si>
  <si>
    <t>Portland cement, excl. white</t>
  </si>
  <si>
    <t>cmt.dry (proxy)</t>
  </si>
  <si>
    <t>7206</t>
  </si>
  <si>
    <t>Iron/non-alloy steel ingots — BF/BOF</t>
  </si>
  <si>
    <t>(C)</t>
  </si>
  <si>
    <t>Finalised Dec 2025 (down from 1.530 in draft)</t>
  </si>
  <si>
    <t>Iron/non-alloy steel ingots — DRI/EAF</t>
  </si>
  <si>
    <t>(D)</t>
  </si>
  <si>
    <t>Finalised Dec 2025 (down from 1.033 in draft)</t>
  </si>
  <si>
    <t>Iron/non-alloy steel ingots — Scrap/EAF</t>
  </si>
  <si>
    <t>(E)</t>
  </si>
  <si>
    <t>Sharp reduction from 0.288 draft — scrap carries near-zero upstream</t>
  </si>
  <si>
    <t>7207</t>
  </si>
  <si>
    <t>Semi-finished steel — BF/BOF</t>
  </si>
  <si>
    <t>Semi-finished steel — DRI/EAF</t>
  </si>
  <si>
    <t>Semi-finished steel — Scrap/EAF</t>
  </si>
  <si>
    <t>7201</t>
  </si>
  <si>
    <t>Pig iron and spiegeleisen</t>
  </si>
  <si>
    <t>stl.oth (component)</t>
  </si>
  <si>
    <t>No route split; ~1.9 tCO₂/t single value</t>
  </si>
  <si>
    <t>7202 4</t>
  </si>
  <si>
    <t>Ferro-manganese (FeMn)</t>
  </si>
  <si>
    <t>7202 6</t>
  </si>
  <si>
    <t>Ferro-chromium (FeCr)</t>
  </si>
  <si>
    <t>Approx.; range 3–5 by grade</t>
  </si>
  <si>
    <t>7202 7</t>
  </si>
  <si>
    <t>Ferro-nickel (FeNi / NPI)</t>
  </si>
  <si>
    <t>High intensity; verify in Annex I</t>
  </si>
  <si>
    <t>7203</t>
  </si>
  <si>
    <t>DRI / spongy iron (traded)</t>
  </si>
  <si>
    <t>stl.drg / stl.oth</t>
  </si>
  <si>
    <t>Same as DRI-EAF route</t>
  </si>
  <si>
    <t>Ammonia, anhydrous</t>
  </si>
  <si>
    <t>Revised down from 1.57 in draft</t>
  </si>
  <si>
    <t>Urea (&gt;45% N)</t>
  </si>
  <si>
    <t>CRITICAL: Col A vs B gap — 17× difference</t>
  </si>
  <si>
    <t>31022100</t>
  </si>
  <si>
    <t>Ammonium sulphate</t>
  </si>
  <si>
    <t>frt.otn (component)</t>
  </si>
  <si>
    <t>Approx. from IFA/EFMA derivation</t>
  </si>
  <si>
    <t>31028000</t>
  </si>
  <si>
    <t>UAN solution</t>
  </si>
  <si>
    <t>Blend benchmark (urea + AN components)</t>
  </si>
  <si>
    <t>76011000</t>
  </si>
  <si>
    <t>Primary aluminium, unwrought</t>
  </si>
  <si>
    <t>(K)</t>
  </si>
  <si>
    <t>S2 excluded from CBAM for aluminium</t>
  </si>
  <si>
    <t>76012000</t>
  </si>
  <si>
    <t>Secondary aluminium (alloyed)</t>
  </si>
  <si>
    <t>(L)</t>
  </si>
  <si>
    <t>Near-zero; recycled content</t>
  </si>
  <si>
    <t>76041000–76091000</t>
  </si>
  <si>
    <t>Al bars/rods/plates/sheet/foil/tubes</t>
  </si>
  <si>
    <t>alu.prp (proxy)</t>
  </si>
  <si>
    <t>Primary + 0.056 forming step</t>
  </si>
  <si>
    <t>28041000</t>
  </si>
  <si>
    <t>Hydrogen</t>
  </si>
  <si>
    <t>Green H₂ near-zero; grey ~10 (not modelled)</t>
  </si>
  <si>
    <t>CBAM factor schedule — IR 2025/2620 Annex, Table 1 (near-verbatim)</t>
  </si>
  <si>
    <t>The CBAM factor determines what share of embedded emissions must be covered by certificates. It rises from 2.5% in 2026 to 100% from 2034. This is the phase-in schedule as free allocation under the EU ETS is simultaneously reduced. Formula: certificates = max(SEE − BM × CBAM_factor × CSCF, 0) × CBAM_factor. At low CBAM factors (2026–2028) the financial obligation is minimal; the big step is 2030 (48.5%).</t>
  </si>
  <si>
    <t>Year</t>
  </si>
  <si>
    <t>Free alloc. remaining (%)</t>
  </si>
  <si>
    <t>Certificates as % of gross exposure</t>
  </si>
  <si>
    <t>4.  Technical explainer — CBAM formula, production routes, and key observations</t>
  </si>
  <si>
    <t>CBAM formula
(definitive phase,
from 2026)</t>
  </si>
  <si>
    <t>Certificates to surrender = max( SEE − SEFA, 0 ) × CBAM factor
  SEE  = Specific Embedded Emissions (tCO₂e/t), from Pathway A or B
  SEFA = Specific Embedded Free Allocation = CBAM factor × BM × CSCF
  CBAM factor = phase-in share (see schedule above)
  BM   = CBAM benchmark (Col A or B depending on pathway)
  CSCF = Cross-Sectoral Correction Factor (currently 1.0 for 2026–2030)
Model simplification: CBAM/t = max(MRV_int − BM×(1−CBAM_factor), 0) × ETS_price × FX × active
where (1−CBAM_factor) arises from BM − SEFA = BM×CBAM_factor, so BM − BM×CBAM_factor = BM×(1−CBAM_factor)</t>
  </si>
  <si>
    <t>Crediting of
carbon prices
already paid</t>
  </si>
  <si>
    <t>Article 9, Reg (EU) 2023/956: certificates are reduced by any carbon price effectively paid in the country of origin, provided the price is legally binding and not reimbursed. This is the mechanism by which an exporting country captures CBAM revenue domestically. The model calculates the optimal carbon price as the level at which domestic revenue equals the CBAM gross obligation — leaving zero net revenue for the EU.</t>
  </si>
  <si>
    <t>Production route
indicators (Annex I)</t>
  </si>
  <si>
    <t>Each CN code in IR 2025/2621 Annex I may specify a production route determining which benchmark applies:
(A) grey clinker  (B) white clinker  (C) BF/BOF  (D) DRI/EAF  (E) Scrap/EAF
(F) Low alloy BF/BOF  (G) Low alloy DRI/EAF  (H) Low alloy Scrap/EAF
(J) High alloy EAF  (K) Primary aluminium  (L) Secondary (recycled) aluminium
Where no route is indicated for a CN code, the benchmark is independent of production route.</t>
  </si>
  <si>
    <t>Key observation:
urea Column A vs B</t>
  </si>
  <si>
    <t>The benchmark differential between Column A and Column B is most consequential for urea. Column A = 0.053 tCO₂/t (the free-allocation equivalent for actual-data producers, reflecting that modern urea plants with CO₂ uptake have very low measured output intensity). Column B = 0.902 tCO₂/t (the default-pathway benchmark). An Egyptian urea producer with actual verified data faces a fundamentally different CBAM calculation than one relying on defaults — the difference is not just the SEE but also the benchmark deduction.</t>
  </si>
  <si>
    <t>Key observation:
scrap-EAF benchmark</t>
  </si>
  <si>
    <t>The scrap-EAF benchmark fell sharply in the final IR 2025/2621 vs the November 2024 drafts: from 0.288 tCO₂/t in the draft to 0.072 tCO₂/t in the regulation. This reflects the principle that scrap steel carries zero embedded upstream ore-processing emissions. At 0.072 tCO₂/t, virtually all scrap-EAF steel will sit below or at the benchmark, meaning negligible CBAM exposure for Turkey's dominant EAF sector.</t>
  </si>
  <si>
    <t>Scope of indirect
emissions (S2)</t>
  </si>
  <si>
    <t>CBAM covers indirect emissions (Scope 2, from electricity) only for cement and fertilisers (Annex II of Reg 2023/956). Steel and aluminium: direct emissions only. This matters significantly for aluminium smelters where S2 can be 10–20× the direct intensity. For Egyptalum, the ~54 GJ/t electricity consumption generates large holistic S2 intensity but this is irrelevant for CBAM certificate calculations.</t>
  </si>
  <si>
    <t>●  EF SOURCE DATA  ●  Egypt — Production, Total Exports &amp; EU Exports by Product (kt), 2024–2035</t>
  </si>
  <si>
    <t>Sources: Production — WSA 2024 (steel); Kpler/Global Cement 2024 (cement); IFA 2023 (fertilisers); IAI 2023 (Al). EU exports — Eurostat COMEXT 2024; UN Comtrade 2024. Yellow = editable inputs. Growth: GDP × sector elasticity.</t>
  </si>
  <si>
    <t>GDP growth p.a. assumption</t>
  </si>
  <si>
    <t>Sector elasticity inputs (yellow = editable)</t>
  </si>
  <si>
    <t>Elasticity</t>
  </si>
  <si>
    <t>kt</t>
  </si>
  <si>
    <t>BF-BOF steel (reference)</t>
  </si>
  <si>
    <t>Ammonia (gross production)</t>
  </si>
  <si>
    <t>Ammonium nitrate (AN/CAN)</t>
  </si>
  <si>
    <t>Production (kt)</t>
  </si>
  <si>
    <t>Elast</t>
  </si>
  <si>
    <t>Source notes</t>
  </si>
  <si>
    <t>Prod: WSA 2024 Egypt (~10.7 Mt total; DRI-EAF ~48%). EU: ~25–30% of total steel exports (Eurostat COMEXT). AD duty on HRC from Oct 2025 may redirect volumes.</t>
  </si>
  <si>
    <t>Prod: Remainder of 10.7 Mt after DRI allocation. HRC exports subject to EU AD duty Oct 2025.</t>
  </si>
  <si>
    <t>ZERO production. Hadisolb plant liquidated Jan 2021. Reference row only.</t>
  </si>
  <si>
    <t>Prod: ~50 Mt 2023/24 (World Cement Assoc). Exports: 9.7 Mt 2024 (Kpler/Global Cement). EU ~0.8 Mt clinker (Eurostat 252310).</t>
  </si>
  <si>
    <t>Capacity 6 Mt; actual ~3.5 Mt 2024 (IFA; gas supply constraints). Net NH₃ = gross minus committed to urea (×0.567) and AN (×0.213). See volumes sheet.</t>
  </si>
  <si>
    <t>Egypt 5th–6th largest urea exporter globally. Abu Qir 578 kt; MOPCO ~1.7 Mt; EFC; KIMA. EU ~$1.69bn 2025 ≈ 1.5–1.7 Mt.</t>
  </si>
  <si>
    <t>KIMA + Helwan + Abu Qir. AN capacity ~600 kt. EU: CAN exports per Comtrade 31023090/31024000.</t>
  </si>
  <si>
    <t>Egyptalum only: 310 kt capacity, ~290–300 kt actual 2024. Exports 174 kt 2023/24 (AlCircle). 96% to EU (Italy/Germany/Greece/Poland). +300 kt Trafigura JV planned.</t>
  </si>
  <si>
    <t>Total exports (kt)</t>
  </si>
  <si>
    <t>EU exports (kt)</t>
  </si>
  <si>
    <t>Net ammonia — gross production minus NH₃ committed to downstream products</t>
  </si>
  <si>
    <t>Net NH₃ = Gross NH₃ kt − (Urea kt × 0.567) − (AN kt × 0.213). Molar: urea 2×17/60; AN 17/80. Embedded NH₃ emissions = volume × NH₃ content × NH₃ direct EF (S1 only = 1.851 tCO₂/t NH₃).</t>
  </si>
  <si>
    <t>EGYPT FACILITIES (CBAM-relevant plants)</t>
  </si>
  <si>
    <t>●  EF SOURCE DATA  ●  Egypt — CBAM-relevant facilities by sector</t>
  </si>
  <si>
    <t>All facilities in Egypt producing CBAM-eligible goods as of 2024/2025. 'Facility' here corresponds to what the CBAM regulation calls an 'installation' — the production unit whose embedded emissions must be reported. Each row is one facility. Multiple facilities within one corporate group are listed separately. CBAM reporting is at installation level, not company level. Sources: GEM Steel Plant Tracker, Ezz Steel IR, Cemnet.com, Abu Qir/MOPCO/KIMA annual reports, USGS Mineral Yearbooks, IAI, Egyptian Fertilizer Association.</t>
  </si>
  <si>
    <t>\</t>
  </si>
  <si>
    <t>SECTION A — Iron &amp; Steel (CBAM CN 7206/7207 and related)</t>
  </si>
  <si>
    <t>Facility / installation name</t>
  </si>
  <si>
    <t>Operating company</t>
  </si>
  <si>
    <t>Location</t>
  </si>
  <si>
    <t>CBAM entity
(model code)</t>
  </si>
  <si>
    <t>Technology /
process route</t>
  </si>
  <si>
    <t>Annual capacity
(Mt/yr crude steel)</t>
  </si>
  <si>
    <t>Approx. 2024
actual output</t>
  </si>
  <si>
    <t>EU-relevant exports
(indicative)</t>
  </si>
  <si>
    <t>CBAM intensity
estimate tCO₂/t</t>
  </si>
  <si>
    <t>EU default value
tCO₂/t (for origin)</t>
  </si>
  <si>
    <t>Notes / CBAM status</t>
  </si>
  <si>
    <t>EZDK — Al Ezz Dekheila Steel, Alexandria</t>
  </si>
  <si>
    <t>Ezz Steel (EZDK; 64% Ezz Steel, 20% Egyptian Govt)</t>
  </si>
  <si>
    <t>Dekheila port, Alexandria</t>
  </si>
  <si>
    <t>DRI (Midrex, 3 modules, 3.1 Mt/yr) + 4×EAF (80% DRI + 20% scrap)</t>
  </si>
  <si>
    <t>Exports rebar, wire rod, HRC. EU share ~15–20%.</t>
  </si>
  <si>
    <t>~1.5–1.8 (NG-based DRI is efficient; grid adds S2)</t>
  </si>
  <si>
    <t>~1.80 (Egypt default; Reg 2025/2621 Annex I)</t>
  </si>
  <si>
    <t>Largest DRI complex in MENA. 4 EAFs (80MVA×4). CBAM-eligible on EU HRC/rebar exports. Midrex shaft process, natural gas reforming. EZDK listed on EGX (ticker: IRAX).</t>
  </si>
  <si>
    <t>Ezz Flat Steel Ain Sokhna (EFS)</t>
  </si>
  <si>
    <t>Ezz Steel (subsidiary)</t>
  </si>
  <si>
    <t>Ain Sokhna industrial zone, Suez governorate</t>
  </si>
  <si>
    <t>DRI mega module (HYL/Danieli) + 2×EAF 185t, 133/160 MVA &amp; 210 MVA</t>
  </si>
  <si>
    <t>Flat products (HRC, slabs). EU-oriented export stream.</t>
  </si>
  <si>
    <t>~1.6–1.9</t>
  </si>
  <si>
    <t>~1.80</t>
  </si>
  <si>
    <t>Opened 2015 with world's largest single DRI module at commissioning. Second EAF commissioned 2023. Produces HRC for export. CBAM obligation on EU HRC exports.</t>
  </si>
  <si>
    <t>Ezz Steel Sadat City — rebar</t>
  </si>
  <si>
    <t>Ezz Steel Co. S.A.E.</t>
  </si>
  <si>
    <t>Sadat City, Menofia governorate</t>
  </si>
  <si>
    <t>1×EAF (80% DRI + 20% scrap) + 2 rolling mills</t>
  </si>
  <si>
    <t>Rebar for domestic market; limited EU export.</t>
  </si>
  <si>
    <t>~1.5–1.7</t>
  </si>
  <si>
    <t>Ezz Steel's first plant (1994). Primarily serves domestic construction market. CBAM exposure mainly indirect through export of other Ezz entities.</t>
  </si>
  <si>
    <t>Suez Steel / Solb Misr — Attaka plant</t>
  </si>
  <si>
    <t>Solb Misr (part of National Service Products Organisation)</t>
  </si>
  <si>
    <t>Attaka, Suez governorate</t>
  </si>
  <si>
    <t>DRI (Energiron / Danieli, 1.95 Mt/yr) + EAF (Danieli, 1.25 Mt/yr)</t>
  </si>
  <si>
    <t>Long products (billets, blooms). Some EU exports.</t>
  </si>
  <si>
    <t>Egypt's second largest steelmaker. DRI plant commissioned 2023. Part of military-affiliated conglomerate. Blooms and round billets sold openly.</t>
  </si>
  <si>
    <t>Delta Steel / Beshay Steel</t>
  </si>
  <si>
    <t>Beshay Steel Group</t>
  </si>
  <si>
    <t>10th of Ramadan City, Sharqia governorate</t>
  </si>
  <si>
    <t>EAF (scrap-based); multiple furnaces</t>
  </si>
  <si>
    <t>Rebar for domestic use; minimal EU export.</t>
  </si>
  <si>
    <t>~0.5–0.7 (scrap EAF)</t>
  </si>
  <si>
    <t>~0.72 (Egypt scrap-EAF default)</t>
  </si>
  <si>
    <t>Scrap-EAF mini-mill. CBAM exposure lower due to scrap route and minimal EU exports.</t>
  </si>
  <si>
    <t>National Iron &amp; Steel (Hadisolb) — Helwan</t>
  </si>
  <si>
    <t>Formerly Egyptian Iron &amp; Steel Co. (state-owned)</t>
  </si>
  <si>
    <t>Helwan, South Cairo</t>
  </si>
  <si>
    <t>BF-BOF (integrated blast furnace; in liquidation since Jan 2021)</t>
  </si>
  <si>
    <t>Zero — plant in liquidation.</t>
  </si>
  <si>
    <t>N/A — not operating</t>
  </si>
  <si>
    <t>N/A</t>
  </si>
  <si>
    <t>Historical note only. Hadisolb was Egypt's original integrated steelworks. Entered liquidation January 2021; contributes zero output. Was a BF-BOF route.</t>
  </si>
  <si>
    <t>SECTION B — Cement (CBAM CN 25231000, 25232100, 25232900)</t>
  </si>
  <si>
    <t>Facility name</t>
  </si>
  <si>
    <t>Type</t>
  </si>
  <si>
    <t>Capacity (Mt/yr clinker)</t>
  </si>
  <si>
    <t>2024 est. output</t>
  </si>
  <si>
    <t>EU export orientation</t>
  </si>
  <si>
    <t>Intensity est.
tCO₂/t clinker</t>
  </si>
  <si>
    <t>EU default
tCO₂/t</t>
  </si>
  <si>
    <t>Ownership</t>
  </si>
  <si>
    <t>Lafarge Egypt — Sokhna plant</t>
  </si>
  <si>
    <t>Lafarge Holcim Egypt (Holcim 80%)</t>
  </si>
  <si>
    <t>Ain Sokhna, Suez</t>
  </si>
  <si>
    <t>Dry kiln</t>
  </si>
  <si>
    <t>Major exporter — EU, Africa, GCC</t>
  </si>
  <si>
    <t>~0.75–0.83</t>
  </si>
  <si>
    <t>~1.58</t>
  </si>
  <si>
    <t>Holcim (80%) / Egyptian investors</t>
  </si>
  <si>
    <t>Largest cement plant in Egypt. 5 production lines. Key CBAM-exposed exporter.</t>
  </si>
  <si>
    <t>Cemex Assiut Cement</t>
  </si>
  <si>
    <t>Cemex Egypt</t>
  </si>
  <si>
    <t>Assiut, Upper Egypt</t>
  </si>
  <si>
    <t>Domestic focus; some exports</t>
  </si>
  <si>
    <t>~0.78–0.85</t>
  </si>
  <si>
    <t>Cemex (100%)</t>
  </si>
  <si>
    <t>Old established plant; partially upgraded. Limited EU exposure.</t>
  </si>
  <si>
    <t>Italcementi Suez Cement</t>
  </si>
  <si>
    <t>Heidelberg Materials Egypt (formerly Italcementi)</t>
  </si>
  <si>
    <t>Suez</t>
  </si>
  <si>
    <t>Export-oriented via Suez Canal</t>
  </si>
  <si>
    <t>~0.78–0.84</t>
  </si>
  <si>
    <t>Heidelberg Materials (majority)</t>
  </si>
  <si>
    <t>Suez location favours export. CBAM relevant.</t>
  </si>
  <si>
    <t>Italcementi Tourah Cement</t>
  </si>
  <si>
    <t>Heidelberg Materials / Tourah Portland</t>
  </si>
  <si>
    <t>Tourah, Cairo</t>
  </si>
  <si>
    <t>Dry/wet mix</t>
  </si>
  <si>
    <t>Mainly domestic</t>
  </si>
  <si>
    <t>~0.80–0.88</t>
  </si>
  <si>
    <t>Older plant; wet kiln lines remain. Lower efficiency.</t>
  </si>
  <si>
    <t>Army Al Arish Cement</t>
  </si>
  <si>
    <t>National Service Products Organisation (NSPO / Military)</t>
  </si>
  <si>
    <t>Al Arish, North Sinai</t>
  </si>
  <si>
    <t>Domestic + some North Africa exports</t>
  </si>
  <si>
    <t>~0.78–0.83</t>
  </si>
  <si>
    <t>Egyptian Military (NSPO)</t>
  </si>
  <si>
    <t>Military-controlled. Limited export transparency.</t>
  </si>
  <si>
    <t>Vicat Sinai Cement</t>
  </si>
  <si>
    <t>Vicat SA (France, majority)</t>
  </si>
  <si>
    <t>Ain Sukhna road, Sinai corridor</t>
  </si>
  <si>
    <t>Export (EU, Mediterranean)</t>
  </si>
  <si>
    <t>~0.77–0.82</t>
  </si>
  <si>
    <t>Vicat SA (~60%)</t>
  </si>
  <si>
    <t>Modern plant. EU exposure through exports. CBAM directly relevant.</t>
  </si>
  <si>
    <t>Misr Beni Suef Cement</t>
  </si>
  <si>
    <t>ASEC Holding (subsidiary)</t>
  </si>
  <si>
    <t>Beni Suef, Upper Egypt</t>
  </si>
  <si>
    <t>ASEC Holding / Egyptian investors</t>
  </si>
  <si>
    <t>Under ASEC technical management.</t>
  </si>
  <si>
    <t>Misr Cement Qena</t>
  </si>
  <si>
    <t>Qena, Upper Egypt</t>
  </si>
  <si>
    <t>~0.79–0.85</t>
  </si>
  <si>
    <t>ASEC Holding</t>
  </si>
  <si>
    <t>Arabian Cement</t>
  </si>
  <si>
    <t>Arabian Cement Co (listed EGX)</t>
  </si>
  <si>
    <t>Ain Sokhna area, Suez</t>
  </si>
  <si>
    <t>Exports (EU, Mediterranean, Africa)</t>
  </si>
  <si>
    <t>Saudi / Egyptian investors (listed)</t>
  </si>
  <si>
    <t>Titan Cement Egypt — Alexandria</t>
  </si>
  <si>
    <t>Titan Cement SA (Greece)</t>
  </si>
  <si>
    <t>Alexandria</t>
  </si>
  <si>
    <t>Mediterranean exports</t>
  </si>
  <si>
    <t>~0.76–0.81</t>
  </si>
  <si>
    <t>EU parent; good MRV capability.</t>
  </si>
  <si>
    <t>Titan Cement Egypt — Beni Suef</t>
  </si>
  <si>
    <t>Beni Suef</t>
  </si>
  <si>
    <t>El Sewedy Cement</t>
  </si>
  <si>
    <t>El Sewedy Electric (Egyptian group)</t>
  </si>
  <si>
    <t>6th October City, Giza</t>
  </si>
  <si>
    <t>Export (Africa, some EU)</t>
  </si>
  <si>
    <t>~0.79–0.84</t>
  </si>
  <si>
    <t>El Sewedy Electric</t>
  </si>
  <si>
    <t>South Valley Cement</t>
  </si>
  <si>
    <t>South Valley Cement Co (listed EGX)</t>
  </si>
  <si>
    <t>Qena / Sohag area</t>
  </si>
  <si>
    <t>Egyptian investors (listed)</t>
  </si>
  <si>
    <t>ASEC Cement — El Minya</t>
  </si>
  <si>
    <t>Minya, Upper Egypt</t>
  </si>
  <si>
    <t>Sinai Cement (White)</t>
  </si>
  <si>
    <t>North Sinai</t>
  </si>
  <si>
    <t>Dry kiln (white cement)</t>
  </si>
  <si>
    <t>Specialty exports</t>
  </si>
  <si>
    <t>~0.83–0.90</t>
  </si>
  <si>
    <t>White cement specialist. CBAM benchmark (B) = 0.859 for white clinker.</t>
  </si>
  <si>
    <t>SECTION C — Fertilisers (CBAM CN 28141000, 31021010, 31023090, 31022100)</t>
  </si>
  <si>
    <t>Facility / company</t>
  </si>
  <si>
    <t>Owner / shareholder</t>
  </si>
  <si>
    <t>Ammonia capacity (kt/yr)</t>
  </si>
  <si>
    <t>Urea capacity (kt/yr)</t>
  </si>
  <si>
    <t>AN/other (kt/yr)</t>
  </si>
  <si>
    <t>Est. 2024 output</t>
  </si>
  <si>
    <t>EU export share</t>
  </si>
  <si>
    <t>CBAM intensity (tCO₂/t product)</t>
  </si>
  <si>
    <t>Abu Qir Fertilizers (AFC)</t>
  </si>
  <si>
    <t>Abu Dhabi Dev. Holding 21.5%, SEIC 19.8%, EGPC 19.1%, public float</t>
  </si>
  <si>
    <t>Abu Qir, Alexandria</t>
  </si>
  <si>
    <t>Ammonia, granular urea, AN, UAN, prilled urea, ammonium sulphate</t>
  </si>
  <si>
    <t>300 (AN) + amsul</t>
  </si>
  <si>
    <t>~2.2 Mt total (all products, 2023)</t>
  </si>
  <si>
    <t>~50% of urea output exported to EU (largest single EU supplier)</t>
  </si>
  <si>
    <t>NH₃ ~1.4 tCO₂/t; Urea ~1.4 tCO₂/t (Egypt default)</t>
  </si>
  <si>
    <t>Egypt's largest nitrogen fertiliser producer; ~50% of national N output. 3 ammonia-urea trains plus AN section. CBAM most exposed Egyptian fertiliser facility. December 2024: signed green H₂ and energy efficiency agreements to prepare for CBAM. Abu Qir is listed on EGX (ticker: ABUK). EU export share estimated 40–50% of urea output.</t>
  </si>
  <si>
    <t>MOPCO — Misr Fertilizer Production Co.</t>
  </si>
  <si>
    <t>EBIC 20%, public float 41.5%, Egyptian investors</t>
  </si>
  <si>
    <t>Damietta / Borg El Arab, Alexandria</t>
  </si>
  <si>
    <t>Ammonia, granular urea</t>
  </si>
  <si>
    <t>~1.0 Mt urea (est.)</t>
  </si>
  <si>
    <t>~20–30% EU / Mediterranean</t>
  </si>
  <si>
    <t>Urea ~1.4 tCO₂/t (Egypt default)</t>
  </si>
  <si>
    <t>MOPCO operates two ammonia-urea trains. Listed on EGX (MOPCO.CA). Modern NG-based Haber-Bosch + Stamicarbon urea synthesis.</t>
  </si>
  <si>
    <t>Egypt Basic Industries Corp. (EBIC)</t>
  </si>
  <si>
    <t>SABIC 50%, Fertiglobe 25%, Japanese consortium 25%</t>
  </si>
  <si>
    <t>Ain Sokhna Industrial Zone, Suez</t>
  </si>
  <si>
    <t>Ammonia only (exported)</t>
  </si>
  <si>
    <t>~0.65 Mt ammonia (est.)</t>
  </si>
  <si>
    <t>~20% EU (mainly ammonia to European chemical sector)</t>
  </si>
  <si>
    <t>NH₃ ~1.0–1.3 tCO₂/t (modern plant; lower than Egypt average)</t>
  </si>
  <si>
    <t>One of Egypt's most efficient ammonia plants. Natural gas feedstock at subsidised rate. CBAM: ammonia is CBAM-eligible (CN 28141000). EU imports of ammonia rising as Algeria/Russia redirect.</t>
  </si>
  <si>
    <t>Egyptian Fertilizers Co. (EFC)</t>
  </si>
  <si>
    <t>Aabar Investments (Abu Dhabi) 55%, Egyptian investors</t>
  </si>
  <si>
    <t>~0.5 Mt urea (est.)</t>
  </si>
  <si>
    <t>~30% EU / Mediterranean</t>
  </si>
  <si>
    <t>Urea ~1.4 tCO₂/t</t>
  </si>
  <si>
    <t>NG-based ammonia-urea. Part of Fertiglobe group indirectly.</t>
  </si>
  <si>
    <t>KIMA — Egyptian Chemical Industries</t>
  </si>
  <si>
    <t>State-owned (Egyptian state via Ministry of Public Business Sector)</t>
  </si>
  <si>
    <t>Aswan, Upper Egypt</t>
  </si>
  <si>
    <t>Ammonium nitrate, nitric acid, some ammonia</t>
  </si>
  <si>
    <t>260 (AN) + nitric acid</t>
  </si>
  <si>
    <t>~0.25 Mt AN + nitric acid (est.)</t>
  </si>
  <si>
    <t>Mainly domestic; limited EU export</t>
  </si>
  <si>
    <t>AN ~0.30 tCO₂/t (direct); older plant using hydro power for electrolysis historically</t>
  </si>
  <si>
    <t>Egypt's oldest nitrogen fertiliser company. Located at Aswan High Dam — historically used low-cost hydropower for nitrogen fixation. Now NG-based. CBAM: ammonium nitrate (CN 31023090) in scope. Nitric acid (CN 28080000) also CBAM-eligible. Limited EU export; mainly domestic agricultural use.</t>
  </si>
  <si>
    <t>HELWAN FERTILIZERS Co.</t>
  </si>
  <si>
    <t>Egyptian state (Metallurgical Industries Holding)</t>
  </si>
  <si>
    <t>Ammonium nitrate, nitric acid</t>
  </si>
  <si>
    <t>200 (AN)</t>
  </si>
  <si>
    <t>~0.18 Mt AN (est.)</t>
  </si>
  <si>
    <t>AN ~0.30 tCO₂/t</t>
  </si>
  <si>
    <t>Part of military-affiliated industrial group. Domestic market focus. CBAM exposure minimal.</t>
  </si>
  <si>
    <t>Alexandria Fertilizers (ALEXFERT)</t>
  </si>
  <si>
    <t>OCI NV (Netherlands) majority shareholder</t>
  </si>
  <si>
    <t>~0.45 Mt urea (est.)</t>
  </si>
  <si>
    <t>~35% EU</t>
  </si>
  <si>
    <t>NH₃ ~1.3 tCO₂/t; Urea ~1.4 tCO₂/t</t>
  </si>
  <si>
    <t>OCI-operated plant (OCI is listed Amsterdam). NG-based, modern. OCI has MRV capability given EU parent company obligations.</t>
  </si>
  <si>
    <t>Ain Al Sokhna Phosphatic Fertilizer (NCIC)</t>
  </si>
  <si>
    <t>National Services Products Organisation (Military)</t>
  </si>
  <si>
    <t>Ain Al Sokhna, Suez</t>
  </si>
  <si>
    <t>Ammonia, urea, calcium ammonium nitrate (CAN)</t>
  </si>
  <si>
    <t>300 (CAN)</t>
  </si>
  <si>
    <t>~0.35 Mt urea + 0.30 Mt CAN (est.)</t>
  </si>
  <si>
    <t>~15% EU / some Africa</t>
  </si>
  <si>
    <t>Multi-product; ~1.3–1.5 tCO₂/t urea</t>
  </si>
  <si>
    <t>Military-controlled. Commissioned 2019. Has ammonia, urea, and CAN (calcium ammonium nitrate). CAN (CN 31026000) is excluded from CBAM scope.</t>
  </si>
  <si>
    <t>SECTION D — Primary Aluminium (CBAM CN 76011000)</t>
  </si>
  <si>
    <t>Facility</t>
  </si>
  <si>
    <t>Operator</t>
  </si>
  <si>
    <t>Technology</t>
  </si>
  <si>
    <t>Current capacity (kt/yr)</t>
  </si>
  <si>
    <t>2024 output (kt/yr)</t>
  </si>
  <si>
    <t>CBAM intensity
tCO₂/t (est.)</t>
  </si>
  <si>
    <t>Grid EF</t>
  </si>
  <si>
    <t>Egyptalum — Nag Hammadi smelter (existing)</t>
  </si>
  <si>
    <t>Egyptian Aluminium Co. (EGAL / Egyptalum); parent: Metallurgical Industries Holding (MIH), state-owned</t>
  </si>
  <si>
    <t>Nag Hammadi, Qena governorate, Upper Egypt</t>
  </si>
  <si>
    <t>Hall-Héroult electrolysis (prebaked anodes); anode plant on-site; cast house</t>
  </si>
  <si>
    <t>~60% of output exported to EU (per company statements)</t>
  </si>
  <si>
    <t>~1.8–2.1 tCO₂/t direct (anode + process); S2 excluded per CBAM Annex II</t>
  </si>
  <si>
    <t>~1.87 tCO₂/t (India default level; Egypt not separately listed — use 'other countries and territories' ~2.0 estimate)</t>
  </si>
  <si>
    <t>0.51 tCO₂/MWh (declining toward 0.40 by 2035)</t>
  </si>
  <si>
    <t>Egypt's only primary aluminium producer. Largest in North Africa. Nile grid historically (Upper Egypt); 2026 solar PPA (Obelisk/Scatec 500MW) will progressively lower S2 intensity. CBAM exposure: direct emissions only (Annex II); S2 is NOT in CBAM scope for aluminium. May 2026: term sheet signed with Trafigura for +300kt expansion (NewCo JV, $750–900m capex). Expansion targeted at ~2028–2030 commissioning. Expansion will include new 150kt/yr anode plant. EU export share of ~60% is highly significant — this facility is the key Egyptian CBAM aluminium exposure. CBAM obligation 2030 est. (at current intensity, 48.5% factor, €115/t ETS): ~(1.9 − 1.423×0.515) × 115 × 1.10 ≈ USD 155/t direct CBAM cost per exported tonne.</t>
  </si>
  <si>
    <t>Egyptalum — proposed expansion (NewCo with Trafigura)</t>
  </si>
  <si>
    <t>NewCo: Trafigura (minority equity) + Egyptalum + MIH (term sheet May 2026)</t>
  </si>
  <si>
    <t>Hall-Héroult, new greenfield potline (prebaked, modern anode technology)</t>
  </si>
  <si>
    <t>Expected &gt;60% EU export (Trafigura offtake)</t>
  </si>
  <si>
    <t>~1.5–1.7 tCO₂/t (modern greenfield; lower anode consumption; solar power PPA)</t>
  </si>
  <si>
    <t>~2.0 (until verified actuals available; default pathway until MRV established)</t>
  </si>
  <si>
    <t>Target: 0.20–0.30 tCO₂/MWh (dedicated solar + storage PPA)</t>
  </si>
  <si>
    <t>Not yet operational. Term sheet signed 6 May 2026. EBRD considering $80m loan for solar supply. If solar PPA (Scatec/Obelisk 500MW) fully serves NewCo, S2 intensity approaches zero. Direct emissions (anode + anode effect PFCs) will determine CBAM obligation. Modern prebaked technology targets low PFC emissions. CBAM obligation under solar scenario would be ~(1.5 × 0.515) − 1.423 × 0.515 ≈ near-zero at benchmark. Significant CBAM design consideration for offtake pricing with Trafigura.</t>
  </si>
  <si>
    <t>CBAM EXPOSURE SUMMARY — EGYPT:
Steel: Egypt produces ~10 Mt crude steel, &gt;95% via DRI-EAF route (natural gas Midrex/HYL). Dominant exporters: EZDK and Ezz Flat Steel (Ain Sokhna). EU export share ~15–20% of steel output. CBAM benchmark 0.481 tCO₂/t (DRI-EAF); Egypt's actual intensity ~1.5–1.8 tCO₂/t → material excess. At 2030 conditions (~USD 64/t cement; ~USD 68/t steel), steel CBAM cost is the largest fiscal item.
Cement: Egypt has ~70 Mt/yr clinker capacity. Major exporters face CBAM on EU + Mediterranean exports. Turkey and Algeria compete for same EU cement market. Benchmark 0.666 tCO₂/t; Egypt actual ~0.78 tCO₂/t.
Fertilisers: Abu Qir Fertilizers is the critical installation — ~50% of Egyptian N fertiliser output, ~40–50% EU-destined. December 2024 sustainability agreements signal active CBAM preparation. Urea benchmark 0.902 tCO₂/t; Egypt default ~1.404 tCO₂/t per IR 2025/2621 → USD ~43/t CBAM cost in 2026.
Aluminium: Egyptalum is the sole primary producer. ~60% EU export; direct-only CBAM (Annex II). Benchmark 1.423 tCO₂/t direct; Egyptalum actual direct ~1.8–2.0 tCO₂/t. Planned Trafigura expansion (2028+) with solar power would dramatically lower intensity.
Key policy lever: an Egyptian domestic carbon price at ~USD 94/t (optimal CP, 2030) would fully capture the CBAM gross obligation (~USD 376m across all sectors) as Egyptian fiscal revenue.</t>
  </si>
  <si>
    <t>EF QUALITY ASSURANCE</t>
  </si>
  <si>
    <t>Own-process CBAM-eq</t>
  </si>
  <si>
    <t>Integrated CBAM-eq</t>
  </si>
  <si>
    <t>EU default</t>
  </si>
  <si>
    <t>Gap vs default</t>
  </si>
  <si>
    <t>Key uncertainty</t>
  </si>
  <si>
    <t>v1.1 correction</t>
  </si>
  <si>
    <t>Iron &amp; steel</t>
  </si>
  <si>
    <t>1.889 (NH₃ n/a)</t>
  </si>
  <si>
    <t>-1.090</t>
  </si>
  <si>
    <t>NG intensity (Ezz actual 11 mmBtu/tDRI)</t>
  </si>
  <si>
    <t>❌ MAJOR: NG 29→12.3 GJ/t; CBAM-eq 1.627→0.730</t>
  </si>
  <si>
    <t>-0.565</t>
  </si>
  <si>
    <t>N₂O negligible; S2 excluded; robust</t>
  </si>
  <si>
    <t>⚠ MINOR: S2 4.5→2.0 GJ/t (CBAM-eq unaffected)</t>
  </si>
  <si>
    <t>N/A (ref only)</t>
  </si>
  <si>
    <t>-0.628</t>
  </si>
  <si>
    <t>✓ EF sheet already coal/coke 96.1 (calc was corrected separately)</t>
  </si>
  <si>
    <t>-0.709</t>
  </si>
  <si>
    <t>Calcination 0.526 Auth IPCC</t>
  </si>
  <si>
    <t>✓ Already correct (0.526 calcination)</t>
  </si>
  <si>
    <t>Fertilisers</t>
  </si>
  <si>
    <t>1.889 (own)</t>
  </si>
  <si>
    <t>+0.063</t>
  </si>
  <si>
    <t>NG 33 GJ/t (Egypt vintage; IEAGHG BAT 1.8)</t>
  </si>
  <si>
    <t>✓ No correction needed</t>
  </si>
  <si>
    <t>0.488 integrated</t>
  </si>
  <si>
    <t>-2.463</t>
  </si>
  <si>
    <t>CO₂ uptake −0.733 IPCC Auth</t>
  </si>
  <si>
    <t>1.527 integrated</t>
  </si>
  <si>
    <t>+0.156</t>
  </si>
  <si>
    <t>N₂O abatement at KIMA/Helwan unconfirmed</t>
  </si>
  <si>
    <t>❌ MAJOR: N₂O 2.500→0.970 (was above IPCC ceiling)</t>
  </si>
  <si>
    <t>Aluminium</t>
  </si>
  <si>
    <t>+0.446</t>
  </si>
  <si>
    <t>PFC for 1980s potlines; IAI older avg 0.85</t>
  </si>
  <si>
    <t>⚠ MINOR: PFC 0.700→0.850 (IAI older potlines)</t>
  </si>
  <si>
    <t>CBAM calculations</t>
  </si>
  <si>
    <t>Country pulled from CBAM!$B$5. All formulas resolve dynamically. Two intensities per entity: holistic (cradle-to-gate) and MRV (CBAM-eligible).</t>
  </si>
  <si>
    <t>code</t>
  </si>
  <si>
    <t>cty</t>
  </si>
  <si>
    <t>dom</t>
  </si>
  <si>
    <t>par</t>
  </si>
  <si>
    <t>sec</t>
  </si>
  <si>
    <t>prc</t>
  </si>
  <si>
    <t>sub</t>
  </si>
  <si>
    <t>variable</t>
  </si>
  <si>
    <t>description</t>
  </si>
  <si>
    <t>1. GDP index (compound, base 2024 = 1.00)</t>
  </si>
  <si>
    <t>pj</t>
  </si>
  <si>
    <t>grw</t>
  </si>
  <si>
    <t>---</t>
  </si>
  <si>
    <t>GDP growth rate (lookup)</t>
  </si>
  <si>
    <t>frac/yr</t>
  </si>
  <si>
    <t>Pulled from input_data based on selected country.</t>
  </si>
  <si>
    <t>idx</t>
  </si>
  <si>
    <t>GDP index (cumulative, 2024 base)</t>
  </si>
  <si>
    <t>index</t>
  </si>
  <si>
    <t>Compounded from 2024 base year using growth rate.</t>
  </si>
  <si>
    <t>2. Fuel EF helper block (kgCO2/GJ, pulled from input_data)</t>
  </si>
  <si>
    <t>ef</t>
  </si>
  <si>
    <t>eff</t>
  </si>
  <si>
    <t>Fuel EF — Coal</t>
  </si>
  <si>
    <t>kgCO2/GJ</t>
  </si>
  <si>
    <t>Pulled from input_data section 2.</t>
  </si>
  <si>
    <t>Fuel EF — Natural gas</t>
  </si>
  <si>
    <t>gso</t>
  </si>
  <si>
    <t>Fuel EF — Gasoline</t>
  </si>
  <si>
    <t>Fuel EF — Diesel</t>
  </si>
  <si>
    <t>ker</t>
  </si>
  <si>
    <t>Fuel EF — Kerosene</t>
  </si>
  <si>
    <t>lpg</t>
  </si>
  <si>
    <t>Fuel EF — LPG</t>
  </si>
  <si>
    <t>bio</t>
  </si>
  <si>
    <t>Fuel EF — Biomass</t>
  </si>
  <si>
    <t>ren</t>
  </si>
  <si>
    <t>Fuel EF — Self-gen renewables</t>
  </si>
  <si>
    <t>3.stl.drg. DRI-EAF steel — calculations</t>
  </si>
  <si>
    <t>prd</t>
  </si>
  <si>
    <t>drg</t>
  </si>
  <si>
    <t>Production — DRI-EAF steel</t>
  </si>
  <si>
    <t>Mt</t>
  </si>
  <si>
    <t>base × GDP_index^elasticity.</t>
  </si>
  <si>
    <t>eux</t>
  </si>
  <si>
    <t>EU exports — DRI-EAF steel</t>
  </si>
  <si>
    <t>Production × EU export share.</t>
  </si>
  <si>
    <t>nex</t>
  </si>
  <si>
    <t>Non-EU exports — DRI-EAF steel</t>
  </si>
  <si>
    <t>Production × (export total − EU export share).</t>
  </si>
  <si>
    <t>Domestic consumption — DRI-EAF steel</t>
  </si>
  <si>
    <t>prd × (1 − ext) × (1 + imp).</t>
  </si>
  <si>
    <t>enc</t>
  </si>
  <si>
    <t>DRI-EAF steel — Coal combustion</t>
  </si>
  <si>
    <t>PJ</t>
  </si>
  <si>
    <t>Production × combustion intensity.</t>
  </si>
  <si>
    <t>DRI-EAF steel — Natural gas combustion</t>
  </si>
  <si>
    <t>DRI-EAF steel — Gasoline combustion</t>
  </si>
  <si>
    <t>DRI-EAF steel — Diesel combustion</t>
  </si>
  <si>
    <t>DRI-EAF steel — Kerosene combustion</t>
  </si>
  <si>
    <t>DRI-EAF steel — LPG combustion</t>
  </si>
  <si>
    <t>DRI-EAF steel — Biomass combustion</t>
  </si>
  <si>
    <t>DRI-EAF steel — Self-gen renewables combustion</t>
  </si>
  <si>
    <t>enp</t>
  </si>
  <si>
    <t>DRI-EAF steel — Coal process/reductant</t>
  </si>
  <si>
    <t>Production × process intensity.</t>
  </si>
  <si>
    <t>DRI-EAF steel — Natural gas process/reductant</t>
  </si>
  <si>
    <t>DRI-EAF steel — Gasoline process/reductant</t>
  </si>
  <si>
    <t>DRI-EAF steel — Diesel process/reductant</t>
  </si>
  <si>
    <t>DRI-EAF steel — Kerosene process/reductant</t>
  </si>
  <si>
    <t>DRI-EAF steel — LPG process/reductant</t>
  </si>
  <si>
    <t>DRI-EAF steel — Biomass process/reductant</t>
  </si>
  <si>
    <t>DRI-EAF steel — Self-gen renewables process/reductant</t>
  </si>
  <si>
    <t>ele</t>
  </si>
  <si>
    <t>elc</t>
  </si>
  <si>
    <t>DRI-EAF steel — electricity</t>
  </si>
  <si>
    <t>Production × electricity intensity.</t>
  </si>
  <si>
    <t>em</t>
  </si>
  <si>
    <t>sfc</t>
  </si>
  <si>
    <t>DRI-EAF steel — S1.fc combustion CO₂</t>
  </si>
  <si>
    <t>MtCO2</t>
  </si>
  <si>
    <t>SUMPRODUCT(cmb energy × fuel EF) / 1000.</t>
  </si>
  <si>
    <t>sfp</t>
  </si>
  <si>
    <t>DRI-EAF steel — S1.fp process fuel CO₂</t>
  </si>
  <si>
    <t>SUMPRODUCT(prc energy × fuel EF) / 1000. Coke/PCI for BF, NG for DRI/SMR.</t>
  </si>
  <si>
    <t>snp</t>
  </si>
  <si>
    <t>DRI-EAF steel — S1.np non-fuel process CO₂</t>
  </si>
  <si>
    <t>Production × non-fuel EF (calcination, urea uptake, anode oxidation).</t>
  </si>
  <si>
    <t>sno</t>
  </si>
  <si>
    <t>DRI-EAF steel — S1.no non-CO₂ GHG</t>
  </si>
  <si>
    <t>MtCO2e</t>
  </si>
  <si>
    <t>Production × non-CO2 EF (N2O from HNO3, PFCs from aluminium).</t>
  </si>
  <si>
    <t>s2e</t>
  </si>
  <si>
    <t>DRI-EAF steel — S2 electricity</t>
  </si>
  <si>
    <t>Electricity PJ × grid EF / 3.6.</t>
  </si>
  <si>
    <t>3.stl.scr. Scrap-EAF steel — calculations</t>
  </si>
  <si>
    <t>scr</t>
  </si>
  <si>
    <t>Production — Scrap-EAF steel</t>
  </si>
  <si>
    <t>EU exports — Scrap-EAF steel</t>
  </si>
  <si>
    <t>Non-EU exports — Scrap-EAF steel</t>
  </si>
  <si>
    <t>Domestic consumption — Scrap-EAF steel</t>
  </si>
  <si>
    <t>Scrap-EAF steel — Coal combustion</t>
  </si>
  <si>
    <t>Scrap-EAF steel — Natural gas combustion</t>
  </si>
  <si>
    <t>Scrap-EAF steel — Gasoline combustion</t>
  </si>
  <si>
    <t>Scrap-EAF steel — Diesel combustion</t>
  </si>
  <si>
    <t>Scrap-EAF steel — Kerosene combustion</t>
  </si>
  <si>
    <t>Scrap-EAF steel — LPG combustion</t>
  </si>
  <si>
    <t>Scrap-EAF steel — Biomass combustion</t>
  </si>
  <si>
    <t>Scrap-EAF steel — Self-gen renewables combustion</t>
  </si>
  <si>
    <t>Scrap-EAF steel — Coal process/reductant</t>
  </si>
  <si>
    <t>Scrap-EAF steel — Natural gas process/reductant</t>
  </si>
  <si>
    <t>Scrap-EAF steel — Gasoline process/reductant</t>
  </si>
  <si>
    <t>Scrap-EAF steel — Diesel process/reductant</t>
  </si>
  <si>
    <t>Scrap-EAF steel — Kerosene process/reductant</t>
  </si>
  <si>
    <t>Scrap-EAF steel — LPG process/reductant</t>
  </si>
  <si>
    <t>Scrap-EAF steel — Biomass process/reductant</t>
  </si>
  <si>
    <t>Scrap-EAF steel — Self-gen renewables process/reductant</t>
  </si>
  <si>
    <t>Scrap-EAF steel — electricity</t>
  </si>
  <si>
    <t>Scrap-EAF steel — S1.fc combustion CO₂</t>
  </si>
  <si>
    <t>Scrap-EAF steel — S1.fp process fuel CO₂</t>
  </si>
  <si>
    <t>Scrap-EAF steel — S1.np non-fuel process CO₂</t>
  </si>
  <si>
    <t>Scrap-EAF steel — S1.no non-CO₂ GHG</t>
  </si>
  <si>
    <t>Scrap-EAF steel — S2 electricity</t>
  </si>
  <si>
    <t>3.stl.bof. BF-BOF steel — calculations</t>
  </si>
  <si>
    <t>bof</t>
  </si>
  <si>
    <t>Production — BF-BOF steel</t>
  </si>
  <si>
    <t>EU exports — BF-BOF steel</t>
  </si>
  <si>
    <t>Non-EU exports — BF-BOF steel</t>
  </si>
  <si>
    <t>Domestic consumption — BF-BOF steel</t>
  </si>
  <si>
    <t>BF-BOF steel — Coal combustion</t>
  </si>
  <si>
    <t>BF-BOF steel — Natural gas combustion</t>
  </si>
  <si>
    <t>BF-BOF steel — Gasoline combustion</t>
  </si>
  <si>
    <t>BF-BOF steel — Diesel combustion</t>
  </si>
  <si>
    <t>BF-BOF steel — Kerosene combustion</t>
  </si>
  <si>
    <t>BF-BOF steel — LPG combustion</t>
  </si>
  <si>
    <t>BF-BOF steel — Biomass combustion</t>
  </si>
  <si>
    <t>BF-BOF steel — Self-gen renewables combustion</t>
  </si>
  <si>
    <t>BF-BOF steel — Coal process/reductant</t>
  </si>
  <si>
    <t>BF-BOF steel — Natural gas process/reductant</t>
  </si>
  <si>
    <t>BF-BOF steel — Gasoline process/reductant</t>
  </si>
  <si>
    <t>BF-BOF steel — Diesel process/reductant</t>
  </si>
  <si>
    <t>BF-BOF steel — Kerosene process/reductant</t>
  </si>
  <si>
    <t>BF-BOF steel — LPG process/reductant</t>
  </si>
  <si>
    <t>BF-BOF steel — Biomass process/reductant</t>
  </si>
  <si>
    <t>BF-BOF steel — Self-gen renewables process/reductant</t>
  </si>
  <si>
    <t>BF-BOF steel — electricity</t>
  </si>
  <si>
    <t>BF-BOF steel — S1.fc combustion CO₂</t>
  </si>
  <si>
    <t>BF-BOF steel — S1.fp process fuel CO₂</t>
  </si>
  <si>
    <t>BF-BOF steel — S1.np non-fuel process CO₂</t>
  </si>
  <si>
    <t>BF-BOF steel — S1.no non-CO₂ GHG</t>
  </si>
  <si>
    <t>BF-BOF steel — S2 electricity</t>
  </si>
  <si>
    <t>3.cmt.dry. Cement — calculations</t>
  </si>
  <si>
    <t>dry</t>
  </si>
  <si>
    <t>Production — Cement</t>
  </si>
  <si>
    <t>EU exports — Cement</t>
  </si>
  <si>
    <t>Non-EU exports — Cement</t>
  </si>
  <si>
    <t>Domestic consumption — Cement</t>
  </si>
  <si>
    <t>Cement — Coal combustion</t>
  </si>
  <si>
    <t>Cement — Natural gas combustion</t>
  </si>
  <si>
    <t>Cement — Gasoline combustion</t>
  </si>
  <si>
    <t>Cement — Diesel combustion</t>
  </si>
  <si>
    <t>Cement — Kerosene combustion</t>
  </si>
  <si>
    <t>Cement — LPG combustion</t>
  </si>
  <si>
    <t>Cement — Biomass combustion</t>
  </si>
  <si>
    <t>Cement — Self-gen renewables combustion</t>
  </si>
  <si>
    <t>Cement — Coal process/reductant</t>
  </si>
  <si>
    <t>Cement — Natural gas process/reductant</t>
  </si>
  <si>
    <t>Cement — Gasoline process/reductant</t>
  </si>
  <si>
    <t>Cement — Diesel process/reductant</t>
  </si>
  <si>
    <t>Cement — Kerosene process/reductant</t>
  </si>
  <si>
    <t>Cement — LPG process/reductant</t>
  </si>
  <si>
    <t>Cement — Biomass process/reductant</t>
  </si>
  <si>
    <t>Cement — Self-gen renewables process/reductant</t>
  </si>
  <si>
    <t>Cement — electricity</t>
  </si>
  <si>
    <t>Cement — S1.fc combustion CO₂</t>
  </si>
  <si>
    <t>Cement — S1.fp process fuel CO₂</t>
  </si>
  <si>
    <t>Cement — S1.np non-fuel process CO₂</t>
  </si>
  <si>
    <t>Cement — S1.no non-CO₂ GHG</t>
  </si>
  <si>
    <t>Cement — S2 electricity</t>
  </si>
  <si>
    <t>3.frt.amc. Ammonia — calculations</t>
  </si>
  <si>
    <t>amc</t>
  </si>
  <si>
    <t>Production — Ammonia</t>
  </si>
  <si>
    <t>EU exports — Ammonia</t>
  </si>
  <si>
    <t>Non-EU exports — Ammonia</t>
  </si>
  <si>
    <t>Domestic consumption — Ammonia</t>
  </si>
  <si>
    <t>Ammonia — Coal combustion</t>
  </si>
  <si>
    <t>Ammonia — Natural gas combustion</t>
  </si>
  <si>
    <t>Ammonia — Gasoline combustion</t>
  </si>
  <si>
    <t>Ammonia — Diesel combustion</t>
  </si>
  <si>
    <t>Ammonia — Kerosene combustion</t>
  </si>
  <si>
    <t>Ammonia — LPG combustion</t>
  </si>
  <si>
    <t>Ammonia — Biomass combustion</t>
  </si>
  <si>
    <t>Ammonia — Self-gen renewables combustion</t>
  </si>
  <si>
    <t>Ammonia — Coal process/reductant</t>
  </si>
  <si>
    <t>Ammonia — Natural gas process/reductant</t>
  </si>
  <si>
    <t>Ammonia — Gasoline process/reductant</t>
  </si>
  <si>
    <t>Ammonia — Diesel process/reductant</t>
  </si>
  <si>
    <t>Ammonia — Kerosene process/reductant</t>
  </si>
  <si>
    <t>Ammonia — LPG process/reductant</t>
  </si>
  <si>
    <t>Ammonia — Biomass process/reductant</t>
  </si>
  <si>
    <t>Ammonia — Self-gen renewables process/reductant</t>
  </si>
  <si>
    <t>Ammonia — electricity</t>
  </si>
  <si>
    <t>Ammonia — S1.fc combustion CO₂</t>
  </si>
  <si>
    <t>Ammonia — S1.fp process fuel CO₂</t>
  </si>
  <si>
    <t>Ammonia — S1.np non-fuel process CO₂</t>
  </si>
  <si>
    <t>Ammonia — S1.no non-CO₂ GHG</t>
  </si>
  <si>
    <t>Ammonia — S2 electricity</t>
  </si>
  <si>
    <t>3.frt.ure. Urea — calculations</t>
  </si>
  <si>
    <t>ure</t>
  </si>
  <si>
    <t>Production — Urea</t>
  </si>
  <si>
    <t>EU exports — Urea</t>
  </si>
  <si>
    <t>Non-EU exports — Urea</t>
  </si>
  <si>
    <t>Domestic consumption — Urea</t>
  </si>
  <si>
    <t>Urea — Coal combustion</t>
  </si>
  <si>
    <t>Urea — Natural gas combustion</t>
  </si>
  <si>
    <t>Urea — Gasoline combustion</t>
  </si>
  <si>
    <t>Urea — Diesel combustion</t>
  </si>
  <si>
    <t>Urea — Kerosene combustion</t>
  </si>
  <si>
    <t>Urea — LPG combustion</t>
  </si>
  <si>
    <t>Urea — Biomass combustion</t>
  </si>
  <si>
    <t>Urea — Self-gen renewables combustion</t>
  </si>
  <si>
    <t>Urea — Coal process/reductant</t>
  </si>
  <si>
    <t>Urea — Natural gas process/reductant</t>
  </si>
  <si>
    <t>Urea — Gasoline process/reductant</t>
  </si>
  <si>
    <t>Urea — Diesel process/reductant</t>
  </si>
  <si>
    <t>Urea — Kerosene process/reductant</t>
  </si>
  <si>
    <t>Urea — LPG process/reductant</t>
  </si>
  <si>
    <t>Urea — Biomass process/reductant</t>
  </si>
  <si>
    <t>Urea — Self-gen renewables process/reductant</t>
  </si>
  <si>
    <t>Urea — electricity</t>
  </si>
  <si>
    <t>Urea — S1.fc combustion CO₂</t>
  </si>
  <si>
    <t>Urea — S1.fp process fuel CO₂</t>
  </si>
  <si>
    <t>Urea — S1.np non-fuel process CO₂</t>
  </si>
  <si>
    <t>Urea — S1.no non-CO₂ GHG</t>
  </si>
  <si>
    <t>Urea — S2 electricity</t>
  </si>
  <si>
    <t>3.frt.nit. Ammonium nitrate — calculations</t>
  </si>
  <si>
    <t>nit</t>
  </si>
  <si>
    <t>Production — Ammonium nitrate</t>
  </si>
  <si>
    <t>EU exports — Ammonium nitrate</t>
  </si>
  <si>
    <t>Non-EU exports — Ammonium nitrate</t>
  </si>
  <si>
    <t>Domestic consumption — Ammonium nitrate</t>
  </si>
  <si>
    <t>Ammonium nitrate — Coal combustion</t>
  </si>
  <si>
    <t>Ammonium nitrate — Natural gas combustion</t>
  </si>
  <si>
    <t>Ammonium nitrate — Gasoline combustion</t>
  </si>
  <si>
    <t>Ammonium nitrate — Diesel combustion</t>
  </si>
  <si>
    <t>Ammonium nitrate — Kerosene combustion</t>
  </si>
  <si>
    <t>Ammonium nitrate — LPG combustion</t>
  </si>
  <si>
    <t>Ammonium nitrate — Biomass combustion</t>
  </si>
  <si>
    <t>Ammonium nitrate — Self-gen renewables combustion</t>
  </si>
  <si>
    <t>Ammonium nitrate — Coal process/reductant</t>
  </si>
  <si>
    <t>Ammonium nitrate — Natural gas process/reductant</t>
  </si>
  <si>
    <t>Ammonium nitrate — Gasoline process/reductant</t>
  </si>
  <si>
    <t>Ammonium nitrate — Diesel process/reductant</t>
  </si>
  <si>
    <t>Ammonium nitrate — Kerosene process/reductant</t>
  </si>
  <si>
    <t>Ammonium nitrate — LPG process/reductant</t>
  </si>
  <si>
    <t>Ammonium nitrate — Biomass process/reductant</t>
  </si>
  <si>
    <t>Ammonium nitrate — Self-gen renewables process/reductant</t>
  </si>
  <si>
    <t>Ammonium nitrate — electricity</t>
  </si>
  <si>
    <t>Ammonium nitrate — S1.fc combustion CO₂</t>
  </si>
  <si>
    <t>Ammonium nitrate — S1.fp process fuel CO₂</t>
  </si>
  <si>
    <t>Ammonium nitrate — S1.np non-fuel process CO₂</t>
  </si>
  <si>
    <t>Ammonium nitrate — S1.no non-CO₂ GHG</t>
  </si>
  <si>
    <t>Ammonium nitrate — S2 electricity</t>
  </si>
  <si>
    <t>3.alu.prp. Primary aluminium — calculations</t>
  </si>
  <si>
    <t>prp</t>
  </si>
  <si>
    <t>Production — Primary aluminium</t>
  </si>
  <si>
    <t>EU exports — Primary aluminium</t>
  </si>
  <si>
    <t>Non-EU exports — Primary aluminium</t>
  </si>
  <si>
    <t>Domestic consumption — Primary aluminium</t>
  </si>
  <si>
    <t>Primary aluminium — Coal combustion</t>
  </si>
  <si>
    <t>Primary aluminium — Natural gas combustion</t>
  </si>
  <si>
    <t>Primary aluminium — Gasoline combustion</t>
  </si>
  <si>
    <t>Primary aluminium — Diesel combustion</t>
  </si>
  <si>
    <t>Primary aluminium — Kerosene combustion</t>
  </si>
  <si>
    <t>Primary aluminium — LPG combustion</t>
  </si>
  <si>
    <t>Primary aluminium — Biomass combustion</t>
  </si>
  <si>
    <t>Primary aluminium — Self-gen renewables combustion</t>
  </si>
  <si>
    <t>Primary aluminium — Coal process/reductant</t>
  </si>
  <si>
    <t>Primary aluminium — Natural gas process/reductant</t>
  </si>
  <si>
    <t>Primary aluminium — Gasoline process/reductant</t>
  </si>
  <si>
    <t>Primary aluminium — Diesel process/reductant</t>
  </si>
  <si>
    <t>Primary aluminium — Kerosene process/reductant</t>
  </si>
  <si>
    <t>Primary aluminium — LPG process/reductant</t>
  </si>
  <si>
    <t>Primary aluminium — Biomass process/reductant</t>
  </si>
  <si>
    <t>Primary aluminium — Self-gen renewables process/reductant</t>
  </si>
  <si>
    <t>Primary aluminium — electricity</t>
  </si>
  <si>
    <t>Primary aluminium — S1.fc combustion CO₂</t>
  </si>
  <si>
    <t>Primary aluminium — S1.fp process fuel CO₂</t>
  </si>
  <si>
    <t>Primary aluminium — S1.np non-fuel process CO₂</t>
  </si>
  <si>
    <t>Primary aluminium — S1.no non-CO₂ GHG</t>
  </si>
  <si>
    <t>Primary aluminium — S2 electricity</t>
  </si>
  <si>
    <t>4. NH₃ chain accounting + holistic totals + MRV intensity + CBAM obligation per tonne</t>
  </si>
  <si>
    <t>nh3</t>
  </si>
  <si>
    <t>DRI-EAF steel — NH₃ chain (upstream)</t>
  </si>
  <si>
    <t>Embedded emissions from upstream ammonia feedstock. = NH3 factor × ammonia direct-emissions per t × this product's production. ONLY ammonia's direct emissions are pulled into the chain to avoid double-counting S2 (this product's electricity is counted separately).</t>
  </si>
  <si>
    <t>tot</t>
  </si>
  <si>
    <t>DRI-EAF steel — total holistic emissions</t>
  </si>
  <si>
    <t>Sum of S1.fc + S1.fp + S1.np + S1.no + S2 + NH3 chain.</t>
  </si>
  <si>
    <t>cb</t>
  </si>
  <si>
    <t>int</t>
  </si>
  <si>
    <t>DRI-EAF steel — holistic intensity</t>
  </si>
  <si>
    <t>tCO2e/t</t>
  </si>
  <si>
    <t>Total emissions / production (cradle-to-gate).</t>
  </si>
  <si>
    <t>mrv</t>
  </si>
  <si>
    <t>DRI-EAF steel — MRV intensity (CBAM-eligible)</t>
  </si>
  <si>
    <t>If MRV=1: holistic intensity minus S2/prod × (1−cs2). If MRV=0: EU default value.</t>
  </si>
  <si>
    <t>obl</t>
  </si>
  <si>
    <t>DRI-EAF steel — CBAM obligation/t</t>
  </si>
  <si>
    <t>USD/t</t>
  </si>
  <si>
    <t>MAX(MRV_int − benchmark×(1−cbf), 0) × ETS × act × fxr.</t>
  </si>
  <si>
    <t>Scrap-EAF steel — NH₃ chain (upstream)</t>
  </si>
  <si>
    <t>Scrap-EAF steel — total holistic emissions</t>
  </si>
  <si>
    <t>Scrap-EAF steel — holistic intensity</t>
  </si>
  <si>
    <t>Scrap-EAF steel — MRV intensity (CBAM-eligible)</t>
  </si>
  <si>
    <t>Scrap-EAF steel — CBAM obligation/t</t>
  </si>
  <si>
    <t>BF-BOF steel — NH₃ chain (upstream)</t>
  </si>
  <si>
    <t>BF-BOF steel — total holistic emissions</t>
  </si>
  <si>
    <t>BF-BOF steel — holistic intensity</t>
  </si>
  <si>
    <t>BF-BOF steel — MRV intensity (CBAM-eligible)</t>
  </si>
  <si>
    <t>BF-BOF steel — CBAM obligation/t</t>
  </si>
  <si>
    <t>Cement — NH₃ chain (upstream)</t>
  </si>
  <si>
    <t>Cement — total holistic emissions</t>
  </si>
  <si>
    <t>Cement — holistic intensity</t>
  </si>
  <si>
    <t>Cement — MRV intensity (CBAM-eligible)</t>
  </si>
  <si>
    <t>Cement — CBAM obligation/t</t>
  </si>
  <si>
    <t>Ammonia — NH₃ chain (upstream)</t>
  </si>
  <si>
    <t>Ammonia — total holistic emissions</t>
  </si>
  <si>
    <t>Ammonia — holistic intensity</t>
  </si>
  <si>
    <t>Ammonia — MRV intensity (CBAM-eligible)</t>
  </si>
  <si>
    <t>Ammonia — CBAM obligation/t</t>
  </si>
  <si>
    <t>Urea — NH₃ chain (upstream)</t>
  </si>
  <si>
    <t>Urea — total holistic emissions</t>
  </si>
  <si>
    <t>Urea — holistic intensity</t>
  </si>
  <si>
    <t>Urea — MRV intensity (CBAM-eligible)</t>
  </si>
  <si>
    <t>Urea — CBAM obligation/t</t>
  </si>
  <si>
    <t>Ammonium nitrate — NH₃ chain (upstream)</t>
  </si>
  <si>
    <t>Ammonium nitrate — total holistic emissions</t>
  </si>
  <si>
    <t>Ammonium nitrate — holistic intensity</t>
  </si>
  <si>
    <t>Ammonium nitrate — MRV intensity (CBAM-eligible)</t>
  </si>
  <si>
    <t>Ammonium nitrate — CBAM obligation/t</t>
  </si>
  <si>
    <t>Primary aluminium — NH₃ chain (upstream)</t>
  </si>
  <si>
    <t>Primary aluminium — total holistic emissions</t>
  </si>
  <si>
    <t>Primary aluminium — holistic intensity</t>
  </si>
  <si>
    <t>Primary aluminium — MRV intensity (CBAM-eligible)</t>
  </si>
  <si>
    <t>Primary aluminium — CBAM obligation/t</t>
  </si>
  <si>
    <t>4.stl.oth. Other iron &amp; steel products — calculations (appended)</t>
  </si>
  <si>
    <t>oth</t>
  </si>
  <si>
    <t>Production — Other iron &amp; steel products</t>
  </si>
  <si>
    <t>base × GDP_index^elasticity</t>
  </si>
  <si>
    <t>EU exports — Other iron &amp; steel products</t>
  </si>
  <si>
    <t>prd × EU export share</t>
  </si>
  <si>
    <t>Non-EU exports — Other iron &amp; steel products</t>
  </si>
  <si>
    <t>prd × (ext-exe)</t>
  </si>
  <si>
    <t>Domestic — Other iron &amp; steel products</t>
  </si>
  <si>
    <t>prd × (1-ext) × (1+imp)</t>
  </si>
  <si>
    <t>Other iron &amp; steel products — Coal (cmb)</t>
  </si>
  <si>
    <t>prd × enc</t>
  </si>
  <si>
    <t>Other iron &amp; steel products — Natural gas (cmb)</t>
  </si>
  <si>
    <t>Other iron &amp; steel products — Gasoline (cmb)</t>
  </si>
  <si>
    <t>Other iron &amp; steel products — Diesel (cmb)</t>
  </si>
  <si>
    <t>Other iron &amp; steel products — Kerosene (cmb)</t>
  </si>
  <si>
    <t>Other iron &amp; steel products — LPG (cmb)</t>
  </si>
  <si>
    <t>Other iron &amp; steel products — Biomass (cmb)</t>
  </si>
  <si>
    <t>Other iron &amp; steel products — Self-gen renewables (cmb)</t>
  </si>
  <si>
    <t>Other iron &amp; steel products — Coal (prc)</t>
  </si>
  <si>
    <t>Other iron &amp; steel products — Natural gas (prc)</t>
  </si>
  <si>
    <t>Other iron &amp; steel products — Gasoline (prc)</t>
  </si>
  <si>
    <t>Other iron &amp; steel products — Diesel (prc)</t>
  </si>
  <si>
    <t>Other iron &amp; steel products — Kerosene (prc)</t>
  </si>
  <si>
    <t>Other iron &amp; steel products — LPG (prc)</t>
  </si>
  <si>
    <t>Other iron &amp; steel products — Biomass (prc)</t>
  </si>
  <si>
    <t>Other iron &amp; steel products — Self-gen renewables (prc)</t>
  </si>
  <si>
    <t>Other iron &amp; steel products — electricity</t>
  </si>
  <si>
    <t>Other iron &amp; steel products — S1.fc combustion CO2</t>
  </si>
  <si>
    <t>Other iron &amp; steel products — S1.fp process fuel CO2</t>
  </si>
  <si>
    <t>Other iron &amp; steel products — S1.np non-fuel process CO2</t>
  </si>
  <si>
    <t>Other iron &amp; steel products — S1.no non-CO2 GHG</t>
  </si>
  <si>
    <t>Other iron &amp; steel products — S2 electricity</t>
  </si>
  <si>
    <t>Other iron &amp; steel products — NH3 chain (upstream)</t>
  </si>
  <si>
    <t>Other iron &amp; steel products — total holistic</t>
  </si>
  <si>
    <t>Other iron &amp; steel products — holistic intensity</t>
  </si>
  <si>
    <t>Other iron &amp; steel products — MRV intensity (CBAM-eligible)</t>
  </si>
  <si>
    <t>Other iron &amp; steel products — CBAM obligation/t</t>
  </si>
  <si>
    <t>4.frt.otn. Other nitrogen fertilisers — calculations (appended)</t>
  </si>
  <si>
    <t>otn</t>
  </si>
  <si>
    <t>Production — Other nitrogen fertilisers</t>
  </si>
  <si>
    <t>Mt N</t>
  </si>
  <si>
    <t>EU exports — Other nitrogen fertilisers</t>
  </si>
  <si>
    <t>Non-EU exports — Other nitrogen fertilisers</t>
  </si>
  <si>
    <t>Domestic — Other nitrogen fertilisers</t>
  </si>
  <si>
    <t>Other nitrogen fertilisers — Coal (cmb)</t>
  </si>
  <si>
    <t>Other nitrogen fertilisers — Natural gas (cmb)</t>
  </si>
  <si>
    <t>Other nitrogen fertilisers — Gasoline (cmb)</t>
  </si>
  <si>
    <t>Other nitrogen fertilisers — Diesel (cmb)</t>
  </si>
  <si>
    <t>Other nitrogen fertilisers — Kerosene (cmb)</t>
  </si>
  <si>
    <t>Other nitrogen fertilisers — LPG (cmb)</t>
  </si>
  <si>
    <t>Other nitrogen fertilisers — Biomass (cmb)</t>
  </si>
  <si>
    <t>Other nitrogen fertilisers — Self-gen renewables (cmb)</t>
  </si>
  <si>
    <t>Other nitrogen fertilisers — Coal (prc)</t>
  </si>
  <si>
    <t>Other nitrogen fertilisers — Natural gas (prc)</t>
  </si>
  <si>
    <t>Other nitrogen fertilisers — Gasoline (prc)</t>
  </si>
  <si>
    <t>Other nitrogen fertilisers — Diesel (prc)</t>
  </si>
  <si>
    <t>Other nitrogen fertilisers — Kerosene (prc)</t>
  </si>
  <si>
    <t>Other nitrogen fertilisers — LPG (prc)</t>
  </si>
  <si>
    <t>Other nitrogen fertilisers — Biomass (prc)</t>
  </si>
  <si>
    <t>Other nitrogen fertilisers — Self-gen renewables (prc)</t>
  </si>
  <si>
    <t>Other nitrogen fertilisers — electricity</t>
  </si>
  <si>
    <t>Other nitrogen fertilisers — S1.fc combustion CO2</t>
  </si>
  <si>
    <t>Other nitrogen fertilisers — S1.fp process fuel CO2</t>
  </si>
  <si>
    <t>Other nitrogen fertilisers — S1.np non-fuel process CO2</t>
  </si>
  <si>
    <t>Other nitrogen fertilisers — S1.no non-CO2 GHG</t>
  </si>
  <si>
    <t>Other nitrogen fertilisers — S2 electricity</t>
  </si>
  <si>
    <t>Other nitrogen fertilisers — NH3 chain (upstream)</t>
  </si>
  <si>
    <t>Other nitrogen fertilisers — total holistic</t>
  </si>
  <si>
    <t>Other nitrogen fertilisers — holistic intensity</t>
  </si>
  <si>
    <t>tCO2e/t N</t>
  </si>
  <si>
    <t>Other nitrogen fertilisers — MRV intensity (CBAM-eligible)</t>
  </si>
  <si>
    <t>Other nitrogen fertilisers — CBAM obligation/t</t>
  </si>
  <si>
    <t>USD/t N</t>
  </si>
  <si>
    <t>Production-independent EF (ief) rows — intensity computed directly from GJ/t inputs. Used as fallback when production = 0. Each cell = tCO2e/t product.</t>
  </si>
  <si>
    <t>stl.drg — production-independent holistic intensity (tCO2e/t)</t>
  </si>
  <si>
    <t>stl.drg — production-independent CBAM-eligible intensity (tCO2e/t)</t>
  </si>
  <si>
    <t>stl.scr — production-independent holistic intensity (tCO2e/t)</t>
  </si>
  <si>
    <t>stl.scr — production-independent CBAM-eligible intensity (tCO2e/t)</t>
  </si>
  <si>
    <t>stl.bof — production-independent holistic intensity (tCO2e/t)</t>
  </si>
  <si>
    <t>stl.bof — production-independent CBAM-eligible intensity (tCO2e/t)</t>
  </si>
  <si>
    <t>cmt.dry — production-independent holistic intensity (tCO2e/t)</t>
  </si>
  <si>
    <t>cmt.dry — production-independent CBAM-eligible intensity (tCO2e/t)</t>
  </si>
  <si>
    <t>frt.amc — production-independent holistic intensity (tCO2e/t)</t>
  </si>
  <si>
    <t>frt.amc — production-independent CBAM-eligible intensity (tCO2e/t)</t>
  </si>
  <si>
    <t>frt.ure — production-independent holistic intensity (tCO2e/t)</t>
  </si>
  <si>
    <t>frt.ure — production-independent CBAM-eligible intensity (tCO2e/t)</t>
  </si>
  <si>
    <t>frt.nit — production-independent holistic intensity (tCO2e/t)</t>
  </si>
  <si>
    <t>frt.nit — production-independent CBAM-eligible intensity (tCO2e/t)</t>
  </si>
  <si>
    <t>alu.prp — production-independent holistic intensity (tCO2e/t)</t>
  </si>
  <si>
    <t>alu.prp — production-independent CBAM-eligible intensity (tCO2e/t)</t>
  </si>
  <si>
    <t>stl.oth — production-independent holistic intensity (tCO2e/t)</t>
  </si>
  <si>
    <t>stl.oth — production-independent CBAM-eligible intensity (tCO2e/t)</t>
  </si>
  <si>
    <t>frt.otn — production-independent holistic intensity (tCO2e/t)</t>
  </si>
  <si>
    <t>frt.otn — production-independent CBAM-eligible intensity (tCO2e/t)</t>
  </si>
  <si>
    <t>CBAM input data</t>
  </si>
  <si>
    <t>5 countries × 8 products × 12 years. All entries keyed by code = cty.dom.par.sec.prc.sub. Yellow cells are inputs; green = formulas.</t>
  </si>
  <si>
    <t>source</t>
  </si>
  <si>
    <t>value</t>
  </si>
  <si>
    <t>1. Universal time-series parameters</t>
  </si>
  <si>
    <t>all.in.ets.---.---.---</t>
  </si>
  <si>
    <t>all</t>
  </si>
  <si>
    <t>in</t>
  </si>
  <si>
    <t>ets</t>
  </si>
  <si>
    <t>EU ETS allowance price</t>
  </si>
  <si>
    <t>Consensus trajectory (consensus ~€126 by 2030).</t>
  </si>
  <si>
    <t>Analyst consensus</t>
  </si>
  <si>
    <t>all.in.cbf.---.---.---</t>
  </si>
  <si>
    <t>cbf</t>
  </si>
  <si>
    <t>CBAM factor (1 − free alloc remaining)</t>
  </si>
  <si>
    <t>EU Reg 2025/2620: phase-in 2026→2034.</t>
  </si>
  <si>
    <t>EU Reg 2025/2620</t>
  </si>
  <si>
    <t>all.in.act.---.---.---</t>
  </si>
  <si>
    <t>act</t>
  </si>
  <si>
    <t>Active flag (CBAM definitive)</t>
  </si>
  <si>
    <t>0/1</t>
  </si>
  <si>
    <t>0 for 2024-25 (reporting only), 1 from 2026.</t>
  </si>
  <si>
    <t>all.in.fxr.---.---.---</t>
  </si>
  <si>
    <t>fxr</t>
  </si>
  <si>
    <t>FX rate USD per EUR</t>
  </si>
  <si>
    <t>USD/EUR</t>
  </si>
  <si>
    <t>EUR ETS → USD conversion.</t>
  </si>
  <si>
    <t>2. Fuel emission factors (kgCO₂/GJ, IPCC 2006 stationary combustion)</t>
  </si>
  <si>
    <t>IPCC 2006 default for coal.</t>
  </si>
  <si>
    <t>IPCC 2006 Vol.2 Ch.2</t>
  </si>
  <si>
    <t>IPCC 2006 default for natural gas.</t>
  </si>
  <si>
    <t>IPCC 2006 default for gasoline.</t>
  </si>
  <si>
    <t>IPCC 2006 default for diesel.</t>
  </si>
  <si>
    <t>IPCC 2006 default for kerosene.</t>
  </si>
  <si>
    <t>IPCC 2006 default for lpg.</t>
  </si>
  <si>
    <t>IPCC 2006 default for biomass.</t>
  </si>
  <si>
    <t>IPCC 2006 default for self-gen renewables.</t>
  </si>
  <si>
    <t>3. Entity-level constants — benchmark, EU default value, product price, CBAM S2 scope, NH3 chain factor</t>
  </si>
  <si>
    <t>all.in.bnk.stl.drg.---</t>
  </si>
  <si>
    <t>bnk</t>
  </si>
  <si>
    <t>CBAM benchmark — DRI-EAF steel</t>
  </si>
  <si>
    <t>tCO2/t</t>
  </si>
  <si>
    <t>Final CBAM benchmark (column B, default-value pathway).</t>
  </si>
  <si>
    <t>EU Reg 2025/2621 (final, 16 Dec 2025)</t>
  </si>
  <si>
    <t>all.in.dfv.stl.drg.---</t>
  </si>
  <si>
    <t>dfv</t>
  </si>
  <si>
    <t>EU default intensity — DRI-EAF steel</t>
  </si>
  <si>
    <t>EU default intensity (~20% above benchmark).</t>
  </si>
  <si>
    <t>all.in.ppx.stl.drg.---</t>
  </si>
  <si>
    <t>ppx</t>
  </si>
  <si>
    <t>Product price — DRI-EAF steel</t>
  </si>
  <si>
    <t>Pre-policy reference price.</t>
  </si>
  <si>
    <t>Market data</t>
  </si>
  <si>
    <t>all.in.cs2.stl.drg.---</t>
  </si>
  <si>
    <t>cs2</t>
  </si>
  <si>
    <t>CBAM S2 in scope — DRI-EAF steel</t>
  </si>
  <si>
    <t>1 = CBAM covers indirect (S2). 0 = Annex II direct only.</t>
  </si>
  <si>
    <t>EU Reg 2023/956 Annex II</t>
  </si>
  <si>
    <t>all.in.nh3.stl.drg.---</t>
  </si>
  <si>
    <t>NH₃ feedstock factor — DRI-EAF steel</t>
  </si>
  <si>
    <t>t NH3/t product</t>
  </si>
  <si>
    <t>Tonnes ammonia feedstock per tonne of downstream product (urea, AN). 0 otherwise.</t>
  </si>
  <si>
    <t>IFA / IPCC</t>
  </si>
  <si>
    <t>all.in.bnk.stl.scr.---</t>
  </si>
  <si>
    <t>CBAM benchmark — Scrap-EAF steel</t>
  </si>
  <si>
    <t>all.in.dfv.stl.scr.---</t>
  </si>
  <si>
    <t>EU default intensity — Scrap-EAF steel</t>
  </si>
  <si>
    <t>all.in.ppx.stl.scr.---</t>
  </si>
  <si>
    <t>Product price — Scrap-EAF steel</t>
  </si>
  <si>
    <t>all.in.cs2.stl.scr.---</t>
  </si>
  <si>
    <t>CBAM S2 in scope — Scrap-EAF steel</t>
  </si>
  <si>
    <t>all.in.nh3.stl.scr.---</t>
  </si>
  <si>
    <t>NH₃ feedstock factor — Scrap-EAF steel</t>
  </si>
  <si>
    <t>all.in.bnk.stl.bof.---</t>
  </si>
  <si>
    <t>CBAM benchmark — BF-BOF steel</t>
  </si>
  <si>
    <t>all.in.dfv.stl.bof.---</t>
  </si>
  <si>
    <t>EU default intensity — BF-BOF steel</t>
  </si>
  <si>
    <t>all.in.ppx.stl.bof.---</t>
  </si>
  <si>
    <t>Product price — BF-BOF steel</t>
  </si>
  <si>
    <t>all.in.cs2.stl.bof.---</t>
  </si>
  <si>
    <t>CBAM S2 in scope — BF-BOF steel</t>
  </si>
  <si>
    <t>all.in.nh3.stl.bof.---</t>
  </si>
  <si>
    <t>NH₃ feedstock factor — BF-BOF steel</t>
  </si>
  <si>
    <t>all.in.bnk.cmt.dry.---</t>
  </si>
  <si>
    <t>CBAM benchmark — Cement</t>
  </si>
  <si>
    <t>all.in.dfv.cmt.dry.---</t>
  </si>
  <si>
    <t>EU default intensity — Cement</t>
  </si>
  <si>
    <t>all.in.ppx.cmt.dry.---</t>
  </si>
  <si>
    <t>Product price — Cement</t>
  </si>
  <si>
    <t>all.in.cs2.cmt.dry.---</t>
  </si>
  <si>
    <t>CBAM S2 in scope — Cement</t>
  </si>
  <si>
    <t>all.in.nh3.cmt.dry.---</t>
  </si>
  <si>
    <t>NH₃ feedstock factor — Cement</t>
  </si>
  <si>
    <t>all.in.bnk.frt.amc.---</t>
  </si>
  <si>
    <t>CBAM benchmark — Ammonia</t>
  </si>
  <si>
    <t>all.in.dfv.frt.amc.---</t>
  </si>
  <si>
    <t>EU default intensity — Ammonia</t>
  </si>
  <si>
    <t>all.in.ppx.frt.amc.---</t>
  </si>
  <si>
    <t>Product price — Ammonia</t>
  </si>
  <si>
    <t>all.in.cs2.frt.amc.---</t>
  </si>
  <si>
    <t>CBAM S2 in scope — Ammonia</t>
  </si>
  <si>
    <t>all.in.nh3.frt.amc.---</t>
  </si>
  <si>
    <t>NH₃ feedstock factor — Ammonia</t>
  </si>
  <si>
    <t>all.in.bnk.frt.ure.---</t>
  </si>
  <si>
    <t>CBAM benchmark — Urea</t>
  </si>
  <si>
    <t>all.in.dfv.frt.ure.---</t>
  </si>
  <si>
    <t>EU default intensity — Urea</t>
  </si>
  <si>
    <t>all.in.ppx.frt.ure.---</t>
  </si>
  <si>
    <t>Product price — Urea</t>
  </si>
  <si>
    <t>all.in.cs2.frt.ure.---</t>
  </si>
  <si>
    <t>CBAM S2 in scope — Urea</t>
  </si>
  <si>
    <t>all.in.nh3.frt.ure.---</t>
  </si>
  <si>
    <t>NH₃ feedstock factor — Urea</t>
  </si>
  <si>
    <t>all.in.bnk.frt.nit.---</t>
  </si>
  <si>
    <t>CBAM benchmark — Ammonium nitrate</t>
  </si>
  <si>
    <t>all.in.dfv.frt.nit.---</t>
  </si>
  <si>
    <t>EU default intensity — Ammonium nitrate</t>
  </si>
  <si>
    <t>all.in.ppx.frt.nit.---</t>
  </si>
  <si>
    <t>Product price — Ammonium nitrate</t>
  </si>
  <si>
    <t>all.in.cs2.frt.nit.---</t>
  </si>
  <si>
    <t>CBAM S2 in scope — Ammonium nitrate</t>
  </si>
  <si>
    <t>all.in.nh3.frt.nit.---</t>
  </si>
  <si>
    <t>NH₃ feedstock factor — Ammonium nitrate</t>
  </si>
  <si>
    <t>all.in.bnk.alu.prp.---</t>
  </si>
  <si>
    <t>CBAM benchmark — Primary aluminium</t>
  </si>
  <si>
    <t>all.in.dfv.alu.prp.---</t>
  </si>
  <si>
    <t>EU default intensity — Primary aluminium</t>
  </si>
  <si>
    <t>all.in.ppx.alu.prp.---</t>
  </si>
  <si>
    <t>Product price — Primary aluminium</t>
  </si>
  <si>
    <t>all.in.cs2.alu.prp.---</t>
  </si>
  <si>
    <t>CBAM S2 in scope — Primary aluminium</t>
  </si>
  <si>
    <t>all.in.nh3.alu.prp.---</t>
  </si>
  <si>
    <t>NH₃ feedstock factor — Primary aluminium</t>
  </si>
  <si>
    <t>4. MRV flags per product (global — applies to all countries)</t>
  </si>
  <si>
    <t>all.in.mrv.stl.drg.---</t>
  </si>
  <si>
    <t>MRV flag — DRI-EAF steel</t>
  </si>
  <si>
    <t>1 = exporter MRV done (EU uses actual). 0 = EU uses default value. Edit on dashboard.</t>
  </si>
  <si>
    <t>Policy choice</t>
  </si>
  <si>
    <t>all.in.mrv.stl.scr.---</t>
  </si>
  <si>
    <t>MRV flag — Scrap-EAF steel</t>
  </si>
  <si>
    <t>all.in.mrv.stl.bof.---</t>
  </si>
  <si>
    <t>MRV flag — BF-BOF steel</t>
  </si>
  <si>
    <t>all.in.mrv.cmt.dry.---</t>
  </si>
  <si>
    <t>MRV flag — Cement</t>
  </si>
  <si>
    <t>all.in.mrv.frt.amc.---</t>
  </si>
  <si>
    <t>MRV flag — Ammonia</t>
  </si>
  <si>
    <t>all.in.mrv.frt.ure.---</t>
  </si>
  <si>
    <t>MRV flag — Urea</t>
  </si>
  <si>
    <t>all.in.mrv.frt.nit.---</t>
  </si>
  <si>
    <t>MRV flag — Ammonium nitrate</t>
  </si>
  <si>
    <t>all.in.mrv.alu.prp.---</t>
  </si>
  <si>
    <t>MRV flag — Primary aluminium</t>
  </si>
  <si>
    <t>5. Country-level constants (GDP growth, grid EF)</t>
  </si>
  <si>
    <t>egy.in.grw.---.---.---</t>
  </si>
  <si>
    <t>Egypt GDP growth rate</t>
  </si>
  <si>
    <t>Annual real GDP growth.</t>
  </si>
  <si>
    <t>IMF WEO 2024</t>
  </si>
  <si>
    <t>egy.in.gef.---.---.---</t>
  </si>
  <si>
    <t>gef</t>
  </si>
  <si>
    <t>Egypt grid emission factor</t>
  </si>
  <si>
    <t>tCO2/MWh</t>
  </si>
  <si>
    <t>Grid emission factor, declining trajectory per NDC commitments. 2024 anchor → 2035 end-point.</t>
  </si>
  <si>
    <t>IEA + national NDCs (linear interpolation)</t>
  </si>
  <si>
    <t>alb.in.grw.---.---.---</t>
  </si>
  <si>
    <t>alb</t>
  </si>
  <si>
    <t>Albania GDP growth rate</t>
  </si>
  <si>
    <t>alb.in.gef.---.---.---</t>
  </si>
  <si>
    <t>Albania grid emission factor</t>
  </si>
  <si>
    <t>uzb.in.grw.---.---.---</t>
  </si>
  <si>
    <t>uzb</t>
  </si>
  <si>
    <t>Uzbekistan GDP growth rate</t>
  </si>
  <si>
    <t>uzb.in.gef.---.---.---</t>
  </si>
  <si>
    <t>Uzbekistan grid emission factor</t>
  </si>
  <si>
    <t>aze.in.grw.---.---.---</t>
  </si>
  <si>
    <t>aze</t>
  </si>
  <si>
    <t>Azerbaijan GDP growth rate</t>
  </si>
  <si>
    <t>aze.in.gef.---.---.---</t>
  </si>
  <si>
    <t>Azerbaijan grid emission factor</t>
  </si>
  <si>
    <t>ind.in.grw.---.---.---</t>
  </si>
  <si>
    <t>ind</t>
  </si>
  <si>
    <t>India GDP growth rate</t>
  </si>
  <si>
    <t>ind.in.gef.---.---.---</t>
  </si>
  <si>
    <t>India grid emission factor</t>
  </si>
  <si>
    <t>6.egy. Egypt — country-specific inputs by entity</t>
  </si>
  <si>
    <t>egy.in.prb.stl.drg.---</t>
  </si>
  <si>
    <t>prb</t>
  </si>
  <si>
    <t>Egypt DRI-EAF steel — base production</t>
  </si>
  <si>
    <t>Base year 2024 production of dri-eaf steel.</t>
  </si>
  <si>
    <t>Worldsteel / industry data</t>
  </si>
  <si>
    <t>egy.in.els.stl.drg.---</t>
  </si>
  <si>
    <t>els</t>
  </si>
  <si>
    <t>Egypt DRI-EAF steel — elasticity</t>
  </si>
  <si>
    <t>pct/pct</t>
  </si>
  <si>
    <t>Production growth per unit GDP growth.</t>
  </si>
  <si>
    <t>egy.in.ext.stl.drg.---</t>
  </si>
  <si>
    <t>ext</t>
  </si>
  <si>
    <t>Egypt DRI-EAF steel — export share total</t>
  </si>
  <si>
    <t>frac</t>
  </si>
  <si>
    <t>Production exported (any destination).</t>
  </si>
  <si>
    <t>egy.in.exe.stl.drg.---</t>
  </si>
  <si>
    <t>exe</t>
  </si>
  <si>
    <t>Egypt DRI-EAF steel — EU export share</t>
  </si>
  <si>
    <t>Share of production exported to EU.</t>
  </si>
  <si>
    <t>egy.in.imp.stl.drg.---</t>
  </si>
  <si>
    <t>imp</t>
  </si>
  <si>
    <t>Egypt DRI-EAF steel — import share</t>
  </si>
  <si>
    <t>Imports as share of (production − exports).</t>
  </si>
  <si>
    <t>egy.in.enc.stl.drg.coa</t>
  </si>
  <si>
    <t>Egypt DRI-EAF steel — Coal (cmb)</t>
  </si>
  <si>
    <t>GJ/t</t>
  </si>
  <si>
    <t>Combustion intensity for coal.</t>
  </si>
  <si>
    <t>IEA/IRENA</t>
  </si>
  <si>
    <t>egy.in.enc.stl.drg.nga</t>
  </si>
  <si>
    <t>Egypt DRI-EAF steel — Natural gas (cmb)</t>
  </si>
  <si>
    <t>Combustion intensity for natural gas.</t>
  </si>
  <si>
    <t>egy.in.enc.stl.drg.gso</t>
  </si>
  <si>
    <t>Egypt DRI-EAF steel — Gasoline (cmb)</t>
  </si>
  <si>
    <t>Combustion intensity for gasoline.</t>
  </si>
  <si>
    <t>egy.in.enc.stl.drg.die</t>
  </si>
  <si>
    <t>Egypt DRI-EAF steel — Diesel (cmb)</t>
  </si>
  <si>
    <t>Combustion intensity for diesel.</t>
  </si>
  <si>
    <t>egy.in.enc.stl.drg.ker</t>
  </si>
  <si>
    <t>Egypt DRI-EAF steel — Kerosene (cmb)</t>
  </si>
  <si>
    <t>Combustion intensity for kerosene.</t>
  </si>
  <si>
    <t>egy.in.enc.stl.drg.lpg</t>
  </si>
  <si>
    <t>Egypt DRI-EAF steel — LPG (cmb)</t>
  </si>
  <si>
    <t>Combustion intensity for lpg.</t>
  </si>
  <si>
    <t>egy.in.enc.stl.drg.bio</t>
  </si>
  <si>
    <t>Egypt DRI-EAF steel — Biomass (cmb)</t>
  </si>
  <si>
    <t>Combustion intensity for biomass.</t>
  </si>
  <si>
    <t>egy.in.enc.stl.drg.ren</t>
  </si>
  <si>
    <t>Egypt DRI-EAF steel — Self-gen renewables (cmb)</t>
  </si>
  <si>
    <t>Combustion intensity for self-gen renewables.</t>
  </si>
  <si>
    <t>egy.in.enp.stl.drg.coa</t>
  </si>
  <si>
    <t>Egypt DRI-EAF steel — Coal (prc)</t>
  </si>
  <si>
    <t>Process/reductant intensity for coal.</t>
  </si>
  <si>
    <t>egy.in.enp.stl.drg.nga</t>
  </si>
  <si>
    <t>Egypt DRI-EAF steel — Natural gas (prc)</t>
  </si>
  <si>
    <t>Process/reductant intensity for natural gas.</t>
  </si>
  <si>
    <t>egy.in.enp.stl.drg.gso</t>
  </si>
  <si>
    <t>Egypt DRI-EAF steel — Gasoline (prc)</t>
  </si>
  <si>
    <t>Process/reductant intensity for gasoline.</t>
  </si>
  <si>
    <t>egy.in.enp.stl.drg.die</t>
  </si>
  <si>
    <t>Egypt DRI-EAF steel — Diesel (prc)</t>
  </si>
  <si>
    <t>Process/reductant intensity for diesel.</t>
  </si>
  <si>
    <t>egy.in.enp.stl.drg.ker</t>
  </si>
  <si>
    <t>Egypt DRI-EAF steel — Kerosene (prc)</t>
  </si>
  <si>
    <t>Process/reductant intensity for kerosene.</t>
  </si>
  <si>
    <t>egy.in.enp.stl.drg.lpg</t>
  </si>
  <si>
    <t>Egypt DRI-EAF steel — LPG (prc)</t>
  </si>
  <si>
    <t>Process/reductant intensity for lpg.</t>
  </si>
  <si>
    <t>egy.in.enp.stl.drg.bio</t>
  </si>
  <si>
    <t>Egypt DRI-EAF steel — Biomass (prc)</t>
  </si>
  <si>
    <t>Process/reductant intensity for biomass.</t>
  </si>
  <si>
    <t>egy.in.enp.stl.drg.ren</t>
  </si>
  <si>
    <t>Egypt DRI-EAF steel — Self-gen renewables (prc)</t>
  </si>
  <si>
    <t>Process/reductant intensity for self-gen renewables.</t>
  </si>
  <si>
    <t>egy.in.ele.stl.drg.elc</t>
  </si>
  <si>
    <t>Egypt DRI-EAF steel — electricity</t>
  </si>
  <si>
    <t>Grid electricity intensity.</t>
  </si>
  <si>
    <t>egy.in.efn.stl.drg.---</t>
  </si>
  <si>
    <t>efn</t>
  </si>
  <si>
    <t>Egypt DRI-EAF steel — non-fuel process EF</t>
  </si>
  <si>
    <t>Direct non-fuel process emissions per tonne of product. Negative for urea (CO2 uptake from atmosphere as feedstock).</t>
  </si>
  <si>
    <t>IPCC 2006</t>
  </si>
  <si>
    <t>egy.in.efo.stl.drg.---</t>
  </si>
  <si>
    <t>efo</t>
  </si>
  <si>
    <t>Egypt DRI-EAF steel — non-CO₂ GHG EF</t>
  </si>
  <si>
    <t>Non-CO2 GHG emissions per tonne of product (N2O, PFCs).</t>
  </si>
  <si>
    <t>egy.in.prb.stl.scr.---</t>
  </si>
  <si>
    <t>Egypt Scrap-EAF steel — base production</t>
  </si>
  <si>
    <t>Base year 2024 production of scrap-eaf steel.</t>
  </si>
  <si>
    <t>egy.in.els.stl.scr.---</t>
  </si>
  <si>
    <t>Egypt Scrap-EAF steel — elasticity</t>
  </si>
  <si>
    <t>egy.in.ext.stl.scr.---</t>
  </si>
  <si>
    <t>Egypt Scrap-EAF steel — export share total</t>
  </si>
  <si>
    <t>egy.in.exe.stl.scr.---</t>
  </si>
  <si>
    <t>Egypt Scrap-EAF steel — EU export share</t>
  </si>
  <si>
    <t>egy.in.imp.stl.scr.---</t>
  </si>
  <si>
    <t>Egypt Scrap-EAF steel — import share</t>
  </si>
  <si>
    <t>egy.in.enc.stl.scr.coa</t>
  </si>
  <si>
    <t>Egypt Scrap-EAF steel — Coal (cmb)</t>
  </si>
  <si>
    <t>egy.in.enc.stl.scr.nga</t>
  </si>
  <si>
    <t>Egypt Scrap-EAF steel — Natural gas (cmb)</t>
  </si>
  <si>
    <t>egy.in.enc.stl.scr.gso</t>
  </si>
  <si>
    <t>Egypt Scrap-EAF steel — Gasoline (cmb)</t>
  </si>
  <si>
    <t>egy.in.enc.stl.scr.die</t>
  </si>
  <si>
    <t>Egypt Scrap-EAF steel — Diesel (cmb)</t>
  </si>
  <si>
    <t>egy.in.enc.stl.scr.ker</t>
  </si>
  <si>
    <t>Egypt Scrap-EAF steel — Kerosene (cmb)</t>
  </si>
  <si>
    <t>egy.in.enc.stl.scr.lpg</t>
  </si>
  <si>
    <t>Egypt Scrap-EAF steel — LPG (cmb)</t>
  </si>
  <si>
    <t>egy.in.enc.stl.scr.bio</t>
  </si>
  <si>
    <t>Egypt Scrap-EAF steel — Biomass (cmb)</t>
  </si>
  <si>
    <t>egy.in.enc.stl.scr.ren</t>
  </si>
  <si>
    <t>Egypt Scrap-EAF steel — Self-gen renewables (cmb)</t>
  </si>
  <si>
    <t>egy.in.enp.stl.scr.coa</t>
  </si>
  <si>
    <t>Egypt Scrap-EAF steel — Coal (prc)</t>
  </si>
  <si>
    <t>egy.in.enp.stl.scr.nga</t>
  </si>
  <si>
    <t>Egypt Scrap-EAF steel — Natural gas (prc)</t>
  </si>
  <si>
    <t>egy.in.enp.stl.scr.gso</t>
  </si>
  <si>
    <t>Egypt Scrap-EAF steel — Gasoline (prc)</t>
  </si>
  <si>
    <t>egy.in.enp.stl.scr.die</t>
  </si>
  <si>
    <t>Egypt Scrap-EAF steel — Diesel (prc)</t>
  </si>
  <si>
    <t>egy.in.enp.stl.scr.ker</t>
  </si>
  <si>
    <t>Egypt Scrap-EAF steel — Kerosene (prc)</t>
  </si>
  <si>
    <t>egy.in.enp.stl.scr.lpg</t>
  </si>
  <si>
    <t>Egypt Scrap-EAF steel — LPG (prc)</t>
  </si>
  <si>
    <t>egy.in.enp.stl.scr.bio</t>
  </si>
  <si>
    <t>Egypt Scrap-EAF steel — Biomass (prc)</t>
  </si>
  <si>
    <t>egy.in.enp.stl.scr.ren</t>
  </si>
  <si>
    <t>Egypt Scrap-EAF steel — Self-gen renewables (prc)</t>
  </si>
  <si>
    <t>egy.in.ele.stl.scr.elc</t>
  </si>
  <si>
    <t>Egypt Scrap-EAF steel — electricity</t>
  </si>
  <si>
    <t>egy.in.efn.stl.scr.---</t>
  </si>
  <si>
    <t>Egypt Scrap-EAF steel — non-fuel process EF</t>
  </si>
  <si>
    <t>egy.in.efo.stl.scr.---</t>
  </si>
  <si>
    <t>Egypt Scrap-EAF steel — non-CO₂ GHG EF</t>
  </si>
  <si>
    <t>egy.in.prb.stl.bof.---</t>
  </si>
  <si>
    <t>Egypt BF-BOF steel — base production</t>
  </si>
  <si>
    <t>Base year 2024 production of bf-bof steel.</t>
  </si>
  <si>
    <t>egy.in.els.stl.bof.---</t>
  </si>
  <si>
    <t>Egypt BF-BOF steel — elasticity</t>
  </si>
  <si>
    <t>egy.in.ext.stl.bof.---</t>
  </si>
  <si>
    <t>Egypt BF-BOF steel — export share total</t>
  </si>
  <si>
    <t>egy.in.exe.stl.bof.---</t>
  </si>
  <si>
    <t>Egypt BF-BOF steel — EU export share</t>
  </si>
  <si>
    <t>egy.in.imp.stl.bof.---</t>
  </si>
  <si>
    <t>Egypt BF-BOF steel — import share</t>
  </si>
  <si>
    <t>egy.in.enc.stl.bof.coa</t>
  </si>
  <si>
    <t>Egypt BF-BOF steel — Coal (cmb)</t>
  </si>
  <si>
    <t>egy.in.enc.stl.bof.nga</t>
  </si>
  <si>
    <t>Egypt BF-BOF steel — Natural gas (cmb)</t>
  </si>
  <si>
    <t>egy.in.enc.stl.bof.gso</t>
  </si>
  <si>
    <t>Egypt BF-BOF steel — Gasoline (cmb)</t>
  </si>
  <si>
    <t>egy.in.enc.stl.bof.die</t>
  </si>
  <si>
    <t>Egypt BF-BOF steel — Diesel (cmb)</t>
  </si>
  <si>
    <t>egy.in.enc.stl.bof.ker</t>
  </si>
  <si>
    <t>Egypt BF-BOF steel — Kerosene (cmb)</t>
  </si>
  <si>
    <t>egy.in.enc.stl.bof.lpg</t>
  </si>
  <si>
    <t>Egypt BF-BOF steel — LPG (cmb)</t>
  </si>
  <si>
    <t>egy.in.enc.stl.bof.bio</t>
  </si>
  <si>
    <t>Egypt BF-BOF steel — Biomass (cmb)</t>
  </si>
  <si>
    <t>egy.in.enc.stl.bof.ren</t>
  </si>
  <si>
    <t>Egypt BF-BOF steel — Self-gen renewables (cmb)</t>
  </si>
  <si>
    <t>egy.in.enp.stl.bof.coa</t>
  </si>
  <si>
    <t>Egypt BF-BOF steel — Coal (prc)</t>
  </si>
  <si>
    <t>egy.in.enp.stl.bof.nga</t>
  </si>
  <si>
    <t>Egypt BF-BOF steel — Natural gas (prc)</t>
  </si>
  <si>
    <t>egy.in.enp.stl.bof.gso</t>
  </si>
  <si>
    <t>Egypt BF-BOF steel — Gasoline (prc)</t>
  </si>
  <si>
    <t>egy.in.enp.stl.bof.die</t>
  </si>
  <si>
    <t>Egypt BF-BOF steel — Diesel (prc)</t>
  </si>
  <si>
    <t>egy.in.enp.stl.bof.ker</t>
  </si>
  <si>
    <t>Egypt BF-BOF steel — Kerosene (prc)</t>
  </si>
  <si>
    <t>egy.in.enp.stl.bof.lpg</t>
  </si>
  <si>
    <t>Egypt BF-BOF steel — LPG (prc)</t>
  </si>
  <si>
    <t>egy.in.enp.stl.bof.bio</t>
  </si>
  <si>
    <t>Egypt BF-BOF steel — Biomass (prc)</t>
  </si>
  <si>
    <t>egy.in.enp.stl.bof.ren</t>
  </si>
  <si>
    <t>Egypt BF-BOF steel — Self-gen renewables (prc)</t>
  </si>
  <si>
    <t>egy.in.ele.stl.bof.elc</t>
  </si>
  <si>
    <t>Egypt BF-BOF steel — electricity</t>
  </si>
  <si>
    <t>egy.in.efn.stl.bof.---</t>
  </si>
  <si>
    <t>Egypt BF-BOF steel — non-fuel process EF</t>
  </si>
  <si>
    <t>egy.in.efo.stl.bof.---</t>
  </si>
  <si>
    <t>Egypt BF-BOF steel — non-CO₂ GHG EF</t>
  </si>
  <si>
    <t>egy.in.prb.cmt.dry.---</t>
  </si>
  <si>
    <t>Egypt Cement — base production</t>
  </si>
  <si>
    <t>Base year 2024 production of cement.</t>
  </si>
  <si>
    <t>egy.in.els.cmt.dry.---</t>
  </si>
  <si>
    <t>Egypt Cement — elasticity</t>
  </si>
  <si>
    <t>egy.in.ext.cmt.dry.---</t>
  </si>
  <si>
    <t>Egypt Cement — export share total</t>
  </si>
  <si>
    <t>egy.in.exe.cmt.dry.---</t>
  </si>
  <si>
    <t>Egypt Cement — EU export share</t>
  </si>
  <si>
    <t>egy.in.imp.cmt.dry.---</t>
  </si>
  <si>
    <t>Egypt Cement — import share</t>
  </si>
  <si>
    <t>egy.in.enc.cmt.dry.coa</t>
  </si>
  <si>
    <t>Egypt Cement — Coal (cmb)</t>
  </si>
  <si>
    <t>egy.in.enc.cmt.dry.nga</t>
  </si>
  <si>
    <t>Egypt Cement — Natural gas (cmb)</t>
  </si>
  <si>
    <t>egy.in.enc.cmt.dry.gso</t>
  </si>
  <si>
    <t>Egypt Cement — Gasoline (cmb)</t>
  </si>
  <si>
    <t>egy.in.enc.cmt.dry.die</t>
  </si>
  <si>
    <t>Egypt Cement — Diesel (cmb)</t>
  </si>
  <si>
    <t>egy.in.enc.cmt.dry.ker</t>
  </si>
  <si>
    <t>Egypt Cement — Kerosene (cmb)</t>
  </si>
  <si>
    <t>egy.in.enc.cmt.dry.lpg</t>
  </si>
  <si>
    <t>Egypt Cement — LPG (cmb)</t>
  </si>
  <si>
    <t>egy.in.enc.cmt.dry.bio</t>
  </si>
  <si>
    <t>Egypt Cement — Biomass (cmb)</t>
  </si>
  <si>
    <t>egy.in.enc.cmt.dry.ren</t>
  </si>
  <si>
    <t>Egypt Cement — Self-gen renewables (cmb)</t>
  </si>
  <si>
    <t>egy.in.enp.cmt.dry.coa</t>
  </si>
  <si>
    <t>Egypt Cement — Coal (prc)</t>
  </si>
  <si>
    <t>egy.in.enp.cmt.dry.nga</t>
  </si>
  <si>
    <t>Egypt Cement — Natural gas (prc)</t>
  </si>
  <si>
    <t>egy.in.enp.cmt.dry.gso</t>
  </si>
  <si>
    <t>Egypt Cement — Gasoline (prc)</t>
  </si>
  <si>
    <t>egy.in.enp.cmt.dry.die</t>
  </si>
  <si>
    <t>Egypt Cement — Diesel (prc)</t>
  </si>
  <si>
    <t>egy.in.enp.cmt.dry.ker</t>
  </si>
  <si>
    <t>Egypt Cement — Kerosene (prc)</t>
  </si>
  <si>
    <t>egy.in.enp.cmt.dry.lpg</t>
  </si>
  <si>
    <t>Egypt Cement — LPG (prc)</t>
  </si>
  <si>
    <t>egy.in.enp.cmt.dry.bio</t>
  </si>
  <si>
    <t>Egypt Cement — Biomass (prc)</t>
  </si>
  <si>
    <t>egy.in.enp.cmt.dry.ren</t>
  </si>
  <si>
    <t>Egypt Cement — Self-gen renewables (prc)</t>
  </si>
  <si>
    <t>egy.in.ele.cmt.dry.elc</t>
  </si>
  <si>
    <t>Egypt Cement — electricity</t>
  </si>
  <si>
    <t>egy.in.efn.cmt.dry.---</t>
  </si>
  <si>
    <t>Egypt Cement — non-fuel process EF</t>
  </si>
  <si>
    <t>egy.in.efo.cmt.dry.---</t>
  </si>
  <si>
    <t>Egypt Cement — non-CO₂ GHG EF</t>
  </si>
  <si>
    <t>egy.in.prb.frt.amc.---</t>
  </si>
  <si>
    <t>Egypt Ammonia — base production</t>
  </si>
  <si>
    <t>Base year 2024 production of ammonia.</t>
  </si>
  <si>
    <t>egy.in.els.frt.amc.---</t>
  </si>
  <si>
    <t>Egypt Ammonia — elasticity</t>
  </si>
  <si>
    <t>egy.in.ext.frt.amc.---</t>
  </si>
  <si>
    <t>Egypt Ammonia — export share total</t>
  </si>
  <si>
    <t>egy.in.exe.frt.amc.---</t>
  </si>
  <si>
    <t>Egypt Ammonia — EU export share</t>
  </si>
  <si>
    <t>egy.in.imp.frt.amc.---</t>
  </si>
  <si>
    <t>Egypt Ammonia — import share</t>
  </si>
  <si>
    <t>egy.in.enc.frt.amc.coa</t>
  </si>
  <si>
    <t>Egypt Ammonia — Coal (cmb)</t>
  </si>
  <si>
    <t>egy.in.enc.frt.amc.nga</t>
  </si>
  <si>
    <t>Egypt Ammonia — Natural gas (cmb)</t>
  </si>
  <si>
    <t>egy.in.enc.frt.amc.gso</t>
  </si>
  <si>
    <t>Egypt Ammonia — Gasoline (cmb)</t>
  </si>
  <si>
    <t>egy.in.enc.frt.amc.die</t>
  </si>
  <si>
    <t>Egypt Ammonia — Diesel (cmb)</t>
  </si>
  <si>
    <t>egy.in.enc.frt.amc.ker</t>
  </si>
  <si>
    <t>Egypt Ammonia — Kerosene (cmb)</t>
  </si>
  <si>
    <t>egy.in.enc.frt.amc.lpg</t>
  </si>
  <si>
    <t>Egypt Ammonia — LPG (cmb)</t>
  </si>
  <si>
    <t>egy.in.enc.frt.amc.bio</t>
  </si>
  <si>
    <t>Egypt Ammonia — Biomass (cmb)</t>
  </si>
  <si>
    <t>egy.in.enc.frt.amc.ren</t>
  </si>
  <si>
    <t>Egypt Ammonia — Self-gen renewables (cmb)</t>
  </si>
  <si>
    <t>egy.in.enp.frt.amc.coa</t>
  </si>
  <si>
    <t>Egypt Ammonia — Coal (prc)</t>
  </si>
  <si>
    <t>egy.in.enp.frt.amc.nga</t>
  </si>
  <si>
    <t>Egypt Ammonia — Natural gas (prc)</t>
  </si>
  <si>
    <t>egy.in.enp.frt.amc.gso</t>
  </si>
  <si>
    <t>Egypt Ammonia — Gasoline (prc)</t>
  </si>
  <si>
    <t>egy.in.enp.frt.amc.die</t>
  </si>
  <si>
    <t>Egypt Ammonia — Diesel (prc)</t>
  </si>
  <si>
    <t>egy.in.enp.frt.amc.ker</t>
  </si>
  <si>
    <t>Egypt Ammonia — Kerosene (prc)</t>
  </si>
  <si>
    <t>egy.in.enp.frt.amc.lpg</t>
  </si>
  <si>
    <t>Egypt Ammonia — LPG (prc)</t>
  </si>
  <si>
    <t>egy.in.enp.frt.amc.bio</t>
  </si>
  <si>
    <t>Egypt Ammonia — Biomass (prc)</t>
  </si>
  <si>
    <t>egy.in.enp.frt.amc.ren</t>
  </si>
  <si>
    <t>Egypt Ammonia — Self-gen renewables (prc)</t>
  </si>
  <si>
    <t>egy.in.ele.frt.amc.elc</t>
  </si>
  <si>
    <t>Egypt Ammonia — electricity</t>
  </si>
  <si>
    <t>egy.in.efn.frt.amc.---</t>
  </si>
  <si>
    <t>Egypt Ammonia — non-fuel process EF</t>
  </si>
  <si>
    <t>egy.in.efo.frt.amc.---</t>
  </si>
  <si>
    <t>Egypt Ammonia — non-CO₂ GHG EF</t>
  </si>
  <si>
    <t>egy.in.prb.frt.ure.---</t>
  </si>
  <si>
    <t>Egypt Urea — base production</t>
  </si>
  <si>
    <t>Base year 2024 production of urea.</t>
  </si>
  <si>
    <t>egy.in.els.frt.ure.---</t>
  </si>
  <si>
    <t>Egypt Urea — elasticity</t>
  </si>
  <si>
    <t>egy.in.ext.frt.ure.---</t>
  </si>
  <si>
    <t>Egypt Urea — export share total</t>
  </si>
  <si>
    <t>egy.in.exe.frt.ure.---</t>
  </si>
  <si>
    <t>Egypt Urea — EU export share</t>
  </si>
  <si>
    <t>egy.in.imp.frt.ure.---</t>
  </si>
  <si>
    <t>Egypt Urea — import share</t>
  </si>
  <si>
    <t>egy.in.enc.frt.ure.coa</t>
  </si>
  <si>
    <t>Egypt Urea — Coal (cmb)</t>
  </si>
  <si>
    <t>egy.in.enc.frt.ure.nga</t>
  </si>
  <si>
    <t>Egypt Urea — Natural gas (cmb)</t>
  </si>
  <si>
    <t>egy.in.enc.frt.ure.gso</t>
  </si>
  <si>
    <t>Egypt Urea — Gasoline (cmb)</t>
  </si>
  <si>
    <t>egy.in.enc.frt.ure.die</t>
  </si>
  <si>
    <t>Egypt Urea — Diesel (cmb)</t>
  </si>
  <si>
    <t>egy.in.enc.frt.ure.ker</t>
  </si>
  <si>
    <t>Egypt Urea — Kerosene (cmb)</t>
  </si>
  <si>
    <t>egy.in.enc.frt.ure.lpg</t>
  </si>
  <si>
    <t>Egypt Urea — LPG (cmb)</t>
  </si>
  <si>
    <t>egy.in.enc.frt.ure.bio</t>
  </si>
  <si>
    <t>Egypt Urea — Biomass (cmb)</t>
  </si>
  <si>
    <t>egy.in.enc.frt.ure.ren</t>
  </si>
  <si>
    <t>Egypt Urea — Self-gen renewables (cmb)</t>
  </si>
  <si>
    <t>egy.in.enp.frt.ure.coa</t>
  </si>
  <si>
    <t>Egypt Urea — Coal (prc)</t>
  </si>
  <si>
    <t>egy.in.enp.frt.ure.nga</t>
  </si>
  <si>
    <t>Egypt Urea — Natural gas (prc)</t>
  </si>
  <si>
    <t>egy.in.enp.frt.ure.gso</t>
  </si>
  <si>
    <t>Egypt Urea — Gasoline (prc)</t>
  </si>
  <si>
    <t>egy.in.enp.frt.ure.die</t>
  </si>
  <si>
    <t>Egypt Urea — Diesel (prc)</t>
  </si>
  <si>
    <t>egy.in.enp.frt.ure.ker</t>
  </si>
  <si>
    <t>Egypt Urea — Kerosene (prc)</t>
  </si>
  <si>
    <t>egy.in.enp.frt.ure.lpg</t>
  </si>
  <si>
    <t>Egypt Urea — LPG (prc)</t>
  </si>
  <si>
    <t>egy.in.enp.frt.ure.bio</t>
  </si>
  <si>
    <t>Egypt Urea — Biomass (prc)</t>
  </si>
  <si>
    <t>egy.in.enp.frt.ure.ren</t>
  </si>
  <si>
    <t>Egypt Urea — Self-gen renewables (prc)</t>
  </si>
  <si>
    <t>egy.in.ele.frt.ure.elc</t>
  </si>
  <si>
    <t>Egypt Urea — electricity</t>
  </si>
  <si>
    <t>egy.in.efn.frt.ure.---</t>
  </si>
  <si>
    <t>Egypt Urea — non-fuel process EF</t>
  </si>
  <si>
    <t>egy.in.efo.frt.ure.---</t>
  </si>
  <si>
    <t>Egypt Urea — non-CO₂ GHG EF</t>
  </si>
  <si>
    <t>egy.in.prb.frt.nit.---</t>
  </si>
  <si>
    <t>Egypt Ammonium nitrate — base production</t>
  </si>
  <si>
    <t>Base year 2024 production of ammonium nitrate.</t>
  </si>
  <si>
    <t>egy.in.els.frt.nit.---</t>
  </si>
  <si>
    <t>Egypt Ammonium nitrate — elasticity</t>
  </si>
  <si>
    <t>egy.in.ext.frt.nit.---</t>
  </si>
  <si>
    <t>Egypt Ammonium nitrate — export share total</t>
  </si>
  <si>
    <t>egy.in.exe.frt.nit.---</t>
  </si>
  <si>
    <t>Egypt Ammonium nitrate — EU export share</t>
  </si>
  <si>
    <t>egy.in.imp.frt.nit.---</t>
  </si>
  <si>
    <t>Egypt Ammonium nitrate — import share</t>
  </si>
  <si>
    <t>egy.in.enc.frt.nit.coa</t>
  </si>
  <si>
    <t>Egypt Ammonium nitrate — Coal (cmb)</t>
  </si>
  <si>
    <t>egy.in.enc.frt.nit.nga</t>
  </si>
  <si>
    <t>Egypt Ammonium nitrate — Natural gas (cmb)</t>
  </si>
  <si>
    <t>egy.in.enc.frt.nit.gso</t>
  </si>
  <si>
    <t>Egypt Ammonium nitrate — Gasoline (cmb)</t>
  </si>
  <si>
    <t>egy.in.enc.frt.nit.die</t>
  </si>
  <si>
    <t>Egypt Ammonium nitrate — Diesel (cmb)</t>
  </si>
  <si>
    <t>egy.in.enc.frt.nit.ker</t>
  </si>
  <si>
    <t>Egypt Ammonium nitrate — Kerosene (cmb)</t>
  </si>
  <si>
    <t>egy.in.enc.frt.nit.lpg</t>
  </si>
  <si>
    <t>Egypt Ammonium nitrate — LPG (cmb)</t>
  </si>
  <si>
    <t>egy.in.enc.frt.nit.bio</t>
  </si>
  <si>
    <t>Egypt Ammonium nitrate — Biomass (cmb)</t>
  </si>
  <si>
    <t>egy.in.enc.frt.nit.ren</t>
  </si>
  <si>
    <t>Egypt Ammonium nitrate — Self-gen renewables (cmb)</t>
  </si>
  <si>
    <t>egy.in.enp.frt.nit.coa</t>
  </si>
  <si>
    <t>Egypt Ammonium nitrate — Coal (prc)</t>
  </si>
  <si>
    <t>egy.in.enp.frt.nit.nga</t>
  </si>
  <si>
    <t>Egypt Ammonium nitrate — Natural gas (prc)</t>
  </si>
  <si>
    <t>egy.in.enp.frt.nit.gso</t>
  </si>
  <si>
    <t>Egypt Ammonium nitrate — Gasoline (prc)</t>
  </si>
  <si>
    <t>egy.in.enp.frt.nit.die</t>
  </si>
  <si>
    <t>Egypt Ammonium nitrate — Diesel (prc)</t>
  </si>
  <si>
    <t>egy.in.enp.frt.nit.ker</t>
  </si>
  <si>
    <t>Egypt Ammonium nitrate — Kerosene (prc)</t>
  </si>
  <si>
    <t>egy.in.enp.frt.nit.lpg</t>
  </si>
  <si>
    <t>Egypt Ammonium nitrate — LPG (prc)</t>
  </si>
  <si>
    <t>egy.in.enp.frt.nit.bio</t>
  </si>
  <si>
    <t>Egypt Ammonium nitrate — Biomass (prc)</t>
  </si>
  <si>
    <t>egy.in.enp.frt.nit.ren</t>
  </si>
  <si>
    <t>Egypt Ammonium nitrate — Self-gen renewables (prc)</t>
  </si>
  <si>
    <t>egy.in.ele.frt.nit.elc</t>
  </si>
  <si>
    <t>Egypt Ammonium nitrate — electricity</t>
  </si>
  <si>
    <t>egy.in.efn.frt.nit.---</t>
  </si>
  <si>
    <t>Egypt Ammonium nitrate — non-fuel process EF</t>
  </si>
  <si>
    <t>egy.in.efo.frt.nit.---</t>
  </si>
  <si>
    <t>Egypt Ammonium nitrate — non-CO₂ GHG EF</t>
  </si>
  <si>
    <t>egy.in.prb.alu.prp.---</t>
  </si>
  <si>
    <t>Egypt Primary aluminium — base production</t>
  </si>
  <si>
    <t>Base year 2024 production of primary aluminium.</t>
  </si>
  <si>
    <t>egy.in.els.alu.prp.---</t>
  </si>
  <si>
    <t>Egypt Primary aluminium — elasticity</t>
  </si>
  <si>
    <t>egy.in.ext.alu.prp.---</t>
  </si>
  <si>
    <t>Egypt Primary aluminium — export share total</t>
  </si>
  <si>
    <t>egy.in.exe.alu.prp.---</t>
  </si>
  <si>
    <t>Egypt Primary aluminium — EU export share</t>
  </si>
  <si>
    <t>egy.in.imp.alu.prp.---</t>
  </si>
  <si>
    <t>Egypt Primary aluminium — import share</t>
  </si>
  <si>
    <t>egy.in.enc.alu.prp.coa</t>
  </si>
  <si>
    <t>Egypt Primary aluminium — Coal (cmb)</t>
  </si>
  <si>
    <t>egy.in.enc.alu.prp.nga</t>
  </si>
  <si>
    <t>Egypt Primary aluminium — Natural gas (cmb)</t>
  </si>
  <si>
    <t>egy.in.enc.alu.prp.gso</t>
  </si>
  <si>
    <t>Egypt Primary aluminium — Gasoline (cmb)</t>
  </si>
  <si>
    <t>egy.in.enc.alu.prp.die</t>
  </si>
  <si>
    <t>Egypt Primary aluminium — Diesel (cmb)</t>
  </si>
  <si>
    <t>egy.in.enc.alu.prp.ker</t>
  </si>
  <si>
    <t>Egypt Primary aluminium — Kerosene (cmb)</t>
  </si>
  <si>
    <t>egy.in.enc.alu.prp.lpg</t>
  </si>
  <si>
    <t>Egypt Primary aluminium — LPG (cmb)</t>
  </si>
  <si>
    <t>egy.in.enc.alu.prp.bio</t>
  </si>
  <si>
    <t>Egypt Primary aluminium — Biomass (cmb)</t>
  </si>
  <si>
    <t>egy.in.enc.alu.prp.ren</t>
  </si>
  <si>
    <t>Egypt Primary aluminium — Self-gen renewables (cmb)</t>
  </si>
  <si>
    <t>egy.in.enp.alu.prp.coa</t>
  </si>
  <si>
    <t>Egypt Primary aluminium — Coal (prc)</t>
  </si>
  <si>
    <t>egy.in.enp.alu.prp.nga</t>
  </si>
  <si>
    <t>Egypt Primary aluminium — Natural gas (prc)</t>
  </si>
  <si>
    <t>egy.in.enp.alu.prp.gso</t>
  </si>
  <si>
    <t>Egypt Primary aluminium — Gasoline (prc)</t>
  </si>
  <si>
    <t>egy.in.enp.alu.prp.die</t>
  </si>
  <si>
    <t>Egypt Primary aluminium — Diesel (prc)</t>
  </si>
  <si>
    <t>egy.in.enp.alu.prp.ker</t>
  </si>
  <si>
    <t>Egypt Primary aluminium — Kerosene (prc)</t>
  </si>
  <si>
    <t>egy.in.enp.alu.prp.lpg</t>
  </si>
  <si>
    <t>Egypt Primary aluminium — LPG (prc)</t>
  </si>
  <si>
    <t>egy.in.enp.alu.prp.bio</t>
  </si>
  <si>
    <t>Egypt Primary aluminium — Biomass (prc)</t>
  </si>
  <si>
    <t>egy.in.enp.alu.prp.ren</t>
  </si>
  <si>
    <t>Egypt Primary aluminium — Self-gen renewables (prc)</t>
  </si>
  <si>
    <t>egy.in.ele.alu.prp.elc</t>
  </si>
  <si>
    <t>Egypt Primary aluminium — electricity</t>
  </si>
  <si>
    <t>egy.in.efn.alu.prp.---</t>
  </si>
  <si>
    <t>Egypt Primary aluminium — non-fuel process EF</t>
  </si>
  <si>
    <t>egy.in.efo.alu.prp.---</t>
  </si>
  <si>
    <t>Egypt Primary aluminium — non-CO₂ GHG EF</t>
  </si>
  <si>
    <t>6.alb. Albania — country-specific inputs by entity</t>
  </si>
  <si>
    <t>alb.in.prb.stl.drg.---</t>
  </si>
  <si>
    <t>Albania DRI-EAF steel — base production</t>
  </si>
  <si>
    <t>alb.in.els.stl.drg.---</t>
  </si>
  <si>
    <t>Albania DRI-EAF steel — elasticity</t>
  </si>
  <si>
    <t>alb.in.ext.stl.drg.---</t>
  </si>
  <si>
    <t>Albania DRI-EAF steel — export share total</t>
  </si>
  <si>
    <t>alb.in.exe.stl.drg.---</t>
  </si>
  <si>
    <t>Albania DRI-EAF steel — EU export share</t>
  </si>
  <si>
    <t>alb.in.imp.stl.drg.---</t>
  </si>
  <si>
    <t>Albania DRI-EAF steel — import share</t>
  </si>
  <si>
    <t>alb.in.enc.stl.drg.coa</t>
  </si>
  <si>
    <t>Albania DRI-EAF steel — Coal (cmb)</t>
  </si>
  <si>
    <t>alb.in.enc.stl.drg.nga</t>
  </si>
  <si>
    <t>Albania DRI-EAF steel — Natural gas (cmb)</t>
  </si>
  <si>
    <t>alb.in.enc.stl.drg.gso</t>
  </si>
  <si>
    <t>Albania DRI-EAF steel — Gasoline (cmb)</t>
  </si>
  <si>
    <t>alb.in.enc.stl.drg.die</t>
  </si>
  <si>
    <t>Albania DRI-EAF steel — Diesel (cmb)</t>
  </si>
  <si>
    <t>alb.in.enc.stl.drg.ker</t>
  </si>
  <si>
    <t>Albania DRI-EAF steel — Kerosene (cmb)</t>
  </si>
  <si>
    <t>alb.in.enc.stl.drg.lpg</t>
  </si>
  <si>
    <t>Albania DRI-EAF steel — LPG (cmb)</t>
  </si>
  <si>
    <t>alb.in.enc.stl.drg.bio</t>
  </si>
  <si>
    <t>Albania DRI-EAF steel — Biomass (cmb)</t>
  </si>
  <si>
    <t>alb.in.enc.stl.drg.ren</t>
  </si>
  <si>
    <t>Albania DRI-EAF steel — Self-gen renewables (cmb)</t>
  </si>
  <si>
    <t>alb.in.enp.stl.drg.coa</t>
  </si>
  <si>
    <t>Albania DRI-EAF steel — Coal (prc)</t>
  </si>
  <si>
    <t>alb.in.enp.stl.drg.nga</t>
  </si>
  <si>
    <t>Albania DRI-EAF steel — Natural gas (prc)</t>
  </si>
  <si>
    <t>alb.in.enp.stl.drg.gso</t>
  </si>
  <si>
    <t>Albania DRI-EAF steel — Gasoline (prc)</t>
  </si>
  <si>
    <t>alb.in.enp.stl.drg.die</t>
  </si>
  <si>
    <t>Albania DRI-EAF steel — Diesel (prc)</t>
  </si>
  <si>
    <t>alb.in.enp.stl.drg.ker</t>
  </si>
  <si>
    <t>Albania DRI-EAF steel — Kerosene (prc)</t>
  </si>
  <si>
    <t>alb.in.enp.stl.drg.lpg</t>
  </si>
  <si>
    <t>Albania DRI-EAF steel — LPG (prc)</t>
  </si>
  <si>
    <t>alb.in.enp.stl.drg.bio</t>
  </si>
  <si>
    <t>Albania DRI-EAF steel — Biomass (prc)</t>
  </si>
  <si>
    <t>alb.in.enp.stl.drg.ren</t>
  </si>
  <si>
    <t>Albania DRI-EAF steel — Self-gen renewables (prc)</t>
  </si>
  <si>
    <t>alb.in.ele.stl.drg.elc</t>
  </si>
  <si>
    <t>Albania DRI-EAF steel — electricity</t>
  </si>
  <si>
    <t>alb.in.efn.stl.drg.---</t>
  </si>
  <si>
    <t>Albania DRI-EAF steel — non-fuel process EF</t>
  </si>
  <si>
    <t>alb.in.efo.stl.drg.---</t>
  </si>
  <si>
    <t>Albania DRI-EAF steel — non-CO₂ GHG EF</t>
  </si>
  <si>
    <t>alb.in.prb.stl.scr.---</t>
  </si>
  <si>
    <t>Albania Scrap-EAF steel — base production</t>
  </si>
  <si>
    <t>alb.in.els.stl.scr.---</t>
  </si>
  <si>
    <t>Albania Scrap-EAF steel — elasticity</t>
  </si>
  <si>
    <t>alb.in.ext.stl.scr.---</t>
  </si>
  <si>
    <t>Albania Scrap-EAF steel — export share total</t>
  </si>
  <si>
    <t>alb.in.exe.stl.scr.---</t>
  </si>
  <si>
    <t>Albania Scrap-EAF steel — EU export share</t>
  </si>
  <si>
    <t>alb.in.imp.stl.scr.---</t>
  </si>
  <si>
    <t>Albania Scrap-EAF steel — import share</t>
  </si>
  <si>
    <t>alb.in.enc.stl.scr.coa</t>
  </si>
  <si>
    <t>Albania Scrap-EAF steel — Coal (cmb)</t>
  </si>
  <si>
    <t>alb.in.enc.stl.scr.nga</t>
  </si>
  <si>
    <t>Albania Scrap-EAF steel — Natural gas (cmb)</t>
  </si>
  <si>
    <t>alb.in.enc.stl.scr.gso</t>
  </si>
  <si>
    <t>Albania Scrap-EAF steel — Gasoline (cmb)</t>
  </si>
  <si>
    <t>alb.in.enc.stl.scr.die</t>
  </si>
  <si>
    <t>Albania Scrap-EAF steel — Diesel (cmb)</t>
  </si>
  <si>
    <t>alb.in.enc.stl.scr.ker</t>
  </si>
  <si>
    <t>Albania Scrap-EAF steel — Kerosene (cmb)</t>
  </si>
  <si>
    <t>alb.in.enc.stl.scr.lpg</t>
  </si>
  <si>
    <t>Albania Scrap-EAF steel — LPG (cmb)</t>
  </si>
  <si>
    <t>alb.in.enc.stl.scr.bio</t>
  </si>
  <si>
    <t>Albania Scrap-EAF steel — Biomass (cmb)</t>
  </si>
  <si>
    <t>alb.in.enc.stl.scr.ren</t>
  </si>
  <si>
    <t>Albania Scrap-EAF steel — Self-gen renewables (cmb)</t>
  </si>
  <si>
    <t>alb.in.enp.stl.scr.coa</t>
  </si>
  <si>
    <t>Albania Scrap-EAF steel — Coal (prc)</t>
  </si>
  <si>
    <t>alb.in.enp.stl.scr.nga</t>
  </si>
  <si>
    <t>Albania Scrap-EAF steel — Natural gas (prc)</t>
  </si>
  <si>
    <t>alb.in.enp.stl.scr.gso</t>
  </si>
  <si>
    <t>Albania Scrap-EAF steel — Gasoline (prc)</t>
  </si>
  <si>
    <t>alb.in.enp.stl.scr.die</t>
  </si>
  <si>
    <t>Albania Scrap-EAF steel — Diesel (prc)</t>
  </si>
  <si>
    <t>alb.in.enp.stl.scr.ker</t>
  </si>
  <si>
    <t>Albania Scrap-EAF steel — Kerosene (prc)</t>
  </si>
  <si>
    <t>alb.in.enp.stl.scr.lpg</t>
  </si>
  <si>
    <t>Albania Scrap-EAF steel — LPG (prc)</t>
  </si>
  <si>
    <t>alb.in.enp.stl.scr.bio</t>
  </si>
  <si>
    <t>Albania Scrap-EAF steel — Biomass (prc)</t>
  </si>
  <si>
    <t>alb.in.enp.stl.scr.ren</t>
  </si>
  <si>
    <t>Albania Scrap-EAF steel — Self-gen renewables (prc)</t>
  </si>
  <si>
    <t>alb.in.ele.stl.scr.elc</t>
  </si>
  <si>
    <t>Albania Scrap-EAF steel — electricity</t>
  </si>
  <si>
    <t>alb.in.efn.stl.scr.---</t>
  </si>
  <si>
    <t>Albania Scrap-EAF steel — non-fuel process EF</t>
  </si>
  <si>
    <t>alb.in.efo.stl.scr.---</t>
  </si>
  <si>
    <t>Albania Scrap-EAF steel — non-CO₂ GHG EF</t>
  </si>
  <si>
    <t>alb.in.prb.stl.bof.---</t>
  </si>
  <si>
    <t>Albania BF-BOF steel — base production</t>
  </si>
  <si>
    <t>alb.in.els.stl.bof.---</t>
  </si>
  <si>
    <t>Albania BF-BOF steel — elasticity</t>
  </si>
  <si>
    <t>alb.in.ext.stl.bof.---</t>
  </si>
  <si>
    <t>Albania BF-BOF steel — export share total</t>
  </si>
  <si>
    <t>alb.in.exe.stl.bof.---</t>
  </si>
  <si>
    <t>Albania BF-BOF steel — EU export share</t>
  </si>
  <si>
    <t>alb.in.imp.stl.bof.---</t>
  </si>
  <si>
    <t>Albania BF-BOF steel — import share</t>
  </si>
  <si>
    <t>alb.in.enc.stl.bof.coa</t>
  </si>
  <si>
    <t>Albania BF-BOF steel — Coal (cmb)</t>
  </si>
  <si>
    <t>alb.in.enc.stl.bof.nga</t>
  </si>
  <si>
    <t>Albania BF-BOF steel — Natural gas (cmb)</t>
  </si>
  <si>
    <t>alb.in.enc.stl.bof.gso</t>
  </si>
  <si>
    <t>Albania BF-BOF steel — Gasoline (cmb)</t>
  </si>
  <si>
    <t>alb.in.enc.stl.bof.die</t>
  </si>
  <si>
    <t>Albania BF-BOF steel — Diesel (cmb)</t>
  </si>
  <si>
    <t>alb.in.enc.stl.bof.ker</t>
  </si>
  <si>
    <t>Albania BF-BOF steel — Kerosene (cmb)</t>
  </si>
  <si>
    <t>alb.in.enc.stl.bof.lpg</t>
  </si>
  <si>
    <t>Albania BF-BOF steel — LPG (cmb)</t>
  </si>
  <si>
    <t>alb.in.enc.stl.bof.bio</t>
  </si>
  <si>
    <t>Albania BF-BOF steel — Biomass (cmb)</t>
  </si>
  <si>
    <t>alb.in.enc.stl.bof.ren</t>
  </si>
  <si>
    <t>Albania BF-BOF steel — Self-gen renewables (cmb)</t>
  </si>
  <si>
    <t>alb.in.enp.stl.bof.coa</t>
  </si>
  <si>
    <t>Albania BF-BOF steel — Coal (prc)</t>
  </si>
  <si>
    <t>alb.in.enp.stl.bof.nga</t>
  </si>
  <si>
    <t>Albania BF-BOF steel — Natural gas (prc)</t>
  </si>
  <si>
    <t>alb.in.enp.stl.bof.gso</t>
  </si>
  <si>
    <t>Albania BF-BOF steel — Gasoline (prc)</t>
  </si>
  <si>
    <t>alb.in.enp.stl.bof.die</t>
  </si>
  <si>
    <t>Albania BF-BOF steel — Diesel (prc)</t>
  </si>
  <si>
    <t>alb.in.enp.stl.bof.ker</t>
  </si>
  <si>
    <t>Albania BF-BOF steel — Kerosene (prc)</t>
  </si>
  <si>
    <t>alb.in.enp.stl.bof.lpg</t>
  </si>
  <si>
    <t>Albania BF-BOF steel — LPG (prc)</t>
  </si>
  <si>
    <t>alb.in.enp.stl.bof.bio</t>
  </si>
  <si>
    <t>Albania BF-BOF steel — Biomass (prc)</t>
  </si>
  <si>
    <t>alb.in.enp.stl.bof.ren</t>
  </si>
  <si>
    <t>Albania BF-BOF steel — Self-gen renewables (prc)</t>
  </si>
  <si>
    <t>alb.in.ele.stl.bof.elc</t>
  </si>
  <si>
    <t>Albania BF-BOF steel — electricity</t>
  </si>
  <si>
    <t>alb.in.efn.stl.bof.---</t>
  </si>
  <si>
    <t>Albania BF-BOF steel — non-fuel process EF</t>
  </si>
  <si>
    <t>alb.in.efo.stl.bof.---</t>
  </si>
  <si>
    <t>Albania BF-BOF steel — non-CO₂ GHG EF</t>
  </si>
  <si>
    <t>alb.in.prb.cmt.dry.---</t>
  </si>
  <si>
    <t>Albania Cement — base production</t>
  </si>
  <si>
    <t>alb.in.els.cmt.dry.---</t>
  </si>
  <si>
    <t>Albania Cement — elasticity</t>
  </si>
  <si>
    <t>alb.in.ext.cmt.dry.---</t>
  </si>
  <si>
    <t>Albania Cement — export share total</t>
  </si>
  <si>
    <t>alb.in.exe.cmt.dry.---</t>
  </si>
  <si>
    <t>Albania Cement — EU export share</t>
  </si>
  <si>
    <t>alb.in.imp.cmt.dry.---</t>
  </si>
  <si>
    <t>Albania Cement — import share</t>
  </si>
  <si>
    <t>alb.in.enc.cmt.dry.coa</t>
  </si>
  <si>
    <t>Albania Cement — Coal (cmb)</t>
  </si>
  <si>
    <t>alb.in.enc.cmt.dry.nga</t>
  </si>
  <si>
    <t>Albania Cement — Natural gas (cmb)</t>
  </si>
  <si>
    <t>alb.in.enc.cmt.dry.gso</t>
  </si>
  <si>
    <t>Albania Cement — Gasoline (cmb)</t>
  </si>
  <si>
    <t>alb.in.enc.cmt.dry.die</t>
  </si>
  <si>
    <t>Albania Cement — Diesel (cmb)</t>
  </si>
  <si>
    <t>alb.in.enc.cmt.dry.ker</t>
  </si>
  <si>
    <t>Albania Cement — Kerosene (cmb)</t>
  </si>
  <si>
    <t>alb.in.enc.cmt.dry.lpg</t>
  </si>
  <si>
    <t>Albania Cement — LPG (cmb)</t>
  </si>
  <si>
    <t>alb.in.enc.cmt.dry.bio</t>
  </si>
  <si>
    <t>Albania Cement — Biomass (cmb)</t>
  </si>
  <si>
    <t>alb.in.enc.cmt.dry.ren</t>
  </si>
  <si>
    <t>Albania Cement — Self-gen renewables (cmb)</t>
  </si>
  <si>
    <t>alb.in.enp.cmt.dry.coa</t>
  </si>
  <si>
    <t>Albania Cement — Coal (prc)</t>
  </si>
  <si>
    <t>alb.in.enp.cmt.dry.nga</t>
  </si>
  <si>
    <t>Albania Cement — Natural gas (prc)</t>
  </si>
  <si>
    <t>alb.in.enp.cmt.dry.gso</t>
  </si>
  <si>
    <t>Albania Cement — Gasoline (prc)</t>
  </si>
  <si>
    <t>alb.in.enp.cmt.dry.die</t>
  </si>
  <si>
    <t>Albania Cement — Diesel (prc)</t>
  </si>
  <si>
    <t>alb.in.enp.cmt.dry.ker</t>
  </si>
  <si>
    <t>Albania Cement — Kerosene (prc)</t>
  </si>
  <si>
    <t>alb.in.enp.cmt.dry.lpg</t>
  </si>
  <si>
    <t>Albania Cement — LPG (prc)</t>
  </si>
  <si>
    <t>alb.in.enp.cmt.dry.bio</t>
  </si>
  <si>
    <t>Albania Cement — Biomass (prc)</t>
  </si>
  <si>
    <t>alb.in.enp.cmt.dry.ren</t>
  </si>
  <si>
    <t>Albania Cement — Self-gen renewables (prc)</t>
  </si>
  <si>
    <t>alb.in.ele.cmt.dry.elc</t>
  </si>
  <si>
    <t>Albania Cement — electricity</t>
  </si>
  <si>
    <t>alb.in.efn.cmt.dry.---</t>
  </si>
  <si>
    <t>Albania Cement — non-fuel process EF</t>
  </si>
  <si>
    <t>alb.in.efo.cmt.dry.---</t>
  </si>
  <si>
    <t>Albania Cement — non-CO₂ GHG EF</t>
  </si>
  <si>
    <t>alb.in.prb.frt.amc.---</t>
  </si>
  <si>
    <t>Albania Ammonia — base production</t>
  </si>
  <si>
    <t>alb.in.els.frt.amc.---</t>
  </si>
  <si>
    <t>Albania Ammonia — elasticity</t>
  </si>
  <si>
    <t>alb.in.ext.frt.amc.---</t>
  </si>
  <si>
    <t>Albania Ammonia — export share total</t>
  </si>
  <si>
    <t>alb.in.exe.frt.amc.---</t>
  </si>
  <si>
    <t>Albania Ammonia — EU export share</t>
  </si>
  <si>
    <t>alb.in.imp.frt.amc.---</t>
  </si>
  <si>
    <t>Albania Ammonia — import share</t>
  </si>
  <si>
    <t>alb.in.enc.frt.amc.coa</t>
  </si>
  <si>
    <t>Albania Ammonia — Coal (cmb)</t>
  </si>
  <si>
    <t>alb.in.enc.frt.amc.nga</t>
  </si>
  <si>
    <t>Albania Ammonia — Natural gas (cmb)</t>
  </si>
  <si>
    <t>alb.in.enc.frt.amc.gso</t>
  </si>
  <si>
    <t>Albania Ammonia — Gasoline (cmb)</t>
  </si>
  <si>
    <t>alb.in.enc.frt.amc.die</t>
  </si>
  <si>
    <t>Albania Ammonia — Diesel (cmb)</t>
  </si>
  <si>
    <t>alb.in.enc.frt.amc.ker</t>
  </si>
  <si>
    <t>Albania Ammonia — Kerosene (cmb)</t>
  </si>
  <si>
    <t>alb.in.enc.frt.amc.lpg</t>
  </si>
  <si>
    <t>Albania Ammonia — LPG (cmb)</t>
  </si>
  <si>
    <t>alb.in.enc.frt.amc.bio</t>
  </si>
  <si>
    <t>Albania Ammonia — Biomass (cmb)</t>
  </si>
  <si>
    <t>alb.in.enc.frt.amc.ren</t>
  </si>
  <si>
    <t>Albania Ammonia — Self-gen renewables (cmb)</t>
  </si>
  <si>
    <t>alb.in.enp.frt.amc.coa</t>
  </si>
  <si>
    <t>Albania Ammonia — Coal (prc)</t>
  </si>
  <si>
    <t>alb.in.enp.frt.amc.nga</t>
  </si>
  <si>
    <t>Albania Ammonia — Natural gas (prc)</t>
  </si>
  <si>
    <t>alb.in.enp.frt.amc.gso</t>
  </si>
  <si>
    <t>Albania Ammonia — Gasoline (prc)</t>
  </si>
  <si>
    <t>alb.in.enp.frt.amc.die</t>
  </si>
  <si>
    <t>Albania Ammonia — Diesel (prc)</t>
  </si>
  <si>
    <t>alb.in.enp.frt.amc.ker</t>
  </si>
  <si>
    <t>Albania Ammonia — Kerosene (prc)</t>
  </si>
  <si>
    <t>alb.in.enp.frt.amc.lpg</t>
  </si>
  <si>
    <t>Albania Ammonia — LPG (prc)</t>
  </si>
  <si>
    <t>alb.in.enp.frt.amc.bio</t>
  </si>
  <si>
    <t>Albania Ammonia — Biomass (prc)</t>
  </si>
  <si>
    <t>alb.in.enp.frt.amc.ren</t>
  </si>
  <si>
    <t>Albania Ammonia — Self-gen renewables (prc)</t>
  </si>
  <si>
    <t>alb.in.ele.frt.amc.elc</t>
  </si>
  <si>
    <t>Albania Ammonia — electricity</t>
  </si>
  <si>
    <t>alb.in.efn.frt.amc.---</t>
  </si>
  <si>
    <t>Albania Ammonia — non-fuel process EF</t>
  </si>
  <si>
    <t>alb.in.efo.frt.amc.---</t>
  </si>
  <si>
    <t>Albania Ammonia — non-CO₂ GHG EF</t>
  </si>
  <si>
    <t>alb.in.prb.frt.ure.---</t>
  </si>
  <si>
    <t>Albania Urea — base production</t>
  </si>
  <si>
    <t>alb.in.els.frt.ure.---</t>
  </si>
  <si>
    <t>Albania Urea — elasticity</t>
  </si>
  <si>
    <t>alb.in.ext.frt.ure.---</t>
  </si>
  <si>
    <t>Albania Urea — export share total</t>
  </si>
  <si>
    <t>alb.in.exe.frt.ure.---</t>
  </si>
  <si>
    <t>Albania Urea — EU export share</t>
  </si>
  <si>
    <t>alb.in.imp.frt.ure.---</t>
  </si>
  <si>
    <t>Albania Urea — import share</t>
  </si>
  <si>
    <t>alb.in.enc.frt.ure.coa</t>
  </si>
  <si>
    <t>Albania Urea — Coal (cmb)</t>
  </si>
  <si>
    <t>alb.in.enc.frt.ure.nga</t>
  </si>
  <si>
    <t>Albania Urea — Natural gas (cmb)</t>
  </si>
  <si>
    <t>alb.in.enc.frt.ure.gso</t>
  </si>
  <si>
    <t>Albania Urea — Gasoline (cmb)</t>
  </si>
  <si>
    <t>alb.in.enc.frt.ure.die</t>
  </si>
  <si>
    <t>Albania Urea — Diesel (cmb)</t>
  </si>
  <si>
    <t>alb.in.enc.frt.ure.ker</t>
  </si>
  <si>
    <t>Albania Urea — Kerosene (cmb)</t>
  </si>
  <si>
    <t>alb.in.enc.frt.ure.lpg</t>
  </si>
  <si>
    <t>Albania Urea — LPG (cmb)</t>
  </si>
  <si>
    <t>alb.in.enc.frt.ure.bio</t>
  </si>
  <si>
    <t>Albania Urea — Biomass (cmb)</t>
  </si>
  <si>
    <t>alb.in.enc.frt.ure.ren</t>
  </si>
  <si>
    <t>Albania Urea — Self-gen renewables (cmb)</t>
  </si>
  <si>
    <t>alb.in.enp.frt.ure.coa</t>
  </si>
  <si>
    <t>Albania Urea — Coal (prc)</t>
  </si>
  <si>
    <t>alb.in.enp.frt.ure.nga</t>
  </si>
  <si>
    <t>Albania Urea — Natural gas (prc)</t>
  </si>
  <si>
    <t>alb.in.enp.frt.ure.gso</t>
  </si>
  <si>
    <t>Albania Urea — Gasoline (prc)</t>
  </si>
  <si>
    <t>alb.in.enp.frt.ure.die</t>
  </si>
  <si>
    <t>Albania Urea — Diesel (prc)</t>
  </si>
  <si>
    <t>alb.in.enp.frt.ure.ker</t>
  </si>
  <si>
    <t>Albania Urea — Kerosene (prc)</t>
  </si>
  <si>
    <t>alb.in.enp.frt.ure.lpg</t>
  </si>
  <si>
    <t>Albania Urea — LPG (prc)</t>
  </si>
  <si>
    <t>alb.in.enp.frt.ure.bio</t>
  </si>
  <si>
    <t>Albania Urea — Biomass (prc)</t>
  </si>
  <si>
    <t>alb.in.enp.frt.ure.ren</t>
  </si>
  <si>
    <t>Albania Urea — Self-gen renewables (prc)</t>
  </si>
  <si>
    <t>alb.in.ele.frt.ure.elc</t>
  </si>
  <si>
    <t>Albania Urea — electricity</t>
  </si>
  <si>
    <t>alb.in.efn.frt.ure.---</t>
  </si>
  <si>
    <t>Albania Urea — non-fuel process EF</t>
  </si>
  <si>
    <t>alb.in.efo.frt.ure.---</t>
  </si>
  <si>
    <t>Albania Urea — non-CO₂ GHG EF</t>
  </si>
  <si>
    <t>alb.in.prb.frt.nit.---</t>
  </si>
  <si>
    <t>Albania Ammonium nitrate — base production</t>
  </si>
  <si>
    <t>alb.in.els.frt.nit.---</t>
  </si>
  <si>
    <t>Albania Ammonium nitrate — elasticity</t>
  </si>
  <si>
    <t>alb.in.ext.frt.nit.---</t>
  </si>
  <si>
    <t>Albania Ammonium nitrate — export share total</t>
  </si>
  <si>
    <t>alb.in.exe.frt.nit.---</t>
  </si>
  <si>
    <t>Albania Ammonium nitrate — EU export share</t>
  </si>
  <si>
    <t>alb.in.imp.frt.nit.---</t>
  </si>
  <si>
    <t>Albania Ammonium nitrate — import share</t>
  </si>
  <si>
    <t>alb.in.enc.frt.nit.coa</t>
  </si>
  <si>
    <t>Albania Ammonium nitrate — Coal (cmb)</t>
  </si>
  <si>
    <t>alb.in.enc.frt.nit.nga</t>
  </si>
  <si>
    <t>Albania Ammonium nitrate — Natural gas (cmb)</t>
  </si>
  <si>
    <t>alb.in.enc.frt.nit.gso</t>
  </si>
  <si>
    <t>Albania Ammonium nitrate — Gasoline (cmb)</t>
  </si>
  <si>
    <t>alb.in.enc.frt.nit.die</t>
  </si>
  <si>
    <t>Albania Ammonium nitrate — Diesel (cmb)</t>
  </si>
  <si>
    <t>alb.in.enc.frt.nit.ker</t>
  </si>
  <si>
    <t>Albania Ammonium nitrate — Kerosene (cmb)</t>
  </si>
  <si>
    <t>alb.in.enc.frt.nit.lpg</t>
  </si>
  <si>
    <t>Albania Ammonium nitrate — LPG (cmb)</t>
  </si>
  <si>
    <t>alb.in.enc.frt.nit.bio</t>
  </si>
  <si>
    <t>Albania Ammonium nitrate — Biomass (cmb)</t>
  </si>
  <si>
    <t>alb.in.enc.frt.nit.ren</t>
  </si>
  <si>
    <t>Albania Ammonium nitrate — Self-gen renewables (cmb)</t>
  </si>
  <si>
    <t>alb.in.enp.frt.nit.coa</t>
  </si>
  <si>
    <t>Albania Ammonium nitrate — Coal (prc)</t>
  </si>
  <si>
    <t>alb.in.enp.frt.nit.nga</t>
  </si>
  <si>
    <t>Albania Ammonium nitrate — Natural gas (prc)</t>
  </si>
  <si>
    <t>alb.in.enp.frt.nit.gso</t>
  </si>
  <si>
    <t>Albania Ammonium nitrate — Gasoline (prc)</t>
  </si>
  <si>
    <t>alb.in.enp.frt.nit.die</t>
  </si>
  <si>
    <t>Albania Ammonium nitrate — Diesel (prc)</t>
  </si>
  <si>
    <t>alb.in.enp.frt.nit.ker</t>
  </si>
  <si>
    <t>Albania Ammonium nitrate — Kerosene (prc)</t>
  </si>
  <si>
    <t>alb.in.enp.frt.nit.lpg</t>
  </si>
  <si>
    <t>Albania Ammonium nitrate — LPG (prc)</t>
  </si>
  <si>
    <t>alb.in.enp.frt.nit.bio</t>
  </si>
  <si>
    <t>Albania Ammonium nitrate — Biomass (prc)</t>
  </si>
  <si>
    <t>alb.in.enp.frt.nit.ren</t>
  </si>
  <si>
    <t>Albania Ammonium nitrate — Self-gen renewables (prc)</t>
  </si>
  <si>
    <t>alb.in.ele.frt.nit.elc</t>
  </si>
  <si>
    <t>Albania Ammonium nitrate — electricity</t>
  </si>
  <si>
    <t>alb.in.efn.frt.nit.---</t>
  </si>
  <si>
    <t>Albania Ammonium nitrate — non-fuel process EF</t>
  </si>
  <si>
    <t>alb.in.efo.frt.nit.---</t>
  </si>
  <si>
    <t>Albania Ammonium nitrate — non-CO₂ GHG EF</t>
  </si>
  <si>
    <t>IPCC 2006 V3 2B2 midpoint 5 kg N2O/t HNO3 x 0.71 t HNO3/t AN x AR6 GWP 273 = 0.97; prev. 2.5 implied ~13 kg/t, above IPCC ceiling</t>
  </si>
  <si>
    <t>alb.in.prb.alu.prp.---</t>
  </si>
  <si>
    <t>Albania Primary aluminium — base production</t>
  </si>
  <si>
    <t>alb.in.els.alu.prp.---</t>
  </si>
  <si>
    <t>Albania Primary aluminium — elasticity</t>
  </si>
  <si>
    <t>alb.in.ext.alu.prp.---</t>
  </si>
  <si>
    <t>Albania Primary aluminium — export share total</t>
  </si>
  <si>
    <t>alb.in.exe.alu.prp.---</t>
  </si>
  <si>
    <t>Albania Primary aluminium — EU export share</t>
  </si>
  <si>
    <t>alb.in.imp.alu.prp.---</t>
  </si>
  <si>
    <t>Albania Primary aluminium — import share</t>
  </si>
  <si>
    <t>alb.in.enc.alu.prp.coa</t>
  </si>
  <si>
    <t>Albania Primary aluminium — Coal (cmb)</t>
  </si>
  <si>
    <t>alb.in.enc.alu.prp.nga</t>
  </si>
  <si>
    <t>Albania Primary aluminium — Natural gas (cmb)</t>
  </si>
  <si>
    <t>alb.in.enc.alu.prp.gso</t>
  </si>
  <si>
    <t>Albania Primary aluminium — Gasoline (cmb)</t>
  </si>
  <si>
    <t>alb.in.enc.alu.prp.die</t>
  </si>
  <si>
    <t>Albania Primary aluminium — Diesel (cmb)</t>
  </si>
  <si>
    <t>alb.in.enc.alu.prp.ker</t>
  </si>
  <si>
    <t>Albania Primary aluminium — Kerosene (cmb)</t>
  </si>
  <si>
    <t>alb.in.enc.alu.prp.lpg</t>
  </si>
  <si>
    <t>Albania Primary aluminium — LPG (cmb)</t>
  </si>
  <si>
    <t>alb.in.enc.alu.prp.bio</t>
  </si>
  <si>
    <t>Albania Primary aluminium — Biomass (cmb)</t>
  </si>
  <si>
    <t>alb.in.enc.alu.prp.ren</t>
  </si>
  <si>
    <t>Albania Primary aluminium — Self-gen renewables (cmb)</t>
  </si>
  <si>
    <t>alb.in.enp.alu.prp.coa</t>
  </si>
  <si>
    <t>Albania Primary aluminium — Coal (prc)</t>
  </si>
  <si>
    <t>alb.in.enp.alu.prp.nga</t>
  </si>
  <si>
    <t>Albania Primary aluminium — Natural gas (prc)</t>
  </si>
  <si>
    <t>alb.in.enp.alu.prp.gso</t>
  </si>
  <si>
    <t>Albania Primary aluminium — Gasoline (prc)</t>
  </si>
  <si>
    <t>alb.in.enp.alu.prp.die</t>
  </si>
  <si>
    <t>Albania Primary aluminium — Diesel (prc)</t>
  </si>
  <si>
    <t>alb.in.enp.alu.prp.ker</t>
  </si>
  <si>
    <t>Albania Primary aluminium — Kerosene (prc)</t>
  </si>
  <si>
    <t>alb.in.enp.alu.prp.lpg</t>
  </si>
  <si>
    <t>Albania Primary aluminium — LPG (prc)</t>
  </si>
  <si>
    <t>alb.in.enp.alu.prp.bio</t>
  </si>
  <si>
    <t>Albania Primary aluminium — Biomass (prc)</t>
  </si>
  <si>
    <t>alb.in.enp.alu.prp.ren</t>
  </si>
  <si>
    <t>Albania Primary aluminium — Self-gen renewables (prc)</t>
  </si>
  <si>
    <t>alb.in.ele.alu.prp.elc</t>
  </si>
  <si>
    <t>Albania Primary aluminium — electricity</t>
  </si>
  <si>
    <t>alb.in.efn.alu.prp.---</t>
  </si>
  <si>
    <t>Albania Primary aluminium — non-fuel process EF</t>
  </si>
  <si>
    <t>alb.in.efo.alu.prp.---</t>
  </si>
  <si>
    <t>Albania Primary aluminium — non-CO₂ GHG EF</t>
  </si>
  <si>
    <t>IAI 2023 global prebake PFC average ~0.80 tCO2e/t (no country-specific potline data); replaces 0.7 placeholder. Egypt 0.85 = older potlines</t>
  </si>
  <si>
    <t>6.uzb. Uzbekistan — country-specific inputs by entity</t>
  </si>
  <si>
    <t>uzb.in.prb.stl.drg.---</t>
  </si>
  <si>
    <t>Uzbekistan DRI-EAF steel — base production</t>
  </si>
  <si>
    <t>uzb.in.els.stl.drg.---</t>
  </si>
  <si>
    <t>Uzbekistan DRI-EAF steel — elasticity</t>
  </si>
  <si>
    <t>uzb.in.ext.stl.drg.---</t>
  </si>
  <si>
    <t>Uzbekistan DRI-EAF steel — export share total</t>
  </si>
  <si>
    <t>uzb.in.exe.stl.drg.---</t>
  </si>
  <si>
    <t>Uzbekistan DRI-EAF steel — EU export share</t>
  </si>
  <si>
    <t>uzb.in.imp.stl.drg.---</t>
  </si>
  <si>
    <t>Uzbekistan DRI-EAF steel — import share</t>
  </si>
  <si>
    <t>uzb.in.enc.stl.drg.coa</t>
  </si>
  <si>
    <t>Uzbekistan DRI-EAF steel — Coal (cmb)</t>
  </si>
  <si>
    <t>uzb.in.enc.stl.drg.nga</t>
  </si>
  <si>
    <t>Uzbekistan DRI-EAF steel — Natural gas (cmb)</t>
  </si>
  <si>
    <t>uzb.in.enc.stl.drg.gso</t>
  </si>
  <si>
    <t>Uzbekistan DRI-EAF steel — Gasoline (cmb)</t>
  </si>
  <si>
    <t>uzb.in.enc.stl.drg.die</t>
  </si>
  <si>
    <t>Uzbekistan DRI-EAF steel — Diesel (cmb)</t>
  </si>
  <si>
    <t>uzb.in.enc.stl.drg.ker</t>
  </si>
  <si>
    <t>Uzbekistan DRI-EAF steel — Kerosene (cmb)</t>
  </si>
  <si>
    <t>uzb.in.enc.stl.drg.lpg</t>
  </si>
  <si>
    <t>Uzbekistan DRI-EAF steel — LPG (cmb)</t>
  </si>
  <si>
    <t>uzb.in.enc.stl.drg.bio</t>
  </si>
  <si>
    <t>Uzbekistan DRI-EAF steel — Biomass (cmb)</t>
  </si>
  <si>
    <t>uzb.in.enc.stl.drg.ren</t>
  </si>
  <si>
    <t>Uzbekistan DRI-EAF steel — Self-gen renewables (cmb)</t>
  </si>
  <si>
    <t>uzb.in.enp.stl.drg.coa</t>
  </si>
  <si>
    <t>Uzbekistan DRI-EAF steel — Coal (prc)</t>
  </si>
  <si>
    <t>uzb.in.enp.stl.drg.nga</t>
  </si>
  <si>
    <t>Uzbekistan DRI-EAF steel — Natural gas (prc)</t>
  </si>
  <si>
    <t>uzb.in.enp.stl.drg.gso</t>
  </si>
  <si>
    <t>Uzbekistan DRI-EAF steel — Gasoline (prc)</t>
  </si>
  <si>
    <t>uzb.in.enp.stl.drg.die</t>
  </si>
  <si>
    <t>Uzbekistan DRI-EAF steel — Diesel (prc)</t>
  </si>
  <si>
    <t>uzb.in.enp.stl.drg.ker</t>
  </si>
  <si>
    <t>Uzbekistan DRI-EAF steel — Kerosene (prc)</t>
  </si>
  <si>
    <t>uzb.in.enp.stl.drg.lpg</t>
  </si>
  <si>
    <t>Uzbekistan DRI-EAF steel — LPG (prc)</t>
  </si>
  <si>
    <t>uzb.in.enp.stl.drg.bio</t>
  </si>
  <si>
    <t>Uzbekistan DRI-EAF steel — Biomass (prc)</t>
  </si>
  <si>
    <t>uzb.in.enp.stl.drg.ren</t>
  </si>
  <si>
    <t>Uzbekistan DRI-EAF steel — Self-gen renewables (prc)</t>
  </si>
  <si>
    <t>uzb.in.ele.stl.drg.elc</t>
  </si>
  <si>
    <t>Uzbekistan DRI-EAF steel — electricity</t>
  </si>
  <si>
    <t>uzb.in.efn.stl.drg.---</t>
  </si>
  <si>
    <t>Uzbekistan DRI-EAF steel — non-fuel process EF</t>
  </si>
  <si>
    <t>uzb.in.efo.stl.drg.---</t>
  </si>
  <si>
    <t>Uzbekistan DRI-EAF steel — non-CO₂ GHG EF</t>
  </si>
  <si>
    <t>uzb.in.prb.stl.scr.---</t>
  </si>
  <si>
    <t>Uzbekistan Scrap-EAF steel — base production</t>
  </si>
  <si>
    <t>uzb.in.els.stl.scr.---</t>
  </si>
  <si>
    <t>Uzbekistan Scrap-EAF steel — elasticity</t>
  </si>
  <si>
    <t>uzb.in.ext.stl.scr.---</t>
  </si>
  <si>
    <t>Uzbekistan Scrap-EAF steel — export share total</t>
  </si>
  <si>
    <t>uzb.in.exe.stl.scr.---</t>
  </si>
  <si>
    <t>Uzbekistan Scrap-EAF steel — EU export share</t>
  </si>
  <si>
    <t>uzb.in.imp.stl.scr.---</t>
  </si>
  <si>
    <t>Uzbekistan Scrap-EAF steel — import share</t>
  </si>
  <si>
    <t>uzb.in.enc.stl.scr.coa</t>
  </si>
  <si>
    <t>Uzbekistan Scrap-EAF steel — Coal (cmb)</t>
  </si>
  <si>
    <t>uzb.in.enc.stl.scr.nga</t>
  </si>
  <si>
    <t>Uzbekistan Scrap-EAF steel — Natural gas (cmb)</t>
  </si>
  <si>
    <t>uzb.in.enc.stl.scr.gso</t>
  </si>
  <si>
    <t>Uzbekistan Scrap-EAF steel — Gasoline (cmb)</t>
  </si>
  <si>
    <t>uzb.in.enc.stl.scr.die</t>
  </si>
  <si>
    <t>Uzbekistan Scrap-EAF steel — Diesel (cmb)</t>
  </si>
  <si>
    <t>uzb.in.enc.stl.scr.ker</t>
  </si>
  <si>
    <t>Uzbekistan Scrap-EAF steel — Kerosene (cmb)</t>
  </si>
  <si>
    <t>uzb.in.enc.stl.scr.lpg</t>
  </si>
  <si>
    <t>Uzbekistan Scrap-EAF steel — LPG (cmb)</t>
  </si>
  <si>
    <t>uzb.in.enc.stl.scr.bio</t>
  </si>
  <si>
    <t>Uzbekistan Scrap-EAF steel — Biomass (cmb)</t>
  </si>
  <si>
    <t>uzb.in.enc.stl.scr.ren</t>
  </si>
  <si>
    <t>Uzbekistan Scrap-EAF steel — Self-gen renewables (cmb)</t>
  </si>
  <si>
    <t>uzb.in.enp.stl.scr.coa</t>
  </si>
  <si>
    <t>Uzbekistan Scrap-EAF steel — Coal (prc)</t>
  </si>
  <si>
    <t>uzb.in.enp.stl.scr.nga</t>
  </si>
  <si>
    <t>Uzbekistan Scrap-EAF steel — Natural gas (prc)</t>
  </si>
  <si>
    <t>uzb.in.enp.stl.scr.gso</t>
  </si>
  <si>
    <t>Uzbekistan Scrap-EAF steel — Gasoline (prc)</t>
  </si>
  <si>
    <t>uzb.in.enp.stl.scr.die</t>
  </si>
  <si>
    <t>Uzbekistan Scrap-EAF steel — Diesel (prc)</t>
  </si>
  <si>
    <t>uzb.in.enp.stl.scr.ker</t>
  </si>
  <si>
    <t>Uzbekistan Scrap-EAF steel — Kerosene (prc)</t>
  </si>
  <si>
    <t>uzb.in.enp.stl.scr.lpg</t>
  </si>
  <si>
    <t>Uzbekistan Scrap-EAF steel — LPG (prc)</t>
  </si>
  <si>
    <t>uzb.in.enp.stl.scr.bio</t>
  </si>
  <si>
    <t>Uzbekistan Scrap-EAF steel — Biomass (prc)</t>
  </si>
  <si>
    <t>uzb.in.enp.stl.scr.ren</t>
  </si>
  <si>
    <t>Uzbekistan Scrap-EAF steel — Self-gen renewables (prc)</t>
  </si>
  <si>
    <t>uzb.in.ele.stl.scr.elc</t>
  </si>
  <si>
    <t>Uzbekistan Scrap-EAF steel — electricity</t>
  </si>
  <si>
    <t>uzb.in.efn.stl.scr.---</t>
  </si>
  <si>
    <t>Uzbekistan Scrap-EAF steel — non-fuel process EF</t>
  </si>
  <si>
    <t>uzb.in.efo.stl.scr.---</t>
  </si>
  <si>
    <t>Uzbekistan Scrap-EAF steel — non-CO₂ GHG EF</t>
  </si>
  <si>
    <t>uzb.in.prb.stl.bof.---</t>
  </si>
  <si>
    <t>Uzbekistan BF-BOF steel — base production</t>
  </si>
  <si>
    <t>uzb.in.els.stl.bof.---</t>
  </si>
  <si>
    <t>Uzbekistan BF-BOF steel — elasticity</t>
  </si>
  <si>
    <t>uzb.in.ext.stl.bof.---</t>
  </si>
  <si>
    <t>Uzbekistan BF-BOF steel — export share total</t>
  </si>
  <si>
    <t>uzb.in.exe.stl.bof.---</t>
  </si>
  <si>
    <t>Uzbekistan BF-BOF steel — EU export share</t>
  </si>
  <si>
    <t>uzb.in.imp.stl.bof.---</t>
  </si>
  <si>
    <t>Uzbekistan BF-BOF steel — import share</t>
  </si>
  <si>
    <t>uzb.in.enc.stl.bof.coa</t>
  </si>
  <si>
    <t>Uzbekistan BF-BOF steel — Coal (cmb)</t>
  </si>
  <si>
    <t>uzb.in.enc.stl.bof.nga</t>
  </si>
  <si>
    <t>Uzbekistan BF-BOF steel — Natural gas (cmb)</t>
  </si>
  <si>
    <t>uzb.in.enc.stl.bof.gso</t>
  </si>
  <si>
    <t>Uzbekistan BF-BOF steel — Gasoline (cmb)</t>
  </si>
  <si>
    <t>uzb.in.enc.stl.bof.die</t>
  </si>
  <si>
    <t>Uzbekistan BF-BOF steel — Diesel (cmb)</t>
  </si>
  <si>
    <t>uzb.in.enc.stl.bof.ker</t>
  </si>
  <si>
    <t>Uzbekistan BF-BOF steel — Kerosene (cmb)</t>
  </si>
  <si>
    <t>uzb.in.enc.stl.bof.lpg</t>
  </si>
  <si>
    <t>Uzbekistan BF-BOF steel — LPG (cmb)</t>
  </si>
  <si>
    <t>uzb.in.enc.stl.bof.bio</t>
  </si>
  <si>
    <t>Uzbekistan BF-BOF steel — Biomass (cmb)</t>
  </si>
  <si>
    <t>uzb.in.enc.stl.bof.ren</t>
  </si>
  <si>
    <t>Uzbekistan BF-BOF steel — Self-gen renewables (cmb)</t>
  </si>
  <si>
    <t>uzb.in.enp.stl.bof.coa</t>
  </si>
  <si>
    <t>Uzbekistan BF-BOF steel — Coal (prc)</t>
  </si>
  <si>
    <t>uzb.in.enp.stl.bof.nga</t>
  </si>
  <si>
    <t>Uzbekistan BF-BOF steel — Natural gas (prc)</t>
  </si>
  <si>
    <t>uzb.in.enp.stl.bof.gso</t>
  </si>
  <si>
    <t>Uzbekistan BF-BOF steel — Gasoline (prc)</t>
  </si>
  <si>
    <t>uzb.in.enp.stl.bof.die</t>
  </si>
  <si>
    <t>Uzbekistan BF-BOF steel — Diesel (prc)</t>
  </si>
  <si>
    <t>uzb.in.enp.stl.bof.ker</t>
  </si>
  <si>
    <t>Uzbekistan BF-BOF steel — Kerosene (prc)</t>
  </si>
  <si>
    <t>uzb.in.enp.stl.bof.lpg</t>
  </si>
  <si>
    <t>Uzbekistan BF-BOF steel — LPG (prc)</t>
  </si>
  <si>
    <t>uzb.in.enp.stl.bof.bio</t>
  </si>
  <si>
    <t>Uzbekistan BF-BOF steel — Biomass (prc)</t>
  </si>
  <si>
    <t>uzb.in.enp.stl.bof.ren</t>
  </si>
  <si>
    <t>Uzbekistan BF-BOF steel — Self-gen renewables (prc)</t>
  </si>
  <si>
    <t>uzb.in.ele.stl.bof.elc</t>
  </si>
  <si>
    <t>Uzbekistan BF-BOF steel — electricity</t>
  </si>
  <si>
    <t>uzb.in.efn.stl.bof.---</t>
  </si>
  <si>
    <t>Uzbekistan BF-BOF steel — non-fuel process EF</t>
  </si>
  <si>
    <t>uzb.in.efo.stl.bof.---</t>
  </si>
  <si>
    <t>Uzbekistan BF-BOF steel — non-CO₂ GHG EF</t>
  </si>
  <si>
    <t>uzb.in.prb.cmt.dry.---</t>
  </si>
  <si>
    <t>Uzbekistan Cement — base production</t>
  </si>
  <si>
    <t>uzb.in.els.cmt.dry.---</t>
  </si>
  <si>
    <t>Uzbekistan Cement — elasticity</t>
  </si>
  <si>
    <t>uzb.in.ext.cmt.dry.---</t>
  </si>
  <si>
    <t>Uzbekistan Cement — export share total</t>
  </si>
  <si>
    <t>uzb.in.exe.cmt.dry.---</t>
  </si>
  <si>
    <t>Uzbekistan Cement — EU export share</t>
  </si>
  <si>
    <t>uzb.in.imp.cmt.dry.---</t>
  </si>
  <si>
    <t>Uzbekistan Cement — import share</t>
  </si>
  <si>
    <t>uzb.in.enc.cmt.dry.coa</t>
  </si>
  <si>
    <t>Uzbekistan Cement — Coal (cmb)</t>
  </si>
  <si>
    <t>uzb.in.enc.cmt.dry.nga</t>
  </si>
  <si>
    <t>Uzbekistan Cement — Natural gas (cmb)</t>
  </si>
  <si>
    <t>uzb.in.enc.cmt.dry.gso</t>
  </si>
  <si>
    <t>Uzbekistan Cement — Gasoline (cmb)</t>
  </si>
  <si>
    <t>uzb.in.enc.cmt.dry.die</t>
  </si>
  <si>
    <t>Uzbekistan Cement — Diesel (cmb)</t>
  </si>
  <si>
    <t>uzb.in.enc.cmt.dry.ker</t>
  </si>
  <si>
    <t>Uzbekistan Cement — Kerosene (cmb)</t>
  </si>
  <si>
    <t>uzb.in.enc.cmt.dry.lpg</t>
  </si>
  <si>
    <t>Uzbekistan Cement — LPG (cmb)</t>
  </si>
  <si>
    <t>uzb.in.enc.cmt.dry.bio</t>
  </si>
  <si>
    <t>Uzbekistan Cement — Biomass (cmb)</t>
  </si>
  <si>
    <t>uzb.in.enc.cmt.dry.ren</t>
  </si>
  <si>
    <t>Uzbekistan Cement — Self-gen renewables (cmb)</t>
  </si>
  <si>
    <t>uzb.in.enp.cmt.dry.coa</t>
  </si>
  <si>
    <t>Uzbekistan Cement — Coal (prc)</t>
  </si>
  <si>
    <t>uzb.in.enp.cmt.dry.nga</t>
  </si>
  <si>
    <t>Uzbekistan Cement — Natural gas (prc)</t>
  </si>
  <si>
    <t>uzb.in.enp.cmt.dry.gso</t>
  </si>
  <si>
    <t>Uzbekistan Cement — Gasoline (prc)</t>
  </si>
  <si>
    <t>uzb.in.enp.cmt.dry.die</t>
  </si>
  <si>
    <t>Uzbekistan Cement — Diesel (prc)</t>
  </si>
  <si>
    <t>uzb.in.enp.cmt.dry.ker</t>
  </si>
  <si>
    <t>Uzbekistan Cement — Kerosene (prc)</t>
  </si>
  <si>
    <t>uzb.in.enp.cmt.dry.lpg</t>
  </si>
  <si>
    <t>Uzbekistan Cement — LPG (prc)</t>
  </si>
  <si>
    <t>uzb.in.enp.cmt.dry.bio</t>
  </si>
  <si>
    <t>Uzbekistan Cement — Biomass (prc)</t>
  </si>
  <si>
    <t>uzb.in.enp.cmt.dry.ren</t>
  </si>
  <si>
    <t>Uzbekistan Cement — Self-gen renewables (prc)</t>
  </si>
  <si>
    <t>uzb.in.ele.cmt.dry.elc</t>
  </si>
  <si>
    <t>Uzbekistan Cement — electricity</t>
  </si>
  <si>
    <t>uzb.in.efn.cmt.dry.---</t>
  </si>
  <si>
    <t>Uzbekistan Cement — non-fuel process EF</t>
  </si>
  <si>
    <t>uzb.in.efo.cmt.dry.---</t>
  </si>
  <si>
    <t>Uzbekistan Cement — non-CO₂ GHG EF</t>
  </si>
  <si>
    <t>uzb.in.prb.frt.amc.---</t>
  </si>
  <si>
    <t>Uzbekistan Ammonia — base production</t>
  </si>
  <si>
    <t>uzb.in.els.frt.amc.---</t>
  </si>
  <si>
    <t>Uzbekistan Ammonia — elasticity</t>
  </si>
  <si>
    <t>uzb.in.ext.frt.amc.---</t>
  </si>
  <si>
    <t>Uzbekistan Ammonia — export share total</t>
  </si>
  <si>
    <t>uzb.in.exe.frt.amc.---</t>
  </si>
  <si>
    <t>Uzbekistan Ammonia — EU export share</t>
  </si>
  <si>
    <t>uzb.in.imp.frt.amc.---</t>
  </si>
  <si>
    <t>Uzbekistan Ammonia — import share</t>
  </si>
  <si>
    <t>uzb.in.enc.frt.amc.coa</t>
  </si>
  <si>
    <t>Uzbekistan Ammonia — Coal (cmb)</t>
  </si>
  <si>
    <t>uzb.in.enc.frt.amc.nga</t>
  </si>
  <si>
    <t>Uzbekistan Ammonia — Natural gas (cmb)</t>
  </si>
  <si>
    <t>uzb.in.enc.frt.amc.gso</t>
  </si>
  <si>
    <t>Uzbekistan Ammonia — Gasoline (cmb)</t>
  </si>
  <si>
    <t>uzb.in.enc.frt.amc.die</t>
  </si>
  <si>
    <t>Uzbekistan Ammonia — Diesel (cmb)</t>
  </si>
  <si>
    <t>uzb.in.enc.frt.amc.ker</t>
  </si>
  <si>
    <t>Uzbekistan Ammonia — Kerosene (cmb)</t>
  </si>
  <si>
    <t>uzb.in.enc.frt.amc.lpg</t>
  </si>
  <si>
    <t>Uzbekistan Ammonia — LPG (cmb)</t>
  </si>
  <si>
    <t>uzb.in.enc.frt.amc.bio</t>
  </si>
  <si>
    <t>Uzbekistan Ammonia — Biomass (cmb)</t>
  </si>
  <si>
    <t>uzb.in.enc.frt.amc.ren</t>
  </si>
  <si>
    <t>Uzbekistan Ammonia — Self-gen renewables (cmb)</t>
  </si>
  <si>
    <t>uzb.in.enp.frt.amc.coa</t>
  </si>
  <si>
    <t>Uzbekistan Ammonia — Coal (prc)</t>
  </si>
  <si>
    <t>uzb.in.enp.frt.amc.nga</t>
  </si>
  <si>
    <t>Uzbekistan Ammonia — Natural gas (prc)</t>
  </si>
  <si>
    <t>uzb.in.enp.frt.amc.gso</t>
  </si>
  <si>
    <t>Uzbekistan Ammonia — Gasoline (prc)</t>
  </si>
  <si>
    <t>uzb.in.enp.frt.amc.die</t>
  </si>
  <si>
    <t>Uzbekistan Ammonia — Diesel (prc)</t>
  </si>
  <si>
    <t>uzb.in.enp.frt.amc.ker</t>
  </si>
  <si>
    <t>Uzbekistan Ammonia — Kerosene (prc)</t>
  </si>
  <si>
    <t>uzb.in.enp.frt.amc.lpg</t>
  </si>
  <si>
    <t>Uzbekistan Ammonia — LPG (prc)</t>
  </si>
  <si>
    <t>uzb.in.enp.frt.amc.bio</t>
  </si>
  <si>
    <t>Uzbekistan Ammonia — Biomass (prc)</t>
  </si>
  <si>
    <t>uzb.in.enp.frt.amc.ren</t>
  </si>
  <si>
    <t>Uzbekistan Ammonia — Self-gen renewables (prc)</t>
  </si>
  <si>
    <t>uzb.in.ele.frt.amc.elc</t>
  </si>
  <si>
    <t>Uzbekistan Ammonia — electricity</t>
  </si>
  <si>
    <t>uzb.in.efn.frt.amc.---</t>
  </si>
  <si>
    <t>Uzbekistan Ammonia — non-fuel process EF</t>
  </si>
  <si>
    <t>uzb.in.efo.frt.amc.---</t>
  </si>
  <si>
    <t>Uzbekistan Ammonia — non-CO₂ GHG EF</t>
  </si>
  <si>
    <t>uzb.in.prb.frt.ure.---</t>
  </si>
  <si>
    <t>Uzbekistan Urea — base production</t>
  </si>
  <si>
    <t>uzb.in.els.frt.ure.---</t>
  </si>
  <si>
    <t>Uzbekistan Urea — elasticity</t>
  </si>
  <si>
    <t>uzb.in.ext.frt.ure.---</t>
  </si>
  <si>
    <t>Uzbekistan Urea — export share total</t>
  </si>
  <si>
    <t>uzb.in.exe.frt.ure.---</t>
  </si>
  <si>
    <t>Uzbekistan Urea — EU export share</t>
  </si>
  <si>
    <t>uzb.in.imp.frt.ure.---</t>
  </si>
  <si>
    <t>Uzbekistan Urea — import share</t>
  </si>
  <si>
    <t>uzb.in.enc.frt.ure.coa</t>
  </si>
  <si>
    <t>Uzbekistan Urea — Coal (cmb)</t>
  </si>
  <si>
    <t>uzb.in.enc.frt.ure.nga</t>
  </si>
  <si>
    <t>Uzbekistan Urea — Natural gas (cmb)</t>
  </si>
  <si>
    <t>uzb.in.enc.frt.ure.gso</t>
  </si>
  <si>
    <t>Uzbekistan Urea — Gasoline (cmb)</t>
  </si>
  <si>
    <t>uzb.in.enc.frt.ure.die</t>
  </si>
  <si>
    <t>Uzbekistan Urea — Diesel (cmb)</t>
  </si>
  <si>
    <t>uzb.in.enc.frt.ure.ker</t>
  </si>
  <si>
    <t>Uzbekistan Urea — Kerosene (cmb)</t>
  </si>
  <si>
    <t>uzb.in.enc.frt.ure.lpg</t>
  </si>
  <si>
    <t>Uzbekistan Urea — LPG (cmb)</t>
  </si>
  <si>
    <t>uzb.in.enc.frt.ure.bio</t>
  </si>
  <si>
    <t>Uzbekistan Urea — Biomass (cmb)</t>
  </si>
  <si>
    <t>uzb.in.enc.frt.ure.ren</t>
  </si>
  <si>
    <t>Uzbekistan Urea — Self-gen renewables (cmb)</t>
  </si>
  <si>
    <t>uzb.in.enp.frt.ure.coa</t>
  </si>
  <si>
    <t>Uzbekistan Urea — Coal (prc)</t>
  </si>
  <si>
    <t>uzb.in.enp.frt.ure.nga</t>
  </si>
  <si>
    <t>Uzbekistan Urea — Natural gas (prc)</t>
  </si>
  <si>
    <t>uzb.in.enp.frt.ure.gso</t>
  </si>
  <si>
    <t>Uzbekistan Urea — Gasoline (prc)</t>
  </si>
  <si>
    <t>uzb.in.enp.frt.ure.die</t>
  </si>
  <si>
    <t>Uzbekistan Urea — Diesel (prc)</t>
  </si>
  <si>
    <t>uzb.in.enp.frt.ure.ker</t>
  </si>
  <si>
    <t>Uzbekistan Urea — Kerosene (prc)</t>
  </si>
  <si>
    <t>uzb.in.enp.frt.ure.lpg</t>
  </si>
  <si>
    <t>Uzbekistan Urea — LPG (prc)</t>
  </si>
  <si>
    <t>uzb.in.enp.frt.ure.bio</t>
  </si>
  <si>
    <t>Uzbekistan Urea — Biomass (prc)</t>
  </si>
  <si>
    <t>uzb.in.enp.frt.ure.ren</t>
  </si>
  <si>
    <t>Uzbekistan Urea — Self-gen renewables (prc)</t>
  </si>
  <si>
    <t>uzb.in.ele.frt.ure.elc</t>
  </si>
  <si>
    <t>Uzbekistan Urea — electricity</t>
  </si>
  <si>
    <t>uzb.in.efn.frt.ure.---</t>
  </si>
  <si>
    <t>Uzbekistan Urea — non-fuel process EF</t>
  </si>
  <si>
    <t>uzb.in.efo.frt.ure.---</t>
  </si>
  <si>
    <t>Uzbekistan Urea — non-CO₂ GHG EF</t>
  </si>
  <si>
    <t>uzb.in.prb.frt.nit.---</t>
  </si>
  <si>
    <t>Uzbekistan Ammonium nitrate — base production</t>
  </si>
  <si>
    <t>uzb.in.els.frt.nit.---</t>
  </si>
  <si>
    <t>Uzbekistan Ammonium nitrate — elasticity</t>
  </si>
  <si>
    <t>uzb.in.ext.frt.nit.---</t>
  </si>
  <si>
    <t>Uzbekistan Ammonium nitrate — export share total</t>
  </si>
  <si>
    <t>uzb.in.exe.frt.nit.---</t>
  </si>
  <si>
    <t>Uzbekistan Ammonium nitrate — EU export share</t>
  </si>
  <si>
    <t>uzb.in.imp.frt.nit.---</t>
  </si>
  <si>
    <t>Uzbekistan Ammonium nitrate — import share</t>
  </si>
  <si>
    <t>uzb.in.enc.frt.nit.coa</t>
  </si>
  <si>
    <t>Uzbekistan Ammonium nitrate — Coal (cmb)</t>
  </si>
  <si>
    <t>uzb.in.enc.frt.nit.nga</t>
  </si>
  <si>
    <t>Uzbekistan Ammonium nitrate — Natural gas (cmb)</t>
  </si>
  <si>
    <t>uzb.in.enc.frt.nit.gso</t>
  </si>
  <si>
    <t>Uzbekistan Ammonium nitrate — Gasoline (cmb)</t>
  </si>
  <si>
    <t>uzb.in.enc.frt.nit.die</t>
  </si>
  <si>
    <t>Uzbekistan Ammonium nitrate — Diesel (cmb)</t>
  </si>
  <si>
    <t>uzb.in.enc.frt.nit.ker</t>
  </si>
  <si>
    <t>Uzbekistan Ammonium nitrate — Kerosene (cmb)</t>
  </si>
  <si>
    <t>uzb.in.enc.frt.nit.lpg</t>
  </si>
  <si>
    <t>Uzbekistan Ammonium nitrate — LPG (cmb)</t>
  </si>
  <si>
    <t>uzb.in.enc.frt.nit.bio</t>
  </si>
  <si>
    <t>Uzbekistan Ammonium nitrate — Biomass (cmb)</t>
  </si>
  <si>
    <t>uzb.in.enc.frt.nit.ren</t>
  </si>
  <si>
    <t>Uzbekistan Ammonium nitrate — Self-gen renewables (cmb)</t>
  </si>
  <si>
    <t>uzb.in.enp.frt.nit.coa</t>
  </si>
  <si>
    <t>Uzbekistan Ammonium nitrate — Coal (prc)</t>
  </si>
  <si>
    <t>uzb.in.enp.frt.nit.nga</t>
  </si>
  <si>
    <t>Uzbekistan Ammonium nitrate — Natural gas (prc)</t>
  </si>
  <si>
    <t>uzb.in.enp.frt.nit.gso</t>
  </si>
  <si>
    <t>Uzbekistan Ammonium nitrate — Gasoline (prc)</t>
  </si>
  <si>
    <t>uzb.in.enp.frt.nit.die</t>
  </si>
  <si>
    <t>Uzbekistan Ammonium nitrate — Diesel (prc)</t>
  </si>
  <si>
    <t>uzb.in.enp.frt.nit.ker</t>
  </si>
  <si>
    <t>Uzbekistan Ammonium nitrate — Kerosene (prc)</t>
  </si>
  <si>
    <t>uzb.in.enp.frt.nit.lpg</t>
  </si>
  <si>
    <t>Uzbekistan Ammonium nitrate — LPG (prc)</t>
  </si>
  <si>
    <t>uzb.in.enp.frt.nit.bio</t>
  </si>
  <si>
    <t>Uzbekistan Ammonium nitrate — Biomass (prc)</t>
  </si>
  <si>
    <t>uzb.in.enp.frt.nit.ren</t>
  </si>
  <si>
    <t>Uzbekistan Ammonium nitrate — Self-gen renewables (prc)</t>
  </si>
  <si>
    <t>uzb.in.ele.frt.nit.elc</t>
  </si>
  <si>
    <t>Uzbekistan Ammonium nitrate — electricity</t>
  </si>
  <si>
    <t>uzb.in.efn.frt.nit.---</t>
  </si>
  <si>
    <t>Uzbekistan Ammonium nitrate — non-fuel process EF</t>
  </si>
  <si>
    <t>uzb.in.efo.frt.nit.---</t>
  </si>
  <si>
    <t>Uzbekistan Ammonium nitrate — non-CO₂ GHG EF</t>
  </si>
  <si>
    <t>uzb.in.prb.alu.prp.---</t>
  </si>
  <si>
    <t>Uzbekistan Primary aluminium — base production</t>
  </si>
  <si>
    <t>uzb.in.els.alu.prp.---</t>
  </si>
  <si>
    <t>Uzbekistan Primary aluminium — elasticity</t>
  </si>
  <si>
    <t>uzb.in.ext.alu.prp.---</t>
  </si>
  <si>
    <t>Uzbekistan Primary aluminium — export share total</t>
  </si>
  <si>
    <t>uzb.in.exe.alu.prp.---</t>
  </si>
  <si>
    <t>Uzbekistan Primary aluminium — EU export share</t>
  </si>
  <si>
    <t>uzb.in.imp.alu.prp.---</t>
  </si>
  <si>
    <t>Uzbekistan Primary aluminium — import share</t>
  </si>
  <si>
    <t>uzb.in.enc.alu.prp.coa</t>
  </si>
  <si>
    <t>Uzbekistan Primary aluminium — Coal (cmb)</t>
  </si>
  <si>
    <t>uzb.in.enc.alu.prp.nga</t>
  </si>
  <si>
    <t>Uzbekistan Primary aluminium — Natural gas (cmb)</t>
  </si>
  <si>
    <t>uzb.in.enc.alu.prp.gso</t>
  </si>
  <si>
    <t>Uzbekistan Primary aluminium — Gasoline (cmb)</t>
  </si>
  <si>
    <t>uzb.in.enc.alu.prp.die</t>
  </si>
  <si>
    <t>Uzbekistan Primary aluminium — Diesel (cmb)</t>
  </si>
  <si>
    <t>uzb.in.enc.alu.prp.ker</t>
  </si>
  <si>
    <t>Uzbekistan Primary aluminium — Kerosene (cmb)</t>
  </si>
  <si>
    <t>uzb.in.enc.alu.prp.lpg</t>
  </si>
  <si>
    <t>Uzbekistan Primary aluminium — LPG (cmb)</t>
  </si>
  <si>
    <t>uzb.in.enc.alu.prp.bio</t>
  </si>
  <si>
    <t>Uzbekistan Primary aluminium — Biomass (cmb)</t>
  </si>
  <si>
    <t>uzb.in.enc.alu.prp.ren</t>
  </si>
  <si>
    <t>Uzbekistan Primary aluminium — Self-gen renewables (cmb)</t>
  </si>
  <si>
    <t>uzb.in.enp.alu.prp.coa</t>
  </si>
  <si>
    <t>Uzbekistan Primary aluminium — Coal (prc)</t>
  </si>
  <si>
    <t>uzb.in.enp.alu.prp.nga</t>
  </si>
  <si>
    <t>Uzbekistan Primary aluminium — Natural gas (prc)</t>
  </si>
  <si>
    <t>uzb.in.enp.alu.prp.gso</t>
  </si>
  <si>
    <t>Uzbekistan Primary aluminium — Gasoline (prc)</t>
  </si>
  <si>
    <t>uzb.in.enp.alu.prp.die</t>
  </si>
  <si>
    <t>Uzbekistan Primary aluminium — Diesel (prc)</t>
  </si>
  <si>
    <t>uzb.in.enp.alu.prp.ker</t>
  </si>
  <si>
    <t>Uzbekistan Primary aluminium — Kerosene (prc)</t>
  </si>
  <si>
    <t>uzb.in.enp.alu.prp.lpg</t>
  </si>
  <si>
    <t>Uzbekistan Primary aluminium — LPG (prc)</t>
  </si>
  <si>
    <t>uzb.in.enp.alu.prp.bio</t>
  </si>
  <si>
    <t>Uzbekistan Primary aluminium — Biomass (prc)</t>
  </si>
  <si>
    <t>uzb.in.enp.alu.prp.ren</t>
  </si>
  <si>
    <t>Uzbekistan Primary aluminium — Self-gen renewables (prc)</t>
  </si>
  <si>
    <t>uzb.in.ele.alu.prp.elc</t>
  </si>
  <si>
    <t>Uzbekistan Primary aluminium — electricity</t>
  </si>
  <si>
    <t>uzb.in.efn.alu.prp.---</t>
  </si>
  <si>
    <t>Uzbekistan Primary aluminium — non-fuel process EF</t>
  </si>
  <si>
    <t>uzb.in.efo.alu.prp.---</t>
  </si>
  <si>
    <t>Uzbekistan Primary aluminium — non-CO₂ GHG EF</t>
  </si>
  <si>
    <t>6.aze. Azerbaijan — country-specific inputs by entity</t>
  </si>
  <si>
    <t>aze.in.prb.stl.drg.---</t>
  </si>
  <si>
    <t>Azerbaijan DRI-EAF steel — base production</t>
  </si>
  <si>
    <t>aze.in.els.stl.drg.---</t>
  </si>
  <si>
    <t>Azerbaijan DRI-EAF steel — elasticity</t>
  </si>
  <si>
    <t>aze.in.ext.stl.drg.---</t>
  </si>
  <si>
    <t>Azerbaijan DRI-EAF steel — export share total</t>
  </si>
  <si>
    <t>aze.in.exe.stl.drg.---</t>
  </si>
  <si>
    <t>Azerbaijan DRI-EAF steel — EU export share</t>
  </si>
  <si>
    <t>aze.in.imp.stl.drg.---</t>
  </si>
  <si>
    <t>Azerbaijan DRI-EAF steel — import share</t>
  </si>
  <si>
    <t>aze.in.enc.stl.drg.coa</t>
  </si>
  <si>
    <t>Azerbaijan DRI-EAF steel — Coal (cmb)</t>
  </si>
  <si>
    <t>aze.in.enc.stl.drg.nga</t>
  </si>
  <si>
    <t>Azerbaijan DRI-EAF steel — Natural gas (cmb)</t>
  </si>
  <si>
    <t>aze.in.enc.stl.drg.gso</t>
  </si>
  <si>
    <t>Azerbaijan DRI-EAF steel — Gasoline (cmb)</t>
  </si>
  <si>
    <t>aze.in.enc.stl.drg.die</t>
  </si>
  <si>
    <t>Azerbaijan DRI-EAF steel — Diesel (cmb)</t>
  </si>
  <si>
    <t>aze.in.enc.stl.drg.ker</t>
  </si>
  <si>
    <t>Azerbaijan DRI-EAF steel — Kerosene (cmb)</t>
  </si>
  <si>
    <t>aze.in.enc.stl.drg.lpg</t>
  </si>
  <si>
    <t>Azerbaijan DRI-EAF steel — LPG (cmb)</t>
  </si>
  <si>
    <t>aze.in.enc.stl.drg.bio</t>
  </si>
  <si>
    <t>Azerbaijan DRI-EAF steel — Biomass (cmb)</t>
  </si>
  <si>
    <t>aze.in.enc.stl.drg.ren</t>
  </si>
  <si>
    <t>Azerbaijan DRI-EAF steel — Self-gen renewables (cmb)</t>
  </si>
  <si>
    <t>aze.in.enp.stl.drg.coa</t>
  </si>
  <si>
    <t>Azerbaijan DRI-EAF steel — Coal (prc)</t>
  </si>
  <si>
    <t>aze.in.enp.stl.drg.nga</t>
  </si>
  <si>
    <t>Azerbaijan DRI-EAF steel — Natural gas (prc)</t>
  </si>
  <si>
    <t>aze.in.enp.stl.drg.gso</t>
  </si>
  <si>
    <t>Azerbaijan DRI-EAF steel — Gasoline (prc)</t>
  </si>
  <si>
    <t>aze.in.enp.stl.drg.die</t>
  </si>
  <si>
    <t>Azerbaijan DRI-EAF steel — Diesel (prc)</t>
  </si>
  <si>
    <t>aze.in.enp.stl.drg.ker</t>
  </si>
  <si>
    <t>Azerbaijan DRI-EAF steel — Kerosene (prc)</t>
  </si>
  <si>
    <t>aze.in.enp.stl.drg.lpg</t>
  </si>
  <si>
    <t>Azerbaijan DRI-EAF steel — LPG (prc)</t>
  </si>
  <si>
    <t>aze.in.enp.stl.drg.bio</t>
  </si>
  <si>
    <t>Azerbaijan DRI-EAF steel — Biomass (prc)</t>
  </si>
  <si>
    <t>aze.in.enp.stl.drg.ren</t>
  </si>
  <si>
    <t>Azerbaijan DRI-EAF steel — Self-gen renewables (prc)</t>
  </si>
  <si>
    <t>aze.in.ele.stl.drg.elc</t>
  </si>
  <si>
    <t>Azerbaijan DRI-EAF steel — electricity</t>
  </si>
  <si>
    <t>aze.in.efn.stl.drg.---</t>
  </si>
  <si>
    <t>Azerbaijan DRI-EAF steel — non-fuel process EF</t>
  </si>
  <si>
    <t>aze.in.efo.stl.drg.---</t>
  </si>
  <si>
    <t>Azerbaijan DRI-EAF steel — non-CO₂ GHG EF</t>
  </si>
  <si>
    <t>aze.in.prb.stl.scr.---</t>
  </si>
  <si>
    <t>Azerbaijan Scrap-EAF steel — base production</t>
  </si>
  <si>
    <t>aze.in.els.stl.scr.---</t>
  </si>
  <si>
    <t>Azerbaijan Scrap-EAF steel — elasticity</t>
  </si>
  <si>
    <t>aze.in.ext.stl.scr.---</t>
  </si>
  <si>
    <t>Azerbaijan Scrap-EAF steel — export share total</t>
  </si>
  <si>
    <t>aze.in.exe.stl.scr.---</t>
  </si>
  <si>
    <t>Azerbaijan Scrap-EAF steel — EU export share</t>
  </si>
  <si>
    <t>aze.in.imp.stl.scr.---</t>
  </si>
  <si>
    <t>Azerbaijan Scrap-EAF steel — import share</t>
  </si>
  <si>
    <t>aze.in.enc.stl.scr.coa</t>
  </si>
  <si>
    <t>Azerbaijan Scrap-EAF steel — Coal (cmb)</t>
  </si>
  <si>
    <t>aze.in.enc.stl.scr.nga</t>
  </si>
  <si>
    <t>Azerbaijan Scrap-EAF steel — Natural gas (cmb)</t>
  </si>
  <si>
    <t>aze.in.enc.stl.scr.gso</t>
  </si>
  <si>
    <t>Azerbaijan Scrap-EAF steel — Gasoline (cmb)</t>
  </si>
  <si>
    <t>aze.in.enc.stl.scr.die</t>
  </si>
  <si>
    <t>Azerbaijan Scrap-EAF steel — Diesel (cmb)</t>
  </si>
  <si>
    <t>aze.in.enc.stl.scr.ker</t>
  </si>
  <si>
    <t>Azerbaijan Scrap-EAF steel — Kerosene (cmb)</t>
  </si>
  <si>
    <t>aze.in.enc.stl.scr.lpg</t>
  </si>
  <si>
    <t>Azerbaijan Scrap-EAF steel — LPG (cmb)</t>
  </si>
  <si>
    <t>aze.in.enc.stl.scr.bio</t>
  </si>
  <si>
    <t>Azerbaijan Scrap-EAF steel — Biomass (cmb)</t>
  </si>
  <si>
    <t>aze.in.enc.stl.scr.ren</t>
  </si>
  <si>
    <t>Azerbaijan Scrap-EAF steel — Self-gen renewables (cmb)</t>
  </si>
  <si>
    <t>aze.in.enp.stl.scr.coa</t>
  </si>
  <si>
    <t>Azerbaijan Scrap-EAF steel — Coal (prc)</t>
  </si>
  <si>
    <t>aze.in.enp.stl.scr.nga</t>
  </si>
  <si>
    <t>Azerbaijan Scrap-EAF steel — Natural gas (prc)</t>
  </si>
  <si>
    <t>aze.in.enp.stl.scr.gso</t>
  </si>
  <si>
    <t>Azerbaijan Scrap-EAF steel — Gasoline (prc)</t>
  </si>
  <si>
    <t>aze.in.enp.stl.scr.die</t>
  </si>
  <si>
    <t>Azerbaijan Scrap-EAF steel — Diesel (prc)</t>
  </si>
  <si>
    <t>aze.in.enp.stl.scr.ker</t>
  </si>
  <si>
    <t>Azerbaijan Scrap-EAF steel — Kerosene (prc)</t>
  </si>
  <si>
    <t>aze.in.enp.stl.scr.lpg</t>
  </si>
  <si>
    <t>Azerbaijan Scrap-EAF steel — LPG (prc)</t>
  </si>
  <si>
    <t>aze.in.enp.stl.scr.bio</t>
  </si>
  <si>
    <t>Azerbaijan Scrap-EAF steel — Biomass (prc)</t>
  </si>
  <si>
    <t>aze.in.enp.stl.scr.ren</t>
  </si>
  <si>
    <t>Azerbaijan Scrap-EAF steel — Self-gen renewables (prc)</t>
  </si>
  <si>
    <t>aze.in.ele.stl.scr.elc</t>
  </si>
  <si>
    <t>Azerbaijan Scrap-EAF steel — electricity</t>
  </si>
  <si>
    <t>aze.in.efn.stl.scr.---</t>
  </si>
  <si>
    <t>Azerbaijan Scrap-EAF steel — non-fuel process EF</t>
  </si>
  <si>
    <t>aze.in.efo.stl.scr.---</t>
  </si>
  <si>
    <t>Azerbaijan Scrap-EAF steel — non-CO₂ GHG EF</t>
  </si>
  <si>
    <t>aze.in.prb.stl.bof.---</t>
  </si>
  <si>
    <t>Azerbaijan BF-BOF steel — base production</t>
  </si>
  <si>
    <t>aze.in.els.stl.bof.---</t>
  </si>
  <si>
    <t>Azerbaijan BF-BOF steel — elasticity</t>
  </si>
  <si>
    <t>aze.in.ext.stl.bof.---</t>
  </si>
  <si>
    <t>Azerbaijan BF-BOF steel — export share total</t>
  </si>
  <si>
    <t>aze.in.exe.stl.bof.---</t>
  </si>
  <si>
    <t>Azerbaijan BF-BOF steel — EU export share</t>
  </si>
  <si>
    <t>aze.in.imp.stl.bof.---</t>
  </si>
  <si>
    <t>Azerbaijan BF-BOF steel — import share</t>
  </si>
  <si>
    <t>aze.in.enc.stl.bof.coa</t>
  </si>
  <si>
    <t>Azerbaijan BF-BOF steel — Coal (cmb)</t>
  </si>
  <si>
    <t>aze.in.enc.stl.bof.nga</t>
  </si>
  <si>
    <t>Azerbaijan BF-BOF steel — Natural gas (cmb)</t>
  </si>
  <si>
    <t>aze.in.enc.stl.bof.gso</t>
  </si>
  <si>
    <t>Azerbaijan BF-BOF steel — Gasoline (cmb)</t>
  </si>
  <si>
    <t>aze.in.enc.stl.bof.die</t>
  </si>
  <si>
    <t>Azerbaijan BF-BOF steel — Diesel (cmb)</t>
  </si>
  <si>
    <t>aze.in.enc.stl.bof.ker</t>
  </si>
  <si>
    <t>Azerbaijan BF-BOF steel — Kerosene (cmb)</t>
  </si>
  <si>
    <t>aze.in.enc.stl.bof.lpg</t>
  </si>
  <si>
    <t>Azerbaijan BF-BOF steel — LPG (cmb)</t>
  </si>
  <si>
    <t>aze.in.enc.stl.bof.bio</t>
  </si>
  <si>
    <t>Azerbaijan BF-BOF steel — Biomass (cmb)</t>
  </si>
  <si>
    <t>aze.in.enc.stl.bof.ren</t>
  </si>
  <si>
    <t>Azerbaijan BF-BOF steel — Self-gen renewables (cmb)</t>
  </si>
  <si>
    <t>aze.in.enp.stl.bof.coa</t>
  </si>
  <si>
    <t>Azerbaijan BF-BOF steel — Coal (prc)</t>
  </si>
  <si>
    <t>aze.in.enp.stl.bof.nga</t>
  </si>
  <si>
    <t>Azerbaijan BF-BOF steel — Natural gas (prc)</t>
  </si>
  <si>
    <t>aze.in.enp.stl.bof.gso</t>
  </si>
  <si>
    <t>Azerbaijan BF-BOF steel — Gasoline (prc)</t>
  </si>
  <si>
    <t>aze.in.enp.stl.bof.die</t>
  </si>
  <si>
    <t>Azerbaijan BF-BOF steel — Diesel (prc)</t>
  </si>
  <si>
    <t>aze.in.enp.stl.bof.ker</t>
  </si>
  <si>
    <t>Azerbaijan BF-BOF steel — Kerosene (prc)</t>
  </si>
  <si>
    <t>aze.in.enp.stl.bof.lpg</t>
  </si>
  <si>
    <t>Azerbaijan BF-BOF steel — LPG (prc)</t>
  </si>
  <si>
    <t>aze.in.enp.stl.bof.bio</t>
  </si>
  <si>
    <t>Azerbaijan BF-BOF steel — Biomass (prc)</t>
  </si>
  <si>
    <t>aze.in.enp.stl.bof.ren</t>
  </si>
  <si>
    <t>Azerbaijan BF-BOF steel — Self-gen renewables (prc)</t>
  </si>
  <si>
    <t>aze.in.ele.stl.bof.elc</t>
  </si>
  <si>
    <t>Azerbaijan BF-BOF steel — electricity</t>
  </si>
  <si>
    <t>aze.in.efn.stl.bof.---</t>
  </si>
  <si>
    <t>Azerbaijan BF-BOF steel — non-fuel process EF</t>
  </si>
  <si>
    <t>aze.in.efo.stl.bof.---</t>
  </si>
  <si>
    <t>Azerbaijan BF-BOF steel — non-CO₂ GHG EF</t>
  </si>
  <si>
    <t>aze.in.prb.cmt.dry.---</t>
  </si>
  <si>
    <t>Azerbaijan Cement — base production</t>
  </si>
  <si>
    <t>aze.in.els.cmt.dry.---</t>
  </si>
  <si>
    <t>Azerbaijan Cement — elasticity</t>
  </si>
  <si>
    <t>aze.in.ext.cmt.dry.---</t>
  </si>
  <si>
    <t>Azerbaijan Cement — export share total</t>
  </si>
  <si>
    <t>aze.in.exe.cmt.dry.---</t>
  </si>
  <si>
    <t>Azerbaijan Cement — EU export share</t>
  </si>
  <si>
    <t>aze.in.imp.cmt.dry.---</t>
  </si>
  <si>
    <t>Azerbaijan Cement — import share</t>
  </si>
  <si>
    <t>aze.in.enc.cmt.dry.coa</t>
  </si>
  <si>
    <t>Azerbaijan Cement — Coal (cmb)</t>
  </si>
  <si>
    <t>aze.in.enc.cmt.dry.nga</t>
  </si>
  <si>
    <t>Azerbaijan Cement — Natural gas (cmb)</t>
  </si>
  <si>
    <t>aze.in.enc.cmt.dry.gso</t>
  </si>
  <si>
    <t>Azerbaijan Cement — Gasoline (cmb)</t>
  </si>
  <si>
    <t>aze.in.enc.cmt.dry.die</t>
  </si>
  <si>
    <t>Azerbaijan Cement — Diesel (cmb)</t>
  </si>
  <si>
    <t>aze.in.enc.cmt.dry.ker</t>
  </si>
  <si>
    <t>Azerbaijan Cement — Kerosene (cmb)</t>
  </si>
  <si>
    <t>aze.in.enc.cmt.dry.lpg</t>
  </si>
  <si>
    <t>Azerbaijan Cement — LPG (cmb)</t>
  </si>
  <si>
    <t>aze.in.enc.cmt.dry.bio</t>
  </si>
  <si>
    <t>Azerbaijan Cement — Biomass (cmb)</t>
  </si>
  <si>
    <t>aze.in.enc.cmt.dry.ren</t>
  </si>
  <si>
    <t>Azerbaijan Cement — Self-gen renewables (cmb)</t>
  </si>
  <si>
    <t>aze.in.enp.cmt.dry.coa</t>
  </si>
  <si>
    <t>Azerbaijan Cement — Coal (prc)</t>
  </si>
  <si>
    <t>aze.in.enp.cmt.dry.nga</t>
  </si>
  <si>
    <t>Azerbaijan Cement — Natural gas (prc)</t>
  </si>
  <si>
    <t>aze.in.enp.cmt.dry.gso</t>
  </si>
  <si>
    <t>Azerbaijan Cement — Gasoline (prc)</t>
  </si>
  <si>
    <t>aze.in.enp.cmt.dry.die</t>
  </si>
  <si>
    <t>Azerbaijan Cement — Diesel (prc)</t>
  </si>
  <si>
    <t>aze.in.enp.cmt.dry.ker</t>
  </si>
  <si>
    <t>Azerbaijan Cement — Kerosene (prc)</t>
  </si>
  <si>
    <t>aze.in.enp.cmt.dry.lpg</t>
  </si>
  <si>
    <t>Azerbaijan Cement — LPG (prc)</t>
  </si>
  <si>
    <t>aze.in.enp.cmt.dry.bio</t>
  </si>
  <si>
    <t>Azerbaijan Cement — Biomass (prc)</t>
  </si>
  <si>
    <t>aze.in.enp.cmt.dry.ren</t>
  </si>
  <si>
    <t>Azerbaijan Cement — Self-gen renewables (prc)</t>
  </si>
  <si>
    <t>aze.in.ele.cmt.dry.elc</t>
  </si>
  <si>
    <t>Azerbaijan Cement — electricity</t>
  </si>
  <si>
    <t>aze.in.efn.cmt.dry.---</t>
  </si>
  <si>
    <t>Azerbaijan Cement — non-fuel process EF</t>
  </si>
  <si>
    <t>aze.in.efo.cmt.dry.---</t>
  </si>
  <si>
    <t>Azerbaijan Cement — non-CO₂ GHG EF</t>
  </si>
  <si>
    <t>aze.in.prb.frt.amc.---</t>
  </si>
  <si>
    <t>Azerbaijan Ammonia — base production</t>
  </si>
  <si>
    <t>aze.in.els.frt.amc.---</t>
  </si>
  <si>
    <t>Azerbaijan Ammonia — elasticity</t>
  </si>
  <si>
    <t>aze.in.ext.frt.amc.---</t>
  </si>
  <si>
    <t>Azerbaijan Ammonia — export share total</t>
  </si>
  <si>
    <t>aze.in.exe.frt.amc.---</t>
  </si>
  <si>
    <t>Azerbaijan Ammonia — EU export share</t>
  </si>
  <si>
    <t>aze.in.imp.frt.amc.---</t>
  </si>
  <si>
    <t>Azerbaijan Ammonia — import share</t>
  </si>
  <si>
    <t>aze.in.enc.frt.amc.coa</t>
  </si>
  <si>
    <t>Azerbaijan Ammonia — Coal (cmb)</t>
  </si>
  <si>
    <t>aze.in.enc.frt.amc.nga</t>
  </si>
  <si>
    <t>Azerbaijan Ammonia — Natural gas (cmb)</t>
  </si>
  <si>
    <t>aze.in.enc.frt.amc.gso</t>
  </si>
  <si>
    <t>Azerbaijan Ammonia — Gasoline (cmb)</t>
  </si>
  <si>
    <t>aze.in.enc.frt.amc.die</t>
  </si>
  <si>
    <t>Azerbaijan Ammonia — Diesel (cmb)</t>
  </si>
  <si>
    <t>aze.in.enc.frt.amc.ker</t>
  </si>
  <si>
    <t>Azerbaijan Ammonia — Kerosene (cmb)</t>
  </si>
  <si>
    <t>aze.in.enc.frt.amc.lpg</t>
  </si>
  <si>
    <t>Azerbaijan Ammonia — LPG (cmb)</t>
  </si>
  <si>
    <t>aze.in.enc.frt.amc.bio</t>
  </si>
  <si>
    <t>Azerbaijan Ammonia — Biomass (cmb)</t>
  </si>
  <si>
    <t>aze.in.enc.frt.amc.ren</t>
  </si>
  <si>
    <t>Azerbaijan Ammonia — Self-gen renewables (cmb)</t>
  </si>
  <si>
    <t>aze.in.enp.frt.amc.coa</t>
  </si>
  <si>
    <t>Azerbaijan Ammonia — Coal (prc)</t>
  </si>
  <si>
    <t>aze.in.enp.frt.amc.nga</t>
  </si>
  <si>
    <t>Azerbaijan Ammonia — Natural gas (prc)</t>
  </si>
  <si>
    <t>aze.in.enp.frt.amc.gso</t>
  </si>
  <si>
    <t>Azerbaijan Ammonia — Gasoline (prc)</t>
  </si>
  <si>
    <t>aze.in.enp.frt.amc.die</t>
  </si>
  <si>
    <t>Azerbaijan Ammonia — Diesel (prc)</t>
  </si>
  <si>
    <t>aze.in.enp.frt.amc.ker</t>
  </si>
  <si>
    <t>Azerbaijan Ammonia — Kerosene (prc)</t>
  </si>
  <si>
    <t>aze.in.enp.frt.amc.lpg</t>
  </si>
  <si>
    <t>Azerbaijan Ammonia — LPG (prc)</t>
  </si>
  <si>
    <t>aze.in.enp.frt.amc.bio</t>
  </si>
  <si>
    <t>Azerbaijan Ammonia — Biomass (prc)</t>
  </si>
  <si>
    <t>aze.in.enp.frt.amc.ren</t>
  </si>
  <si>
    <t>Azerbaijan Ammonia — Self-gen renewables (prc)</t>
  </si>
  <si>
    <t>aze.in.ele.frt.amc.elc</t>
  </si>
  <si>
    <t>Azerbaijan Ammonia — electricity</t>
  </si>
  <si>
    <t>aze.in.efn.frt.amc.---</t>
  </si>
  <si>
    <t>Azerbaijan Ammonia — non-fuel process EF</t>
  </si>
  <si>
    <t>aze.in.efo.frt.amc.---</t>
  </si>
  <si>
    <t>Azerbaijan Ammonia — non-CO₂ GHG EF</t>
  </si>
  <si>
    <t>aze.in.prb.frt.ure.---</t>
  </si>
  <si>
    <t>Azerbaijan Urea — base production</t>
  </si>
  <si>
    <t>aze.in.els.frt.ure.---</t>
  </si>
  <si>
    <t>Azerbaijan Urea — elasticity</t>
  </si>
  <si>
    <t>aze.in.ext.frt.ure.---</t>
  </si>
  <si>
    <t>Azerbaijan Urea — export share total</t>
  </si>
  <si>
    <t>aze.in.exe.frt.ure.---</t>
  </si>
  <si>
    <t>Azerbaijan Urea — EU export share</t>
  </si>
  <si>
    <t>aze.in.imp.frt.ure.---</t>
  </si>
  <si>
    <t>Azerbaijan Urea — import share</t>
  </si>
  <si>
    <t>aze.in.enc.frt.ure.coa</t>
  </si>
  <si>
    <t>Azerbaijan Urea — Coal (cmb)</t>
  </si>
  <si>
    <t>aze.in.enc.frt.ure.nga</t>
  </si>
  <si>
    <t>Azerbaijan Urea — Natural gas (cmb)</t>
  </si>
  <si>
    <t>aze.in.enc.frt.ure.gso</t>
  </si>
  <si>
    <t>Azerbaijan Urea — Gasoline (cmb)</t>
  </si>
  <si>
    <t>aze.in.enc.frt.ure.die</t>
  </si>
  <si>
    <t>Azerbaijan Urea — Diesel (cmb)</t>
  </si>
  <si>
    <t>aze.in.enc.frt.ure.ker</t>
  </si>
  <si>
    <t>Azerbaijan Urea — Kerosene (cmb)</t>
  </si>
  <si>
    <t>aze.in.enc.frt.ure.lpg</t>
  </si>
  <si>
    <t>Azerbaijan Urea — LPG (cmb)</t>
  </si>
  <si>
    <t>aze.in.enc.frt.ure.bio</t>
  </si>
  <si>
    <t>Azerbaijan Urea — Biomass (cmb)</t>
  </si>
  <si>
    <t>aze.in.enc.frt.ure.ren</t>
  </si>
  <si>
    <t>Azerbaijan Urea — Self-gen renewables (cmb)</t>
  </si>
  <si>
    <t>aze.in.enp.frt.ure.coa</t>
  </si>
  <si>
    <t>Azerbaijan Urea — Coal (prc)</t>
  </si>
  <si>
    <t>aze.in.enp.frt.ure.nga</t>
  </si>
  <si>
    <t>Azerbaijan Urea — Natural gas (prc)</t>
  </si>
  <si>
    <t>aze.in.enp.frt.ure.gso</t>
  </si>
  <si>
    <t>Azerbaijan Urea — Gasoline (prc)</t>
  </si>
  <si>
    <t>aze.in.enp.frt.ure.die</t>
  </si>
  <si>
    <t>Azerbaijan Urea — Diesel (prc)</t>
  </si>
  <si>
    <t>aze.in.enp.frt.ure.ker</t>
  </si>
  <si>
    <t>Azerbaijan Urea — Kerosene (prc)</t>
  </si>
  <si>
    <t>aze.in.enp.frt.ure.lpg</t>
  </si>
  <si>
    <t>Azerbaijan Urea — LPG (prc)</t>
  </si>
  <si>
    <t>aze.in.enp.frt.ure.bio</t>
  </si>
  <si>
    <t>Azerbaijan Urea — Biomass (prc)</t>
  </si>
  <si>
    <t>aze.in.enp.frt.ure.ren</t>
  </si>
  <si>
    <t>Azerbaijan Urea — Self-gen renewables (prc)</t>
  </si>
  <si>
    <t>aze.in.ele.frt.ure.elc</t>
  </si>
  <si>
    <t>Azerbaijan Urea — electricity</t>
  </si>
  <si>
    <t>aze.in.efn.frt.ure.---</t>
  </si>
  <si>
    <t>Azerbaijan Urea — non-fuel process EF</t>
  </si>
  <si>
    <t>aze.in.efo.frt.ure.---</t>
  </si>
  <si>
    <t>Azerbaijan Urea — non-CO₂ GHG EF</t>
  </si>
  <si>
    <t>aze.in.prb.frt.nit.---</t>
  </si>
  <si>
    <t>Azerbaijan Ammonium nitrate — base production</t>
  </si>
  <si>
    <t>aze.in.els.frt.nit.---</t>
  </si>
  <si>
    <t>Azerbaijan Ammonium nitrate — elasticity</t>
  </si>
  <si>
    <t>aze.in.ext.frt.nit.---</t>
  </si>
  <si>
    <t>Azerbaijan Ammonium nitrate — export share total</t>
  </si>
  <si>
    <t>aze.in.exe.frt.nit.---</t>
  </si>
  <si>
    <t>Azerbaijan Ammonium nitrate — EU export share</t>
  </si>
  <si>
    <t>aze.in.imp.frt.nit.---</t>
  </si>
  <si>
    <t>Azerbaijan Ammonium nitrate — import share</t>
  </si>
  <si>
    <t>aze.in.enc.frt.nit.coa</t>
  </si>
  <si>
    <t>Azerbaijan Ammonium nitrate — Coal (cmb)</t>
  </si>
  <si>
    <t>aze.in.enc.frt.nit.nga</t>
  </si>
  <si>
    <t>Azerbaijan Ammonium nitrate — Natural gas (cmb)</t>
  </si>
  <si>
    <t>aze.in.enc.frt.nit.gso</t>
  </si>
  <si>
    <t>Azerbaijan Ammonium nitrate — Gasoline (cmb)</t>
  </si>
  <si>
    <t>aze.in.enc.frt.nit.die</t>
  </si>
  <si>
    <t>Azerbaijan Ammonium nitrate — Diesel (cmb)</t>
  </si>
  <si>
    <t>aze.in.enc.frt.nit.ker</t>
  </si>
  <si>
    <t>Azerbaijan Ammonium nitrate — Kerosene (cmb)</t>
  </si>
  <si>
    <t>aze.in.enc.frt.nit.lpg</t>
  </si>
  <si>
    <t>Azerbaijan Ammonium nitrate — LPG (cmb)</t>
  </si>
  <si>
    <t>aze.in.enc.frt.nit.bio</t>
  </si>
  <si>
    <t>Azerbaijan Ammonium nitrate — Biomass (cmb)</t>
  </si>
  <si>
    <t>aze.in.enc.frt.nit.ren</t>
  </si>
  <si>
    <t>Azerbaijan Ammonium nitrate — Self-gen renewables (cmb)</t>
  </si>
  <si>
    <t>aze.in.enp.frt.nit.coa</t>
  </si>
  <si>
    <t>Azerbaijan Ammonium nitrate — Coal (prc)</t>
  </si>
  <si>
    <t>aze.in.enp.frt.nit.nga</t>
  </si>
  <si>
    <t>Azerbaijan Ammonium nitrate — Natural gas (prc)</t>
  </si>
  <si>
    <t>aze.in.enp.frt.nit.gso</t>
  </si>
  <si>
    <t>Azerbaijan Ammonium nitrate — Gasoline (prc)</t>
  </si>
  <si>
    <t>aze.in.enp.frt.nit.die</t>
  </si>
  <si>
    <t>Azerbaijan Ammonium nitrate — Diesel (prc)</t>
  </si>
  <si>
    <t>aze.in.enp.frt.nit.ker</t>
  </si>
  <si>
    <t>Azerbaijan Ammonium nitrate — Kerosene (prc)</t>
  </si>
  <si>
    <t>aze.in.enp.frt.nit.lpg</t>
  </si>
  <si>
    <t>Azerbaijan Ammonium nitrate — LPG (prc)</t>
  </si>
  <si>
    <t>aze.in.enp.frt.nit.bio</t>
  </si>
  <si>
    <t>Azerbaijan Ammonium nitrate — Biomass (prc)</t>
  </si>
  <si>
    <t>aze.in.enp.frt.nit.ren</t>
  </si>
  <si>
    <t>Azerbaijan Ammonium nitrate — Self-gen renewables (prc)</t>
  </si>
  <si>
    <t>aze.in.ele.frt.nit.elc</t>
  </si>
  <si>
    <t>Azerbaijan Ammonium nitrate — electricity</t>
  </si>
  <si>
    <t>aze.in.efn.frt.nit.---</t>
  </si>
  <si>
    <t>Azerbaijan Ammonium nitrate — non-fuel process EF</t>
  </si>
  <si>
    <t>aze.in.efo.frt.nit.---</t>
  </si>
  <si>
    <t>Azerbaijan Ammonium nitrate — non-CO₂ GHG EF</t>
  </si>
  <si>
    <t>aze.in.prb.alu.prp.---</t>
  </si>
  <si>
    <t>Azerbaijan Primary aluminium — base production</t>
  </si>
  <si>
    <t>aze.in.els.alu.prp.---</t>
  </si>
  <si>
    <t>Azerbaijan Primary aluminium — elasticity</t>
  </si>
  <si>
    <t>aze.in.ext.alu.prp.---</t>
  </si>
  <si>
    <t>Azerbaijan Primary aluminium — export share total</t>
  </si>
  <si>
    <t>aze.in.exe.alu.prp.---</t>
  </si>
  <si>
    <t>Azerbaijan Primary aluminium — EU export share</t>
  </si>
  <si>
    <t>aze.in.imp.alu.prp.---</t>
  </si>
  <si>
    <t>Azerbaijan Primary aluminium — import share</t>
  </si>
  <si>
    <t>aze.in.enc.alu.prp.coa</t>
  </si>
  <si>
    <t>Azerbaijan Primary aluminium — Coal (cmb)</t>
  </si>
  <si>
    <t>aze.in.enc.alu.prp.nga</t>
  </si>
  <si>
    <t>Azerbaijan Primary aluminium — Natural gas (cmb)</t>
  </si>
  <si>
    <t>aze.in.enc.alu.prp.gso</t>
  </si>
  <si>
    <t>Azerbaijan Primary aluminium — Gasoline (cmb)</t>
  </si>
  <si>
    <t>aze.in.enc.alu.prp.die</t>
  </si>
  <si>
    <t>Azerbaijan Primary aluminium — Diesel (cmb)</t>
  </si>
  <si>
    <t>aze.in.enc.alu.prp.ker</t>
  </si>
  <si>
    <t>Azerbaijan Primary aluminium — Kerosene (cmb)</t>
  </si>
  <si>
    <t>aze.in.enc.alu.prp.lpg</t>
  </si>
  <si>
    <t>Azerbaijan Primary aluminium — LPG (cmb)</t>
  </si>
  <si>
    <t>aze.in.enc.alu.prp.bio</t>
  </si>
  <si>
    <t>Azerbaijan Primary aluminium — Biomass (cmb)</t>
  </si>
  <si>
    <t>aze.in.enc.alu.prp.ren</t>
  </si>
  <si>
    <t>Azerbaijan Primary aluminium — Self-gen renewables (cmb)</t>
  </si>
  <si>
    <t>aze.in.enp.alu.prp.coa</t>
  </si>
  <si>
    <t>Azerbaijan Primary aluminium — Coal (prc)</t>
  </si>
  <si>
    <t>aze.in.enp.alu.prp.nga</t>
  </si>
  <si>
    <t>Azerbaijan Primary aluminium — Natural gas (prc)</t>
  </si>
  <si>
    <t>aze.in.enp.alu.prp.gso</t>
  </si>
  <si>
    <t>Azerbaijan Primary aluminium — Gasoline (prc)</t>
  </si>
  <si>
    <t>aze.in.enp.alu.prp.die</t>
  </si>
  <si>
    <t>Azerbaijan Primary aluminium — Diesel (prc)</t>
  </si>
  <si>
    <t>aze.in.enp.alu.prp.ker</t>
  </si>
  <si>
    <t>Azerbaijan Primary aluminium — Kerosene (prc)</t>
  </si>
  <si>
    <t>aze.in.enp.alu.prp.lpg</t>
  </si>
  <si>
    <t>Azerbaijan Primary aluminium — LPG (prc)</t>
  </si>
  <si>
    <t>aze.in.enp.alu.prp.bio</t>
  </si>
  <si>
    <t>Azerbaijan Primary aluminium — Biomass (prc)</t>
  </si>
  <si>
    <t>aze.in.enp.alu.prp.ren</t>
  </si>
  <si>
    <t>Azerbaijan Primary aluminium — Self-gen renewables (prc)</t>
  </si>
  <si>
    <t>aze.in.ele.alu.prp.elc</t>
  </si>
  <si>
    <t>Azerbaijan Primary aluminium — electricity</t>
  </si>
  <si>
    <t>aze.in.efn.alu.prp.---</t>
  </si>
  <si>
    <t>Azerbaijan Primary aluminium — non-fuel process EF</t>
  </si>
  <si>
    <t>aze.in.efo.alu.prp.---</t>
  </si>
  <si>
    <t>Azerbaijan Primary aluminium — non-CO₂ GHG EF</t>
  </si>
  <si>
    <t>6.ind. India — country-specific inputs by entity</t>
  </si>
  <si>
    <t>ind.in.prb.stl.drg.---</t>
  </si>
  <si>
    <t>India DRI-EAF steel — base production</t>
  </si>
  <si>
    <t>ind.in.els.stl.drg.---</t>
  </si>
  <si>
    <t>India DRI-EAF steel — elasticity</t>
  </si>
  <si>
    <t>ind.in.ext.stl.drg.---</t>
  </si>
  <si>
    <t>India DRI-EAF steel — export share total</t>
  </si>
  <si>
    <t>ind.in.exe.stl.drg.---</t>
  </si>
  <si>
    <t>India DRI-EAF steel — EU export share</t>
  </si>
  <si>
    <t>ind.in.imp.stl.drg.---</t>
  </si>
  <si>
    <t>India DRI-EAF steel — import share</t>
  </si>
  <si>
    <t>ind.in.enc.stl.drg.coa</t>
  </si>
  <si>
    <t>India DRI-EAF steel — Coal (cmb)</t>
  </si>
  <si>
    <t>ind.in.enc.stl.drg.nga</t>
  </si>
  <si>
    <t>India DRI-EAF steel — Natural gas (cmb)</t>
  </si>
  <si>
    <t>ind.in.enc.stl.drg.gso</t>
  </si>
  <si>
    <t>India DRI-EAF steel — Gasoline (cmb)</t>
  </si>
  <si>
    <t>ind.in.enc.stl.drg.die</t>
  </si>
  <si>
    <t>India DRI-EAF steel — Diesel (cmb)</t>
  </si>
  <si>
    <t>ind.in.enc.stl.drg.ker</t>
  </si>
  <si>
    <t>India DRI-EAF steel — Kerosene (cmb)</t>
  </si>
  <si>
    <t>ind.in.enc.stl.drg.lpg</t>
  </si>
  <si>
    <t>India DRI-EAF steel — LPG (cmb)</t>
  </si>
  <si>
    <t>ind.in.enc.stl.drg.bio</t>
  </si>
  <si>
    <t>India DRI-EAF steel — Biomass (cmb)</t>
  </si>
  <si>
    <t>ind.in.enc.stl.drg.ren</t>
  </si>
  <si>
    <t>India DRI-EAF steel — Self-gen renewables (cmb)</t>
  </si>
  <si>
    <t>ind.in.enp.stl.drg.coa</t>
  </si>
  <si>
    <t>India DRI-EAF steel — Coal (prc)</t>
  </si>
  <si>
    <t>ind.in.enp.stl.drg.nga</t>
  </si>
  <si>
    <t>India DRI-EAF steel — Natural gas (prc)</t>
  </si>
  <si>
    <t>ind.in.enp.stl.drg.gso</t>
  </si>
  <si>
    <t>India DRI-EAF steel — Gasoline (prc)</t>
  </si>
  <si>
    <t>ind.in.enp.stl.drg.die</t>
  </si>
  <si>
    <t>India DRI-EAF steel — Diesel (prc)</t>
  </si>
  <si>
    <t>ind.in.enp.stl.drg.ker</t>
  </si>
  <si>
    <t>India DRI-EAF steel — Kerosene (prc)</t>
  </si>
  <si>
    <t>ind.in.enp.stl.drg.lpg</t>
  </si>
  <si>
    <t>India DRI-EAF steel — LPG (prc)</t>
  </si>
  <si>
    <t>ind.in.enp.stl.drg.bio</t>
  </si>
  <si>
    <t>India DRI-EAF steel — Biomass (prc)</t>
  </si>
  <si>
    <t>ind.in.enp.stl.drg.ren</t>
  </si>
  <si>
    <t>India DRI-EAF steel — Self-gen renewables (prc)</t>
  </si>
  <si>
    <t>ind.in.ele.stl.drg.elc</t>
  </si>
  <si>
    <t>India DRI-EAF steel — electricity</t>
  </si>
  <si>
    <t>ind.in.efn.stl.drg.---</t>
  </si>
  <si>
    <t>India DRI-EAF steel — non-fuel process EF</t>
  </si>
  <si>
    <t>ind.in.efo.stl.drg.---</t>
  </si>
  <si>
    <t>India DRI-EAF steel — non-CO₂ GHG EF</t>
  </si>
  <si>
    <t>ind.in.prb.stl.scr.---</t>
  </si>
  <si>
    <t>India Scrap-EAF steel — base production</t>
  </si>
  <si>
    <t>ind.in.els.stl.scr.---</t>
  </si>
  <si>
    <t>India Scrap-EAF steel — elasticity</t>
  </si>
  <si>
    <t>ind.in.ext.stl.scr.---</t>
  </si>
  <si>
    <t>India Scrap-EAF steel — export share total</t>
  </si>
  <si>
    <t>ind.in.exe.stl.scr.---</t>
  </si>
  <si>
    <t>India Scrap-EAF steel — EU export share</t>
  </si>
  <si>
    <t>ind.in.imp.stl.scr.---</t>
  </si>
  <si>
    <t>India Scrap-EAF steel — import share</t>
  </si>
  <si>
    <t>ind.in.enc.stl.scr.coa</t>
  </si>
  <si>
    <t>India Scrap-EAF steel — Coal (cmb)</t>
  </si>
  <si>
    <t>ind.in.enc.stl.scr.nga</t>
  </si>
  <si>
    <t>India Scrap-EAF steel — Natural gas (cmb)</t>
  </si>
  <si>
    <t>ind.in.enc.stl.scr.gso</t>
  </si>
  <si>
    <t>India Scrap-EAF steel — Gasoline (cmb)</t>
  </si>
  <si>
    <t>ind.in.enc.stl.scr.die</t>
  </si>
  <si>
    <t>India Scrap-EAF steel — Diesel (cmb)</t>
  </si>
  <si>
    <t>ind.in.enc.stl.scr.ker</t>
  </si>
  <si>
    <t>India Scrap-EAF steel — Kerosene (cmb)</t>
  </si>
  <si>
    <t>ind.in.enc.stl.scr.lpg</t>
  </si>
  <si>
    <t>India Scrap-EAF steel — LPG (cmb)</t>
  </si>
  <si>
    <t>ind.in.enc.stl.scr.bio</t>
  </si>
  <si>
    <t>India Scrap-EAF steel — Biomass (cmb)</t>
  </si>
  <si>
    <t>ind.in.enc.stl.scr.ren</t>
  </si>
  <si>
    <t>India Scrap-EAF steel — Self-gen renewables (cmb)</t>
  </si>
  <si>
    <t>ind.in.enp.stl.scr.coa</t>
  </si>
  <si>
    <t>India Scrap-EAF steel — Coal (prc)</t>
  </si>
  <si>
    <t>ind.in.enp.stl.scr.nga</t>
  </si>
  <si>
    <t>India Scrap-EAF steel — Natural gas (prc)</t>
  </si>
  <si>
    <t>ind.in.enp.stl.scr.gso</t>
  </si>
  <si>
    <t>India Scrap-EAF steel — Gasoline (prc)</t>
  </si>
  <si>
    <t>ind.in.enp.stl.scr.die</t>
  </si>
  <si>
    <t>India Scrap-EAF steel — Diesel (prc)</t>
  </si>
  <si>
    <t>ind.in.enp.stl.scr.ker</t>
  </si>
  <si>
    <t>India Scrap-EAF steel — Kerosene (prc)</t>
  </si>
  <si>
    <t>ind.in.enp.stl.scr.lpg</t>
  </si>
  <si>
    <t>India Scrap-EAF steel — LPG (prc)</t>
  </si>
  <si>
    <t>ind.in.enp.stl.scr.bio</t>
  </si>
  <si>
    <t>India Scrap-EAF steel — Biomass (prc)</t>
  </si>
  <si>
    <t>ind.in.enp.stl.scr.ren</t>
  </si>
  <si>
    <t>India Scrap-EAF steel — Self-gen renewables (prc)</t>
  </si>
  <si>
    <t>ind.in.ele.stl.scr.elc</t>
  </si>
  <si>
    <t>India Scrap-EAF steel — electricity</t>
  </si>
  <si>
    <t>ind.in.efn.stl.scr.---</t>
  </si>
  <si>
    <t>India Scrap-EAF steel — non-fuel process EF</t>
  </si>
  <si>
    <t>ind.in.efo.stl.scr.---</t>
  </si>
  <si>
    <t>India Scrap-EAF steel — non-CO₂ GHG EF</t>
  </si>
  <si>
    <t>ind.in.prb.stl.bof.---</t>
  </si>
  <si>
    <t>India BF-BOF steel — base production</t>
  </si>
  <si>
    <t>ind.in.els.stl.bof.---</t>
  </si>
  <si>
    <t>India BF-BOF steel — elasticity</t>
  </si>
  <si>
    <t>ind.in.ext.stl.bof.---</t>
  </si>
  <si>
    <t>India BF-BOF steel — export share total</t>
  </si>
  <si>
    <t>ind.in.exe.stl.bof.---</t>
  </si>
  <si>
    <t>India BF-BOF steel — EU export share</t>
  </si>
  <si>
    <t>ind.in.imp.stl.bof.---</t>
  </si>
  <si>
    <t>India BF-BOF steel — import share</t>
  </si>
  <si>
    <t>ind.in.enc.stl.bof.coa</t>
  </si>
  <si>
    <t>India BF-BOF steel — Coal (cmb)</t>
  </si>
  <si>
    <t>ind.in.enc.stl.bof.nga</t>
  </si>
  <si>
    <t>India BF-BOF steel — Natural gas (cmb)</t>
  </si>
  <si>
    <t>ind.in.enc.stl.bof.gso</t>
  </si>
  <si>
    <t>India BF-BOF steel — Gasoline (cmb)</t>
  </si>
  <si>
    <t>ind.in.enc.stl.bof.die</t>
  </si>
  <si>
    <t>India BF-BOF steel — Diesel (cmb)</t>
  </si>
  <si>
    <t>ind.in.enc.stl.bof.ker</t>
  </si>
  <si>
    <t>India BF-BOF steel — Kerosene (cmb)</t>
  </si>
  <si>
    <t>ind.in.enc.stl.bof.lpg</t>
  </si>
  <si>
    <t>India BF-BOF steel — LPG (cmb)</t>
  </si>
  <si>
    <t>ind.in.enc.stl.bof.bio</t>
  </si>
  <si>
    <t>India BF-BOF steel — Biomass (cmb)</t>
  </si>
  <si>
    <t>ind.in.enc.stl.bof.ren</t>
  </si>
  <si>
    <t>India BF-BOF steel — Self-gen renewables (cmb)</t>
  </si>
  <si>
    <t>ind.in.enp.stl.bof.coa</t>
  </si>
  <si>
    <t>India BF-BOF steel — Coal (prc)</t>
  </si>
  <si>
    <t>ind.in.enp.stl.bof.nga</t>
  </si>
  <si>
    <t>India BF-BOF steel — Natural gas (prc)</t>
  </si>
  <si>
    <t>ind.in.enp.stl.bof.gso</t>
  </si>
  <si>
    <t>India BF-BOF steel — Gasoline (prc)</t>
  </si>
  <si>
    <t>ind.in.enp.stl.bof.die</t>
  </si>
  <si>
    <t>India BF-BOF steel — Diesel (prc)</t>
  </si>
  <si>
    <t>ind.in.enp.stl.bof.ker</t>
  </si>
  <si>
    <t>India BF-BOF steel — Kerosene (prc)</t>
  </si>
  <si>
    <t>ind.in.enp.stl.bof.lpg</t>
  </si>
  <si>
    <t>India BF-BOF steel — LPG (prc)</t>
  </si>
  <si>
    <t>ind.in.enp.stl.bof.bio</t>
  </si>
  <si>
    <t>India BF-BOF steel — Biomass (prc)</t>
  </si>
  <si>
    <t>ind.in.enp.stl.bof.ren</t>
  </si>
  <si>
    <t>India BF-BOF steel — Self-gen renewables (prc)</t>
  </si>
  <si>
    <t>ind.in.ele.stl.bof.elc</t>
  </si>
  <si>
    <t>India BF-BOF steel — electricity</t>
  </si>
  <si>
    <t>ind.in.efn.stl.bof.---</t>
  </si>
  <si>
    <t>India BF-BOF steel — non-fuel process EF</t>
  </si>
  <si>
    <t>ind.in.efo.stl.bof.---</t>
  </si>
  <si>
    <t>India BF-BOF steel — non-CO₂ GHG EF</t>
  </si>
  <si>
    <t>ind.in.prb.cmt.dry.---</t>
  </si>
  <si>
    <t>India Cement — base production</t>
  </si>
  <si>
    <t>ind.in.els.cmt.dry.---</t>
  </si>
  <si>
    <t>India Cement — elasticity</t>
  </si>
  <si>
    <t>ind.in.ext.cmt.dry.---</t>
  </si>
  <si>
    <t>India Cement — export share total</t>
  </si>
  <si>
    <t>ind.in.exe.cmt.dry.---</t>
  </si>
  <si>
    <t>India Cement — EU export share</t>
  </si>
  <si>
    <t>ind.in.imp.cmt.dry.---</t>
  </si>
  <si>
    <t>India Cement — import share</t>
  </si>
  <si>
    <t>ind.in.enc.cmt.dry.coa</t>
  </si>
  <si>
    <t>India Cement — Coal (cmb)</t>
  </si>
  <si>
    <t>ind.in.enc.cmt.dry.nga</t>
  </si>
  <si>
    <t>India Cement — Natural gas (cmb)</t>
  </si>
  <si>
    <t>ind.in.enc.cmt.dry.gso</t>
  </si>
  <si>
    <t>India Cement — Gasoline (cmb)</t>
  </si>
  <si>
    <t>ind.in.enc.cmt.dry.die</t>
  </si>
  <si>
    <t>India Cement — Diesel (cmb)</t>
  </si>
  <si>
    <t>ind.in.enc.cmt.dry.ker</t>
  </si>
  <si>
    <t>India Cement — Kerosene (cmb)</t>
  </si>
  <si>
    <t>ind.in.enc.cmt.dry.lpg</t>
  </si>
  <si>
    <t>India Cement — LPG (cmb)</t>
  </si>
  <si>
    <t>ind.in.enc.cmt.dry.bio</t>
  </si>
  <si>
    <t>India Cement — Biomass (cmb)</t>
  </si>
  <si>
    <t>ind.in.enc.cmt.dry.ren</t>
  </si>
  <si>
    <t>India Cement — Self-gen renewables (cmb)</t>
  </si>
  <si>
    <t>ind.in.enp.cmt.dry.coa</t>
  </si>
  <si>
    <t>India Cement — Coal (prc)</t>
  </si>
  <si>
    <t>ind.in.enp.cmt.dry.nga</t>
  </si>
  <si>
    <t>India Cement — Natural gas (prc)</t>
  </si>
  <si>
    <t>ind.in.enp.cmt.dry.gso</t>
  </si>
  <si>
    <t>India Cement — Gasoline (prc)</t>
  </si>
  <si>
    <t>ind.in.enp.cmt.dry.die</t>
  </si>
  <si>
    <t>India Cement — Diesel (prc)</t>
  </si>
  <si>
    <t>ind.in.enp.cmt.dry.ker</t>
  </si>
  <si>
    <t>India Cement — Kerosene (prc)</t>
  </si>
  <si>
    <t>ind.in.enp.cmt.dry.lpg</t>
  </si>
  <si>
    <t>India Cement — LPG (prc)</t>
  </si>
  <si>
    <t>ind.in.enp.cmt.dry.bio</t>
  </si>
  <si>
    <t>India Cement — Biomass (prc)</t>
  </si>
  <si>
    <t>ind.in.enp.cmt.dry.ren</t>
  </si>
  <si>
    <t>India Cement — Self-gen renewables (prc)</t>
  </si>
  <si>
    <t>ind.in.ele.cmt.dry.elc</t>
  </si>
  <si>
    <t>India Cement — electricity</t>
  </si>
  <si>
    <t>ind.in.efn.cmt.dry.---</t>
  </si>
  <si>
    <t>India Cement — non-fuel process EF</t>
  </si>
  <si>
    <t>ind.in.efo.cmt.dry.---</t>
  </si>
  <si>
    <t>India Cement — non-CO₂ GHG EF</t>
  </si>
  <si>
    <t>ind.in.prb.frt.amc.---</t>
  </si>
  <si>
    <t>India Ammonia — base production</t>
  </si>
  <si>
    <t>ind.in.els.frt.amc.---</t>
  </si>
  <si>
    <t>India Ammonia — elasticity</t>
  </si>
  <si>
    <t>ind.in.ext.frt.amc.---</t>
  </si>
  <si>
    <t>India Ammonia — export share total</t>
  </si>
  <si>
    <t>ind.in.exe.frt.amc.---</t>
  </si>
  <si>
    <t>India Ammonia — EU export share</t>
  </si>
  <si>
    <t>ind.in.imp.frt.amc.---</t>
  </si>
  <si>
    <t>India Ammonia — import share</t>
  </si>
  <si>
    <t>ind.in.enc.frt.amc.coa</t>
  </si>
  <si>
    <t>India Ammonia — Coal (cmb)</t>
  </si>
  <si>
    <t>ind.in.enc.frt.amc.nga</t>
  </si>
  <si>
    <t>India Ammonia — Natural gas (cmb)</t>
  </si>
  <si>
    <t>ind.in.enc.frt.amc.gso</t>
  </si>
  <si>
    <t>India Ammonia — Gasoline (cmb)</t>
  </si>
  <si>
    <t>ind.in.enc.frt.amc.die</t>
  </si>
  <si>
    <t>India Ammonia — Diesel (cmb)</t>
  </si>
  <si>
    <t>ind.in.enc.frt.amc.ker</t>
  </si>
  <si>
    <t>India Ammonia — Kerosene (cmb)</t>
  </si>
  <si>
    <t>ind.in.enc.frt.amc.lpg</t>
  </si>
  <si>
    <t>India Ammonia — LPG (cmb)</t>
  </si>
  <si>
    <t>ind.in.enc.frt.amc.bio</t>
  </si>
  <si>
    <t>India Ammonia — Biomass (cmb)</t>
  </si>
  <si>
    <t>ind.in.enc.frt.amc.ren</t>
  </si>
  <si>
    <t>India Ammonia — Self-gen renewables (cmb)</t>
  </si>
  <si>
    <t>ind.in.enp.frt.amc.coa</t>
  </si>
  <si>
    <t>India Ammonia — Coal (prc)</t>
  </si>
  <si>
    <t>ind.in.enp.frt.amc.nga</t>
  </si>
  <si>
    <t>India Ammonia — Natural gas (prc)</t>
  </si>
  <si>
    <t>ind.in.enp.frt.amc.gso</t>
  </si>
  <si>
    <t>India Ammonia — Gasoline (prc)</t>
  </si>
  <si>
    <t>ind.in.enp.frt.amc.die</t>
  </si>
  <si>
    <t>India Ammonia — Diesel (prc)</t>
  </si>
  <si>
    <t>ind.in.enp.frt.amc.ker</t>
  </si>
  <si>
    <t>India Ammonia — Kerosene (prc)</t>
  </si>
  <si>
    <t>ind.in.enp.frt.amc.lpg</t>
  </si>
  <si>
    <t>India Ammonia — LPG (prc)</t>
  </si>
  <si>
    <t>ind.in.enp.frt.amc.bio</t>
  </si>
  <si>
    <t>India Ammonia — Biomass (prc)</t>
  </si>
  <si>
    <t>ind.in.enp.frt.amc.ren</t>
  </si>
  <si>
    <t>India Ammonia — Self-gen renewables (prc)</t>
  </si>
  <si>
    <t>ind.in.ele.frt.amc.elc</t>
  </si>
  <si>
    <t>India Ammonia — electricity</t>
  </si>
  <si>
    <t>ind.in.efn.frt.amc.---</t>
  </si>
  <si>
    <t>India Ammonia — non-fuel process EF</t>
  </si>
  <si>
    <t>ind.in.efo.frt.amc.---</t>
  </si>
  <si>
    <t>India Ammonia — non-CO₂ GHG EF</t>
  </si>
  <si>
    <t>ind.in.prb.frt.ure.---</t>
  </si>
  <si>
    <t>India Urea — base production</t>
  </si>
  <si>
    <t>ind.in.els.frt.ure.---</t>
  </si>
  <si>
    <t>India Urea — elasticity</t>
  </si>
  <si>
    <t>ind.in.ext.frt.ure.---</t>
  </si>
  <si>
    <t>India Urea — export share total</t>
  </si>
  <si>
    <t>ind.in.exe.frt.ure.---</t>
  </si>
  <si>
    <t>India Urea — EU export share</t>
  </si>
  <si>
    <t>ind.in.imp.frt.ure.---</t>
  </si>
  <si>
    <t>India Urea — import share</t>
  </si>
  <si>
    <t>ind.in.enc.frt.ure.coa</t>
  </si>
  <si>
    <t>India Urea — Coal (cmb)</t>
  </si>
  <si>
    <t>ind.in.enc.frt.ure.nga</t>
  </si>
  <si>
    <t>India Urea — Natural gas (cmb)</t>
  </si>
  <si>
    <t>ind.in.enc.frt.ure.gso</t>
  </si>
  <si>
    <t>India Urea — Gasoline (cmb)</t>
  </si>
  <si>
    <t>ind.in.enc.frt.ure.die</t>
  </si>
  <si>
    <t>India Urea — Diesel (cmb)</t>
  </si>
  <si>
    <t>ind.in.enc.frt.ure.ker</t>
  </si>
  <si>
    <t>India Urea — Kerosene (cmb)</t>
  </si>
  <si>
    <t>ind.in.enc.frt.ure.lpg</t>
  </si>
  <si>
    <t>India Urea — LPG (cmb)</t>
  </si>
  <si>
    <t>ind.in.enc.frt.ure.bio</t>
  </si>
  <si>
    <t>India Urea — Biomass (cmb)</t>
  </si>
  <si>
    <t>ind.in.enc.frt.ure.ren</t>
  </si>
  <si>
    <t>India Urea — Self-gen renewables (cmb)</t>
  </si>
  <si>
    <t>ind.in.enp.frt.ure.coa</t>
  </si>
  <si>
    <t>India Urea — Coal (prc)</t>
  </si>
  <si>
    <t>ind.in.enp.frt.ure.nga</t>
  </si>
  <si>
    <t>India Urea — Natural gas (prc)</t>
  </si>
  <si>
    <t>ind.in.enp.frt.ure.gso</t>
  </si>
  <si>
    <t>India Urea — Gasoline (prc)</t>
  </si>
  <si>
    <t>ind.in.enp.frt.ure.die</t>
  </si>
  <si>
    <t>India Urea — Diesel (prc)</t>
  </si>
  <si>
    <t>ind.in.enp.frt.ure.ker</t>
  </si>
  <si>
    <t>India Urea — Kerosene (prc)</t>
  </si>
  <si>
    <t>ind.in.enp.frt.ure.lpg</t>
  </si>
  <si>
    <t>India Urea — LPG (prc)</t>
  </si>
  <si>
    <t>ind.in.enp.frt.ure.bio</t>
  </si>
  <si>
    <t>India Urea — Biomass (prc)</t>
  </si>
  <si>
    <t>ind.in.enp.frt.ure.ren</t>
  </si>
  <si>
    <t>India Urea — Self-gen renewables (prc)</t>
  </si>
  <si>
    <t>ind.in.ele.frt.ure.elc</t>
  </si>
  <si>
    <t>India Urea — electricity</t>
  </si>
  <si>
    <t>ind.in.efn.frt.ure.---</t>
  </si>
  <si>
    <t>India Urea — non-fuel process EF</t>
  </si>
  <si>
    <t>ind.in.efo.frt.ure.---</t>
  </si>
  <si>
    <t>India Urea — non-CO₂ GHG EF</t>
  </si>
  <si>
    <t>ind.in.prb.frt.nit.---</t>
  </si>
  <si>
    <t>India Ammonium nitrate — base production</t>
  </si>
  <si>
    <t>ind.in.els.frt.nit.---</t>
  </si>
  <si>
    <t>India Ammonium nitrate — elasticity</t>
  </si>
  <si>
    <t>ind.in.ext.frt.nit.---</t>
  </si>
  <si>
    <t>India Ammonium nitrate — export share total</t>
  </si>
  <si>
    <t>ind.in.exe.frt.nit.---</t>
  </si>
  <si>
    <t>India Ammonium nitrate — EU export share</t>
  </si>
  <si>
    <t>ind.in.imp.frt.nit.---</t>
  </si>
  <si>
    <t>India Ammonium nitrate — import share</t>
  </si>
  <si>
    <t>ind.in.enc.frt.nit.coa</t>
  </si>
  <si>
    <t>India Ammonium nitrate — Coal (cmb)</t>
  </si>
  <si>
    <t>ind.in.enc.frt.nit.nga</t>
  </si>
  <si>
    <t>India Ammonium nitrate — Natural gas (cmb)</t>
  </si>
  <si>
    <t>ind.in.enc.frt.nit.gso</t>
  </si>
  <si>
    <t>India Ammonium nitrate — Gasoline (cmb)</t>
  </si>
  <si>
    <t>ind.in.enc.frt.nit.die</t>
  </si>
  <si>
    <t>India Ammonium nitrate — Diesel (cmb)</t>
  </si>
  <si>
    <t>ind.in.enc.frt.nit.ker</t>
  </si>
  <si>
    <t>India Ammonium nitrate — Kerosene (cmb)</t>
  </si>
  <si>
    <t>ind.in.enc.frt.nit.lpg</t>
  </si>
  <si>
    <t>India Ammonium nitrate — LPG (cmb)</t>
  </si>
  <si>
    <t>ind.in.enc.frt.nit.bio</t>
  </si>
  <si>
    <t>India Ammonium nitrate — Biomass (cmb)</t>
  </si>
  <si>
    <t>ind.in.enc.frt.nit.ren</t>
  </si>
  <si>
    <t>India Ammonium nitrate — Self-gen renewables (cmb)</t>
  </si>
  <si>
    <t>ind.in.enp.frt.nit.coa</t>
  </si>
  <si>
    <t>India Ammonium nitrate — Coal (prc)</t>
  </si>
  <si>
    <t>ind.in.enp.frt.nit.nga</t>
  </si>
  <si>
    <t>India Ammonium nitrate — Natural gas (prc)</t>
  </si>
  <si>
    <t>ind.in.enp.frt.nit.gso</t>
  </si>
  <si>
    <t>India Ammonium nitrate — Gasoline (prc)</t>
  </si>
  <si>
    <t>ind.in.enp.frt.nit.die</t>
  </si>
  <si>
    <t>India Ammonium nitrate — Diesel (prc)</t>
  </si>
  <si>
    <t>ind.in.enp.frt.nit.ker</t>
  </si>
  <si>
    <t>India Ammonium nitrate — Kerosene (prc)</t>
  </si>
  <si>
    <t>ind.in.enp.frt.nit.lpg</t>
  </si>
  <si>
    <t>India Ammonium nitrate — LPG (prc)</t>
  </si>
  <si>
    <t>ind.in.enp.frt.nit.bio</t>
  </si>
  <si>
    <t>India Ammonium nitrate — Biomass (prc)</t>
  </si>
  <si>
    <t>ind.in.enp.frt.nit.ren</t>
  </si>
  <si>
    <t>India Ammonium nitrate — Self-gen renewables (prc)</t>
  </si>
  <si>
    <t>ind.in.ele.frt.nit.elc</t>
  </si>
  <si>
    <t>India Ammonium nitrate — electricity</t>
  </si>
  <si>
    <t>ind.in.efn.frt.nit.---</t>
  </si>
  <si>
    <t>India Ammonium nitrate — non-fuel process EF</t>
  </si>
  <si>
    <t>ind.in.efo.frt.nit.---</t>
  </si>
  <si>
    <t>India Ammonium nitrate — non-CO₂ GHG EF</t>
  </si>
  <si>
    <t>ind.in.prb.alu.prp.---</t>
  </si>
  <si>
    <t>India Primary aluminium — base production</t>
  </si>
  <si>
    <t>ind.in.els.alu.prp.---</t>
  </si>
  <si>
    <t>India Primary aluminium — elasticity</t>
  </si>
  <si>
    <t>ind.in.ext.alu.prp.---</t>
  </si>
  <si>
    <t>India Primary aluminium — export share total</t>
  </si>
  <si>
    <t>ind.in.exe.alu.prp.---</t>
  </si>
  <si>
    <t>India Primary aluminium — EU export share</t>
  </si>
  <si>
    <t>ind.in.imp.alu.prp.---</t>
  </si>
  <si>
    <t>India Primary aluminium — import share</t>
  </si>
  <si>
    <t>ind.in.enc.alu.prp.coa</t>
  </si>
  <si>
    <t>India Primary aluminium — Coal (cmb)</t>
  </si>
  <si>
    <t>ind.in.enc.alu.prp.nga</t>
  </si>
  <si>
    <t>India Primary aluminium — Natural gas (cmb)</t>
  </si>
  <si>
    <t>ind.in.enc.alu.prp.gso</t>
  </si>
  <si>
    <t>India Primary aluminium — Gasoline (cmb)</t>
  </si>
  <si>
    <t>ind.in.enc.alu.prp.die</t>
  </si>
  <si>
    <t>India Primary aluminium — Diesel (cmb)</t>
  </si>
  <si>
    <t>ind.in.enc.alu.prp.ker</t>
  </si>
  <si>
    <t>India Primary aluminium — Kerosene (cmb)</t>
  </si>
  <si>
    <t>ind.in.enc.alu.prp.lpg</t>
  </si>
  <si>
    <t>India Primary aluminium — LPG (cmb)</t>
  </si>
  <si>
    <t>ind.in.enc.alu.prp.bio</t>
  </si>
  <si>
    <t>India Primary aluminium — Biomass (cmb)</t>
  </si>
  <si>
    <t>ind.in.enc.alu.prp.ren</t>
  </si>
  <si>
    <t>India Primary aluminium — Self-gen renewables (cmb)</t>
  </si>
  <si>
    <t>ind.in.enp.alu.prp.coa</t>
  </si>
  <si>
    <t>India Primary aluminium — Coal (prc)</t>
  </si>
  <si>
    <t>ind.in.enp.alu.prp.nga</t>
  </si>
  <si>
    <t>India Primary aluminium — Natural gas (prc)</t>
  </si>
  <si>
    <t>ind.in.enp.alu.prp.gso</t>
  </si>
  <si>
    <t>India Primary aluminium — Gasoline (prc)</t>
  </si>
  <si>
    <t>ind.in.enp.alu.prp.die</t>
  </si>
  <si>
    <t>India Primary aluminium — Diesel (prc)</t>
  </si>
  <si>
    <t>ind.in.enp.alu.prp.ker</t>
  </si>
  <si>
    <t>India Primary aluminium — Kerosene (prc)</t>
  </si>
  <si>
    <t>ind.in.enp.alu.prp.lpg</t>
  </si>
  <si>
    <t>India Primary aluminium — LPG (prc)</t>
  </si>
  <si>
    <t>ind.in.enp.alu.prp.bio</t>
  </si>
  <si>
    <t>India Primary aluminium — Biomass (prc)</t>
  </si>
  <si>
    <t>ind.in.enp.alu.prp.ren</t>
  </si>
  <si>
    <t>India Primary aluminium — Self-gen renewables (prc)</t>
  </si>
  <si>
    <t>ind.in.ele.alu.prp.elc</t>
  </si>
  <si>
    <t>India Primary aluminium — electricity</t>
  </si>
  <si>
    <t>ind.in.efn.alu.prp.---</t>
  </si>
  <si>
    <t>India Primary aluminium — non-fuel process EF</t>
  </si>
  <si>
    <t>ind.in.efo.alu.prp.---</t>
  </si>
  <si>
    <t>India Primary aluminium — non-CO₂ GHG EF</t>
  </si>
  <si>
    <t>7. Product CN codes (EU CBAM Annex I)</t>
  </si>
  <si>
    <t>Description (Annex I)</t>
  </si>
  <si>
    <t>Route indicator (IR 2025/2621)</t>
  </si>
  <si>
    <t>all.in.cn .stl.drg.---</t>
  </si>
  <si>
    <t xml:space="preserve">cn </t>
  </si>
  <si>
    <t>CN code — DRI-EAF steel</t>
  </si>
  <si>
    <t>EU Combined Nomenclature code (CBAM Annex I)</t>
  </si>
  <si>
    <t>EU Reg 2023/956 Annex I</t>
  </si>
  <si>
    <t>Iron and non-alloy steel in ingots or other primary forms</t>
  </si>
  <si>
    <t>(D) Carbon Steel based on DRI/EAF</t>
  </si>
  <si>
    <t>all.in.cn .stl.scr.---</t>
  </si>
  <si>
    <t>CN code — Scrap-EAF steel</t>
  </si>
  <si>
    <t>(E) Carbon Steel based on Scrap/EAF</t>
  </si>
  <si>
    <t>all.in.cn .stl.bof.---</t>
  </si>
  <si>
    <t>CN code — BF-BOF steel</t>
  </si>
  <si>
    <t>(C) Carbon Steel based on BF/BOF</t>
  </si>
  <si>
    <t>all.in.cn .cmt.dry.---</t>
  </si>
  <si>
    <t>CN code — Cement</t>
  </si>
  <si>
    <t>(A) grey clinker/cement</t>
  </si>
  <si>
    <t>all.in.cn .frt.amc.---</t>
  </si>
  <si>
    <t>CN code — Ammonia</t>
  </si>
  <si>
    <t>all.in.cn .frt.ure.---</t>
  </si>
  <si>
    <t>CN code — Urea</t>
  </si>
  <si>
    <t>Urea, containing more than 45% by weight of nitrogen on the dry anhydrous product</t>
  </si>
  <si>
    <t>all.in.cn .frt.nit.---</t>
  </si>
  <si>
    <t>CN code — Ammonium nitrate</t>
  </si>
  <si>
    <t>Ammonium nitrate (excl. in aqueous solution)</t>
  </si>
  <si>
    <t>all.in.cn .alu.prp.---</t>
  </si>
  <si>
    <t>CN code — Primary aluminium</t>
  </si>
  <si>
    <t>(K) primary Aluminium</t>
  </si>
  <si>
    <t>8. New aggregate entities — stl.oth and frt.otn benchmarks/constants</t>
  </si>
  <si>
    <t>all.in.bnk.stl.oth.---</t>
  </si>
  <si>
    <t>CBAM benchmark — Other iron &amp; steel products</t>
  </si>
  <si>
    <t>tCO2/t product</t>
  </si>
  <si>
    <t>Blended volume-weighted benchmark across constituent CN codes.</t>
  </si>
  <si>
    <t>IR 2025/2621 + derived</t>
  </si>
  <si>
    <t>all.in.dfv.stl.oth.---</t>
  </si>
  <si>
    <t>EU default intensity — Other iron &amp; steel products</t>
  </si>
  <si>
    <t>~20% above blended benchmark.</t>
  </si>
  <si>
    <t>Derived</t>
  </si>
  <si>
    <t>all.in.ppx.stl.oth.---</t>
  </si>
  <si>
    <t>Product price — Other iron &amp; steel products</t>
  </si>
  <si>
    <t>Reference price.</t>
  </si>
  <si>
    <t>all.in.cs2.stl.oth.---</t>
  </si>
  <si>
    <t>CBAM S2 in scope — Other iron &amp; steel products</t>
  </si>
  <si>
    <t>1 = Annex II includes indirect (fertilisers); 0 = direct only.</t>
  </si>
  <si>
    <t>all.in.nh3.stl.oth.---</t>
  </si>
  <si>
    <t>NH3 feedstock factor — Other iron &amp; steel products</t>
  </si>
  <si>
    <t>0 for these aggregate entities (chain already embedded in blended benchmark).</t>
  </si>
  <si>
    <t>Model convention</t>
  </si>
  <si>
    <t>all.in.bnk.frt.otn.---</t>
  </si>
  <si>
    <t>CBAM benchmark — Other nitrogen fertilisers</t>
  </si>
  <si>
    <t>tCO2/t N</t>
  </si>
  <si>
    <t>all.in.dfv.frt.otn.---</t>
  </si>
  <si>
    <t>EU default intensity — Other nitrogen fertilisers</t>
  </si>
  <si>
    <t>all.in.ppx.frt.otn.---</t>
  </si>
  <si>
    <t>Product price — Other nitrogen fertilisers</t>
  </si>
  <si>
    <t>all.in.cs2.frt.otn.---</t>
  </si>
  <si>
    <t>CBAM S2 in scope — Other nitrogen fertilisers</t>
  </si>
  <si>
    <t>all.in.nh3.frt.otn.---</t>
  </si>
  <si>
    <t>NH3 feedstock factor — Other nitrogen fertilisers</t>
  </si>
  <si>
    <t>all.in.mrv.stl.oth.---</t>
  </si>
  <si>
    <t>MRV flag — Other iron &amp; steel products</t>
  </si>
  <si>
    <t>Edit on dashboard.</t>
  </si>
  <si>
    <t>all.in.mrv.frt.otn.---</t>
  </si>
  <si>
    <t>MRV flag — Other nitrogen fertilisers</t>
  </si>
  <si>
    <t>9. CN codes for new entities</t>
  </si>
  <si>
    <t>all.in.cn .stl.oth.---</t>
  </si>
  <si>
    <t>CN code — Other iron &amp; steel products</t>
  </si>
  <si>
    <t>EU CN codes (CBAM Annex I)</t>
  </si>
  <si>
    <t>7201/7202/7203/2601/7218</t>
  </si>
  <si>
    <t>Various iron &amp; steel precursors and upstream intermediates</t>
  </si>
  <si>
    <t>Mixed — pig iron, ferroalloys, DRI, sintered ore, stainless</t>
  </si>
  <si>
    <t>all.in.cn .frt.otn.---</t>
  </si>
  <si>
    <t>CN code — Other nitrogen fertilisers</t>
  </si>
  <si>
    <t>Ammonium sulphate, UAN solution, NPK/N compound fertilisers (N fraction)</t>
  </si>
  <si>
    <t>10. Country-entity data for stl.oth and frt.otn</t>
  </si>
  <si>
    <t>egy.in.prb.stl.oth.---</t>
  </si>
  <si>
    <t>Egypt Other iron &amp; steel products — base production</t>
  </si>
  <si>
    <t>2024 base production (Mt).</t>
  </si>
  <si>
    <t>Industry data / estimates</t>
  </si>
  <si>
    <t>egy.in.els.stl.oth.---</t>
  </si>
  <si>
    <t>Egypt Other iron &amp; steel products — elasticity</t>
  </si>
  <si>
    <t>egy.in.ext.stl.oth.---</t>
  </si>
  <si>
    <t>Egypt Other iron &amp; steel products — export share total</t>
  </si>
  <si>
    <t>egy.in.exe.stl.oth.---</t>
  </si>
  <si>
    <t>Egypt Other iron &amp; steel products — EU export share</t>
  </si>
  <si>
    <t>egy.in.imp.stl.oth.---</t>
  </si>
  <si>
    <t>Egypt Other iron &amp; steel products — import share</t>
  </si>
  <si>
    <t>egy.in.enc.stl.oth.coa</t>
  </si>
  <si>
    <t>Egypt Other iron &amp; steel products — Coal (cmb)</t>
  </si>
  <si>
    <t>Combustion intensity per tonne of unit.</t>
  </si>
  <si>
    <t>egy.in.enc.stl.oth.nga</t>
  </si>
  <si>
    <t>Egypt Other iron &amp; steel products — Natural gas (cmb)</t>
  </si>
  <si>
    <t>egy.in.enc.stl.oth.gso</t>
  </si>
  <si>
    <t>Egypt Other iron &amp; steel products — Gasoline (cmb)</t>
  </si>
  <si>
    <t>egy.in.enc.stl.oth.die</t>
  </si>
  <si>
    <t>Egypt Other iron &amp; steel products — Diesel (cmb)</t>
  </si>
  <si>
    <t>egy.in.enc.stl.oth.ker</t>
  </si>
  <si>
    <t>Egypt Other iron &amp; steel products — Kerosene (cmb)</t>
  </si>
  <si>
    <t>egy.in.enc.stl.oth.lpg</t>
  </si>
  <si>
    <t>Egypt Other iron &amp; steel products — LPG (cmb)</t>
  </si>
  <si>
    <t>egy.in.enc.stl.oth.bio</t>
  </si>
  <si>
    <t>Egypt Other iron &amp; steel products — Biomass (cmb)</t>
  </si>
  <si>
    <t>egy.in.enc.stl.oth.ren</t>
  </si>
  <si>
    <t>Egypt Other iron &amp; steel products — Self-gen renewables (cmb)</t>
  </si>
  <si>
    <t>egy.in.enp.stl.oth.coa</t>
  </si>
  <si>
    <t>Egypt Other iron &amp; steel products — Coal (prc)</t>
  </si>
  <si>
    <t>egy.in.enp.stl.oth.nga</t>
  </si>
  <si>
    <t>Egypt Other iron &amp; steel products — Natural gas (prc)</t>
  </si>
  <si>
    <t>egy.in.enp.stl.oth.gso</t>
  </si>
  <si>
    <t>Egypt Other iron &amp; steel products — Gasoline (prc)</t>
  </si>
  <si>
    <t>egy.in.enp.stl.oth.die</t>
  </si>
  <si>
    <t>Egypt Other iron &amp; steel products — Diesel (prc)</t>
  </si>
  <si>
    <t>egy.in.enp.stl.oth.ker</t>
  </si>
  <si>
    <t>Egypt Other iron &amp; steel products — Kerosene (prc)</t>
  </si>
  <si>
    <t>egy.in.enp.stl.oth.lpg</t>
  </si>
  <si>
    <t>Egypt Other iron &amp; steel products — LPG (prc)</t>
  </si>
  <si>
    <t>egy.in.enp.stl.oth.bio</t>
  </si>
  <si>
    <t>Egypt Other iron &amp; steel products — Biomass (prc)</t>
  </si>
  <si>
    <t>egy.in.enp.stl.oth.ren</t>
  </si>
  <si>
    <t>Egypt Other iron &amp; steel products — Self-gen renewables (prc)</t>
  </si>
  <si>
    <t>egy.in.ele.stl.oth.elc</t>
  </si>
  <si>
    <t>Egypt Other iron &amp; steel products — electricity</t>
  </si>
  <si>
    <t>egy.in.efn.stl.oth.---</t>
  </si>
  <si>
    <t>Egypt Other iron &amp; steel products — non-fuel process EF</t>
  </si>
  <si>
    <t>egy.in.efo.stl.oth.---</t>
  </si>
  <si>
    <t>Egypt Other iron &amp; steel products — non-CO2 GHG EF</t>
  </si>
  <si>
    <t>alb.in.prb.stl.oth.---</t>
  </si>
  <si>
    <t>Albania Other iron &amp; steel products — base production</t>
  </si>
  <si>
    <t>alb.in.els.stl.oth.---</t>
  </si>
  <si>
    <t>Albania Other iron &amp; steel products — elasticity</t>
  </si>
  <si>
    <t>alb.in.ext.stl.oth.---</t>
  </si>
  <si>
    <t>Albania Other iron &amp; steel products — export share total</t>
  </si>
  <si>
    <t>alb.in.exe.stl.oth.---</t>
  </si>
  <si>
    <t>Albania Other iron &amp; steel products — EU export share</t>
  </si>
  <si>
    <t>alb.in.imp.stl.oth.---</t>
  </si>
  <si>
    <t>Albania Other iron &amp; steel products — import share</t>
  </si>
  <si>
    <t>alb.in.enc.stl.oth.coa</t>
  </si>
  <si>
    <t>Albania Other iron &amp; steel products — Coal (cmb)</t>
  </si>
  <si>
    <t>alb.in.enc.stl.oth.nga</t>
  </si>
  <si>
    <t>Albania Other iron &amp; steel products — Natural gas (cmb)</t>
  </si>
  <si>
    <t>alb.in.enc.stl.oth.gso</t>
  </si>
  <si>
    <t>Albania Other iron &amp; steel products — Gasoline (cmb)</t>
  </si>
  <si>
    <t>alb.in.enc.stl.oth.die</t>
  </si>
  <si>
    <t>Albania Other iron &amp; steel products — Diesel (cmb)</t>
  </si>
  <si>
    <t>alb.in.enc.stl.oth.ker</t>
  </si>
  <si>
    <t>Albania Other iron &amp; steel products — Kerosene (cmb)</t>
  </si>
  <si>
    <t>alb.in.enc.stl.oth.lpg</t>
  </si>
  <si>
    <t>Albania Other iron &amp; steel products — LPG (cmb)</t>
  </si>
  <si>
    <t>alb.in.enc.stl.oth.bio</t>
  </si>
  <si>
    <t>Albania Other iron &amp; steel products — Biomass (cmb)</t>
  </si>
  <si>
    <t>alb.in.enc.stl.oth.ren</t>
  </si>
  <si>
    <t>Albania Other iron &amp; steel products — Self-gen renewables (cmb)</t>
  </si>
  <si>
    <t>alb.in.enp.stl.oth.coa</t>
  </si>
  <si>
    <t>Albania Other iron &amp; steel products — Coal (prc)</t>
  </si>
  <si>
    <t>alb.in.enp.stl.oth.nga</t>
  </si>
  <si>
    <t>Albania Other iron &amp; steel products — Natural gas (prc)</t>
  </si>
  <si>
    <t>alb.in.enp.stl.oth.gso</t>
  </si>
  <si>
    <t>Albania Other iron &amp; steel products — Gasoline (prc)</t>
  </si>
  <si>
    <t>alb.in.enp.stl.oth.die</t>
  </si>
  <si>
    <t>Albania Other iron &amp; steel products — Diesel (prc)</t>
  </si>
  <si>
    <t>alb.in.enp.stl.oth.ker</t>
  </si>
  <si>
    <t>Albania Other iron &amp; steel products — Kerosene (prc)</t>
  </si>
  <si>
    <t>alb.in.enp.stl.oth.lpg</t>
  </si>
  <si>
    <t>Albania Other iron &amp; steel products — LPG (prc)</t>
  </si>
  <si>
    <t>alb.in.enp.stl.oth.bio</t>
  </si>
  <si>
    <t>Albania Other iron &amp; steel products — Biomass (prc)</t>
  </si>
  <si>
    <t>alb.in.enp.stl.oth.ren</t>
  </si>
  <si>
    <t>Albania Other iron &amp; steel products — Self-gen renewables (prc)</t>
  </si>
  <si>
    <t>alb.in.ele.stl.oth.elc</t>
  </si>
  <si>
    <t>Albania Other iron &amp; steel products — electricity</t>
  </si>
  <si>
    <t>alb.in.efn.stl.oth.---</t>
  </si>
  <si>
    <t>Albania Other iron &amp; steel products — non-fuel process EF</t>
  </si>
  <si>
    <t>alb.in.efo.stl.oth.---</t>
  </si>
  <si>
    <t>Albania Other iron &amp; steel products — non-CO2 GHG EF</t>
  </si>
  <si>
    <t>uzb.in.prb.stl.oth.---</t>
  </si>
  <si>
    <t>Uzbekistan Other iron &amp; steel products — base production</t>
  </si>
  <si>
    <t>uzb.in.els.stl.oth.---</t>
  </si>
  <si>
    <t>Uzbekistan Other iron &amp; steel products — elasticity</t>
  </si>
  <si>
    <t>uzb.in.ext.stl.oth.---</t>
  </si>
  <si>
    <t>Uzbekistan Other iron &amp; steel products — export share total</t>
  </si>
  <si>
    <t>uzb.in.exe.stl.oth.---</t>
  </si>
  <si>
    <t>Uzbekistan Other iron &amp; steel products — EU export share</t>
  </si>
  <si>
    <t>uzb.in.imp.stl.oth.---</t>
  </si>
  <si>
    <t>Uzbekistan Other iron &amp; steel products — import share</t>
  </si>
  <si>
    <t>uzb.in.enc.stl.oth.coa</t>
  </si>
  <si>
    <t>Uzbekistan Other iron &amp; steel products — Coal (cmb)</t>
  </si>
  <si>
    <t>uzb.in.enc.stl.oth.nga</t>
  </si>
  <si>
    <t>Uzbekistan Other iron &amp; steel products — Natural gas (cmb)</t>
  </si>
  <si>
    <t>uzb.in.enc.stl.oth.gso</t>
  </si>
  <si>
    <t>Uzbekistan Other iron &amp; steel products — Gasoline (cmb)</t>
  </si>
  <si>
    <t>uzb.in.enc.stl.oth.die</t>
  </si>
  <si>
    <t>Uzbekistan Other iron &amp; steel products — Diesel (cmb)</t>
  </si>
  <si>
    <t>uzb.in.enc.stl.oth.ker</t>
  </si>
  <si>
    <t>Uzbekistan Other iron &amp; steel products — Kerosene (cmb)</t>
  </si>
  <si>
    <t>uzb.in.enc.stl.oth.lpg</t>
  </si>
  <si>
    <t>Uzbekistan Other iron &amp; steel products — LPG (cmb)</t>
  </si>
  <si>
    <t>uzb.in.enc.stl.oth.bio</t>
  </si>
  <si>
    <t>Uzbekistan Other iron &amp; steel products — Biomass (cmb)</t>
  </si>
  <si>
    <t>uzb.in.enc.stl.oth.ren</t>
  </si>
  <si>
    <t>Uzbekistan Other iron &amp; steel products — Self-gen renewables (cmb)</t>
  </si>
  <si>
    <t>uzb.in.enp.stl.oth.coa</t>
  </si>
  <si>
    <t>Uzbekistan Other iron &amp; steel products — Coal (prc)</t>
  </si>
  <si>
    <t>uzb.in.enp.stl.oth.nga</t>
  </si>
  <si>
    <t>Uzbekistan Other iron &amp; steel products — Natural gas (prc)</t>
  </si>
  <si>
    <t>uzb.in.enp.stl.oth.gso</t>
  </si>
  <si>
    <t>Uzbekistan Other iron &amp; steel products — Gasoline (prc)</t>
  </si>
  <si>
    <t>uzb.in.enp.stl.oth.die</t>
  </si>
  <si>
    <t>Uzbekistan Other iron &amp; steel products — Diesel (prc)</t>
  </si>
  <si>
    <t>uzb.in.enp.stl.oth.ker</t>
  </si>
  <si>
    <t>Uzbekistan Other iron &amp; steel products — Kerosene (prc)</t>
  </si>
  <si>
    <t>uzb.in.enp.stl.oth.lpg</t>
  </si>
  <si>
    <t>Uzbekistan Other iron &amp; steel products — LPG (prc)</t>
  </si>
  <si>
    <t>uzb.in.enp.stl.oth.bio</t>
  </si>
  <si>
    <t>Uzbekistan Other iron &amp; steel products — Biomass (prc)</t>
  </si>
  <si>
    <t>uzb.in.enp.stl.oth.ren</t>
  </si>
  <si>
    <t>Uzbekistan Other iron &amp; steel products — Self-gen renewables (prc)</t>
  </si>
  <si>
    <t>uzb.in.ele.stl.oth.elc</t>
  </si>
  <si>
    <t>Uzbekistan Other iron &amp; steel products — electricity</t>
  </si>
  <si>
    <t>uzb.in.efn.stl.oth.---</t>
  </si>
  <si>
    <t>Uzbekistan Other iron &amp; steel products — non-fuel process EF</t>
  </si>
  <si>
    <t>uzb.in.efo.stl.oth.---</t>
  </si>
  <si>
    <t>Uzbekistan Other iron &amp; steel products — non-CO2 GHG EF</t>
  </si>
  <si>
    <t>aze.in.prb.stl.oth.---</t>
  </si>
  <si>
    <t>Azerbaijan Other iron &amp; steel products — base production</t>
  </si>
  <si>
    <t>aze.in.els.stl.oth.---</t>
  </si>
  <si>
    <t>Azerbaijan Other iron &amp; steel products — elasticity</t>
  </si>
  <si>
    <t>aze.in.ext.stl.oth.---</t>
  </si>
  <si>
    <t>Azerbaijan Other iron &amp; steel products — export share total</t>
  </si>
  <si>
    <t>aze.in.exe.stl.oth.---</t>
  </si>
  <si>
    <t>Azerbaijan Other iron &amp; steel products — EU export share</t>
  </si>
  <si>
    <t>aze.in.imp.stl.oth.---</t>
  </si>
  <si>
    <t>Azerbaijan Other iron &amp; steel products — import share</t>
  </si>
  <si>
    <t>aze.in.enc.stl.oth.coa</t>
  </si>
  <si>
    <t>Azerbaijan Other iron &amp; steel products — Coal (cmb)</t>
  </si>
  <si>
    <t>aze.in.enc.stl.oth.nga</t>
  </si>
  <si>
    <t>Azerbaijan Other iron &amp; steel products — Natural gas (cmb)</t>
  </si>
  <si>
    <t>aze.in.enc.stl.oth.gso</t>
  </si>
  <si>
    <t>Azerbaijan Other iron &amp; steel products — Gasoline (cmb)</t>
  </si>
  <si>
    <t>aze.in.enc.stl.oth.die</t>
  </si>
  <si>
    <t>Azerbaijan Other iron &amp; steel products — Diesel (cmb)</t>
  </si>
  <si>
    <t>aze.in.enc.stl.oth.ker</t>
  </si>
  <si>
    <t>Azerbaijan Other iron &amp; steel products — Kerosene (cmb)</t>
  </si>
  <si>
    <t>aze.in.enc.stl.oth.lpg</t>
  </si>
  <si>
    <t>Azerbaijan Other iron &amp; steel products — LPG (cmb)</t>
  </si>
  <si>
    <t>aze.in.enc.stl.oth.bio</t>
  </si>
  <si>
    <t>Azerbaijan Other iron &amp; steel products — Biomass (cmb)</t>
  </si>
  <si>
    <t>aze.in.enc.stl.oth.ren</t>
  </si>
  <si>
    <t>Azerbaijan Other iron &amp; steel products — Self-gen renewables (cmb)</t>
  </si>
  <si>
    <t>aze.in.enp.stl.oth.coa</t>
  </si>
  <si>
    <t>Azerbaijan Other iron &amp; steel products — Coal (prc)</t>
  </si>
  <si>
    <t>aze.in.enp.stl.oth.nga</t>
  </si>
  <si>
    <t>Azerbaijan Other iron &amp; steel products — Natural gas (prc)</t>
  </si>
  <si>
    <t>aze.in.enp.stl.oth.gso</t>
  </si>
  <si>
    <t>Azerbaijan Other iron &amp; steel products — Gasoline (prc)</t>
  </si>
  <si>
    <t>aze.in.enp.stl.oth.die</t>
  </si>
  <si>
    <t>Azerbaijan Other iron &amp; steel products — Diesel (prc)</t>
  </si>
  <si>
    <t>aze.in.enp.stl.oth.ker</t>
  </si>
  <si>
    <t>Azerbaijan Other iron &amp; steel products — Kerosene (prc)</t>
  </si>
  <si>
    <t>aze.in.enp.stl.oth.lpg</t>
  </si>
  <si>
    <t>Azerbaijan Other iron &amp; steel products — LPG (prc)</t>
  </si>
  <si>
    <t>aze.in.enp.stl.oth.bio</t>
  </si>
  <si>
    <t>Azerbaijan Other iron &amp; steel products — Biomass (prc)</t>
  </si>
  <si>
    <t>aze.in.enp.stl.oth.ren</t>
  </si>
  <si>
    <t>Azerbaijan Other iron &amp; steel products — Self-gen renewables (prc)</t>
  </si>
  <si>
    <t>aze.in.ele.stl.oth.elc</t>
  </si>
  <si>
    <t>Azerbaijan Other iron &amp; steel products — electricity</t>
  </si>
  <si>
    <t>aze.in.efn.stl.oth.---</t>
  </si>
  <si>
    <t>Azerbaijan Other iron &amp; steel products — non-fuel process EF</t>
  </si>
  <si>
    <t>aze.in.efo.stl.oth.---</t>
  </si>
  <si>
    <t>Azerbaijan Other iron &amp; steel products — non-CO2 GHG EF</t>
  </si>
  <si>
    <t>ind.in.prb.stl.oth.---</t>
  </si>
  <si>
    <t>India Other iron &amp; steel products — base production</t>
  </si>
  <si>
    <t>ind.in.els.stl.oth.---</t>
  </si>
  <si>
    <t>India Other iron &amp; steel products — elasticity</t>
  </si>
  <si>
    <t>ind.in.ext.stl.oth.---</t>
  </si>
  <si>
    <t>India Other iron &amp; steel products — export share total</t>
  </si>
  <si>
    <t>ind.in.exe.stl.oth.---</t>
  </si>
  <si>
    <t>India Other iron &amp; steel products — EU export share</t>
  </si>
  <si>
    <t>ind.in.imp.stl.oth.---</t>
  </si>
  <si>
    <t>India Other iron &amp; steel products — import share</t>
  </si>
  <si>
    <t>ind.in.enc.stl.oth.coa</t>
  </si>
  <si>
    <t>India Other iron &amp; steel products — Coal (cmb)</t>
  </si>
  <si>
    <t>ind.in.enc.stl.oth.nga</t>
  </si>
  <si>
    <t>India Other iron &amp; steel products — Natural gas (cmb)</t>
  </si>
  <si>
    <t>ind.in.enc.stl.oth.gso</t>
  </si>
  <si>
    <t>India Other iron &amp; steel products — Gasoline (cmb)</t>
  </si>
  <si>
    <t>ind.in.enc.stl.oth.die</t>
  </si>
  <si>
    <t>India Other iron &amp; steel products — Diesel (cmb)</t>
  </si>
  <si>
    <t>ind.in.enc.stl.oth.ker</t>
  </si>
  <si>
    <t>India Other iron &amp; steel products — Kerosene (cmb)</t>
  </si>
  <si>
    <t>ind.in.enc.stl.oth.lpg</t>
  </si>
  <si>
    <t>India Other iron &amp; steel products — LPG (cmb)</t>
  </si>
  <si>
    <t>ind.in.enc.stl.oth.bio</t>
  </si>
  <si>
    <t>India Other iron &amp; steel products — Biomass (cmb)</t>
  </si>
  <si>
    <t>ind.in.enc.stl.oth.ren</t>
  </si>
  <si>
    <t>India Other iron &amp; steel products — Self-gen renewables (cmb)</t>
  </si>
  <si>
    <t>ind.in.enp.stl.oth.coa</t>
  </si>
  <si>
    <t>India Other iron &amp; steel products — Coal (prc)</t>
  </si>
  <si>
    <t>ind.in.enp.stl.oth.nga</t>
  </si>
  <si>
    <t>India Other iron &amp; steel products — Natural gas (prc)</t>
  </si>
  <si>
    <t>ind.in.enp.stl.oth.gso</t>
  </si>
  <si>
    <t>India Other iron &amp; steel products — Gasoline (prc)</t>
  </si>
  <si>
    <t>ind.in.enp.stl.oth.die</t>
  </si>
  <si>
    <t>India Other iron &amp; steel products — Diesel (prc)</t>
  </si>
  <si>
    <t>ind.in.enp.stl.oth.ker</t>
  </si>
  <si>
    <t>India Other iron &amp; steel products — Kerosene (prc)</t>
  </si>
  <si>
    <t>ind.in.enp.stl.oth.lpg</t>
  </si>
  <si>
    <t>India Other iron &amp; steel products — LPG (prc)</t>
  </si>
  <si>
    <t>ind.in.enp.stl.oth.bio</t>
  </si>
  <si>
    <t>India Other iron &amp; steel products — Biomass (prc)</t>
  </si>
  <si>
    <t>ind.in.enp.stl.oth.ren</t>
  </si>
  <si>
    <t>India Other iron &amp; steel products — Self-gen renewables (prc)</t>
  </si>
  <si>
    <t>ind.in.ele.stl.oth.elc</t>
  </si>
  <si>
    <t>India Other iron &amp; steel products — electricity</t>
  </si>
  <si>
    <t>ind.in.efn.stl.oth.---</t>
  </si>
  <si>
    <t>India Other iron &amp; steel products — non-fuel process EF</t>
  </si>
  <si>
    <t>ind.in.efo.stl.oth.---</t>
  </si>
  <si>
    <t>India Other iron &amp; steel products — non-CO2 GHG EF</t>
  </si>
  <si>
    <t>egy.in.prb.frt.otn.---</t>
  </si>
  <si>
    <t>Egypt Other nitrogen fertilisers — base production</t>
  </si>
  <si>
    <t>2024 base production (Mt N).</t>
  </si>
  <si>
    <t>egy.in.els.frt.otn.---</t>
  </si>
  <si>
    <t>Egypt Other nitrogen fertilisers — elasticity</t>
  </si>
  <si>
    <t>egy.in.ext.frt.otn.---</t>
  </si>
  <si>
    <t>Egypt Other nitrogen fertilisers — export share total</t>
  </si>
  <si>
    <t>egy.in.exe.frt.otn.---</t>
  </si>
  <si>
    <t>Egypt Other nitrogen fertilisers — EU export share</t>
  </si>
  <si>
    <t>egy.in.imp.frt.otn.---</t>
  </si>
  <si>
    <t>Egypt Other nitrogen fertilisers — import share</t>
  </si>
  <si>
    <t>egy.in.enc.frt.otn.coa</t>
  </si>
  <si>
    <t>Egypt Other nitrogen fertilisers — Coal (cmb)</t>
  </si>
  <si>
    <t>GJ/t N</t>
  </si>
  <si>
    <t>egy.in.enc.frt.otn.nga</t>
  </si>
  <si>
    <t>Egypt Other nitrogen fertilisers — Natural gas (cmb)</t>
  </si>
  <si>
    <t>egy.in.enc.frt.otn.gso</t>
  </si>
  <si>
    <t>Egypt Other nitrogen fertilisers — Gasoline (cmb)</t>
  </si>
  <si>
    <t>egy.in.enc.frt.otn.die</t>
  </si>
  <si>
    <t>Egypt Other nitrogen fertilisers — Diesel (cmb)</t>
  </si>
  <si>
    <t>egy.in.enc.frt.otn.ker</t>
  </si>
  <si>
    <t>Egypt Other nitrogen fertilisers — Kerosene (cmb)</t>
  </si>
  <si>
    <t>egy.in.enc.frt.otn.lpg</t>
  </si>
  <si>
    <t>Egypt Other nitrogen fertilisers — LPG (cmb)</t>
  </si>
  <si>
    <t>egy.in.enc.frt.otn.bio</t>
  </si>
  <si>
    <t>Egypt Other nitrogen fertilisers — Biomass (cmb)</t>
  </si>
  <si>
    <t>egy.in.enc.frt.otn.ren</t>
  </si>
  <si>
    <t>Egypt Other nitrogen fertilisers — Self-gen renewables (cmb)</t>
  </si>
  <si>
    <t>egy.in.enp.frt.otn.coa</t>
  </si>
  <si>
    <t>Egypt Other nitrogen fertilisers — Coal (prc)</t>
  </si>
  <si>
    <t>egy.in.enp.frt.otn.nga</t>
  </si>
  <si>
    <t>Egypt Other nitrogen fertilisers — Natural gas (prc)</t>
  </si>
  <si>
    <t>egy.in.enp.frt.otn.gso</t>
  </si>
  <si>
    <t>Egypt Other nitrogen fertilisers — Gasoline (prc)</t>
  </si>
  <si>
    <t>egy.in.enp.frt.otn.die</t>
  </si>
  <si>
    <t>Egypt Other nitrogen fertilisers — Diesel (prc)</t>
  </si>
  <si>
    <t>egy.in.enp.frt.otn.ker</t>
  </si>
  <si>
    <t>Egypt Other nitrogen fertilisers — Kerosene (prc)</t>
  </si>
  <si>
    <t>egy.in.enp.frt.otn.lpg</t>
  </si>
  <si>
    <t>Egypt Other nitrogen fertilisers — LPG (prc)</t>
  </si>
  <si>
    <t>egy.in.enp.frt.otn.bio</t>
  </si>
  <si>
    <t>Egypt Other nitrogen fertilisers — Biomass (prc)</t>
  </si>
  <si>
    <t>egy.in.enp.frt.otn.ren</t>
  </si>
  <si>
    <t>Egypt Other nitrogen fertilisers — Self-gen renewables (prc)</t>
  </si>
  <si>
    <t>egy.in.ele.frt.otn.elc</t>
  </si>
  <si>
    <t>Egypt Other nitrogen fertilisers — electricity</t>
  </si>
  <si>
    <t>egy.in.efn.frt.otn.---</t>
  </si>
  <si>
    <t>Egypt Other nitrogen fertilisers — non-fuel process EF</t>
  </si>
  <si>
    <t>egy.in.efo.frt.otn.---</t>
  </si>
  <si>
    <t>Egypt Other nitrogen fertilisers — non-CO2 GHG EF</t>
  </si>
  <si>
    <t>alb.in.prb.frt.otn.---</t>
  </si>
  <si>
    <t>Albania Other nitrogen fertilisers — base production</t>
  </si>
  <si>
    <t>alb.in.els.frt.otn.---</t>
  </si>
  <si>
    <t>Albania Other nitrogen fertilisers — elasticity</t>
  </si>
  <si>
    <t>alb.in.ext.frt.otn.---</t>
  </si>
  <si>
    <t>Albania Other nitrogen fertilisers — export share total</t>
  </si>
  <si>
    <t>alb.in.exe.frt.otn.---</t>
  </si>
  <si>
    <t>Albania Other nitrogen fertilisers — EU export share</t>
  </si>
  <si>
    <t>alb.in.imp.frt.otn.---</t>
  </si>
  <si>
    <t>Albania Other nitrogen fertilisers — import share</t>
  </si>
  <si>
    <t>alb.in.enc.frt.otn.coa</t>
  </si>
  <si>
    <t>Albania Other nitrogen fertilisers — Coal (cmb)</t>
  </si>
  <si>
    <t>alb.in.enc.frt.otn.nga</t>
  </si>
  <si>
    <t>Albania Other nitrogen fertilisers — Natural gas (cmb)</t>
  </si>
  <si>
    <t>alb.in.enc.frt.otn.gso</t>
  </si>
  <si>
    <t>Albania Other nitrogen fertilisers — Gasoline (cmb)</t>
  </si>
  <si>
    <t>alb.in.enc.frt.otn.die</t>
  </si>
  <si>
    <t>Albania Other nitrogen fertilisers — Diesel (cmb)</t>
  </si>
  <si>
    <t>alb.in.enc.frt.otn.ker</t>
  </si>
  <si>
    <t>Albania Other nitrogen fertilisers — Kerosene (cmb)</t>
  </si>
  <si>
    <t>alb.in.enc.frt.otn.lpg</t>
  </si>
  <si>
    <t>Albania Other nitrogen fertilisers — LPG (cmb)</t>
  </si>
  <si>
    <t>alb.in.enc.frt.otn.bio</t>
  </si>
  <si>
    <t>Albania Other nitrogen fertilisers — Biomass (cmb)</t>
  </si>
  <si>
    <t>alb.in.enc.frt.otn.ren</t>
  </si>
  <si>
    <t>Albania Other nitrogen fertilisers — Self-gen renewables (cmb)</t>
  </si>
  <si>
    <t>alb.in.enp.frt.otn.coa</t>
  </si>
  <si>
    <t>Albania Other nitrogen fertilisers — Coal (prc)</t>
  </si>
  <si>
    <t>alb.in.enp.frt.otn.nga</t>
  </si>
  <si>
    <t>Albania Other nitrogen fertilisers — Natural gas (prc)</t>
  </si>
  <si>
    <t>alb.in.enp.frt.otn.gso</t>
  </si>
  <si>
    <t>Albania Other nitrogen fertilisers — Gasoline (prc)</t>
  </si>
  <si>
    <t>alb.in.enp.frt.otn.die</t>
  </si>
  <si>
    <t>Albania Other nitrogen fertilisers — Diesel (prc)</t>
  </si>
  <si>
    <t>alb.in.enp.frt.otn.ker</t>
  </si>
  <si>
    <t>Albania Other nitrogen fertilisers — Kerosene (prc)</t>
  </si>
  <si>
    <t>alb.in.enp.frt.otn.lpg</t>
  </si>
  <si>
    <t>Albania Other nitrogen fertilisers — LPG (prc)</t>
  </si>
  <si>
    <t>alb.in.enp.frt.otn.bio</t>
  </si>
  <si>
    <t>Albania Other nitrogen fertilisers — Biomass (prc)</t>
  </si>
  <si>
    <t>alb.in.enp.frt.otn.ren</t>
  </si>
  <si>
    <t>Albania Other nitrogen fertilisers — Self-gen renewables (prc)</t>
  </si>
  <si>
    <t>alb.in.ele.frt.otn.elc</t>
  </si>
  <si>
    <t>Albania Other nitrogen fertilisers — electricity</t>
  </si>
  <si>
    <t>alb.in.efn.frt.otn.---</t>
  </si>
  <si>
    <t>Albania Other nitrogen fertilisers — non-fuel process EF</t>
  </si>
  <si>
    <t>alb.in.efo.frt.otn.---</t>
  </si>
  <si>
    <t>Albania Other nitrogen fertilisers — non-CO2 GHG EF</t>
  </si>
  <si>
    <t>uzb.in.prb.frt.otn.---</t>
  </si>
  <si>
    <t>Uzbekistan Other nitrogen fertilisers — base production</t>
  </si>
  <si>
    <t>uzb.in.els.frt.otn.---</t>
  </si>
  <si>
    <t>Uzbekistan Other nitrogen fertilisers — elasticity</t>
  </si>
  <si>
    <t>uzb.in.ext.frt.otn.---</t>
  </si>
  <si>
    <t>Uzbekistan Other nitrogen fertilisers — export share total</t>
  </si>
  <si>
    <t>uzb.in.exe.frt.otn.---</t>
  </si>
  <si>
    <t>Uzbekistan Other nitrogen fertilisers — EU export share</t>
  </si>
  <si>
    <t>uzb.in.imp.frt.otn.---</t>
  </si>
  <si>
    <t>Uzbekistan Other nitrogen fertilisers — import share</t>
  </si>
  <si>
    <t>uzb.in.enc.frt.otn.coa</t>
  </si>
  <si>
    <t>Uzbekistan Other nitrogen fertilisers — Coal (cmb)</t>
  </si>
  <si>
    <t>uzb.in.enc.frt.otn.nga</t>
  </si>
  <si>
    <t>Uzbekistan Other nitrogen fertilisers — Natural gas (cmb)</t>
  </si>
  <si>
    <t>uzb.in.enc.frt.otn.gso</t>
  </si>
  <si>
    <t>Uzbekistan Other nitrogen fertilisers — Gasoline (cmb)</t>
  </si>
  <si>
    <t>uzb.in.enc.frt.otn.die</t>
  </si>
  <si>
    <t>Uzbekistan Other nitrogen fertilisers — Diesel (cmb)</t>
  </si>
  <si>
    <t>uzb.in.enc.frt.otn.ker</t>
  </si>
  <si>
    <t>Uzbekistan Other nitrogen fertilisers — Kerosene (cmb)</t>
  </si>
  <si>
    <t>uzb.in.enc.frt.otn.lpg</t>
  </si>
  <si>
    <t>Uzbekistan Other nitrogen fertilisers — LPG (cmb)</t>
  </si>
  <si>
    <t>uzb.in.enc.frt.otn.bio</t>
  </si>
  <si>
    <t>Uzbekistan Other nitrogen fertilisers — Biomass (cmb)</t>
  </si>
  <si>
    <t>uzb.in.enc.frt.otn.ren</t>
  </si>
  <si>
    <t>Uzbekistan Other nitrogen fertilisers — Self-gen renewables (cmb)</t>
  </si>
  <si>
    <t>uzb.in.enp.frt.otn.coa</t>
  </si>
  <si>
    <t>Uzbekistan Other nitrogen fertilisers — Coal (prc)</t>
  </si>
  <si>
    <t>uzb.in.enp.frt.otn.nga</t>
  </si>
  <si>
    <t>Uzbekistan Other nitrogen fertilisers — Natural gas (prc)</t>
  </si>
  <si>
    <t>uzb.in.enp.frt.otn.gso</t>
  </si>
  <si>
    <t>Uzbekistan Other nitrogen fertilisers — Gasoline (prc)</t>
  </si>
  <si>
    <t>uzb.in.enp.frt.otn.die</t>
  </si>
  <si>
    <t>Uzbekistan Other nitrogen fertilisers — Diesel (prc)</t>
  </si>
  <si>
    <t>uzb.in.enp.frt.otn.ker</t>
  </si>
  <si>
    <t>Uzbekistan Other nitrogen fertilisers — Kerosene (prc)</t>
  </si>
  <si>
    <t>uzb.in.enp.frt.otn.lpg</t>
  </si>
  <si>
    <t>Uzbekistan Other nitrogen fertilisers — LPG (prc)</t>
  </si>
  <si>
    <t>uzb.in.enp.frt.otn.bio</t>
  </si>
  <si>
    <t>Uzbekistan Other nitrogen fertilisers — Biomass (prc)</t>
  </si>
  <si>
    <t>uzb.in.enp.frt.otn.ren</t>
  </si>
  <si>
    <t>Uzbekistan Other nitrogen fertilisers — Self-gen renewables (prc)</t>
  </si>
  <si>
    <t>uzb.in.ele.frt.otn.elc</t>
  </si>
  <si>
    <t>Uzbekistan Other nitrogen fertilisers — electricity</t>
  </si>
  <si>
    <t>uzb.in.efn.frt.otn.---</t>
  </si>
  <si>
    <t>Uzbekistan Other nitrogen fertilisers — non-fuel process EF</t>
  </si>
  <si>
    <t>uzb.in.efo.frt.otn.---</t>
  </si>
  <si>
    <t>Uzbekistan Other nitrogen fertilisers — non-CO2 GHG EF</t>
  </si>
  <si>
    <t>aze.in.prb.frt.otn.---</t>
  </si>
  <si>
    <t>Azerbaijan Other nitrogen fertilisers — base production</t>
  </si>
  <si>
    <t>aze.in.els.frt.otn.---</t>
  </si>
  <si>
    <t>Azerbaijan Other nitrogen fertilisers — elasticity</t>
  </si>
  <si>
    <t>aze.in.ext.frt.otn.---</t>
  </si>
  <si>
    <t>Azerbaijan Other nitrogen fertilisers — export share total</t>
  </si>
  <si>
    <t>aze.in.exe.frt.otn.---</t>
  </si>
  <si>
    <t>Azerbaijan Other nitrogen fertilisers — EU export share</t>
  </si>
  <si>
    <t>aze.in.imp.frt.otn.---</t>
  </si>
  <si>
    <t>Azerbaijan Other nitrogen fertilisers — import share</t>
  </si>
  <si>
    <t>aze.in.enc.frt.otn.coa</t>
  </si>
  <si>
    <t>Azerbaijan Other nitrogen fertilisers — Coal (cmb)</t>
  </si>
  <si>
    <t>aze.in.enc.frt.otn.nga</t>
  </si>
  <si>
    <t>Azerbaijan Other nitrogen fertilisers — Natural gas (cmb)</t>
  </si>
  <si>
    <t>aze.in.enc.frt.otn.gso</t>
  </si>
  <si>
    <t>Azerbaijan Other nitrogen fertilisers — Gasoline (cmb)</t>
  </si>
  <si>
    <t>aze.in.enc.frt.otn.die</t>
  </si>
  <si>
    <t>Azerbaijan Other nitrogen fertilisers — Diesel (cmb)</t>
  </si>
  <si>
    <t>aze.in.enc.frt.otn.ker</t>
  </si>
  <si>
    <t>Azerbaijan Other nitrogen fertilisers — Kerosene (cmb)</t>
  </si>
  <si>
    <t>aze.in.enc.frt.otn.lpg</t>
  </si>
  <si>
    <t>Azerbaijan Other nitrogen fertilisers — LPG (cmb)</t>
  </si>
  <si>
    <t>aze.in.enc.frt.otn.bio</t>
  </si>
  <si>
    <t>Azerbaijan Other nitrogen fertilisers — Biomass (cmb)</t>
  </si>
  <si>
    <t>aze.in.enc.frt.otn.ren</t>
  </si>
  <si>
    <t>Azerbaijan Other nitrogen fertilisers — Self-gen renewables (cmb)</t>
  </si>
  <si>
    <t>aze.in.enp.frt.otn.coa</t>
  </si>
  <si>
    <t>Azerbaijan Other nitrogen fertilisers — Coal (prc)</t>
  </si>
  <si>
    <t>aze.in.enp.frt.otn.nga</t>
  </si>
  <si>
    <t>Azerbaijan Other nitrogen fertilisers — Natural gas (prc)</t>
  </si>
  <si>
    <t>aze.in.enp.frt.otn.gso</t>
  </si>
  <si>
    <t>Azerbaijan Other nitrogen fertilisers — Gasoline (prc)</t>
  </si>
  <si>
    <t>aze.in.enp.frt.otn.die</t>
  </si>
  <si>
    <t>Azerbaijan Other nitrogen fertilisers — Diesel (prc)</t>
  </si>
  <si>
    <t>aze.in.enp.frt.otn.ker</t>
  </si>
  <si>
    <t>Azerbaijan Other nitrogen fertilisers — Kerosene (prc)</t>
  </si>
  <si>
    <t>aze.in.enp.frt.otn.lpg</t>
  </si>
  <si>
    <t>Azerbaijan Other nitrogen fertilisers — LPG (prc)</t>
  </si>
  <si>
    <t>aze.in.enp.frt.otn.bio</t>
  </si>
  <si>
    <t>Azerbaijan Other nitrogen fertilisers — Biomass (prc)</t>
  </si>
  <si>
    <t>aze.in.enp.frt.otn.ren</t>
  </si>
  <si>
    <t>Azerbaijan Other nitrogen fertilisers — Self-gen renewables (prc)</t>
  </si>
  <si>
    <t>aze.in.ele.frt.otn.elc</t>
  </si>
  <si>
    <t>Azerbaijan Other nitrogen fertilisers — electricity</t>
  </si>
  <si>
    <t>aze.in.efn.frt.otn.---</t>
  </si>
  <si>
    <t>Azerbaijan Other nitrogen fertilisers — non-fuel process EF</t>
  </si>
  <si>
    <t>aze.in.efo.frt.otn.---</t>
  </si>
  <si>
    <t>Azerbaijan Other nitrogen fertilisers — non-CO2 GHG EF</t>
  </si>
  <si>
    <t>ind.in.prb.frt.otn.---</t>
  </si>
  <si>
    <t>India Other nitrogen fertilisers — base production</t>
  </si>
  <si>
    <t>ind.in.els.frt.otn.---</t>
  </si>
  <si>
    <t>India Other nitrogen fertilisers — elasticity</t>
  </si>
  <si>
    <t>ind.in.ext.frt.otn.---</t>
  </si>
  <si>
    <t>India Other nitrogen fertilisers — export share total</t>
  </si>
  <si>
    <t>ind.in.exe.frt.otn.---</t>
  </si>
  <si>
    <t>India Other nitrogen fertilisers — EU export share</t>
  </si>
  <si>
    <t>ind.in.imp.frt.otn.---</t>
  </si>
  <si>
    <t>India Other nitrogen fertilisers — import share</t>
  </si>
  <si>
    <t>ind.in.enc.frt.otn.coa</t>
  </si>
  <si>
    <t>India Other nitrogen fertilisers — Coal (cmb)</t>
  </si>
  <si>
    <t>ind.in.enc.frt.otn.nga</t>
  </si>
  <si>
    <t>India Other nitrogen fertilisers — Natural gas (cmb)</t>
  </si>
  <si>
    <t>ind.in.enc.frt.otn.gso</t>
  </si>
  <si>
    <t>India Other nitrogen fertilisers — Gasoline (cmb)</t>
  </si>
  <si>
    <t>ind.in.enc.frt.otn.die</t>
  </si>
  <si>
    <t>India Other nitrogen fertilisers — Diesel (cmb)</t>
  </si>
  <si>
    <t>ind.in.enc.frt.otn.ker</t>
  </si>
  <si>
    <t>India Other nitrogen fertilisers — Kerosene (cmb)</t>
  </si>
  <si>
    <t>ind.in.enc.frt.otn.lpg</t>
  </si>
  <si>
    <t>India Other nitrogen fertilisers — LPG (cmb)</t>
  </si>
  <si>
    <t>ind.in.enc.frt.otn.bio</t>
  </si>
  <si>
    <t>India Other nitrogen fertilisers — Biomass (cmb)</t>
  </si>
  <si>
    <t>ind.in.enc.frt.otn.ren</t>
  </si>
  <si>
    <t>India Other nitrogen fertilisers — Self-gen renewables (cmb)</t>
  </si>
  <si>
    <t>ind.in.enp.frt.otn.coa</t>
  </si>
  <si>
    <t>India Other nitrogen fertilisers — Coal (prc)</t>
  </si>
  <si>
    <t>ind.in.enp.frt.otn.nga</t>
  </si>
  <si>
    <t>India Other nitrogen fertilisers — Natural gas (prc)</t>
  </si>
  <si>
    <t>ind.in.enp.frt.otn.gso</t>
  </si>
  <si>
    <t>India Other nitrogen fertilisers — Gasoline (prc)</t>
  </si>
  <si>
    <t>ind.in.enp.frt.otn.die</t>
  </si>
  <si>
    <t>India Other nitrogen fertilisers — Diesel (prc)</t>
  </si>
  <si>
    <t>ind.in.enp.frt.otn.ker</t>
  </si>
  <si>
    <t>India Other nitrogen fertilisers — Kerosene (prc)</t>
  </si>
  <si>
    <t>ind.in.enp.frt.otn.lpg</t>
  </si>
  <si>
    <t>India Other nitrogen fertilisers — LPG (prc)</t>
  </si>
  <si>
    <t>ind.in.enp.frt.otn.bio</t>
  </si>
  <si>
    <t>India Other nitrogen fertilisers — Biomass (prc)</t>
  </si>
  <si>
    <t>ind.in.enp.frt.otn.ren</t>
  </si>
  <si>
    <t>India Other nitrogen fertilisers — Self-gen renewables (prc)</t>
  </si>
  <si>
    <t>ind.in.ele.frt.otn.elc</t>
  </si>
  <si>
    <t>India Other nitrogen fertilisers — electricity</t>
  </si>
  <si>
    <t>ind.in.efn.frt.otn.---</t>
  </si>
  <si>
    <t>India Other nitrogen fertilisers — non-fuel process EF</t>
  </si>
  <si>
    <t>ind.in.efo.frt.otn.---</t>
  </si>
  <si>
    <t>India Other nitrogen fertilisers — non-CO2 GHG EF</t>
  </si>
  <si>
    <t>ref_data — Reference emission intensities and process EFs</t>
  </si>
  <si>
    <t>Source: derived from cbam_global_data.xlsx tabs 3_energy_intensity and 6_process_ef. Energy intensities are GJ/t of product (or GJ/t N for frt.otn). Process EFs (efn, efo) are global defaults — no country variation. Guidance used: Commission Implementing Regulation (EU) 2025/2621 of 16 December 2025 (OJ L 2025/2621, 22.12.2025) — the legally binding default values for the CBAM definitive phase. An XLS version was made available February 2026. No further revision has been published as of May 2026; the next review is required by December 2027 at the latest. Blue = sourced actual; Orange = IPCC/sector default.</t>
  </si>
  <si>
    <t>Code (self-generated)</t>
  </si>
  <si>
    <t>Cty</t>
  </si>
  <si>
    <t>Coal
cmb
GJ/t</t>
  </si>
  <si>
    <t>Natural gas
cmb
GJ/t</t>
  </si>
  <si>
    <t>Gasoline
cmb
GJ/t</t>
  </si>
  <si>
    <t>Diesel
cmb
GJ/t</t>
  </si>
  <si>
    <t>Kerosene
cmb
GJ/t</t>
  </si>
  <si>
    <t>LPG
cmb
GJ/t</t>
  </si>
  <si>
    <t>Biomass
cmb
GJ/t</t>
  </si>
  <si>
    <t>Self-gen renewables
cmb
GJ/t</t>
  </si>
  <si>
    <t>Coal
prc
GJ/t</t>
  </si>
  <si>
    <t>Natural gas
prc
GJ/t</t>
  </si>
  <si>
    <t>Gasoline
prc
GJ/t</t>
  </si>
  <si>
    <t>Diesel
prc
GJ/t</t>
  </si>
  <si>
    <t>Kerosene
prc
GJ/t</t>
  </si>
  <si>
    <t>LPG
prc
GJ/t</t>
  </si>
  <si>
    <t>Biomass
prc
GJ/t</t>
  </si>
  <si>
    <t>Self-gen renewables
prc
GJ/t</t>
  </si>
  <si>
    <t>Elec
GJ/t</t>
  </si>
  <si>
    <t>efn
tCO₂/t</t>
  </si>
  <si>
    <t>efo
tCO₂e/t</t>
  </si>
  <si>
    <t>Source / notes</t>
  </si>
  <si>
    <t>A. Energy intensities (GJ/t product) — country × entity</t>
  </si>
  <si>
    <t>egy.ref.ei.stl.drg.---</t>
  </si>
  <si>
    <t>Current model (Egypt DRI Midrex; NG-based)</t>
  </si>
  <si>
    <t>egy.ref.ei.stl.scr.---</t>
  </si>
  <si>
    <t>Current model (Egypt scrap-EAF; NG heat)</t>
  </si>
  <si>
    <t>egy.ref.ei.stl.bof.---</t>
  </si>
  <si>
    <t>Egypt BF-BOF (Hadisolb historical; liquidated 2021)</t>
  </si>
  <si>
    <t>egy.ref.ei.cmt.dry.---</t>
  </si>
  <si>
    <t>Current model (Egypt dry kiln; coal+NG mix)</t>
  </si>
  <si>
    <t>egy.ref.ei.frt.amc.---</t>
  </si>
  <si>
    <t>Current model (Egypt NG-based Haber-Bosch)</t>
  </si>
  <si>
    <t>egy.ref.ei.frt.ure.---</t>
  </si>
  <si>
    <t>Current model (Egypt NG-based urea synthesis)</t>
  </si>
  <si>
    <t>egy.ref.ei.frt.nit.---</t>
  </si>
  <si>
    <t>Current model (Egypt AN; NG-based)</t>
  </si>
  <si>
    <t>egy.ref.ei.alu.prp.---</t>
  </si>
  <si>
    <t>Current model (Egypt Egyptalum; HEP+grid mix)</t>
  </si>
  <si>
    <t>alb.ref.ei.stl.drg.---</t>
  </si>
  <si>
    <t>Not applicable / no production</t>
  </si>
  <si>
    <t>alb.ref.ei.stl.scr.---</t>
  </si>
  <si>
    <t>Current model (Albania scrap-EAF; NG heat)</t>
  </si>
  <si>
    <t>alb.ref.ei.stl.bof.---</t>
  </si>
  <si>
    <t>alb.ref.ei.cmt.dry.---</t>
  </si>
  <si>
    <t>Current model (Albania dry kiln; coal-dominant)</t>
  </si>
  <si>
    <t>alb.ref.ei.frt.amc.---</t>
  </si>
  <si>
    <t>alb.ref.ei.frt.ure.---</t>
  </si>
  <si>
    <t>alb.ref.ei.frt.nit.---</t>
  </si>
  <si>
    <t>alb.ref.ei.alu.prp.---</t>
  </si>
  <si>
    <t>uzb.ref.ei.stl.drg.---</t>
  </si>
  <si>
    <t>Current model (Uzbekistan DRI; NG-based)</t>
  </si>
  <si>
    <t>uzb.ref.ei.stl.scr.---</t>
  </si>
  <si>
    <t>Current model (Uzbekistan scrap-EAF; NG)</t>
  </si>
  <si>
    <t>uzb.ref.ei.stl.bof.---</t>
  </si>
  <si>
    <t>uzb.ref.ei.cmt.dry.---</t>
  </si>
  <si>
    <t>Current model (Uzbekistan dry kiln; NG dominant)</t>
  </si>
  <si>
    <t>uzb.ref.ei.frt.amc.---</t>
  </si>
  <si>
    <t>Current model (Uzbekistan NG-based ammonia)</t>
  </si>
  <si>
    <t>uzb.ref.ei.frt.ure.---</t>
  </si>
  <si>
    <t>Current model (Uzbekistan NG-based urea)</t>
  </si>
  <si>
    <t>uzb.ref.ei.frt.nit.---</t>
  </si>
  <si>
    <t>Current model (Uzbekistan NG-based AN)</t>
  </si>
  <si>
    <t>uzb.ref.ei.alu.prp.---</t>
  </si>
  <si>
    <t>aze.ref.ei.stl.drg.---</t>
  </si>
  <si>
    <t>aze.ref.ei.stl.scr.---</t>
  </si>
  <si>
    <t>Current model (Azerbaijan scrap-EAF; NG)</t>
  </si>
  <si>
    <t>aze.ref.ei.stl.bof.---</t>
  </si>
  <si>
    <t>aze.ref.ei.cmt.dry.---</t>
  </si>
  <si>
    <t>Current model (Azerbaijan dry kiln; NG)</t>
  </si>
  <si>
    <t>aze.ref.ei.frt.amc.---</t>
  </si>
  <si>
    <t>Current model (Azerbaijan NG-based ammonia)</t>
  </si>
  <si>
    <t>aze.ref.ei.frt.ure.---</t>
  </si>
  <si>
    <t>Current model (Azerbaijan NG-based urea)</t>
  </si>
  <si>
    <t>aze.ref.ei.frt.nit.---</t>
  </si>
  <si>
    <t>aze.ref.ei.alu.prp.---</t>
  </si>
  <si>
    <t>ind.ref.ei.stl.drg.---</t>
  </si>
  <si>
    <t>Current model (India coal-based DRI rotary kiln)</t>
  </si>
  <si>
    <t>ind.ref.ei.stl.scr.---</t>
  </si>
  <si>
    <t>Current model (India scrap-EAF; coal grid)</t>
  </si>
  <si>
    <t>ind.ref.ei.stl.bof.---</t>
  </si>
  <si>
    <t>Current model (India BF-BOF; coal dominant)</t>
  </si>
  <si>
    <t>ind.ref.ei.cmt.dry.---</t>
  </si>
  <si>
    <t>Current model (India dry kiln; coal fuel)</t>
  </si>
  <si>
    <t>ind.ref.ei.frt.amc.---</t>
  </si>
  <si>
    <t>Current model (India mixed NG/coal ammonia)</t>
  </si>
  <si>
    <t>ind.ref.ei.frt.ure.---</t>
  </si>
  <si>
    <t>Current model (India NG-based urea)</t>
  </si>
  <si>
    <t>ind.ref.ei.frt.nit.---</t>
  </si>
  <si>
    <t>India AN production limited; proxy</t>
  </si>
  <si>
    <t>ind.ref.ei.alu.prp.---</t>
  </si>
  <si>
    <t>Current model (India NALCO/Hindalco; coal grid)</t>
  </si>
  <si>
    <t>B. EU IR 2025/2621 — country-specific default embedded emissions (SEE, tCO2e/t, before 10% markup)</t>
  </si>
  <si>
    <t>Source: Commission Implementing Regulation (EU) 2025/2621 of 16 December 2025, Annex I. Values shown are the PRE-MARKUP default embedded emission intensities (SEE) for 2026. The regulation applies a +10% markup in 2026, +20% in 2027, +30% from 2028, EXCEPT fertilisers (+1%). For direct-only products (steel, aluminium), SEE = direct emissions only. For cement and fertilisers, SEE = direct + indirect. Purple cells = from IR 2025/2621 Annex I (near-verbatim). Yellow = 'Other countries and territories' fallback value (country not separately listed in Annex I).</t>
  </si>
  <si>
    <t>Code</t>
  </si>
  <si>
    <t>SEE direct
(tCO2/t)</t>
  </si>
  <si>
    <t>SEE indirect
(tCO2/t)
(S2 if in scope)</t>
  </si>
  <si>
    <t>SEE total
(tCO2e/t)
(before +10%)</t>
  </si>
  <si>
    <t>CBAM
benchmark
(col B, tCO2/t)</t>
  </si>
  <si>
    <t>Excess over
benchmark
(tCO2/t)</t>
  </si>
  <si>
    <t>Regulation
coverage note</t>
  </si>
  <si>
    <t>egy.ref.dv.stl.drg.---</t>
  </si>
  <si>
    <t>Egypt listed; DRI-EAF route (D)</t>
  </si>
  <si>
    <t>egy.ref.dv.stl.scr.---</t>
  </si>
  <si>
    <t>Egypt listed; Scrap-EAF route (E)</t>
  </si>
  <si>
    <t>egy.ref.dv.cmt.dry.---</t>
  </si>
  <si>
    <t>Egypt listed; direct+indirect (cement)</t>
  </si>
  <si>
    <t>egy.ref.dv.frt.amc.---</t>
  </si>
  <si>
    <t>Egypt listed; ammonia (global NH3 chain)</t>
  </si>
  <si>
    <t>egy.ref.dv.frt.ure.---</t>
  </si>
  <si>
    <t>Egypt listed; urea (direct+indirect)</t>
  </si>
  <si>
    <t>egy.ref.dv.frt.nit.---</t>
  </si>
  <si>
    <t>egy.ref.dv.alu.prp.---</t>
  </si>
  <si>
    <t>Egypt listed; direct only (S2 excluded)</t>
  </si>
  <si>
    <t>alb.ref.dv.stl.scr.---</t>
  </si>
  <si>
    <t>Albania listed; scrap-EAF; hydro-powered</t>
  </si>
  <si>
    <t>alb.ref.dv.cmt.dry.---</t>
  </si>
  <si>
    <t>uzb.ref.dv.stl.scr.---</t>
  </si>
  <si>
    <t>uzb.ref.dv.stl.drg.---</t>
  </si>
  <si>
    <t>Uzbekistan listed; DRI-EAF (NG)</t>
  </si>
  <si>
    <t>uzb.ref.dv.cmt.dry.---</t>
  </si>
  <si>
    <t>Uzbekistan listed</t>
  </si>
  <si>
    <t>uzb.ref.dv.frt.amc.---</t>
  </si>
  <si>
    <t>uzb.ref.dv.frt.ure.---</t>
  </si>
  <si>
    <t>uzb.ref.dv.frt.nit.---</t>
  </si>
  <si>
    <t>aze.ref.dv.stl.scr.---</t>
  </si>
  <si>
    <t>aze.ref.dv.cmt.dry.---</t>
  </si>
  <si>
    <t>Azerbaijan listed</t>
  </si>
  <si>
    <t>aze.ref.dv.frt.amc.---</t>
  </si>
  <si>
    <t>Azerbaijan listed; NG-based</t>
  </si>
  <si>
    <t>aze.ref.dv.frt.ure.---</t>
  </si>
  <si>
    <t>ind.ref.dv.stl.drg.---</t>
  </si>
  <si>
    <t>India listed; DRI — coal rotary kiln very high</t>
  </si>
  <si>
    <t>ind.ref.dv.stl.scr.---</t>
  </si>
  <si>
    <t>ind.ref.dv.stl.bof.---</t>
  </si>
  <si>
    <t>ind.ref.dv.cmt.dry.---</t>
  </si>
  <si>
    <t>ind.ref.dv.frt.amc.---</t>
  </si>
  <si>
    <t>ind.ref.dv.frt.ure.---</t>
  </si>
  <si>
    <t>India listed</t>
  </si>
  <si>
    <t>ind.ref.dv.frt.nit.---</t>
  </si>
  <si>
    <t>India listed; proxy (limited production)</t>
  </si>
  <si>
    <t>ind.ref.dv.alu.prp.---</t>
  </si>
  <si>
    <t>CPAT Policy Dashboard — Version History</t>
  </si>
  <si>
    <t>v1.6</t>
  </si>
  <si>
    <t>Current version</t>
  </si>
  <si>
    <t>Version</t>
  </si>
  <si>
    <t>Date</t>
  </si>
  <si>
    <t>Changes</t>
  </si>
  <si>
    <t>Author</t>
  </si>
  <si>
    <t>v0.1</t>
  </si>
  <si>
    <t>2026-03</t>
  </si>
  <si>
    <t>Initial build: 5 countries × 8 entities × 12 years. Input data, calculations, dashboard sections 1–5, explainer.</t>
  </si>
  <si>
    <t>CPAT / Claude</t>
  </si>
  <si>
    <t>Superseded</t>
  </si>
  <si>
    <t>v0.2</t>
  </si>
  <si>
    <t>2026-05</t>
  </si>
  <si>
    <t>Added stl.oth and frt.otn entities. Pass 11 upgrades: ef_benchmarks sheet, ref_data sheet, fuel EF matrix, weighted EF, intensity decomposition. Double-division bug fix. Production-independent EF (ief) rows for zero-prd entities. Live formula rebuild (no hardcoded values). Named ranges added (CountrySelector, DetailYear, YearIdx, etc.).</t>
  </si>
  <si>
    <t>v1.0</t>
  </si>
  <si>
    <t>2026-05-21</t>
  </si>
  <si>
    <t>Version tracker tab added. Dashboard title updated to reference version cell. File renamed to CPAT_policy_dashboard naming convention. Named range 'Version' added. Upgrade from v0.x development series to stable v1.0.</t>
  </si>
  <si>
    <t>Current</t>
  </si>
  <si>
    <t>Version numbering: v0.x = development/prototype; v1.x = stable production; v2.x = major structural change. Increment minor version for each new shipping pass. Cell A3 holds the current version string — referenced by dashboard title and the Version named range.</t>
  </si>
  <si>
    <t>v1.3</t>
  </si>
  <si>
    <t>2026-06</t>
  </si>
  <si>
    <t>Merged EF workbook (Egypt_CBAM_EF_v1.2) into the CBAM dashboard as a single file. dashboard sheet renamed CBAM; EF matrix added as EF. Section divider tabs added (calc_ef, calc_cbam, references). Raw backends hidden. Numbers NOT yet reconciled; tools not yet cross-wired.</t>
  </si>
  <si>
    <t>v1.4</t>
  </si>
  <si>
    <t>Connected the CBAM model to the EF source data. EF_factors hand-off block exposes 5 scope intensities/product; CBAM input_data (Egypt) now references it (single source of truth). Egypt CBAM results now adopt the v1.1-corrected EFs. Tabs consolidated + colour-coded (blue=output, green=EF source, grey=engine); QA+Bibliography merged; egypt_facilities moved after volumes; divider tabs removed.</t>
  </si>
  <si>
    <t>v1.5</t>
  </si>
  <si>
    <t>Ammonia-embed fix: urea/AN now embed ammonia full S1+S2 (matches EF sheet). EF tabs consolidated 5-&gt;2: EF (matrix -&gt; sources -&gt; calculations/CBAM hand-off, vertical) and EF_data (volumes -&gt; facilities -&gt; QA). Hand-off references the matrix (no hardcoded EFs); CBAM links repointed to EF!.</t>
  </si>
  <si>
    <t>Corrected non-Egypt emission factors: ammonium-nitrate N2O 2.5 -&gt; 0.970 tCO2e/t (IPCC 2006 2B2 midpoint; 2.5 was above the IPCC ceiling) for Albania/Uzbekistan/Azerbaijan/India; aluminium PFC 0.7 -&gt; 0.80 (IAI 2023 global prebake average) for the same four. Egypt unchanged (sourced live from EF sheet: AN 0.97, Al 0.85). Material results: Uzbekistan &amp; India AN, India aluminium.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</si>
</sst>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0000"/>
    <numFmt numFmtId="168" formatCode="\+0.000;\-0.000;\-"/>
    <numFmt numFmtId="169" formatCode="0.000;[Red]\-0.000;0"/>
    <numFmt numFmtId="170" formatCode="0.0\x"/>
    <numFmt numFmtId="171" formatCode="#,##0;\(#,##0\);\-"/>
    <numFmt numFmtId="172" formatCode="#,##0.0"/>
    <numFmt numFmtId="173" formatCode="#,##0.000"/>
    <numFmt numFmtId="174" formatCode="#,##0.0000"/>
  </numFmts>
  <fonts count="53" x14ac:knownFonts="1">
    <font>
      <sz val="11"/>
      <color theme="1"/>
      <name val="Calibri"/>
      <family val="2"/>
      <charset val="1"/>
    </font>
    <font>
      <b/>
      <sz val="16"/>
      <color rgb="FF1F4E79"/>
      <name val="Arial"/>
      <family val="2"/>
      <charset val="1"/>
    </font>
    <font>
      <i/>
      <sz val="10"/>
      <color rgb="FF595959"/>
      <name val="Arial"/>
      <family val="2"/>
      <charset val="1"/>
    </font>
    <font>
      <b/>
      <sz val="11"/>
      <color rgb="FFFFFFFF"/>
      <name val="Arial"/>
      <family val="2"/>
      <charset val="1"/>
    </font>
    <font>
      <b/>
      <sz val="10"/>
      <name val="Arial"/>
      <family val="2"/>
      <charset val="1"/>
    </font>
    <font>
      <sz val="10"/>
      <name val="Arial"/>
      <family val="2"/>
      <charset val="1"/>
    </font>
    <font>
      <b/>
      <sz val="14"/>
      <color rgb="FF1F4E79"/>
      <name val="Arial"/>
      <family val="2"/>
      <charset val="1"/>
    </font>
    <font>
      <sz val="10"/>
      <color rgb="FFC65911"/>
      <name val="Arial"/>
      <family val="2"/>
      <charset val="1"/>
    </font>
    <font>
      <i/>
      <sz val="9"/>
      <color rgb="FF595959"/>
      <name val="Arial"/>
      <family val="2"/>
      <charset val="1"/>
    </font>
    <font>
      <sz val="10"/>
      <color rgb="FF008000"/>
      <name val="Arial"/>
      <family val="2"/>
      <charset val="1"/>
    </font>
    <font>
      <b/>
      <sz val="10"/>
      <color rgb="FFFFFFFF"/>
      <name val="Arial"/>
      <family val="2"/>
      <charset val="1"/>
    </font>
    <font>
      <b/>
      <sz val="8"/>
      <color rgb="FFFFFFFF"/>
      <name val="Arial"/>
      <family val="2"/>
      <charset val="1"/>
    </font>
    <font>
      <b/>
      <sz val="9"/>
      <color rgb="FFFFFFFF"/>
      <name val="Arial"/>
      <family val="2"/>
      <charset val="1"/>
    </font>
    <font>
      <sz val="9"/>
      <name val="Arial"/>
      <family val="2"/>
      <charset val="1"/>
    </font>
    <font>
      <b/>
      <sz val="9"/>
      <color rgb="FF1F4E79"/>
      <name val="Arial"/>
      <family val="2"/>
      <charset val="1"/>
    </font>
    <font>
      <i/>
      <sz val="8"/>
      <color rgb="FF595959"/>
      <name val="Arial"/>
      <family val="2"/>
      <charset val="1"/>
    </font>
    <font>
      <sz val="8"/>
      <color rgb="FF1F3864"/>
      <name val="Consolas"/>
      <family val="3"/>
      <charset val="1"/>
    </font>
    <font>
      <sz val="9"/>
      <color rgb="FF000000"/>
      <name val="Arial"/>
      <family val="2"/>
      <charset val="1"/>
    </font>
    <font>
      <sz val="9"/>
      <color rgb="FF008000"/>
      <name val="Arial"/>
      <family val="2"/>
      <charset val="1"/>
    </font>
    <font>
      <b/>
      <sz val="9"/>
      <name val="Arial"/>
      <family val="2"/>
      <charset val="1"/>
    </font>
    <font>
      <sz val="9"/>
      <color rgb="FF4B0082"/>
      <name val="Arial"/>
      <family val="2"/>
      <charset val="1"/>
    </font>
    <font>
      <sz val="9"/>
      <color rgb="FFC00000"/>
      <name val="Arial"/>
      <family val="2"/>
      <charset val="1"/>
    </font>
    <font>
      <b/>
      <sz val="9"/>
      <color rgb="FF000000"/>
      <name val="Arial"/>
      <family val="2"/>
      <charset val="1"/>
    </font>
    <font>
      <b/>
      <sz val="13"/>
      <color rgb="FF1F4E79"/>
      <name val="Arial"/>
      <family val="2"/>
      <charset val="1"/>
    </font>
    <font>
      <b/>
      <sz val="7"/>
      <color rgb="FFFFFFFF"/>
      <name val="Arial"/>
      <family val="2"/>
      <charset val="1"/>
    </font>
    <font>
      <b/>
      <sz val="8"/>
      <color rgb="FF1F4E79"/>
      <name val="Arial"/>
      <family val="2"/>
      <charset val="1"/>
    </font>
    <font>
      <b/>
      <sz val="10"/>
      <color rgb="FF000000"/>
      <name val="Arial"/>
      <family val="2"/>
      <charset val="1"/>
    </font>
    <font>
      <sz val="8"/>
      <color rgb="FF000000"/>
      <name val="Arial"/>
      <family val="2"/>
      <charset val="1"/>
    </font>
    <font>
      <sz val="9"/>
      <color rgb="FF0000FF"/>
      <name val="Arial"/>
      <family val="2"/>
      <charset val="1"/>
    </font>
    <font>
      <b/>
      <sz val="8"/>
      <color rgb="FFC00000"/>
      <name val="Arial"/>
      <family val="2"/>
      <charset val="1"/>
    </font>
    <font>
      <b/>
      <sz val="8"/>
      <color rgb="FF7B5800"/>
      <name val="Arial"/>
      <family val="2"/>
      <charset val="1"/>
    </font>
    <font>
      <b/>
      <sz val="8"/>
      <color rgb="FF375623"/>
      <name val="Arial"/>
      <family val="2"/>
      <charset val="1"/>
    </font>
    <font>
      <b/>
      <sz val="9"/>
      <color rgb="FF375623"/>
      <name val="Arial"/>
      <family val="2"/>
      <charset val="1"/>
    </font>
    <font>
      <i/>
      <sz val="8"/>
      <color rgb="FFC00000"/>
      <name val="Arial"/>
      <family val="2"/>
      <charset val="1"/>
    </font>
    <font>
      <b/>
      <sz val="11"/>
      <color rgb="FFFFFFFF"/>
      <name val="Arial"/>
      <family val="2"/>
    </font>
    <font>
      <b/>
      <sz val="12"/>
      <color rgb="FF1F4E79"/>
      <name val="Arial"/>
      <family val="2"/>
      <charset val="1"/>
    </font>
    <font>
      <sz val="11"/>
      <color rgb="FF006100"/>
      <name val="Calibri"/>
      <family val="2"/>
      <charset val="1"/>
    </font>
    <font>
      <sz val="11"/>
      <color rgb="FF9C5700"/>
      <name val="Calibri"/>
      <family val="2"/>
      <charset val="1"/>
    </font>
    <font>
      <i/>
      <sz val="8"/>
      <color rgb="FF595959"/>
      <name val="Cambria"/>
      <family val="1"/>
    </font>
    <font>
      <b/>
      <sz val="8"/>
      <color rgb="FFFFFFFF"/>
      <name val="Arial"/>
      <family val="2"/>
    </font>
    <font>
      <sz val="9"/>
      <name val="Arial"/>
      <family val="2"/>
    </font>
    <font>
      <sz val="8"/>
      <color rgb="FF1F3864"/>
      <name val="Consolas"/>
      <family val="3"/>
    </font>
    <font>
      <sz val="8"/>
      <color rgb="FF1F4E79"/>
      <name val="Consolas"/>
      <family val="3"/>
      <charset val="1"/>
    </font>
    <font>
      <sz val="8"/>
      <color theme="1"/>
      <name val="Calibri"/>
      <family val="2"/>
      <charset val="1"/>
    </font>
    <font>
      <sz val="8"/>
      <name val="Arial"/>
      <family val="2"/>
      <charset val="1"/>
    </font>
    <font>
      <b/>
      <sz val="8"/>
      <name val="Arial"/>
      <family val="2"/>
      <charset val="1"/>
    </font>
    <font>
      <sz val="9"/>
      <color rgb="FF1F3864"/>
      <name val="Arial"/>
      <family val="2"/>
      <charset val="1"/>
    </font>
    <font>
      <sz val="10"/>
      <color rgb="FF305496"/>
      <name val="Arial"/>
      <family val="2"/>
      <charset val="1"/>
    </font>
    <font>
      <i/>
      <sz val="8"/>
      <color rgb="FF1F4E79"/>
      <name val="Arial"/>
      <family val="2"/>
      <charset val="1"/>
    </font>
    <font>
      <b/>
      <sz val="11"/>
      <color rgb="FF1F4E79"/>
      <name val="Arial"/>
      <family val="2"/>
      <charset val="1"/>
    </font>
    <font>
      <sz val="9"/>
      <color rgb="FF0070C0"/>
      <name val="Arial"/>
      <family val="2"/>
      <charset val="1"/>
    </font>
    <font>
      <sz val="9"/>
      <color rgb="FF7030A0"/>
      <name val="Arial"/>
      <family val="2"/>
      <charset val="1"/>
    </font>
    <font>
      <b/>
      <sz val="22"/>
      <color rgb="FF1F4E79"/>
      <name val="Arial"/>
      <family val="2"/>
      <charset val="1"/>
    </font>
  </fonts>
  <fills count="42">
    <fill>
      <patternFill patternType="none"/>
    </fill>
    <fill>
      <patternFill patternType="gray125"/>
    </fill>
    <fill>
      <patternFill patternType="solid">
        <fgColor rgb="FF1F4E79"/>
        <bgColor rgb="FF1F497D"/>
      </patternFill>
    </fill>
    <fill>
      <patternFill patternType="solid">
        <fgColor rgb="FFFFF2CC"/>
        <bgColor rgb="FFFBF1DC"/>
      </patternFill>
    </fill>
    <fill>
      <patternFill patternType="solid">
        <fgColor rgb="FFFCE4D6"/>
        <bgColor rgb="FFFCE5CD"/>
      </patternFill>
    </fill>
    <fill>
      <patternFill patternType="solid">
        <fgColor rgb="FFE4DFEC"/>
        <bgColor rgb="FFDDDDDD"/>
      </patternFill>
    </fill>
    <fill>
      <patternFill patternType="solid">
        <fgColor rgb="FFDEEBF7"/>
        <bgColor rgb="FFDDEEFF"/>
      </patternFill>
    </fill>
    <fill>
      <patternFill patternType="solid">
        <fgColor rgb="FF305496"/>
        <bgColor rgb="FF1F4E79"/>
      </patternFill>
    </fill>
    <fill>
      <patternFill patternType="solid">
        <fgColor rgb="FFE2EFDA"/>
        <bgColor rgb="FFE9F2E2"/>
      </patternFill>
    </fill>
    <fill>
      <patternFill patternType="solid">
        <fgColor rgb="FFFFE4E1"/>
        <bgColor rgb="FFFFE6E6"/>
      </patternFill>
    </fill>
    <fill>
      <patternFill patternType="solid">
        <fgColor rgb="FFBDD7EE"/>
        <bgColor rgb="FFCCCCCC"/>
      </patternFill>
    </fill>
    <fill>
      <patternFill patternType="solid">
        <fgColor rgb="FFF2F2F2"/>
        <bgColor rgb="FFF0F4FF"/>
      </patternFill>
    </fill>
    <fill>
      <patternFill patternType="solid">
        <fgColor rgb="FFFCE5CD"/>
        <bgColor rgb="FFFCE4D6"/>
      </patternFill>
    </fill>
    <fill>
      <patternFill patternType="solid">
        <fgColor rgb="FFEDE7F6"/>
        <bgColor rgb="FFEDEAF4"/>
      </patternFill>
    </fill>
    <fill>
      <patternFill patternType="solid">
        <fgColor rgb="FFD9EAD3"/>
        <bgColor rgb="FFE2EFDA"/>
      </patternFill>
    </fill>
    <fill>
      <patternFill patternType="solid">
        <fgColor rgb="FFFFFFFF"/>
        <bgColor rgb="FFF0F4FF"/>
      </patternFill>
    </fill>
    <fill>
      <patternFill patternType="mediumGray">
        <fgColor rgb="FF2E75B6"/>
        <bgColor rgb="FF1A75B9"/>
      </patternFill>
    </fill>
    <fill>
      <patternFill patternType="solid">
        <fgColor rgb="FF005073"/>
        <bgColor rgb="FF1F4E79"/>
      </patternFill>
    </fill>
    <fill>
      <patternFill patternType="solid">
        <fgColor rgb="FF7B3F00"/>
        <bgColor rgb="FF7B5800"/>
      </patternFill>
    </fill>
    <fill>
      <patternFill patternType="solid">
        <fgColor rgb="FF1F497D"/>
        <bgColor rgb="FF1F4E79"/>
      </patternFill>
    </fill>
    <fill>
      <patternFill patternType="solid">
        <fgColor rgb="FF4B0082"/>
        <bgColor rgb="FF7030A0"/>
      </patternFill>
    </fill>
    <fill>
      <patternFill patternType="solid">
        <fgColor rgb="FF5B525F"/>
        <bgColor rgb="FF595959"/>
      </patternFill>
    </fill>
    <fill>
      <patternFill patternType="solid">
        <fgColor rgb="FF9C6500"/>
        <bgColor rgb="FF9C5700"/>
      </patternFill>
    </fill>
    <fill>
      <patternFill patternType="solid">
        <fgColor rgb="FFDCE6F1"/>
        <bgColor rgb="FFD9E1F2"/>
      </patternFill>
    </fill>
    <fill>
      <patternFill patternType="solid">
        <fgColor rgb="FFDDEEFF"/>
        <bgColor rgb="FFDEEBF7"/>
      </patternFill>
    </fill>
    <fill>
      <patternFill patternType="solid">
        <fgColor rgb="FFFFE699"/>
        <bgColor rgb="FFFFEB9C"/>
      </patternFill>
    </fill>
    <fill>
      <patternFill patternType="solid">
        <fgColor rgb="FFFBF1DC"/>
        <bgColor rgb="FFFBF6E0"/>
      </patternFill>
    </fill>
    <fill>
      <patternFill patternType="solid">
        <fgColor rgb="FFD9E1F2"/>
        <bgColor rgb="FFDCE6F1"/>
      </patternFill>
    </fill>
    <fill>
      <patternFill patternType="solid">
        <fgColor rgb="FFE8EEF6"/>
        <bgColor rgb="FFE6F0F0"/>
      </patternFill>
    </fill>
    <fill>
      <patternFill patternType="solid">
        <fgColor rgb="FFE9F2E2"/>
        <bgColor rgb="FFE6F0F0"/>
      </patternFill>
    </fill>
    <fill>
      <patternFill patternType="solid">
        <fgColor rgb="FFFFFACD"/>
        <bgColor rgb="FFFFF2CC"/>
      </patternFill>
    </fill>
    <fill>
      <patternFill patternType="solid">
        <fgColor rgb="FFFFF0B3"/>
        <bgColor rgb="FFFFF2CC"/>
      </patternFill>
    </fill>
    <fill>
      <patternFill patternType="solid">
        <fgColor rgb="FFFBF6E0"/>
        <bgColor rgb="FFFBF1DC"/>
      </patternFill>
    </fill>
    <fill>
      <patternFill patternType="solid">
        <fgColor rgb="FFF2DCDB"/>
        <bgColor rgb="FFFCE4D6"/>
      </patternFill>
    </fill>
    <fill>
      <patternFill patternType="solid">
        <fgColor rgb="FFF6E8E7"/>
        <bgColor rgb="FFFFE6E6"/>
      </patternFill>
    </fill>
    <fill>
      <patternFill patternType="solid">
        <fgColor rgb="FFE6F0F0"/>
        <bgColor rgb="FFE8EEF6"/>
      </patternFill>
    </fill>
    <fill>
      <patternFill patternType="solid">
        <fgColor rgb="FFEDEAF4"/>
        <bgColor rgb="FFEDE7F6"/>
      </patternFill>
    </fill>
    <fill>
      <patternFill patternType="solid">
        <fgColor rgb="FF375623"/>
        <bgColor rgb="FF595959"/>
      </patternFill>
    </fill>
    <fill>
      <patternFill patternType="solid">
        <fgColor rgb="FFC6EFCE"/>
        <bgColor rgb="FFD9EAD3"/>
      </patternFill>
    </fill>
    <fill>
      <patternFill patternType="solid">
        <fgColor rgb="FFFFEB9C"/>
        <bgColor rgb="FFFFE699"/>
      </patternFill>
    </fill>
    <fill>
      <patternFill patternType="solid">
        <fgColor rgb="FFFFE6E6"/>
        <bgColor rgb="FFFFE4E1"/>
      </patternFill>
    </fill>
    <fill>
      <patternFill patternType="solid">
        <fgColor rgb="FFF0F4FF"/>
        <bgColor rgb="FFF2F2F2"/>
      </patternFill>
    </fill>
  </fills>
  <borders count="10">
    <border>
      <left/>
      <right/>
      <top/>
      <bottom/>
      <diagonal/>
    </border>
    <border>
      <left style="thin">
        <color rgb="FFC0C0C0"/>
      </left>
      <right style="thin">
        <color rgb="FFC0C0C0"/>
      </right>
      <top style="thin">
        <color rgb="FFC0C0C0"/>
      </top>
      <bottom style="thin">
        <color rgb="FFC0C0C0"/>
      </bottom>
      <diagonal/>
    </border>
    <border>
      <left style="thin">
        <color rgb="FFCCCCCC"/>
      </left>
      <right/>
      <top/>
      <bottom/>
      <diagonal/>
    </border>
    <border>
      <left style="thin">
        <color rgb="FFCCCCCC"/>
      </left>
      <right style="thin">
        <color rgb="FFCCCCCC"/>
      </right>
      <top style="thin">
        <color rgb="FFCCCCCC"/>
      </top>
      <bottom style="thin">
        <color rgb="FFCCCCCC"/>
      </bottom>
      <diagonal/>
    </border>
    <border>
      <left style="thin">
        <color rgb="FFC0C0C0"/>
      </left>
      <right/>
      <top/>
      <bottom/>
      <diagonal/>
    </border>
    <border>
      <left style="thin">
        <color rgb="FFC0C0C0"/>
      </left>
      <right/>
      <top/>
      <bottom style="thin">
        <color rgb="FFC0C0C0"/>
      </bottom>
      <diagonal/>
    </border>
    <border>
      <left style="thin">
        <color rgb="FFC0C0C0"/>
      </left>
      <right/>
      <top style="thin">
        <color rgb="FFC0C0C0"/>
      </top>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59">
    <xf numFmtId="0" fontId="0" fillId="0" borderId="0" xfId="0"/>
    <xf numFmtId="0" fontId="12" fillId="19"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5" fillId="11" borderId="0" xfId="0" applyFont="1" applyFill="1" applyAlignment="1">
      <alignment horizontal="left" vertical="top" wrapText="1"/>
    </xf>
    <xf numFmtId="0" fontId="23" fillId="15" borderId="0" xfId="0" applyFont="1" applyFill="1" applyAlignment="1">
      <alignment horizontal="left" vertical="center"/>
    </xf>
    <xf numFmtId="0" fontId="15" fillId="0" borderId="0" xfId="0" applyFont="1" applyAlignment="1">
      <alignment horizontal="left" vertical="top" wrapText="1"/>
    </xf>
    <xf numFmtId="0" fontId="14" fillId="10"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3" fillId="2" borderId="0" xfId="0" applyFont="1" applyFill="1" applyAlignment="1">
      <alignment horizontal="left" wrapText="1"/>
    </xf>
    <xf numFmtId="0" fontId="6" fillId="0" borderId="0" xfId="0" applyFont="1" applyAlignment="1">
      <alignment horizontal="left" vertical="center" wrapText="1"/>
    </xf>
    <xf numFmtId="0" fontId="3" fillId="2" borderId="0" xfId="0" applyFont="1" applyFill="1" applyAlignment="1">
      <alignment horizontal="left" vertical="center"/>
    </xf>
    <xf numFmtId="0" fontId="2" fillId="0" borderId="0" xfId="0" applyFont="1"/>
    <xf numFmtId="0" fontId="1" fillId="0" borderId="0" xfId="0" applyFont="1"/>
    <xf numFmtId="0" fontId="2"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4" fillId="0" borderId="1" xfId="0" applyFont="1" applyBorder="1" applyAlignment="1">
      <alignment wrapText="1"/>
    </xf>
    <xf numFmtId="0" fontId="7" fillId="3" borderId="1" xfId="0" applyFont="1" applyFill="1" applyBorder="1" applyAlignment="1">
      <alignment horizontal="center" vertical="center" wrapText="1"/>
    </xf>
    <xf numFmtId="0" fontId="8" fillId="0" borderId="0" xfId="0" applyFont="1" applyAlignment="1">
      <alignment horizontal="center" vertical="center" wrapText="1"/>
    </xf>
    <xf numFmtId="0" fontId="8" fillId="0" borderId="0" xfId="0" applyFont="1"/>
    <xf numFmtId="0" fontId="9" fillId="0" borderId="0" xfId="0" applyFont="1" applyAlignment="1">
      <alignment wrapText="1"/>
    </xf>
    <xf numFmtId="0" fontId="4" fillId="4" borderId="0" xfId="0" applyFont="1" applyFill="1" applyAlignment="1">
      <alignment wrapText="1"/>
    </xf>
    <xf numFmtId="0" fontId="5" fillId="0" borderId="1" xfId="0" applyFont="1" applyBorder="1" applyAlignment="1">
      <alignment wrapText="1"/>
    </xf>
    <xf numFmtId="1" fontId="7" fillId="3"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1" fontId="7" fillId="3" borderId="1" xfId="0" applyNumberFormat="1" applyFont="1" applyFill="1" applyBorder="1" applyAlignment="1">
      <alignment horizontal="center" vertical="center"/>
    </xf>
    <xf numFmtId="1" fontId="9" fillId="6" borderId="1" xfId="0" applyNumberFormat="1" applyFont="1" applyFill="1" applyBorder="1" applyAlignment="1">
      <alignment horizontal="center" vertical="center" wrapText="1"/>
    </xf>
    <xf numFmtId="1" fontId="9" fillId="6" borderId="1" xfId="0" applyNumberFormat="1" applyFont="1" applyFill="1" applyBorder="1" applyAlignment="1">
      <alignment horizontal="center" vertical="center"/>
    </xf>
    <xf numFmtId="0" fontId="4" fillId="4" borderId="1" xfId="0" applyFont="1" applyFill="1" applyBorder="1" applyAlignment="1">
      <alignment wrapText="1"/>
    </xf>
    <xf numFmtId="0" fontId="10" fillId="7" borderId="1" xfId="0" applyFont="1" applyFill="1" applyBorder="1" applyAlignment="1">
      <alignment horizontal="center" vertical="center" wrapText="1"/>
    </xf>
    <xf numFmtId="0" fontId="0" fillId="7" borderId="1" xfId="0" applyFill="1" applyBorder="1"/>
    <xf numFmtId="0" fontId="10" fillId="7" borderId="1" xfId="0" applyFont="1" applyFill="1" applyBorder="1" applyAlignment="1">
      <alignment horizontal="center" vertical="center"/>
    </xf>
    <xf numFmtId="0" fontId="8" fillId="0" borderId="1" xfId="0" applyFont="1" applyBorder="1" applyAlignment="1">
      <alignment wrapText="1"/>
    </xf>
    <xf numFmtId="0" fontId="0" fillId="0" borderId="1" xfId="0" applyBorder="1"/>
    <xf numFmtId="3" fontId="9" fillId="8" borderId="1" xfId="0" applyNumberFormat="1" applyFont="1" applyFill="1" applyBorder="1" applyAlignment="1">
      <alignment horizontal="right" vertical="center"/>
    </xf>
    <xf numFmtId="3" fontId="9" fillId="8" borderId="1" xfId="0" applyNumberFormat="1" applyFont="1" applyFill="1" applyBorder="1" applyAlignment="1">
      <alignment horizontal="right" vertical="center" wrapText="1"/>
    </xf>
    <xf numFmtId="164" fontId="9" fillId="8" borderId="1" xfId="0" applyNumberFormat="1" applyFont="1" applyFill="1" applyBorder="1" applyAlignment="1">
      <alignment horizontal="right" vertical="center"/>
    </xf>
    <xf numFmtId="164" fontId="9" fillId="8" borderId="1" xfId="0" applyNumberFormat="1" applyFont="1" applyFill="1" applyBorder="1" applyAlignment="1">
      <alignment horizontal="right" vertical="center" wrapText="1"/>
    </xf>
    <xf numFmtId="4" fontId="9" fillId="4" borderId="1" xfId="0" applyNumberFormat="1" applyFont="1" applyFill="1" applyBorder="1" applyAlignment="1">
      <alignment horizontal="right" vertical="center"/>
    </xf>
    <xf numFmtId="4" fontId="9" fillId="4" borderId="1" xfId="0" applyNumberFormat="1" applyFont="1" applyFill="1" applyBorder="1" applyAlignment="1">
      <alignment horizontal="right" vertical="center" wrapText="1"/>
    </xf>
    <xf numFmtId="0" fontId="0" fillId="0" borderId="0" xfId="0" applyAlignment="1">
      <alignment wrapText="1"/>
    </xf>
    <xf numFmtId="3" fontId="7" fillId="3" borderId="1" xfId="0" applyNumberFormat="1" applyFont="1" applyFill="1" applyBorder="1" applyAlignment="1">
      <alignment horizontal="right" vertical="center"/>
    </xf>
    <xf numFmtId="3" fontId="7" fillId="3" borderId="1" xfId="0" applyNumberFormat="1" applyFont="1" applyFill="1" applyBorder="1" applyAlignment="1">
      <alignment horizontal="right" vertical="center" wrapText="1"/>
    </xf>
    <xf numFmtId="0" fontId="10" fillId="7" borderId="1" xfId="0" applyFont="1" applyFill="1" applyBorder="1" applyAlignment="1">
      <alignment wrapText="1"/>
    </xf>
    <xf numFmtId="3" fontId="9" fillId="0" borderId="1" xfId="0" applyNumberFormat="1" applyFont="1" applyBorder="1" applyAlignment="1">
      <alignment horizontal="right" vertical="center"/>
    </xf>
    <xf numFmtId="3" fontId="9" fillId="0" borderId="1" xfId="0" applyNumberFormat="1" applyFont="1" applyBorder="1" applyAlignment="1">
      <alignment horizontal="right" vertical="center" wrapText="1"/>
    </xf>
    <xf numFmtId="0" fontId="8" fillId="4" borderId="1" xfId="0" applyFont="1" applyFill="1" applyBorder="1" applyAlignment="1">
      <alignment wrapText="1"/>
    </xf>
    <xf numFmtId="0" fontId="0" fillId="4" borderId="1" xfId="0" applyFill="1" applyBorder="1"/>
    <xf numFmtId="3" fontId="9" fillId="4" borderId="1" xfId="0" applyNumberFormat="1" applyFont="1" applyFill="1" applyBorder="1" applyAlignment="1">
      <alignment horizontal="right" vertical="center"/>
    </xf>
    <xf numFmtId="3" fontId="9" fillId="4" borderId="1" xfId="0" applyNumberFormat="1" applyFont="1" applyFill="1" applyBorder="1" applyAlignment="1">
      <alignment horizontal="right" vertical="center" wrapText="1"/>
    </xf>
    <xf numFmtId="0" fontId="5" fillId="4" borderId="1" xfId="0" applyFont="1" applyFill="1" applyBorder="1" applyAlignment="1">
      <alignment wrapText="1"/>
    </xf>
    <xf numFmtId="0" fontId="4" fillId="8" borderId="1" xfId="0" applyFont="1" applyFill="1" applyBorder="1" applyAlignment="1">
      <alignment wrapText="1"/>
    </xf>
    <xf numFmtId="0" fontId="8" fillId="8" borderId="1" xfId="0" applyFont="1" applyFill="1" applyBorder="1" applyAlignment="1">
      <alignment wrapText="1"/>
    </xf>
    <xf numFmtId="0" fontId="0" fillId="8" borderId="1" xfId="0" applyFill="1" applyBorder="1"/>
    <xf numFmtId="0" fontId="4" fillId="6" borderId="1" xfId="0" applyFont="1" applyFill="1" applyBorder="1" applyAlignment="1">
      <alignment wrapText="1"/>
    </xf>
    <xf numFmtId="0" fontId="8" fillId="6" borderId="1" xfId="0" applyFont="1" applyFill="1" applyBorder="1" applyAlignment="1">
      <alignment wrapText="1"/>
    </xf>
    <xf numFmtId="0" fontId="0" fillId="6" borderId="1" xfId="0" applyFill="1" applyBorder="1"/>
    <xf numFmtId="3" fontId="9" fillId="6" borderId="1" xfId="0" applyNumberFormat="1" applyFont="1" applyFill="1" applyBorder="1" applyAlignment="1">
      <alignment horizontal="right" vertical="center"/>
    </xf>
    <xf numFmtId="3" fontId="9" fillId="6" borderId="1" xfId="0" applyNumberFormat="1" applyFont="1" applyFill="1" applyBorder="1" applyAlignment="1">
      <alignment horizontal="right" vertical="center" wrapText="1"/>
    </xf>
    <xf numFmtId="0" fontId="11" fillId="7"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3" fontId="9" fillId="9" borderId="1" xfId="0" applyNumberFormat="1" applyFont="1" applyFill="1" applyBorder="1" applyAlignment="1">
      <alignment horizontal="right" vertical="center" wrapText="1"/>
    </xf>
    <xf numFmtId="4" fontId="9" fillId="9" borderId="1" xfId="0" applyNumberFormat="1" applyFont="1" applyFill="1" applyBorder="1" applyAlignment="1">
      <alignment horizontal="right" vertical="center" wrapText="1"/>
    </xf>
    <xf numFmtId="4" fontId="9" fillId="9" borderId="1" xfId="0" applyNumberFormat="1" applyFont="1" applyFill="1" applyBorder="1" applyAlignment="1">
      <alignment horizontal="right" vertical="center"/>
    </xf>
    <xf numFmtId="0" fontId="8" fillId="0" borderId="0" xfId="0" applyFont="1" applyAlignment="1">
      <alignment horizontal="left" vertical="top"/>
    </xf>
    <xf numFmtId="0" fontId="13" fillId="0" borderId="0" xfId="0" applyFont="1"/>
    <xf numFmtId="0" fontId="14" fillId="10" borderId="3" xfId="0" applyFont="1" applyFill="1" applyBorder="1" applyAlignment="1">
      <alignment horizontal="left" vertical="center" wrapText="1"/>
    </xf>
    <xf numFmtId="0" fontId="0" fillId="0" borderId="0" xfId="0" applyAlignment="1">
      <alignment horizontal="left"/>
    </xf>
    <xf numFmtId="0" fontId="15" fillId="0" borderId="0" xfId="0" applyFont="1" applyAlignment="1">
      <alignment horizontal="left" vertical="top" wrapText="1"/>
    </xf>
    <xf numFmtId="0" fontId="11" fillId="7" borderId="3" xfId="0" applyFont="1" applyFill="1" applyBorder="1" applyAlignment="1">
      <alignment horizontal="left" vertical="center" wrapText="1"/>
    </xf>
    <xf numFmtId="0" fontId="11" fillId="7" borderId="3" xfId="0" applyFont="1" applyFill="1" applyBorder="1" applyAlignment="1">
      <alignment horizontal="left" vertical="center"/>
    </xf>
    <xf numFmtId="0" fontId="13" fillId="0" borderId="0" xfId="0" applyFont="1" applyAlignment="1">
      <alignment horizontal="left"/>
    </xf>
    <xf numFmtId="0" fontId="16" fillId="0" borderId="3" xfId="0" applyFont="1" applyBorder="1" applyAlignment="1">
      <alignment horizontal="left" vertical="center" wrapText="1"/>
    </xf>
    <xf numFmtId="0" fontId="17" fillId="0" borderId="3" xfId="0" applyFont="1" applyBorder="1" applyAlignment="1">
      <alignment horizontal="left" vertical="center" wrapText="1"/>
    </xf>
    <xf numFmtId="165" fontId="18" fillId="8" borderId="1" xfId="0" applyNumberFormat="1" applyFont="1" applyFill="1" applyBorder="1" applyAlignment="1">
      <alignment horizontal="left" vertical="center" wrapText="1"/>
    </xf>
    <xf numFmtId="0" fontId="15" fillId="0" borderId="3" xfId="0" applyFont="1" applyBorder="1" applyAlignment="1">
      <alignment horizontal="left" vertical="top"/>
    </xf>
    <xf numFmtId="0" fontId="16" fillId="11" borderId="3" xfId="0" applyFont="1" applyFill="1" applyBorder="1" applyAlignment="1">
      <alignment horizontal="left" vertical="center" wrapText="1"/>
    </xf>
    <xf numFmtId="0" fontId="17" fillId="11" borderId="3" xfId="0" applyFont="1" applyFill="1" applyBorder="1" applyAlignment="1">
      <alignment horizontal="left" vertical="center" wrapText="1"/>
    </xf>
    <xf numFmtId="165" fontId="18" fillId="8" borderId="1" xfId="0" applyNumberFormat="1" applyFont="1" applyFill="1" applyBorder="1" applyAlignment="1">
      <alignment horizontal="left" vertical="center"/>
    </xf>
    <xf numFmtId="166" fontId="18" fillId="8" borderId="1" xfId="0" applyNumberFormat="1" applyFont="1" applyFill="1" applyBorder="1" applyAlignment="1">
      <alignment horizontal="left" vertical="center" wrapText="1"/>
    </xf>
    <xf numFmtId="0" fontId="15" fillId="0" borderId="3" xfId="0" applyFont="1" applyBorder="1" applyAlignment="1">
      <alignment horizontal="left" vertical="top" wrapText="1"/>
    </xf>
    <xf numFmtId="0" fontId="15" fillId="0" borderId="0" xfId="0" applyFont="1" applyAlignment="1">
      <alignment horizontal="left" vertical="top"/>
    </xf>
    <xf numFmtId="0" fontId="11" fillId="7" borderId="3" xfId="0" applyFont="1" applyFill="1" applyBorder="1" applyAlignment="1">
      <alignment horizontal="center" vertical="center" wrapText="1"/>
    </xf>
    <xf numFmtId="0" fontId="16" fillId="0" borderId="1" xfId="0" applyFont="1" applyBorder="1" applyAlignment="1">
      <alignment horizontal="left" vertical="center" wrapText="1"/>
    </xf>
    <xf numFmtId="0" fontId="17" fillId="0" borderId="3" xfId="0" applyFont="1" applyBorder="1" applyAlignment="1">
      <alignment horizontal="center" vertical="center" wrapText="1"/>
    </xf>
    <xf numFmtId="167" fontId="18" fillId="8" borderId="1" xfId="0" applyNumberFormat="1" applyFont="1" applyFill="1" applyBorder="1" applyAlignment="1">
      <alignment horizontal="center" vertical="center"/>
    </xf>
    <xf numFmtId="167" fontId="18" fillId="8" borderId="1" xfId="0" applyNumberFormat="1" applyFont="1" applyFill="1" applyBorder="1" applyAlignment="1">
      <alignment horizontal="center" vertical="center" wrapText="1"/>
    </xf>
    <xf numFmtId="0" fontId="19" fillId="12" borderId="1" xfId="0" applyFont="1" applyFill="1" applyBorder="1" applyAlignment="1">
      <alignment horizontal="center" vertical="center" wrapText="1"/>
    </xf>
    <xf numFmtId="166" fontId="20" fillId="13" borderId="1" xfId="0" applyNumberFormat="1" applyFont="1" applyFill="1" applyBorder="1" applyAlignment="1">
      <alignment horizontal="center" vertical="center" wrapText="1"/>
    </xf>
    <xf numFmtId="166" fontId="13" fillId="0" borderId="1" xfId="0" applyNumberFormat="1" applyFont="1" applyBorder="1" applyAlignment="1">
      <alignment horizontal="center" vertical="center" wrapText="1"/>
    </xf>
    <xf numFmtId="0" fontId="16" fillId="11" borderId="1" xfId="0" applyFont="1" applyFill="1" applyBorder="1" applyAlignment="1">
      <alignment horizontal="left" vertical="center" wrapText="1"/>
    </xf>
    <xf numFmtId="0" fontId="17" fillId="11" borderId="3" xfId="0" applyFont="1" applyFill="1" applyBorder="1" applyAlignment="1">
      <alignment horizontal="center" vertical="center" wrapText="1"/>
    </xf>
    <xf numFmtId="0" fontId="19" fillId="14" borderId="1" xfId="0" applyFont="1" applyFill="1" applyBorder="1" applyAlignment="1">
      <alignment horizontal="center" vertical="center" wrapText="1"/>
    </xf>
    <xf numFmtId="167" fontId="20" fillId="13"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wrapText="1"/>
    </xf>
    <xf numFmtId="0" fontId="15" fillId="11" borderId="1" xfId="0" applyFont="1" applyFill="1" applyBorder="1" applyAlignment="1">
      <alignment horizontal="center" vertical="center"/>
    </xf>
    <xf numFmtId="0" fontId="15" fillId="11" borderId="1" xfId="0" applyFont="1" applyFill="1" applyBorder="1" applyAlignment="1">
      <alignment horizontal="center" vertical="center" wrapText="1"/>
    </xf>
    <xf numFmtId="2" fontId="15" fillId="3" borderId="1" xfId="0" applyNumberFormat="1" applyFont="1" applyFill="1" applyBorder="1" applyAlignment="1">
      <alignment horizontal="center" vertical="center" wrapText="1"/>
    </xf>
    <xf numFmtId="0" fontId="21" fillId="0" borderId="3" xfId="0" applyFont="1" applyBorder="1" applyAlignment="1">
      <alignment horizontal="left" vertical="top" wrapText="1"/>
    </xf>
    <xf numFmtId="0" fontId="13" fillId="0" borderId="1" xfId="0" applyFont="1" applyBorder="1" applyAlignment="1">
      <alignment horizontal="left" vertical="center" wrapText="1"/>
    </xf>
    <xf numFmtId="166" fontId="18" fillId="8" borderId="1" xfId="0" applyNumberFormat="1" applyFont="1" applyFill="1" applyBorder="1" applyAlignment="1">
      <alignment horizontal="center" vertical="center" wrapText="1"/>
    </xf>
    <xf numFmtId="0" fontId="15" fillId="0" borderId="1" xfId="0" applyFont="1" applyBorder="1" applyAlignment="1">
      <alignment horizontal="left" vertical="center" wrapText="1"/>
    </xf>
    <xf numFmtId="0" fontId="13" fillId="11"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15" fillId="0" borderId="3" xfId="0" applyFont="1" applyBorder="1" applyAlignment="1">
      <alignment horizontal="left" vertical="center" wrapText="1"/>
    </xf>
    <xf numFmtId="166" fontId="20" fillId="13" borderId="1" xfId="0" applyNumberFormat="1" applyFont="1" applyFill="1" applyBorder="1" applyAlignment="1">
      <alignment horizontal="center" vertical="center"/>
    </xf>
    <xf numFmtId="0" fontId="22" fillId="12" borderId="3" xfId="0" applyFont="1" applyFill="1" applyBorder="1" applyAlignment="1">
      <alignment horizontal="center" vertical="center" wrapText="1"/>
    </xf>
    <xf numFmtId="0" fontId="15" fillId="11" borderId="3" xfId="0" applyFont="1" applyFill="1" applyBorder="1" applyAlignment="1">
      <alignment horizontal="left" vertical="center" wrapText="1"/>
    </xf>
    <xf numFmtId="0" fontId="22" fillId="14" borderId="3"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24" fillId="17"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24" fillId="19" borderId="1" xfId="0" applyFont="1" applyFill="1" applyBorder="1" applyAlignment="1">
      <alignment horizontal="center" vertical="center" wrapText="1"/>
    </xf>
    <xf numFmtId="0" fontId="24" fillId="20" borderId="1" xfId="0" applyFont="1" applyFill="1" applyBorder="1" applyAlignment="1">
      <alignment horizontal="center" vertical="center" wrapText="1"/>
    </xf>
    <xf numFmtId="0" fontId="24" fillId="21" borderId="1" xfId="0" applyFont="1" applyFill="1" applyBorder="1" applyAlignment="1">
      <alignment horizontal="center" vertical="center" wrapText="1"/>
    </xf>
    <xf numFmtId="0" fontId="24" fillId="22" borderId="1" xfId="0" applyFont="1" applyFill="1" applyBorder="1" applyAlignment="1">
      <alignment horizontal="center" vertical="center" wrapText="1"/>
    </xf>
    <xf numFmtId="0" fontId="25" fillId="23" borderId="1" xfId="0" applyFont="1" applyFill="1" applyBorder="1" applyAlignment="1">
      <alignment horizontal="center" vertical="center" wrapText="1"/>
    </xf>
    <xf numFmtId="0" fontId="17" fillId="23" borderId="1" xfId="0" applyFont="1" applyFill="1" applyBorder="1" applyAlignment="1">
      <alignment horizontal="center" vertical="center" wrapText="1"/>
    </xf>
    <xf numFmtId="0" fontId="26" fillId="23" borderId="1" xfId="0" applyFont="1" applyFill="1" applyBorder="1" applyAlignment="1">
      <alignment horizontal="left" vertical="center" wrapText="1"/>
    </xf>
    <xf numFmtId="0" fontId="16" fillId="23" borderId="1" xfId="0" applyFont="1" applyFill="1" applyBorder="1" applyAlignment="1">
      <alignment horizontal="left" vertical="top" wrapText="1"/>
    </xf>
    <xf numFmtId="0" fontId="27" fillId="23" borderId="1" xfId="0" applyFont="1" applyFill="1" applyBorder="1" applyAlignment="1">
      <alignment horizontal="left" vertical="center" wrapText="1"/>
    </xf>
    <xf numFmtId="166" fontId="17" fillId="10" borderId="1" xfId="0" applyNumberFormat="1" applyFont="1" applyFill="1" applyBorder="1" applyAlignment="1">
      <alignment horizontal="center" vertical="center" wrapText="1"/>
    </xf>
    <xf numFmtId="166" fontId="28" fillId="8" borderId="1" xfId="0" applyNumberFormat="1" applyFont="1" applyFill="1" applyBorder="1" applyAlignment="1">
      <alignment horizontal="center" vertical="center" wrapText="1"/>
    </xf>
    <xf numFmtId="166" fontId="28" fillId="3" borderId="1" xfId="0" applyNumberFormat="1" applyFont="1" applyFill="1" applyBorder="1" applyAlignment="1">
      <alignment horizontal="center" vertical="center" wrapText="1"/>
    </xf>
    <xf numFmtId="166" fontId="28" fillId="13" borderId="1" xfId="0" applyNumberFormat="1" applyFont="1" applyFill="1" applyBorder="1" applyAlignment="1">
      <alignment horizontal="center" vertical="center" wrapText="1"/>
    </xf>
    <xf numFmtId="0" fontId="29" fillId="24" borderId="1" xfId="0" applyFont="1" applyFill="1" applyBorder="1" applyAlignment="1">
      <alignment horizontal="center" vertical="center" wrapText="1"/>
    </xf>
    <xf numFmtId="166" fontId="17" fillId="8" borderId="1" xfId="0" applyNumberFormat="1" applyFont="1" applyFill="1" applyBorder="1" applyAlignment="1">
      <alignment horizontal="center" vertical="center" wrapText="1"/>
    </xf>
    <xf numFmtId="166" fontId="22" fillId="8" borderId="1" xfId="0" applyNumberFormat="1" applyFont="1" applyFill="1" applyBorder="1" applyAlignment="1">
      <alignment horizontal="center" vertical="center" wrapText="1"/>
    </xf>
    <xf numFmtId="165" fontId="28" fillId="24" borderId="1" xfId="0" applyNumberFormat="1" applyFont="1" applyFill="1" applyBorder="1" applyAlignment="1">
      <alignment horizontal="center" vertical="center" wrapText="1"/>
    </xf>
    <xf numFmtId="9" fontId="28" fillId="13" borderId="1" xfId="0" applyNumberFormat="1" applyFont="1" applyFill="1" applyBorder="1" applyAlignment="1">
      <alignment horizontal="center" vertical="center" wrapText="1"/>
    </xf>
    <xf numFmtId="166" fontId="17" fillId="13" borderId="1" xfId="0" applyNumberFormat="1" applyFont="1" applyFill="1" applyBorder="1" applyAlignment="1">
      <alignment horizontal="center" vertical="center" wrapText="1"/>
    </xf>
    <xf numFmtId="168" fontId="17" fillId="13" borderId="1" xfId="0" applyNumberFormat="1" applyFont="1" applyFill="1" applyBorder="1" applyAlignment="1">
      <alignment horizontal="center" vertical="center" wrapText="1"/>
    </xf>
    <xf numFmtId="0" fontId="27" fillId="13" borderId="1" xfId="0" applyFont="1" applyFill="1" applyBorder="1" applyAlignment="1">
      <alignment horizontal="left" vertical="top" wrapText="1"/>
    </xf>
    <xf numFmtId="0" fontId="30" fillId="11" borderId="1" xfId="0" applyFont="1" applyFill="1" applyBorder="1" applyAlignment="1">
      <alignment horizontal="left" vertical="top" wrapText="1"/>
    </xf>
    <xf numFmtId="0" fontId="31" fillId="11" borderId="1" xfId="0" applyFont="1" applyFill="1" applyBorder="1" applyAlignment="1">
      <alignment horizontal="left" vertical="top" wrapText="1"/>
    </xf>
    <xf numFmtId="3" fontId="28" fillId="25" borderId="1" xfId="0" applyNumberFormat="1" applyFont="1" applyFill="1" applyBorder="1" applyAlignment="1">
      <alignment horizontal="center" vertical="center" wrapText="1"/>
    </xf>
    <xf numFmtId="164" fontId="28" fillId="25" borderId="1" xfId="0" applyNumberFormat="1" applyFont="1" applyFill="1" applyBorder="1" applyAlignment="1">
      <alignment horizontal="center" vertical="center" wrapText="1"/>
    </xf>
    <xf numFmtId="3" fontId="17" fillId="15" borderId="1" xfId="0" applyNumberFormat="1" applyFont="1" applyFill="1" applyBorder="1" applyAlignment="1">
      <alignment horizontal="center" vertical="center" wrapText="1"/>
    </xf>
    <xf numFmtId="166" fontId="28" fillId="24" borderId="1" xfId="0" applyNumberFormat="1" applyFont="1" applyFill="1" applyBorder="1" applyAlignment="1">
      <alignment horizontal="center" vertical="center" wrapText="1"/>
    </xf>
    <xf numFmtId="0" fontId="17" fillId="11" borderId="1" xfId="0" applyFont="1" applyFill="1" applyBorder="1" applyAlignment="1">
      <alignment horizontal="center" vertical="center" wrapText="1"/>
    </xf>
    <xf numFmtId="166" fontId="17" fillId="24" borderId="1" xfId="0" applyNumberFormat="1" applyFont="1" applyFill="1" applyBorder="1" applyAlignment="1">
      <alignment horizontal="center" vertical="center" wrapText="1"/>
    </xf>
    <xf numFmtId="0" fontId="15" fillId="26" borderId="1" xfId="0" applyFont="1" applyFill="1" applyBorder="1" applyAlignment="1">
      <alignment horizontal="left" vertical="center" wrapText="1"/>
    </xf>
    <xf numFmtId="166" fontId="18" fillId="26" borderId="1" xfId="0" applyNumberFormat="1" applyFont="1" applyFill="1" applyBorder="1" applyAlignment="1">
      <alignment horizontal="center" vertical="center" wrapText="1"/>
    </xf>
    <xf numFmtId="0" fontId="17" fillId="26" borderId="1" xfId="0" applyFont="1" applyFill="1" applyBorder="1" applyAlignment="1">
      <alignment horizontal="center" vertical="center" wrapText="1"/>
    </xf>
    <xf numFmtId="0" fontId="25" fillId="27" borderId="1" xfId="0" applyFont="1" applyFill="1" applyBorder="1" applyAlignment="1">
      <alignment horizontal="center" vertical="center" wrapText="1"/>
    </xf>
    <xf numFmtId="0" fontId="17" fillId="27" borderId="1" xfId="0" applyFont="1" applyFill="1" applyBorder="1" applyAlignment="1">
      <alignment horizontal="center" vertical="center" wrapText="1"/>
    </xf>
    <xf numFmtId="0" fontId="26" fillId="27" borderId="1" xfId="0" applyFont="1" applyFill="1" applyBorder="1" applyAlignment="1">
      <alignment horizontal="left" vertical="center" wrapText="1"/>
    </xf>
    <xf numFmtId="0" fontId="16" fillId="27" borderId="1" xfId="0" applyFont="1" applyFill="1" applyBorder="1" applyAlignment="1">
      <alignment horizontal="left" vertical="top" wrapText="1"/>
    </xf>
    <xf numFmtId="0" fontId="27" fillId="27" borderId="1" xfId="0" applyFont="1" applyFill="1" applyBorder="1" applyAlignment="1">
      <alignment horizontal="left" vertical="center" wrapText="1"/>
    </xf>
    <xf numFmtId="0" fontId="25" fillId="11" borderId="1" xfId="0" applyFont="1" applyFill="1" applyBorder="1" applyAlignment="1">
      <alignment horizontal="center" vertical="center" wrapText="1"/>
    </xf>
    <xf numFmtId="0" fontId="26" fillId="11" borderId="1" xfId="0" applyFont="1" applyFill="1" applyBorder="1" applyAlignment="1">
      <alignment horizontal="left" vertical="center" wrapText="1"/>
    </xf>
    <xf numFmtId="0" fontId="16" fillId="11" borderId="1" xfId="0" applyFont="1" applyFill="1" applyBorder="1" applyAlignment="1">
      <alignment horizontal="left" vertical="top" wrapText="1"/>
    </xf>
    <xf numFmtId="0" fontId="27" fillId="11" borderId="1" xfId="0" applyFont="1" applyFill="1" applyBorder="1" applyAlignment="1">
      <alignment horizontal="left" vertical="center" wrapText="1"/>
    </xf>
    <xf numFmtId="0" fontId="29" fillId="11" borderId="1" xfId="0" applyFont="1" applyFill="1" applyBorder="1" applyAlignment="1">
      <alignment horizontal="left" vertical="top" wrapText="1"/>
    </xf>
    <xf numFmtId="0" fontId="25" fillId="28" borderId="1" xfId="0" applyFont="1" applyFill="1" applyBorder="1" applyAlignment="1">
      <alignment horizontal="center" vertical="center" wrapText="1"/>
    </xf>
    <xf numFmtId="0" fontId="17" fillId="28" borderId="1" xfId="0" applyFont="1" applyFill="1" applyBorder="1" applyAlignment="1">
      <alignment horizontal="center" vertical="center" wrapText="1"/>
    </xf>
    <xf numFmtId="0" fontId="26" fillId="28" borderId="1" xfId="0" applyFont="1" applyFill="1" applyBorder="1" applyAlignment="1">
      <alignment horizontal="left" vertical="center" wrapText="1"/>
    </xf>
    <xf numFmtId="0" fontId="16" fillId="28" borderId="1" xfId="0" applyFont="1" applyFill="1" applyBorder="1" applyAlignment="1">
      <alignment horizontal="left" vertical="top" wrapText="1"/>
    </xf>
    <xf numFmtId="0" fontId="27" fillId="28" borderId="1" xfId="0" applyFont="1" applyFill="1" applyBorder="1" applyAlignment="1">
      <alignment horizontal="left" vertical="center" wrapText="1"/>
    </xf>
    <xf numFmtId="0" fontId="25"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26" fillId="8" borderId="1" xfId="0" applyFont="1" applyFill="1" applyBorder="1" applyAlignment="1">
      <alignment horizontal="left" vertical="center" wrapText="1"/>
    </xf>
    <xf numFmtId="0" fontId="16" fillId="8" borderId="1" xfId="0" applyFont="1" applyFill="1" applyBorder="1" applyAlignment="1">
      <alignment horizontal="left" vertical="top" wrapText="1"/>
    </xf>
    <xf numFmtId="0" fontId="27" fillId="8" borderId="1" xfId="0" applyFont="1" applyFill="1" applyBorder="1" applyAlignment="1">
      <alignment horizontal="left" vertical="center" wrapText="1"/>
    </xf>
    <xf numFmtId="0" fontId="31" fillId="24" borderId="1" xfId="0" applyFont="1" applyFill="1" applyBorder="1" applyAlignment="1">
      <alignment horizontal="center" vertical="center" wrapText="1"/>
    </xf>
    <xf numFmtId="0" fontId="27" fillId="26" borderId="1" xfId="0" applyFont="1" applyFill="1" applyBorder="1" applyAlignment="1">
      <alignment horizontal="left" vertical="center" wrapText="1"/>
    </xf>
    <xf numFmtId="166" fontId="17" fillId="26" borderId="1" xfId="0" applyNumberFormat="1" applyFont="1" applyFill="1" applyBorder="1" applyAlignment="1">
      <alignment horizontal="center" vertical="center" wrapText="1"/>
    </xf>
    <xf numFmtId="3" fontId="17" fillId="26" borderId="1" xfId="0" applyNumberFormat="1" applyFont="1" applyFill="1" applyBorder="1" applyAlignment="1">
      <alignment horizontal="center" vertical="center" wrapText="1"/>
    </xf>
    <xf numFmtId="0" fontId="25" fillId="29" borderId="1" xfId="0" applyFont="1" applyFill="1" applyBorder="1" applyAlignment="1">
      <alignment horizontal="center" vertical="center" wrapText="1"/>
    </xf>
    <xf numFmtId="0" fontId="17" fillId="29" borderId="1" xfId="0" applyFont="1" applyFill="1" applyBorder="1" applyAlignment="1">
      <alignment horizontal="center" vertical="center" wrapText="1"/>
    </xf>
    <xf numFmtId="0" fontId="26" fillId="29" borderId="1" xfId="0" applyFont="1" applyFill="1" applyBorder="1" applyAlignment="1">
      <alignment horizontal="left" vertical="center" wrapText="1"/>
    </xf>
    <xf numFmtId="0" fontId="16" fillId="29" borderId="1" xfId="0" applyFont="1" applyFill="1" applyBorder="1" applyAlignment="1">
      <alignment horizontal="left" vertical="top" wrapText="1"/>
    </xf>
    <xf numFmtId="0" fontId="27" fillId="29" borderId="1" xfId="0" applyFont="1" applyFill="1" applyBorder="1" applyAlignment="1">
      <alignment horizontal="left" vertical="center" wrapText="1"/>
    </xf>
    <xf numFmtId="0" fontId="25"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26" fillId="3" borderId="1" xfId="0" applyFont="1" applyFill="1" applyBorder="1" applyAlignment="1">
      <alignment horizontal="left" vertical="center" wrapText="1"/>
    </xf>
    <xf numFmtId="0" fontId="16" fillId="3" borderId="1" xfId="0" applyFont="1" applyFill="1" applyBorder="1" applyAlignment="1">
      <alignment horizontal="left" vertical="top" wrapText="1"/>
    </xf>
    <xf numFmtId="0" fontId="27" fillId="3" borderId="1" xfId="0" applyFont="1" applyFill="1" applyBorder="1" applyAlignment="1">
      <alignment horizontal="left" vertical="center" wrapText="1"/>
    </xf>
    <xf numFmtId="3" fontId="17" fillId="25" borderId="1" xfId="0" applyNumberFormat="1" applyFont="1" applyFill="1" applyBorder="1" applyAlignment="1">
      <alignment horizontal="center" vertical="center" wrapText="1"/>
    </xf>
    <xf numFmtId="3" fontId="28" fillId="24" borderId="1" xfId="0" applyNumberFormat="1" applyFont="1" applyFill="1" applyBorder="1" applyAlignment="1">
      <alignment horizontal="center" vertical="center" wrapText="1"/>
    </xf>
    <xf numFmtId="0" fontId="25" fillId="30" borderId="1" xfId="0" applyFont="1" applyFill="1" applyBorder="1" applyAlignment="1">
      <alignment horizontal="center" vertical="center" wrapText="1"/>
    </xf>
    <xf numFmtId="0" fontId="17" fillId="30" borderId="1" xfId="0" applyFont="1" applyFill="1" applyBorder="1" applyAlignment="1">
      <alignment horizontal="center" vertical="center" wrapText="1"/>
    </xf>
    <xf numFmtId="0" fontId="26" fillId="30" borderId="1" xfId="0" applyFont="1" applyFill="1" applyBorder="1" applyAlignment="1">
      <alignment horizontal="left" vertical="center" wrapText="1"/>
    </xf>
    <xf numFmtId="0" fontId="16" fillId="30" borderId="1" xfId="0" applyFont="1" applyFill="1" applyBorder="1" applyAlignment="1">
      <alignment horizontal="left" vertical="top" wrapText="1"/>
    </xf>
    <xf numFmtId="0" fontId="27" fillId="30" borderId="1" xfId="0" applyFont="1" applyFill="1" applyBorder="1" applyAlignment="1">
      <alignment horizontal="left" vertical="center" wrapText="1"/>
    </xf>
    <xf numFmtId="0" fontId="25" fillId="31" borderId="1" xfId="0" applyFont="1" applyFill="1" applyBorder="1" applyAlignment="1">
      <alignment horizontal="center" vertical="center" wrapText="1"/>
    </xf>
    <xf numFmtId="0" fontId="17" fillId="31" borderId="1" xfId="0" applyFont="1" applyFill="1" applyBorder="1" applyAlignment="1">
      <alignment horizontal="center" vertical="center" wrapText="1"/>
    </xf>
    <xf numFmtId="0" fontId="26" fillId="31" borderId="1" xfId="0" applyFont="1" applyFill="1" applyBorder="1" applyAlignment="1">
      <alignment horizontal="left" vertical="center" wrapText="1"/>
    </xf>
    <xf numFmtId="0" fontId="16" fillId="31" borderId="1" xfId="0" applyFont="1" applyFill="1" applyBorder="1" applyAlignment="1">
      <alignment horizontal="left" vertical="top" wrapText="1"/>
    </xf>
    <xf numFmtId="0" fontId="27" fillId="31" borderId="1" xfId="0" applyFont="1" applyFill="1" applyBorder="1" applyAlignment="1">
      <alignment horizontal="left" vertical="center" wrapText="1"/>
    </xf>
    <xf numFmtId="0" fontId="25" fillId="32" borderId="1" xfId="0" applyFont="1" applyFill="1" applyBorder="1" applyAlignment="1">
      <alignment horizontal="center" vertical="center" wrapText="1"/>
    </xf>
    <xf numFmtId="0" fontId="17" fillId="32" borderId="1" xfId="0" applyFont="1" applyFill="1" applyBorder="1" applyAlignment="1">
      <alignment horizontal="center" vertical="center" wrapText="1"/>
    </xf>
    <xf numFmtId="0" fontId="26" fillId="32" borderId="1" xfId="0" applyFont="1" applyFill="1" applyBorder="1" applyAlignment="1">
      <alignment horizontal="left" vertical="center" wrapText="1"/>
    </xf>
    <xf numFmtId="0" fontId="16" fillId="32" borderId="1" xfId="0" applyFont="1" applyFill="1" applyBorder="1" applyAlignment="1">
      <alignment horizontal="left" vertical="top" wrapText="1"/>
    </xf>
    <xf numFmtId="0" fontId="27" fillId="32" borderId="1" xfId="0" applyFont="1" applyFill="1" applyBorder="1" applyAlignment="1">
      <alignment horizontal="left" vertical="center" wrapText="1"/>
    </xf>
    <xf numFmtId="0" fontId="25" fillId="33" borderId="1" xfId="0" applyFont="1" applyFill="1" applyBorder="1" applyAlignment="1">
      <alignment horizontal="center" vertical="center" wrapText="1"/>
    </xf>
    <xf numFmtId="0" fontId="17" fillId="33" borderId="1" xfId="0" applyFont="1" applyFill="1" applyBorder="1" applyAlignment="1">
      <alignment horizontal="center" vertical="center" wrapText="1"/>
    </xf>
    <xf numFmtId="0" fontId="26" fillId="33" borderId="1" xfId="0" applyFont="1" applyFill="1" applyBorder="1" applyAlignment="1">
      <alignment horizontal="left" vertical="center" wrapText="1"/>
    </xf>
    <xf numFmtId="0" fontId="16" fillId="33" borderId="1" xfId="0" applyFont="1" applyFill="1" applyBorder="1" applyAlignment="1">
      <alignment horizontal="left" vertical="top" wrapText="1"/>
    </xf>
    <xf numFmtId="0" fontId="27" fillId="33" borderId="1" xfId="0" applyFont="1" applyFill="1" applyBorder="1" applyAlignment="1">
      <alignment horizontal="left" vertical="center" wrapText="1"/>
    </xf>
    <xf numFmtId="0" fontId="25" fillId="34" borderId="1" xfId="0" applyFont="1" applyFill="1" applyBorder="1" applyAlignment="1">
      <alignment horizontal="center" vertical="center" wrapText="1"/>
    </xf>
    <xf numFmtId="0" fontId="17" fillId="34" borderId="1" xfId="0" applyFont="1" applyFill="1" applyBorder="1" applyAlignment="1">
      <alignment horizontal="center" vertical="center" wrapText="1"/>
    </xf>
    <xf numFmtId="0" fontId="26" fillId="34" borderId="1" xfId="0" applyFont="1" applyFill="1" applyBorder="1" applyAlignment="1">
      <alignment horizontal="left" vertical="center" wrapText="1"/>
    </xf>
    <xf numFmtId="0" fontId="16" fillId="34" borderId="1" xfId="0" applyFont="1" applyFill="1" applyBorder="1" applyAlignment="1">
      <alignment horizontal="left" vertical="top" wrapText="1"/>
    </xf>
    <xf numFmtId="0" fontId="27" fillId="34" borderId="1" xfId="0" applyFont="1" applyFill="1" applyBorder="1" applyAlignment="1">
      <alignment horizontal="left" vertical="center" wrapText="1"/>
    </xf>
    <xf numFmtId="0" fontId="25" fillId="35" borderId="1" xfId="0" applyFont="1" applyFill="1" applyBorder="1" applyAlignment="1">
      <alignment horizontal="center" vertical="center" wrapText="1"/>
    </xf>
    <xf numFmtId="0" fontId="17" fillId="35" borderId="1" xfId="0" applyFont="1" applyFill="1" applyBorder="1" applyAlignment="1">
      <alignment horizontal="center" vertical="center" wrapText="1"/>
    </xf>
    <xf numFmtId="0" fontId="26" fillId="35" borderId="1" xfId="0" applyFont="1" applyFill="1" applyBorder="1" applyAlignment="1">
      <alignment horizontal="left" vertical="center" wrapText="1"/>
    </xf>
    <xf numFmtId="0" fontId="16" fillId="35" borderId="1" xfId="0" applyFont="1" applyFill="1" applyBorder="1" applyAlignment="1">
      <alignment horizontal="left" vertical="top" wrapText="1"/>
    </xf>
    <xf numFmtId="0" fontId="27" fillId="35" borderId="1" xfId="0" applyFont="1" applyFill="1" applyBorder="1" applyAlignment="1">
      <alignment horizontal="left" vertical="center" wrapText="1"/>
    </xf>
    <xf numFmtId="0" fontId="25" fillId="36" borderId="1" xfId="0" applyFont="1" applyFill="1" applyBorder="1" applyAlignment="1">
      <alignment horizontal="center" vertical="center" wrapText="1"/>
    </xf>
    <xf numFmtId="0" fontId="17" fillId="36" borderId="1" xfId="0" applyFont="1" applyFill="1" applyBorder="1" applyAlignment="1">
      <alignment horizontal="center" vertical="center" wrapText="1"/>
    </xf>
    <xf numFmtId="0" fontId="26" fillId="36" borderId="1" xfId="0" applyFont="1" applyFill="1" applyBorder="1" applyAlignment="1">
      <alignment horizontal="left" vertical="center" wrapText="1"/>
    </xf>
    <xf numFmtId="0" fontId="16" fillId="36" borderId="1" xfId="0" applyFont="1" applyFill="1" applyBorder="1" applyAlignment="1">
      <alignment horizontal="left" vertical="top" wrapText="1"/>
    </xf>
    <xf numFmtId="0" fontId="27" fillId="36" borderId="1" xfId="0" applyFont="1" applyFill="1" applyBorder="1" applyAlignment="1">
      <alignment horizontal="left" vertical="center" wrapText="1"/>
    </xf>
    <xf numFmtId="0" fontId="14" fillId="23" borderId="1" xfId="0" applyFont="1" applyFill="1" applyBorder="1" applyAlignment="1">
      <alignment horizontal="center" vertical="center" wrapText="1"/>
    </xf>
    <xf numFmtId="0" fontId="22" fillId="23" borderId="1" xfId="0" applyFont="1" applyFill="1" applyBorder="1" applyAlignment="1">
      <alignment horizontal="left" vertical="center" wrapText="1"/>
    </xf>
    <xf numFmtId="0" fontId="27" fillId="23" borderId="1" xfId="0" applyFont="1" applyFill="1" applyBorder="1" applyAlignment="1">
      <alignment horizontal="center" vertical="center" wrapText="1"/>
    </xf>
    <xf numFmtId="166" fontId="17" fillId="11" borderId="1" xfId="0" applyNumberFormat="1" applyFont="1" applyFill="1" applyBorder="1" applyAlignment="1">
      <alignment horizontal="center" vertical="center" wrapText="1"/>
    </xf>
    <xf numFmtId="169" fontId="32" fillId="11" borderId="1" xfId="0" applyNumberFormat="1" applyFont="1" applyFill="1" applyBorder="1" applyAlignment="1">
      <alignment horizontal="center" vertical="center" wrapText="1"/>
    </xf>
    <xf numFmtId="0" fontId="14" fillId="27" borderId="1" xfId="0" applyFont="1" applyFill="1" applyBorder="1" applyAlignment="1">
      <alignment horizontal="center" vertical="center" wrapText="1"/>
    </xf>
    <xf numFmtId="0" fontId="22" fillId="27" borderId="1" xfId="0" applyFont="1" applyFill="1" applyBorder="1" applyAlignment="1">
      <alignment horizontal="left" vertical="center" wrapText="1"/>
    </xf>
    <xf numFmtId="0" fontId="27" fillId="27"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22" fillId="11" borderId="1" xfId="0" applyFont="1" applyFill="1" applyBorder="1" applyAlignment="1">
      <alignment horizontal="left" vertical="center" wrapText="1"/>
    </xf>
    <xf numFmtId="0" fontId="27" fillId="11" borderId="1" xfId="0" applyFont="1" applyFill="1" applyBorder="1" applyAlignment="1">
      <alignment horizontal="center" vertical="center" wrapText="1"/>
    </xf>
    <xf numFmtId="0" fontId="14" fillId="28" borderId="1" xfId="0" applyFont="1" applyFill="1" applyBorder="1" applyAlignment="1">
      <alignment horizontal="center" vertical="center" wrapText="1"/>
    </xf>
    <xf numFmtId="0" fontId="22" fillId="28" borderId="1" xfId="0" applyFont="1" applyFill="1" applyBorder="1" applyAlignment="1">
      <alignment horizontal="left" vertical="center" wrapText="1"/>
    </xf>
    <xf numFmtId="0" fontId="27" fillId="28" borderId="1" xfId="0" applyFont="1" applyFill="1" applyBorder="1" applyAlignment="1">
      <alignment horizontal="center" vertical="center" wrapText="1"/>
    </xf>
    <xf numFmtId="0" fontId="15" fillId="28" borderId="1" xfId="0" applyFont="1" applyFill="1" applyBorder="1" applyAlignment="1">
      <alignment horizontal="left" vertical="center" wrapText="1"/>
    </xf>
    <xf numFmtId="0" fontId="15" fillId="2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7" fillId="8" borderId="1" xfId="0" applyFont="1" applyFill="1" applyBorder="1" applyAlignment="1">
      <alignment horizontal="center" vertical="center" wrapText="1"/>
    </xf>
    <xf numFmtId="0" fontId="14" fillId="29" borderId="1" xfId="0" applyFont="1" applyFill="1" applyBorder="1" applyAlignment="1">
      <alignment horizontal="center" vertical="center" wrapText="1"/>
    </xf>
    <xf numFmtId="0" fontId="22" fillId="29" borderId="1" xfId="0" applyFont="1" applyFill="1" applyBorder="1" applyAlignment="1">
      <alignment horizontal="left" vertical="center" wrapText="1"/>
    </xf>
    <xf numFmtId="0" fontId="27" fillId="29" borderId="1" xfId="0" applyFont="1" applyFill="1" applyBorder="1" applyAlignment="1">
      <alignment horizontal="center" vertical="center" wrapText="1"/>
    </xf>
    <xf numFmtId="0" fontId="15" fillId="29" borderId="1" xfId="0" applyFont="1" applyFill="1" applyBorder="1" applyAlignment="1">
      <alignment horizontal="left" vertical="center" wrapText="1"/>
    </xf>
    <xf numFmtId="0" fontId="15" fillId="29"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7" fillId="3" borderId="1" xfId="0" applyFont="1" applyFill="1" applyBorder="1" applyAlignment="1">
      <alignment horizontal="center" vertical="center" wrapText="1"/>
    </xf>
    <xf numFmtId="0" fontId="14" fillId="30" borderId="1" xfId="0" applyFont="1" applyFill="1" applyBorder="1" applyAlignment="1">
      <alignment horizontal="center" vertical="center" wrapText="1"/>
    </xf>
    <xf numFmtId="0" fontId="22" fillId="30" borderId="1" xfId="0" applyFont="1" applyFill="1" applyBorder="1" applyAlignment="1">
      <alignment horizontal="left" vertical="center" wrapText="1"/>
    </xf>
    <xf numFmtId="0" fontId="27" fillId="30" borderId="1" xfId="0" applyFont="1" applyFill="1" applyBorder="1" applyAlignment="1">
      <alignment horizontal="center" vertical="center" wrapText="1"/>
    </xf>
    <xf numFmtId="0" fontId="14" fillId="31" borderId="1" xfId="0" applyFont="1" applyFill="1" applyBorder="1" applyAlignment="1">
      <alignment horizontal="center" vertical="center" wrapText="1"/>
    </xf>
    <xf numFmtId="0" fontId="22" fillId="31" borderId="1" xfId="0" applyFont="1" applyFill="1" applyBorder="1" applyAlignment="1">
      <alignment horizontal="left" vertical="center" wrapText="1"/>
    </xf>
    <xf numFmtId="0" fontId="27" fillId="31" borderId="1" xfId="0" applyFont="1" applyFill="1" applyBorder="1" applyAlignment="1">
      <alignment horizontal="center" vertical="center" wrapText="1"/>
    </xf>
    <xf numFmtId="0" fontId="14" fillId="32" borderId="1" xfId="0" applyFont="1" applyFill="1" applyBorder="1" applyAlignment="1">
      <alignment horizontal="center" vertical="center" wrapText="1"/>
    </xf>
    <xf numFmtId="0" fontId="22" fillId="32" borderId="1" xfId="0" applyFont="1" applyFill="1" applyBorder="1" applyAlignment="1">
      <alignment horizontal="left" vertical="center" wrapText="1"/>
    </xf>
    <xf numFmtId="0" fontId="27" fillId="32" borderId="1" xfId="0" applyFont="1" applyFill="1" applyBorder="1" applyAlignment="1">
      <alignment horizontal="center" vertical="center" wrapText="1"/>
    </xf>
    <xf numFmtId="0" fontId="15" fillId="32" borderId="1" xfId="0" applyFont="1" applyFill="1" applyBorder="1" applyAlignment="1">
      <alignment horizontal="left" vertical="center" wrapText="1"/>
    </xf>
    <xf numFmtId="0" fontId="15" fillId="32" borderId="1" xfId="0" applyFont="1" applyFill="1" applyBorder="1" applyAlignment="1">
      <alignment horizontal="center" vertical="center" wrapText="1"/>
    </xf>
    <xf numFmtId="0" fontId="14" fillId="33" borderId="1" xfId="0" applyFont="1" applyFill="1" applyBorder="1" applyAlignment="1">
      <alignment horizontal="center" vertical="center" wrapText="1"/>
    </xf>
    <xf numFmtId="0" fontId="22" fillId="33" borderId="1" xfId="0" applyFont="1" applyFill="1" applyBorder="1" applyAlignment="1">
      <alignment horizontal="left" vertical="center" wrapText="1"/>
    </xf>
    <xf numFmtId="0" fontId="27" fillId="33" borderId="1" xfId="0" applyFont="1" applyFill="1" applyBorder="1" applyAlignment="1">
      <alignment horizontal="center" vertical="center" wrapText="1"/>
    </xf>
    <xf numFmtId="0" fontId="14" fillId="34" borderId="1" xfId="0" applyFont="1" applyFill="1" applyBorder="1" applyAlignment="1">
      <alignment horizontal="center" vertical="center" wrapText="1"/>
    </xf>
    <xf numFmtId="0" fontId="22" fillId="34" borderId="1" xfId="0" applyFont="1" applyFill="1" applyBorder="1" applyAlignment="1">
      <alignment horizontal="left" vertical="center" wrapText="1"/>
    </xf>
    <xf numFmtId="0" fontId="27" fillId="34" borderId="1" xfId="0" applyFont="1" applyFill="1" applyBorder="1" applyAlignment="1">
      <alignment horizontal="center" vertical="center" wrapText="1"/>
    </xf>
    <xf numFmtId="0" fontId="15" fillId="34" borderId="1" xfId="0" applyFont="1" applyFill="1" applyBorder="1" applyAlignment="1">
      <alignment horizontal="left" vertical="center" wrapText="1"/>
    </xf>
    <xf numFmtId="0" fontId="15" fillId="34" borderId="1" xfId="0" applyFont="1" applyFill="1" applyBorder="1" applyAlignment="1">
      <alignment horizontal="center" vertical="center" wrapText="1"/>
    </xf>
    <xf numFmtId="0" fontId="14" fillId="35" borderId="1" xfId="0" applyFont="1" applyFill="1" applyBorder="1" applyAlignment="1">
      <alignment horizontal="center" vertical="center" wrapText="1"/>
    </xf>
    <xf numFmtId="0" fontId="22" fillId="35" borderId="1" xfId="0" applyFont="1" applyFill="1" applyBorder="1" applyAlignment="1">
      <alignment horizontal="left" vertical="center" wrapText="1"/>
    </xf>
    <xf numFmtId="0" fontId="27" fillId="35" borderId="1" xfId="0" applyFont="1" applyFill="1" applyBorder="1" applyAlignment="1">
      <alignment horizontal="center" vertical="center" wrapText="1"/>
    </xf>
    <xf numFmtId="0" fontId="15" fillId="35" borderId="1" xfId="0" applyFont="1" applyFill="1" applyBorder="1" applyAlignment="1">
      <alignment horizontal="left" vertical="center" wrapText="1"/>
    </xf>
    <xf numFmtId="0" fontId="15" fillId="35" borderId="1" xfId="0" applyFont="1" applyFill="1" applyBorder="1" applyAlignment="1">
      <alignment horizontal="center" vertical="center" wrapText="1"/>
    </xf>
    <xf numFmtId="0" fontId="14" fillId="36" borderId="1" xfId="0" applyFont="1" applyFill="1" applyBorder="1" applyAlignment="1">
      <alignment horizontal="center" vertical="center" wrapText="1"/>
    </xf>
    <xf numFmtId="0" fontId="22" fillId="36" borderId="1" xfId="0" applyFont="1" applyFill="1" applyBorder="1" applyAlignment="1">
      <alignment horizontal="left" vertical="center" wrapText="1"/>
    </xf>
    <xf numFmtId="0" fontId="27" fillId="36" borderId="1" xfId="0" applyFont="1" applyFill="1" applyBorder="1" applyAlignment="1">
      <alignment horizontal="center" vertical="center" wrapText="1"/>
    </xf>
    <xf numFmtId="0" fontId="15" fillId="36" borderId="1" xfId="0" applyFont="1" applyFill="1" applyBorder="1" applyAlignment="1">
      <alignment horizontal="left" vertical="center" wrapText="1"/>
    </xf>
    <xf numFmtId="0" fontId="15" fillId="36" borderId="1" xfId="0" applyFont="1" applyFill="1" applyBorder="1" applyAlignment="1">
      <alignment horizontal="center" vertical="center" wrapText="1"/>
    </xf>
    <xf numFmtId="0" fontId="12" fillId="22" borderId="1" xfId="0" applyFont="1" applyFill="1" applyBorder="1" applyAlignment="1">
      <alignment horizontal="left" vertical="center" wrapText="1"/>
    </xf>
    <xf numFmtId="0" fontId="17" fillId="22" borderId="1" xfId="0" applyFont="1" applyFill="1" applyBorder="1"/>
    <xf numFmtId="0" fontId="15" fillId="23" borderId="1" xfId="0" applyFont="1" applyFill="1" applyBorder="1" applyAlignment="1">
      <alignment horizontal="center" vertical="center" wrapText="1"/>
    </xf>
    <xf numFmtId="0" fontId="27" fillId="23" borderId="1" xfId="0" applyFont="1" applyFill="1" applyBorder="1" applyAlignment="1">
      <alignment horizontal="left" vertical="top" wrapText="1"/>
    </xf>
    <xf numFmtId="0" fontId="15" fillId="27" borderId="1" xfId="0" applyFont="1" applyFill="1" applyBorder="1" applyAlignment="1">
      <alignment horizontal="center" vertical="center" wrapText="1"/>
    </xf>
    <xf numFmtId="0" fontId="27" fillId="27" borderId="1" xfId="0" applyFont="1" applyFill="1" applyBorder="1" applyAlignment="1">
      <alignment horizontal="left" vertical="top" wrapText="1"/>
    </xf>
    <xf numFmtId="0" fontId="27" fillId="11" borderId="1" xfId="0" applyFont="1" applyFill="1" applyBorder="1" applyAlignment="1">
      <alignment horizontal="left" vertical="top" wrapText="1"/>
    </xf>
    <xf numFmtId="0" fontId="15" fillId="8" borderId="1" xfId="0" applyFont="1" applyFill="1" applyBorder="1" applyAlignment="1">
      <alignment horizontal="center" vertical="center" wrapText="1"/>
    </xf>
    <xf numFmtId="0" fontId="27" fillId="8" borderId="1" xfId="0" applyFont="1" applyFill="1" applyBorder="1" applyAlignment="1">
      <alignment horizontal="left" vertical="top" wrapText="1"/>
    </xf>
    <xf numFmtId="0" fontId="15" fillId="3" borderId="1" xfId="0" applyFont="1" applyFill="1" applyBorder="1" applyAlignment="1">
      <alignment horizontal="center" vertical="center" wrapText="1"/>
    </xf>
    <xf numFmtId="0" fontId="27" fillId="3" borderId="1" xfId="0" applyFont="1" applyFill="1" applyBorder="1" applyAlignment="1">
      <alignment horizontal="left" vertical="top" wrapText="1"/>
    </xf>
    <xf numFmtId="0" fontId="15" fillId="30" borderId="1" xfId="0" applyFont="1" applyFill="1" applyBorder="1" applyAlignment="1">
      <alignment horizontal="center" vertical="center" wrapText="1"/>
    </xf>
    <xf numFmtId="0" fontId="27" fillId="30" borderId="1" xfId="0" applyFont="1" applyFill="1" applyBorder="1" applyAlignment="1">
      <alignment horizontal="left" vertical="top" wrapText="1"/>
    </xf>
    <xf numFmtId="0" fontId="15" fillId="31" borderId="1" xfId="0" applyFont="1" applyFill="1" applyBorder="1" applyAlignment="1">
      <alignment horizontal="center" vertical="center" wrapText="1"/>
    </xf>
    <xf numFmtId="0" fontId="27" fillId="31" borderId="1" xfId="0" applyFont="1" applyFill="1" applyBorder="1" applyAlignment="1">
      <alignment horizontal="left" vertical="top" wrapText="1"/>
    </xf>
    <xf numFmtId="0" fontId="15" fillId="33" borderId="1" xfId="0" applyFont="1" applyFill="1" applyBorder="1" applyAlignment="1">
      <alignment horizontal="center" vertical="center" wrapText="1"/>
    </xf>
    <xf numFmtId="0" fontId="27" fillId="33" borderId="1" xfId="0" applyFont="1" applyFill="1" applyBorder="1" applyAlignment="1">
      <alignment horizontal="left" vertical="top" wrapText="1"/>
    </xf>
    <xf numFmtId="0" fontId="35" fillId="15" borderId="0" xfId="0" applyFont="1" applyFill="1" applyAlignment="1">
      <alignment horizontal="left" vertical="center"/>
    </xf>
    <xf numFmtId="0" fontId="22" fillId="15" borderId="1" xfId="0" applyFont="1" applyFill="1" applyBorder="1" applyAlignment="1">
      <alignment horizontal="left" vertical="top" wrapText="1"/>
    </xf>
    <xf numFmtId="0" fontId="17" fillId="15" borderId="1" xfId="0" applyFont="1" applyFill="1" applyBorder="1" applyAlignment="1">
      <alignment horizontal="left" vertical="top" wrapText="1"/>
    </xf>
    <xf numFmtId="0" fontId="15" fillId="15" borderId="1" xfId="0" applyFont="1" applyFill="1" applyBorder="1" applyAlignment="1">
      <alignment horizontal="left" vertical="top" wrapText="1"/>
    </xf>
    <xf numFmtId="0" fontId="36" fillId="38" borderId="1" xfId="0" applyFont="1" applyFill="1" applyBorder="1" applyAlignment="1">
      <alignment horizontal="left" vertical="top" wrapText="1"/>
    </xf>
    <xf numFmtId="0" fontId="16" fillId="15" borderId="1" xfId="0" applyFont="1" applyFill="1" applyBorder="1" applyAlignment="1">
      <alignment horizontal="left" vertical="top" wrapText="1"/>
    </xf>
    <xf numFmtId="0" fontId="22" fillId="11" borderId="1" xfId="0" applyFont="1" applyFill="1" applyBorder="1" applyAlignment="1">
      <alignment horizontal="left" vertical="top" wrapText="1"/>
    </xf>
    <xf numFmtId="0" fontId="17" fillId="11" borderId="1" xfId="0" applyFont="1" applyFill="1" applyBorder="1" applyAlignment="1">
      <alignment horizontal="left" vertical="top" wrapText="1"/>
    </xf>
    <xf numFmtId="0" fontId="15" fillId="11" borderId="1" xfId="0" applyFont="1" applyFill="1" applyBorder="1" applyAlignment="1">
      <alignment horizontal="left" vertical="top" wrapText="1"/>
    </xf>
    <xf numFmtId="0" fontId="37" fillId="39" borderId="1" xfId="0" applyFont="1" applyFill="1" applyBorder="1" applyAlignment="1">
      <alignment horizontal="left" vertical="top" wrapText="1"/>
    </xf>
    <xf numFmtId="0" fontId="39" fillId="37" borderId="1" xfId="0" applyFont="1" applyFill="1" applyBorder="1" applyAlignment="1">
      <alignment horizontal="center" vertical="center" wrapText="1"/>
    </xf>
    <xf numFmtId="0" fontId="40" fillId="8" borderId="1" xfId="0" applyFont="1" applyFill="1" applyBorder="1" applyAlignment="1">
      <alignment horizontal="left" vertical="center"/>
    </xf>
    <xf numFmtId="0" fontId="41" fillId="8" borderId="1" xfId="0" applyFont="1" applyFill="1" applyBorder="1" applyAlignment="1">
      <alignment horizontal="center" vertical="center"/>
    </xf>
    <xf numFmtId="2" fontId="40" fillId="8" borderId="1" xfId="0" applyNumberFormat="1" applyFont="1" applyFill="1" applyBorder="1" applyAlignment="1">
      <alignment horizontal="center" vertical="center"/>
    </xf>
    <xf numFmtId="166" fontId="40" fillId="8" borderId="1" xfId="0" applyNumberFormat="1" applyFont="1" applyFill="1" applyBorder="1" applyAlignment="1">
      <alignment horizontal="center" vertical="center"/>
    </xf>
    <xf numFmtId="0" fontId="38" fillId="8" borderId="1" xfId="0" applyFont="1" applyFill="1" applyBorder="1" applyAlignment="1">
      <alignment horizontal="left" vertical="top"/>
    </xf>
    <xf numFmtId="0" fontId="40" fillId="15" borderId="1" xfId="0" applyFont="1" applyFill="1" applyBorder="1" applyAlignment="1">
      <alignment horizontal="left" vertical="center"/>
    </xf>
    <xf numFmtId="0" fontId="41" fillId="15" borderId="1" xfId="0" applyFont="1" applyFill="1" applyBorder="1" applyAlignment="1">
      <alignment horizontal="center" vertical="center"/>
    </xf>
    <xf numFmtId="2" fontId="40" fillId="15" borderId="1" xfId="0" applyNumberFormat="1" applyFont="1" applyFill="1" applyBorder="1" applyAlignment="1">
      <alignment horizontal="center" vertical="center"/>
    </xf>
    <xf numFmtId="166" fontId="40" fillId="15" borderId="1" xfId="0" applyNumberFormat="1" applyFont="1" applyFill="1" applyBorder="1" applyAlignment="1">
      <alignment horizontal="center" vertical="center"/>
    </xf>
    <xf numFmtId="0" fontId="38" fillId="15" borderId="1" xfId="0" applyFont="1" applyFill="1" applyBorder="1" applyAlignment="1">
      <alignment horizontal="left" vertical="top"/>
    </xf>
    <xf numFmtId="0" fontId="11" fillId="7" borderId="1" xfId="0" applyFont="1" applyFill="1" applyBorder="1" applyAlignment="1">
      <alignment vertical="center" wrapText="1"/>
    </xf>
    <xf numFmtId="0" fontId="22" fillId="0" borderId="1" xfId="0" applyFont="1" applyBorder="1" applyAlignment="1">
      <alignment vertical="center" wrapText="1"/>
    </xf>
    <xf numFmtId="0" fontId="17" fillId="0" borderId="1" xfId="0" applyFont="1" applyBorder="1" applyAlignment="1">
      <alignment vertical="center" wrapText="1"/>
    </xf>
    <xf numFmtId="166" fontId="20" fillId="13" borderId="1" xfId="0" applyNumberFormat="1" applyFont="1" applyFill="1" applyBorder="1" applyAlignment="1">
      <alignment vertical="center" wrapText="1"/>
    </xf>
    <xf numFmtId="166" fontId="17" fillId="8" borderId="1" xfId="0" applyNumberFormat="1" applyFont="1" applyFill="1" applyBorder="1" applyAlignment="1">
      <alignment vertical="center" wrapText="1"/>
    </xf>
    <xf numFmtId="166" fontId="17" fillId="0" borderId="1" xfId="0" applyNumberFormat="1" applyFont="1" applyBorder="1" applyAlignment="1">
      <alignment vertical="center" wrapText="1"/>
    </xf>
    <xf numFmtId="0" fontId="22" fillId="3" borderId="1" xfId="0" applyFont="1" applyFill="1" applyBorder="1" applyAlignment="1">
      <alignment vertical="center" wrapText="1"/>
    </xf>
    <xf numFmtId="0" fontId="15" fillId="0" borderId="1" xfId="0" applyFont="1" applyBorder="1" applyAlignment="1">
      <alignment vertical="top" wrapText="1"/>
    </xf>
    <xf numFmtId="0" fontId="22" fillId="11" borderId="1" xfId="0" applyFont="1" applyFill="1" applyBorder="1" applyAlignment="1">
      <alignment vertical="center" wrapText="1"/>
    </xf>
    <xf numFmtId="0" fontId="17" fillId="11" borderId="1" xfId="0" applyFont="1" applyFill="1" applyBorder="1" applyAlignment="1">
      <alignment vertical="center" wrapText="1"/>
    </xf>
    <xf numFmtId="0" fontId="15" fillId="11" borderId="1" xfId="0" applyFont="1" applyFill="1" applyBorder="1" applyAlignment="1">
      <alignment vertical="top" wrapText="1"/>
    </xf>
    <xf numFmtId="0" fontId="22" fillId="8" borderId="1" xfId="0" applyFont="1" applyFill="1" applyBorder="1" applyAlignment="1">
      <alignment vertical="center" wrapText="1"/>
    </xf>
    <xf numFmtId="0" fontId="42" fillId="0" borderId="1" xfId="0" applyFont="1" applyBorder="1" applyAlignment="1">
      <alignment vertical="center" wrapText="1"/>
    </xf>
    <xf numFmtId="166" fontId="20" fillId="40" borderId="1" xfId="0" applyNumberFormat="1" applyFont="1" applyFill="1" applyBorder="1" applyAlignment="1">
      <alignment vertical="center" wrapText="1"/>
    </xf>
    <xf numFmtId="0" fontId="42" fillId="11" borderId="1" xfId="0" applyFont="1" applyFill="1" applyBorder="1" applyAlignment="1">
      <alignment vertical="center" wrapText="1"/>
    </xf>
    <xf numFmtId="0" fontId="25" fillId="10" borderId="1" xfId="0" applyFont="1" applyFill="1" applyBorder="1" applyAlignment="1">
      <alignment vertical="center" wrapText="1"/>
    </xf>
    <xf numFmtId="0" fontId="22" fillId="10" borderId="1" xfId="0" applyFont="1" applyFill="1" applyBorder="1" applyAlignment="1">
      <alignment vertical="center" wrapText="1"/>
    </xf>
    <xf numFmtId="0" fontId="17" fillId="0" borderId="1" xfId="0" applyFont="1" applyBorder="1" applyAlignment="1">
      <alignment vertical="top" wrapText="1"/>
    </xf>
    <xf numFmtId="0" fontId="20" fillId="13" borderId="1" xfId="0" applyFont="1" applyFill="1" applyBorder="1" applyAlignment="1">
      <alignment vertical="center" wrapText="1"/>
    </xf>
    <xf numFmtId="0" fontId="16" fillId="0" borderId="1" xfId="0" applyFont="1" applyBorder="1" applyAlignment="1">
      <alignment vertical="center" wrapText="1"/>
    </xf>
    <xf numFmtId="0" fontId="16" fillId="11" borderId="1" xfId="0" applyFont="1" applyFill="1" applyBorder="1" applyAlignment="1">
      <alignment vertical="center" wrapText="1"/>
    </xf>
    <xf numFmtId="1" fontId="22" fillId="11" borderId="1" xfId="0" applyNumberFormat="1" applyFont="1" applyFill="1" applyBorder="1" applyAlignment="1">
      <alignment vertical="center" wrapText="1"/>
    </xf>
    <xf numFmtId="164" fontId="17" fillId="11" borderId="1" xfId="0" applyNumberFormat="1" applyFont="1" applyFill="1" applyBorder="1" applyAlignment="1">
      <alignment vertical="center" wrapText="1"/>
    </xf>
    <xf numFmtId="1" fontId="22" fillId="3" borderId="1" xfId="0" applyNumberFormat="1" applyFont="1" applyFill="1" applyBorder="1" applyAlignment="1">
      <alignment vertical="center" wrapText="1"/>
    </xf>
    <xf numFmtId="164" fontId="17" fillId="3" borderId="1" xfId="0" applyNumberFormat="1" applyFont="1" applyFill="1" applyBorder="1" applyAlignment="1">
      <alignment vertical="center" wrapText="1"/>
    </xf>
    <xf numFmtId="1" fontId="22" fillId="8" borderId="1" xfId="0" applyNumberFormat="1" applyFont="1" applyFill="1" applyBorder="1" applyAlignment="1">
      <alignment vertical="center" wrapText="1"/>
    </xf>
    <xf numFmtId="164" fontId="17" fillId="8" borderId="1" xfId="0" applyNumberFormat="1" applyFont="1" applyFill="1" applyBorder="1" applyAlignment="1">
      <alignment vertical="center" wrapText="1"/>
    </xf>
    <xf numFmtId="164" fontId="28" fillId="3" borderId="1" xfId="0" applyNumberFormat="1" applyFont="1" applyFill="1" applyBorder="1" applyAlignment="1">
      <alignment horizontal="center" vertical="center" wrapText="1"/>
    </xf>
    <xf numFmtId="0" fontId="17" fillId="11" borderId="1" xfId="0" applyFont="1" applyFill="1" applyBorder="1" applyAlignment="1">
      <alignment horizontal="left" vertical="center" wrapText="1"/>
    </xf>
    <xf numFmtId="170" fontId="28" fillId="3" borderId="1" xfId="0" applyNumberFormat="1" applyFont="1" applyFill="1" applyBorder="1" applyAlignment="1">
      <alignment horizontal="center" vertical="center" wrapText="1"/>
    </xf>
    <xf numFmtId="170" fontId="18" fillId="11" borderId="1" xfId="0" applyNumberFormat="1" applyFont="1" applyFill="1" applyBorder="1" applyAlignment="1">
      <alignment horizontal="center" vertical="center" wrapText="1"/>
    </xf>
    <xf numFmtId="171" fontId="28" fillId="3" borderId="1" xfId="0" applyNumberFormat="1" applyFont="1" applyFill="1" applyBorder="1" applyAlignment="1">
      <alignment horizontal="center" vertical="center" wrapText="1"/>
    </xf>
    <xf numFmtId="171" fontId="17" fillId="11" borderId="1" xfId="0" applyNumberFormat="1" applyFont="1" applyFill="1" applyBorder="1" applyAlignment="1">
      <alignment horizontal="center" vertical="center" wrapText="1"/>
    </xf>
    <xf numFmtId="0" fontId="17" fillId="15" borderId="1" xfId="0" applyFont="1" applyFill="1" applyBorder="1" applyAlignment="1">
      <alignment horizontal="left" vertical="center" wrapText="1"/>
    </xf>
    <xf numFmtId="0" fontId="17" fillId="15" borderId="1" xfId="0" applyFont="1" applyFill="1" applyBorder="1" applyAlignment="1">
      <alignment horizontal="center" vertical="center" wrapText="1"/>
    </xf>
    <xf numFmtId="170" fontId="18" fillId="15" borderId="1" xfId="0" applyNumberFormat="1" applyFont="1" applyFill="1" applyBorder="1" applyAlignment="1">
      <alignment horizontal="center" vertical="center" wrapText="1"/>
    </xf>
    <xf numFmtId="171" fontId="17" fillId="15" borderId="1" xfId="0" applyNumberFormat="1" applyFont="1" applyFill="1" applyBorder="1" applyAlignment="1">
      <alignment horizontal="center" vertical="center" wrapText="1"/>
    </xf>
    <xf numFmtId="0" fontId="6" fillId="0" borderId="0" xfId="0" applyFont="1" applyAlignment="1">
      <alignment horizontal="left"/>
    </xf>
    <xf numFmtId="0" fontId="15" fillId="0" borderId="0" xfId="0" applyFont="1" applyAlignment="1">
      <alignment horizontal="left" wrapText="1"/>
    </xf>
    <xf numFmtId="0" fontId="43" fillId="0" borderId="0" xfId="0" applyFont="1" applyAlignment="1">
      <alignment wrapText="1"/>
    </xf>
    <xf numFmtId="0" fontId="10" fillId="2" borderId="0" xfId="0" applyFont="1" applyFill="1" applyAlignment="1">
      <alignment horizontal="left" vertical="center"/>
    </xf>
    <xf numFmtId="0" fontId="12" fillId="7" borderId="1" xfId="0" applyFont="1" applyFill="1" applyBorder="1" applyAlignment="1">
      <alignment horizontal="center" vertical="center" wrapText="1"/>
    </xf>
    <xf numFmtId="0" fontId="13" fillId="0" borderId="1" xfId="0" applyFont="1" applyBorder="1" applyAlignment="1">
      <alignment horizontal="center" vertical="center"/>
    </xf>
    <xf numFmtId="0" fontId="44" fillId="0" borderId="1" xfId="0" applyFont="1" applyBorder="1" applyAlignment="1">
      <alignment horizontal="left" vertical="center" wrapText="1"/>
    </xf>
    <xf numFmtId="0" fontId="45" fillId="0" borderId="1" xfId="0" applyFont="1" applyBorder="1" applyAlignment="1">
      <alignment horizontal="center" vertical="center" wrapText="1"/>
    </xf>
    <xf numFmtId="0" fontId="15" fillId="0" borderId="1" xfId="0" applyFont="1" applyBorder="1" applyAlignment="1">
      <alignment horizontal="left" vertical="top" wrapText="1"/>
    </xf>
    <xf numFmtId="2" fontId="44" fillId="0" borderId="1" xfId="0" applyNumberFormat="1" applyFont="1" applyBorder="1" applyAlignment="1">
      <alignment horizontal="center" vertical="center" wrapText="1"/>
    </xf>
    <xf numFmtId="0" fontId="44" fillId="0" borderId="1" xfId="0" applyFont="1" applyBorder="1" applyAlignment="1">
      <alignment horizontal="center" vertical="center" wrapText="1"/>
    </xf>
    <xf numFmtId="0" fontId="13" fillId="11" borderId="1" xfId="0" applyFont="1" applyFill="1" applyBorder="1" applyAlignment="1">
      <alignment horizontal="center" vertical="center"/>
    </xf>
    <xf numFmtId="0" fontId="44" fillId="11" borderId="1" xfId="0" applyFont="1" applyFill="1" applyBorder="1" applyAlignment="1">
      <alignment horizontal="left" vertical="center" wrapText="1"/>
    </xf>
    <xf numFmtId="0" fontId="45" fillId="11" borderId="1" xfId="0" applyFont="1" applyFill="1" applyBorder="1" applyAlignment="1">
      <alignment horizontal="center" vertical="center" wrapText="1"/>
    </xf>
    <xf numFmtId="2" fontId="44" fillId="11" borderId="1" xfId="0" applyNumberFormat="1" applyFont="1" applyFill="1" applyBorder="1" applyAlignment="1">
      <alignment horizontal="center" vertical="center" wrapText="1"/>
    </xf>
    <xf numFmtId="0" fontId="44" fillId="11" borderId="1" xfId="0" applyFont="1" applyFill="1" applyBorder="1" applyAlignment="1">
      <alignment horizontal="center" vertical="center" wrapText="1"/>
    </xf>
    <xf numFmtId="165" fontId="44" fillId="0" borderId="1" xfId="0" applyNumberFormat="1" applyFont="1" applyBorder="1" applyAlignment="1">
      <alignment horizontal="center" vertical="center" wrapText="1"/>
    </xf>
    <xf numFmtId="165" fontId="44" fillId="11" borderId="1" xfId="0" applyNumberFormat="1" applyFont="1" applyFill="1" applyBorder="1" applyAlignment="1">
      <alignment horizontal="center" vertical="center" wrapText="1"/>
    </xf>
    <xf numFmtId="1" fontId="44" fillId="0" borderId="1" xfId="0" applyNumberFormat="1" applyFont="1" applyBorder="1" applyAlignment="1">
      <alignment horizontal="center" vertical="center" wrapText="1"/>
    </xf>
    <xf numFmtId="1" fontId="44" fillId="11" borderId="1" xfId="0" applyNumberFormat="1" applyFont="1" applyFill="1" applyBorder="1" applyAlignment="1">
      <alignment horizontal="center" vertical="center" wrapText="1"/>
    </xf>
    <xf numFmtId="0" fontId="46" fillId="41" borderId="1" xfId="0" applyFont="1" applyFill="1" applyBorder="1" applyAlignment="1">
      <alignment horizontal="left" vertical="top" wrapText="1"/>
    </xf>
    <xf numFmtId="0" fontId="0" fillId="0" borderId="7" xfId="0" applyBorder="1"/>
    <xf numFmtId="0" fontId="0" fillId="0" borderId="8" xfId="0" applyBorder="1"/>
    <xf numFmtId="0" fontId="11" fillId="16" borderId="1" xfId="0" applyFont="1" applyFill="1" applyBorder="1" applyAlignment="1">
      <alignment horizontal="center" vertical="center" wrapText="1"/>
    </xf>
    <xf numFmtId="0" fontId="22" fillId="23" borderId="1" xfId="0" applyFont="1" applyFill="1" applyBorder="1" applyAlignment="1">
      <alignment horizontal="left" vertical="top" wrapText="1"/>
    </xf>
    <xf numFmtId="0" fontId="22" fillId="8" borderId="1" xfId="0" applyFont="1" applyFill="1" applyBorder="1" applyAlignment="1">
      <alignment horizontal="left" vertical="top" wrapText="1"/>
    </xf>
    <xf numFmtId="0" fontId="22" fillId="3" borderId="1" xfId="0" applyFont="1" applyFill="1" applyBorder="1" applyAlignment="1">
      <alignment horizontal="left" vertical="top" wrapText="1"/>
    </xf>
    <xf numFmtId="0" fontId="22" fillId="33" borderId="1" xfId="0" applyFont="1" applyFill="1" applyBorder="1" applyAlignment="1">
      <alignment horizontal="left" vertical="top" wrapText="1"/>
    </xf>
    <xf numFmtId="0" fontId="5" fillId="11" borderId="1" xfId="0" applyFont="1" applyFill="1" applyBorder="1" applyAlignment="1">
      <alignment horizontal="left" vertical="center"/>
    </xf>
    <xf numFmtId="10" fontId="47" fillId="6" borderId="1" xfId="0" applyNumberFormat="1" applyFont="1" applyFill="1" applyBorder="1" applyAlignment="1">
      <alignment horizontal="right" vertical="center"/>
    </xf>
    <xf numFmtId="167" fontId="47" fillId="6" borderId="1" xfId="0" applyNumberFormat="1" applyFont="1" applyFill="1" applyBorder="1" applyAlignment="1">
      <alignment horizontal="right" vertical="center"/>
    </xf>
    <xf numFmtId="0" fontId="16" fillId="11" borderId="1" xfId="0" applyFont="1" applyFill="1" applyBorder="1" applyAlignment="1">
      <alignment horizontal="left" vertical="center"/>
    </xf>
    <xf numFmtId="172" fontId="47" fillId="6" borderId="1" xfId="0" applyNumberFormat="1" applyFont="1" applyFill="1" applyBorder="1" applyAlignment="1">
      <alignment horizontal="right" vertical="center"/>
    </xf>
    <xf numFmtId="173" fontId="47" fillId="8" borderId="1" xfId="0" applyNumberFormat="1" applyFont="1" applyFill="1" applyBorder="1" applyAlignment="1">
      <alignment horizontal="right" vertical="center"/>
    </xf>
    <xf numFmtId="173" fontId="47" fillId="6" borderId="1" xfId="0" applyNumberFormat="1" applyFont="1" applyFill="1" applyBorder="1" applyAlignment="1">
      <alignment horizontal="right" vertical="center"/>
    </xf>
    <xf numFmtId="167" fontId="47" fillId="8" borderId="1" xfId="0" applyNumberFormat="1" applyFont="1" applyFill="1" applyBorder="1" applyAlignment="1">
      <alignment horizontal="right" vertical="center"/>
    </xf>
    <xf numFmtId="167" fontId="47" fillId="5" borderId="1" xfId="0" applyNumberFormat="1" applyFont="1" applyFill="1" applyBorder="1" applyAlignment="1">
      <alignment horizontal="right" vertical="center"/>
    </xf>
    <xf numFmtId="4" fontId="47" fillId="4" borderId="1" xfId="0" applyNumberFormat="1" applyFont="1" applyFill="1" applyBorder="1" applyAlignment="1">
      <alignment horizontal="right" vertical="center"/>
    </xf>
    <xf numFmtId="0" fontId="5" fillId="11" borderId="1" xfId="0" applyFont="1" applyFill="1" applyBorder="1"/>
    <xf numFmtId="173" fontId="47" fillId="8" borderId="1" xfId="0" applyNumberFormat="1" applyFont="1" applyFill="1" applyBorder="1"/>
    <xf numFmtId="173" fontId="47" fillId="6" borderId="1" xfId="0" applyNumberFormat="1" applyFont="1" applyFill="1" applyBorder="1"/>
    <xf numFmtId="167" fontId="47" fillId="8" borderId="1" xfId="0" applyNumberFormat="1" applyFont="1" applyFill="1" applyBorder="1"/>
    <xf numFmtId="167" fontId="47" fillId="5" borderId="1" xfId="0" applyNumberFormat="1" applyFont="1" applyFill="1" applyBorder="1"/>
    <xf numFmtId="4" fontId="47" fillId="4" borderId="1" xfId="0" applyNumberFormat="1" applyFont="1" applyFill="1" applyBorder="1"/>
    <xf numFmtId="0" fontId="11" fillId="16" borderId="9" xfId="0" applyFont="1" applyFill="1" applyBorder="1" applyAlignment="1">
      <alignment horizontal="left" vertical="center" wrapText="1"/>
    </xf>
    <xf numFmtId="0" fontId="11" fillId="16" borderId="9" xfId="0" applyFont="1" applyFill="1" applyBorder="1" applyAlignment="1">
      <alignment horizontal="center" vertical="center" wrapText="1"/>
    </xf>
    <xf numFmtId="0" fontId="48" fillId="24" borderId="9" xfId="0" applyFont="1" applyFill="1" applyBorder="1" applyAlignment="1">
      <alignment horizontal="left" vertical="center" wrapText="1"/>
    </xf>
    <xf numFmtId="167" fontId="48" fillId="24" borderId="9" xfId="0" applyNumberFormat="1" applyFont="1" applyFill="1" applyBorder="1" applyAlignment="1">
      <alignment horizontal="center" vertical="center" wrapText="1"/>
    </xf>
    <xf numFmtId="172" fontId="7" fillId="3" borderId="1" xfId="0" applyNumberFormat="1" applyFont="1" applyFill="1" applyBorder="1" applyAlignment="1">
      <alignment horizontal="right" vertical="center"/>
    </xf>
    <xf numFmtId="164" fontId="7" fillId="3" borderId="1" xfId="0" applyNumberFormat="1" applyFont="1" applyFill="1" applyBorder="1" applyAlignment="1">
      <alignment horizontal="right" vertical="center"/>
    </xf>
    <xf numFmtId="1" fontId="7" fillId="3" borderId="1" xfId="0" applyNumberFormat="1" applyFont="1" applyFill="1" applyBorder="1" applyAlignment="1">
      <alignment horizontal="right" vertical="center"/>
    </xf>
    <xf numFmtId="166" fontId="7" fillId="3" borderId="1" xfId="0" applyNumberFormat="1" applyFont="1" applyFill="1" applyBorder="1" applyAlignment="1">
      <alignment horizontal="right" vertical="center"/>
    </xf>
    <xf numFmtId="174" fontId="7" fillId="3" borderId="1" xfId="0" applyNumberFormat="1" applyFont="1" applyFill="1" applyBorder="1" applyAlignment="1">
      <alignment horizontal="right" vertical="center"/>
    </xf>
    <xf numFmtId="0" fontId="7" fillId="0" borderId="1" xfId="0" applyFont="1" applyBorder="1" applyAlignment="1">
      <alignment horizontal="right" vertical="center"/>
    </xf>
    <xf numFmtId="173" fontId="7" fillId="3" borderId="1" xfId="0" applyNumberFormat="1" applyFont="1" applyFill="1" applyBorder="1" applyAlignment="1">
      <alignment horizontal="right" vertical="center"/>
    </xf>
    <xf numFmtId="49" fontId="7" fillId="3" borderId="1" xfId="0" applyNumberFormat="1" applyFont="1" applyFill="1" applyBorder="1" applyAlignment="1">
      <alignment horizontal="center" vertical="center"/>
    </xf>
    <xf numFmtId="0" fontId="7" fillId="3" borderId="1" xfId="0" applyFont="1" applyFill="1" applyBorder="1"/>
    <xf numFmtId="0" fontId="16" fillId="24" borderId="3" xfId="0" applyFont="1" applyFill="1" applyBorder="1" applyAlignment="1">
      <alignment horizontal="left" vertical="center"/>
    </xf>
    <xf numFmtId="0" fontId="17" fillId="24" borderId="3" xfId="0" applyFont="1" applyFill="1" applyBorder="1" applyAlignment="1">
      <alignment horizontal="center" vertical="center" wrapText="1"/>
    </xf>
    <xf numFmtId="0" fontId="17" fillId="24" borderId="3" xfId="0" applyFont="1" applyFill="1" applyBorder="1" applyAlignment="1">
      <alignment horizontal="left" vertical="center"/>
    </xf>
    <xf numFmtId="166" fontId="50" fillId="24" borderId="3" xfId="0" applyNumberFormat="1" applyFont="1" applyFill="1" applyBorder="1" applyAlignment="1">
      <alignment horizontal="right" vertical="center"/>
    </xf>
    <xf numFmtId="166" fontId="51" fillId="13" borderId="3" xfId="0" applyNumberFormat="1" applyFont="1" applyFill="1" applyBorder="1" applyAlignment="1">
      <alignment horizontal="right" vertical="center"/>
    </xf>
    <xf numFmtId="0" fontId="16" fillId="0" borderId="3" xfId="0" applyFont="1" applyBorder="1" applyAlignment="1">
      <alignment horizontal="left" vertical="center"/>
    </xf>
    <xf numFmtId="0" fontId="17" fillId="0" borderId="3" xfId="0" applyFont="1" applyBorder="1" applyAlignment="1">
      <alignment horizontal="left" vertical="center"/>
    </xf>
    <xf numFmtId="166" fontId="15" fillId="0" borderId="3" xfId="0" applyNumberFormat="1" applyFont="1" applyBorder="1" applyAlignment="1">
      <alignment horizontal="right" vertical="center"/>
    </xf>
    <xf numFmtId="0" fontId="16" fillId="11" borderId="3" xfId="0" applyFont="1" applyFill="1" applyBorder="1" applyAlignment="1">
      <alignment horizontal="left" vertical="center"/>
    </xf>
    <xf numFmtId="0" fontId="17" fillId="11" borderId="3" xfId="0" applyFont="1" applyFill="1" applyBorder="1" applyAlignment="1">
      <alignment horizontal="left" vertical="center"/>
    </xf>
    <xf numFmtId="166" fontId="15" fillId="11" borderId="3" xfId="0" applyNumberFormat="1" applyFont="1" applyFill="1" applyBorder="1" applyAlignment="1">
      <alignment horizontal="right" vertical="center"/>
    </xf>
    <xf numFmtId="0" fontId="16" fillId="3" borderId="3" xfId="0" applyFont="1" applyFill="1" applyBorder="1" applyAlignment="1">
      <alignment horizontal="left" vertical="center"/>
    </xf>
    <xf numFmtId="0" fontId="17" fillId="3" borderId="3" xfId="0" applyFont="1" applyFill="1" applyBorder="1" applyAlignment="1">
      <alignment horizontal="center" vertical="center" wrapText="1"/>
    </xf>
    <xf numFmtId="0" fontId="17" fillId="3" borderId="3" xfId="0" applyFont="1" applyFill="1" applyBorder="1" applyAlignment="1">
      <alignment horizontal="left" vertical="center"/>
    </xf>
    <xf numFmtId="166" fontId="21" fillId="3" borderId="3" xfId="0" applyNumberFormat="1" applyFont="1" applyFill="1" applyBorder="1" applyAlignment="1">
      <alignment horizontal="right" vertical="center"/>
    </xf>
    <xf numFmtId="0" fontId="16" fillId="13" borderId="3" xfId="0" applyFont="1" applyFill="1" applyBorder="1" applyAlignment="1">
      <alignment horizontal="left" vertical="center"/>
    </xf>
    <xf numFmtId="0" fontId="17" fillId="13" borderId="3" xfId="0" applyFont="1" applyFill="1" applyBorder="1" applyAlignment="1">
      <alignment horizontal="center" vertical="center" wrapText="1"/>
    </xf>
    <xf numFmtId="0" fontId="17" fillId="13" borderId="3" xfId="0" applyFont="1" applyFill="1" applyBorder="1" applyAlignment="1">
      <alignment horizontal="left" vertical="center"/>
    </xf>
    <xf numFmtId="166" fontId="21" fillId="13" borderId="3" xfId="0" applyNumberFormat="1" applyFont="1" applyFill="1" applyBorder="1" applyAlignment="1">
      <alignment horizontal="right" vertical="center"/>
    </xf>
    <xf numFmtId="166" fontId="17" fillId="13" borderId="3" xfId="0" applyNumberFormat="1" applyFont="1" applyFill="1" applyBorder="1" applyAlignment="1">
      <alignment horizontal="right" vertical="center"/>
    </xf>
    <xf numFmtId="0" fontId="52" fillId="8" borderId="1" xfId="0" applyFont="1" applyFill="1" applyBorder="1" applyAlignment="1">
      <alignment horizontal="center" vertical="center"/>
    </xf>
    <xf numFmtId="0" fontId="32"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5" fillId="8" borderId="1" xfId="0" applyFont="1" applyFill="1" applyBorder="1" applyAlignment="1">
      <alignment horizontal="left" vertical="top" wrapText="1"/>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2" fillId="18" borderId="1" xfId="0" applyFont="1" applyFill="1" applyBorder="1" applyAlignment="1">
      <alignment horizontal="left" vertical="center" wrapText="1"/>
    </xf>
    <xf numFmtId="0" fontId="33" fillId="0" borderId="0" xfId="0" applyFont="1" applyAlignment="1">
      <alignment horizontal="left" vertical="top" wrapText="1"/>
    </xf>
    <xf numFmtId="0" fontId="34" fillId="37" borderId="0" xfId="0" applyFont="1" applyFill="1" applyAlignment="1">
      <alignment horizontal="left" vertical="center"/>
    </xf>
    <xf numFmtId="0" fontId="34" fillId="2" borderId="0" xfId="0" applyFont="1" applyFill="1" applyAlignment="1">
      <alignment horizontal="left" vertical="center"/>
    </xf>
    <xf numFmtId="0" fontId="38" fillId="0" borderId="0" xfId="0" applyFont="1" applyAlignment="1">
      <alignment vertical="top" wrapText="1"/>
    </xf>
    <xf numFmtId="0" fontId="6" fillId="0" borderId="0" xfId="0" applyFont="1" applyAlignment="1">
      <alignment vertical="center" wrapText="1"/>
    </xf>
    <xf numFmtId="0" fontId="15" fillId="0" borderId="0" xfId="0" applyFont="1" applyAlignment="1">
      <alignment vertical="center" wrapText="1"/>
    </xf>
    <xf numFmtId="0" fontId="17" fillId="11" borderId="4" xfId="0" applyFont="1" applyFill="1" applyBorder="1" applyAlignment="1">
      <alignment vertical="top" wrapText="1"/>
    </xf>
    <xf numFmtId="0" fontId="10" fillId="2" borderId="5" xfId="0" applyFont="1" applyFill="1" applyBorder="1" applyAlignment="1">
      <alignment vertical="center" wrapText="1"/>
    </xf>
    <xf numFmtId="0" fontId="15" fillId="0" borderId="6" xfId="0" applyFont="1" applyBorder="1" applyAlignment="1">
      <alignment vertical="top" wrapText="1"/>
    </xf>
    <xf numFmtId="0" fontId="10" fillId="2" borderId="4" xfId="0" applyFont="1" applyFill="1" applyBorder="1" applyAlignment="1">
      <alignment vertical="center" wrapText="1"/>
    </xf>
    <xf numFmtId="0" fontId="15" fillId="0" borderId="4" xfId="0" applyFont="1" applyBorder="1" applyAlignment="1">
      <alignment vertical="top" wrapText="1"/>
    </xf>
    <xf numFmtId="0" fontId="25" fillId="10" borderId="4" xfId="0" applyFont="1" applyFill="1" applyBorder="1" applyAlignment="1">
      <alignment vertical="center" wrapText="1"/>
    </xf>
    <xf numFmtId="0" fontId="35" fillId="15" borderId="0" xfId="0" applyFont="1" applyFill="1" applyAlignment="1">
      <alignment horizontal="left" vertical="center"/>
    </xf>
    <xf numFmtId="0" fontId="15" fillId="11" borderId="1" xfId="0" applyFont="1" applyFill="1" applyBorder="1" applyAlignment="1">
      <alignment horizontal="left" vertical="top" wrapText="1"/>
    </xf>
    <xf numFmtId="0" fontId="25" fillId="10" borderId="1" xfId="0" applyFont="1" applyFill="1" applyBorder="1" applyAlignment="1">
      <alignment horizontal="left" vertical="center" wrapText="1"/>
    </xf>
    <xf numFmtId="0" fontId="49" fillId="0" borderId="0" xfId="0" applyFont="1" applyAlignment="1">
      <alignment horizontal="left" vertical="center"/>
    </xf>
    <xf numFmtId="0" fontId="14" fillId="10" borderId="3" xfId="0" applyFont="1" applyFill="1" applyBorder="1" applyAlignment="1">
      <alignment horizontal="left" vertical="center"/>
    </xf>
    <xf numFmtId="0" fontId="6" fillId="0" borderId="0" xfId="0" applyFont="1" applyAlignment="1">
      <alignment horizontal="left" vertical="center"/>
    </xf>
    <xf numFmtId="0" fontId="19" fillId="8"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E9F2E2"/>
      <rgbColor rgb="FF0000FF"/>
      <rgbColor rgb="FFFFEB9C"/>
      <rgbColor rgb="FFFFE6E6"/>
      <rgbColor rgb="FFE2EFDA"/>
      <rgbColor rgb="FF9C5700"/>
      <rgbColor rgb="FF007600"/>
      <rgbColor rgb="FFF0F4FF"/>
      <rgbColor rgb="FF9C6500"/>
      <rgbColor rgb="FFF6E8E7"/>
      <rgbColor rgb="FF005073"/>
      <rgbColor rgb="FFC0C0C0"/>
      <rgbColor rgb="FF808080"/>
      <rgbColor rgb="FFD9E1F2"/>
      <rgbColor rgb="FF7030A0"/>
      <rgbColor rgb="FFFFFACD"/>
      <rgbColor rgb="FFDDEEFF"/>
      <rgbColor rgb="FF4B0082"/>
      <rgbColor rgb="FFFCE4D6"/>
      <rgbColor rgb="FF1A75B9"/>
      <rgbColor rgb="FFBDD7EE"/>
      <rgbColor rgb="FFFBF6E0"/>
      <rgbColor rgb="FFEDE7F6"/>
      <rgbColor rgb="FFFFF2CC"/>
      <rgbColor rgb="FFE6F0F0"/>
      <rgbColor rgb="FFEDEAF4"/>
      <rgbColor rgb="FFE8EEF6"/>
      <rgbColor rgb="FF1F4E79"/>
      <rgbColor rgb="FFF2F2F2"/>
      <rgbColor rgb="FFE4DFEC"/>
      <rgbColor rgb="FFDEEBF7"/>
      <rgbColor rgb="FFC6EFCE"/>
      <rgbColor rgb="FFFFF0B3"/>
      <rgbColor rgb="FFCCCCCC"/>
      <rgbColor rgb="FFF2DCDB"/>
      <rgbColor rgb="FFDDDDDD"/>
      <rgbColor rgb="FFFFE699"/>
      <rgbColor rgb="FF2E75B6"/>
      <rgbColor rgb="FFDCE6F1"/>
      <rgbColor rgb="FFD9EAD3"/>
      <rgbColor rgb="FFFCE5CD"/>
      <rgbColor rgb="FFFFE4E1"/>
      <rgbColor rgb="FFC65911"/>
      <rgbColor rgb="FF595959"/>
      <rgbColor rgb="FF70AD47"/>
      <rgbColor rgb="FF1F3864"/>
      <rgbColor rgb="FF305496"/>
      <rgbColor rgb="FFFBF1DC"/>
      <rgbColor rgb="FF7B5800"/>
      <rgbColor rgb="FF7B3F00"/>
      <rgbColor rgb="FF5B525F"/>
      <rgbColor rgb="FF1F497D"/>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5B6"/>
  </sheetPr>
  <dimension ref="A1:C61"/>
  <sheetViews>
    <sheetView topLeftCell="A14" zoomScaleNormal="100" workbookViewId="0">
      <selection activeCell="E10" sqref="E10"/>
    </sheetView>
  </sheetViews>
  <sheetFormatPr defaultColWidth="8.7109375" defaultRowHeight="15" x14ac:dyDescent="0.25"/>
  <cols>
    <col min="1" max="1" width="5" customWidth="1"/>
    <col min="2" max="2" width="28" customWidth="1"/>
    <col min="3" max="3" width="90" customWidth="1"/>
  </cols>
  <sheetData>
    <row r="1" spans="1:3" ht="27.75" customHeight="1" x14ac:dyDescent="0.3">
      <c r="A1" s="14" t="s">
        <v>0</v>
      </c>
      <c r="B1" s="14"/>
      <c r="C1" s="14"/>
    </row>
    <row r="2" spans="1:3" ht="18" customHeight="1" x14ac:dyDescent="0.25">
      <c r="A2" s="13" t="s">
        <v>1</v>
      </c>
      <c r="B2" s="13"/>
      <c r="C2" s="13"/>
    </row>
    <row r="4" spans="1:3" ht="21.75" customHeight="1" x14ac:dyDescent="0.25">
      <c r="A4" s="12" t="s">
        <v>2</v>
      </c>
      <c r="B4" s="12"/>
      <c r="C4" s="12"/>
    </row>
    <row r="6" spans="1:3" ht="55.5" customHeight="1" x14ac:dyDescent="0.25">
      <c r="B6" s="16" t="s">
        <v>3</v>
      </c>
      <c r="C6" s="17" t="s">
        <v>4</v>
      </c>
    </row>
    <row r="7" spans="1:3" ht="42" customHeight="1" x14ac:dyDescent="0.25">
      <c r="B7" s="16" t="s">
        <v>5</v>
      </c>
      <c r="C7" s="17" t="s">
        <v>6</v>
      </c>
    </row>
    <row r="8" spans="1:3" ht="69.75" customHeight="1" x14ac:dyDescent="0.25">
      <c r="B8" s="16" t="s">
        <v>7</v>
      </c>
      <c r="C8" s="17" t="s">
        <v>8</v>
      </c>
    </row>
    <row r="9" spans="1:3" ht="69.75" customHeight="1" x14ac:dyDescent="0.25">
      <c r="B9" s="16" t="s">
        <v>9</v>
      </c>
      <c r="C9" s="17" t="s">
        <v>10</v>
      </c>
    </row>
    <row r="11" spans="1:3" ht="21.75" customHeight="1" x14ac:dyDescent="0.25">
      <c r="A11" s="12" t="s">
        <v>11</v>
      </c>
      <c r="B11" s="12"/>
      <c r="C11" s="12"/>
    </row>
    <row r="13" spans="1:3" ht="97.5" customHeight="1" x14ac:dyDescent="0.25">
      <c r="B13" s="16" t="s">
        <v>12</v>
      </c>
      <c r="C13" s="17" t="s">
        <v>13</v>
      </c>
    </row>
    <row r="14" spans="1:3" ht="97.5" customHeight="1" x14ac:dyDescent="0.25">
      <c r="B14" s="16" t="s">
        <v>14</v>
      </c>
      <c r="C14" s="17" t="s">
        <v>15</v>
      </c>
    </row>
    <row r="16" spans="1:3" ht="21.75" customHeight="1" x14ac:dyDescent="0.25">
      <c r="A16" s="12" t="s">
        <v>16</v>
      </c>
      <c r="B16" s="12"/>
      <c r="C16" s="12"/>
    </row>
    <row r="18" spans="1:3" ht="27.75" customHeight="1" x14ac:dyDescent="0.25">
      <c r="B18" s="16" t="s">
        <v>17</v>
      </c>
      <c r="C18" s="17" t="s">
        <v>18</v>
      </c>
    </row>
    <row r="19" spans="1:3" ht="42" customHeight="1" x14ac:dyDescent="0.25">
      <c r="B19" s="16" t="s">
        <v>19</v>
      </c>
      <c r="C19" s="17" t="s">
        <v>20</v>
      </c>
    </row>
    <row r="20" spans="1:3" ht="27.75" customHeight="1" x14ac:dyDescent="0.25">
      <c r="B20" s="16" t="s">
        <v>21</v>
      </c>
      <c r="C20" s="17" t="s">
        <v>22</v>
      </c>
    </row>
    <row r="21" spans="1:3" ht="27.75" customHeight="1" x14ac:dyDescent="0.25">
      <c r="B21" s="16" t="s">
        <v>23</v>
      </c>
      <c r="C21" s="17" t="s">
        <v>24</v>
      </c>
    </row>
    <row r="22" spans="1:3" ht="27.75" customHeight="1" x14ac:dyDescent="0.25">
      <c r="B22" s="16" t="s">
        <v>25</v>
      </c>
      <c r="C22" s="17" t="s">
        <v>26</v>
      </c>
    </row>
    <row r="23" spans="1:3" ht="42" customHeight="1" x14ac:dyDescent="0.25">
      <c r="B23" s="16" t="s">
        <v>27</v>
      </c>
      <c r="C23" s="17" t="s">
        <v>28</v>
      </c>
    </row>
    <row r="24" spans="1:3" ht="27.75" customHeight="1" x14ac:dyDescent="0.25">
      <c r="B24" s="16" t="s">
        <v>29</v>
      </c>
      <c r="C24" s="17" t="s">
        <v>30</v>
      </c>
    </row>
    <row r="26" spans="1:3" ht="21.75" customHeight="1" x14ac:dyDescent="0.25">
      <c r="A26" s="12" t="s">
        <v>31</v>
      </c>
      <c r="B26" s="12"/>
      <c r="C26" s="12"/>
    </row>
    <row r="28" spans="1:3" ht="18" customHeight="1" x14ac:dyDescent="0.25">
      <c r="B28" s="16" t="s">
        <v>32</v>
      </c>
      <c r="C28" s="17" t="s">
        <v>33</v>
      </c>
    </row>
    <row r="29" spans="1:3" ht="27.75" customHeight="1" x14ac:dyDescent="0.25">
      <c r="B29" s="16" t="s">
        <v>34</v>
      </c>
      <c r="C29" s="17" t="s">
        <v>35</v>
      </c>
    </row>
    <row r="30" spans="1:3" ht="27.75" customHeight="1" x14ac:dyDescent="0.25">
      <c r="B30" s="16" t="s">
        <v>36</v>
      </c>
      <c r="C30" s="17" t="s">
        <v>37</v>
      </c>
    </row>
    <row r="31" spans="1:3" ht="27.75" customHeight="1" x14ac:dyDescent="0.25">
      <c r="B31" s="16" t="s">
        <v>38</v>
      </c>
      <c r="C31" s="17" t="s">
        <v>39</v>
      </c>
    </row>
    <row r="32" spans="1:3" ht="18" customHeight="1" x14ac:dyDescent="0.25">
      <c r="B32" s="16" t="s">
        <v>40</v>
      </c>
      <c r="C32" s="17" t="s">
        <v>41</v>
      </c>
    </row>
    <row r="33" spans="1:3" ht="18" customHeight="1" x14ac:dyDescent="0.25">
      <c r="B33" s="16" t="s">
        <v>42</v>
      </c>
      <c r="C33" s="17" t="s">
        <v>43</v>
      </c>
    </row>
    <row r="34" spans="1:3" ht="27.75" customHeight="1" x14ac:dyDescent="0.25">
      <c r="B34" s="16" t="s">
        <v>44</v>
      </c>
      <c r="C34" s="17" t="s">
        <v>45</v>
      </c>
    </row>
    <row r="36" spans="1:3" ht="21.75" customHeight="1" x14ac:dyDescent="0.25">
      <c r="A36" s="12" t="s">
        <v>46</v>
      </c>
      <c r="B36" s="12"/>
      <c r="C36" s="12"/>
    </row>
    <row r="38" spans="1:3" ht="27.75" customHeight="1" x14ac:dyDescent="0.25">
      <c r="B38" s="16" t="s">
        <v>47</v>
      </c>
      <c r="C38" s="17" t="s">
        <v>48</v>
      </c>
    </row>
    <row r="39" spans="1:3" ht="18" customHeight="1" x14ac:dyDescent="0.25">
      <c r="B39" s="16" t="s">
        <v>49</v>
      </c>
      <c r="C39" s="17" t="s">
        <v>50</v>
      </c>
    </row>
    <row r="40" spans="1:3" ht="42" customHeight="1" x14ac:dyDescent="0.25">
      <c r="B40" s="16" t="s">
        <v>51</v>
      </c>
      <c r="C40" s="17" t="s">
        <v>52</v>
      </c>
    </row>
    <row r="41" spans="1:3" ht="27.75" customHeight="1" x14ac:dyDescent="0.25">
      <c r="B41" s="16" t="s">
        <v>53</v>
      </c>
      <c r="C41" s="17" t="s">
        <v>54</v>
      </c>
    </row>
    <row r="43" spans="1:3" ht="21.75" customHeight="1" x14ac:dyDescent="0.25">
      <c r="A43" s="12" t="s">
        <v>55</v>
      </c>
      <c r="B43" s="12"/>
      <c r="C43" s="12"/>
    </row>
    <row r="45" spans="1:3" ht="55.5" customHeight="1" x14ac:dyDescent="0.25">
      <c r="B45" s="16" t="s">
        <v>56</v>
      </c>
      <c r="C45" s="17" t="s">
        <v>57</v>
      </c>
    </row>
    <row r="46" spans="1:3" ht="42" customHeight="1" x14ac:dyDescent="0.25">
      <c r="B46" s="16" t="s">
        <v>58</v>
      </c>
      <c r="C46" s="17" t="s">
        <v>59</v>
      </c>
    </row>
    <row r="47" spans="1:3" ht="55.5" customHeight="1" x14ac:dyDescent="0.25">
      <c r="B47" s="16" t="s">
        <v>60</v>
      </c>
      <c r="C47" s="17" t="s">
        <v>61</v>
      </c>
    </row>
    <row r="48" spans="1:3" ht="55.5" customHeight="1" x14ac:dyDescent="0.25">
      <c r="B48" s="16" t="s">
        <v>62</v>
      </c>
      <c r="C48" s="17" t="s">
        <v>63</v>
      </c>
    </row>
    <row r="49" spans="1:3" ht="55.5" customHeight="1" x14ac:dyDescent="0.25">
      <c r="B49" s="16" t="s">
        <v>64</v>
      </c>
      <c r="C49" s="17" t="s">
        <v>65</v>
      </c>
    </row>
    <row r="50" spans="1:3" ht="42" customHeight="1" x14ac:dyDescent="0.25">
      <c r="B50" s="16" t="s">
        <v>66</v>
      </c>
      <c r="C50" s="17" t="s">
        <v>67</v>
      </c>
    </row>
    <row r="51" spans="1:3" ht="55.5" customHeight="1" x14ac:dyDescent="0.25">
      <c r="B51" s="16" t="s">
        <v>68</v>
      </c>
      <c r="C51" s="17" t="s">
        <v>69</v>
      </c>
    </row>
    <row r="53" spans="1:3" ht="21.75" customHeight="1" x14ac:dyDescent="0.25">
      <c r="A53" s="12" t="s">
        <v>70</v>
      </c>
      <c r="B53" s="12"/>
      <c r="C53" s="12"/>
    </row>
    <row r="55" spans="1:3" ht="18" customHeight="1" x14ac:dyDescent="0.25">
      <c r="B55" s="16" t="s">
        <v>71</v>
      </c>
      <c r="C55" s="17" t="s">
        <v>72</v>
      </c>
    </row>
    <row r="56" spans="1:3" ht="18" customHeight="1" x14ac:dyDescent="0.25">
      <c r="B56" s="16" t="s">
        <v>73</v>
      </c>
      <c r="C56" s="17" t="s">
        <v>74</v>
      </c>
    </row>
    <row r="57" spans="1:3" ht="18" customHeight="1" x14ac:dyDescent="0.25">
      <c r="B57" s="16" t="s">
        <v>75</v>
      </c>
      <c r="C57" s="17" t="s">
        <v>76</v>
      </c>
    </row>
    <row r="58" spans="1:3" ht="18" customHeight="1" x14ac:dyDescent="0.25">
      <c r="B58" s="16" t="s">
        <v>77</v>
      </c>
      <c r="C58" s="17" t="s">
        <v>78</v>
      </c>
    </row>
    <row r="59" spans="1:3" ht="18" customHeight="1" x14ac:dyDescent="0.25">
      <c r="B59" s="16" t="s">
        <v>79</v>
      </c>
      <c r="C59" s="17" t="s">
        <v>80</v>
      </c>
    </row>
    <row r="60" spans="1:3" ht="18" customHeight="1" x14ac:dyDescent="0.25">
      <c r="B60" s="16" t="s">
        <v>81</v>
      </c>
      <c r="C60" s="17" t="s">
        <v>82</v>
      </c>
    </row>
    <row r="61" spans="1:3" ht="18" customHeight="1" x14ac:dyDescent="0.25">
      <c r="B61" s="16" t="s">
        <v>83</v>
      </c>
      <c r="C61" s="17" t="s">
        <v>84</v>
      </c>
    </row>
  </sheetData>
  <mergeCells count="9">
    <mergeCell ref="A26:C26"/>
    <mergeCell ref="A36:C36"/>
    <mergeCell ref="A43:C43"/>
    <mergeCell ref="A53:C53"/>
    <mergeCell ref="A1:C1"/>
    <mergeCell ref="A2:C2"/>
    <mergeCell ref="A4:C4"/>
    <mergeCell ref="A11:C11"/>
    <mergeCell ref="A16:C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X138"/>
  <sheetViews>
    <sheetView topLeftCell="A86" zoomScaleNormal="100" workbookViewId="0">
      <selection activeCell="D48" sqref="A48:D53"/>
    </sheetView>
  </sheetViews>
  <sheetFormatPr defaultColWidth="8.7109375" defaultRowHeight="15" x14ac:dyDescent="0.25"/>
  <cols>
    <col min="1" max="1" width="58.140625" customWidth="1"/>
    <col min="2" max="2" width="24" customWidth="1"/>
    <col min="3" max="3" width="7" customWidth="1"/>
    <col min="4" max="4" width="9.7109375" customWidth="1"/>
    <col min="5" max="15" width="7" customWidth="1"/>
    <col min="16" max="16" width="22" customWidth="1"/>
  </cols>
  <sheetData>
    <row r="1" spans="1:16" ht="27.75" customHeight="1" x14ac:dyDescent="0.25">
      <c r="A1" s="11" t="str">
        <f>"CPAT Policy Dashboard — "&amp;Version</f>
        <v>CPAT Policy Dashboard — v1.6</v>
      </c>
      <c r="B1" s="11"/>
      <c r="C1" s="11"/>
      <c r="D1" s="11"/>
      <c r="E1" s="11"/>
      <c r="F1" s="11"/>
      <c r="G1" s="11"/>
      <c r="H1" s="11"/>
    </row>
    <row r="2" spans="1:16" ht="31.5" customHeight="1" x14ac:dyDescent="0.25">
      <c r="A2" s="15" t="s">
        <v>85</v>
      </c>
    </row>
    <row r="4" spans="1:16" ht="18" customHeight="1" x14ac:dyDescent="0.25">
      <c r="A4" s="10" t="s">
        <v>86</v>
      </c>
      <c r="B4" s="10"/>
      <c r="C4" s="10"/>
      <c r="D4" s="10"/>
      <c r="E4" s="10"/>
      <c r="F4" s="10"/>
      <c r="G4" s="10"/>
      <c r="H4" s="10"/>
      <c r="I4" s="10"/>
      <c r="J4" s="10"/>
      <c r="K4" s="10"/>
      <c r="L4" s="10"/>
      <c r="M4" s="10"/>
      <c r="N4" s="10"/>
      <c r="O4" s="10"/>
      <c r="P4" s="10"/>
    </row>
    <row r="5" spans="1:16" ht="18" customHeight="1" x14ac:dyDescent="0.25">
      <c r="A5" s="18" t="s">
        <v>87</v>
      </c>
      <c r="B5" s="19" t="s">
        <v>88</v>
      </c>
      <c r="C5" s="20" t="s">
        <v>89</v>
      </c>
      <c r="D5" s="21" t="s">
        <v>90</v>
      </c>
    </row>
    <row r="6" spans="1:16" ht="18" customHeight="1" x14ac:dyDescent="0.25">
      <c r="A6" s="18" t="s">
        <v>91</v>
      </c>
      <c r="B6" s="19">
        <v>2030</v>
      </c>
      <c r="C6" s="20" t="s">
        <v>89</v>
      </c>
      <c r="D6" s="21" t="s">
        <v>92</v>
      </c>
      <c r="P6" s="22">
        <f>MATCH(TEXT($B$6,"0"),input_data!$M$3:$X$3,0)</f>
        <v>7</v>
      </c>
    </row>
    <row r="7" spans="1:16" ht="28.5" customHeight="1" x14ac:dyDescent="0.25">
      <c r="A7" s="18" t="s">
        <v>93</v>
      </c>
      <c r="B7" s="19">
        <v>0.7</v>
      </c>
      <c r="C7" s="20" t="s">
        <v>89</v>
      </c>
      <c r="D7" s="21" t="s">
        <v>94</v>
      </c>
    </row>
    <row r="9" spans="1:16" ht="18" customHeight="1" x14ac:dyDescent="0.25">
      <c r="A9" s="10" t="s">
        <v>95</v>
      </c>
      <c r="B9" s="10"/>
      <c r="C9" s="10"/>
      <c r="D9" s="10"/>
      <c r="E9" s="10"/>
      <c r="F9" s="10"/>
      <c r="G9" s="10"/>
      <c r="H9" s="10"/>
      <c r="I9" s="10"/>
      <c r="J9" s="10"/>
      <c r="K9" s="10"/>
      <c r="L9" s="10"/>
      <c r="M9" s="10"/>
      <c r="N9" s="10"/>
      <c r="O9" s="10"/>
      <c r="P9" s="10"/>
    </row>
    <row r="10" spans="1:16" ht="18" customHeight="1" x14ac:dyDescent="0.25">
      <c r="A10" s="23" t="s">
        <v>96</v>
      </c>
    </row>
    <row r="11" spans="1:16" ht="15.75" customHeight="1" x14ac:dyDescent="0.25">
      <c r="A11" s="24" t="s">
        <v>97</v>
      </c>
      <c r="B11" s="25">
        <v>1</v>
      </c>
      <c r="C11" s="20" t="s">
        <v>89</v>
      </c>
      <c r="D11" s="21" t="s">
        <v>98</v>
      </c>
    </row>
    <row r="12" spans="1:16" ht="15.75" customHeight="1" x14ac:dyDescent="0.25">
      <c r="A12" s="24" t="s">
        <v>99</v>
      </c>
      <c r="B12" s="25">
        <v>1</v>
      </c>
      <c r="C12" s="20" t="s">
        <v>89</v>
      </c>
      <c r="D12" s="21" t="s">
        <v>100</v>
      </c>
    </row>
    <row r="13" spans="1:16" ht="15.75" customHeight="1" x14ac:dyDescent="0.25">
      <c r="A13" s="24" t="s">
        <v>101</v>
      </c>
      <c r="B13" s="25">
        <v>1</v>
      </c>
      <c r="C13" s="20" t="s">
        <v>89</v>
      </c>
      <c r="D13" s="21" t="s">
        <v>102</v>
      </c>
    </row>
    <row r="14" spans="1:16" ht="15.75" customHeight="1" x14ac:dyDescent="0.25">
      <c r="A14" s="24" t="s">
        <v>103</v>
      </c>
      <c r="B14" s="25">
        <v>1</v>
      </c>
      <c r="C14" s="20" t="s">
        <v>89</v>
      </c>
      <c r="D14" s="21" t="s">
        <v>104</v>
      </c>
    </row>
    <row r="15" spans="1:16" ht="15.75" customHeight="1" x14ac:dyDescent="0.25">
      <c r="A15" s="24" t="s">
        <v>105</v>
      </c>
      <c r="B15" s="25">
        <v>1</v>
      </c>
      <c r="C15" s="20" t="s">
        <v>89</v>
      </c>
      <c r="D15" s="21" t="s">
        <v>106</v>
      </c>
    </row>
    <row r="17" spans="1:24" ht="18" customHeight="1" x14ac:dyDescent="0.25">
      <c r="A17" s="23" t="s">
        <v>107</v>
      </c>
    </row>
    <row r="18" spans="1:24" ht="18" customHeight="1" x14ac:dyDescent="0.25">
      <c r="A18" s="26" t="s">
        <v>108</v>
      </c>
      <c r="B18" s="27" t="s">
        <v>109</v>
      </c>
      <c r="C18" s="27" t="s">
        <v>110</v>
      </c>
      <c r="D18" s="28" t="s">
        <v>111</v>
      </c>
      <c r="E18" s="27" t="s">
        <v>112</v>
      </c>
      <c r="F18" s="27" t="s">
        <v>113</v>
      </c>
      <c r="G18" s="27" t="s">
        <v>114</v>
      </c>
      <c r="H18" s="27" t="s">
        <v>115</v>
      </c>
      <c r="I18" s="27" t="s">
        <v>116</v>
      </c>
    </row>
    <row r="19" spans="1:24" ht="15" customHeight="1" x14ac:dyDescent="0.25">
      <c r="A19" s="26" t="s">
        <v>117</v>
      </c>
      <c r="B19" s="25">
        <v>1</v>
      </c>
      <c r="C19" s="25">
        <v>1</v>
      </c>
      <c r="D19" s="29">
        <v>1</v>
      </c>
      <c r="E19" s="25">
        <v>1</v>
      </c>
      <c r="F19" s="25">
        <v>1</v>
      </c>
      <c r="G19" s="25">
        <v>1</v>
      </c>
      <c r="H19" s="25">
        <v>1</v>
      </c>
      <c r="I19" s="25">
        <v>1</v>
      </c>
    </row>
    <row r="20" spans="1:24" ht="15" customHeight="1" x14ac:dyDescent="0.25">
      <c r="A20" s="26" t="s">
        <v>118</v>
      </c>
      <c r="B20" s="30">
        <f>INDEX(input_data!$L:$L,MATCH("all.in.cs2.stl.drg.---",input_data!$A:$A,0))</f>
        <v>0</v>
      </c>
      <c r="C20" s="30">
        <f>INDEX(input_data!$L:$L,MATCH("all.in.cs2.stl.scr.---",input_data!$A:$A,0))</f>
        <v>0</v>
      </c>
      <c r="D20" s="31">
        <f>INDEX(input_data!$L:$L,MATCH("all.in.cs2.stl.bof.---",input_data!$A:$A,0))</f>
        <v>0</v>
      </c>
      <c r="E20" s="30">
        <f>INDEX(input_data!$L:$L,MATCH("all.in.cs2.cmt.dry.---",input_data!$A:$A,0))</f>
        <v>1</v>
      </c>
      <c r="F20" s="30">
        <f>INDEX(input_data!$L:$L,MATCH("all.in.cs2.frt.amc.---",input_data!$A:$A,0))</f>
        <v>1</v>
      </c>
      <c r="G20" s="30">
        <f>INDEX(input_data!$L:$L,MATCH("all.in.cs2.frt.ure.---",input_data!$A:$A,0))</f>
        <v>1</v>
      </c>
      <c r="H20" s="30">
        <f>INDEX(input_data!$L:$L,MATCH("all.in.cs2.frt.nit.---",input_data!$A:$A,0))</f>
        <v>1</v>
      </c>
      <c r="I20" s="30">
        <f>INDEX(input_data!$L:$L,MATCH("all.in.cs2.alu.prp.---",input_data!$A:$A,0))</f>
        <v>0</v>
      </c>
    </row>
    <row r="22" spans="1:24" ht="30" customHeight="1" x14ac:dyDescent="0.25">
      <c r="A22" s="32" t="s">
        <v>119</v>
      </c>
      <c r="B22" s="25">
        <v>0</v>
      </c>
      <c r="C22" s="20" t="s">
        <v>89</v>
      </c>
      <c r="D22" s="21" t="s">
        <v>120</v>
      </c>
    </row>
    <row r="24" spans="1:24" ht="18" customHeight="1" x14ac:dyDescent="0.25">
      <c r="A24" s="10" t="s">
        <v>121</v>
      </c>
      <c r="B24" s="10"/>
      <c r="C24" s="10"/>
      <c r="D24" s="10"/>
      <c r="E24" s="10"/>
      <c r="F24" s="10"/>
      <c r="G24" s="10"/>
      <c r="H24" s="10"/>
      <c r="I24" s="10"/>
      <c r="J24" s="10"/>
      <c r="K24" s="10"/>
      <c r="L24" s="10"/>
      <c r="M24" s="10"/>
      <c r="N24" s="10"/>
      <c r="O24" s="10"/>
      <c r="P24" s="10"/>
    </row>
    <row r="25" spans="1:24" ht="21.75" customHeight="1" x14ac:dyDescent="0.25">
      <c r="A25" s="33" t="s">
        <v>122</v>
      </c>
      <c r="B25" s="33" t="s">
        <v>123</v>
      </c>
      <c r="C25" s="34"/>
      <c r="D25" s="35" t="s">
        <v>124</v>
      </c>
      <c r="E25" s="33" t="s">
        <v>125</v>
      </c>
      <c r="F25" s="33" t="s">
        <v>126</v>
      </c>
      <c r="G25" s="33" t="s">
        <v>127</v>
      </c>
      <c r="H25" s="33" t="s">
        <v>128</v>
      </c>
      <c r="I25" s="33" t="s">
        <v>129</v>
      </c>
      <c r="J25" s="33" t="s">
        <v>130</v>
      </c>
      <c r="K25" s="33" t="s">
        <v>131</v>
      </c>
      <c r="L25" s="33" t="s">
        <v>132</v>
      </c>
      <c r="M25" s="33" t="s">
        <v>133</v>
      </c>
      <c r="N25" s="33" t="s">
        <v>134</v>
      </c>
      <c r="O25" s="33" t="s">
        <v>135</v>
      </c>
    </row>
    <row r="26" spans="1:24" ht="15.75" customHeight="1" x14ac:dyDescent="0.25">
      <c r="A26" s="18" t="s">
        <v>136</v>
      </c>
      <c r="B26" s="36" t="s">
        <v>137</v>
      </c>
      <c r="C26" s="37"/>
      <c r="D26" s="38">
        <f>INDEX(input_data!$M:$X,MATCH("all.in.ets.---.---.---",input_data!$A:$A,0),1)</f>
        <v>85</v>
      </c>
      <c r="E26" s="39">
        <f>INDEX(input_data!$M:$X,MATCH("all.in.ets.---.---.---",input_data!$A:$A,0),2)</f>
        <v>90</v>
      </c>
      <c r="F26" s="39">
        <f>INDEX(input_data!$M:$X,MATCH("all.in.ets.---.---.---",input_data!$A:$A,0),3)</f>
        <v>100</v>
      </c>
      <c r="G26" s="39">
        <f>INDEX(input_data!$M:$X,MATCH("all.in.ets.---.---.---",input_data!$A:$A,0),4)</f>
        <v>105</v>
      </c>
      <c r="H26" s="39">
        <f>INDEX(input_data!$M:$X,MATCH("all.in.ets.---.---.---",input_data!$A:$A,0),5)</f>
        <v>110</v>
      </c>
      <c r="I26" s="39">
        <f>INDEX(input_data!$M:$X,MATCH("all.in.ets.---.---.---",input_data!$A:$A,0),6)</f>
        <v>110</v>
      </c>
      <c r="J26" s="39">
        <f>INDEX(input_data!$M:$X,MATCH("all.in.ets.---.---.---",input_data!$A:$A,0),7)</f>
        <v>115</v>
      </c>
      <c r="K26" s="39">
        <f>INDEX(input_data!$M:$X,MATCH("all.in.ets.---.---.---",input_data!$A:$A,0),8)</f>
        <v>120</v>
      </c>
      <c r="L26" s="39">
        <f>INDEX(input_data!$M:$X,MATCH("all.in.ets.---.---.---",input_data!$A:$A,0),9)</f>
        <v>125</v>
      </c>
      <c r="M26" s="39">
        <f>INDEX(input_data!$M:$X,MATCH("all.in.ets.---.---.---",input_data!$A:$A,0),10)</f>
        <v>130</v>
      </c>
      <c r="N26" s="39">
        <f>INDEX(input_data!$M:$X,MATCH("all.in.ets.---.---.---",input_data!$A:$A,0),11)</f>
        <v>135</v>
      </c>
      <c r="O26" s="39">
        <f>INDEX(input_data!$M:$X,MATCH("all.in.ets.---.---.---",input_data!$A:$A,0),12)</f>
        <v>140</v>
      </c>
    </row>
    <row r="27" spans="1:24" ht="15.75" customHeight="1" x14ac:dyDescent="0.25">
      <c r="A27" s="18" t="s">
        <v>138</v>
      </c>
      <c r="B27" s="36" t="s">
        <v>139</v>
      </c>
      <c r="C27" s="37"/>
      <c r="D27" s="40">
        <f>INDEX(input_data!$M:$X,MATCH("all.in.cbf.---.---.---",input_data!$A:$A,0),1)</f>
        <v>0</v>
      </c>
      <c r="E27" s="41">
        <f>INDEX(input_data!$M:$X,MATCH("all.in.cbf.---.---.---",input_data!$A:$A,0),2)</f>
        <v>0</v>
      </c>
      <c r="F27" s="41">
        <f>INDEX(input_data!$M:$X,MATCH("all.in.cbf.---.---.---",input_data!$A:$A,0),3)</f>
        <v>2.5000000000000001E-2</v>
      </c>
      <c r="G27" s="41">
        <f>INDEX(input_data!$M:$X,MATCH("all.in.cbf.---.---.---",input_data!$A:$A,0),4)</f>
        <v>0.05</v>
      </c>
      <c r="H27" s="41">
        <f>INDEX(input_data!$M:$X,MATCH("all.in.cbf.---.---.---",input_data!$A:$A,0),5)</f>
        <v>0.1</v>
      </c>
      <c r="I27" s="41">
        <f>INDEX(input_data!$M:$X,MATCH("all.in.cbf.---.---.---",input_data!$A:$A,0),6)</f>
        <v>0.22500000000000001</v>
      </c>
      <c r="J27" s="41">
        <f>INDEX(input_data!$M:$X,MATCH("all.in.cbf.---.---.---",input_data!$A:$A,0),7)</f>
        <v>0.48499999999999999</v>
      </c>
      <c r="K27" s="41">
        <f>INDEX(input_data!$M:$X,MATCH("all.in.cbf.---.---.---",input_data!$A:$A,0),8)</f>
        <v>0.61</v>
      </c>
      <c r="L27" s="41">
        <f>INDEX(input_data!$M:$X,MATCH("all.in.cbf.---.---.---",input_data!$A:$A,0),9)</f>
        <v>0.73499999999999999</v>
      </c>
      <c r="M27" s="41">
        <f>INDEX(input_data!$M:$X,MATCH("all.in.cbf.---.---.---",input_data!$A:$A,0),10)</f>
        <v>0.86</v>
      </c>
      <c r="N27" s="41">
        <f>INDEX(input_data!$M:$X,MATCH("all.in.cbf.---.---.---",input_data!$A:$A,0),11)</f>
        <v>1</v>
      </c>
      <c r="O27" s="41">
        <f>INDEX(input_data!$M:$X,MATCH("all.in.cbf.---.---.---",input_data!$A:$A,0),12)</f>
        <v>1</v>
      </c>
    </row>
    <row r="28" spans="1:24" ht="18" customHeight="1" x14ac:dyDescent="0.25">
      <c r="A28" s="18" t="s">
        <v>140</v>
      </c>
      <c r="B28" s="36" t="s">
        <v>141</v>
      </c>
      <c r="C28" s="37"/>
      <c r="D28" s="42">
        <f>IFERROR((IFERROR(calculations!M21*calculations!M248,0)+IFERROR(calculations!M49*calculations!M253,0)+IFERROR(calculations!M77*calculations!M258,0)+IFERROR(calculations!M105*calculations!M263,0)+IFERROR(calculations!M133*calculations!M268,0)+IFERROR(calculations!M161*calculations!M273,0)+IFERROR(calculations!M189*calculations!M278,0)+IFERROR(calculations!M217*calculations!M283,0)+IFERROR(calculations!M287*calculations!M316,0)+IFERROR(calculations!M319*calculations!M348,0))/(IFERROR(calculations!M21/calculations!M20*((calculations!M41+calculations!M244)*$B$11+calculations!M42*$B$12+calculations!M43*$B$13+calculations!M44*$B$14+calculations!M45*$B$15*INDEX(input_data!$L:$L,MATCH("all.in.cs2.stl.drg.---",input_data!$A:$A,0))),0)+IFERROR(calculations!M49/calculations!M48*((calculations!M69+calculations!M249)*$B$11+calculations!M70*$B$12+calculations!M71*$B$13+calculations!M72*$B$14+calculations!M73*$B$15*INDEX(input_data!$L:$L,MATCH("all.in.cs2.stl.scr.---",input_data!$A:$A,0))),0)+IFERROR(calculations!M77/calculations!M76*((calculations!M97+calculations!M254)*$B$11+calculations!M98*$B$12+calculations!M99*$B$13+calculations!M100*$B$14+calculations!M101*$B$15*INDEX(input_data!$L:$L,MATCH("all.in.cs2.stl.bof.---",input_data!$A:$A,0))),0)+IFERROR(calculations!M105/calculations!M104*((calculations!M125+calculations!M259)*$B$11+calculations!M126*$B$12+calculations!M127*$B$13+calculations!M128*$B$14+calculations!M129*$B$15*INDEX(input_data!$L:$L,MATCH("all.in.cs2.cmt.dry.---",input_data!$A:$A,0))),0)+IFERROR(calculations!M133/calculations!M132*((calculations!M153+calculations!M264)*$B$11+calculations!M154*$B$12+calculations!M155*$B$13+calculations!M156*$B$14+calculations!M157*$B$15*INDEX(input_data!$L:$L,MATCH("all.in.cs2.frt.amc.---",input_data!$A:$A,0))),0)+IFERROR(calculations!M161/calculations!M160*((calculations!M181+calculations!M269)*$B$11+calculations!M182*$B$12+calculations!M183*$B$13+calculations!M184*$B$14+calculations!M185*$B$15*INDEX(input_data!$L:$L,MATCH("all.in.cs2.frt.ure.---",input_data!$A:$A,0))),0)+IFERROR(calculations!M189/calculations!M188*((calculations!M209+calculations!M274)*$B$11+calculations!M210*$B$12+calculations!M211*$B$13+calculations!M212*$B$14+calculations!M213*$B$15*INDEX(input_data!$L:$L,MATCH("all.in.cs2.frt.nit.---",input_data!$A:$A,0))),0)+IFERROR(calculations!M217/calculations!M216*((calculations!M237+calculations!M279)*$B$11+calculations!M238*$B$12+calculations!M239*$B$13+calculations!M240*$B$14+calculations!M241*$B$15*INDEX(input_data!$L:$L,MATCH("all.in.cs2.alu.prp.---",input_data!$A:$A,0))),0)+IFERROR(calculations!M287/calculations!M286*((calculations!M307+calculations!M312)*$B$11+calculations!M308*$B$12+calculations!M309*$B$13+calculations!M310*$B$14+calculations!M311*$B$15*INDEX(input_data!$L:$L,MATCH("all.in.cs2.stl.oth.---",input_data!$A:$A,0))),0)+IFERROR(calculations!M319/calculations!M318*((calculations!M339+calculations!M344)*$B$11+calculations!M340*$B$12+calculations!M341*$B$13+calculations!M342*$B$14+calculations!M343*$B$15*INDEX(input_data!$L:$L,MATCH("all.in.cs2.frt.otn.---",input_data!$A:$A,0))),0)),0)</f>
        <v>0</v>
      </c>
      <c r="E28" s="43">
        <f>IFERROR((IFERROR(calculations!N21*calculations!N248,0)+IFERROR(calculations!N49*calculations!N253,0)+IFERROR(calculations!N77*calculations!N258,0)+IFERROR(calculations!N105*calculations!N263,0)+IFERROR(calculations!N133*calculations!N268,0)+IFERROR(calculations!N161*calculations!N273,0)+IFERROR(calculations!N189*calculations!N278,0)+IFERROR(calculations!N217*calculations!N283,0)+IFERROR(calculations!N287*calculations!N316,0)+IFERROR(calculations!N319*calculations!N348,0))/(IFERROR(calculations!N21/calculations!N20*((calculations!N41+calculations!N244)*$B$11+calculations!N42*$B$12+calculations!N43*$B$13+calculations!N44*$B$14+calculations!N45*$B$15*INDEX(input_data!$L:$L,MATCH("all.in.cs2.stl.drg.---",input_data!$A:$A,0))),0)+IFERROR(calculations!N49/calculations!N48*((calculations!N69+calculations!N249)*$B$11+calculations!N70*$B$12+calculations!N71*$B$13+calculations!N72*$B$14+calculations!N73*$B$15*INDEX(input_data!$L:$L,MATCH("all.in.cs2.stl.scr.---",input_data!$A:$A,0))),0)+IFERROR(calculations!N77/calculations!N76*((calculations!N97+calculations!N254)*$B$11+calculations!N98*$B$12+calculations!N99*$B$13+calculations!N100*$B$14+calculations!N101*$B$15*INDEX(input_data!$L:$L,MATCH("all.in.cs2.stl.bof.---",input_data!$A:$A,0))),0)+IFERROR(calculations!N105/calculations!N104*((calculations!N125+calculations!N259)*$B$11+calculations!N126*$B$12+calculations!N127*$B$13+calculations!N128*$B$14+calculations!N129*$B$15*INDEX(input_data!$L:$L,MATCH("all.in.cs2.cmt.dry.---",input_data!$A:$A,0))),0)+IFERROR(calculations!N133/calculations!N132*((calculations!N153+calculations!N264)*$B$11+calculations!N154*$B$12+calculations!N155*$B$13+calculations!N156*$B$14+calculations!N157*$B$15*INDEX(input_data!$L:$L,MATCH("all.in.cs2.frt.amc.---",input_data!$A:$A,0))),0)+IFERROR(calculations!N161/calculations!N160*((calculations!N181+calculations!N269)*$B$11+calculations!N182*$B$12+calculations!N183*$B$13+calculations!N184*$B$14+calculations!N185*$B$15*INDEX(input_data!$L:$L,MATCH("all.in.cs2.frt.ure.---",input_data!$A:$A,0))),0)+IFERROR(calculations!N189/calculations!N188*((calculations!N209+calculations!N274)*$B$11+calculations!N210*$B$12+calculations!N211*$B$13+calculations!N212*$B$14+calculations!N213*$B$15*INDEX(input_data!$L:$L,MATCH("all.in.cs2.frt.nit.---",input_data!$A:$A,0))),0)+IFERROR(calculations!N217/calculations!N216*((calculations!N237+calculations!N279)*$B$11+calculations!N238*$B$12+calculations!N239*$B$13+calculations!N240*$B$14+calculations!N241*$B$15*INDEX(input_data!$L:$L,MATCH("all.in.cs2.alu.prp.---",input_data!$A:$A,0))),0)+IFERROR(calculations!N287/calculations!N286*((calculations!N307+calculations!N312)*$B$11+calculations!N308*$B$12+calculations!N309*$B$13+calculations!N310*$B$14+calculations!N311*$B$15*INDEX(input_data!$L:$L,MATCH("all.in.cs2.stl.oth.---",input_data!$A:$A,0))),0)+IFERROR(calculations!N319/calculations!N318*((calculations!N339+calculations!N344)*$B$11+calculations!N340*$B$12+calculations!N341*$B$13+calculations!N342*$B$14+calculations!N343*$B$15*INDEX(input_data!$L:$L,MATCH("all.in.cs2.frt.otn.---",input_data!$A:$A,0))),0)),0)</f>
        <v>0</v>
      </c>
      <c r="F28" s="43">
        <f>IFERROR((IFERROR(calculations!O21*calculations!O248,0)+IFERROR(calculations!O49*calculations!O253,0)+IFERROR(calculations!O77*calculations!O258,0)+IFERROR(calculations!O105*calculations!O263,0)+IFERROR(calculations!O133*calculations!O268,0)+IFERROR(calculations!O161*calculations!O273,0)+IFERROR(calculations!O189*calculations!O278,0)+IFERROR(calculations!O217*calculations!O283,0)+IFERROR(calculations!O287*calculations!O316,0)+IFERROR(calculations!O319*calculations!O348,0))/(IFERROR(calculations!O21/calculations!O20*((calculations!O41+calculations!O244)*$B$11+calculations!O42*$B$12+calculations!O43*$B$13+calculations!O44*$B$14+calculations!O45*$B$15*INDEX(input_data!$L:$L,MATCH("all.in.cs2.stl.drg.---",input_data!$A:$A,0))),0)+IFERROR(calculations!O49/calculations!O48*((calculations!O69+calculations!O249)*$B$11+calculations!O70*$B$12+calculations!O71*$B$13+calculations!O72*$B$14+calculations!O73*$B$15*INDEX(input_data!$L:$L,MATCH("all.in.cs2.stl.scr.---",input_data!$A:$A,0))),0)+IFERROR(calculations!O77/calculations!O76*((calculations!O97+calculations!O254)*$B$11+calculations!O98*$B$12+calculations!O99*$B$13+calculations!O100*$B$14+calculations!O101*$B$15*INDEX(input_data!$L:$L,MATCH("all.in.cs2.stl.bof.---",input_data!$A:$A,0))),0)+IFERROR(calculations!O105/calculations!O104*((calculations!O125+calculations!O259)*$B$11+calculations!O126*$B$12+calculations!O127*$B$13+calculations!O128*$B$14+calculations!O129*$B$15*INDEX(input_data!$L:$L,MATCH("all.in.cs2.cmt.dry.---",input_data!$A:$A,0))),0)+IFERROR(calculations!O133/calculations!O132*((calculations!O153+calculations!O264)*$B$11+calculations!O154*$B$12+calculations!O155*$B$13+calculations!O156*$B$14+calculations!O157*$B$15*INDEX(input_data!$L:$L,MATCH("all.in.cs2.frt.amc.---",input_data!$A:$A,0))),0)+IFERROR(calculations!O161/calculations!O160*((calculations!O181+calculations!O269)*$B$11+calculations!O182*$B$12+calculations!O183*$B$13+calculations!O184*$B$14+calculations!O185*$B$15*INDEX(input_data!$L:$L,MATCH("all.in.cs2.frt.ure.---",input_data!$A:$A,0))),0)+IFERROR(calculations!O189/calculations!O188*((calculations!O209+calculations!O274)*$B$11+calculations!O210*$B$12+calculations!O211*$B$13+calculations!O212*$B$14+calculations!O213*$B$15*INDEX(input_data!$L:$L,MATCH("all.in.cs2.frt.nit.---",input_data!$A:$A,0))),0)+IFERROR(calculations!O217/calculations!O216*((calculations!O237+calculations!O279)*$B$11+calculations!O238*$B$12+calculations!O239*$B$13+calculations!O240*$B$14+calculations!O241*$B$15*INDEX(input_data!$L:$L,MATCH("all.in.cs2.alu.prp.---",input_data!$A:$A,0))),0)+IFERROR(calculations!O287/calculations!O286*((calculations!O307+calculations!O312)*$B$11+calculations!O308*$B$12+calculations!O309*$B$13+calculations!O310*$B$14+calculations!O311*$B$15*INDEX(input_data!$L:$L,MATCH("all.in.cs2.stl.oth.---",input_data!$A:$A,0))),0)+IFERROR(calculations!O319/calculations!O318*((calculations!O339+calculations!O344)*$B$11+calculations!O340*$B$12+calculations!O341*$B$13+calculations!O342*$B$14+calculations!O343*$B$15*INDEX(input_data!$L:$L,MATCH("all.in.cs2.frt.otn.---",input_data!$A:$A,0))),0)),0)</f>
        <v>34.616799601183772</v>
      </c>
      <c r="G28" s="43">
        <f>IFERROR((IFERROR(calculations!P21*calculations!P248,0)+IFERROR(calculations!P49*calculations!P253,0)+IFERROR(calculations!P77*calculations!P258,0)+IFERROR(calculations!P105*calculations!P263,0)+IFERROR(calculations!P133*calculations!P268,0)+IFERROR(calculations!P161*calculations!P273,0)+IFERROR(calculations!P189*calculations!P278,0)+IFERROR(calculations!P217*calculations!P283,0)+IFERROR(calculations!P287*calculations!P316,0)+IFERROR(calculations!P319*calculations!P348,0))/(IFERROR(calculations!P21/calculations!P20*((calculations!P41+calculations!P244)*$B$11+calculations!P42*$B$12+calculations!P43*$B$13+calculations!P44*$B$14+calculations!P45*$B$15*INDEX(input_data!$L:$L,MATCH("all.in.cs2.stl.drg.---",input_data!$A:$A,0))),0)+IFERROR(calculations!P49/calculations!P48*((calculations!P69+calculations!P249)*$B$11+calculations!P70*$B$12+calculations!P71*$B$13+calculations!P72*$B$14+calculations!P73*$B$15*INDEX(input_data!$L:$L,MATCH("all.in.cs2.stl.scr.---",input_data!$A:$A,0))),0)+IFERROR(calculations!P77/calculations!P76*((calculations!P97+calculations!P254)*$B$11+calculations!P98*$B$12+calculations!P99*$B$13+calculations!P100*$B$14+calculations!P101*$B$15*INDEX(input_data!$L:$L,MATCH("all.in.cs2.stl.bof.---",input_data!$A:$A,0))),0)+IFERROR(calculations!P105/calculations!P104*((calculations!P125+calculations!P259)*$B$11+calculations!P126*$B$12+calculations!P127*$B$13+calculations!P128*$B$14+calculations!P129*$B$15*INDEX(input_data!$L:$L,MATCH("all.in.cs2.cmt.dry.---",input_data!$A:$A,0))),0)+IFERROR(calculations!P133/calculations!P132*((calculations!P153+calculations!P264)*$B$11+calculations!P154*$B$12+calculations!P155*$B$13+calculations!P156*$B$14+calculations!P157*$B$15*INDEX(input_data!$L:$L,MATCH("all.in.cs2.frt.amc.---",input_data!$A:$A,0))),0)+IFERROR(calculations!P161/calculations!P160*((calculations!P181+calculations!P269)*$B$11+calculations!P182*$B$12+calculations!P183*$B$13+calculations!P184*$B$14+calculations!P185*$B$15*INDEX(input_data!$L:$L,MATCH("all.in.cs2.frt.ure.---",input_data!$A:$A,0))),0)+IFERROR(calculations!P189/calculations!P188*((calculations!P209+calculations!P274)*$B$11+calculations!P210*$B$12+calculations!P211*$B$13+calculations!P212*$B$14+calculations!P213*$B$15*INDEX(input_data!$L:$L,MATCH("all.in.cs2.frt.nit.---",input_data!$A:$A,0))),0)+IFERROR(calculations!P217/calculations!P216*((calculations!P237+calculations!P279)*$B$11+calculations!P238*$B$12+calculations!P239*$B$13+calculations!P240*$B$14+calculations!P241*$B$15*INDEX(input_data!$L:$L,MATCH("all.in.cs2.alu.prp.---",input_data!$A:$A,0))),0)+IFERROR(calculations!P287/calculations!P286*((calculations!P307+calculations!P312)*$B$11+calculations!P308*$B$12+calculations!P309*$B$13+calculations!P310*$B$14+calculations!P311*$B$15*INDEX(input_data!$L:$L,MATCH("all.in.cs2.stl.oth.---",input_data!$A:$A,0))),0)+IFERROR(calculations!P319/calculations!P318*((calculations!P339+calculations!P344)*$B$11+calculations!P340*$B$12+calculations!P341*$B$13+calculations!P342*$B$14+calculations!P343*$B$15*INDEX(input_data!$L:$L,MATCH("all.in.cs2.frt.otn.---",input_data!$A:$A,0))),0)),0)</f>
        <v>38.153867061710805</v>
      </c>
      <c r="H28" s="43">
        <f>IFERROR((IFERROR(calculations!Q21*calculations!Q248,0)+IFERROR(calculations!Q49*calculations!Q253,0)+IFERROR(calculations!Q77*calculations!Q258,0)+IFERROR(calculations!Q105*calculations!Q263,0)+IFERROR(calculations!Q133*calculations!Q268,0)+IFERROR(calculations!Q161*calculations!Q273,0)+IFERROR(calculations!Q189*calculations!Q278,0)+IFERROR(calculations!Q217*calculations!Q283,0)+IFERROR(calculations!Q287*calculations!Q316,0)+IFERROR(calculations!Q319*calculations!Q348,0))/(IFERROR(calculations!Q21/calculations!Q20*((calculations!Q41+calculations!Q244)*$B$11+calculations!Q42*$B$12+calculations!Q43*$B$13+calculations!Q44*$B$14+calculations!Q45*$B$15*INDEX(input_data!$L:$L,MATCH("all.in.cs2.stl.drg.---",input_data!$A:$A,0))),0)+IFERROR(calculations!Q49/calculations!Q48*((calculations!Q69+calculations!Q249)*$B$11+calculations!Q70*$B$12+calculations!Q71*$B$13+calculations!Q72*$B$14+calculations!Q73*$B$15*INDEX(input_data!$L:$L,MATCH("all.in.cs2.stl.scr.---",input_data!$A:$A,0))),0)+IFERROR(calculations!Q77/calculations!Q76*((calculations!Q97+calculations!Q254)*$B$11+calculations!Q98*$B$12+calculations!Q99*$B$13+calculations!Q100*$B$14+calculations!Q101*$B$15*INDEX(input_data!$L:$L,MATCH("all.in.cs2.stl.bof.---",input_data!$A:$A,0))),0)+IFERROR(calculations!Q105/calculations!Q104*((calculations!Q125+calculations!Q259)*$B$11+calculations!Q126*$B$12+calculations!Q127*$B$13+calculations!Q128*$B$14+calculations!Q129*$B$15*INDEX(input_data!$L:$L,MATCH("all.in.cs2.cmt.dry.---",input_data!$A:$A,0))),0)+IFERROR(calculations!Q133/calculations!Q132*((calculations!Q153+calculations!Q264)*$B$11+calculations!Q154*$B$12+calculations!Q155*$B$13+calculations!Q156*$B$14+calculations!Q157*$B$15*INDEX(input_data!$L:$L,MATCH("all.in.cs2.frt.amc.---",input_data!$A:$A,0))),0)+IFERROR(calculations!Q161/calculations!Q160*((calculations!Q181+calculations!Q269)*$B$11+calculations!Q182*$B$12+calculations!Q183*$B$13+calculations!Q184*$B$14+calculations!Q185*$B$15*INDEX(input_data!$L:$L,MATCH("all.in.cs2.frt.ure.---",input_data!$A:$A,0))),0)+IFERROR(calculations!Q189/calculations!Q188*((calculations!Q209+calculations!Q274)*$B$11+calculations!Q210*$B$12+calculations!Q211*$B$13+calculations!Q212*$B$14+calculations!Q213*$B$15*INDEX(input_data!$L:$L,MATCH("all.in.cs2.frt.nit.---",input_data!$A:$A,0))),0)+IFERROR(calculations!Q217/calculations!Q216*((calculations!Q237+calculations!Q279)*$B$11+calculations!Q238*$B$12+calculations!Q239*$B$13+calculations!Q240*$B$14+calculations!Q241*$B$15*INDEX(input_data!$L:$L,MATCH("all.in.cs2.alu.prp.---",input_data!$A:$A,0))),0)+IFERROR(calculations!Q287/calculations!Q286*((calculations!Q307+calculations!Q312)*$B$11+calculations!Q308*$B$12+calculations!Q309*$B$13+calculations!Q310*$B$14+calculations!Q311*$B$15*INDEX(input_data!$L:$L,MATCH("all.in.cs2.stl.oth.---",input_data!$A:$A,0))),0)+IFERROR(calculations!Q319/calculations!Q318*((calculations!Q339+calculations!Q344)*$B$11+calculations!Q340*$B$12+calculations!Q341*$B$13+calculations!Q342*$B$14+calculations!Q343*$B$15*INDEX(input_data!$L:$L,MATCH("all.in.cs2.frt.otn.---",input_data!$A:$A,0))),0)),0)</f>
        <v>43.768314055578557</v>
      </c>
      <c r="I28" s="43">
        <f>IFERROR((IFERROR(calculations!R21*calculations!R248,0)+IFERROR(calculations!R49*calculations!R253,0)+IFERROR(calculations!R77*calculations!R258,0)+IFERROR(calculations!R105*calculations!R263,0)+IFERROR(calculations!R133*calculations!R268,0)+IFERROR(calculations!R161*calculations!R273,0)+IFERROR(calculations!R189*calculations!R278,0)+IFERROR(calculations!R217*calculations!R283,0)+IFERROR(calculations!R287*calculations!R316,0)+IFERROR(calculations!R319*calculations!R348,0))/(IFERROR(calculations!R21/calculations!R20*((calculations!R41+calculations!R244)*$B$11+calculations!R42*$B$12+calculations!R43*$B$13+calculations!R44*$B$14+calculations!R45*$B$15*INDEX(input_data!$L:$L,MATCH("all.in.cs2.stl.drg.---",input_data!$A:$A,0))),0)+IFERROR(calculations!R49/calculations!R48*((calculations!R69+calculations!R249)*$B$11+calculations!R70*$B$12+calculations!R71*$B$13+calculations!R72*$B$14+calculations!R73*$B$15*INDEX(input_data!$L:$L,MATCH("all.in.cs2.stl.scr.---",input_data!$A:$A,0))),0)+IFERROR(calculations!R77/calculations!R76*((calculations!R97+calculations!R254)*$B$11+calculations!R98*$B$12+calculations!R99*$B$13+calculations!R100*$B$14+calculations!R101*$B$15*INDEX(input_data!$L:$L,MATCH("all.in.cs2.stl.bof.---",input_data!$A:$A,0))),0)+IFERROR(calculations!R105/calculations!R104*((calculations!R125+calculations!R259)*$B$11+calculations!R126*$B$12+calculations!R127*$B$13+calculations!R128*$B$14+calculations!R129*$B$15*INDEX(input_data!$L:$L,MATCH("all.in.cs2.cmt.dry.---",input_data!$A:$A,0))),0)+IFERROR(calculations!R133/calculations!R132*((calculations!R153+calculations!R264)*$B$11+calculations!R154*$B$12+calculations!R155*$B$13+calculations!R156*$B$14+calculations!R157*$B$15*INDEX(input_data!$L:$L,MATCH("all.in.cs2.frt.amc.---",input_data!$A:$A,0))),0)+IFERROR(calculations!R161/calculations!R160*((calculations!R181+calculations!R269)*$B$11+calculations!R182*$B$12+calculations!R183*$B$13+calculations!R184*$B$14+calculations!R185*$B$15*INDEX(input_data!$L:$L,MATCH("all.in.cs2.frt.ure.---",input_data!$A:$A,0))),0)+IFERROR(calculations!R189/calculations!R188*((calculations!R209+calculations!R274)*$B$11+calculations!R210*$B$12+calculations!R211*$B$13+calculations!R212*$B$14+calculations!R213*$B$15*INDEX(input_data!$L:$L,MATCH("all.in.cs2.frt.nit.---",input_data!$A:$A,0))),0)+IFERROR(calculations!R217/calculations!R216*((calculations!R237+calculations!R279)*$B$11+calculations!R238*$B$12+calculations!R239*$B$13+calculations!R240*$B$14+calculations!R241*$B$15*INDEX(input_data!$L:$L,MATCH("all.in.cs2.alu.prp.---",input_data!$A:$A,0))),0)+IFERROR(calculations!R287/calculations!R286*((calculations!R307+calculations!R312)*$B$11+calculations!R308*$B$12+calculations!R309*$B$13+calculations!R310*$B$14+calculations!R311*$B$15*INDEX(input_data!$L:$L,MATCH("all.in.cs2.stl.oth.---",input_data!$A:$A,0))),0)+IFERROR(calculations!R319/calculations!R318*((calculations!R339+calculations!R344)*$B$11+calculations!R340*$B$12+calculations!R341*$B$13+calculations!R342*$B$14+calculations!R343*$B$15*INDEX(input_data!$L:$L,MATCH("all.in.cs2.frt.otn.---",input_data!$A:$A,0))),0)),0)</f>
        <v>53.285360225801639</v>
      </c>
      <c r="J28" s="43">
        <f>IFERROR((IFERROR(calculations!S21*calculations!S248,0)+IFERROR(calculations!S49*calculations!S253,0)+IFERROR(calculations!S77*calculations!S258,0)+IFERROR(calculations!S105*calculations!S263,0)+IFERROR(calculations!S133*calculations!S268,0)+IFERROR(calculations!S161*calculations!S273,0)+IFERROR(calculations!S189*calculations!S278,0)+IFERROR(calculations!S217*calculations!S283,0)+IFERROR(calculations!S287*calculations!S316,0)+IFERROR(calculations!S319*calculations!S348,0))/(IFERROR(calculations!S21/calculations!S20*((calculations!S41+calculations!S244)*$B$11+calculations!S42*$B$12+calculations!S43*$B$13+calculations!S44*$B$14+calculations!S45*$B$15*INDEX(input_data!$L:$L,MATCH("all.in.cs2.stl.drg.---",input_data!$A:$A,0))),0)+IFERROR(calculations!S49/calculations!S48*((calculations!S69+calculations!S249)*$B$11+calculations!S70*$B$12+calculations!S71*$B$13+calculations!S72*$B$14+calculations!S73*$B$15*INDEX(input_data!$L:$L,MATCH("all.in.cs2.stl.scr.---",input_data!$A:$A,0))),0)+IFERROR(calculations!S77/calculations!S76*((calculations!S97+calculations!S254)*$B$11+calculations!S98*$B$12+calculations!S99*$B$13+calculations!S100*$B$14+calculations!S101*$B$15*INDEX(input_data!$L:$L,MATCH("all.in.cs2.stl.bof.---",input_data!$A:$A,0))),0)+IFERROR(calculations!S105/calculations!S104*((calculations!S125+calculations!S259)*$B$11+calculations!S126*$B$12+calculations!S127*$B$13+calculations!S128*$B$14+calculations!S129*$B$15*INDEX(input_data!$L:$L,MATCH("all.in.cs2.cmt.dry.---",input_data!$A:$A,0))),0)+IFERROR(calculations!S133/calculations!S132*((calculations!S153+calculations!S264)*$B$11+calculations!S154*$B$12+calculations!S155*$B$13+calculations!S156*$B$14+calculations!S157*$B$15*INDEX(input_data!$L:$L,MATCH("all.in.cs2.frt.amc.---",input_data!$A:$A,0))),0)+IFERROR(calculations!S161/calculations!S160*((calculations!S181+calculations!S269)*$B$11+calculations!S182*$B$12+calculations!S183*$B$13+calculations!S184*$B$14+calculations!S185*$B$15*INDEX(input_data!$L:$L,MATCH("all.in.cs2.frt.ure.---",input_data!$A:$A,0))),0)+IFERROR(calculations!S189/calculations!S188*((calculations!S209+calculations!S274)*$B$11+calculations!S210*$B$12+calculations!S211*$B$13+calculations!S212*$B$14+calculations!S213*$B$15*INDEX(input_data!$L:$L,MATCH("all.in.cs2.frt.nit.---",input_data!$A:$A,0))),0)+IFERROR(calculations!S217/calculations!S216*((calculations!S237+calculations!S279)*$B$11+calculations!S238*$B$12+calculations!S239*$B$13+calculations!S240*$B$14+calculations!S241*$B$15*INDEX(input_data!$L:$L,MATCH("all.in.cs2.alu.prp.---",input_data!$A:$A,0))),0)+IFERROR(calculations!S287/calculations!S286*((calculations!S307+calculations!S312)*$B$11+calculations!S308*$B$12+calculations!S309*$B$13+calculations!S310*$B$14+calculations!S311*$B$15*INDEX(input_data!$L:$L,MATCH("all.in.cs2.stl.oth.---",input_data!$A:$A,0))),0)+IFERROR(calculations!S319/calculations!S318*((calculations!S339+calculations!S344)*$B$11+calculations!S340*$B$12+calculations!S341*$B$13+calculations!S342*$B$14+calculations!S343*$B$15*INDEX(input_data!$L:$L,MATCH("all.in.cs2.frt.otn.---",input_data!$A:$A,0))),0)),0)</f>
        <v>76.914135187520941</v>
      </c>
      <c r="K28" s="43">
        <f>IFERROR((IFERROR(calculations!T21*calculations!T248,0)+IFERROR(calculations!T49*calculations!T253,0)+IFERROR(calculations!T77*calculations!T258,0)+IFERROR(calculations!T105*calculations!T263,0)+IFERROR(calculations!T133*calculations!T268,0)+IFERROR(calculations!T161*calculations!T273,0)+IFERROR(calculations!T189*calculations!T278,0)+IFERROR(calculations!T217*calculations!T283,0)+IFERROR(calculations!T287*calculations!T316,0)+IFERROR(calculations!T319*calculations!T348,0))/(IFERROR(calculations!T21/calculations!T20*((calculations!T41+calculations!T244)*$B$11+calculations!T42*$B$12+calculations!T43*$B$13+calculations!T44*$B$14+calculations!T45*$B$15*INDEX(input_data!$L:$L,MATCH("all.in.cs2.stl.drg.---",input_data!$A:$A,0))),0)+IFERROR(calculations!T49/calculations!T48*((calculations!T69+calculations!T249)*$B$11+calculations!T70*$B$12+calculations!T71*$B$13+calculations!T72*$B$14+calculations!T73*$B$15*INDEX(input_data!$L:$L,MATCH("all.in.cs2.stl.scr.---",input_data!$A:$A,0))),0)+IFERROR(calculations!T77/calculations!T76*((calculations!T97+calculations!T254)*$B$11+calculations!T98*$B$12+calculations!T99*$B$13+calculations!T100*$B$14+calculations!T101*$B$15*INDEX(input_data!$L:$L,MATCH("all.in.cs2.stl.bof.---",input_data!$A:$A,0))),0)+IFERROR(calculations!T105/calculations!T104*((calculations!T125+calculations!T259)*$B$11+calculations!T126*$B$12+calculations!T127*$B$13+calculations!T128*$B$14+calculations!T129*$B$15*INDEX(input_data!$L:$L,MATCH("all.in.cs2.cmt.dry.---",input_data!$A:$A,0))),0)+IFERROR(calculations!T133/calculations!T132*((calculations!T153+calculations!T264)*$B$11+calculations!T154*$B$12+calculations!T155*$B$13+calculations!T156*$B$14+calculations!T157*$B$15*INDEX(input_data!$L:$L,MATCH("all.in.cs2.frt.amc.---",input_data!$A:$A,0))),0)+IFERROR(calculations!T161/calculations!T160*((calculations!T181+calculations!T269)*$B$11+calculations!T182*$B$12+calculations!T183*$B$13+calculations!T184*$B$14+calculations!T185*$B$15*INDEX(input_data!$L:$L,MATCH("all.in.cs2.frt.ure.---",input_data!$A:$A,0))),0)+IFERROR(calculations!T189/calculations!T188*((calculations!T209+calculations!T274)*$B$11+calculations!T210*$B$12+calculations!T211*$B$13+calculations!T212*$B$14+calculations!T213*$B$15*INDEX(input_data!$L:$L,MATCH("all.in.cs2.frt.nit.---",input_data!$A:$A,0))),0)+IFERROR(calculations!T217/calculations!T216*((calculations!T237+calculations!T279)*$B$11+calculations!T238*$B$12+calculations!T239*$B$13+calculations!T240*$B$14+calculations!T241*$B$15*INDEX(input_data!$L:$L,MATCH("all.in.cs2.alu.prp.---",input_data!$A:$A,0))),0)+IFERROR(calculations!T287/calculations!T286*((calculations!T307+calculations!T312)*$B$11+calculations!T308*$B$12+calculations!T309*$B$13+calculations!T310*$B$14+calculations!T311*$B$15*INDEX(input_data!$L:$L,MATCH("all.in.cs2.stl.oth.---",input_data!$A:$A,0))),0)+IFERROR(calculations!T319/calculations!T318*((calculations!T339+calculations!T344)*$B$11+calculations!T340*$B$12+calculations!T341*$B$13+calculations!T342*$B$14+calculations!T343*$B$15*INDEX(input_data!$L:$L,MATCH("all.in.cs2.frt.otn.---",input_data!$A:$A,0))),0)),0)</f>
        <v>92.786247999616208</v>
      </c>
      <c r="L28" s="43">
        <f>IFERROR((IFERROR(calculations!U21*calculations!U248,0)+IFERROR(calculations!U49*calculations!U253,0)+IFERROR(calculations!U77*calculations!U258,0)+IFERROR(calculations!U105*calculations!U263,0)+IFERROR(calculations!U133*calculations!U268,0)+IFERROR(calculations!U161*calculations!U273,0)+IFERROR(calculations!U189*calculations!U278,0)+IFERROR(calculations!U217*calculations!U283,0)+IFERROR(calculations!U287*calculations!U316,0)+IFERROR(calculations!U319*calculations!U348,0))/(IFERROR(calculations!U21/calculations!U20*((calculations!U41+calculations!U244)*$B$11+calculations!U42*$B$12+calculations!U43*$B$13+calculations!U44*$B$14+calculations!U45*$B$15*INDEX(input_data!$L:$L,MATCH("all.in.cs2.stl.drg.---",input_data!$A:$A,0))),0)+IFERROR(calculations!U49/calculations!U48*((calculations!U69+calculations!U249)*$B$11+calculations!U70*$B$12+calculations!U71*$B$13+calculations!U72*$B$14+calculations!U73*$B$15*INDEX(input_data!$L:$L,MATCH("all.in.cs2.stl.scr.---",input_data!$A:$A,0))),0)+IFERROR(calculations!U77/calculations!U76*((calculations!U97+calculations!U254)*$B$11+calculations!U98*$B$12+calculations!U99*$B$13+calculations!U100*$B$14+calculations!U101*$B$15*INDEX(input_data!$L:$L,MATCH("all.in.cs2.stl.bof.---",input_data!$A:$A,0))),0)+IFERROR(calculations!U105/calculations!U104*((calculations!U125+calculations!U259)*$B$11+calculations!U126*$B$12+calculations!U127*$B$13+calculations!U128*$B$14+calculations!U129*$B$15*INDEX(input_data!$L:$L,MATCH("all.in.cs2.cmt.dry.---",input_data!$A:$A,0))),0)+IFERROR(calculations!U133/calculations!U132*((calculations!U153+calculations!U264)*$B$11+calculations!U154*$B$12+calculations!U155*$B$13+calculations!U156*$B$14+calculations!U157*$B$15*INDEX(input_data!$L:$L,MATCH("all.in.cs2.frt.amc.---",input_data!$A:$A,0))),0)+IFERROR(calculations!U161/calculations!U160*((calculations!U181+calculations!U269)*$B$11+calculations!U182*$B$12+calculations!U183*$B$13+calculations!U184*$B$14+calculations!U185*$B$15*INDEX(input_data!$L:$L,MATCH("all.in.cs2.frt.ure.---",input_data!$A:$A,0))),0)+IFERROR(calculations!U189/calculations!U188*((calculations!U209+calculations!U274)*$B$11+calculations!U210*$B$12+calculations!U211*$B$13+calculations!U212*$B$14+calculations!U213*$B$15*INDEX(input_data!$L:$L,MATCH("all.in.cs2.frt.nit.---",input_data!$A:$A,0))),0)+IFERROR(calculations!U217/calculations!U216*((calculations!U237+calculations!U279)*$B$11+calculations!U238*$B$12+calculations!U239*$B$13+calculations!U240*$B$14+calculations!U241*$B$15*INDEX(input_data!$L:$L,MATCH("all.in.cs2.alu.prp.---",input_data!$A:$A,0))),0)+IFERROR(calculations!U287/calculations!U286*((calculations!U307+calculations!U312)*$B$11+calculations!U308*$B$12+calculations!U309*$B$13+calculations!U310*$B$14+calculations!U311*$B$15*INDEX(input_data!$L:$L,MATCH("all.in.cs2.stl.oth.---",input_data!$A:$A,0))),0)+IFERROR(calculations!U319/calculations!U318*((calculations!U339+calculations!U344)*$B$11+calculations!U340*$B$12+calculations!U341*$B$13+calculations!U342*$B$14+calculations!U343*$B$15*INDEX(input_data!$L:$L,MATCH("all.in.cs2.frt.otn.---",input_data!$A:$A,0))),0)),0)</f>
        <v>109.68203419705277</v>
      </c>
      <c r="M28" s="43">
        <f>IFERROR((IFERROR(calculations!V21*calculations!V248,0)+IFERROR(calculations!V49*calculations!V253,0)+IFERROR(calculations!V77*calculations!V258,0)+IFERROR(calculations!V105*calculations!V263,0)+IFERROR(calculations!V133*calculations!V268,0)+IFERROR(calculations!V161*calculations!V273,0)+IFERROR(calculations!V189*calculations!V278,0)+IFERROR(calculations!V217*calculations!V283,0)+IFERROR(calculations!V287*calculations!V316,0)+IFERROR(calculations!V319*calculations!V348,0))/(IFERROR(calculations!V21/calculations!V20*((calculations!V41+calculations!V244)*$B$11+calculations!V42*$B$12+calculations!V43*$B$13+calculations!V44*$B$14+calculations!V45*$B$15*INDEX(input_data!$L:$L,MATCH("all.in.cs2.stl.drg.---",input_data!$A:$A,0))),0)+IFERROR(calculations!V49/calculations!V48*((calculations!V69+calculations!V249)*$B$11+calculations!V70*$B$12+calculations!V71*$B$13+calculations!V72*$B$14+calculations!V73*$B$15*INDEX(input_data!$L:$L,MATCH("all.in.cs2.stl.scr.---",input_data!$A:$A,0))),0)+IFERROR(calculations!V77/calculations!V76*((calculations!V97+calculations!V254)*$B$11+calculations!V98*$B$12+calculations!V99*$B$13+calculations!V100*$B$14+calculations!V101*$B$15*INDEX(input_data!$L:$L,MATCH("all.in.cs2.stl.bof.---",input_data!$A:$A,0))),0)+IFERROR(calculations!V105/calculations!V104*((calculations!V125+calculations!V259)*$B$11+calculations!V126*$B$12+calculations!V127*$B$13+calculations!V128*$B$14+calculations!V129*$B$15*INDEX(input_data!$L:$L,MATCH("all.in.cs2.cmt.dry.---",input_data!$A:$A,0))),0)+IFERROR(calculations!V133/calculations!V132*((calculations!V153+calculations!V264)*$B$11+calculations!V154*$B$12+calculations!V155*$B$13+calculations!V156*$B$14+calculations!V157*$B$15*INDEX(input_data!$L:$L,MATCH("all.in.cs2.frt.amc.---",input_data!$A:$A,0))),0)+IFERROR(calculations!V161/calculations!V160*((calculations!V181+calculations!V269)*$B$11+calculations!V182*$B$12+calculations!V183*$B$13+calculations!V184*$B$14+calculations!V185*$B$15*INDEX(input_data!$L:$L,MATCH("all.in.cs2.frt.ure.---",input_data!$A:$A,0))),0)+IFERROR(calculations!V189/calculations!V188*((calculations!V209+calculations!V274)*$B$11+calculations!V210*$B$12+calculations!V211*$B$13+calculations!V212*$B$14+calculations!V213*$B$15*INDEX(input_data!$L:$L,MATCH("all.in.cs2.frt.nit.---",input_data!$A:$A,0))),0)+IFERROR(calculations!V217/calculations!V216*((calculations!V237+calculations!V279)*$B$11+calculations!V238*$B$12+calculations!V239*$B$13+calculations!V240*$B$14+calculations!V241*$B$15*INDEX(input_data!$L:$L,MATCH("all.in.cs2.alu.prp.---",input_data!$A:$A,0))),0)+IFERROR(calculations!V287/calculations!V286*((calculations!V307+calculations!V312)*$B$11+calculations!V308*$B$12+calculations!V309*$B$13+calculations!V310*$B$14+calculations!V311*$B$15*INDEX(input_data!$L:$L,MATCH("all.in.cs2.stl.oth.---",input_data!$A:$A,0))),0)+IFERROR(calculations!V319/calculations!V318*((calculations!V339+calculations!V344)*$B$11+calculations!V340*$B$12+calculations!V341*$B$13+calculations!V342*$B$14+calculations!V343*$B$15*INDEX(input_data!$L:$L,MATCH("all.in.cs2.frt.otn.---",input_data!$A:$A,0))),0)),0)</f>
        <v>127.59895614631026</v>
      </c>
      <c r="N28" s="43">
        <f>IFERROR((IFERROR(calculations!W21*calculations!W248,0)+IFERROR(calculations!W49*calculations!W253,0)+IFERROR(calculations!W77*calculations!W258,0)+IFERROR(calculations!W105*calculations!W263,0)+IFERROR(calculations!W133*calculations!W268,0)+IFERROR(calculations!W161*calculations!W273,0)+IFERROR(calculations!W189*calculations!W278,0)+IFERROR(calculations!W217*calculations!W283,0)+IFERROR(calculations!W287*calculations!W316,0)+IFERROR(calculations!W319*calculations!W348,0))/(IFERROR(calculations!W21/calculations!W20*((calculations!W41+calculations!W244)*$B$11+calculations!W42*$B$12+calculations!W43*$B$13+calculations!W44*$B$14+calculations!W45*$B$15*INDEX(input_data!$L:$L,MATCH("all.in.cs2.stl.drg.---",input_data!$A:$A,0))),0)+IFERROR(calculations!W49/calculations!W48*((calculations!W69+calculations!W249)*$B$11+calculations!W70*$B$12+calculations!W71*$B$13+calculations!W72*$B$14+calculations!W73*$B$15*INDEX(input_data!$L:$L,MATCH("all.in.cs2.stl.scr.---",input_data!$A:$A,0))),0)+IFERROR(calculations!W77/calculations!W76*((calculations!W97+calculations!W254)*$B$11+calculations!W98*$B$12+calculations!W99*$B$13+calculations!W100*$B$14+calculations!W101*$B$15*INDEX(input_data!$L:$L,MATCH("all.in.cs2.stl.bof.---",input_data!$A:$A,0))),0)+IFERROR(calculations!W105/calculations!W104*((calculations!W125+calculations!W259)*$B$11+calculations!W126*$B$12+calculations!W127*$B$13+calculations!W128*$B$14+calculations!W129*$B$15*INDEX(input_data!$L:$L,MATCH("all.in.cs2.cmt.dry.---",input_data!$A:$A,0))),0)+IFERROR(calculations!W133/calculations!W132*((calculations!W153+calculations!W264)*$B$11+calculations!W154*$B$12+calculations!W155*$B$13+calculations!W156*$B$14+calculations!W157*$B$15*INDEX(input_data!$L:$L,MATCH("all.in.cs2.frt.amc.---",input_data!$A:$A,0))),0)+IFERROR(calculations!W161/calculations!W160*((calculations!W181+calculations!W269)*$B$11+calculations!W182*$B$12+calculations!W183*$B$13+calculations!W184*$B$14+calculations!W185*$B$15*INDEX(input_data!$L:$L,MATCH("all.in.cs2.frt.ure.---",input_data!$A:$A,0))),0)+IFERROR(calculations!W189/calculations!W188*((calculations!W209+calculations!W274)*$B$11+calculations!W210*$B$12+calculations!W211*$B$13+calculations!W212*$B$14+calculations!W213*$B$15*INDEX(input_data!$L:$L,MATCH("all.in.cs2.frt.nit.---",input_data!$A:$A,0))),0)+IFERROR(calculations!W217/calculations!W216*((calculations!W237+calculations!W279)*$B$11+calculations!W238*$B$12+calculations!W239*$B$13+calculations!W240*$B$14+calculations!W241*$B$15*INDEX(input_data!$L:$L,MATCH("all.in.cs2.alu.prp.---",input_data!$A:$A,0))),0)+IFERROR(calculations!W287/calculations!W286*((calculations!W307+calculations!W312)*$B$11+calculations!W308*$B$12+calculations!W309*$B$13+calculations!W310*$B$14+calculations!W311*$B$15*INDEX(input_data!$L:$L,MATCH("all.in.cs2.stl.oth.---",input_data!$A:$A,0))),0)+IFERROR(calculations!W319/calculations!W318*((calculations!W339+calculations!W344)*$B$11+calculations!W340*$B$12+calculations!W341*$B$13+calculations!W342*$B$14+calculations!W343*$B$15*INDEX(input_data!$L:$L,MATCH("all.in.cs2.frt.otn.---",input_data!$A:$A,0))),0)),0)</f>
        <v>148.5</v>
      </c>
      <c r="O28" s="43">
        <f>IFERROR((IFERROR(calculations!X21*calculations!X248,0)+IFERROR(calculations!X49*calculations!X253,0)+IFERROR(calculations!X77*calculations!X258,0)+IFERROR(calculations!X105*calculations!X263,0)+IFERROR(calculations!X133*calculations!X268,0)+IFERROR(calculations!X161*calculations!X273,0)+IFERROR(calculations!X189*calculations!X278,0)+IFERROR(calculations!X217*calculations!X283,0)+IFERROR(calculations!X287*calculations!X316,0)+IFERROR(calculations!X319*calculations!X348,0))/(IFERROR(calculations!X21/calculations!X20*((calculations!X41+calculations!X244)*$B$11+calculations!X42*$B$12+calculations!X43*$B$13+calculations!X44*$B$14+calculations!X45*$B$15*INDEX(input_data!$L:$L,MATCH("all.in.cs2.stl.drg.---",input_data!$A:$A,0))),0)+IFERROR(calculations!X49/calculations!X48*((calculations!X69+calculations!X249)*$B$11+calculations!X70*$B$12+calculations!X71*$B$13+calculations!X72*$B$14+calculations!X73*$B$15*INDEX(input_data!$L:$L,MATCH("all.in.cs2.stl.scr.---",input_data!$A:$A,0))),0)+IFERROR(calculations!X77/calculations!X76*((calculations!X97+calculations!X254)*$B$11+calculations!X98*$B$12+calculations!X99*$B$13+calculations!X100*$B$14+calculations!X101*$B$15*INDEX(input_data!$L:$L,MATCH("all.in.cs2.stl.bof.---",input_data!$A:$A,0))),0)+IFERROR(calculations!X105/calculations!X104*((calculations!X125+calculations!X259)*$B$11+calculations!X126*$B$12+calculations!X127*$B$13+calculations!X128*$B$14+calculations!X129*$B$15*INDEX(input_data!$L:$L,MATCH("all.in.cs2.cmt.dry.---",input_data!$A:$A,0))),0)+IFERROR(calculations!X133/calculations!X132*((calculations!X153+calculations!X264)*$B$11+calculations!X154*$B$12+calculations!X155*$B$13+calculations!X156*$B$14+calculations!X157*$B$15*INDEX(input_data!$L:$L,MATCH("all.in.cs2.frt.amc.---",input_data!$A:$A,0))),0)+IFERROR(calculations!X161/calculations!X160*((calculations!X181+calculations!X269)*$B$11+calculations!X182*$B$12+calculations!X183*$B$13+calculations!X184*$B$14+calculations!X185*$B$15*INDEX(input_data!$L:$L,MATCH("all.in.cs2.frt.ure.---",input_data!$A:$A,0))),0)+IFERROR(calculations!X189/calculations!X188*((calculations!X209+calculations!X274)*$B$11+calculations!X210*$B$12+calculations!X211*$B$13+calculations!X212*$B$14+calculations!X213*$B$15*INDEX(input_data!$L:$L,MATCH("all.in.cs2.frt.nit.---",input_data!$A:$A,0))),0)+IFERROR(calculations!X217/calculations!X216*((calculations!X237+calculations!X279)*$B$11+calculations!X238*$B$12+calculations!X239*$B$13+calculations!X240*$B$14+calculations!X241*$B$15*INDEX(input_data!$L:$L,MATCH("all.in.cs2.alu.prp.---",input_data!$A:$A,0))),0)+IFERROR(calculations!X287/calculations!X286*((calculations!X307+calculations!X312)*$B$11+calculations!X308*$B$12+calculations!X309*$B$13+calculations!X310*$B$14+calculations!X311*$B$15*INDEX(input_data!$L:$L,MATCH("all.in.cs2.stl.oth.---",input_data!$A:$A,0))),0)+IFERROR(calculations!X319/calculations!X318*((calculations!X339+calculations!X344)*$B$11+calculations!X340*$B$12+calculations!X341*$B$13+calculations!X342*$B$14+calculations!X343*$B$15*INDEX(input_data!$L:$L,MATCH("all.in.cs2.frt.otn.---",input_data!$A:$A,0))),0)),0)</f>
        <v>154.00000000000003</v>
      </c>
      <c r="P28" s="44"/>
      <c r="Q28" s="44"/>
      <c r="R28" s="44"/>
      <c r="S28" s="44"/>
      <c r="T28" s="44"/>
      <c r="U28" s="44"/>
      <c r="V28" s="44"/>
      <c r="W28" s="44"/>
      <c r="X28" s="44"/>
    </row>
    <row r="29" spans="1:24" ht="18" customHeight="1" x14ac:dyDescent="0.25">
      <c r="A29" s="18" t="s">
        <v>142</v>
      </c>
      <c r="B29" s="36" t="s">
        <v>141</v>
      </c>
      <c r="C29" s="37"/>
      <c r="D29" s="45">
        <f t="shared" ref="D29:O29" si="0">D28</f>
        <v>0</v>
      </c>
      <c r="E29" s="46">
        <f t="shared" si="0"/>
        <v>0</v>
      </c>
      <c r="F29" s="46">
        <f t="shared" si="0"/>
        <v>34.616799601183772</v>
      </c>
      <c r="G29" s="46">
        <f t="shared" si="0"/>
        <v>38.153867061710805</v>
      </c>
      <c r="H29" s="46">
        <f t="shared" si="0"/>
        <v>43.768314055578557</v>
      </c>
      <c r="I29" s="46">
        <f t="shared" si="0"/>
        <v>53.285360225801639</v>
      </c>
      <c r="J29" s="46">
        <f t="shared" si="0"/>
        <v>76.914135187520941</v>
      </c>
      <c r="K29" s="46">
        <f t="shared" si="0"/>
        <v>92.786247999616208</v>
      </c>
      <c r="L29" s="46">
        <f t="shared" si="0"/>
        <v>109.68203419705277</v>
      </c>
      <c r="M29" s="46">
        <f t="shared" si="0"/>
        <v>127.59895614631026</v>
      </c>
      <c r="N29" s="46">
        <f t="shared" si="0"/>
        <v>148.5</v>
      </c>
      <c r="O29" s="46">
        <f t="shared" si="0"/>
        <v>154.00000000000003</v>
      </c>
      <c r="P29" s="44"/>
      <c r="Q29" s="44"/>
      <c r="R29" s="44"/>
      <c r="S29" s="44"/>
      <c r="T29" s="44"/>
      <c r="U29" s="44"/>
      <c r="V29" s="44"/>
      <c r="W29" s="44"/>
      <c r="X29" s="44"/>
    </row>
    <row r="31" spans="1:24" ht="18" customHeight="1" x14ac:dyDescent="0.25">
      <c r="A31" s="10" t="s">
        <v>143</v>
      </c>
      <c r="B31" s="10"/>
      <c r="C31" s="10"/>
      <c r="D31" s="10"/>
      <c r="E31" s="10"/>
      <c r="F31" s="10"/>
      <c r="G31" s="10"/>
      <c r="H31" s="10"/>
      <c r="I31" s="10"/>
      <c r="J31" s="10"/>
      <c r="K31" s="10"/>
      <c r="L31" s="10"/>
      <c r="M31" s="10"/>
      <c r="N31" s="10"/>
      <c r="O31" s="10"/>
      <c r="P31" s="10"/>
    </row>
    <row r="32" spans="1:24" ht="21.75" customHeight="1" x14ac:dyDescent="0.25">
      <c r="A32" s="47" t="s">
        <v>122</v>
      </c>
      <c r="B32" s="47" t="s">
        <v>123</v>
      </c>
      <c r="C32" s="34"/>
      <c r="D32" s="35" t="s">
        <v>124</v>
      </c>
      <c r="E32" s="33" t="s">
        <v>125</v>
      </c>
      <c r="F32" s="33" t="s">
        <v>126</v>
      </c>
      <c r="G32" s="33" t="s">
        <v>127</v>
      </c>
      <c r="H32" s="33" t="s">
        <v>128</v>
      </c>
      <c r="I32" s="33" t="s">
        <v>129</v>
      </c>
      <c r="J32" s="33" t="s">
        <v>130</v>
      </c>
      <c r="K32" s="33" t="s">
        <v>131</v>
      </c>
      <c r="L32" s="33" t="s">
        <v>132</v>
      </c>
      <c r="M32" s="33" t="s">
        <v>133</v>
      </c>
      <c r="N32" s="33" t="s">
        <v>134</v>
      </c>
      <c r="O32" s="33" t="s">
        <v>135</v>
      </c>
    </row>
    <row r="33" spans="1:16" ht="15.75" customHeight="1" x14ac:dyDescent="0.25">
      <c r="A33" s="18" t="s">
        <v>144</v>
      </c>
      <c r="B33" s="36" t="s">
        <v>145</v>
      </c>
      <c r="C33" s="37"/>
      <c r="D33" s="48">
        <f>IFERROR(calculations!M21*calculations!M248,0)+IFERROR(calculations!M49*calculations!M253,0)+IFERROR(calculations!M77*calculations!M258,0)+IFERROR(calculations!M105*calculations!M263,0)+IFERROR(calculations!M133*calculations!M268,0)+IFERROR(calculations!M161*calculations!M273,0)+IFERROR(calculations!M189*calculations!M278,0)+IFERROR(calculations!M217*calculations!M283,0)+IFERROR(calculations!M287*calculations!M316,0)+IFERROR(calculations!M319*calculations!M348,0)</f>
        <v>0</v>
      </c>
      <c r="E33" s="49">
        <f>IFERROR(calculations!N21*calculations!N248,0)+IFERROR(calculations!N49*calculations!N253,0)+IFERROR(calculations!N77*calculations!N258,0)+IFERROR(calculations!N105*calculations!N263,0)+IFERROR(calculations!N133*calculations!N268,0)+IFERROR(calculations!N161*calculations!N273,0)+IFERROR(calculations!N189*calculations!N278,0)+IFERROR(calculations!N217*calculations!N283,0)+IFERROR(calculations!N287*calculations!N316,0)+IFERROR(calculations!N319*calculations!N348,0)</f>
        <v>0</v>
      </c>
      <c r="F33" s="49">
        <f>IFERROR(calculations!O21*calculations!O248,0)+IFERROR(calculations!O49*calculations!O253,0)+IFERROR(calculations!O77*calculations!O258,0)+IFERROR(calculations!O105*calculations!O263,0)+IFERROR(calculations!O133*calculations!O268,0)+IFERROR(calculations!O161*calculations!O273,0)+IFERROR(calculations!O189*calculations!O278,0)+IFERROR(calculations!O217*calculations!O283,0)+IFERROR(calculations!O287*calculations!O316,0)+IFERROR(calculations!O319*calculations!O348,0)</f>
        <v>76.689831971754657</v>
      </c>
      <c r="G33" s="49">
        <f>IFERROR(calculations!P21*calculations!P248,0)+IFERROR(calculations!P49*calculations!P253,0)+IFERROR(calculations!P77*calculations!P258,0)+IFERROR(calculations!P105*calculations!P263,0)+IFERROR(calculations!P133*calculations!P268,0)+IFERROR(calculations!P161*calculations!P273,0)+IFERROR(calculations!P189*calculations!P278,0)+IFERROR(calculations!P217*calculations!P283,0)+IFERROR(calculations!P287*calculations!P316,0)+IFERROR(calculations!P319*calculations!P348,0)</f>
        <v>88.082977391709989</v>
      </c>
      <c r="H33" s="49">
        <f>IFERROR(calculations!Q21*calculations!Q248,0)+IFERROR(calculations!Q49*calculations!Q253,0)+IFERROR(calculations!Q77*calculations!Q258,0)+IFERROR(calculations!Q105*calculations!Q263,0)+IFERROR(calculations!Q133*calculations!Q268,0)+IFERROR(calculations!Q161*calculations!Q273,0)+IFERROR(calculations!Q189*calculations!Q278,0)+IFERROR(calculations!Q217*calculations!Q283,0)+IFERROR(calculations!Q287*calculations!Q316,0)+IFERROR(calculations!Q319*calculations!Q348,0)</f>
        <v>105.31264198393701</v>
      </c>
      <c r="I33" s="49">
        <f>IFERROR(calculations!R21*calculations!R248,0)+IFERROR(calculations!R49*calculations!R253,0)+IFERROR(calculations!R77*calculations!R258,0)+IFERROR(calculations!R105*calculations!R263,0)+IFERROR(calculations!R133*calculations!R268,0)+IFERROR(calculations!R161*calculations!R273,0)+IFERROR(calculations!R189*calculations!R278,0)+IFERROR(calculations!R217*calculations!R283,0)+IFERROR(calculations!R287*calculations!R316,0)+IFERROR(calculations!R319*calculations!R348,0)</f>
        <v>133.64730085730528</v>
      </c>
      <c r="J33" s="49">
        <f>IFERROR(calculations!S21*calculations!S248,0)+IFERROR(calculations!S49*calculations!S253,0)+IFERROR(calculations!S77*calculations!S258,0)+IFERROR(calculations!S105*calculations!S263,0)+IFERROR(calculations!S133*calculations!S268,0)+IFERROR(calculations!S161*calculations!S273,0)+IFERROR(calculations!S189*calculations!S278,0)+IFERROR(calculations!S217*calculations!S283,0)+IFERROR(calculations!S287*calculations!S316,0)+IFERROR(calculations!S319*calculations!S348,0)</f>
        <v>201.11940498397584</v>
      </c>
      <c r="K33" s="49">
        <f>IFERROR(calculations!T21*calculations!T248,0)+IFERROR(calculations!T49*calculations!T253,0)+IFERROR(calculations!T77*calculations!T258,0)+IFERROR(calculations!T105*calculations!T263,0)+IFERROR(calculations!T133*calculations!T268,0)+IFERROR(calculations!T161*calculations!T273,0)+IFERROR(calculations!T189*calculations!T278,0)+IFERROR(calculations!T217*calculations!T283,0)+IFERROR(calculations!T287*calculations!T316,0)+IFERROR(calculations!T319*calculations!T348,0)</f>
        <v>252.98249797879896</v>
      </c>
      <c r="L33" s="49">
        <f>IFERROR(calculations!U21*calculations!U248,0)+IFERROR(calculations!U49*calculations!U253,0)+IFERROR(calculations!U77*calculations!U258,0)+IFERROR(calculations!U105*calculations!U263,0)+IFERROR(calculations!U133*calculations!U268,0)+IFERROR(calculations!U161*calculations!U273,0)+IFERROR(calculations!U189*calculations!U278,0)+IFERROR(calculations!U217*calculations!U283,0)+IFERROR(calculations!U287*calculations!U316,0)+IFERROR(calculations!U319*calculations!U348,0)</f>
        <v>311.8634682760113</v>
      </c>
      <c r="M33" s="49">
        <f>IFERROR(calculations!V21*calculations!V248,0)+IFERROR(calculations!V49*calculations!V253,0)+IFERROR(calculations!V77*calculations!V258,0)+IFERROR(calculations!V105*calculations!V263,0)+IFERROR(calculations!V133*calculations!V268,0)+IFERROR(calculations!V161*calculations!V273,0)+IFERROR(calculations!V189*calculations!V278,0)+IFERROR(calculations!V217*calculations!V283,0)+IFERROR(calculations!V287*calculations!V316,0)+IFERROR(calculations!V319*calculations!V348,0)</f>
        <v>378.40854390511885</v>
      </c>
      <c r="N33" s="49">
        <f>IFERROR(calculations!W21*calculations!W248,0)+IFERROR(calculations!W49*calculations!W253,0)+IFERROR(calculations!W77*calculations!W258,0)+IFERROR(calculations!W105*calculations!W263,0)+IFERROR(calculations!W133*calculations!W268,0)+IFERROR(calculations!W161*calculations!W273,0)+IFERROR(calculations!W189*calculations!W278,0)+IFERROR(calculations!W217*calculations!W283,0)+IFERROR(calculations!W287*calculations!W316,0)+IFERROR(calculations!W319*calculations!W348,0)</f>
        <v>459.39607401402759</v>
      </c>
      <c r="O33" s="49">
        <f>IFERROR(calculations!X21*calculations!X248,0)+IFERROR(calculations!X49*calculations!X253,0)+IFERROR(calculations!X77*calculations!X258,0)+IFERROR(calculations!X105*calculations!X263,0)+IFERROR(calculations!X133*calculations!X268,0)+IFERROR(calculations!X161*calculations!X273,0)+IFERROR(calculations!X189*calculations!X278,0)+IFERROR(calculations!X217*calculations!X283,0)+IFERROR(calculations!X287*calculations!X316,0)+IFERROR(calculations!X319*calculations!X348,0)</f>
        <v>497.03881940882826</v>
      </c>
    </row>
    <row r="34" spans="1:16" ht="18" customHeight="1" x14ac:dyDescent="0.25">
      <c r="A34" s="32" t="s">
        <v>146</v>
      </c>
      <c r="B34" s="50" t="s">
        <v>145</v>
      </c>
      <c r="C34" s="51"/>
      <c r="D34" s="52">
        <f>IFERROR((calculations!M21/calculations!M20)*((calculations!M41+calculations!M244)*$B$11+calculations!M42*$B$12+calculations!M43*$B$13+calculations!M44*$B$14+calculations!M45*$B$15)*D29,0)+IFERROR((calculations!M49/calculations!M48)*((calculations!M69+calculations!M249)*$B$11+calculations!M70*$B$12+calculations!M71*$B$13+calculations!M72*$B$14+calculations!M73*$B$15)*D29,0)+IFERROR((calculations!M77/calculations!M76)*((calculations!M97+calculations!M254)*$B$11+calculations!M98*$B$12+calculations!M99*$B$13+calculations!M100*$B$14+calculations!M101*$B$15)*D29,0)+IFERROR((calculations!M105/calculations!M104)*((calculations!M125+calculations!M259)*$B$11+calculations!M126*$B$12+calculations!M127*$B$13+calculations!M128*$B$14+calculations!M129*$B$15)*D29,0)+IFERROR((calculations!M133/calculations!M132)*((calculations!M153+calculations!M264)*$B$11+calculations!M154*$B$12+calculations!M155*$B$13+calculations!M156*$B$14+calculations!M157*$B$15)*D29,0)+IFERROR((calculations!M161/calculations!M160)*((calculations!M181+calculations!M269)*$B$11+calculations!M182*$B$12+calculations!M183*$B$13+calculations!M184*$B$14+calculations!M185*$B$15)*D29,0)+IFERROR((calculations!M189/calculations!M188)*((calculations!M209+calculations!M274)*$B$11+calculations!M210*$B$12+calculations!M211*$B$13+calculations!M212*$B$14+calculations!M213*$B$15)*D29,0)+IFERROR((calculations!M217/calculations!M216)*((calculations!M237+calculations!M279)*$B$11+calculations!M238*$B$12+calculations!M239*$B$13+calculations!M240*$B$14+calculations!M241*$B$15)*D29,0)+IFERROR((calculations!M287/calculations!M286)*((calculations!M307+calculations!M312)*$B$11+calculations!M308*$B$12+calculations!M309*$B$13+calculations!M310*$B$14+calculations!M311*$B$15)*D29,0)+IFERROR((calculations!M319/calculations!M318)*((calculations!M339+calculations!M344)*$B$11+calculations!M340*$B$12+calculations!M341*$B$13+calculations!M342*$B$14+calculations!M343*$B$15)*D29,0)</f>
        <v>0</v>
      </c>
      <c r="E34" s="53">
        <f>IFERROR((calculations!N21/calculations!N20)*((calculations!N41+calculations!N244)*$B$11+calculations!N42*$B$12+calculations!N43*$B$13+calculations!N44*$B$14+calculations!N45*$B$15)*E29,0)+IFERROR((calculations!N49/calculations!N48)*((calculations!N69+calculations!N249)*$B$11+calculations!N70*$B$12+calculations!N71*$B$13+calculations!N72*$B$14+calculations!N73*$B$15)*E29,0)+IFERROR((calculations!N77/calculations!N76)*((calculations!N97+calculations!N254)*$B$11+calculations!N98*$B$12+calculations!N99*$B$13+calculations!N100*$B$14+calculations!N101*$B$15)*E29,0)+IFERROR((calculations!N105/calculations!N104)*((calculations!N125+calculations!N259)*$B$11+calculations!N126*$B$12+calculations!N127*$B$13+calculations!N128*$B$14+calculations!N129*$B$15)*E29,0)+IFERROR((calculations!N133/calculations!N132)*((calculations!N153+calculations!N264)*$B$11+calculations!N154*$B$12+calculations!N155*$B$13+calculations!N156*$B$14+calculations!N157*$B$15)*E29,0)+IFERROR((calculations!N161/calculations!N160)*((calculations!N181+calculations!N269)*$B$11+calculations!N182*$B$12+calculations!N183*$B$13+calculations!N184*$B$14+calculations!N185*$B$15)*E29,0)+IFERROR((calculations!N189/calculations!N188)*((calculations!N209+calculations!N274)*$B$11+calculations!N210*$B$12+calculations!N211*$B$13+calculations!N212*$B$14+calculations!N213*$B$15)*E29,0)+IFERROR((calculations!N217/calculations!N216)*((calculations!N237+calculations!N279)*$B$11+calculations!N238*$B$12+calculations!N239*$B$13+calculations!N240*$B$14+calculations!N241*$B$15)*E29,0)+IFERROR((calculations!N287/calculations!N286)*((calculations!N307+calculations!N312)*$B$11+calculations!N308*$B$12+calculations!N309*$B$13+calculations!N310*$B$14+calculations!N311*$B$15)*E29,0)+IFERROR((calculations!N319/calculations!N318)*((calculations!N339+calculations!N344)*$B$11+calculations!N340*$B$12+calculations!N341*$B$13+calculations!N342*$B$14+calculations!N343*$B$15)*E29,0)</f>
        <v>0</v>
      </c>
      <c r="F34" s="53">
        <f>IFERROR((calculations!O21/calculations!O20)*((calculations!O41+calculations!O244)*$B$11+calculations!O42*$B$12+calculations!O43*$B$13+calculations!O44*$B$14+calculations!O45*$B$15)*F29,0)+IFERROR((calculations!O49/calculations!O48)*((calculations!O69+calculations!O249)*$B$11+calculations!O70*$B$12+calculations!O71*$B$13+calculations!O72*$B$14+calculations!O73*$B$15)*F29,0)+IFERROR((calculations!O77/calculations!O76)*((calculations!O97+calculations!O254)*$B$11+calculations!O98*$B$12+calculations!O99*$B$13+calculations!O100*$B$14+calculations!O101*$B$15)*F29,0)+IFERROR((calculations!O105/calculations!O104)*((calculations!O125+calculations!O259)*$B$11+calculations!O126*$B$12+calculations!O127*$B$13+calculations!O128*$B$14+calculations!O129*$B$15)*F29,0)+IFERROR((calculations!O133/calculations!O132)*((calculations!O153+calculations!O264)*$B$11+calculations!O154*$B$12+calculations!O155*$B$13+calculations!O156*$B$14+calculations!O157*$B$15)*F29,0)+IFERROR((calculations!O161/calculations!O160)*((calculations!O181+calculations!O269)*$B$11+calculations!O182*$B$12+calculations!O183*$B$13+calculations!O184*$B$14+calculations!O185*$B$15)*F29,0)+IFERROR((calculations!O189/calculations!O188)*((calculations!O209+calculations!O274)*$B$11+calculations!O210*$B$12+calculations!O211*$B$13+calculations!O212*$B$14+calculations!O213*$B$15)*F29,0)+IFERROR((calculations!O217/calculations!O216)*((calculations!O237+calculations!O279)*$B$11+calculations!O238*$B$12+calculations!O239*$B$13+calculations!O240*$B$14+calculations!O241*$B$15)*F29,0)+IFERROR((calculations!O287/calculations!O286)*((calculations!O307+calculations!O312)*$B$11+calculations!O308*$B$12+calculations!O309*$B$13+calculations!O310*$B$14+calculations!O311*$B$15)*F29,0)+IFERROR((calculations!O319/calculations!O318)*((calculations!O339+calculations!O344)*$B$11+calculations!O340*$B$12+calculations!O341*$B$13+calculations!O342*$B$14+calculations!O343*$B$15)*F29,0)</f>
        <v>105.56304923384326</v>
      </c>
      <c r="G34" s="53">
        <f>IFERROR((calculations!P21/calculations!P20)*((calculations!P41+calculations!P244)*$B$11+calculations!P42*$B$12+calculations!P43*$B$13+calculations!P44*$B$14+calculations!P45*$B$15)*G29,0)+IFERROR((calculations!P49/calculations!P48)*((calculations!P69+calculations!P249)*$B$11+calculations!P70*$B$12+calculations!P71*$B$13+calculations!P72*$B$14+calculations!P73*$B$15)*G29,0)+IFERROR((calculations!P77/calculations!P76)*((calculations!P97+calculations!P254)*$B$11+calculations!P98*$B$12+calculations!P99*$B$13+calculations!P100*$B$14+calculations!P101*$B$15)*G29,0)+IFERROR((calculations!P105/calculations!P104)*((calculations!P125+calculations!P259)*$B$11+calculations!P126*$B$12+calculations!P127*$B$13+calculations!P128*$B$14+calculations!P129*$B$15)*G29,0)+IFERROR((calculations!P133/calculations!P132)*((calculations!P153+calculations!P264)*$B$11+calculations!P154*$B$12+calculations!P155*$B$13+calculations!P156*$B$14+calculations!P157*$B$15)*G29,0)+IFERROR((calculations!P161/calculations!P160)*((calculations!P181+calculations!P269)*$B$11+calculations!P182*$B$12+calculations!P183*$B$13+calculations!P184*$B$14+calculations!P185*$B$15)*G29,0)+IFERROR((calculations!P189/calculations!P188)*((calculations!P209+calculations!P274)*$B$11+calculations!P210*$B$12+calculations!P211*$B$13+calculations!P212*$B$14+calculations!P213*$B$15)*G29,0)+IFERROR((calculations!P217/calculations!P216)*((calculations!P237+calculations!P279)*$B$11+calculations!P238*$B$12+calculations!P239*$B$13+calculations!P240*$B$14+calculations!P241*$B$15)*G29,0)+IFERROR((calculations!P287/calculations!P286)*((calculations!P307+calculations!P312)*$B$11+calculations!P308*$B$12+calculations!P309*$B$13+calculations!P310*$B$14+calculations!P311*$B$15)*G29,0)+IFERROR((calculations!P319/calculations!P318)*((calculations!P339+calculations!P344)*$B$11+calculations!P340*$B$12+calculations!P341*$B$13+calculations!P342*$B$14+calculations!P343*$B$15)*G29,0)</f>
        <v>120.73891523371984</v>
      </c>
      <c r="H34" s="53">
        <f>IFERROR((calculations!Q21/calculations!Q20)*((calculations!Q41+calculations!Q244)*$B$11+calculations!Q42*$B$12+calculations!Q43*$B$13+calculations!Q44*$B$14+calculations!Q45*$B$15)*H29,0)+IFERROR((calculations!Q49/calculations!Q48)*((calculations!Q69+calculations!Q249)*$B$11+calculations!Q70*$B$12+calculations!Q71*$B$13+calculations!Q72*$B$14+calculations!Q73*$B$15)*H29,0)+IFERROR((calculations!Q77/calculations!Q76)*((calculations!Q97+calculations!Q254)*$B$11+calculations!Q98*$B$12+calculations!Q99*$B$13+calculations!Q100*$B$14+calculations!Q101*$B$15)*H29,0)+IFERROR((calculations!Q105/calculations!Q104)*((calculations!Q125+calculations!Q259)*$B$11+calculations!Q126*$B$12+calculations!Q127*$B$13+calculations!Q128*$B$14+calculations!Q129*$B$15)*H29,0)+IFERROR((calculations!Q133/calculations!Q132)*((calculations!Q153+calculations!Q264)*$B$11+calculations!Q154*$B$12+calculations!Q155*$B$13+calculations!Q156*$B$14+calculations!Q157*$B$15)*H29,0)+IFERROR((calculations!Q161/calculations!Q160)*((calculations!Q181+calculations!Q269)*$B$11+calculations!Q182*$B$12+calculations!Q183*$B$13+calculations!Q184*$B$14+calculations!Q185*$B$15)*H29,0)+IFERROR((calculations!Q189/calculations!Q188)*((calculations!Q209+calculations!Q274)*$B$11+calculations!Q210*$B$12+calculations!Q211*$B$13+calculations!Q212*$B$14+calculations!Q213*$B$15)*H29,0)+IFERROR((calculations!Q217/calculations!Q216)*((calculations!Q237+calculations!Q279)*$B$11+calculations!Q238*$B$12+calculations!Q239*$B$13+calculations!Q240*$B$14+calculations!Q241*$B$15)*H29,0)+IFERROR((calculations!Q287/calculations!Q286)*((calculations!Q307+calculations!Q312)*$B$11+calculations!Q308*$B$12+calculations!Q309*$B$13+calculations!Q310*$B$14+calculations!Q311*$B$15)*H29,0)+IFERROR((calculations!Q319/calculations!Q318)*((calculations!Q339+calculations!Q344)*$B$11+calculations!Q340*$B$12+calculations!Q341*$B$13+calculations!Q342*$B$14+calculations!Q343*$B$15)*H29,0)</f>
        <v>143.73830437327484</v>
      </c>
      <c r="I34" s="53">
        <f>IFERROR((calculations!R21/calculations!R20)*((calculations!R41+calculations!R244)*$B$11+calculations!R42*$B$12+calculations!R43*$B$13+calculations!R44*$B$14+calculations!R45*$B$15)*I29,0)+IFERROR((calculations!R49/calculations!R48)*((calculations!R69+calculations!R249)*$B$11+calculations!R70*$B$12+calculations!R71*$B$13+calculations!R72*$B$14+calculations!R73*$B$15)*I29,0)+IFERROR((calculations!R77/calculations!R76)*((calculations!R97+calculations!R254)*$B$11+calculations!R98*$B$12+calculations!R99*$B$13+calculations!R100*$B$14+calculations!R101*$B$15)*I29,0)+IFERROR((calculations!R105/calculations!R104)*((calculations!R125+calculations!R259)*$B$11+calculations!R126*$B$12+calculations!R127*$B$13+calculations!R128*$B$14+calculations!R129*$B$15)*I29,0)+IFERROR((calculations!R133/calculations!R132)*((calculations!R153+calculations!R264)*$B$11+calculations!R154*$B$12+calculations!R155*$B$13+calculations!R156*$B$14+calculations!R157*$B$15)*I29,0)+IFERROR((calculations!R161/calculations!R160)*((calculations!R181+calculations!R269)*$B$11+calculations!R182*$B$12+calculations!R183*$B$13+calculations!R184*$B$14+calculations!R185*$B$15)*I29,0)+IFERROR((calculations!R189/calculations!R188)*((calculations!R209+calculations!R274)*$B$11+calculations!R210*$B$12+calculations!R211*$B$13+calculations!R212*$B$14+calculations!R213*$B$15)*I29,0)+IFERROR((calculations!R217/calculations!R216)*((calculations!R237+calculations!R279)*$B$11+calculations!R238*$B$12+calculations!R239*$B$13+calculations!R240*$B$14+calculations!R241*$B$15)*I29,0)+IFERROR((calculations!R287/calculations!R286)*((calculations!R307+calculations!R312)*$B$11+calculations!R308*$B$12+calculations!R309*$B$13+calculations!R310*$B$14+calculations!R311*$B$15)*I29,0)+IFERROR((calculations!R319/calculations!R318)*((calculations!R339+calculations!R344)*$B$11+calculations!R340*$B$12+calculations!R341*$B$13+calculations!R342*$B$14+calculations!R343*$B$15)*I29,0)</f>
        <v>181.61202351728471</v>
      </c>
      <c r="J34" s="53">
        <f>IFERROR((calculations!S21/calculations!S20)*((calculations!S41+calculations!S244)*$B$11+calculations!S42*$B$12+calculations!S43*$B$13+calculations!S44*$B$14+calculations!S45*$B$15)*J29,0)+IFERROR((calculations!S49/calculations!S48)*((calculations!S69+calculations!S249)*$B$11+calculations!S70*$B$12+calculations!S71*$B$13+calculations!S72*$B$14+calculations!S73*$B$15)*J29,0)+IFERROR((calculations!S77/calculations!S76)*((calculations!S97+calculations!S254)*$B$11+calculations!S98*$B$12+calculations!S99*$B$13+calculations!S100*$B$14+calculations!S101*$B$15)*J29,0)+IFERROR((calculations!S105/calculations!S104)*((calculations!S125+calculations!S259)*$B$11+calculations!S126*$B$12+calculations!S127*$B$13+calculations!S128*$B$14+calculations!S129*$B$15)*J29,0)+IFERROR((calculations!S133/calculations!S132)*((calculations!S153+calculations!S264)*$B$11+calculations!S154*$B$12+calculations!S155*$B$13+calculations!S156*$B$14+calculations!S157*$B$15)*J29,0)+IFERROR((calculations!S161/calculations!S160)*((calculations!S181+calculations!S269)*$B$11+calculations!S182*$B$12+calculations!S183*$B$13+calculations!S184*$B$14+calculations!S185*$B$15)*J29,0)+IFERROR((calculations!S189/calculations!S188)*((calculations!S209+calculations!S274)*$B$11+calculations!S210*$B$12+calculations!S211*$B$13+calculations!S212*$B$14+calculations!S213*$B$15)*J29,0)+IFERROR((calculations!S217/calculations!S216)*((calculations!S237+calculations!S279)*$B$11+calculations!S238*$B$12+calculations!S239*$B$13+calculations!S240*$B$14+calculations!S241*$B$15)*J29,0)+IFERROR((calculations!S287/calculations!S286)*((calculations!S307+calculations!S312)*$B$11+calculations!S308*$B$12+calculations!S309*$B$13+calculations!S310*$B$14+calculations!S311*$B$15)*J29,0)+IFERROR((calculations!S319/calculations!S318)*((calculations!S339+calculations!S344)*$B$11+calculations!S340*$B$12+calculations!S341*$B$13+calculations!S342*$B$14+calculations!S343*$B$15)*J29,0)</f>
        <v>272.07368761373635</v>
      </c>
      <c r="K34" s="53">
        <f>IFERROR((calculations!T21/calculations!T20)*((calculations!T41+calculations!T244)*$B$11+calculations!T42*$B$12+calculations!T43*$B$13+calculations!T44*$B$14+calculations!T45*$B$15)*K29,0)+IFERROR((calculations!T49/calculations!T48)*((calculations!T69+calculations!T249)*$B$11+calculations!T70*$B$12+calculations!T71*$B$13+calculations!T72*$B$14+calculations!T73*$B$15)*K29,0)+IFERROR((calculations!T77/calculations!T76)*((calculations!T97+calculations!T254)*$B$11+calculations!T98*$B$12+calculations!T99*$B$13+calculations!T100*$B$14+calculations!T101*$B$15)*K29,0)+IFERROR((calculations!T105/calculations!T104)*((calculations!T125+calculations!T259)*$B$11+calculations!T126*$B$12+calculations!T127*$B$13+calculations!T128*$B$14+calculations!T129*$B$15)*K29,0)+IFERROR((calculations!T133/calculations!T132)*((calculations!T153+calculations!T264)*$B$11+calculations!T154*$B$12+calculations!T155*$B$13+calculations!T156*$B$14+calculations!T157*$B$15)*K29,0)+IFERROR((calculations!T161/calculations!T160)*((calculations!T181+calculations!T269)*$B$11+calculations!T182*$B$12+calculations!T183*$B$13+calculations!T184*$B$14+calculations!T185*$B$15)*K29,0)+IFERROR((calculations!T189/calculations!T188)*((calculations!T209+calculations!T274)*$B$11+calculations!T210*$B$12+calculations!T211*$B$13+calculations!T212*$B$14+calculations!T213*$B$15)*K29,0)+IFERROR((calculations!T217/calculations!T216)*((calculations!T237+calculations!T279)*$B$11+calculations!T238*$B$12+calculations!T239*$B$13+calculations!T240*$B$14+calculations!T241*$B$15)*K29,0)+IFERROR((calculations!T287/calculations!T286)*((calculations!T307+calculations!T312)*$B$11+calculations!T308*$B$12+calculations!T309*$B$13+calculations!T310*$B$14+calculations!T311*$B$15)*K29,0)+IFERROR((calculations!T319/calculations!T318)*((calculations!T339+calculations!T344)*$B$11+calculations!T340*$B$12+calculations!T341*$B$13+calculations!T342*$B$14+calculations!T343*$B$15)*K29,0)</f>
        <v>340.66465601053039</v>
      </c>
      <c r="L34" s="53">
        <f>IFERROR((calculations!U21/calculations!U20)*((calculations!U41+calculations!U244)*$B$11+calculations!U42*$B$12+calculations!U43*$B$13+calculations!U44*$B$14+calculations!U45*$B$15)*L29,0)+IFERROR((calculations!U49/calculations!U48)*((calculations!U69+calculations!U249)*$B$11+calculations!U70*$B$12+calculations!U71*$B$13+calculations!U72*$B$14+calculations!U73*$B$15)*L29,0)+IFERROR((calculations!U77/calculations!U76)*((calculations!U97+calculations!U254)*$B$11+calculations!U98*$B$12+calculations!U99*$B$13+calculations!U100*$B$14+calculations!U101*$B$15)*L29,0)+IFERROR((calculations!U105/calculations!U104)*((calculations!U125+calculations!U259)*$B$11+calculations!U126*$B$12+calculations!U127*$B$13+calculations!U128*$B$14+calculations!U129*$B$15)*L29,0)+IFERROR((calculations!U133/calculations!U132)*((calculations!U153+calculations!U264)*$B$11+calculations!U154*$B$12+calculations!U155*$B$13+calculations!U156*$B$14+calculations!U157*$B$15)*L29,0)+IFERROR((calculations!U161/calculations!U160)*((calculations!U181+calculations!U269)*$B$11+calculations!U182*$B$12+calculations!U183*$B$13+calculations!U184*$B$14+calculations!U185*$B$15)*L29,0)+IFERROR((calculations!U189/calculations!U188)*((calculations!U209+calculations!U274)*$B$11+calculations!U210*$B$12+calculations!U211*$B$13+calculations!U212*$B$14+calculations!U213*$B$15)*L29,0)+IFERROR((calculations!U217/calculations!U216)*((calculations!U237+calculations!U279)*$B$11+calculations!U238*$B$12+calculations!U239*$B$13+calculations!U240*$B$14+calculations!U241*$B$15)*L29,0)+IFERROR((calculations!U287/calculations!U286)*((calculations!U307+calculations!U312)*$B$11+calculations!U308*$B$12+calculations!U309*$B$13+calculations!U310*$B$14+calculations!U311*$B$15)*L29,0)+IFERROR((calculations!U319/calculations!U318)*((calculations!U339+calculations!U344)*$B$11+calculations!U340*$B$12+calculations!U341*$B$13+calculations!U342*$B$14+calculations!U343*$B$15)*L29,0)</f>
        <v>417.98541146522092</v>
      </c>
      <c r="M34" s="53">
        <f>IFERROR((calculations!V21/calculations!V20)*((calculations!V41+calculations!V244)*$B$11+calculations!V42*$B$12+calculations!V43*$B$13+calculations!V44*$B$14+calculations!V45*$B$15)*M29,0)+IFERROR((calculations!V49/calculations!V48)*((calculations!V69+calculations!V249)*$B$11+calculations!V70*$B$12+calculations!V71*$B$13+calculations!V72*$B$14+calculations!V73*$B$15)*M29,0)+IFERROR((calculations!V77/calculations!V76)*((calculations!V97+calculations!V254)*$B$11+calculations!V98*$B$12+calculations!V99*$B$13+calculations!V100*$B$14+calculations!V101*$B$15)*M29,0)+IFERROR((calculations!V105/calculations!V104)*((calculations!V125+calculations!V259)*$B$11+calculations!V126*$B$12+calculations!V127*$B$13+calculations!V128*$B$14+calculations!V129*$B$15)*M29,0)+IFERROR((calculations!V133/calculations!V132)*((calculations!V153+calculations!V264)*$B$11+calculations!V154*$B$12+calculations!V155*$B$13+calculations!V156*$B$14+calculations!V157*$B$15)*M29,0)+IFERROR((calculations!V161/calculations!V160)*((calculations!V181+calculations!V269)*$B$11+calculations!V182*$B$12+calculations!V183*$B$13+calculations!V184*$B$14+calculations!V185*$B$15)*M29,0)+IFERROR((calculations!V189/calculations!V188)*((calculations!V209+calculations!V274)*$B$11+calculations!V210*$B$12+calculations!V211*$B$13+calculations!V212*$B$14+calculations!V213*$B$15)*M29,0)+IFERROR((calculations!V217/calculations!V216)*((calculations!V237+calculations!V279)*$B$11+calculations!V238*$B$12+calculations!V239*$B$13+calculations!V240*$B$14+calculations!V241*$B$15)*M29,0)+IFERROR((calculations!V287/calculations!V286)*((calculations!V307+calculations!V312)*$B$11+calculations!V308*$B$12+calculations!V309*$B$13+calculations!V310*$B$14+calculations!V311*$B$15)*M29,0)+IFERROR((calculations!V319/calculations!V318)*((calculations!V339+calculations!V344)*$B$11+calculations!V340*$B$12+calculations!V341*$B$13+calculations!V342*$B$14+calculations!V343*$B$15)*M29,0)</f>
        <v>504.7469204073588</v>
      </c>
      <c r="N34" s="53">
        <f>IFERROR((calculations!W21/calculations!W20)*((calculations!W41+calculations!W244)*$B$11+calculations!W42*$B$12+calculations!W43*$B$13+calculations!W44*$B$14+calculations!W45*$B$15)*N29,0)+IFERROR((calculations!W49/calculations!W48)*((calculations!W69+calculations!W249)*$B$11+calculations!W70*$B$12+calculations!W71*$B$13+calculations!W72*$B$14+calculations!W73*$B$15)*N29,0)+IFERROR((calculations!W77/calculations!W76)*((calculations!W97+calculations!W254)*$B$11+calculations!W98*$B$12+calculations!W99*$B$13+calculations!W100*$B$14+calculations!W101*$B$15)*N29,0)+IFERROR((calculations!W105/calculations!W104)*((calculations!W125+calculations!W259)*$B$11+calculations!W126*$B$12+calculations!W127*$B$13+calculations!W128*$B$14+calculations!W129*$B$15)*N29,0)+IFERROR((calculations!W133/calculations!W132)*((calculations!W153+calculations!W264)*$B$11+calculations!W154*$B$12+calculations!W155*$B$13+calculations!W156*$B$14+calculations!W157*$B$15)*N29,0)+IFERROR((calculations!W161/calculations!W160)*((calculations!W181+calculations!W269)*$B$11+calculations!W182*$B$12+calculations!W183*$B$13+calculations!W184*$B$14+calculations!W185*$B$15)*N29,0)+IFERROR((calculations!W189/calculations!W188)*((calculations!W209+calculations!W274)*$B$11+calculations!W210*$B$12+calculations!W211*$B$13+calculations!W212*$B$14+calculations!W213*$B$15)*N29,0)+IFERROR((calculations!W217/calculations!W216)*((calculations!W237+calculations!W279)*$B$11+calculations!W238*$B$12+calculations!W239*$B$13+calculations!W240*$B$14+calculations!W241*$B$15)*N29,0)+IFERROR((calculations!W287/calculations!W286)*((calculations!W307+calculations!W312)*$B$11+calculations!W308*$B$12+calculations!W309*$B$13+calculations!W310*$B$14+calculations!W311*$B$15)*N29,0)+IFERROR((calculations!W319/calculations!W318)*((calculations!W339+calculations!W344)*$B$11+calculations!W340*$B$12+calculations!W341*$B$13+calculations!W342*$B$14+calculations!W343*$B$15)*N29,0)</f>
        <v>609.7788858009136</v>
      </c>
      <c r="O34" s="53">
        <f>IFERROR((calculations!X21/calculations!X20)*((calculations!X41+calculations!X244)*$B$11+calculations!X42*$B$12+calculations!X43*$B$13+calculations!X44*$B$14+calculations!X45*$B$15)*O29,0)+IFERROR((calculations!X49/calculations!X48)*((calculations!X69+calculations!X249)*$B$11+calculations!X70*$B$12+calculations!X71*$B$13+calculations!X72*$B$14+calculations!X73*$B$15)*O29,0)+IFERROR((calculations!X77/calculations!X76)*((calculations!X97+calculations!X254)*$B$11+calculations!X98*$B$12+calculations!X99*$B$13+calculations!X100*$B$14+calculations!X101*$B$15)*O29,0)+IFERROR((calculations!X105/calculations!X104)*((calculations!X125+calculations!X259)*$B$11+calculations!X126*$B$12+calculations!X127*$B$13+calculations!X128*$B$14+calculations!X129*$B$15)*O29,0)+IFERROR((calculations!X133/calculations!X132)*((calculations!X153+calculations!X264)*$B$11+calculations!X154*$B$12+calculations!X155*$B$13+calculations!X156*$B$14+calculations!X157*$B$15)*O29,0)+IFERROR((calculations!X161/calculations!X160)*((calculations!X181+calculations!X269)*$B$11+calculations!X182*$B$12+calculations!X183*$B$13+calculations!X184*$B$14+calculations!X185*$B$15)*O29,0)+IFERROR((calculations!X189/calculations!X188)*((calculations!X209+calculations!X274)*$B$11+calculations!X210*$B$12+calculations!X211*$B$13+calculations!X212*$B$14+calculations!X213*$B$15)*O29,0)+IFERROR((calculations!X217/calculations!X216)*((calculations!X237+calculations!X279)*$B$11+calculations!X238*$B$12+calculations!X239*$B$13+calculations!X240*$B$14+calculations!X241*$B$15)*O29,0)+IFERROR((calculations!X287/calculations!X286)*((calculations!X307+calculations!X312)*$B$11+calculations!X308*$B$12+calculations!X309*$B$13+calculations!X310*$B$14+calculations!X311*$B$15)*O29,0)+IFERROR((calculations!X319/calculations!X318)*((calculations!X339+calculations!X344)*$B$11+calculations!X340*$B$12+calculations!X341*$B$13+calculations!X342*$B$14+calculations!X343*$B$15)*O29,0)</f>
        <v>656.45375989055935</v>
      </c>
    </row>
    <row r="35" spans="1:16" ht="15.75" customHeight="1" x14ac:dyDescent="0.25">
      <c r="A35" s="54" t="s">
        <v>147</v>
      </c>
      <c r="B35" s="50" t="s">
        <v>145</v>
      </c>
      <c r="C35" s="51"/>
      <c r="D35" s="52">
        <f>IFERROR((calculations!M21/calculations!M20)*((calculations!M41+calculations!M244)*$B$11+calculations!M42*$B$12+calculations!M43*$B$13+calculations!M44*$B$14+calculations!M45*$B$15*INDEX(input_data!$L:$L,MATCH("all.in.cs2.stl.drg.---",input_data!$A:$A,0)))*D29,0)+IFERROR((calculations!M49/calculations!M48)*((calculations!M69+calculations!M249)*$B$11+calculations!M70*$B$12+calculations!M71*$B$13+calculations!M72*$B$14+calculations!M73*$B$15*INDEX(input_data!$L:$L,MATCH("all.in.cs2.stl.scr.---",input_data!$A:$A,0)))*D29,0)+IFERROR((calculations!M77/calculations!M76)*((calculations!M97+calculations!M254)*$B$11+calculations!M98*$B$12+calculations!M99*$B$13+calculations!M100*$B$14+calculations!M101*$B$15*INDEX(input_data!$L:$L,MATCH("all.in.cs2.stl.bof.---",input_data!$A:$A,0)))*D29,0)+IFERROR((calculations!M105/calculations!M104)*((calculations!M125+calculations!M259)*$B$11+calculations!M126*$B$12+calculations!M127*$B$13+calculations!M128*$B$14+calculations!M129*$B$15*INDEX(input_data!$L:$L,MATCH("all.in.cs2.cmt.dry.---",input_data!$A:$A,0)))*D29,0)+IFERROR((calculations!M133/calculations!M132)*((calculations!M153+calculations!M264)*$B$11+calculations!M154*$B$12+calculations!M155*$B$13+calculations!M156*$B$14+calculations!M157*$B$15*INDEX(input_data!$L:$L,MATCH("all.in.cs2.frt.amc.---",input_data!$A:$A,0)))*D29,0)+IFERROR((calculations!M161/calculations!M160)*((calculations!M181+calculations!M269)*$B$11+calculations!M182*$B$12+calculations!M183*$B$13+calculations!M184*$B$14+calculations!M185*$B$15*INDEX(input_data!$L:$L,MATCH("all.in.cs2.frt.ure.---",input_data!$A:$A,0)))*D29,0)+IFERROR((calculations!M189/calculations!M188)*((calculations!M209+calculations!M274)*$B$11+calculations!M210*$B$12+calculations!M211*$B$13+calculations!M212*$B$14+calculations!M213*$B$15*INDEX(input_data!$L:$L,MATCH("all.in.cs2.frt.nit.---",input_data!$A:$A,0)))*D29,0)+IFERROR((calculations!M217/calculations!M216)*((calculations!M237+calculations!M279)*$B$11+calculations!M238*$B$12+calculations!M239*$B$13+calculations!M240*$B$14+calculations!M241*$B$15*INDEX(input_data!$L:$L,MATCH("all.in.cs2.alu.prp.---",input_data!$A:$A,0)))*D29,0)+IFERROR((calculations!M287/calculations!M286)*((calculations!M307+calculations!M312)*$B$11+calculations!M308*$B$12+calculations!M309*$B$13+calculations!M310*$B$14+calculations!M311*$B$15*INDEX(input_data!$L:$L,MATCH("all.in.cs2.stl.oth.---",input_data!$A:$A,0)))*D29,0)+IFERROR((calculations!M319/calculations!M318)*((calculations!M339+calculations!M344)*$B$11+calculations!M340*$B$12+calculations!M341*$B$13+calculations!M342*$B$14+calculations!M343*$B$15*INDEX(input_data!$L:$L,MATCH("all.in.cs2.frt.otn.---",input_data!$A:$A,0)))*D29,0)</f>
        <v>0</v>
      </c>
      <c r="E35" s="53">
        <f>IFERROR((calculations!N21/calculations!N20)*((calculations!N41+calculations!N244)*$B$11+calculations!N42*$B$12+calculations!N43*$B$13+calculations!N44*$B$14+calculations!N45*$B$15*INDEX(input_data!$L:$L,MATCH("all.in.cs2.stl.drg.---",input_data!$A:$A,0)))*E29,0)+IFERROR((calculations!N49/calculations!N48)*((calculations!N69+calculations!N249)*$B$11+calculations!N70*$B$12+calculations!N71*$B$13+calculations!N72*$B$14+calculations!N73*$B$15*INDEX(input_data!$L:$L,MATCH("all.in.cs2.stl.scr.---",input_data!$A:$A,0)))*E29,0)+IFERROR((calculations!N77/calculations!N76)*((calculations!N97+calculations!N254)*$B$11+calculations!N98*$B$12+calculations!N99*$B$13+calculations!N100*$B$14+calculations!N101*$B$15*INDEX(input_data!$L:$L,MATCH("all.in.cs2.stl.bof.---",input_data!$A:$A,0)))*E29,0)+IFERROR((calculations!N105/calculations!N104)*((calculations!N125+calculations!N259)*$B$11+calculations!N126*$B$12+calculations!N127*$B$13+calculations!N128*$B$14+calculations!N129*$B$15*INDEX(input_data!$L:$L,MATCH("all.in.cs2.cmt.dry.---",input_data!$A:$A,0)))*E29,0)+IFERROR((calculations!N133/calculations!N132)*((calculations!N153+calculations!N264)*$B$11+calculations!N154*$B$12+calculations!N155*$B$13+calculations!N156*$B$14+calculations!N157*$B$15*INDEX(input_data!$L:$L,MATCH("all.in.cs2.frt.amc.---",input_data!$A:$A,0)))*E29,0)+IFERROR((calculations!N161/calculations!N160)*((calculations!N181+calculations!N269)*$B$11+calculations!N182*$B$12+calculations!N183*$B$13+calculations!N184*$B$14+calculations!N185*$B$15*INDEX(input_data!$L:$L,MATCH("all.in.cs2.frt.ure.---",input_data!$A:$A,0)))*E29,0)+IFERROR((calculations!N189/calculations!N188)*((calculations!N209+calculations!N274)*$B$11+calculations!N210*$B$12+calculations!N211*$B$13+calculations!N212*$B$14+calculations!N213*$B$15*INDEX(input_data!$L:$L,MATCH("all.in.cs2.frt.nit.---",input_data!$A:$A,0)))*E29,0)+IFERROR((calculations!N217/calculations!N216)*((calculations!N237+calculations!N279)*$B$11+calculations!N238*$B$12+calculations!N239*$B$13+calculations!N240*$B$14+calculations!N241*$B$15*INDEX(input_data!$L:$L,MATCH("all.in.cs2.alu.prp.---",input_data!$A:$A,0)))*E29,0)+IFERROR((calculations!N287/calculations!N286)*((calculations!N307+calculations!N312)*$B$11+calculations!N308*$B$12+calculations!N309*$B$13+calculations!N310*$B$14+calculations!N311*$B$15*INDEX(input_data!$L:$L,MATCH("all.in.cs2.stl.oth.---",input_data!$A:$A,0)))*E29,0)+IFERROR((calculations!N319/calculations!N318)*((calculations!N339+calculations!N344)*$B$11+calculations!N340*$B$12+calculations!N341*$B$13+calculations!N342*$B$14+calculations!N343*$B$15*INDEX(input_data!$L:$L,MATCH("all.in.cs2.frt.otn.---",input_data!$A:$A,0)))*E29,0)</f>
        <v>0</v>
      </c>
      <c r="F35" s="53">
        <f>IFERROR((calculations!O21/calculations!O20)*((calculations!O41+calculations!O244)*$B$11+calculations!O42*$B$12+calculations!O43*$B$13+calculations!O44*$B$14+calculations!O45*$B$15*INDEX(input_data!$L:$L,MATCH("all.in.cs2.stl.drg.---",input_data!$A:$A,0)))*F29,0)+IFERROR((calculations!O49/calculations!O48)*((calculations!O69+calculations!O249)*$B$11+calculations!O70*$B$12+calculations!O71*$B$13+calculations!O72*$B$14+calculations!O73*$B$15*INDEX(input_data!$L:$L,MATCH("all.in.cs2.stl.scr.---",input_data!$A:$A,0)))*F29,0)+IFERROR((calculations!O77/calculations!O76)*((calculations!O97+calculations!O254)*$B$11+calculations!O98*$B$12+calculations!O99*$B$13+calculations!O100*$B$14+calculations!O101*$B$15*INDEX(input_data!$L:$L,MATCH("all.in.cs2.stl.bof.---",input_data!$A:$A,0)))*F29,0)+IFERROR((calculations!O105/calculations!O104)*((calculations!O125+calculations!O259)*$B$11+calculations!O126*$B$12+calculations!O127*$B$13+calculations!O128*$B$14+calculations!O129*$B$15*INDEX(input_data!$L:$L,MATCH("all.in.cs2.cmt.dry.---",input_data!$A:$A,0)))*F29,0)+IFERROR((calculations!O133/calculations!O132)*((calculations!O153+calculations!O264)*$B$11+calculations!O154*$B$12+calculations!O155*$B$13+calculations!O156*$B$14+calculations!O157*$B$15*INDEX(input_data!$L:$L,MATCH("all.in.cs2.frt.amc.---",input_data!$A:$A,0)))*F29,0)+IFERROR((calculations!O161/calculations!O160)*((calculations!O181+calculations!O269)*$B$11+calculations!O182*$B$12+calculations!O183*$B$13+calculations!O184*$B$14+calculations!O185*$B$15*INDEX(input_data!$L:$L,MATCH("all.in.cs2.frt.ure.---",input_data!$A:$A,0)))*F29,0)+IFERROR((calculations!O189/calculations!O188)*((calculations!O209+calculations!O274)*$B$11+calculations!O210*$B$12+calculations!O211*$B$13+calculations!O212*$B$14+calculations!O213*$B$15*INDEX(input_data!$L:$L,MATCH("all.in.cs2.frt.nit.---",input_data!$A:$A,0)))*F29,0)+IFERROR((calculations!O217/calculations!O216)*((calculations!O237+calculations!O279)*$B$11+calculations!O238*$B$12+calculations!O239*$B$13+calculations!O240*$B$14+calculations!O241*$B$15*INDEX(input_data!$L:$L,MATCH("all.in.cs2.alu.prp.---",input_data!$A:$A,0)))*F29,0)+IFERROR((calculations!O287/calculations!O286)*((calculations!O307+calculations!O312)*$B$11+calculations!O308*$B$12+calculations!O309*$B$13+calculations!O310*$B$14+calculations!O311*$B$15*INDEX(input_data!$L:$L,MATCH("all.in.cs2.stl.oth.---",input_data!$A:$A,0)))*F29,0)+IFERROR((calculations!O319/calculations!O318)*((calculations!O339+calculations!O344)*$B$11+calculations!O340*$B$12+calculations!O341*$B$13+calculations!O342*$B$14+calculations!O343*$B$15*INDEX(input_data!$L:$L,MATCH("all.in.cs2.frt.otn.---",input_data!$A:$A,0)))*F29,0)</f>
        <v>76.689831971754657</v>
      </c>
      <c r="G35" s="53">
        <f>IFERROR((calculations!P21/calculations!P20)*((calculations!P41+calculations!P244)*$B$11+calculations!P42*$B$12+calculations!P43*$B$13+calculations!P44*$B$14+calculations!P45*$B$15*INDEX(input_data!$L:$L,MATCH("all.in.cs2.stl.drg.---",input_data!$A:$A,0)))*G29,0)+IFERROR((calculations!P49/calculations!P48)*((calculations!P69+calculations!P249)*$B$11+calculations!P70*$B$12+calculations!P71*$B$13+calculations!P72*$B$14+calculations!P73*$B$15*INDEX(input_data!$L:$L,MATCH("all.in.cs2.stl.scr.---",input_data!$A:$A,0)))*G29,0)+IFERROR((calculations!P77/calculations!P76)*((calculations!P97+calculations!P254)*$B$11+calculations!P98*$B$12+calculations!P99*$B$13+calculations!P100*$B$14+calculations!P101*$B$15*INDEX(input_data!$L:$L,MATCH("all.in.cs2.stl.bof.---",input_data!$A:$A,0)))*G29,0)+IFERROR((calculations!P105/calculations!P104)*((calculations!P125+calculations!P259)*$B$11+calculations!P126*$B$12+calculations!P127*$B$13+calculations!P128*$B$14+calculations!P129*$B$15*INDEX(input_data!$L:$L,MATCH("all.in.cs2.cmt.dry.---",input_data!$A:$A,0)))*G29,0)+IFERROR((calculations!P133/calculations!P132)*((calculations!P153+calculations!P264)*$B$11+calculations!P154*$B$12+calculations!P155*$B$13+calculations!P156*$B$14+calculations!P157*$B$15*INDEX(input_data!$L:$L,MATCH("all.in.cs2.frt.amc.---",input_data!$A:$A,0)))*G29,0)+IFERROR((calculations!P161/calculations!P160)*((calculations!P181+calculations!P269)*$B$11+calculations!P182*$B$12+calculations!P183*$B$13+calculations!P184*$B$14+calculations!P185*$B$15*INDEX(input_data!$L:$L,MATCH("all.in.cs2.frt.ure.---",input_data!$A:$A,0)))*G29,0)+IFERROR((calculations!P189/calculations!P188)*((calculations!P209+calculations!P274)*$B$11+calculations!P210*$B$12+calculations!P211*$B$13+calculations!P212*$B$14+calculations!P213*$B$15*INDEX(input_data!$L:$L,MATCH("all.in.cs2.frt.nit.---",input_data!$A:$A,0)))*G29,0)+IFERROR((calculations!P217/calculations!P216)*((calculations!P237+calculations!P279)*$B$11+calculations!P238*$B$12+calculations!P239*$B$13+calculations!P240*$B$14+calculations!P241*$B$15*INDEX(input_data!$L:$L,MATCH("all.in.cs2.alu.prp.---",input_data!$A:$A,0)))*G29,0)+IFERROR((calculations!P287/calculations!P286)*((calculations!P307+calculations!P312)*$B$11+calculations!P308*$B$12+calculations!P309*$B$13+calculations!P310*$B$14+calculations!P311*$B$15*INDEX(input_data!$L:$L,MATCH("all.in.cs2.stl.oth.---",input_data!$A:$A,0)))*G29,0)+IFERROR((calculations!P319/calculations!P318)*((calculations!P339+calculations!P344)*$B$11+calculations!P340*$B$12+calculations!P341*$B$13+calculations!P342*$B$14+calculations!P343*$B$15*INDEX(input_data!$L:$L,MATCH("all.in.cs2.frt.otn.---",input_data!$A:$A,0)))*G29,0)</f>
        <v>88.082977391709989</v>
      </c>
      <c r="H35" s="53">
        <f>IFERROR((calculations!Q21/calculations!Q20)*((calculations!Q41+calculations!Q244)*$B$11+calculations!Q42*$B$12+calculations!Q43*$B$13+calculations!Q44*$B$14+calculations!Q45*$B$15*INDEX(input_data!$L:$L,MATCH("all.in.cs2.stl.drg.---",input_data!$A:$A,0)))*H29,0)+IFERROR((calculations!Q49/calculations!Q48)*((calculations!Q69+calculations!Q249)*$B$11+calculations!Q70*$B$12+calculations!Q71*$B$13+calculations!Q72*$B$14+calculations!Q73*$B$15*INDEX(input_data!$L:$L,MATCH("all.in.cs2.stl.scr.---",input_data!$A:$A,0)))*H29,0)+IFERROR((calculations!Q77/calculations!Q76)*((calculations!Q97+calculations!Q254)*$B$11+calculations!Q98*$B$12+calculations!Q99*$B$13+calculations!Q100*$B$14+calculations!Q101*$B$15*INDEX(input_data!$L:$L,MATCH("all.in.cs2.stl.bof.---",input_data!$A:$A,0)))*H29,0)+IFERROR((calculations!Q105/calculations!Q104)*((calculations!Q125+calculations!Q259)*$B$11+calculations!Q126*$B$12+calculations!Q127*$B$13+calculations!Q128*$B$14+calculations!Q129*$B$15*INDEX(input_data!$L:$L,MATCH("all.in.cs2.cmt.dry.---",input_data!$A:$A,0)))*H29,0)+IFERROR((calculations!Q133/calculations!Q132)*((calculations!Q153+calculations!Q264)*$B$11+calculations!Q154*$B$12+calculations!Q155*$B$13+calculations!Q156*$B$14+calculations!Q157*$B$15*INDEX(input_data!$L:$L,MATCH("all.in.cs2.frt.amc.---",input_data!$A:$A,0)))*H29,0)+IFERROR((calculations!Q161/calculations!Q160)*((calculations!Q181+calculations!Q269)*$B$11+calculations!Q182*$B$12+calculations!Q183*$B$13+calculations!Q184*$B$14+calculations!Q185*$B$15*INDEX(input_data!$L:$L,MATCH("all.in.cs2.frt.ure.---",input_data!$A:$A,0)))*H29,0)+IFERROR((calculations!Q189/calculations!Q188)*((calculations!Q209+calculations!Q274)*$B$11+calculations!Q210*$B$12+calculations!Q211*$B$13+calculations!Q212*$B$14+calculations!Q213*$B$15*INDEX(input_data!$L:$L,MATCH("all.in.cs2.frt.nit.---",input_data!$A:$A,0)))*H29,0)+IFERROR((calculations!Q217/calculations!Q216)*((calculations!Q237+calculations!Q279)*$B$11+calculations!Q238*$B$12+calculations!Q239*$B$13+calculations!Q240*$B$14+calculations!Q241*$B$15*INDEX(input_data!$L:$L,MATCH("all.in.cs2.alu.prp.---",input_data!$A:$A,0)))*H29,0)+IFERROR((calculations!Q287/calculations!Q286)*((calculations!Q307+calculations!Q312)*$B$11+calculations!Q308*$B$12+calculations!Q309*$B$13+calculations!Q310*$B$14+calculations!Q311*$B$15*INDEX(input_data!$L:$L,MATCH("all.in.cs2.stl.oth.---",input_data!$A:$A,0)))*H29,0)+IFERROR((calculations!Q319/calculations!Q318)*((calculations!Q339+calculations!Q344)*$B$11+calculations!Q340*$B$12+calculations!Q341*$B$13+calculations!Q342*$B$14+calculations!Q343*$B$15*INDEX(input_data!$L:$L,MATCH("all.in.cs2.frt.otn.---",input_data!$A:$A,0)))*H29,0)</f>
        <v>105.31264198393703</v>
      </c>
      <c r="I35" s="53">
        <f>IFERROR((calculations!R21/calculations!R20)*((calculations!R41+calculations!R244)*$B$11+calculations!R42*$B$12+calculations!R43*$B$13+calculations!R44*$B$14+calculations!R45*$B$15*INDEX(input_data!$L:$L,MATCH("all.in.cs2.stl.drg.---",input_data!$A:$A,0)))*I29,0)+IFERROR((calculations!R49/calculations!R48)*((calculations!R69+calculations!R249)*$B$11+calculations!R70*$B$12+calculations!R71*$B$13+calculations!R72*$B$14+calculations!R73*$B$15*INDEX(input_data!$L:$L,MATCH("all.in.cs2.stl.scr.---",input_data!$A:$A,0)))*I29,0)+IFERROR((calculations!R77/calculations!R76)*((calculations!R97+calculations!R254)*$B$11+calculations!R98*$B$12+calculations!R99*$B$13+calculations!R100*$B$14+calculations!R101*$B$15*INDEX(input_data!$L:$L,MATCH("all.in.cs2.stl.bof.---",input_data!$A:$A,0)))*I29,0)+IFERROR((calculations!R105/calculations!R104)*((calculations!R125+calculations!R259)*$B$11+calculations!R126*$B$12+calculations!R127*$B$13+calculations!R128*$B$14+calculations!R129*$B$15*INDEX(input_data!$L:$L,MATCH("all.in.cs2.cmt.dry.---",input_data!$A:$A,0)))*I29,0)+IFERROR((calculations!R133/calculations!R132)*((calculations!R153+calculations!R264)*$B$11+calculations!R154*$B$12+calculations!R155*$B$13+calculations!R156*$B$14+calculations!R157*$B$15*INDEX(input_data!$L:$L,MATCH("all.in.cs2.frt.amc.---",input_data!$A:$A,0)))*I29,0)+IFERROR((calculations!R161/calculations!R160)*((calculations!R181+calculations!R269)*$B$11+calculations!R182*$B$12+calculations!R183*$B$13+calculations!R184*$B$14+calculations!R185*$B$15*INDEX(input_data!$L:$L,MATCH("all.in.cs2.frt.ure.---",input_data!$A:$A,0)))*I29,0)+IFERROR((calculations!R189/calculations!R188)*((calculations!R209+calculations!R274)*$B$11+calculations!R210*$B$12+calculations!R211*$B$13+calculations!R212*$B$14+calculations!R213*$B$15*INDEX(input_data!$L:$L,MATCH("all.in.cs2.frt.nit.---",input_data!$A:$A,0)))*I29,0)+IFERROR((calculations!R217/calculations!R216)*((calculations!R237+calculations!R279)*$B$11+calculations!R238*$B$12+calculations!R239*$B$13+calculations!R240*$B$14+calculations!R241*$B$15*INDEX(input_data!$L:$L,MATCH("all.in.cs2.alu.prp.---",input_data!$A:$A,0)))*I29,0)+IFERROR((calculations!R287/calculations!R286)*((calculations!R307+calculations!R312)*$B$11+calculations!R308*$B$12+calculations!R309*$B$13+calculations!R310*$B$14+calculations!R311*$B$15*INDEX(input_data!$L:$L,MATCH("all.in.cs2.stl.oth.---",input_data!$A:$A,0)))*I29,0)+IFERROR((calculations!R319/calculations!R318)*((calculations!R339+calculations!R344)*$B$11+calculations!R340*$B$12+calculations!R341*$B$13+calculations!R342*$B$14+calculations!R343*$B$15*INDEX(input_data!$L:$L,MATCH("all.in.cs2.frt.otn.---",input_data!$A:$A,0)))*I29,0)</f>
        <v>133.64730085730528</v>
      </c>
      <c r="J35" s="53">
        <f>IFERROR((calculations!S21/calculations!S20)*((calculations!S41+calculations!S244)*$B$11+calculations!S42*$B$12+calculations!S43*$B$13+calculations!S44*$B$14+calculations!S45*$B$15*INDEX(input_data!$L:$L,MATCH("all.in.cs2.stl.drg.---",input_data!$A:$A,0)))*J29,0)+IFERROR((calculations!S49/calculations!S48)*((calculations!S69+calculations!S249)*$B$11+calculations!S70*$B$12+calculations!S71*$B$13+calculations!S72*$B$14+calculations!S73*$B$15*INDEX(input_data!$L:$L,MATCH("all.in.cs2.stl.scr.---",input_data!$A:$A,0)))*J29,0)+IFERROR((calculations!S77/calculations!S76)*((calculations!S97+calculations!S254)*$B$11+calculations!S98*$B$12+calculations!S99*$B$13+calculations!S100*$B$14+calculations!S101*$B$15*INDEX(input_data!$L:$L,MATCH("all.in.cs2.stl.bof.---",input_data!$A:$A,0)))*J29,0)+IFERROR((calculations!S105/calculations!S104)*((calculations!S125+calculations!S259)*$B$11+calculations!S126*$B$12+calculations!S127*$B$13+calculations!S128*$B$14+calculations!S129*$B$15*INDEX(input_data!$L:$L,MATCH("all.in.cs2.cmt.dry.---",input_data!$A:$A,0)))*J29,0)+IFERROR((calculations!S133/calculations!S132)*((calculations!S153+calculations!S264)*$B$11+calculations!S154*$B$12+calculations!S155*$B$13+calculations!S156*$B$14+calculations!S157*$B$15*INDEX(input_data!$L:$L,MATCH("all.in.cs2.frt.amc.---",input_data!$A:$A,0)))*J29,0)+IFERROR((calculations!S161/calculations!S160)*((calculations!S181+calculations!S269)*$B$11+calculations!S182*$B$12+calculations!S183*$B$13+calculations!S184*$B$14+calculations!S185*$B$15*INDEX(input_data!$L:$L,MATCH("all.in.cs2.frt.ure.---",input_data!$A:$A,0)))*J29,0)+IFERROR((calculations!S189/calculations!S188)*((calculations!S209+calculations!S274)*$B$11+calculations!S210*$B$12+calculations!S211*$B$13+calculations!S212*$B$14+calculations!S213*$B$15*INDEX(input_data!$L:$L,MATCH("all.in.cs2.frt.nit.---",input_data!$A:$A,0)))*J29,0)+IFERROR((calculations!S217/calculations!S216)*((calculations!S237+calculations!S279)*$B$11+calculations!S238*$B$12+calculations!S239*$B$13+calculations!S240*$B$14+calculations!S241*$B$15*INDEX(input_data!$L:$L,MATCH("all.in.cs2.alu.prp.---",input_data!$A:$A,0)))*J29,0)+IFERROR((calculations!S287/calculations!S286)*((calculations!S307+calculations!S312)*$B$11+calculations!S308*$B$12+calculations!S309*$B$13+calculations!S310*$B$14+calculations!S311*$B$15*INDEX(input_data!$L:$L,MATCH("all.in.cs2.stl.oth.---",input_data!$A:$A,0)))*J29,0)+IFERROR((calculations!S319/calculations!S318)*((calculations!S339+calculations!S344)*$B$11+calculations!S340*$B$12+calculations!S341*$B$13+calculations!S342*$B$14+calculations!S343*$B$15*INDEX(input_data!$L:$L,MATCH("all.in.cs2.frt.otn.---",input_data!$A:$A,0)))*J29,0)</f>
        <v>201.11940498397581</v>
      </c>
      <c r="K35" s="53">
        <f>IFERROR((calculations!T21/calculations!T20)*((calculations!T41+calculations!T244)*$B$11+calculations!T42*$B$12+calculations!T43*$B$13+calculations!T44*$B$14+calculations!T45*$B$15*INDEX(input_data!$L:$L,MATCH("all.in.cs2.stl.drg.---",input_data!$A:$A,0)))*K29,0)+IFERROR((calculations!T49/calculations!T48)*((calculations!T69+calculations!T249)*$B$11+calculations!T70*$B$12+calculations!T71*$B$13+calculations!T72*$B$14+calculations!T73*$B$15*INDEX(input_data!$L:$L,MATCH("all.in.cs2.stl.scr.---",input_data!$A:$A,0)))*K29,0)+IFERROR((calculations!T77/calculations!T76)*((calculations!T97+calculations!T254)*$B$11+calculations!T98*$B$12+calculations!T99*$B$13+calculations!T100*$B$14+calculations!T101*$B$15*INDEX(input_data!$L:$L,MATCH("all.in.cs2.stl.bof.---",input_data!$A:$A,0)))*K29,0)+IFERROR((calculations!T105/calculations!T104)*((calculations!T125+calculations!T259)*$B$11+calculations!T126*$B$12+calculations!T127*$B$13+calculations!T128*$B$14+calculations!T129*$B$15*INDEX(input_data!$L:$L,MATCH("all.in.cs2.cmt.dry.---",input_data!$A:$A,0)))*K29,0)+IFERROR((calculations!T133/calculations!T132)*((calculations!T153+calculations!T264)*$B$11+calculations!T154*$B$12+calculations!T155*$B$13+calculations!T156*$B$14+calculations!T157*$B$15*INDEX(input_data!$L:$L,MATCH("all.in.cs2.frt.amc.---",input_data!$A:$A,0)))*K29,0)+IFERROR((calculations!T161/calculations!T160)*((calculations!T181+calculations!T269)*$B$11+calculations!T182*$B$12+calculations!T183*$B$13+calculations!T184*$B$14+calculations!T185*$B$15*INDEX(input_data!$L:$L,MATCH("all.in.cs2.frt.ure.---",input_data!$A:$A,0)))*K29,0)+IFERROR((calculations!T189/calculations!T188)*((calculations!T209+calculations!T274)*$B$11+calculations!T210*$B$12+calculations!T211*$B$13+calculations!T212*$B$14+calculations!T213*$B$15*INDEX(input_data!$L:$L,MATCH("all.in.cs2.frt.nit.---",input_data!$A:$A,0)))*K29,0)+IFERROR((calculations!T217/calculations!T216)*((calculations!T237+calculations!T279)*$B$11+calculations!T238*$B$12+calculations!T239*$B$13+calculations!T240*$B$14+calculations!T241*$B$15*INDEX(input_data!$L:$L,MATCH("all.in.cs2.alu.prp.---",input_data!$A:$A,0)))*K29,0)+IFERROR((calculations!T287/calculations!T286)*((calculations!T307+calculations!T312)*$B$11+calculations!T308*$B$12+calculations!T309*$B$13+calculations!T310*$B$14+calculations!T311*$B$15*INDEX(input_data!$L:$L,MATCH("all.in.cs2.stl.oth.---",input_data!$A:$A,0)))*K29,0)+IFERROR((calculations!T319/calculations!T318)*((calculations!T339+calculations!T344)*$B$11+calculations!T340*$B$12+calculations!T341*$B$13+calculations!T342*$B$14+calculations!T343*$B$15*INDEX(input_data!$L:$L,MATCH("all.in.cs2.frt.otn.---",input_data!$A:$A,0)))*K29,0)</f>
        <v>252.98249797879893</v>
      </c>
      <c r="L35" s="53">
        <f>IFERROR((calculations!U21/calculations!U20)*((calculations!U41+calculations!U244)*$B$11+calculations!U42*$B$12+calculations!U43*$B$13+calculations!U44*$B$14+calculations!U45*$B$15*INDEX(input_data!$L:$L,MATCH("all.in.cs2.stl.drg.---",input_data!$A:$A,0)))*L29,0)+IFERROR((calculations!U49/calculations!U48)*((calculations!U69+calculations!U249)*$B$11+calculations!U70*$B$12+calculations!U71*$B$13+calculations!U72*$B$14+calculations!U73*$B$15*INDEX(input_data!$L:$L,MATCH("all.in.cs2.stl.scr.---",input_data!$A:$A,0)))*L29,0)+IFERROR((calculations!U77/calculations!U76)*((calculations!U97+calculations!U254)*$B$11+calculations!U98*$B$12+calculations!U99*$B$13+calculations!U100*$B$14+calculations!U101*$B$15*INDEX(input_data!$L:$L,MATCH("all.in.cs2.stl.bof.---",input_data!$A:$A,0)))*L29,0)+IFERROR((calculations!U105/calculations!U104)*((calculations!U125+calculations!U259)*$B$11+calculations!U126*$B$12+calculations!U127*$B$13+calculations!U128*$B$14+calculations!U129*$B$15*INDEX(input_data!$L:$L,MATCH("all.in.cs2.cmt.dry.---",input_data!$A:$A,0)))*L29,0)+IFERROR((calculations!U133/calculations!U132)*((calculations!U153+calculations!U264)*$B$11+calculations!U154*$B$12+calculations!U155*$B$13+calculations!U156*$B$14+calculations!U157*$B$15*INDEX(input_data!$L:$L,MATCH("all.in.cs2.frt.amc.---",input_data!$A:$A,0)))*L29,0)+IFERROR((calculations!U161/calculations!U160)*((calculations!U181+calculations!U269)*$B$11+calculations!U182*$B$12+calculations!U183*$B$13+calculations!U184*$B$14+calculations!U185*$B$15*INDEX(input_data!$L:$L,MATCH("all.in.cs2.frt.ure.---",input_data!$A:$A,0)))*L29,0)+IFERROR((calculations!U189/calculations!U188)*((calculations!U209+calculations!U274)*$B$11+calculations!U210*$B$12+calculations!U211*$B$13+calculations!U212*$B$14+calculations!U213*$B$15*INDEX(input_data!$L:$L,MATCH("all.in.cs2.frt.nit.---",input_data!$A:$A,0)))*L29,0)+IFERROR((calculations!U217/calculations!U216)*((calculations!U237+calculations!U279)*$B$11+calculations!U238*$B$12+calculations!U239*$B$13+calculations!U240*$B$14+calculations!U241*$B$15*INDEX(input_data!$L:$L,MATCH("all.in.cs2.alu.prp.---",input_data!$A:$A,0)))*L29,0)+IFERROR((calculations!U287/calculations!U286)*((calculations!U307+calculations!U312)*$B$11+calculations!U308*$B$12+calculations!U309*$B$13+calculations!U310*$B$14+calculations!U311*$B$15*INDEX(input_data!$L:$L,MATCH("all.in.cs2.stl.oth.---",input_data!$A:$A,0)))*L29,0)+IFERROR((calculations!U319/calculations!U318)*((calculations!U339+calculations!U344)*$B$11+calculations!U340*$B$12+calculations!U341*$B$13+calculations!U342*$B$14+calculations!U343*$B$15*INDEX(input_data!$L:$L,MATCH("all.in.cs2.frt.otn.---",input_data!$A:$A,0)))*L29,0)</f>
        <v>311.86346827601136</v>
      </c>
      <c r="M35" s="53">
        <f>IFERROR((calculations!V21/calculations!V20)*((calculations!V41+calculations!V244)*$B$11+calculations!V42*$B$12+calculations!V43*$B$13+calculations!V44*$B$14+calculations!V45*$B$15*INDEX(input_data!$L:$L,MATCH("all.in.cs2.stl.drg.---",input_data!$A:$A,0)))*M29,0)+IFERROR((calculations!V49/calculations!V48)*((calculations!V69+calculations!V249)*$B$11+calculations!V70*$B$12+calculations!V71*$B$13+calculations!V72*$B$14+calculations!V73*$B$15*INDEX(input_data!$L:$L,MATCH("all.in.cs2.stl.scr.---",input_data!$A:$A,0)))*M29,0)+IFERROR((calculations!V77/calculations!V76)*((calculations!V97+calculations!V254)*$B$11+calculations!V98*$B$12+calculations!V99*$B$13+calculations!V100*$B$14+calculations!V101*$B$15*INDEX(input_data!$L:$L,MATCH("all.in.cs2.stl.bof.---",input_data!$A:$A,0)))*M29,0)+IFERROR((calculations!V105/calculations!V104)*((calculations!V125+calculations!V259)*$B$11+calculations!V126*$B$12+calculations!V127*$B$13+calculations!V128*$B$14+calculations!V129*$B$15*INDEX(input_data!$L:$L,MATCH("all.in.cs2.cmt.dry.---",input_data!$A:$A,0)))*M29,0)+IFERROR((calculations!V133/calculations!V132)*((calculations!V153+calculations!V264)*$B$11+calculations!V154*$B$12+calculations!V155*$B$13+calculations!V156*$B$14+calculations!V157*$B$15*INDEX(input_data!$L:$L,MATCH("all.in.cs2.frt.amc.---",input_data!$A:$A,0)))*M29,0)+IFERROR((calculations!V161/calculations!V160)*((calculations!V181+calculations!V269)*$B$11+calculations!V182*$B$12+calculations!V183*$B$13+calculations!V184*$B$14+calculations!V185*$B$15*INDEX(input_data!$L:$L,MATCH("all.in.cs2.frt.ure.---",input_data!$A:$A,0)))*M29,0)+IFERROR((calculations!V189/calculations!V188)*((calculations!V209+calculations!V274)*$B$11+calculations!V210*$B$12+calculations!V211*$B$13+calculations!V212*$B$14+calculations!V213*$B$15*INDEX(input_data!$L:$L,MATCH("all.in.cs2.frt.nit.---",input_data!$A:$A,0)))*M29,0)+IFERROR((calculations!V217/calculations!V216)*((calculations!V237+calculations!V279)*$B$11+calculations!V238*$B$12+calculations!V239*$B$13+calculations!V240*$B$14+calculations!V241*$B$15*INDEX(input_data!$L:$L,MATCH("all.in.cs2.alu.prp.---",input_data!$A:$A,0)))*M29,0)+IFERROR((calculations!V287/calculations!V286)*((calculations!V307+calculations!V312)*$B$11+calculations!V308*$B$12+calculations!V309*$B$13+calculations!V310*$B$14+calculations!V311*$B$15*INDEX(input_data!$L:$L,MATCH("all.in.cs2.stl.oth.---",input_data!$A:$A,0)))*M29,0)+IFERROR((calculations!V319/calculations!V318)*((calculations!V339+calculations!V344)*$B$11+calculations!V340*$B$12+calculations!V341*$B$13+calculations!V342*$B$14+calculations!V343*$B$15*INDEX(input_data!$L:$L,MATCH("all.in.cs2.frt.otn.---",input_data!$A:$A,0)))*M29,0)</f>
        <v>378.4085439051189</v>
      </c>
      <c r="N35" s="53">
        <f>IFERROR((calculations!W21/calculations!W20)*((calculations!W41+calculations!W244)*$B$11+calculations!W42*$B$12+calculations!W43*$B$13+calculations!W44*$B$14+calculations!W45*$B$15*INDEX(input_data!$L:$L,MATCH("all.in.cs2.stl.drg.---",input_data!$A:$A,0)))*N29,0)+IFERROR((calculations!W49/calculations!W48)*((calculations!W69+calculations!W249)*$B$11+calculations!W70*$B$12+calculations!W71*$B$13+calculations!W72*$B$14+calculations!W73*$B$15*INDEX(input_data!$L:$L,MATCH("all.in.cs2.stl.scr.---",input_data!$A:$A,0)))*N29,0)+IFERROR((calculations!W77/calculations!W76)*((calculations!W97+calculations!W254)*$B$11+calculations!W98*$B$12+calculations!W99*$B$13+calculations!W100*$B$14+calculations!W101*$B$15*INDEX(input_data!$L:$L,MATCH("all.in.cs2.stl.bof.---",input_data!$A:$A,0)))*N29,0)+IFERROR((calculations!W105/calculations!W104)*((calculations!W125+calculations!W259)*$B$11+calculations!W126*$B$12+calculations!W127*$B$13+calculations!W128*$B$14+calculations!W129*$B$15*INDEX(input_data!$L:$L,MATCH("all.in.cs2.cmt.dry.---",input_data!$A:$A,0)))*N29,0)+IFERROR((calculations!W133/calculations!W132)*((calculations!W153+calculations!W264)*$B$11+calculations!W154*$B$12+calculations!W155*$B$13+calculations!W156*$B$14+calculations!W157*$B$15*INDEX(input_data!$L:$L,MATCH("all.in.cs2.frt.amc.---",input_data!$A:$A,0)))*N29,0)+IFERROR((calculations!W161/calculations!W160)*((calculations!W181+calculations!W269)*$B$11+calculations!W182*$B$12+calculations!W183*$B$13+calculations!W184*$B$14+calculations!W185*$B$15*INDEX(input_data!$L:$L,MATCH("all.in.cs2.frt.ure.---",input_data!$A:$A,0)))*N29,0)+IFERROR((calculations!W189/calculations!W188)*((calculations!W209+calculations!W274)*$B$11+calculations!W210*$B$12+calculations!W211*$B$13+calculations!W212*$B$14+calculations!W213*$B$15*INDEX(input_data!$L:$L,MATCH("all.in.cs2.frt.nit.---",input_data!$A:$A,0)))*N29,0)+IFERROR((calculations!W217/calculations!W216)*((calculations!W237+calculations!W279)*$B$11+calculations!W238*$B$12+calculations!W239*$B$13+calculations!W240*$B$14+calculations!W241*$B$15*INDEX(input_data!$L:$L,MATCH("all.in.cs2.alu.prp.---",input_data!$A:$A,0)))*N29,0)+IFERROR((calculations!W287/calculations!W286)*((calculations!W307+calculations!W312)*$B$11+calculations!W308*$B$12+calculations!W309*$B$13+calculations!W310*$B$14+calculations!W311*$B$15*INDEX(input_data!$L:$L,MATCH("all.in.cs2.stl.oth.---",input_data!$A:$A,0)))*N29,0)+IFERROR((calculations!W319/calculations!W318)*((calculations!W339+calculations!W344)*$B$11+calculations!W340*$B$12+calculations!W341*$B$13+calculations!W342*$B$14+calculations!W343*$B$15*INDEX(input_data!$L:$L,MATCH("all.in.cs2.frt.otn.---",input_data!$A:$A,0)))*N29,0)</f>
        <v>459.39607401402753</v>
      </c>
      <c r="O35" s="53">
        <f>IFERROR((calculations!X21/calculations!X20)*((calculations!X41+calculations!X244)*$B$11+calculations!X42*$B$12+calculations!X43*$B$13+calculations!X44*$B$14+calculations!X45*$B$15*INDEX(input_data!$L:$L,MATCH("all.in.cs2.stl.drg.---",input_data!$A:$A,0)))*O29,0)+IFERROR((calculations!X49/calculations!X48)*((calculations!X69+calculations!X249)*$B$11+calculations!X70*$B$12+calculations!X71*$B$13+calculations!X72*$B$14+calculations!X73*$B$15*INDEX(input_data!$L:$L,MATCH("all.in.cs2.stl.scr.---",input_data!$A:$A,0)))*O29,0)+IFERROR((calculations!X77/calculations!X76)*((calculations!X97+calculations!X254)*$B$11+calculations!X98*$B$12+calculations!X99*$B$13+calculations!X100*$B$14+calculations!X101*$B$15*INDEX(input_data!$L:$L,MATCH("all.in.cs2.stl.bof.---",input_data!$A:$A,0)))*O29,0)+IFERROR((calculations!X105/calculations!X104)*((calculations!X125+calculations!X259)*$B$11+calculations!X126*$B$12+calculations!X127*$B$13+calculations!X128*$B$14+calculations!X129*$B$15*INDEX(input_data!$L:$L,MATCH("all.in.cs2.cmt.dry.---",input_data!$A:$A,0)))*O29,0)+IFERROR((calculations!X133/calculations!X132)*((calculations!X153+calculations!X264)*$B$11+calculations!X154*$B$12+calculations!X155*$B$13+calculations!X156*$B$14+calculations!X157*$B$15*INDEX(input_data!$L:$L,MATCH("all.in.cs2.frt.amc.---",input_data!$A:$A,0)))*O29,0)+IFERROR((calculations!X161/calculations!X160)*((calculations!X181+calculations!X269)*$B$11+calculations!X182*$B$12+calculations!X183*$B$13+calculations!X184*$B$14+calculations!X185*$B$15*INDEX(input_data!$L:$L,MATCH("all.in.cs2.frt.ure.---",input_data!$A:$A,0)))*O29,0)+IFERROR((calculations!X189/calculations!X188)*((calculations!X209+calculations!X274)*$B$11+calculations!X210*$B$12+calculations!X211*$B$13+calculations!X212*$B$14+calculations!X213*$B$15*INDEX(input_data!$L:$L,MATCH("all.in.cs2.frt.nit.---",input_data!$A:$A,0)))*O29,0)+IFERROR((calculations!X217/calculations!X216)*((calculations!X237+calculations!X279)*$B$11+calculations!X238*$B$12+calculations!X239*$B$13+calculations!X240*$B$14+calculations!X241*$B$15*INDEX(input_data!$L:$L,MATCH("all.in.cs2.alu.prp.---",input_data!$A:$A,0)))*O29,0)+IFERROR((calculations!X287/calculations!X286)*((calculations!X307+calculations!X312)*$B$11+calculations!X308*$B$12+calculations!X309*$B$13+calculations!X310*$B$14+calculations!X311*$B$15*INDEX(input_data!$L:$L,MATCH("all.in.cs2.stl.oth.---",input_data!$A:$A,0)))*O29,0)+IFERROR((calculations!X319/calculations!X318)*((calculations!X339+calculations!X344)*$B$11+calculations!X340*$B$12+calculations!X341*$B$13+calculations!X342*$B$14+calculations!X343*$B$15*INDEX(input_data!$L:$L,MATCH("all.in.cs2.frt.otn.---",input_data!$A:$A,0)))*O29,0)</f>
        <v>497.0388194088282</v>
      </c>
    </row>
    <row r="36" spans="1:16" ht="18" customHeight="1" x14ac:dyDescent="0.25">
      <c r="A36" s="32" t="s">
        <v>148</v>
      </c>
      <c r="B36" s="50" t="s">
        <v>145</v>
      </c>
      <c r="C36" s="51"/>
      <c r="D36" s="52">
        <f t="shared" ref="D36:O36" si="1">MAX(D33-D35,0)</f>
        <v>0</v>
      </c>
      <c r="E36" s="53">
        <f t="shared" si="1"/>
        <v>0</v>
      </c>
      <c r="F36" s="53">
        <f t="shared" si="1"/>
        <v>0</v>
      </c>
      <c r="G36" s="53">
        <f t="shared" si="1"/>
        <v>0</v>
      </c>
      <c r="H36" s="53">
        <f t="shared" si="1"/>
        <v>0</v>
      </c>
      <c r="I36" s="53">
        <f t="shared" si="1"/>
        <v>0</v>
      </c>
      <c r="J36" s="53">
        <f t="shared" si="1"/>
        <v>2.8421709430404007E-14</v>
      </c>
      <c r="K36" s="53">
        <f t="shared" si="1"/>
        <v>2.8421709430404007E-14</v>
      </c>
      <c r="L36" s="53">
        <f t="shared" si="1"/>
        <v>0</v>
      </c>
      <c r="M36" s="53">
        <f t="shared" si="1"/>
        <v>0</v>
      </c>
      <c r="N36" s="53">
        <f t="shared" si="1"/>
        <v>5.6843418860808015E-14</v>
      </c>
      <c r="O36" s="53">
        <f t="shared" si="1"/>
        <v>5.6843418860808015E-14</v>
      </c>
    </row>
    <row r="37" spans="1:16" ht="18" customHeight="1" x14ac:dyDescent="0.25">
      <c r="A37" s="32" t="s">
        <v>149</v>
      </c>
      <c r="B37" s="50" t="s">
        <v>145</v>
      </c>
      <c r="C37" s="51"/>
      <c r="D37" s="52">
        <f>IFERROR((calculations!M22/calculations!M20)*((calculations!M41+calculations!M244)*$B$11+calculations!M42*$B$12+calculations!M43*$B$13+calculations!M44*$B$14+calculations!M45*$B$15)*D29,0)+IFERROR((calculations!M50/calculations!M48)*((calculations!M69+calculations!M249)*$B$11+calculations!M70*$B$12+calculations!M71*$B$13+calculations!M72*$B$14+calculations!M73*$B$15)*D29,0)+IFERROR((calculations!M78/calculations!M76)*((calculations!M97+calculations!M254)*$B$11+calculations!M98*$B$12+calculations!M99*$B$13+calculations!M100*$B$14+calculations!M101*$B$15)*D29,0)+IFERROR((calculations!M106/calculations!M104)*((calculations!M125+calculations!M259)*$B$11+calculations!M126*$B$12+calculations!M127*$B$13+calculations!M128*$B$14+calculations!M129*$B$15)*D29,0)+IFERROR((calculations!M134/calculations!M132)*((calculations!M153+calculations!M264)*$B$11+calculations!M154*$B$12+calculations!M155*$B$13+calculations!M156*$B$14+calculations!M157*$B$15)*D29,0)+IFERROR((calculations!M162/calculations!M160)*((calculations!M181+calculations!M269)*$B$11+calculations!M182*$B$12+calculations!M183*$B$13+calculations!M184*$B$14+calculations!M185*$B$15)*D29,0)+IFERROR((calculations!M190/calculations!M188)*((calculations!M209+calculations!M274)*$B$11+calculations!M210*$B$12+calculations!M211*$B$13+calculations!M212*$B$14+calculations!M213*$B$15)*D29,0)+IFERROR((calculations!M218/calculations!M216)*((calculations!M237+calculations!M279)*$B$11+calculations!M238*$B$12+calculations!M239*$B$13+calculations!M240*$B$14+calculations!M241*$B$15)*D29,0)+IFERROR((calculations!M288/calculations!M286)*((calculations!M307+calculations!M312)*$B$11+calculations!M308*$B$12+calculations!M309*$B$13+calculations!M310*$B$14+calculations!M311*$B$15)*D29,0)+IFERROR((calculations!M320/calculations!M318)*((calculations!M339+calculations!M344)*$B$11+calculations!M340*$B$12+calculations!M341*$B$13+calculations!M342*$B$14+calculations!M343*$B$15)*D29,0)</f>
        <v>0</v>
      </c>
      <c r="E37" s="53">
        <f>IFERROR((calculations!N22/calculations!N20)*((calculations!N41+calculations!N244)*$B$11+calculations!N42*$B$12+calculations!N43*$B$13+calculations!N44*$B$14+calculations!N45*$B$15)*E29,0)+IFERROR((calculations!N50/calculations!N48)*((calculations!N69+calculations!N249)*$B$11+calculations!N70*$B$12+calculations!N71*$B$13+calculations!N72*$B$14+calculations!N73*$B$15)*E29,0)+IFERROR((calculations!N78/calculations!N76)*((calculations!N97+calculations!N254)*$B$11+calculations!N98*$B$12+calculations!N99*$B$13+calculations!N100*$B$14+calculations!N101*$B$15)*E29,0)+IFERROR((calculations!N106/calculations!N104)*((calculations!N125+calculations!N259)*$B$11+calculations!N126*$B$12+calculations!N127*$B$13+calculations!N128*$B$14+calculations!N129*$B$15)*E29,0)+IFERROR((calculations!N134/calculations!N132)*((calculations!N153+calculations!N264)*$B$11+calculations!N154*$B$12+calculations!N155*$B$13+calculations!N156*$B$14+calculations!N157*$B$15)*E29,0)+IFERROR((calculations!N162/calculations!N160)*((calculations!N181+calculations!N269)*$B$11+calculations!N182*$B$12+calculations!N183*$B$13+calculations!N184*$B$14+calculations!N185*$B$15)*E29,0)+IFERROR((calculations!N190/calculations!N188)*((calculations!N209+calculations!N274)*$B$11+calculations!N210*$B$12+calculations!N211*$B$13+calculations!N212*$B$14+calculations!N213*$B$15)*E29,0)+IFERROR((calculations!N218/calculations!N216)*((calculations!N237+calculations!N279)*$B$11+calculations!N238*$B$12+calculations!N239*$B$13+calculations!N240*$B$14+calculations!N241*$B$15)*E29,0)+IFERROR((calculations!N288/calculations!N286)*((calculations!N307+calculations!N312)*$B$11+calculations!N308*$B$12+calculations!N309*$B$13+calculations!N310*$B$14+calculations!N311*$B$15)*E29,0)+IFERROR((calculations!N320/calculations!N318)*((calculations!N339+calculations!N344)*$B$11+calculations!N340*$B$12+calculations!N341*$B$13+calculations!N342*$B$14+calculations!N343*$B$15)*E29,0)</f>
        <v>0</v>
      </c>
      <c r="F37" s="53">
        <f>IFERROR((calculations!O22/calculations!O20)*((calculations!O41+calculations!O244)*$B$11+calculations!O42*$B$12+calculations!O43*$B$13+calculations!O44*$B$14+calculations!O45*$B$15)*F29,0)+IFERROR((calculations!O50/calculations!O48)*((calculations!O69+calculations!O249)*$B$11+calculations!O70*$B$12+calculations!O71*$B$13+calculations!O72*$B$14+calculations!O73*$B$15)*F29,0)+IFERROR((calculations!O78/calculations!O76)*((calculations!O97+calculations!O254)*$B$11+calculations!O98*$B$12+calculations!O99*$B$13+calculations!O100*$B$14+calculations!O101*$B$15)*F29,0)+IFERROR((calculations!O106/calculations!O104)*((calculations!O125+calculations!O259)*$B$11+calculations!O126*$B$12+calculations!O127*$B$13+calculations!O128*$B$14+calculations!O129*$B$15)*F29,0)+IFERROR((calculations!O134/calculations!O132)*((calculations!O153+calculations!O264)*$B$11+calculations!O154*$B$12+calculations!O155*$B$13+calculations!O156*$B$14+calculations!O157*$B$15)*F29,0)+IFERROR((calculations!O162/calculations!O160)*((calculations!O181+calculations!O269)*$B$11+calculations!O182*$B$12+calculations!O183*$B$13+calculations!O184*$B$14+calculations!O185*$B$15)*F29,0)+IFERROR((calculations!O190/calculations!O188)*((calculations!O209+calculations!O274)*$B$11+calculations!O210*$B$12+calculations!O211*$B$13+calculations!O212*$B$14+calculations!O213*$B$15)*F29,0)+IFERROR((calculations!O218/calculations!O216)*((calculations!O237+calculations!O279)*$B$11+calculations!O238*$B$12+calculations!O239*$B$13+calculations!O240*$B$14+calculations!O241*$B$15)*F29,0)+IFERROR((calculations!O288/calculations!O286)*((calculations!O307+calculations!O312)*$B$11+calculations!O308*$B$12+calculations!O309*$B$13+calculations!O310*$B$14+calculations!O311*$B$15)*F29,0)+IFERROR((calculations!O320/calculations!O318)*((calculations!O339+calculations!O344)*$B$11+calculations!O340*$B$12+calculations!O341*$B$13+calculations!O342*$B$14+calculations!O343*$B$15)*F29,0)</f>
        <v>168.89424230684375</v>
      </c>
      <c r="G37" s="53">
        <f>IFERROR((calculations!P22/calculations!P20)*((calculations!P41+calculations!P244)*$B$11+calculations!P42*$B$12+calculations!P43*$B$13+calculations!P44*$B$14+calculations!P45*$B$15)*G29,0)+IFERROR((calculations!P50/calculations!P48)*((calculations!P69+calculations!P249)*$B$11+calculations!P70*$B$12+calculations!P71*$B$13+calculations!P72*$B$14+calculations!P73*$B$15)*G29,0)+IFERROR((calculations!P78/calculations!P76)*((calculations!P97+calculations!P254)*$B$11+calculations!P98*$B$12+calculations!P99*$B$13+calculations!P100*$B$14+calculations!P101*$B$15)*G29,0)+IFERROR((calculations!P106/calculations!P104)*((calculations!P125+calculations!P259)*$B$11+calculations!P126*$B$12+calculations!P127*$B$13+calculations!P128*$B$14+calculations!P129*$B$15)*G29,0)+IFERROR((calculations!P134/calculations!P132)*((calculations!P153+calculations!P264)*$B$11+calculations!P154*$B$12+calculations!P155*$B$13+calculations!P156*$B$14+calculations!P157*$B$15)*G29,0)+IFERROR((calculations!P162/calculations!P160)*((calculations!P181+calculations!P269)*$B$11+calculations!P182*$B$12+calculations!P183*$B$13+calculations!P184*$B$14+calculations!P185*$B$15)*G29,0)+IFERROR((calculations!P190/calculations!P188)*((calculations!P209+calculations!P274)*$B$11+calculations!P210*$B$12+calculations!P211*$B$13+calculations!P212*$B$14+calculations!P213*$B$15)*G29,0)+IFERROR((calculations!P218/calculations!P216)*((calculations!P237+calculations!P279)*$B$11+calculations!P238*$B$12+calculations!P239*$B$13+calculations!P240*$B$14+calculations!P241*$B$15)*G29,0)+IFERROR((calculations!P288/calculations!P286)*((calculations!P307+calculations!P312)*$B$11+calculations!P308*$B$12+calculations!P309*$B$13+calculations!P310*$B$14+calculations!P311*$B$15)*G29,0)+IFERROR((calculations!P320/calculations!P318)*((calculations!P339+calculations!P344)*$B$11+calculations!P340*$B$12+calculations!P341*$B$13+calculations!P342*$B$14+calculations!P343*$B$15)*G29,0)</f>
        <v>193.79979354890088</v>
      </c>
      <c r="H37" s="53">
        <f>IFERROR((calculations!Q22/calculations!Q20)*((calculations!Q41+calculations!Q244)*$B$11+calculations!Q42*$B$12+calculations!Q43*$B$13+calculations!Q44*$B$14+calculations!Q45*$B$15)*H29,0)+IFERROR((calculations!Q50/calculations!Q48)*((calculations!Q69+calculations!Q249)*$B$11+calculations!Q70*$B$12+calculations!Q71*$B$13+calculations!Q72*$B$14+calculations!Q73*$B$15)*H29,0)+IFERROR((calculations!Q78/calculations!Q76)*((calculations!Q97+calculations!Q254)*$B$11+calculations!Q98*$B$12+calculations!Q99*$B$13+calculations!Q100*$B$14+calculations!Q101*$B$15)*H29,0)+IFERROR((calculations!Q106/calculations!Q104)*((calculations!Q125+calculations!Q259)*$B$11+calculations!Q126*$B$12+calculations!Q127*$B$13+calculations!Q128*$B$14+calculations!Q129*$B$15)*H29,0)+IFERROR((calculations!Q134/calculations!Q132)*((calculations!Q153+calculations!Q264)*$B$11+calculations!Q154*$B$12+calculations!Q155*$B$13+calculations!Q156*$B$14+calculations!Q157*$B$15)*H29,0)+IFERROR((calculations!Q162/calculations!Q160)*((calculations!Q181+calculations!Q269)*$B$11+calculations!Q182*$B$12+calculations!Q183*$B$13+calculations!Q184*$B$14+calculations!Q185*$B$15)*H29,0)+IFERROR((calculations!Q190/calculations!Q188)*((calculations!Q209+calculations!Q274)*$B$11+calculations!Q210*$B$12+calculations!Q211*$B$13+calculations!Q212*$B$14+calculations!Q213*$B$15)*H29,0)+IFERROR((calculations!Q218/calculations!Q216)*((calculations!Q237+calculations!Q279)*$B$11+calculations!Q238*$B$12+calculations!Q239*$B$13+calculations!Q240*$B$14+calculations!Q241*$B$15)*H29,0)+IFERROR((calculations!Q288/calculations!Q286)*((calculations!Q307+calculations!Q312)*$B$11+calculations!Q308*$B$12+calculations!Q309*$B$13+calculations!Q310*$B$14+calculations!Q311*$B$15)*H29,0)+IFERROR((calculations!Q320/calculations!Q318)*((calculations!Q339+calculations!Q344)*$B$11+calculations!Q340*$B$12+calculations!Q341*$B$13+calculations!Q342*$B$14+calculations!Q343*$B$15)*H29,0)</f>
        <v>231.46268058274521</v>
      </c>
      <c r="I37" s="53">
        <f>IFERROR((calculations!R22/calculations!R20)*((calculations!R41+calculations!R244)*$B$11+calculations!R42*$B$12+calculations!R43*$B$13+calculations!R44*$B$14+calculations!R45*$B$15)*I29,0)+IFERROR((calculations!R50/calculations!R48)*((calculations!R69+calculations!R249)*$B$11+calculations!R70*$B$12+calculations!R71*$B$13+calculations!R72*$B$14+calculations!R73*$B$15)*I29,0)+IFERROR((calculations!R78/calculations!R76)*((calculations!R97+calculations!R254)*$B$11+calculations!R98*$B$12+calculations!R99*$B$13+calculations!R100*$B$14+calculations!R101*$B$15)*I29,0)+IFERROR((calculations!R106/calculations!R104)*((calculations!R125+calculations!R259)*$B$11+calculations!R126*$B$12+calculations!R127*$B$13+calculations!R128*$B$14+calculations!R129*$B$15)*I29,0)+IFERROR((calculations!R134/calculations!R132)*((calculations!R153+calculations!R264)*$B$11+calculations!R154*$B$12+calculations!R155*$B$13+calculations!R156*$B$14+calculations!R157*$B$15)*I29,0)+IFERROR((calculations!R162/calculations!R160)*((calculations!R181+calculations!R269)*$B$11+calculations!R182*$B$12+calculations!R183*$B$13+calculations!R184*$B$14+calculations!R185*$B$15)*I29,0)+IFERROR((calculations!R190/calculations!R188)*((calculations!R209+calculations!R274)*$B$11+calculations!R210*$B$12+calculations!R211*$B$13+calculations!R212*$B$14+calculations!R213*$B$15)*I29,0)+IFERROR((calculations!R218/calculations!R216)*((calculations!R237+calculations!R279)*$B$11+calculations!R238*$B$12+calculations!R239*$B$13+calculations!R240*$B$14+calculations!R241*$B$15)*I29,0)+IFERROR((calculations!R288/calculations!R286)*((calculations!R307+calculations!R312)*$B$11+calculations!R308*$B$12+calculations!R309*$B$13+calculations!R310*$B$14+calculations!R311*$B$15)*I29,0)+IFERROR((calculations!R320/calculations!R318)*((calculations!R339+calculations!R344)*$B$11+calculations!R340*$B$12+calculations!R341*$B$13+calculations!R342*$B$14+calculations!R343*$B$15)*I29,0)</f>
        <v>293.39640033038887</v>
      </c>
      <c r="J37" s="53">
        <f>IFERROR((calculations!S22/calculations!S20)*((calculations!S41+calculations!S244)*$B$11+calculations!S42*$B$12+calculations!S43*$B$13+calculations!S44*$B$14+calculations!S45*$B$15)*J29,0)+IFERROR((calculations!S50/calculations!S48)*((calculations!S69+calculations!S249)*$B$11+calculations!S70*$B$12+calculations!S71*$B$13+calculations!S72*$B$14+calculations!S73*$B$15)*J29,0)+IFERROR((calculations!S78/calculations!S76)*((calculations!S97+calculations!S254)*$B$11+calculations!S98*$B$12+calculations!S99*$B$13+calculations!S100*$B$14+calculations!S101*$B$15)*J29,0)+IFERROR((calculations!S106/calculations!S104)*((calculations!S125+calculations!S259)*$B$11+calculations!S126*$B$12+calculations!S127*$B$13+calculations!S128*$B$14+calculations!S129*$B$15)*J29,0)+IFERROR((calculations!S134/calculations!S132)*((calculations!S153+calculations!S264)*$B$11+calculations!S154*$B$12+calculations!S155*$B$13+calculations!S156*$B$14+calculations!S157*$B$15)*J29,0)+IFERROR((calculations!S162/calculations!S160)*((calculations!S181+calculations!S269)*$B$11+calculations!S182*$B$12+calculations!S183*$B$13+calculations!S184*$B$14+calculations!S185*$B$15)*J29,0)+IFERROR((calculations!S190/calculations!S188)*((calculations!S209+calculations!S274)*$B$11+calculations!S210*$B$12+calculations!S211*$B$13+calculations!S212*$B$14+calculations!S213*$B$15)*J29,0)+IFERROR((calculations!S218/calculations!S216)*((calculations!S237+calculations!S279)*$B$11+calculations!S238*$B$12+calculations!S239*$B$13+calculations!S240*$B$14+calculations!S241*$B$15)*J29,0)+IFERROR((calculations!S288/calculations!S286)*((calculations!S307+calculations!S312)*$B$11+calculations!S308*$B$12+calculations!S309*$B$13+calculations!S310*$B$14+calculations!S311*$B$15)*J29,0)+IFERROR((calculations!S320/calculations!S318)*((calculations!S339+calculations!S344)*$B$11+calculations!S340*$B$12+calculations!S341*$B$13+calculations!S342*$B$14+calculations!S343*$B$15)*J29,0)</f>
        <v>440.95854136692788</v>
      </c>
      <c r="K37" s="53">
        <f>IFERROR((calculations!T22/calculations!T20)*((calculations!T41+calculations!T244)*$B$11+calculations!T42*$B$12+calculations!T43*$B$13+calculations!T44*$B$14+calculations!T45*$B$15)*K29,0)+IFERROR((calculations!T50/calculations!T48)*((calculations!T69+calculations!T249)*$B$11+calculations!T70*$B$12+calculations!T71*$B$13+calculations!T72*$B$14+calculations!T73*$B$15)*K29,0)+IFERROR((calculations!T78/calculations!T76)*((calculations!T97+calculations!T254)*$B$11+calculations!T98*$B$12+calculations!T99*$B$13+calculations!T100*$B$14+calculations!T101*$B$15)*K29,0)+IFERROR((calculations!T106/calculations!T104)*((calculations!T125+calculations!T259)*$B$11+calculations!T126*$B$12+calculations!T127*$B$13+calculations!T128*$B$14+calculations!T129*$B$15)*K29,0)+IFERROR((calculations!T134/calculations!T132)*((calculations!T153+calculations!T264)*$B$11+calculations!T154*$B$12+calculations!T155*$B$13+calculations!T156*$B$14+calculations!T157*$B$15)*K29,0)+IFERROR((calculations!T162/calculations!T160)*((calculations!T181+calculations!T269)*$B$11+calculations!T182*$B$12+calculations!T183*$B$13+calculations!T184*$B$14+calculations!T185*$B$15)*K29,0)+IFERROR((calculations!T190/calculations!T188)*((calculations!T209+calculations!T274)*$B$11+calculations!T210*$B$12+calculations!T211*$B$13+calculations!T212*$B$14+calculations!T213*$B$15)*K29,0)+IFERROR((calculations!T218/calculations!T216)*((calculations!T237+calculations!T279)*$B$11+calculations!T238*$B$12+calculations!T239*$B$13+calculations!T240*$B$14+calculations!T241*$B$15)*K29,0)+IFERROR((calculations!T288/calculations!T286)*((calculations!T307+calculations!T312)*$B$11+calculations!T308*$B$12+calculations!T309*$B$13+calculations!T310*$B$14+calculations!T311*$B$15)*K29,0)+IFERROR((calculations!T320/calculations!T318)*((calculations!T339+calculations!T344)*$B$11+calculations!T340*$B$12+calculations!T341*$B$13+calculations!T342*$B$14+calculations!T343*$B$15)*K29,0)</f>
        <v>553.90928816941278</v>
      </c>
      <c r="L37" s="53">
        <f>IFERROR((calculations!U22/calculations!U20)*((calculations!U41+calculations!U244)*$B$11+calculations!U42*$B$12+calculations!U43*$B$13+calculations!U44*$B$14+calculations!U45*$B$15)*L29,0)+IFERROR((calculations!U50/calculations!U48)*((calculations!U69+calculations!U249)*$B$11+calculations!U70*$B$12+calculations!U71*$B$13+calculations!U72*$B$14+calculations!U73*$B$15)*L29,0)+IFERROR((calculations!U78/calculations!U76)*((calculations!U97+calculations!U254)*$B$11+calculations!U98*$B$12+calculations!U99*$B$13+calculations!U100*$B$14+calculations!U101*$B$15)*L29,0)+IFERROR((calculations!U106/calculations!U104)*((calculations!U125+calculations!U259)*$B$11+calculations!U126*$B$12+calculations!U127*$B$13+calculations!U128*$B$14+calculations!U129*$B$15)*L29,0)+IFERROR((calculations!U134/calculations!U132)*((calculations!U153+calculations!U264)*$B$11+calculations!U154*$B$12+calculations!U155*$B$13+calculations!U156*$B$14+calculations!U157*$B$15)*L29,0)+IFERROR((calculations!U162/calculations!U160)*((calculations!U181+calculations!U269)*$B$11+calculations!U182*$B$12+calculations!U183*$B$13+calculations!U184*$B$14+calculations!U185*$B$15)*L29,0)+IFERROR((calculations!U190/calculations!U188)*((calculations!U209+calculations!U274)*$B$11+calculations!U210*$B$12+calculations!U211*$B$13+calculations!U212*$B$14+calculations!U213*$B$15)*L29,0)+IFERROR((calculations!U218/calculations!U216)*((calculations!U237+calculations!U279)*$B$11+calculations!U238*$B$12+calculations!U239*$B$13+calculations!U240*$B$14+calculations!U241*$B$15)*L29,0)+IFERROR((calculations!U288/calculations!U286)*((calculations!U307+calculations!U312)*$B$11+calculations!U308*$B$12+calculations!U309*$B$13+calculations!U310*$B$14+calculations!U311*$B$15)*L29,0)+IFERROR((calculations!U320/calculations!U318)*((calculations!U339+calculations!U344)*$B$11+calculations!U340*$B$12+calculations!U341*$B$13+calculations!U342*$B$14+calculations!U343*$B$15)*L29,0)</f>
        <v>681.82415610155306</v>
      </c>
      <c r="M37" s="53">
        <f>IFERROR((calculations!V22/calculations!V20)*((calculations!V41+calculations!V244)*$B$11+calculations!V42*$B$12+calculations!V43*$B$13+calculations!V44*$B$14+calculations!V45*$B$15)*M29,0)+IFERROR((calculations!V50/calculations!V48)*((calculations!V69+calculations!V249)*$B$11+calculations!V70*$B$12+calculations!V71*$B$13+calculations!V72*$B$14+calculations!V73*$B$15)*M29,0)+IFERROR((calculations!V78/calculations!V76)*((calculations!V97+calculations!V254)*$B$11+calculations!V98*$B$12+calculations!V99*$B$13+calculations!V100*$B$14+calculations!V101*$B$15)*M29,0)+IFERROR((calculations!V106/calculations!V104)*((calculations!V125+calculations!V259)*$B$11+calculations!V126*$B$12+calculations!V127*$B$13+calculations!V128*$B$14+calculations!V129*$B$15)*M29,0)+IFERROR((calculations!V134/calculations!V132)*((calculations!V153+calculations!V264)*$B$11+calculations!V154*$B$12+calculations!V155*$B$13+calculations!V156*$B$14+calculations!V157*$B$15)*M29,0)+IFERROR((calculations!V162/calculations!V160)*((calculations!V181+calculations!V269)*$B$11+calculations!V182*$B$12+calculations!V183*$B$13+calculations!V184*$B$14+calculations!V185*$B$15)*M29,0)+IFERROR((calculations!V190/calculations!V188)*((calculations!V209+calculations!V274)*$B$11+calculations!V210*$B$12+calculations!V211*$B$13+calculations!V212*$B$14+calculations!V213*$B$15)*M29,0)+IFERROR((calculations!V218/calculations!V216)*((calculations!V237+calculations!V279)*$B$11+calculations!V238*$B$12+calculations!V239*$B$13+calculations!V240*$B$14+calculations!V241*$B$15)*M29,0)+IFERROR((calculations!V288/calculations!V286)*((calculations!V307+calculations!V312)*$B$11+calculations!V308*$B$12+calculations!V309*$B$13+calculations!V310*$B$14+calculations!V311*$B$15)*M29,0)+IFERROR((calculations!V320/calculations!V318)*((calculations!V339+calculations!V344)*$B$11+calculations!V340*$B$12+calculations!V341*$B$13+calculations!V342*$B$14+calculations!V343*$B$15)*M29,0)</f>
        <v>826.00748289341232</v>
      </c>
      <c r="N37" s="53">
        <f>IFERROR((calculations!W22/calculations!W20)*((calculations!W41+calculations!W244)*$B$11+calculations!W42*$B$12+calculations!W43*$B$13+calculations!W44*$B$14+calculations!W45*$B$15)*N29,0)+IFERROR((calculations!W50/calculations!W48)*((calculations!W69+calculations!W249)*$B$11+calculations!W70*$B$12+calculations!W71*$B$13+calculations!W72*$B$14+calculations!W73*$B$15)*N29,0)+IFERROR((calculations!W78/calculations!W76)*((calculations!W97+calculations!W254)*$B$11+calculations!W98*$B$12+calculations!W99*$B$13+calculations!W100*$B$14+calculations!W101*$B$15)*N29,0)+IFERROR((calculations!W106/calculations!W104)*((calculations!W125+calculations!W259)*$B$11+calculations!W126*$B$12+calculations!W127*$B$13+calculations!W128*$B$14+calculations!W129*$B$15)*N29,0)+IFERROR((calculations!W134/calculations!W132)*((calculations!W153+calculations!W264)*$B$11+calculations!W154*$B$12+calculations!W155*$B$13+calculations!W156*$B$14+calculations!W157*$B$15)*N29,0)+IFERROR((calculations!W162/calculations!W160)*((calculations!W181+calculations!W269)*$B$11+calculations!W182*$B$12+calculations!W183*$B$13+calculations!W184*$B$14+calculations!W185*$B$15)*N29,0)+IFERROR((calculations!W190/calculations!W188)*((calculations!W209+calculations!W274)*$B$11+calculations!W210*$B$12+calculations!W211*$B$13+calculations!W212*$B$14+calculations!W213*$B$15)*N29,0)+IFERROR((calculations!W218/calculations!W216)*((calculations!W237+calculations!W279)*$B$11+calculations!W238*$B$12+calculations!W239*$B$13+calculations!W240*$B$14+calculations!W241*$B$15)*N29,0)+IFERROR((calculations!W288/calculations!W286)*((calculations!W307+calculations!W312)*$B$11+calculations!W308*$B$12+calculations!W309*$B$13+calculations!W310*$B$14+calculations!W311*$B$15)*N29,0)+IFERROR((calculations!W320/calculations!W318)*((calculations!W339+calculations!W344)*$B$11+calculations!W340*$B$12+calculations!W341*$B$13+calculations!W342*$B$14+calculations!W343*$B$15)*N29,0)</f>
        <v>1001.1084065492987</v>
      </c>
      <c r="O37" s="53">
        <f>IFERROR((calculations!X22/calculations!X20)*((calculations!X41+calculations!X244)*$B$11+calculations!X42*$B$12+calculations!X43*$B$13+calculations!X44*$B$14+calculations!X45*$B$15)*O29,0)+IFERROR((calculations!X50/calculations!X48)*((calculations!X69+calculations!X249)*$B$11+calculations!X70*$B$12+calculations!X71*$B$13+calculations!X72*$B$14+calculations!X73*$B$15)*O29,0)+IFERROR((calculations!X78/calculations!X76)*((calculations!X97+calculations!X254)*$B$11+calculations!X98*$B$12+calculations!X99*$B$13+calculations!X100*$B$14+calculations!X101*$B$15)*O29,0)+IFERROR((calculations!X106/calculations!X104)*((calculations!X125+calculations!X259)*$B$11+calculations!X126*$B$12+calculations!X127*$B$13+calculations!X128*$B$14+calculations!X129*$B$15)*O29,0)+IFERROR((calculations!X134/calculations!X132)*((calculations!X153+calculations!X264)*$B$11+calculations!X154*$B$12+calculations!X155*$B$13+calculations!X156*$B$14+calculations!X157*$B$15)*O29,0)+IFERROR((calculations!X162/calculations!X160)*((calculations!X181+calculations!X269)*$B$11+calculations!X182*$B$12+calculations!X183*$B$13+calculations!X184*$B$14+calculations!X185*$B$15)*O29,0)+IFERROR((calculations!X190/calculations!X188)*((calculations!X209+calculations!X274)*$B$11+calculations!X210*$B$12+calculations!X211*$B$13+calculations!X212*$B$14+calculations!X213*$B$15)*O29,0)+IFERROR((calculations!X218/calculations!X216)*((calculations!X237+calculations!X279)*$B$11+calculations!X238*$B$12+calculations!X239*$B$13+calculations!X240*$B$14+calculations!X241*$B$15)*O29,0)+IFERROR((calculations!X288/calculations!X286)*((calculations!X307+calculations!X312)*$B$11+calculations!X308*$B$12+calculations!X309*$B$13+calculations!X310*$B$14+calculations!X311*$B$15)*O29,0)+IFERROR((calculations!X320/calculations!X318)*((calculations!X339+calculations!X344)*$B$11+calculations!X340*$B$12+calculations!X341*$B$13+calculations!X342*$B$14+calculations!X343*$B$15)*O29,0)</f>
        <v>1081.2115896608636</v>
      </c>
    </row>
    <row r="38" spans="1:16" ht="18" customHeight="1" x14ac:dyDescent="0.25">
      <c r="A38" s="32" t="s">
        <v>150</v>
      </c>
      <c r="B38" s="50" t="s">
        <v>145</v>
      </c>
      <c r="C38" s="51"/>
      <c r="D38" s="52">
        <f>IFERROR((1-$B$22)*(calculations!M23/calculations!M20)*((calculations!M41+calculations!M244)*$B$11+calculations!M42*$B$12+calculations!M43*$B$13+calculations!M44*$B$14+calculations!M45*$B$15)*D29,0)+IFERROR((1-$B$22)*(calculations!M51/calculations!M48)*((calculations!M69+calculations!M249)*$B$11+calculations!M70*$B$12+calculations!M71*$B$13+calculations!M72*$B$14+calculations!M73*$B$15)*D29,0)+IFERROR((1-$B$22)*(calculations!M79/calculations!M76)*((calculations!M97+calculations!M254)*$B$11+calculations!M98*$B$12+calculations!M99*$B$13+calculations!M100*$B$14+calculations!M101*$B$15)*D29,0)+IFERROR((1-$B$22)*(calculations!M107/calculations!M104)*((calculations!M125+calculations!M259)*$B$11+calculations!M126*$B$12+calculations!M127*$B$13+calculations!M128*$B$14+calculations!M129*$B$15)*D29,0)+IFERROR((1-$B$22)*(calculations!M135/calculations!M132)*((calculations!M153+calculations!M264)*$B$11+calculations!M154*$B$12+calculations!M155*$B$13+calculations!M156*$B$14+calculations!M157*$B$15)*D29,0)+IFERROR((1-$B$22)*(calculations!M163/calculations!M160)*((calculations!M181+calculations!M269)*$B$11+calculations!M182*$B$12+calculations!M183*$B$13+calculations!M184*$B$14+calculations!M185*$B$15)*D29,0)+IFERROR((1-$B$22)*(calculations!M191/calculations!M188)*((calculations!M209+calculations!M274)*$B$11+calculations!M210*$B$12+calculations!M211*$B$13+calculations!M212*$B$14+calculations!M213*$B$15)*D29,0)+IFERROR((1-$B$22)*(calculations!M219/calculations!M216)*((calculations!M237+calculations!M279)*$B$11+calculations!M238*$B$12+calculations!M239*$B$13+calculations!M240*$B$14+calculations!M241*$B$15)*D29,0)+IFERROR((1-$B$22)*(calculations!M289/calculations!M286)*((calculations!M307+calculations!M312)*$B$11+calculations!M308*$B$12+calculations!M309*$B$13+calculations!M310*$B$14+calculations!M311*$B$15)*D29,0)+IFERROR((1-$B$22)*(calculations!M321/calculations!M318)*((calculations!M339+calculations!M344)*$B$11+calculations!M340*$B$12+calculations!M341*$B$13+calculations!M342*$B$14+calculations!M343*$B$15)*D29,0)</f>
        <v>0</v>
      </c>
      <c r="E38" s="53">
        <f>IFERROR((1-$B$22)*(calculations!N23/calculations!N20)*((calculations!N41+calculations!N244)*$B$11+calculations!N42*$B$12+calculations!N43*$B$13+calculations!N44*$B$14+calculations!N45*$B$15)*E29,0)+IFERROR((1-$B$22)*(calculations!N51/calculations!N48)*((calculations!N69+calculations!N249)*$B$11+calculations!N70*$B$12+calculations!N71*$B$13+calculations!N72*$B$14+calculations!N73*$B$15)*E29,0)+IFERROR((1-$B$22)*(calculations!N79/calculations!N76)*((calculations!N97+calculations!N254)*$B$11+calculations!N98*$B$12+calculations!N99*$B$13+calculations!N100*$B$14+calculations!N101*$B$15)*E29,0)+IFERROR((1-$B$22)*(calculations!N107/calculations!N104)*((calculations!N125+calculations!N259)*$B$11+calculations!N126*$B$12+calculations!N127*$B$13+calculations!N128*$B$14+calculations!N129*$B$15)*E29,0)+IFERROR((1-$B$22)*(calculations!N135/calculations!N132)*((calculations!N153+calculations!N264)*$B$11+calculations!N154*$B$12+calculations!N155*$B$13+calculations!N156*$B$14+calculations!N157*$B$15)*E29,0)+IFERROR((1-$B$22)*(calculations!N163/calculations!N160)*((calculations!N181+calculations!N269)*$B$11+calculations!N182*$B$12+calculations!N183*$B$13+calculations!N184*$B$14+calculations!N185*$B$15)*E29,0)+IFERROR((1-$B$22)*(calculations!N191/calculations!N188)*((calculations!N209+calculations!N274)*$B$11+calculations!N210*$B$12+calculations!N211*$B$13+calculations!N212*$B$14+calculations!N213*$B$15)*E29,0)+IFERROR((1-$B$22)*(calculations!N219/calculations!N216)*((calculations!N237+calculations!N279)*$B$11+calculations!N238*$B$12+calculations!N239*$B$13+calculations!N240*$B$14+calculations!N241*$B$15)*E29,0)+IFERROR((1-$B$22)*(calculations!N289/calculations!N286)*((calculations!N307+calculations!N312)*$B$11+calculations!N308*$B$12+calculations!N309*$B$13+calculations!N310*$B$14+calculations!N311*$B$15)*E29,0)+IFERROR((1-$B$22)*(calculations!N321/calculations!N318)*((calculations!N339+calculations!N344)*$B$11+calculations!N340*$B$12+calculations!N341*$B$13+calculations!N342*$B$14+calculations!N343*$B$15)*E29,0)</f>
        <v>0</v>
      </c>
      <c r="F38" s="53">
        <f>IFERROR((1-$B$22)*(calculations!O23/calculations!O20)*((calculations!O41+calculations!O244)*$B$11+calculations!O42*$B$12+calculations!O43*$B$13+calculations!O44*$B$14+calculations!O45*$B$15)*F29,0)+IFERROR((1-$B$22)*(calculations!O51/calculations!O48)*((calculations!O69+calculations!O249)*$B$11+calculations!O70*$B$12+calculations!O71*$B$13+calculations!O72*$B$14+calculations!O73*$B$15)*F29,0)+IFERROR((1-$B$22)*(calculations!O79/calculations!O76)*((calculations!O97+calculations!O254)*$B$11+calculations!O98*$B$12+calculations!O99*$B$13+calculations!O100*$B$14+calculations!O101*$B$15)*F29,0)+IFERROR((1-$B$22)*(calculations!O107/calculations!O104)*((calculations!O125+calculations!O259)*$B$11+calculations!O126*$B$12+calculations!O127*$B$13+calculations!O128*$B$14+calculations!O129*$B$15)*F29,0)+IFERROR((1-$B$22)*(calculations!O135/calculations!O132)*((calculations!O153+calculations!O264)*$B$11+calculations!O154*$B$12+calculations!O155*$B$13+calculations!O156*$B$14+calculations!O157*$B$15)*F29,0)+IFERROR((1-$B$22)*(calculations!O163/calculations!O160)*((calculations!O181+calculations!O269)*$B$11+calculations!O182*$B$12+calculations!O183*$B$13+calculations!O184*$B$14+calculations!O185*$B$15)*F29,0)+IFERROR((1-$B$22)*(calculations!O191/calculations!O188)*((calculations!O209+calculations!O274)*$B$11+calculations!O210*$B$12+calculations!O211*$B$13+calculations!O212*$B$14+calculations!O213*$B$15)*F29,0)+IFERROR((1-$B$22)*(calculations!O219/calculations!O216)*((calculations!O237+calculations!O279)*$B$11+calculations!O238*$B$12+calculations!O239*$B$13+calculations!O240*$B$14+calculations!O241*$B$15)*F29,0)+IFERROR((1-$B$22)*(calculations!O289/calculations!O286)*((calculations!O307+calculations!O312)*$B$11+calculations!O308*$B$12+calculations!O309*$B$13+calculations!O310*$B$14+calculations!O311*$B$15)*F29,0)+IFERROR((1-$B$22)*(calculations!O321/calculations!O318)*((calculations!O339+calculations!O344)*$B$11+calculations!O340*$B$12+calculations!O341*$B$13+calculations!O342*$B$14+calculations!O343*$B$15)*F29,0)</f>
        <v>1974.7120693976169</v>
      </c>
      <c r="G38" s="53">
        <f>IFERROR((1-$B$22)*(calculations!P23/calculations!P20)*((calculations!P41+calculations!P244)*$B$11+calculations!P42*$B$12+calculations!P43*$B$13+calculations!P44*$B$14+calculations!P45*$B$15)*G29,0)+IFERROR((1-$B$22)*(calculations!P51/calculations!P48)*((calculations!P69+calculations!P249)*$B$11+calculations!P70*$B$12+calculations!P71*$B$13+calculations!P72*$B$14+calculations!P73*$B$15)*G29,0)+IFERROR((1-$B$22)*(calculations!P79/calculations!P76)*((calculations!P97+calculations!P254)*$B$11+calculations!P98*$B$12+calculations!P99*$B$13+calculations!P100*$B$14+calculations!P101*$B$15)*G29,0)+IFERROR((1-$B$22)*(calculations!P107/calculations!P104)*((calculations!P125+calculations!P259)*$B$11+calculations!P126*$B$12+calculations!P127*$B$13+calculations!P128*$B$14+calculations!P129*$B$15)*G29,0)+IFERROR((1-$B$22)*(calculations!P135/calculations!P132)*((calculations!P153+calculations!P264)*$B$11+calculations!P154*$B$12+calculations!P155*$B$13+calculations!P156*$B$14+calculations!P157*$B$15)*G29,0)+IFERROR((1-$B$22)*(calculations!P163/calculations!P160)*((calculations!P181+calculations!P269)*$B$11+calculations!P182*$B$12+calculations!P183*$B$13+calculations!P184*$B$14+calculations!P185*$B$15)*G29,0)+IFERROR((1-$B$22)*(calculations!P191/calculations!P188)*((calculations!P209+calculations!P274)*$B$11+calculations!P210*$B$12+calculations!P211*$B$13+calculations!P212*$B$14+calculations!P213*$B$15)*G29,0)+IFERROR((1-$B$22)*(calculations!P219/calculations!P216)*((calculations!P237+calculations!P279)*$B$11+calculations!P238*$B$12+calculations!P239*$B$13+calculations!P240*$B$14+calculations!P241*$B$15)*G29,0)+IFERROR((1-$B$22)*(calculations!P289/calculations!P286)*((calculations!P307+calculations!P312)*$B$11+calculations!P308*$B$12+calculations!P309*$B$13+calculations!P310*$B$14+calculations!P311*$B$15)*G29,0)+IFERROR((1-$B$22)*(calculations!P321/calculations!P318)*((calculations!P339+calculations!P344)*$B$11+calculations!P340*$B$12+calculations!P341*$B$13+calculations!P342*$B$14+calculations!P343*$B$15)*G29,0)</f>
        <v>2275.7790997262214</v>
      </c>
      <c r="H38" s="53">
        <f>IFERROR((1-$B$22)*(calculations!Q23/calculations!Q20)*((calculations!Q41+calculations!Q244)*$B$11+calculations!Q42*$B$12+calculations!Q43*$B$13+calculations!Q44*$B$14+calculations!Q45*$B$15)*H29,0)+IFERROR((1-$B$22)*(calculations!Q51/calculations!Q48)*((calculations!Q69+calculations!Q249)*$B$11+calculations!Q70*$B$12+calculations!Q71*$B$13+calculations!Q72*$B$14+calculations!Q73*$B$15)*H29,0)+IFERROR((1-$B$22)*(calculations!Q79/calculations!Q76)*((calculations!Q97+calculations!Q254)*$B$11+calculations!Q98*$B$12+calculations!Q99*$B$13+calculations!Q100*$B$14+calculations!Q101*$B$15)*H29,0)+IFERROR((1-$B$22)*(calculations!Q107/calculations!Q104)*((calculations!Q125+calculations!Q259)*$B$11+calculations!Q126*$B$12+calculations!Q127*$B$13+calculations!Q128*$B$14+calculations!Q129*$B$15)*H29,0)+IFERROR((1-$B$22)*(calculations!Q135/calculations!Q132)*((calculations!Q153+calculations!Q264)*$B$11+calculations!Q154*$B$12+calculations!Q155*$B$13+calculations!Q156*$B$14+calculations!Q157*$B$15)*H29,0)+IFERROR((1-$B$22)*(calculations!Q163/calculations!Q160)*((calculations!Q181+calculations!Q269)*$B$11+calculations!Q182*$B$12+calculations!Q183*$B$13+calculations!Q184*$B$14+calculations!Q185*$B$15)*H29,0)+IFERROR((1-$B$22)*(calculations!Q191/calculations!Q188)*((calculations!Q209+calculations!Q274)*$B$11+calculations!Q210*$B$12+calculations!Q211*$B$13+calculations!Q212*$B$14+calculations!Q213*$B$15)*H29,0)+IFERROR((1-$B$22)*(calculations!Q219/calculations!Q216)*((calculations!Q237+calculations!Q279)*$B$11+calculations!Q238*$B$12+calculations!Q239*$B$13+calculations!Q240*$B$14+calculations!Q241*$B$15)*H29,0)+IFERROR((1-$B$22)*(calculations!Q289/calculations!Q286)*((calculations!Q307+calculations!Q312)*$B$11+calculations!Q308*$B$12+calculations!Q309*$B$13+calculations!Q310*$B$14+calculations!Q311*$B$15)*H29,0)+IFERROR((1-$B$22)*(calculations!Q321/calculations!Q318)*((calculations!Q339+calculations!Q344)*$B$11+calculations!Q340*$B$12+calculations!Q341*$B$13+calculations!Q342*$B$14+calculations!Q343*$B$15)*H29,0)</f>
        <v>2729.8300440673252</v>
      </c>
      <c r="I38" s="53">
        <f>IFERROR((1-$B$22)*(calculations!R23/calculations!R20)*((calculations!R41+calculations!R244)*$B$11+calculations!R42*$B$12+calculations!R43*$B$13+calculations!R44*$B$14+calculations!R45*$B$15)*I29,0)+IFERROR((1-$B$22)*(calculations!R51/calculations!R48)*((calculations!R69+calculations!R249)*$B$11+calculations!R70*$B$12+calculations!R71*$B$13+calculations!R72*$B$14+calculations!R73*$B$15)*I29,0)+IFERROR((1-$B$22)*(calculations!R79/calculations!R76)*((calculations!R97+calculations!R254)*$B$11+calculations!R98*$B$12+calculations!R99*$B$13+calculations!R100*$B$14+calculations!R101*$B$15)*I29,0)+IFERROR((1-$B$22)*(calculations!R107/calculations!R104)*((calculations!R125+calculations!R259)*$B$11+calculations!R126*$B$12+calculations!R127*$B$13+calculations!R128*$B$14+calculations!R129*$B$15)*I29,0)+IFERROR((1-$B$22)*(calculations!R135/calculations!R132)*((calculations!R153+calculations!R264)*$B$11+calculations!R154*$B$12+calculations!R155*$B$13+calculations!R156*$B$14+calculations!R157*$B$15)*I29,0)+IFERROR((1-$B$22)*(calculations!R163/calculations!R160)*((calculations!R181+calculations!R269)*$B$11+calculations!R182*$B$12+calculations!R183*$B$13+calculations!R184*$B$14+calculations!R185*$B$15)*I29,0)+IFERROR((1-$B$22)*(calculations!R191/calculations!R188)*((calculations!R209+calculations!R274)*$B$11+calculations!R210*$B$12+calculations!R211*$B$13+calculations!R212*$B$14+calculations!R213*$B$15)*I29,0)+IFERROR((1-$B$22)*(calculations!R219/calculations!R216)*((calculations!R237+calculations!R279)*$B$11+calculations!R238*$B$12+calculations!R239*$B$13+calculations!R240*$B$14+calculations!R241*$B$15)*I29,0)+IFERROR((1-$B$22)*(calculations!R289/calculations!R286)*((calculations!R307+calculations!R312)*$B$11+calculations!R308*$B$12+calculations!R309*$B$13+calculations!R310*$B$14+calculations!R311*$B$15)*I29,0)+IFERROR((1-$B$22)*(calculations!R321/calculations!R318)*((calculations!R339+calculations!R344)*$B$11+calculations!R340*$B$12+calculations!R341*$B$13+calculations!R342*$B$14+calculations!R343*$B$15)*I29,0)</f>
        <v>3475.1802468828218</v>
      </c>
      <c r="J38" s="53">
        <f>IFERROR((1-$B$22)*(calculations!S23/calculations!S20)*((calculations!S41+calculations!S244)*$B$11+calculations!S42*$B$12+calculations!S43*$B$13+calculations!S44*$B$14+calculations!S45*$B$15)*J29,0)+IFERROR((1-$B$22)*(calculations!S51/calculations!S48)*((calculations!S69+calculations!S249)*$B$11+calculations!S70*$B$12+calculations!S71*$B$13+calculations!S72*$B$14+calculations!S73*$B$15)*J29,0)+IFERROR((1-$B$22)*(calculations!S79/calculations!S76)*((calculations!S97+calculations!S254)*$B$11+calculations!S98*$B$12+calculations!S99*$B$13+calculations!S100*$B$14+calculations!S101*$B$15)*J29,0)+IFERROR((1-$B$22)*(calculations!S107/calculations!S104)*((calculations!S125+calculations!S259)*$B$11+calculations!S126*$B$12+calculations!S127*$B$13+calculations!S128*$B$14+calculations!S129*$B$15)*J29,0)+IFERROR((1-$B$22)*(calculations!S135/calculations!S132)*((calculations!S153+calculations!S264)*$B$11+calculations!S154*$B$12+calculations!S155*$B$13+calculations!S156*$B$14+calculations!S157*$B$15)*J29,0)+IFERROR((1-$B$22)*(calculations!S163/calculations!S160)*((calculations!S181+calculations!S269)*$B$11+calculations!S182*$B$12+calculations!S183*$B$13+calculations!S184*$B$14+calculations!S185*$B$15)*J29,0)+IFERROR((1-$B$22)*(calculations!S191/calculations!S188)*((calculations!S209+calculations!S274)*$B$11+calculations!S210*$B$12+calculations!S211*$B$13+calculations!S212*$B$14+calculations!S213*$B$15)*J29,0)+IFERROR((1-$B$22)*(calculations!S219/calculations!S216)*((calculations!S237+calculations!S279)*$B$11+calculations!S238*$B$12+calculations!S239*$B$13+calculations!S240*$B$14+calculations!S241*$B$15)*J29,0)+IFERROR((1-$B$22)*(calculations!S289/calculations!S286)*((calculations!S307+calculations!S312)*$B$11+calculations!S308*$B$12+calculations!S309*$B$13+calculations!S310*$B$14+calculations!S311*$B$15)*J29,0)+IFERROR((1-$B$22)*(calculations!S321/calculations!S318)*((calculations!S339+calculations!S344)*$B$11+calculations!S340*$B$12+calculations!S341*$B$13+calculations!S342*$B$14+calculations!S343*$B$15)*J29,0)</f>
        <v>5245.3978659610721</v>
      </c>
      <c r="K38" s="53">
        <f>IFERROR((1-$B$22)*(calculations!T23/calculations!T20)*((calculations!T41+calculations!T244)*$B$11+calculations!T42*$B$12+calculations!T43*$B$13+calculations!T44*$B$14+calculations!T45*$B$15)*K29,0)+IFERROR((1-$B$22)*(calculations!T51/calculations!T48)*((calculations!T69+calculations!T249)*$B$11+calculations!T70*$B$12+calculations!T71*$B$13+calculations!T72*$B$14+calculations!T73*$B$15)*K29,0)+IFERROR((1-$B$22)*(calculations!T79/calculations!T76)*((calculations!T97+calculations!T254)*$B$11+calculations!T98*$B$12+calculations!T99*$B$13+calculations!T100*$B$14+calculations!T101*$B$15)*K29,0)+IFERROR((1-$B$22)*(calculations!T107/calculations!T104)*((calculations!T125+calculations!T259)*$B$11+calculations!T126*$B$12+calculations!T127*$B$13+calculations!T128*$B$14+calculations!T129*$B$15)*K29,0)+IFERROR((1-$B$22)*(calculations!T135/calculations!T132)*((calculations!T153+calculations!T264)*$B$11+calculations!T154*$B$12+calculations!T155*$B$13+calculations!T156*$B$14+calculations!T157*$B$15)*K29,0)+IFERROR((1-$B$22)*(calculations!T163/calculations!T160)*((calculations!T181+calculations!T269)*$B$11+calculations!T182*$B$12+calculations!T183*$B$13+calculations!T184*$B$14+calculations!T185*$B$15)*K29,0)+IFERROR((1-$B$22)*(calculations!T191/calculations!T188)*((calculations!T209+calculations!T274)*$B$11+calculations!T210*$B$12+calculations!T211*$B$13+calculations!T212*$B$14+calculations!T213*$B$15)*K29,0)+IFERROR((1-$B$22)*(calculations!T219/calculations!T216)*((calculations!T237+calculations!T279)*$B$11+calculations!T238*$B$12+calculations!T239*$B$13+calculations!T240*$B$14+calculations!T241*$B$15)*K29,0)+IFERROR((1-$B$22)*(calculations!T289/calculations!T286)*((calculations!T307+calculations!T312)*$B$11+calculations!T308*$B$12+calculations!T309*$B$13+calculations!T310*$B$14+calculations!T311*$B$15)*K29,0)+IFERROR((1-$B$22)*(calculations!T321/calculations!T318)*((calculations!T339+calculations!T344)*$B$11+calculations!T340*$B$12+calculations!T341*$B$13+calculations!T342*$B$14+calculations!T343*$B$15)*K29,0)</f>
        <v>6617.1009520313555</v>
      </c>
      <c r="L38" s="53">
        <f>IFERROR((1-$B$22)*(calculations!U23/calculations!U20)*((calculations!U41+calculations!U244)*$B$11+calculations!U42*$B$12+calculations!U43*$B$13+calculations!U44*$B$14+calculations!U45*$B$15)*L29,0)+IFERROR((1-$B$22)*(calculations!U51/calculations!U48)*((calculations!U69+calculations!U249)*$B$11+calculations!U70*$B$12+calculations!U71*$B$13+calculations!U72*$B$14+calculations!U73*$B$15)*L29,0)+IFERROR((1-$B$22)*(calculations!U79/calculations!U76)*((calculations!U97+calculations!U254)*$B$11+calculations!U98*$B$12+calculations!U99*$B$13+calculations!U100*$B$14+calculations!U101*$B$15)*L29,0)+IFERROR((1-$B$22)*(calculations!U107/calculations!U104)*((calculations!U125+calculations!U259)*$B$11+calculations!U126*$B$12+calculations!U127*$B$13+calculations!U128*$B$14+calculations!U129*$B$15)*L29,0)+IFERROR((1-$B$22)*(calculations!U135/calculations!U132)*((calculations!U153+calculations!U264)*$B$11+calculations!U154*$B$12+calculations!U155*$B$13+calculations!U156*$B$14+calculations!U157*$B$15)*L29,0)+IFERROR((1-$B$22)*(calculations!U163/calculations!U160)*((calculations!U181+calculations!U269)*$B$11+calculations!U182*$B$12+calculations!U183*$B$13+calculations!U184*$B$14+calculations!U185*$B$15)*L29,0)+IFERROR((1-$B$22)*(calculations!U191/calculations!U188)*((calculations!U209+calculations!U274)*$B$11+calculations!U210*$B$12+calculations!U211*$B$13+calculations!U212*$B$14+calculations!U213*$B$15)*L29,0)+IFERROR((1-$B$22)*(calculations!U219/calculations!U216)*((calculations!U237+calculations!U279)*$B$11+calculations!U238*$B$12+calculations!U239*$B$13+calculations!U240*$B$14+calculations!U241*$B$15)*L29,0)+IFERROR((1-$B$22)*(calculations!U289/calculations!U286)*((calculations!U307+calculations!U312)*$B$11+calculations!U308*$B$12+calculations!U309*$B$13+calculations!U310*$B$14+calculations!U311*$B$15)*L29,0)+IFERROR((1-$B$22)*(calculations!U321/calculations!U318)*((calculations!U339+calculations!U344)*$B$11+calculations!U340*$B$12+calculations!U341*$B$13+calculations!U342*$B$14+calculations!U343*$B$15)*L29,0)</f>
        <v>8179.7563380597912</v>
      </c>
      <c r="M38" s="53">
        <f>IFERROR((1-$B$22)*(calculations!V23/calculations!V20)*((calculations!V41+calculations!V244)*$B$11+calculations!V42*$B$12+calculations!V43*$B$13+calculations!V44*$B$14+calculations!V45*$B$15)*M29,0)+IFERROR((1-$B$22)*(calculations!V51/calculations!V48)*((calculations!V69+calculations!V249)*$B$11+calculations!V70*$B$12+calculations!V71*$B$13+calculations!V72*$B$14+calculations!V73*$B$15)*M29,0)+IFERROR((1-$B$22)*(calculations!V79/calculations!V76)*((calculations!V97+calculations!V254)*$B$11+calculations!V98*$B$12+calculations!V99*$B$13+calculations!V100*$B$14+calculations!V101*$B$15)*M29,0)+IFERROR((1-$B$22)*(calculations!V107/calculations!V104)*((calculations!V125+calculations!V259)*$B$11+calculations!V126*$B$12+calculations!V127*$B$13+calculations!V128*$B$14+calculations!V129*$B$15)*M29,0)+IFERROR((1-$B$22)*(calculations!V135/calculations!V132)*((calculations!V153+calculations!V264)*$B$11+calculations!V154*$B$12+calculations!V155*$B$13+calculations!V156*$B$14+calculations!V157*$B$15)*M29,0)+IFERROR((1-$B$22)*(calculations!V163/calculations!V160)*((calculations!V181+calculations!V269)*$B$11+calculations!V182*$B$12+calculations!V183*$B$13+calculations!V184*$B$14+calculations!V185*$B$15)*M29,0)+IFERROR((1-$B$22)*(calculations!V191/calculations!V188)*((calculations!V209+calculations!V274)*$B$11+calculations!V210*$B$12+calculations!V211*$B$13+calculations!V212*$B$14+calculations!V213*$B$15)*M29,0)+IFERROR((1-$B$22)*(calculations!V219/calculations!V216)*((calculations!V237+calculations!V279)*$B$11+calculations!V238*$B$12+calculations!V239*$B$13+calculations!V240*$B$14+calculations!V241*$B$15)*M29,0)+IFERROR((1-$B$22)*(calculations!V289/calculations!V286)*((calculations!V307+calculations!V312)*$B$11+calculations!V308*$B$12+calculations!V309*$B$13+calculations!V310*$B$14+calculations!V311*$B$15)*M29,0)+IFERROR((1-$B$22)*(calculations!V321/calculations!V318)*((calculations!V339+calculations!V344)*$B$11+calculations!V340*$B$12+calculations!V341*$B$13+calculations!V342*$B$14+calculations!V343*$B$15)*M29,0)</f>
        <v>9951.3360275434898</v>
      </c>
      <c r="N38" s="53">
        <f>IFERROR((1-$B$22)*(calculations!W23/calculations!W20)*((calculations!W41+calculations!W244)*$B$11+calculations!W42*$B$12+calculations!W43*$B$13+calculations!W44*$B$14+calculations!W45*$B$15)*N29,0)+IFERROR((1-$B$22)*(calculations!W51/calculations!W48)*((calculations!W69+calculations!W249)*$B$11+calculations!W70*$B$12+calculations!W71*$B$13+calculations!W72*$B$14+calculations!W73*$B$15)*N29,0)+IFERROR((1-$B$22)*(calculations!W79/calculations!W76)*((calculations!W97+calculations!W254)*$B$11+calculations!W98*$B$12+calculations!W99*$B$13+calculations!W100*$B$14+calculations!W101*$B$15)*N29,0)+IFERROR((1-$B$22)*(calculations!W107/calculations!W104)*((calculations!W125+calculations!W259)*$B$11+calculations!W126*$B$12+calculations!W127*$B$13+calculations!W128*$B$14+calculations!W129*$B$15)*N29,0)+IFERROR((1-$B$22)*(calculations!W135/calculations!W132)*((calculations!W153+calculations!W264)*$B$11+calculations!W154*$B$12+calculations!W155*$B$13+calculations!W156*$B$14+calculations!W157*$B$15)*N29,0)+IFERROR((1-$B$22)*(calculations!W163/calculations!W160)*((calculations!W181+calculations!W269)*$B$11+calculations!W182*$B$12+calculations!W183*$B$13+calculations!W184*$B$14+calculations!W185*$B$15)*N29,0)+IFERROR((1-$B$22)*(calculations!W191/calculations!W188)*((calculations!W209+calculations!W274)*$B$11+calculations!W210*$B$12+calculations!W211*$B$13+calculations!W212*$B$14+calculations!W213*$B$15)*N29,0)+IFERROR((1-$B$22)*(calculations!W219/calculations!W216)*((calculations!W237+calculations!W279)*$B$11+calculations!W238*$B$12+calculations!W239*$B$13+calculations!W240*$B$14+calculations!W241*$B$15)*N29,0)+IFERROR((1-$B$22)*(calculations!W289/calculations!W286)*((calculations!W307+calculations!W312)*$B$11+calculations!W308*$B$12+calculations!W309*$B$13+calculations!W310*$B$14+calculations!W311*$B$15)*N29,0)+IFERROR((1-$B$22)*(calculations!W321/calculations!W318)*((calculations!W339+calculations!W344)*$B$11+calculations!W340*$B$12+calculations!W341*$B$13+calculations!W342*$B$14+calculations!W343*$B$15)*N29,0)</f>
        <v>12111.519299381163</v>
      </c>
      <c r="O38" s="53">
        <f>IFERROR((1-$B$22)*(calculations!X23/calculations!X20)*((calculations!X41+calculations!X244)*$B$11+calculations!X42*$B$12+calculations!X43*$B$13+calculations!X44*$B$14+calculations!X45*$B$15)*O29,0)+IFERROR((1-$B$22)*(calculations!X51/calculations!X48)*((calculations!X69+calculations!X249)*$B$11+calculations!X70*$B$12+calculations!X71*$B$13+calculations!X72*$B$14+calculations!X73*$B$15)*O29,0)+IFERROR((1-$B$22)*(calculations!X79/calculations!X76)*((calculations!X97+calculations!X254)*$B$11+calculations!X98*$B$12+calculations!X99*$B$13+calculations!X100*$B$14+calculations!X101*$B$15)*O29,0)+IFERROR((1-$B$22)*(calculations!X107/calculations!X104)*((calculations!X125+calculations!X259)*$B$11+calculations!X126*$B$12+calculations!X127*$B$13+calculations!X128*$B$14+calculations!X129*$B$15)*O29,0)+IFERROR((1-$B$22)*(calculations!X135/calculations!X132)*((calculations!X153+calculations!X264)*$B$11+calculations!X154*$B$12+calculations!X155*$B$13+calculations!X156*$B$14+calculations!X157*$B$15)*O29,0)+IFERROR((1-$B$22)*(calculations!X163/calculations!X160)*((calculations!X181+calculations!X269)*$B$11+calculations!X182*$B$12+calculations!X183*$B$13+calculations!X184*$B$14+calculations!X185*$B$15)*O29,0)+IFERROR((1-$B$22)*(calculations!X191/calculations!X188)*((calculations!X209+calculations!X274)*$B$11+calculations!X210*$B$12+calculations!X211*$B$13+calculations!X212*$B$14+calculations!X213*$B$15)*O29,0)+IFERROR((1-$B$22)*(calculations!X219/calculations!X216)*((calculations!X237+calculations!X279)*$B$11+calculations!X238*$B$12+calculations!X239*$B$13+calculations!X240*$B$14+calculations!X241*$B$15)*O29,0)+IFERROR((1-$B$22)*(calculations!X289/calculations!X286)*((calculations!X307+calculations!X312)*$B$11+calculations!X308*$B$12+calculations!X309*$B$13+calculations!X310*$B$14+calculations!X311*$B$15)*O29,0)+IFERROR((1-$B$22)*(calculations!X321/calculations!X318)*((calculations!X339+calculations!X344)*$B$11+calculations!X340*$B$12+calculations!X341*$B$13+calculations!X342*$B$14+calculations!X343*$B$15)*O29,0)</f>
        <v>13135.273709069019</v>
      </c>
    </row>
    <row r="39" spans="1:16" ht="18" customHeight="1" x14ac:dyDescent="0.25">
      <c r="A39" s="55" t="s">
        <v>151</v>
      </c>
      <c r="B39" s="56" t="s">
        <v>145</v>
      </c>
      <c r="C39" s="57"/>
      <c r="D39" s="38">
        <f t="shared" ref="D39:O39" si="2">D34+D37+D38</f>
        <v>0</v>
      </c>
      <c r="E39" s="39">
        <f t="shared" si="2"/>
        <v>0</v>
      </c>
      <c r="F39" s="39">
        <f t="shared" si="2"/>
        <v>2249.1693609383037</v>
      </c>
      <c r="G39" s="39">
        <f t="shared" si="2"/>
        <v>2590.3178085088421</v>
      </c>
      <c r="H39" s="39">
        <f t="shared" si="2"/>
        <v>3105.0310290233451</v>
      </c>
      <c r="I39" s="39">
        <f t="shared" si="2"/>
        <v>3950.1886707304957</v>
      </c>
      <c r="J39" s="39">
        <f t="shared" si="2"/>
        <v>5958.4300949417366</v>
      </c>
      <c r="K39" s="39">
        <f t="shared" si="2"/>
        <v>7511.6748962112988</v>
      </c>
      <c r="L39" s="39">
        <f t="shared" si="2"/>
        <v>9279.5659056265649</v>
      </c>
      <c r="M39" s="39">
        <f t="shared" si="2"/>
        <v>11282.09043084426</v>
      </c>
      <c r="N39" s="39">
        <f t="shared" si="2"/>
        <v>13722.406591731375</v>
      </c>
      <c r="O39" s="39">
        <f t="shared" si="2"/>
        <v>14872.939058620443</v>
      </c>
    </row>
    <row r="40" spans="1:16" ht="18" customHeight="1" x14ac:dyDescent="0.25">
      <c r="A40" s="58" t="s">
        <v>152</v>
      </c>
      <c r="B40" s="59" t="s">
        <v>145</v>
      </c>
      <c r="C40" s="60"/>
      <c r="D40" s="61">
        <f t="shared" ref="D40:O40" si="3">D39+D36</f>
        <v>0</v>
      </c>
      <c r="E40" s="62">
        <f t="shared" si="3"/>
        <v>0</v>
      </c>
      <c r="F40" s="62">
        <f t="shared" si="3"/>
        <v>2249.1693609383037</v>
      </c>
      <c r="G40" s="62">
        <f t="shared" si="3"/>
        <v>2590.3178085088421</v>
      </c>
      <c r="H40" s="62">
        <f t="shared" si="3"/>
        <v>3105.0310290233451</v>
      </c>
      <c r="I40" s="62">
        <f t="shared" si="3"/>
        <v>3950.1886707304957</v>
      </c>
      <c r="J40" s="62">
        <f t="shared" si="3"/>
        <v>5958.4300949417366</v>
      </c>
      <c r="K40" s="62">
        <f t="shared" si="3"/>
        <v>7511.6748962112988</v>
      </c>
      <c r="L40" s="62">
        <f t="shared" si="3"/>
        <v>9279.5659056265649</v>
      </c>
      <c r="M40" s="62">
        <f t="shared" si="3"/>
        <v>11282.09043084426</v>
      </c>
      <c r="N40" s="62">
        <f t="shared" si="3"/>
        <v>13722.406591731375</v>
      </c>
      <c r="O40" s="62">
        <f t="shared" si="3"/>
        <v>14872.939058620443</v>
      </c>
    </row>
    <row r="42" spans="1:16" ht="18" customHeight="1" x14ac:dyDescent="0.25">
      <c r="A42" s="10" t="s">
        <v>153</v>
      </c>
      <c r="B42" s="10"/>
      <c r="C42" s="10"/>
      <c r="D42" s="10"/>
      <c r="E42" s="10"/>
      <c r="F42" s="10"/>
      <c r="G42" s="10"/>
      <c r="H42" s="10"/>
      <c r="I42" s="10"/>
      <c r="J42" s="10"/>
      <c r="K42" s="10"/>
      <c r="L42" s="10"/>
      <c r="M42" s="10"/>
      <c r="N42" s="10"/>
      <c r="O42" s="10"/>
      <c r="P42" s="10"/>
    </row>
    <row r="43" spans="1:16" ht="30" customHeight="1" x14ac:dyDescent="0.25">
      <c r="A43" s="63" t="s">
        <v>154</v>
      </c>
      <c r="B43" s="63" t="s">
        <v>155</v>
      </c>
      <c r="C43" s="63" t="s">
        <v>156</v>
      </c>
      <c r="D43" s="63" t="s">
        <v>157</v>
      </c>
      <c r="E43" s="63" t="s">
        <v>158</v>
      </c>
      <c r="F43" s="63" t="s">
        <v>159</v>
      </c>
      <c r="G43" s="63" t="s">
        <v>160</v>
      </c>
      <c r="H43" s="63" t="s">
        <v>161</v>
      </c>
      <c r="I43" s="63" t="s">
        <v>162</v>
      </c>
      <c r="J43" s="63" t="s">
        <v>163</v>
      </c>
      <c r="K43" s="63" t="s">
        <v>164</v>
      </c>
    </row>
    <row r="44" spans="1:16" ht="18" customHeight="1" x14ac:dyDescent="0.25">
      <c r="A44" s="64" t="s">
        <v>165</v>
      </c>
      <c r="B44" s="65">
        <f>INDEX(input_data!$M:$X,MATCH("all.in.ppx.stl.drg.---",input_data!$A:$A,0),$P$6)</f>
        <v>0</v>
      </c>
      <c r="C44" s="66">
        <f>INDEX(calculations!$M:$X,248,$P$6)</f>
        <v>61.012847500000014</v>
      </c>
      <c r="D44" s="67">
        <f>IFERROR(((INDEX(calculations!$M:$X,41,$P$6)+INDEX(calculations!$M:$X,244,$P$6))*$B$11+INDEX(calculations!$M:$X,42,$P$6)*$B$12+INDEX(calculations!$M:$X,43,$P$6)*$B$13+INDEX(calculations!$M:$X,44,$P$6)*$B$14+INDEX(calculations!$M:$X,45,$P$6)*$B$15)/INDEX(calculations!$M:$X,20,$P$6),0)*INDEX($D$29:$O$29,$P$6)</f>
        <v>75.378159907826159</v>
      </c>
      <c r="E44" s="43">
        <f t="shared" ref="E44:E51" si="4">MAX(C44,D44)</f>
        <v>75.378159907826159</v>
      </c>
      <c r="F44" s="43">
        <f t="shared" ref="F44:F51" si="5">D44</f>
        <v>75.378159907826159</v>
      </c>
      <c r="G44" s="43">
        <f t="shared" ref="G44:G51" si="6">(1-$B$22)*D44</f>
        <v>75.378159907826159</v>
      </c>
      <c r="H44" s="43">
        <f t="shared" ref="H44:I51" si="7">$B$7*E44</f>
        <v>52.76471193547831</v>
      </c>
      <c r="I44" s="43">
        <f t="shared" si="7"/>
        <v>52.76471193547831</v>
      </c>
      <c r="J44" s="66">
        <f t="shared" ref="J44:K51" si="8">(1-$B$7)*E44</f>
        <v>22.613447972347853</v>
      </c>
      <c r="K44" s="66">
        <f t="shared" si="8"/>
        <v>22.613447972347853</v>
      </c>
    </row>
    <row r="45" spans="1:16" ht="18" customHeight="1" x14ac:dyDescent="0.25">
      <c r="A45" s="64" t="s">
        <v>166</v>
      </c>
      <c r="B45" s="65">
        <f>INDEX(input_data!$M:$X,MATCH("all.in.ppx.stl.scr.---",input_data!$A:$A,0),$P$6)</f>
        <v>0</v>
      </c>
      <c r="C45" s="66">
        <f>INDEX(calculations!$M:$X,253,$P$6)</f>
        <v>14.948505000000004</v>
      </c>
      <c r="D45" s="67">
        <f>IFERROR(((INDEX(calculations!$M:$X,69,$P$6)+INDEX(calculations!$M:$X,249,$P$6))*$B$11+INDEX(calculations!$M:$X,70,$P$6)*$B$12+INDEX(calculations!$M:$X,71,$P$6)*$B$13+INDEX(calculations!$M:$X,72,$P$6)*$B$14+INDEX(calculations!$M:$X,73,$P$6)*$B$15)/INDEX(calculations!$M:$X,48,$P$6),0)*INDEX($D$29:$O$29,$P$6)</f>
        <v>31.169453284742861</v>
      </c>
      <c r="E45" s="43">
        <f t="shared" si="4"/>
        <v>31.169453284742861</v>
      </c>
      <c r="F45" s="43">
        <f t="shared" si="5"/>
        <v>31.169453284742861</v>
      </c>
      <c r="G45" s="43">
        <f t="shared" si="6"/>
        <v>31.169453284742861</v>
      </c>
      <c r="H45" s="43">
        <f t="shared" si="7"/>
        <v>21.818617299320003</v>
      </c>
      <c r="I45" s="43">
        <f t="shared" si="7"/>
        <v>21.818617299320003</v>
      </c>
      <c r="J45" s="66">
        <f t="shared" si="8"/>
        <v>9.3508359854228598</v>
      </c>
      <c r="K45" s="66">
        <f t="shared" si="8"/>
        <v>9.3508359854228598</v>
      </c>
    </row>
    <row r="46" spans="1:16" ht="18" customHeight="1" x14ac:dyDescent="0.25">
      <c r="A46" s="64" t="s">
        <v>167</v>
      </c>
      <c r="B46" s="65">
        <f>INDEX(input_data!$M:$X,MATCH("all.in.ppx.stl.bof.---",input_data!$A:$A,0),$P$6)</f>
        <v>0</v>
      </c>
      <c r="C46" s="66">
        <f>INDEX(calculations!$M:$X,258,$P$6)</f>
        <v>185.50592499999996</v>
      </c>
      <c r="D46" s="67">
        <f>IFERROR(((INDEX(calculations!$M:$X,97,$P$6)+INDEX(calculations!$M:$X,254,$P$6))*$B$11+INDEX(calculations!$M:$X,98,$P$6)*$B$12+INDEX(calculations!$M:$X,99,$P$6)*$B$13+INDEX(calculations!$M:$X,100,$P$6)*$B$14+INDEX(calculations!$M:$X,101,$P$6)*$B$15)/INDEX(calculations!$M:$X,76,$P$6),0)*INDEX($D$29:$O$29,$P$6)</f>
        <v>0</v>
      </c>
      <c r="E46" s="43">
        <f t="shared" si="4"/>
        <v>185.50592499999996</v>
      </c>
      <c r="F46" s="43">
        <f t="shared" si="5"/>
        <v>0</v>
      </c>
      <c r="G46" s="43">
        <f t="shared" si="6"/>
        <v>0</v>
      </c>
      <c r="H46" s="43">
        <f t="shared" si="7"/>
        <v>129.85414749999995</v>
      </c>
      <c r="I46" s="43">
        <f t="shared" si="7"/>
        <v>0</v>
      </c>
      <c r="J46" s="66">
        <f t="shared" si="8"/>
        <v>55.651777499999994</v>
      </c>
      <c r="K46" s="66">
        <f t="shared" si="8"/>
        <v>0</v>
      </c>
    </row>
    <row r="47" spans="1:16" ht="18" customHeight="1" x14ac:dyDescent="0.25">
      <c r="A47" s="64" t="s">
        <v>168</v>
      </c>
      <c r="B47" s="65">
        <f>INDEX(input_data!$M:$X,MATCH("all.in.ppx.cmt.dry.---",input_data!$A:$A,0),$P$6)</f>
        <v>0</v>
      </c>
      <c r="C47" s="66">
        <f>INDEX(calculations!$M:$X,263,$P$6)</f>
        <v>66.736340000000013</v>
      </c>
      <c r="D47" s="67">
        <f>IFERROR(((INDEX(calculations!$M:$X,125,$P$6)+INDEX(calculations!$M:$X,259,$P$6))*$B$11+INDEX(calculations!$M:$X,126,$P$6)*$B$12+INDEX(calculations!$M:$X,127,$P$6)*$B$13+INDEX(calculations!$M:$X,128,$P$6)*$B$14+INDEX(calculations!$M:$X,129,$P$6)*$B$15)/INDEX(calculations!$M:$X,104,$P$6),0)*INDEX($D$29:$O$29,$P$6)</f>
        <v>66.957600387496356</v>
      </c>
      <c r="E47" s="43">
        <f t="shared" si="4"/>
        <v>66.957600387496356</v>
      </c>
      <c r="F47" s="43">
        <f t="shared" si="5"/>
        <v>66.957600387496356</v>
      </c>
      <c r="G47" s="43">
        <f t="shared" si="6"/>
        <v>66.957600387496356</v>
      </c>
      <c r="H47" s="43">
        <f t="shared" si="7"/>
        <v>46.870320271247444</v>
      </c>
      <c r="I47" s="43">
        <f t="shared" si="7"/>
        <v>46.870320271247444</v>
      </c>
      <c r="J47" s="66">
        <f t="shared" si="8"/>
        <v>20.087280116248909</v>
      </c>
      <c r="K47" s="66">
        <f t="shared" si="8"/>
        <v>20.087280116248909</v>
      </c>
    </row>
    <row r="48" spans="1:16" ht="18" customHeight="1" x14ac:dyDescent="0.25">
      <c r="A48" s="64" t="s">
        <v>169</v>
      </c>
      <c r="B48" s="65">
        <f>INDEX(input_data!$M:$X,MATCH("all.in.ppx.frt.amc.---",input_data!$A:$A,0),$P$6)</f>
        <v>0</v>
      </c>
      <c r="C48" s="66">
        <f>INDEX(calculations!$M:$X,268,$P$6)</f>
        <v>139.778705</v>
      </c>
      <c r="D48" s="67">
        <f>IFERROR(((INDEX(calculations!$M:$X,153,$P$6)+INDEX(calculations!$M:$X,264,$P$6))*$B$11+INDEX(calculations!$M:$X,154,$P$6)*$B$12+INDEX(calculations!$M:$X,155,$P$6)*$B$13+INDEX(calculations!$M:$X,156,$P$6)*$B$14+INDEX(calculations!$M:$X,157,$P$6)*$B$15)/INDEX(calculations!$M:$X,132,$P$6),0)*INDEX($D$29:$O$29,$P$6)</f>
        <v>145.27541854218956</v>
      </c>
      <c r="E48" s="43">
        <f t="shared" si="4"/>
        <v>145.27541854218956</v>
      </c>
      <c r="F48" s="43">
        <f t="shared" si="5"/>
        <v>145.27541854218956</v>
      </c>
      <c r="G48" s="43">
        <f t="shared" si="6"/>
        <v>145.27541854218956</v>
      </c>
      <c r="H48" s="43">
        <f t="shared" si="7"/>
        <v>101.69279297953268</v>
      </c>
      <c r="I48" s="43">
        <f t="shared" si="7"/>
        <v>101.69279297953268</v>
      </c>
      <c r="J48" s="66">
        <f t="shared" si="8"/>
        <v>43.582625562656872</v>
      </c>
      <c r="K48" s="66">
        <f t="shared" si="8"/>
        <v>43.582625562656872</v>
      </c>
    </row>
    <row r="49" spans="1:19" ht="18" customHeight="1" x14ac:dyDescent="0.25">
      <c r="A49" s="64" t="s">
        <v>170</v>
      </c>
      <c r="B49" s="65">
        <f>INDEX(input_data!$M:$X,MATCH("all.in.ppx.frt.ure.---",input_data!$A:$A,0),$P$6)</f>
        <v>0</v>
      </c>
      <c r="C49" s="66">
        <f>INDEX(calculations!$M:$X,273,$P$6)</f>
        <v>2.9246293999999811</v>
      </c>
      <c r="D49" s="67">
        <f>IFERROR(((INDEX(calculations!$M:$X,181,$P$6)+INDEX(calculations!$M:$X,269,$P$6))*$B$11+INDEX(calculations!$M:$X,182,$P$6)*$B$12+INDEX(calculations!$M:$X,183,$P$6)*$B$13+INDEX(calculations!$M:$X,184,$P$6)*$B$14+INDEX(calculations!$M:$X,185,$P$6)*$B$15)/INDEX(calculations!$M:$X,160,$P$6),0)*INDEX($D$29:$O$29,$P$6)</f>
        <v>37.507147258540499</v>
      </c>
      <c r="E49" s="43">
        <f t="shared" si="4"/>
        <v>37.507147258540499</v>
      </c>
      <c r="F49" s="43">
        <f t="shared" si="5"/>
        <v>37.507147258540499</v>
      </c>
      <c r="G49" s="43">
        <f t="shared" si="6"/>
        <v>37.507147258540499</v>
      </c>
      <c r="H49" s="43">
        <f t="shared" si="7"/>
        <v>26.255003080978348</v>
      </c>
      <c r="I49" s="43">
        <f t="shared" si="7"/>
        <v>26.255003080978348</v>
      </c>
      <c r="J49" s="66">
        <f t="shared" si="8"/>
        <v>11.252144177562151</v>
      </c>
      <c r="K49" s="66">
        <f t="shared" si="8"/>
        <v>11.252144177562151</v>
      </c>
    </row>
    <row r="50" spans="1:19" ht="18" customHeight="1" x14ac:dyDescent="0.25">
      <c r="A50" s="64" t="s">
        <v>171</v>
      </c>
      <c r="B50" s="65">
        <f>INDEX(input_data!$M:$X,MATCH("all.in.ppx.frt.nit.---",input_data!$A:$A,0),$P$6)</f>
        <v>0</v>
      </c>
      <c r="C50" s="66">
        <f>INDEX(calculations!$M:$X,278,$P$6)</f>
        <v>173.6509016</v>
      </c>
      <c r="D50" s="67">
        <f>IFERROR(((INDEX(calculations!$M:$X,209,$P$6)+INDEX(calculations!$M:$X,274,$P$6))*$B$11+INDEX(calculations!$M:$X,210,$P$6)*$B$12+INDEX(calculations!$M:$X,211,$P$6)*$B$13+INDEX(calculations!$M:$X,212,$P$6)*$B$14+INDEX(calculations!$M:$X,213,$P$6)*$B$15)/INDEX(calculations!$M:$X,188,$P$6),0)*INDEX($D$29:$O$29,$P$6)</f>
        <v>117.54513466387557</v>
      </c>
      <c r="E50" s="43">
        <f t="shared" si="4"/>
        <v>173.6509016</v>
      </c>
      <c r="F50" s="43">
        <f t="shared" si="5"/>
        <v>117.54513466387557</v>
      </c>
      <c r="G50" s="43">
        <f t="shared" si="6"/>
        <v>117.54513466387557</v>
      </c>
      <c r="H50" s="43">
        <f t="shared" si="7"/>
        <v>121.55563111999999</v>
      </c>
      <c r="I50" s="43">
        <f t="shared" si="7"/>
        <v>82.281594264712894</v>
      </c>
      <c r="J50" s="66">
        <f t="shared" si="8"/>
        <v>52.095270480000003</v>
      </c>
      <c r="K50" s="66">
        <f t="shared" si="8"/>
        <v>35.263540399162679</v>
      </c>
    </row>
    <row r="51" spans="1:19" ht="18" customHeight="1" x14ac:dyDescent="0.25">
      <c r="A51" s="64" t="s">
        <v>172</v>
      </c>
      <c r="B51" s="65">
        <f>INDEX(input_data!$M:$X,MATCH("all.in.ppx.alu.prp.---",input_data!$A:$A,0),$P$6)</f>
        <v>0</v>
      </c>
      <c r="C51" s="66">
        <f>INDEX(calculations!$M:$X,283,$P$6)</f>
        <v>223.31740750000003</v>
      </c>
      <c r="D51" s="67">
        <f>IFERROR(((INDEX(calculations!$M:$X,237,$P$6)+INDEX(calculations!$M:$X,279,$P$6))*$B$11+INDEX(calculations!$M:$X,238,$P$6)*$B$12+INDEX(calculations!$M:$X,239,$P$6)*$B$13+INDEX(calculations!$M:$X,240,$P$6)*$B$14+INDEX(calculations!$M:$X,241,$P$6)*$B$15)/INDEX(calculations!$M:$X,216,$P$6),0)*INDEX($D$29:$O$29,$P$6)</f>
        <v>711.31730504123107</v>
      </c>
      <c r="E51" s="43">
        <f t="shared" si="4"/>
        <v>711.31730504123107</v>
      </c>
      <c r="F51" s="43">
        <f t="shared" si="5"/>
        <v>711.31730504123107</v>
      </c>
      <c r="G51" s="43">
        <f t="shared" si="6"/>
        <v>711.31730504123107</v>
      </c>
      <c r="H51" s="43">
        <f t="shared" si="7"/>
        <v>497.9221135288617</v>
      </c>
      <c r="I51" s="43">
        <f t="shared" si="7"/>
        <v>497.9221135288617</v>
      </c>
      <c r="J51" s="66">
        <f t="shared" si="8"/>
        <v>213.39519151236937</v>
      </c>
      <c r="K51" s="66">
        <f t="shared" si="8"/>
        <v>213.39519151236937</v>
      </c>
    </row>
    <row r="53" spans="1:19" ht="49.5" customHeight="1" x14ac:dyDescent="0.25">
      <c r="A53" s="68" t="s">
        <v>173</v>
      </c>
    </row>
    <row r="55" spans="1:19" ht="19.5" customHeight="1" x14ac:dyDescent="0.25">
      <c r="A55" s="9" t="s">
        <v>174</v>
      </c>
      <c r="B55" s="9"/>
      <c r="C55" s="9"/>
      <c r="D55" s="9"/>
      <c r="E55" s="9"/>
      <c r="F55" s="9"/>
      <c r="G55" s="9"/>
      <c r="H55" s="9"/>
      <c r="I55" s="9"/>
      <c r="J55" s="9"/>
      <c r="K55" s="9"/>
      <c r="L55" s="9"/>
      <c r="M55" s="9"/>
      <c r="N55" s="9"/>
      <c r="O55" s="9"/>
      <c r="P55" s="9"/>
      <c r="Q55" s="69"/>
      <c r="R55" s="69"/>
      <c r="S55" s="69"/>
    </row>
    <row r="56" spans="1:19" ht="19.5" hidden="1" customHeight="1" x14ac:dyDescent="0.25">
      <c r="A56" s="70" t="s">
        <v>175</v>
      </c>
      <c r="B56" s="71"/>
      <c r="C56" s="71"/>
      <c r="D56" s="71"/>
      <c r="E56" s="71"/>
      <c r="F56" s="71"/>
      <c r="G56" s="71"/>
      <c r="H56" s="71"/>
      <c r="I56" s="71"/>
      <c r="J56" s="71"/>
      <c r="K56" s="71"/>
      <c r="L56" s="71"/>
      <c r="M56" s="71"/>
      <c r="N56" s="71"/>
      <c r="O56" s="71"/>
      <c r="P56" s="71"/>
      <c r="Q56" s="69"/>
      <c r="R56" s="69"/>
      <c r="S56" s="69"/>
    </row>
    <row r="57" spans="1:19" ht="27.75" hidden="1" customHeight="1" x14ac:dyDescent="0.25">
      <c r="A57" s="72" t="s">
        <v>176</v>
      </c>
      <c r="B57" s="71"/>
      <c r="C57" s="71"/>
      <c r="D57" s="71"/>
      <c r="E57" s="71"/>
      <c r="F57" s="71"/>
      <c r="G57" s="71"/>
      <c r="H57" s="71"/>
      <c r="I57" s="71"/>
      <c r="J57" s="71"/>
      <c r="K57" s="71"/>
      <c r="L57" s="71"/>
      <c r="M57" s="71"/>
      <c r="N57" s="71"/>
      <c r="O57" s="71"/>
      <c r="P57" s="71"/>
      <c r="Q57" s="69"/>
      <c r="R57" s="69"/>
      <c r="S57" s="69"/>
    </row>
    <row r="58" spans="1:19" ht="30" hidden="1" customHeight="1" x14ac:dyDescent="0.25">
      <c r="A58" s="73" t="s">
        <v>177</v>
      </c>
      <c r="B58" s="73" t="s">
        <v>178</v>
      </c>
      <c r="C58" s="73" t="s">
        <v>179</v>
      </c>
      <c r="D58" s="74" t="s">
        <v>180</v>
      </c>
      <c r="E58" s="75"/>
      <c r="F58" s="75"/>
      <c r="G58" s="75"/>
      <c r="H58" s="75"/>
      <c r="I58" s="75"/>
      <c r="J58" s="75"/>
      <c r="K58" s="75"/>
      <c r="L58" s="75"/>
      <c r="M58" s="75"/>
      <c r="N58" s="75"/>
      <c r="O58" s="75"/>
      <c r="P58" s="75"/>
      <c r="Q58" s="69"/>
      <c r="R58" s="69"/>
      <c r="S58" s="69"/>
    </row>
    <row r="59" spans="1:19" ht="13.5" hidden="1" customHeight="1" x14ac:dyDescent="0.25">
      <c r="A59" s="76" t="s">
        <v>181</v>
      </c>
      <c r="B59" s="77" t="s">
        <v>182</v>
      </c>
      <c r="C59" s="78">
        <f>INDEX(input_data!$L:$L,MATCH("all.in.eff.---.---.coa",input_data!$A:$A,0))</f>
        <v>96.1</v>
      </c>
      <c r="D59" s="79" t="s">
        <v>183</v>
      </c>
      <c r="E59" s="75"/>
      <c r="F59" s="75"/>
      <c r="G59" s="75"/>
      <c r="H59" s="75"/>
      <c r="I59" s="75"/>
      <c r="J59" s="75"/>
      <c r="K59" s="75"/>
      <c r="L59" s="75"/>
      <c r="M59" s="75"/>
      <c r="N59" s="75"/>
      <c r="O59" s="75"/>
      <c r="P59" s="75"/>
      <c r="Q59" s="69"/>
      <c r="R59" s="69"/>
      <c r="S59" s="69"/>
    </row>
    <row r="60" spans="1:19" ht="13.5" hidden="1" customHeight="1" x14ac:dyDescent="0.25">
      <c r="A60" s="80" t="s">
        <v>184</v>
      </c>
      <c r="B60" s="81" t="s">
        <v>185</v>
      </c>
      <c r="C60" s="78">
        <f>INDEX(input_data!$L:$L,MATCH("all.in.eff.---.---.nga",input_data!$A:$A,0))</f>
        <v>56.1</v>
      </c>
      <c r="D60" s="79" t="s">
        <v>186</v>
      </c>
      <c r="E60" s="75"/>
      <c r="F60" s="75"/>
      <c r="G60" s="75"/>
      <c r="H60" s="75"/>
      <c r="I60" s="75"/>
      <c r="J60" s="75"/>
      <c r="K60" s="75"/>
      <c r="L60" s="75"/>
      <c r="M60" s="75"/>
      <c r="N60" s="75"/>
      <c r="O60" s="75"/>
      <c r="P60" s="75"/>
      <c r="Q60" s="69"/>
      <c r="R60" s="69"/>
      <c r="S60" s="69"/>
    </row>
    <row r="61" spans="1:19" ht="13.5" hidden="1" customHeight="1" x14ac:dyDescent="0.25">
      <c r="A61" s="76" t="s">
        <v>187</v>
      </c>
      <c r="B61" s="77" t="s">
        <v>188</v>
      </c>
      <c r="C61" s="78">
        <f>INDEX(input_data!$L:$L,MATCH("all.in.eff.---.---.gso",input_data!$A:$A,0))</f>
        <v>69.3</v>
      </c>
      <c r="D61" s="79" t="s">
        <v>189</v>
      </c>
      <c r="E61" s="75"/>
      <c r="F61" s="75"/>
      <c r="G61" s="75"/>
      <c r="H61" s="75"/>
      <c r="I61" s="75"/>
      <c r="J61" s="75"/>
      <c r="K61" s="75"/>
      <c r="L61" s="75"/>
      <c r="M61" s="75"/>
      <c r="N61" s="75"/>
      <c r="O61" s="75"/>
      <c r="P61" s="75"/>
      <c r="Q61" s="69"/>
      <c r="R61" s="69"/>
      <c r="S61" s="69"/>
    </row>
    <row r="62" spans="1:19" ht="13.5" hidden="1" customHeight="1" x14ac:dyDescent="0.25">
      <c r="A62" s="80" t="s">
        <v>190</v>
      </c>
      <c r="B62" s="81" t="s">
        <v>191</v>
      </c>
      <c r="C62" s="78">
        <f>INDEX(input_data!$L:$L,MATCH("all.in.eff.---.---.die",input_data!$A:$A,0))</f>
        <v>74.099999999999994</v>
      </c>
      <c r="D62" s="79" t="s">
        <v>192</v>
      </c>
      <c r="E62" s="75"/>
      <c r="F62" s="75"/>
      <c r="G62" s="75"/>
      <c r="H62" s="75"/>
      <c r="I62" s="75"/>
      <c r="J62" s="75"/>
      <c r="K62" s="75"/>
      <c r="L62" s="75"/>
      <c r="M62" s="75"/>
      <c r="N62" s="75"/>
      <c r="O62" s="75"/>
      <c r="P62" s="75"/>
      <c r="Q62" s="69"/>
      <c r="R62" s="69"/>
      <c r="S62" s="69"/>
    </row>
    <row r="63" spans="1:19" ht="13.5" hidden="1" customHeight="1" x14ac:dyDescent="0.25">
      <c r="A63" s="76" t="s">
        <v>193</v>
      </c>
      <c r="B63" s="77" t="s">
        <v>194</v>
      </c>
      <c r="C63" s="78">
        <f>INDEX(input_data!$L:$L,MATCH("all.in.eff.---.---.ker",input_data!$A:$A,0))</f>
        <v>71.900000000000006</v>
      </c>
      <c r="D63" s="79" t="s">
        <v>195</v>
      </c>
      <c r="E63" s="75"/>
      <c r="F63" s="75"/>
      <c r="G63" s="75"/>
      <c r="H63" s="75"/>
      <c r="I63" s="75"/>
      <c r="J63" s="75"/>
      <c r="K63" s="75"/>
      <c r="L63" s="75"/>
      <c r="M63" s="75"/>
      <c r="N63" s="75"/>
      <c r="O63" s="75"/>
      <c r="P63" s="75"/>
      <c r="Q63" s="69"/>
      <c r="R63" s="69"/>
      <c r="S63" s="69"/>
    </row>
    <row r="64" spans="1:19" ht="13.5" hidden="1" customHeight="1" x14ac:dyDescent="0.25">
      <c r="A64" s="80" t="s">
        <v>196</v>
      </c>
      <c r="B64" s="81" t="s">
        <v>197</v>
      </c>
      <c r="C64" s="78">
        <f>INDEX(input_data!$L:$L,MATCH("all.in.eff.---.---.lpg",input_data!$A:$A,0))</f>
        <v>63.1</v>
      </c>
      <c r="D64" s="79" t="s">
        <v>198</v>
      </c>
      <c r="E64" s="75"/>
      <c r="F64" s="75"/>
      <c r="G64" s="75"/>
      <c r="H64" s="75"/>
      <c r="I64" s="75"/>
      <c r="J64" s="75"/>
      <c r="K64" s="75"/>
      <c r="L64" s="75"/>
      <c r="M64" s="75"/>
      <c r="N64" s="75"/>
      <c r="O64" s="75"/>
      <c r="P64" s="75"/>
      <c r="Q64" s="69"/>
      <c r="R64" s="69"/>
      <c r="S64" s="69"/>
    </row>
    <row r="65" spans="1:19" ht="13.5" hidden="1" customHeight="1" x14ac:dyDescent="0.25">
      <c r="A65" s="76" t="s">
        <v>199</v>
      </c>
      <c r="B65" s="77" t="s">
        <v>200</v>
      </c>
      <c r="C65" s="78">
        <f>INDEX(input_data!$L:$L,MATCH("all.in.eff.---.---.bio",input_data!$A:$A,0))</f>
        <v>0</v>
      </c>
      <c r="D65" s="79" t="s">
        <v>201</v>
      </c>
      <c r="E65" s="75"/>
      <c r="F65" s="75"/>
      <c r="G65" s="75"/>
      <c r="H65" s="75"/>
      <c r="I65" s="75"/>
      <c r="J65" s="75"/>
      <c r="K65" s="75"/>
      <c r="L65" s="75"/>
      <c r="M65" s="75"/>
      <c r="N65" s="75"/>
      <c r="O65" s="75"/>
      <c r="P65" s="75"/>
      <c r="Q65" s="69"/>
      <c r="R65" s="69"/>
      <c r="S65" s="69"/>
    </row>
    <row r="66" spans="1:19" ht="13.5" hidden="1" customHeight="1" x14ac:dyDescent="0.25">
      <c r="A66" s="80" t="s">
        <v>202</v>
      </c>
      <c r="B66" s="81" t="s">
        <v>203</v>
      </c>
      <c r="C66" s="78">
        <f>INDEX(input_data!$L:$L,MATCH("all.in.eff.---.---.ren",input_data!$A:$A,0))</f>
        <v>0</v>
      </c>
      <c r="D66" s="79" t="s">
        <v>204</v>
      </c>
      <c r="E66" s="75"/>
      <c r="F66" s="75"/>
      <c r="G66" s="75"/>
      <c r="H66" s="75"/>
      <c r="I66" s="75"/>
      <c r="J66" s="75"/>
      <c r="K66" s="75"/>
      <c r="L66" s="75"/>
      <c r="M66" s="75"/>
      <c r="N66" s="75"/>
      <c r="O66" s="75"/>
      <c r="P66" s="75"/>
      <c r="Q66" s="69"/>
      <c r="R66" s="69"/>
      <c r="S66" s="69"/>
    </row>
    <row r="67" spans="1:19" ht="13.5" hidden="1" customHeight="1" x14ac:dyDescent="0.25">
      <c r="A67" s="75"/>
      <c r="B67" s="75"/>
      <c r="C67" s="75"/>
      <c r="D67" s="75"/>
      <c r="E67" s="75"/>
      <c r="F67" s="75"/>
      <c r="G67" s="75"/>
      <c r="H67" s="75"/>
      <c r="I67" s="75"/>
      <c r="J67" s="75"/>
      <c r="K67" s="75"/>
      <c r="L67" s="75"/>
      <c r="M67" s="75"/>
      <c r="N67" s="75"/>
      <c r="O67" s="75"/>
      <c r="P67" s="75"/>
      <c r="Q67" s="69"/>
      <c r="R67" s="69"/>
      <c r="S67" s="69"/>
    </row>
    <row r="68" spans="1:19" ht="19.5" hidden="1" customHeight="1" x14ac:dyDescent="0.25">
      <c r="A68" s="70" t="s">
        <v>205</v>
      </c>
      <c r="B68" s="71"/>
      <c r="C68" s="71"/>
      <c r="D68" s="71"/>
      <c r="E68" s="71"/>
      <c r="F68" s="71"/>
      <c r="G68" s="71"/>
      <c r="H68" s="71"/>
      <c r="I68" s="71"/>
      <c r="J68" s="71"/>
      <c r="K68" s="71"/>
      <c r="L68" s="71"/>
      <c r="M68" s="71"/>
      <c r="N68" s="71"/>
      <c r="O68" s="71"/>
      <c r="P68" s="71"/>
      <c r="Q68" s="69"/>
      <c r="R68" s="69"/>
      <c r="S68" s="69"/>
    </row>
    <row r="69" spans="1:19" ht="55.5" hidden="1" customHeight="1" x14ac:dyDescent="0.25">
      <c r="A69" s="72" t="s">
        <v>206</v>
      </c>
      <c r="B69" s="71"/>
      <c r="C69" s="71"/>
      <c r="D69" s="71"/>
      <c r="E69" s="71"/>
      <c r="F69" s="71"/>
      <c r="G69" s="71"/>
      <c r="H69" s="71"/>
      <c r="I69" s="71"/>
      <c r="J69" s="71"/>
      <c r="K69" s="71"/>
      <c r="L69" s="71"/>
      <c r="M69" s="71"/>
      <c r="N69" s="71"/>
      <c r="O69" s="71"/>
      <c r="P69" s="71"/>
      <c r="Q69" s="69"/>
      <c r="R69" s="69"/>
      <c r="S69" s="69"/>
    </row>
    <row r="70" spans="1:19" ht="42" hidden="1" customHeight="1" x14ac:dyDescent="0.25">
      <c r="A70" s="73" t="s">
        <v>207</v>
      </c>
      <c r="B70" s="73" t="s">
        <v>208</v>
      </c>
      <c r="C70" s="73" t="s">
        <v>209</v>
      </c>
      <c r="D70" s="73" t="s">
        <v>210</v>
      </c>
      <c r="E70" s="73" t="s">
        <v>211</v>
      </c>
      <c r="F70" s="73" t="s">
        <v>212</v>
      </c>
      <c r="G70" s="73" t="s">
        <v>213</v>
      </c>
      <c r="H70" s="73" t="s">
        <v>214</v>
      </c>
      <c r="I70" s="75"/>
      <c r="J70" s="75"/>
      <c r="K70" s="75"/>
      <c r="L70" s="75"/>
      <c r="M70" s="75"/>
      <c r="N70" s="75"/>
      <c r="O70" s="75"/>
      <c r="P70" s="75"/>
      <c r="Q70" s="69"/>
      <c r="R70" s="69"/>
      <c r="S70" s="69"/>
    </row>
    <row r="71" spans="1:19" ht="15.75" hidden="1" customHeight="1" x14ac:dyDescent="0.25">
      <c r="A71" s="76" t="str">
        <f>CBAM!$B$5&amp;".wef.stl.drg.---"</f>
        <v>egy.wef.stl.drg.---</v>
      </c>
      <c r="B71" s="77" t="s">
        <v>215</v>
      </c>
      <c r="C71" s="77" t="s">
        <v>216</v>
      </c>
      <c r="D71" s="82">
        <f>IFERROR((INDEX(calculations!$M:$X,24,CBAM!$P$6)*INDEX(calculations!$M:$X,10,CBAM!$P$6)+INDEX(calculations!$M:$X,25,CBAM!$P$6)*INDEX(calculations!$M:$X,11,CBAM!$P$6)+INDEX(calculations!$M:$X,26,CBAM!$P$6)*INDEX(calculations!$M:$X,12,CBAM!$P$6)+INDEX(calculations!$M:$X,27,CBAM!$P$6)*INDEX(calculations!$M:$X,13,CBAM!$P$6)+INDEX(calculations!$M:$X,28,CBAM!$P$6)*INDEX(calculations!$M:$X,14,CBAM!$P$6)+INDEX(calculations!$M:$X,29,CBAM!$P$6)*INDEX(calculations!$M:$X,15,CBAM!$P$6)+INDEX(calculations!$M:$X,30,CBAM!$P$6)*INDEX(calculations!$M:$X,16,CBAM!$P$6)+INDEX(calculations!$M:$X,31,CBAM!$P$6)*INDEX(calculations!$M:$X,17,CBAM!$P$6))/(INDEX(calculations!$M:$X,24,CBAM!$P$6)+INDEX(calculations!$M:$X,25,CBAM!$P$6)+INDEX(calculations!$M:$X,26,CBAM!$P$6)+INDEX(calculations!$M:$X,27,CBAM!$P$6)+INDEX(calculations!$M:$X,28,CBAM!$P$6)+INDEX(calculations!$M:$X,29,CBAM!$P$6)+INDEX(calculations!$M:$X,30,CBAM!$P$6)+INDEX(calculations!$M:$X,31,CBAM!$P$6)),0)</f>
        <v>56.1</v>
      </c>
      <c r="E71" s="78">
        <f>IFERROR((INDEX(calculations!$M:$X,32,CBAM!$P$6)*INDEX(calculations!$M:$X,10,CBAM!$P$6)+INDEX(calculations!$M:$X,33,CBAM!$P$6)*INDEX(calculations!$M:$X,11,CBAM!$P$6)+INDEX(calculations!$M:$X,34,CBAM!$P$6)*INDEX(calculations!$M:$X,12,CBAM!$P$6)+INDEX(calculations!$M:$X,35,CBAM!$P$6)*INDEX(calculations!$M:$X,13,CBAM!$P$6)+INDEX(calculations!$M:$X,36,CBAM!$P$6)*INDEX(calculations!$M:$X,14,CBAM!$P$6)+INDEX(calculations!$M:$X,37,CBAM!$P$6)*INDEX(calculations!$M:$X,15,CBAM!$P$6)+INDEX(calculations!$M:$X,38,CBAM!$P$6)*INDEX(calculations!$M:$X,16,CBAM!$P$6)+INDEX(calculations!$M:$X,39,CBAM!$P$6)*INDEX(calculations!$M:$X,17,CBAM!$P$6))/(INDEX(calculations!$M:$X,32,CBAM!$P$6)+INDEX(calculations!$M:$X,33,CBAM!$P$6)+INDEX(calculations!$M:$X,34,CBAM!$P$6)+INDEX(calculations!$M:$X,35,CBAM!$P$6)+INDEX(calculations!$M:$X,36,CBAM!$P$6)+INDEX(calculations!$M:$X,37,CBAM!$P$6)+INDEX(calculations!$M:$X,38,CBAM!$P$6)+INDEX(calculations!$M:$X,39,CBAM!$P$6)),0)</f>
        <v>56.1</v>
      </c>
      <c r="F71" s="83">
        <f>IFERROR(INDEX(calculations!$M:$X,24,CBAM!$P$6)+INDEX(calculations!$M:$X,25,CBAM!$P$6)+INDEX(calculations!$M:$X,26,CBAM!$P$6)+INDEX(calculations!$M:$X,27,CBAM!$P$6)+INDEX(calculations!$M:$X,28,CBAM!$P$6)+INDEX(calculations!$M:$X,29,CBAM!$P$6)+INDEX(calculations!$M:$X,30,CBAM!$P$6)+INDEX(calculations!$M:$X,31,CBAM!$P$6),0)</f>
        <v>16.173826123316971</v>
      </c>
      <c r="G71" s="83">
        <f>IFERROR(INDEX(calculations!$M:$X,32,CBAM!$P$6)+INDEX(calculations!$M:$X,33,CBAM!$P$6)+INDEX(calculations!$M:$X,34,CBAM!$P$6)+INDEX(calculations!$M:$X,35,CBAM!$P$6)+INDEX(calculations!$M:$X,36,CBAM!$P$6)+INDEX(calculations!$M:$X,37,CBAM!$P$6)+INDEX(calculations!$M:$X,38,CBAM!$P$6)+INDEX(calculations!$M:$X,39,CBAM!$P$6),0)</f>
        <v>70.320983144856399</v>
      </c>
      <c r="H71" s="84" t="s">
        <v>217</v>
      </c>
      <c r="I71" s="75"/>
      <c r="J71" s="75"/>
      <c r="K71" s="75"/>
      <c r="L71" s="75"/>
      <c r="M71" s="75"/>
      <c r="N71" s="75"/>
      <c r="O71" s="75"/>
      <c r="P71" s="75"/>
      <c r="Q71" s="69"/>
      <c r="R71" s="69"/>
      <c r="S71" s="69"/>
    </row>
    <row r="72" spans="1:19" ht="15.75" hidden="1" customHeight="1" x14ac:dyDescent="0.25">
      <c r="A72" s="80" t="str">
        <f>CBAM!$B$5&amp;".wef.stl.scr.---"</f>
        <v>egy.wef.stl.scr.---</v>
      </c>
      <c r="B72" s="81" t="s">
        <v>218</v>
      </c>
      <c r="C72" s="81" t="s">
        <v>216</v>
      </c>
      <c r="D72" s="82">
        <f>IFERROR((INDEX(calculations!$M:$X,52,CBAM!$P$6)*INDEX(calculations!$M:$X,10,CBAM!$P$6)+INDEX(calculations!$M:$X,53,CBAM!$P$6)*INDEX(calculations!$M:$X,11,CBAM!$P$6)+INDEX(calculations!$M:$X,54,CBAM!$P$6)*INDEX(calculations!$M:$X,12,CBAM!$P$6)+INDEX(calculations!$M:$X,55,CBAM!$P$6)*INDEX(calculations!$M:$X,13,CBAM!$P$6)+INDEX(calculations!$M:$X,56,CBAM!$P$6)*INDEX(calculations!$M:$X,14,CBAM!$P$6)+INDEX(calculations!$M:$X,57,CBAM!$P$6)*INDEX(calculations!$M:$X,15,CBAM!$P$6)+INDEX(calculations!$M:$X,58,CBAM!$P$6)*INDEX(calculations!$M:$X,16,CBAM!$P$6)+INDEX(calculations!$M:$X,59,CBAM!$P$6)*INDEX(calculations!$M:$X,17,CBAM!$P$6))/(INDEX(calculations!$M:$X,52,CBAM!$P$6)+INDEX(calculations!$M:$X,53,CBAM!$P$6)+INDEX(calculations!$M:$X,54,CBAM!$P$6)+INDEX(calculations!$M:$X,55,CBAM!$P$6)+INDEX(calculations!$M:$X,56,CBAM!$P$6)+INDEX(calculations!$M:$X,57,CBAM!$P$6)+INDEX(calculations!$M:$X,58,CBAM!$P$6)+INDEX(calculations!$M:$X,59,CBAM!$P$6)),0)</f>
        <v>56.1</v>
      </c>
      <c r="E72" s="78">
        <f>IFERROR((INDEX(calculations!$M:$X,60,CBAM!$P$6)*INDEX(calculations!$M:$X,10,CBAM!$P$6)+INDEX(calculations!$M:$X,61,CBAM!$P$6)*INDEX(calculations!$M:$X,11,CBAM!$P$6)+INDEX(calculations!$M:$X,62,CBAM!$P$6)*INDEX(calculations!$M:$X,12,CBAM!$P$6)+INDEX(calculations!$M:$X,63,CBAM!$P$6)*INDEX(calculations!$M:$X,13,CBAM!$P$6)+INDEX(calculations!$M:$X,64,CBAM!$P$6)*INDEX(calculations!$M:$X,14,CBAM!$P$6)+INDEX(calculations!$M:$X,65,CBAM!$P$6)*INDEX(calculations!$M:$X,15,CBAM!$P$6)+INDEX(calculations!$M:$X,66,CBAM!$P$6)*INDEX(calculations!$M:$X,16,CBAM!$P$6)+INDEX(calculations!$M:$X,67,CBAM!$P$6)*INDEX(calculations!$M:$X,17,CBAM!$P$6))/(INDEX(calculations!$M:$X,60,CBAM!$P$6)+INDEX(calculations!$M:$X,61,CBAM!$P$6)+INDEX(calculations!$M:$X,62,CBAM!$P$6)+INDEX(calculations!$M:$X,63,CBAM!$P$6)+INDEX(calculations!$M:$X,64,CBAM!$P$6)+INDEX(calculations!$M:$X,65,CBAM!$P$6)+INDEX(calculations!$M:$X,66,CBAM!$P$6)+INDEX(calculations!$M:$X,67,CBAM!$P$6)),0)</f>
        <v>0</v>
      </c>
      <c r="F72" s="83">
        <f>IFERROR(INDEX(calculations!$M:$X,52,CBAM!$P$6)+INDEX(calculations!$M:$X,53,CBAM!$P$6)+INDEX(calculations!$M:$X,54,CBAM!$P$6)+INDEX(calculations!$M:$X,55,CBAM!$P$6)+INDEX(calculations!$M:$X,56,CBAM!$P$6)+INDEX(calculations!$M:$X,57,CBAM!$P$6)+INDEX(calculations!$M:$X,58,CBAM!$P$6)+INDEX(calculations!$M:$X,59,CBAM!$P$6),0)</f>
        <v>14.805302760922491</v>
      </c>
      <c r="G72" s="83">
        <f>IFERROR(INDEX(calculations!$M:$X,60,CBAM!$P$6)+INDEX(calculations!$M:$X,61,CBAM!$P$6)+INDEX(calculations!$M:$X,62,CBAM!$P$6)+INDEX(calculations!$M:$X,63,CBAM!$P$6)+INDEX(calculations!$M:$X,64,CBAM!$P$6)+INDEX(calculations!$M:$X,65,CBAM!$P$6)+INDEX(calculations!$M:$X,66,CBAM!$P$6)+INDEX(calculations!$M:$X,67,CBAM!$P$6),0)</f>
        <v>0</v>
      </c>
      <c r="H72" s="84" t="s">
        <v>219</v>
      </c>
      <c r="I72" s="75"/>
      <c r="J72" s="75"/>
      <c r="K72" s="75"/>
      <c r="L72" s="75"/>
      <c r="M72" s="75"/>
      <c r="N72" s="75"/>
      <c r="O72" s="75"/>
      <c r="P72" s="75"/>
      <c r="Q72" s="69"/>
      <c r="R72" s="69"/>
      <c r="S72" s="69"/>
    </row>
    <row r="73" spans="1:19" ht="15.75" hidden="1" customHeight="1" x14ac:dyDescent="0.25">
      <c r="A73" s="76" t="str">
        <f>CBAM!$B$5&amp;".wef.stl.bof.---"</f>
        <v>egy.wef.stl.bof.---</v>
      </c>
      <c r="B73" s="77" t="s">
        <v>220</v>
      </c>
      <c r="C73" s="77" t="s">
        <v>216</v>
      </c>
      <c r="D73" s="82">
        <f>IFERROR((INDEX(calculations!$M:$X,80,CBAM!$P$6)*INDEX(calculations!$M:$X,10,CBAM!$P$6)+INDEX(calculations!$M:$X,81,CBAM!$P$6)*INDEX(calculations!$M:$X,11,CBAM!$P$6)+INDEX(calculations!$M:$X,82,CBAM!$P$6)*INDEX(calculations!$M:$X,12,CBAM!$P$6)+INDEX(calculations!$M:$X,83,CBAM!$P$6)*INDEX(calculations!$M:$X,13,CBAM!$P$6)+INDEX(calculations!$M:$X,84,CBAM!$P$6)*INDEX(calculations!$M:$X,14,CBAM!$P$6)+INDEX(calculations!$M:$X,85,CBAM!$P$6)*INDEX(calculations!$M:$X,15,CBAM!$P$6)+INDEX(calculations!$M:$X,86,CBAM!$P$6)*INDEX(calculations!$M:$X,16,CBAM!$P$6)+INDEX(calculations!$M:$X,87,CBAM!$P$6)*INDEX(calculations!$M:$X,17,CBAM!$P$6))/(INDEX(calculations!$M:$X,80,CBAM!$P$6)+INDEX(calculations!$M:$X,81,CBAM!$P$6)+INDEX(calculations!$M:$X,82,CBAM!$P$6)+INDEX(calculations!$M:$X,83,CBAM!$P$6)+INDEX(calculations!$M:$X,84,CBAM!$P$6)+INDEX(calculations!$M:$X,85,CBAM!$P$6)+INDEX(calculations!$M:$X,86,CBAM!$P$6)+INDEX(calculations!$M:$X,87,CBAM!$P$6)),0)</f>
        <v>0</v>
      </c>
      <c r="E73" s="78">
        <f>IFERROR((INDEX(calculations!$M:$X,88,CBAM!$P$6)*INDEX(calculations!$M:$X,10,CBAM!$P$6)+INDEX(calculations!$M:$X,89,CBAM!$P$6)*INDEX(calculations!$M:$X,11,CBAM!$P$6)+INDEX(calculations!$M:$X,90,CBAM!$P$6)*INDEX(calculations!$M:$X,12,CBAM!$P$6)+INDEX(calculations!$M:$X,91,CBAM!$P$6)*INDEX(calculations!$M:$X,13,CBAM!$P$6)+INDEX(calculations!$M:$X,92,CBAM!$P$6)*INDEX(calculations!$M:$X,14,CBAM!$P$6)+INDEX(calculations!$M:$X,93,CBAM!$P$6)*INDEX(calculations!$M:$X,15,CBAM!$P$6)+INDEX(calculations!$M:$X,94,CBAM!$P$6)*INDEX(calculations!$M:$X,16,CBAM!$P$6)+INDEX(calculations!$M:$X,95,CBAM!$P$6)*INDEX(calculations!$M:$X,17,CBAM!$P$6))/(INDEX(calculations!$M:$X,88,CBAM!$P$6)+INDEX(calculations!$M:$X,89,CBAM!$P$6)+INDEX(calculations!$M:$X,90,CBAM!$P$6)+INDEX(calculations!$M:$X,91,CBAM!$P$6)+INDEX(calculations!$M:$X,92,CBAM!$P$6)+INDEX(calculations!$M:$X,93,CBAM!$P$6)+INDEX(calculations!$M:$X,94,CBAM!$P$6)+INDEX(calculations!$M:$X,95,CBAM!$P$6)),0)</f>
        <v>0</v>
      </c>
      <c r="F73" s="83">
        <f>IFERROR(INDEX(calculations!$M:$X,80,CBAM!$P$6)+INDEX(calculations!$M:$X,81,CBAM!$P$6)+INDEX(calculations!$M:$X,82,CBAM!$P$6)+INDEX(calculations!$M:$X,83,CBAM!$P$6)+INDEX(calculations!$M:$X,84,CBAM!$P$6)+INDEX(calculations!$M:$X,85,CBAM!$P$6)+INDEX(calculations!$M:$X,86,CBAM!$P$6)+INDEX(calculations!$M:$X,87,CBAM!$P$6),0)</f>
        <v>0</v>
      </c>
      <c r="G73" s="83">
        <f>IFERROR(INDEX(calculations!$M:$X,88,CBAM!$P$6)+INDEX(calculations!$M:$X,89,CBAM!$P$6)+INDEX(calculations!$M:$X,90,CBAM!$P$6)+INDEX(calculations!$M:$X,91,CBAM!$P$6)+INDEX(calculations!$M:$X,92,CBAM!$P$6)+INDEX(calculations!$M:$X,93,CBAM!$P$6)+INDEX(calculations!$M:$X,94,CBAM!$P$6)+INDEX(calculations!$M:$X,95,CBAM!$P$6),0)</f>
        <v>0</v>
      </c>
      <c r="H73" s="84" t="s">
        <v>221</v>
      </c>
      <c r="I73" s="75"/>
      <c r="J73" s="75"/>
      <c r="K73" s="75"/>
      <c r="L73" s="75"/>
      <c r="M73" s="75"/>
      <c r="N73" s="75"/>
      <c r="O73" s="75"/>
      <c r="P73" s="75"/>
      <c r="Q73" s="69"/>
      <c r="R73" s="69"/>
      <c r="S73" s="69"/>
    </row>
    <row r="74" spans="1:19" ht="15.75" hidden="1" customHeight="1" x14ac:dyDescent="0.25">
      <c r="A74" s="80" t="str">
        <f>CBAM!$B$5&amp;".wef.cmt.dry.---"</f>
        <v>egy.wef.cmt.dry.---</v>
      </c>
      <c r="B74" s="81" t="s">
        <v>222</v>
      </c>
      <c r="C74" s="81" t="s">
        <v>216</v>
      </c>
      <c r="D74" s="82">
        <f>IFERROR((INDEX(calculations!$M:$X,108,CBAM!$P$6)*INDEX(calculations!$M:$X,10,CBAM!$P$6)+INDEX(calculations!$M:$X,109,CBAM!$P$6)*INDEX(calculations!$M:$X,11,CBAM!$P$6)+INDEX(calculations!$M:$X,110,CBAM!$P$6)*INDEX(calculations!$M:$X,12,CBAM!$P$6)+INDEX(calculations!$M:$X,111,CBAM!$P$6)*INDEX(calculations!$M:$X,13,CBAM!$P$6)+INDEX(calculations!$M:$X,112,CBAM!$P$6)*INDEX(calculations!$M:$X,14,CBAM!$P$6)+INDEX(calculations!$M:$X,113,CBAM!$P$6)*INDEX(calculations!$M:$X,15,CBAM!$P$6)+INDEX(calculations!$M:$X,114,CBAM!$P$6)*INDEX(calculations!$M:$X,16,CBAM!$P$6)+INDEX(calculations!$M:$X,115,CBAM!$P$6)*INDEX(calculations!$M:$X,17,CBAM!$P$6))/(INDEX(calculations!$M:$X,108,CBAM!$P$6)+INDEX(calculations!$M:$X,109,CBAM!$P$6)+INDEX(calculations!$M:$X,110,CBAM!$P$6)+INDEX(calculations!$M:$X,111,CBAM!$P$6)+INDEX(calculations!$M:$X,112,CBAM!$P$6)+INDEX(calculations!$M:$X,113,CBAM!$P$6)+INDEX(calculations!$M:$X,114,CBAM!$P$6)+INDEX(calculations!$M:$X,115,CBAM!$P$6)),0)</f>
        <v>96.1</v>
      </c>
      <c r="E74" s="78">
        <f>IFERROR((INDEX(calculations!$M:$X,116,CBAM!$P$6)*INDEX(calculations!$M:$X,10,CBAM!$P$6)+INDEX(calculations!$M:$X,117,CBAM!$P$6)*INDEX(calculations!$M:$X,11,CBAM!$P$6)+INDEX(calculations!$M:$X,118,CBAM!$P$6)*INDEX(calculations!$M:$X,12,CBAM!$P$6)+INDEX(calculations!$M:$X,119,CBAM!$P$6)*INDEX(calculations!$M:$X,13,CBAM!$P$6)+INDEX(calculations!$M:$X,120,CBAM!$P$6)*INDEX(calculations!$M:$X,14,CBAM!$P$6)+INDEX(calculations!$M:$X,121,CBAM!$P$6)*INDEX(calculations!$M:$X,15,CBAM!$P$6)+INDEX(calculations!$M:$X,122,CBAM!$P$6)*INDEX(calculations!$M:$X,16,CBAM!$P$6)+INDEX(calculations!$M:$X,123,CBAM!$P$6)*INDEX(calculations!$M:$X,17,CBAM!$P$6))/(INDEX(calculations!$M:$X,116,CBAM!$P$6)+INDEX(calculations!$M:$X,117,CBAM!$P$6)+INDEX(calculations!$M:$X,118,CBAM!$P$6)+INDEX(calculations!$M:$X,119,CBAM!$P$6)+INDEX(calculations!$M:$X,120,CBAM!$P$6)+INDEX(calculations!$M:$X,121,CBAM!$P$6)+INDEX(calculations!$M:$X,122,CBAM!$P$6)+INDEX(calculations!$M:$X,123,CBAM!$P$6)),0)</f>
        <v>0</v>
      </c>
      <c r="F74" s="83">
        <f>IFERROR(INDEX(calculations!$M:$X,108,CBAM!$P$6)+INDEX(calculations!$M:$X,109,CBAM!$P$6)+INDEX(calculations!$M:$X,110,CBAM!$P$6)+INDEX(calculations!$M:$X,111,CBAM!$P$6)+INDEX(calculations!$M:$X,112,CBAM!$P$6)+INDEX(calculations!$M:$X,113,CBAM!$P$6)+INDEX(calculations!$M:$X,114,CBAM!$P$6)+INDEX(calculations!$M:$X,115,CBAM!$P$6),0)</f>
        <v>200.28782069531781</v>
      </c>
      <c r="G74" s="83">
        <f>IFERROR(INDEX(calculations!$M:$X,116,CBAM!$P$6)+INDEX(calculations!$M:$X,117,CBAM!$P$6)+INDEX(calculations!$M:$X,118,CBAM!$P$6)+INDEX(calculations!$M:$X,119,CBAM!$P$6)+INDEX(calculations!$M:$X,120,CBAM!$P$6)+INDEX(calculations!$M:$X,121,CBAM!$P$6)+INDEX(calculations!$M:$X,122,CBAM!$P$6)+INDEX(calculations!$M:$X,123,CBAM!$P$6),0)</f>
        <v>0</v>
      </c>
      <c r="H74" s="84" t="s">
        <v>223</v>
      </c>
      <c r="I74" s="75"/>
      <c r="J74" s="75"/>
      <c r="K74" s="75"/>
      <c r="L74" s="75"/>
      <c r="M74" s="75"/>
      <c r="N74" s="75"/>
      <c r="O74" s="75"/>
      <c r="P74" s="75"/>
      <c r="Q74" s="69"/>
      <c r="R74" s="69"/>
      <c r="S74" s="69"/>
    </row>
    <row r="75" spans="1:19" ht="15.75" hidden="1" customHeight="1" x14ac:dyDescent="0.25">
      <c r="A75" s="76" t="str">
        <f>CBAM!$B$5&amp;".wef.frt.amc.---"</f>
        <v>egy.wef.frt.amc.---</v>
      </c>
      <c r="B75" s="77" t="s">
        <v>224</v>
      </c>
      <c r="C75" s="77" t="s">
        <v>216</v>
      </c>
      <c r="D75" s="82">
        <f>IFERROR((INDEX(calculations!$M:$X,136,CBAM!$P$6)*INDEX(calculations!$M:$X,10,CBAM!$P$6)+INDEX(calculations!$M:$X,137,CBAM!$P$6)*INDEX(calculations!$M:$X,11,CBAM!$P$6)+INDEX(calculations!$M:$X,138,CBAM!$P$6)*INDEX(calculations!$M:$X,12,CBAM!$P$6)+INDEX(calculations!$M:$X,139,CBAM!$P$6)*INDEX(calculations!$M:$X,13,CBAM!$P$6)+INDEX(calculations!$M:$X,140,CBAM!$P$6)*INDEX(calculations!$M:$X,14,CBAM!$P$6)+INDEX(calculations!$M:$X,141,CBAM!$P$6)*INDEX(calculations!$M:$X,15,CBAM!$P$6)+INDEX(calculations!$M:$X,142,CBAM!$P$6)*INDEX(calculations!$M:$X,16,CBAM!$P$6)+INDEX(calculations!$M:$X,143,CBAM!$P$6)*INDEX(calculations!$M:$X,17,CBAM!$P$6))/(INDEX(calculations!$M:$X,136,CBAM!$P$6)+INDEX(calculations!$M:$X,137,CBAM!$P$6)+INDEX(calculations!$M:$X,138,CBAM!$P$6)+INDEX(calculations!$M:$X,139,CBAM!$P$6)+INDEX(calculations!$M:$X,140,CBAM!$P$6)+INDEX(calculations!$M:$X,141,CBAM!$P$6)+INDEX(calculations!$M:$X,142,CBAM!$P$6)+INDEX(calculations!$M:$X,143,CBAM!$P$6)),0)</f>
        <v>56.1</v>
      </c>
      <c r="E75" s="78">
        <f>IFERROR((INDEX(calculations!$M:$X,144,CBAM!$P$6)*INDEX(calculations!$M:$X,10,CBAM!$P$6)+INDEX(calculations!$M:$X,145,CBAM!$P$6)*INDEX(calculations!$M:$X,11,CBAM!$P$6)+INDEX(calculations!$M:$X,146,CBAM!$P$6)*INDEX(calculations!$M:$X,12,CBAM!$P$6)+INDEX(calculations!$M:$X,147,CBAM!$P$6)*INDEX(calculations!$M:$X,13,CBAM!$P$6)+INDEX(calculations!$M:$X,148,CBAM!$P$6)*INDEX(calculations!$M:$X,14,CBAM!$P$6)+INDEX(calculations!$M:$X,149,CBAM!$P$6)*INDEX(calculations!$M:$X,15,CBAM!$P$6)+INDEX(calculations!$M:$X,150,CBAM!$P$6)*INDEX(calculations!$M:$X,16,CBAM!$P$6)+INDEX(calculations!$M:$X,151,CBAM!$P$6)*INDEX(calculations!$M:$X,17,CBAM!$P$6))/(INDEX(calculations!$M:$X,144,CBAM!$P$6)+INDEX(calculations!$M:$X,145,CBAM!$P$6)+INDEX(calculations!$M:$X,146,CBAM!$P$6)+INDEX(calculations!$M:$X,147,CBAM!$P$6)+INDEX(calculations!$M:$X,148,CBAM!$P$6)+INDEX(calculations!$M:$X,149,CBAM!$P$6)+INDEX(calculations!$M:$X,150,CBAM!$P$6)+INDEX(calculations!$M:$X,151,CBAM!$P$6)),0)</f>
        <v>56.099999999999994</v>
      </c>
      <c r="F75" s="83">
        <f>IFERROR(INDEX(calculations!$M:$X,136,CBAM!$P$6)+INDEX(calculations!$M:$X,137,CBAM!$P$6)+INDEX(calculations!$M:$X,138,CBAM!$P$6)+INDEX(calculations!$M:$X,139,CBAM!$P$6)+INDEX(calculations!$M:$X,140,CBAM!$P$6)+INDEX(calculations!$M:$X,141,CBAM!$P$6)+INDEX(calculations!$M:$X,142,CBAM!$P$6)+INDEX(calculations!$M:$X,143,CBAM!$P$6),0)</f>
        <v>9.8636275499999968</v>
      </c>
      <c r="G75" s="83">
        <f>IFERROR(INDEX(calculations!$M:$X,144,CBAM!$P$6)+INDEX(calculations!$M:$X,145,CBAM!$P$6)+INDEX(calculations!$M:$X,146,CBAM!$P$6)+INDEX(calculations!$M:$X,147,CBAM!$P$6)+INDEX(calculations!$M:$X,148,CBAM!$P$6)+INDEX(calculations!$M:$X,149,CBAM!$P$6)+INDEX(calculations!$M:$X,150,CBAM!$P$6)+INDEX(calculations!$M:$X,151,CBAM!$P$6),0)</f>
        <v>36.63633089999999</v>
      </c>
      <c r="H75" s="84" t="s">
        <v>225</v>
      </c>
      <c r="I75" s="75"/>
      <c r="J75" s="75"/>
      <c r="K75" s="75"/>
      <c r="L75" s="75"/>
      <c r="M75" s="75"/>
      <c r="N75" s="75"/>
      <c r="O75" s="75"/>
      <c r="P75" s="75"/>
      <c r="Q75" s="69"/>
      <c r="R75" s="69"/>
      <c r="S75" s="69"/>
    </row>
    <row r="76" spans="1:19" ht="15.75" hidden="1" customHeight="1" x14ac:dyDescent="0.25">
      <c r="A76" s="80" t="str">
        <f>CBAM!$B$5&amp;".wef.frt.ure.---"</f>
        <v>egy.wef.frt.ure.---</v>
      </c>
      <c r="B76" s="81" t="s">
        <v>226</v>
      </c>
      <c r="C76" s="81" t="s">
        <v>216</v>
      </c>
      <c r="D76" s="82">
        <f>IFERROR((INDEX(calculations!$M:$X,164,CBAM!$P$6)*INDEX(calculations!$M:$X,10,CBAM!$P$6)+INDEX(calculations!$M:$X,165,CBAM!$P$6)*INDEX(calculations!$M:$X,11,CBAM!$P$6)+INDEX(calculations!$M:$X,166,CBAM!$P$6)*INDEX(calculations!$M:$X,12,CBAM!$P$6)+INDEX(calculations!$M:$X,167,CBAM!$P$6)*INDEX(calculations!$M:$X,13,CBAM!$P$6)+INDEX(calculations!$M:$X,168,CBAM!$P$6)*INDEX(calculations!$M:$X,14,CBAM!$P$6)+INDEX(calculations!$M:$X,169,CBAM!$P$6)*INDEX(calculations!$M:$X,15,CBAM!$P$6)+INDEX(calculations!$M:$X,170,CBAM!$P$6)*INDEX(calculations!$M:$X,16,CBAM!$P$6)+INDEX(calculations!$M:$X,171,CBAM!$P$6)*INDEX(calculations!$M:$X,17,CBAM!$P$6))/(INDEX(calculations!$M:$X,164,CBAM!$P$6)+INDEX(calculations!$M:$X,165,CBAM!$P$6)+INDEX(calculations!$M:$X,166,CBAM!$P$6)+INDEX(calculations!$M:$X,167,CBAM!$P$6)+INDEX(calculations!$M:$X,168,CBAM!$P$6)+INDEX(calculations!$M:$X,169,CBAM!$P$6)+INDEX(calculations!$M:$X,170,CBAM!$P$6)+INDEX(calculations!$M:$X,171,CBAM!$P$6)),0)</f>
        <v>56.100000000000009</v>
      </c>
      <c r="E76" s="78">
        <f>IFERROR((INDEX(calculations!$M:$X,172,CBAM!$P$6)*INDEX(calculations!$M:$X,10,CBAM!$P$6)+INDEX(calculations!$M:$X,173,CBAM!$P$6)*INDEX(calculations!$M:$X,11,CBAM!$P$6)+INDEX(calculations!$M:$X,174,CBAM!$P$6)*INDEX(calculations!$M:$X,12,CBAM!$P$6)+INDEX(calculations!$M:$X,175,CBAM!$P$6)*INDEX(calculations!$M:$X,13,CBAM!$P$6)+INDEX(calculations!$M:$X,176,CBAM!$P$6)*INDEX(calculations!$M:$X,14,CBAM!$P$6)+INDEX(calculations!$M:$X,177,CBAM!$P$6)*INDEX(calculations!$M:$X,15,CBAM!$P$6)+INDEX(calculations!$M:$X,178,CBAM!$P$6)*INDEX(calculations!$M:$X,16,CBAM!$P$6)+INDEX(calculations!$M:$X,179,CBAM!$P$6)*INDEX(calculations!$M:$X,17,CBAM!$P$6))/(INDEX(calculations!$M:$X,172,CBAM!$P$6)+INDEX(calculations!$M:$X,173,CBAM!$P$6)+INDEX(calculations!$M:$X,174,CBAM!$P$6)+INDEX(calculations!$M:$X,175,CBAM!$P$6)+INDEX(calculations!$M:$X,176,CBAM!$P$6)+INDEX(calculations!$M:$X,177,CBAM!$P$6)+INDEX(calculations!$M:$X,178,CBAM!$P$6)+INDEX(calculations!$M:$X,179,CBAM!$P$6)),0)</f>
        <v>0</v>
      </c>
      <c r="F76" s="83">
        <f>IFERROR(INDEX(calculations!$M:$X,164,CBAM!$P$6)+INDEX(calculations!$M:$X,165,CBAM!$P$6)+INDEX(calculations!$M:$X,166,CBAM!$P$6)+INDEX(calculations!$M:$X,167,CBAM!$P$6)+INDEX(calculations!$M:$X,168,CBAM!$P$6)+INDEX(calculations!$M:$X,169,CBAM!$P$6)+INDEX(calculations!$M:$X,170,CBAM!$P$6)+INDEX(calculations!$M:$X,171,CBAM!$P$6),0)</f>
        <v>3.2878758499999994</v>
      </c>
      <c r="G76" s="83">
        <f>IFERROR(INDEX(calculations!$M:$X,172,CBAM!$P$6)+INDEX(calculations!$M:$X,173,CBAM!$P$6)+INDEX(calculations!$M:$X,174,CBAM!$P$6)+INDEX(calculations!$M:$X,175,CBAM!$P$6)+INDEX(calculations!$M:$X,176,CBAM!$P$6)+INDEX(calculations!$M:$X,177,CBAM!$P$6)+INDEX(calculations!$M:$X,178,CBAM!$P$6)+INDEX(calculations!$M:$X,179,CBAM!$P$6),0)</f>
        <v>0</v>
      </c>
      <c r="H76" s="84" t="s">
        <v>227</v>
      </c>
      <c r="I76" s="75"/>
      <c r="J76" s="75"/>
      <c r="K76" s="75"/>
      <c r="L76" s="75"/>
      <c r="M76" s="75"/>
      <c r="N76" s="75"/>
      <c r="O76" s="75"/>
      <c r="P76" s="75"/>
      <c r="Q76" s="69"/>
      <c r="R76" s="69"/>
      <c r="S76" s="69"/>
    </row>
    <row r="77" spans="1:19" ht="15.75" hidden="1" customHeight="1" x14ac:dyDescent="0.25">
      <c r="A77" s="76" t="str">
        <f>CBAM!$B$5&amp;".wef.frt.nit.---"</f>
        <v>egy.wef.frt.nit.---</v>
      </c>
      <c r="B77" s="77" t="s">
        <v>228</v>
      </c>
      <c r="C77" s="77" t="s">
        <v>216</v>
      </c>
      <c r="D77" s="82">
        <f>IFERROR((INDEX(calculations!$M:$X,192,CBAM!$P$6)*INDEX(calculations!$M:$X,10,CBAM!$P$6)+INDEX(calculations!$M:$X,193,CBAM!$P$6)*INDEX(calculations!$M:$X,11,CBAM!$P$6)+INDEX(calculations!$M:$X,194,CBAM!$P$6)*INDEX(calculations!$M:$X,12,CBAM!$P$6)+INDEX(calculations!$M:$X,195,CBAM!$P$6)*INDEX(calculations!$M:$X,13,CBAM!$P$6)+INDEX(calculations!$M:$X,196,CBAM!$P$6)*INDEX(calculations!$M:$X,14,CBAM!$P$6)+INDEX(calculations!$M:$X,197,CBAM!$P$6)*INDEX(calculations!$M:$X,15,CBAM!$P$6)+INDEX(calculations!$M:$X,198,CBAM!$P$6)*INDEX(calculations!$M:$X,16,CBAM!$P$6)+INDEX(calculations!$M:$X,199,CBAM!$P$6)*INDEX(calculations!$M:$X,17,CBAM!$P$6))/(INDEX(calculations!$M:$X,192,CBAM!$P$6)+INDEX(calculations!$M:$X,193,CBAM!$P$6)+INDEX(calculations!$M:$X,194,CBAM!$P$6)+INDEX(calculations!$M:$X,195,CBAM!$P$6)+INDEX(calculations!$M:$X,196,CBAM!$P$6)+INDEX(calculations!$M:$X,197,CBAM!$P$6)+INDEX(calculations!$M:$X,198,CBAM!$P$6)+INDEX(calculations!$M:$X,199,CBAM!$P$6)),0)</f>
        <v>56.1</v>
      </c>
      <c r="E77" s="78">
        <f>IFERROR((INDEX(calculations!$M:$X,200,CBAM!$P$6)*INDEX(calculations!$M:$X,10,CBAM!$P$6)+INDEX(calculations!$M:$X,201,CBAM!$P$6)*INDEX(calculations!$M:$X,11,CBAM!$P$6)+INDEX(calculations!$M:$X,202,CBAM!$P$6)*INDEX(calculations!$M:$X,12,CBAM!$P$6)+INDEX(calculations!$M:$X,203,CBAM!$P$6)*INDEX(calculations!$M:$X,13,CBAM!$P$6)+INDEX(calculations!$M:$X,204,CBAM!$P$6)*INDEX(calculations!$M:$X,14,CBAM!$P$6)+INDEX(calculations!$M:$X,205,CBAM!$P$6)*INDEX(calculations!$M:$X,15,CBAM!$P$6)+INDEX(calculations!$M:$X,206,CBAM!$P$6)*INDEX(calculations!$M:$X,16,CBAM!$P$6)+INDEX(calculations!$M:$X,207,CBAM!$P$6)*INDEX(calculations!$M:$X,17,CBAM!$P$6))/(INDEX(calculations!$M:$X,200,CBAM!$P$6)+INDEX(calculations!$M:$X,201,CBAM!$P$6)+INDEX(calculations!$M:$X,202,CBAM!$P$6)+INDEX(calculations!$M:$X,203,CBAM!$P$6)+INDEX(calculations!$M:$X,204,CBAM!$P$6)+INDEX(calculations!$M:$X,205,CBAM!$P$6)+INDEX(calculations!$M:$X,206,CBAM!$P$6)+INDEX(calculations!$M:$X,207,CBAM!$P$6)),0)</f>
        <v>0</v>
      </c>
      <c r="F77" s="83">
        <f>IFERROR(INDEX(calculations!$M:$X,192,CBAM!$P$6)+INDEX(calculations!$M:$X,193,CBAM!$P$6)+INDEX(calculations!$M:$X,194,CBAM!$P$6)+INDEX(calculations!$M:$X,195,CBAM!$P$6)+INDEX(calculations!$M:$X,196,CBAM!$P$6)+INDEX(calculations!$M:$X,197,CBAM!$P$6)+INDEX(calculations!$M:$X,198,CBAM!$P$6)+INDEX(calculations!$M:$X,199,CBAM!$P$6),0)</f>
        <v>1.1371189658248804</v>
      </c>
      <c r="G77" s="83">
        <f>IFERROR(INDEX(calculations!$M:$X,200,CBAM!$P$6)+INDEX(calculations!$M:$X,201,CBAM!$P$6)+INDEX(calculations!$M:$X,202,CBAM!$P$6)+INDEX(calculations!$M:$X,203,CBAM!$P$6)+INDEX(calculations!$M:$X,204,CBAM!$P$6)+INDEX(calculations!$M:$X,205,CBAM!$P$6)+INDEX(calculations!$M:$X,206,CBAM!$P$6)+INDEX(calculations!$M:$X,207,CBAM!$P$6),0)</f>
        <v>0</v>
      </c>
      <c r="H77" s="84" t="s">
        <v>229</v>
      </c>
      <c r="I77" s="75"/>
      <c r="J77" s="75"/>
      <c r="K77" s="75"/>
      <c r="L77" s="75"/>
      <c r="M77" s="75"/>
      <c r="N77" s="75"/>
      <c r="O77" s="75"/>
      <c r="P77" s="75"/>
      <c r="Q77" s="69"/>
      <c r="R77" s="69"/>
      <c r="S77" s="69"/>
    </row>
    <row r="78" spans="1:19" ht="15.75" hidden="1" customHeight="1" x14ac:dyDescent="0.25">
      <c r="A78" s="80" t="str">
        <f>CBAM!$B$5&amp;".wef.alu.prp.---"</f>
        <v>egy.wef.alu.prp.---</v>
      </c>
      <c r="B78" s="81" t="s">
        <v>230</v>
      </c>
      <c r="C78" s="81" t="s">
        <v>216</v>
      </c>
      <c r="D78" s="82">
        <f>IFERROR((INDEX(calculations!$M:$X,220,CBAM!$P$6)*INDEX(calculations!$M:$X,10,CBAM!$P$6)+INDEX(calculations!$M:$X,221,CBAM!$P$6)*INDEX(calculations!$M:$X,11,CBAM!$P$6)+INDEX(calculations!$M:$X,222,CBAM!$P$6)*INDEX(calculations!$M:$X,12,CBAM!$P$6)+INDEX(calculations!$M:$X,223,CBAM!$P$6)*INDEX(calculations!$M:$X,13,CBAM!$P$6)+INDEX(calculations!$M:$X,224,CBAM!$P$6)*INDEX(calculations!$M:$X,14,CBAM!$P$6)+INDEX(calculations!$M:$X,225,CBAM!$P$6)*INDEX(calculations!$M:$X,15,CBAM!$P$6)+INDEX(calculations!$M:$X,226,CBAM!$P$6)*INDEX(calculations!$M:$X,16,CBAM!$P$6)+INDEX(calculations!$M:$X,227,CBAM!$P$6)*INDEX(calculations!$M:$X,17,CBAM!$P$6))/(INDEX(calculations!$M:$X,220,CBAM!$P$6)+INDEX(calculations!$M:$X,221,CBAM!$P$6)+INDEX(calculations!$M:$X,222,CBAM!$P$6)+INDEX(calculations!$M:$X,223,CBAM!$P$6)+INDEX(calculations!$M:$X,224,CBAM!$P$6)+INDEX(calculations!$M:$X,225,CBAM!$P$6)+INDEX(calculations!$M:$X,226,CBAM!$P$6)+INDEX(calculations!$M:$X,227,CBAM!$P$6)),0)</f>
        <v>74.099999999999994</v>
      </c>
      <c r="E78" s="78">
        <f>IFERROR((INDEX(calculations!$M:$X,228,CBAM!$P$6)*INDEX(calculations!$M:$X,10,CBAM!$P$6)+INDEX(calculations!$M:$X,229,CBAM!$P$6)*INDEX(calculations!$M:$X,11,CBAM!$P$6)+INDEX(calculations!$M:$X,230,CBAM!$P$6)*INDEX(calculations!$M:$X,12,CBAM!$P$6)+INDEX(calculations!$M:$X,231,CBAM!$P$6)*INDEX(calculations!$M:$X,13,CBAM!$P$6)+INDEX(calculations!$M:$X,232,CBAM!$P$6)*INDEX(calculations!$M:$X,14,CBAM!$P$6)+INDEX(calculations!$M:$X,233,CBAM!$P$6)*INDEX(calculations!$M:$X,15,CBAM!$P$6)+INDEX(calculations!$M:$X,234,CBAM!$P$6)*INDEX(calculations!$M:$X,16,CBAM!$P$6)+INDEX(calculations!$M:$X,235,CBAM!$P$6)*INDEX(calculations!$M:$X,17,CBAM!$P$6))/(INDEX(calculations!$M:$X,228,CBAM!$P$6)+INDEX(calculations!$M:$X,229,CBAM!$P$6)+INDEX(calculations!$M:$X,230,CBAM!$P$6)+INDEX(calculations!$M:$X,231,CBAM!$P$6)+INDEX(calculations!$M:$X,232,CBAM!$P$6)+INDEX(calculations!$M:$X,233,CBAM!$P$6)+INDEX(calculations!$M:$X,234,CBAM!$P$6)+INDEX(calculations!$M:$X,235,CBAM!$P$6)),0)</f>
        <v>0</v>
      </c>
      <c r="F78" s="83">
        <f>IFERROR(INDEX(calculations!$M:$X,220,CBAM!$P$6)+INDEX(calculations!$M:$X,221,CBAM!$P$6)+INDEX(calculations!$M:$X,222,CBAM!$P$6)+INDEX(calculations!$M:$X,223,CBAM!$P$6)+INDEX(calculations!$M:$X,224,CBAM!$P$6)+INDEX(calculations!$M:$X,225,CBAM!$P$6)+INDEX(calculations!$M:$X,226,CBAM!$P$6)+INDEX(calculations!$M:$X,227,CBAM!$P$6),0)</f>
        <v>0.74996293461441432</v>
      </c>
      <c r="G78" s="83">
        <f>IFERROR(INDEX(calculations!$M:$X,228,CBAM!$P$6)+INDEX(calculations!$M:$X,229,CBAM!$P$6)+INDEX(calculations!$M:$X,230,CBAM!$P$6)+INDEX(calculations!$M:$X,231,CBAM!$P$6)+INDEX(calculations!$M:$X,232,CBAM!$P$6)+INDEX(calculations!$M:$X,233,CBAM!$P$6)+INDEX(calculations!$M:$X,234,CBAM!$P$6)+INDEX(calculations!$M:$X,235,CBAM!$P$6),0)</f>
        <v>0</v>
      </c>
      <c r="H78" s="84" t="s">
        <v>231</v>
      </c>
      <c r="I78" s="75"/>
      <c r="J78" s="75"/>
      <c r="K78" s="75"/>
      <c r="L78" s="75"/>
      <c r="M78" s="75"/>
      <c r="N78" s="75"/>
      <c r="O78" s="75"/>
      <c r="P78" s="75"/>
      <c r="Q78" s="69"/>
      <c r="R78" s="69"/>
      <c r="S78" s="69"/>
    </row>
    <row r="79" spans="1:19" ht="15.75" hidden="1" customHeight="1" x14ac:dyDescent="0.25">
      <c r="A79" s="76" t="str">
        <f>CBAM!$B$5&amp;".wef.stl.oth.---"</f>
        <v>egy.wef.stl.oth.---</v>
      </c>
      <c r="B79" s="77" t="s">
        <v>232</v>
      </c>
      <c r="C79" s="77" t="s">
        <v>216</v>
      </c>
      <c r="D79" s="82">
        <f>IFERROR((INDEX(calculations!$M:$X,290,CBAM!$P$6)*INDEX(calculations!$M:$X,10,CBAM!$P$6)+INDEX(calculations!$M:$X,291,CBAM!$P$6)*INDEX(calculations!$M:$X,11,CBAM!$P$6)+INDEX(calculations!$M:$X,292,CBAM!$P$6)*INDEX(calculations!$M:$X,12,CBAM!$P$6)+INDEX(calculations!$M:$X,293,CBAM!$P$6)*INDEX(calculations!$M:$X,13,CBAM!$P$6)+INDEX(calculations!$M:$X,294,CBAM!$P$6)*INDEX(calculations!$M:$X,14,CBAM!$P$6)+INDEX(calculations!$M:$X,295,CBAM!$P$6)*INDEX(calculations!$M:$X,15,CBAM!$P$6)+INDEX(calculations!$M:$X,296,CBAM!$P$6)*INDEX(calculations!$M:$X,16,CBAM!$P$6)+INDEX(calculations!$M:$X,297,CBAM!$P$6)*INDEX(calculations!$M:$X,17,CBAM!$P$6))/(INDEX(calculations!$M:$X,290,CBAM!$P$6)+INDEX(calculations!$M:$X,291,CBAM!$P$6)+INDEX(calculations!$M:$X,292,CBAM!$P$6)+INDEX(calculations!$M:$X,293,CBAM!$P$6)+INDEX(calculations!$M:$X,294,CBAM!$P$6)+INDEX(calculations!$M:$X,295,CBAM!$P$6)+INDEX(calculations!$M:$X,296,CBAM!$P$6)+INDEX(calculations!$M:$X,297,CBAM!$P$6)),0)</f>
        <v>86.1</v>
      </c>
      <c r="E79" s="78">
        <f>IFERROR((INDEX(calculations!$M:$X,298,CBAM!$P$6)*INDEX(calculations!$M:$X,10,CBAM!$P$6)+INDEX(calculations!$M:$X,299,CBAM!$P$6)*INDEX(calculations!$M:$X,11,CBAM!$P$6)+INDEX(calculations!$M:$X,300,CBAM!$P$6)*INDEX(calculations!$M:$X,12,CBAM!$P$6)+INDEX(calculations!$M:$X,301,CBAM!$P$6)*INDEX(calculations!$M:$X,13,CBAM!$P$6)+INDEX(calculations!$M:$X,302,CBAM!$P$6)*INDEX(calculations!$M:$X,14,CBAM!$P$6)+INDEX(calculations!$M:$X,303,CBAM!$P$6)*INDEX(calculations!$M:$X,15,CBAM!$P$6)+INDEX(calculations!$M:$X,304,CBAM!$P$6)*INDEX(calculations!$M:$X,16,CBAM!$P$6)+INDEX(calculations!$M:$X,305,CBAM!$P$6)*INDEX(calculations!$M:$X,17,CBAM!$P$6))/(INDEX(calculations!$M:$X,298,CBAM!$P$6)+INDEX(calculations!$M:$X,299,CBAM!$P$6)+INDEX(calculations!$M:$X,300,CBAM!$P$6)+INDEX(calculations!$M:$X,301,CBAM!$P$6)+INDEX(calculations!$M:$X,302,CBAM!$P$6)+INDEX(calculations!$M:$X,303,CBAM!$P$6)+INDEX(calculations!$M:$X,304,CBAM!$P$6)+INDEX(calculations!$M:$X,305,CBAM!$P$6)),0)</f>
        <v>96.1</v>
      </c>
      <c r="F79" s="83">
        <f>IFERROR(INDEX(calculations!$M:$X,290,CBAM!$P$6)+INDEX(calculations!$M:$X,291,CBAM!$P$6)+INDEX(calculations!$M:$X,292,CBAM!$P$6)+INDEX(calculations!$M:$X,293,CBAM!$P$6)+INDEX(calculations!$M:$X,294,CBAM!$P$6)+INDEX(calculations!$M:$X,295,CBAM!$P$6)+INDEX(calculations!$M:$X,296,CBAM!$P$6)+INDEX(calculations!$M:$X,297,CBAM!$P$6),0)</f>
        <v>0.55153712270475619</v>
      </c>
      <c r="G79" s="83">
        <f>IFERROR(INDEX(calculations!$M:$X,298,CBAM!$P$6)+INDEX(calculations!$M:$X,299,CBAM!$P$6)+INDEX(calculations!$M:$X,300,CBAM!$P$6)+INDEX(calculations!$M:$X,301,CBAM!$P$6)+INDEX(calculations!$M:$X,302,CBAM!$P$6)+INDEX(calculations!$M:$X,303,CBAM!$P$6)+INDEX(calculations!$M:$X,304,CBAM!$P$6)+INDEX(calculations!$M:$X,305,CBAM!$P$6),0)</f>
        <v>1.9303799294666466</v>
      </c>
      <c r="H79" s="84" t="s">
        <v>233</v>
      </c>
      <c r="I79" s="75"/>
      <c r="J79" s="75"/>
      <c r="K79" s="75"/>
      <c r="L79" s="75"/>
      <c r="M79" s="75"/>
      <c r="N79" s="75"/>
      <c r="O79" s="75"/>
      <c r="P79" s="75"/>
      <c r="Q79" s="69"/>
      <c r="R79" s="69"/>
      <c r="S79" s="69"/>
    </row>
    <row r="80" spans="1:19" ht="15.75" hidden="1" customHeight="1" x14ac:dyDescent="0.25">
      <c r="A80" s="80" t="str">
        <f>CBAM!$B$5&amp;".wef.frt.otn.---"</f>
        <v>egy.wef.frt.otn.---</v>
      </c>
      <c r="B80" s="81" t="s">
        <v>234</v>
      </c>
      <c r="C80" s="81" t="s">
        <v>235</v>
      </c>
      <c r="D80" s="82">
        <f>IFERROR((INDEX(calculations!$M:$X,322,CBAM!$P$6)*INDEX(calculations!$M:$X,10,CBAM!$P$6)+INDEX(calculations!$M:$X,323,CBAM!$P$6)*INDEX(calculations!$M:$X,11,CBAM!$P$6)+INDEX(calculations!$M:$X,324,CBAM!$P$6)*INDEX(calculations!$M:$X,12,CBAM!$P$6)+INDEX(calculations!$M:$X,325,CBAM!$P$6)*INDEX(calculations!$M:$X,13,CBAM!$P$6)+INDEX(calculations!$M:$X,326,CBAM!$P$6)*INDEX(calculations!$M:$X,14,CBAM!$P$6)+INDEX(calculations!$M:$X,327,CBAM!$P$6)*INDEX(calculations!$M:$X,15,CBAM!$P$6)+INDEX(calculations!$M:$X,328,CBAM!$P$6)*INDEX(calculations!$M:$X,16,CBAM!$P$6)+INDEX(calculations!$M:$X,329,CBAM!$P$6)*INDEX(calculations!$M:$X,17,CBAM!$P$6))/(INDEX(calculations!$M:$X,322,CBAM!$P$6)+INDEX(calculations!$M:$X,323,CBAM!$P$6)+INDEX(calculations!$M:$X,324,CBAM!$P$6)+INDEX(calculations!$M:$X,325,CBAM!$P$6)+INDEX(calculations!$M:$X,326,CBAM!$P$6)+INDEX(calculations!$M:$X,327,CBAM!$P$6)+INDEX(calculations!$M:$X,328,CBAM!$P$6)+INDEX(calculations!$M:$X,329,CBAM!$P$6)),0)</f>
        <v>56.1</v>
      </c>
      <c r="E80" s="78">
        <f>IFERROR((INDEX(calculations!$M:$X,330,CBAM!$P$6)*INDEX(calculations!$M:$X,10,CBAM!$P$6)+INDEX(calculations!$M:$X,331,CBAM!$P$6)*INDEX(calculations!$M:$X,11,CBAM!$P$6)+INDEX(calculations!$M:$X,332,CBAM!$P$6)*INDEX(calculations!$M:$X,12,CBAM!$P$6)+INDEX(calculations!$M:$X,333,CBAM!$P$6)*INDEX(calculations!$M:$X,13,CBAM!$P$6)+INDEX(calculations!$M:$X,334,CBAM!$P$6)*INDEX(calculations!$M:$X,14,CBAM!$P$6)+INDEX(calculations!$M:$X,335,CBAM!$P$6)*INDEX(calculations!$M:$X,15,CBAM!$P$6)+INDEX(calculations!$M:$X,336,CBAM!$P$6)*INDEX(calculations!$M:$X,16,CBAM!$P$6)+INDEX(calculations!$M:$X,337,CBAM!$P$6)*INDEX(calculations!$M:$X,17,CBAM!$P$6))/(INDEX(calculations!$M:$X,330,CBAM!$P$6)+INDEX(calculations!$M:$X,331,CBAM!$P$6)+INDEX(calculations!$M:$X,332,CBAM!$P$6)+INDEX(calculations!$M:$X,333,CBAM!$P$6)+INDEX(calculations!$M:$X,334,CBAM!$P$6)+INDEX(calculations!$M:$X,335,CBAM!$P$6)+INDEX(calculations!$M:$X,336,CBAM!$P$6)+INDEX(calculations!$M:$X,337,CBAM!$P$6)),0)</f>
        <v>0</v>
      </c>
      <c r="F80" s="83">
        <f>IFERROR(INDEX(calculations!$M:$X,322,CBAM!$P$6)+INDEX(calculations!$M:$X,323,CBAM!$P$6)+INDEX(calculations!$M:$X,324,CBAM!$P$6)+INDEX(calculations!$M:$X,325,CBAM!$P$6)+INDEX(calculations!$M:$X,326,CBAM!$P$6)+INDEX(calculations!$M:$X,327,CBAM!$P$6)+INDEX(calculations!$M:$X,328,CBAM!$P$6)+INDEX(calculations!$M:$X,329,CBAM!$P$6),0)</f>
        <v>0.46969654999999993</v>
      </c>
      <c r="G80" s="83">
        <f>IFERROR(INDEX(calculations!$M:$X,330,CBAM!$P$6)+INDEX(calculations!$M:$X,331,CBAM!$P$6)+INDEX(calculations!$M:$X,332,CBAM!$P$6)+INDEX(calculations!$M:$X,333,CBAM!$P$6)+INDEX(calculations!$M:$X,334,CBAM!$P$6)+INDEX(calculations!$M:$X,335,CBAM!$P$6)+INDEX(calculations!$M:$X,336,CBAM!$P$6)+INDEX(calculations!$M:$X,337,CBAM!$P$6),0)</f>
        <v>0</v>
      </c>
      <c r="H80" s="84" t="s">
        <v>236</v>
      </c>
      <c r="I80" s="75"/>
      <c r="J80" s="75"/>
      <c r="K80" s="75"/>
      <c r="L80" s="75"/>
      <c r="M80" s="75"/>
      <c r="N80" s="75"/>
      <c r="O80" s="75"/>
      <c r="P80" s="75"/>
      <c r="Q80" s="69"/>
      <c r="R80" s="69"/>
      <c r="S80" s="69"/>
    </row>
    <row r="81" spans="1:19" ht="13.5" hidden="1" customHeight="1" x14ac:dyDescent="0.25">
      <c r="A81" s="75"/>
      <c r="B81" s="75"/>
      <c r="C81" s="75"/>
      <c r="D81" s="75"/>
      <c r="E81" s="75"/>
      <c r="F81" s="75"/>
      <c r="G81" s="75"/>
      <c r="H81" s="75"/>
      <c r="I81" s="75"/>
      <c r="J81" s="75"/>
      <c r="K81" s="75"/>
      <c r="L81" s="75"/>
      <c r="M81" s="75"/>
      <c r="N81" s="75"/>
      <c r="O81" s="75"/>
      <c r="P81" s="75"/>
      <c r="Q81" s="69"/>
      <c r="R81" s="69"/>
      <c r="S81" s="69"/>
    </row>
    <row r="82" spans="1:19" ht="19.5" customHeight="1" x14ac:dyDescent="0.25">
      <c r="A82" s="8" t="s">
        <v>237</v>
      </c>
      <c r="B82" s="8"/>
      <c r="C82" s="8"/>
      <c r="D82" s="8"/>
      <c r="E82" s="8"/>
      <c r="F82" s="8"/>
      <c r="G82" s="8"/>
      <c r="H82" s="8"/>
      <c r="I82" s="8"/>
      <c r="J82" s="8"/>
      <c r="K82" s="8"/>
      <c r="L82" s="8"/>
      <c r="M82" s="8"/>
      <c r="N82" s="8"/>
      <c r="O82" s="8"/>
      <c r="P82" s="8"/>
      <c r="Q82" s="69"/>
      <c r="R82" s="69"/>
      <c r="S82" s="69"/>
    </row>
    <row r="83" spans="1:19" ht="42" customHeight="1" x14ac:dyDescent="0.25">
      <c r="A83" s="85" t="s">
        <v>238</v>
      </c>
      <c r="Q83" s="69"/>
      <c r="R83" s="69"/>
      <c r="S83" s="69"/>
    </row>
    <row r="84" spans="1:19" ht="48" customHeight="1" x14ac:dyDescent="0.25">
      <c r="A84" s="86" t="s">
        <v>239</v>
      </c>
      <c r="B84" s="86" t="s">
        <v>208</v>
      </c>
      <c r="C84" s="86" t="s">
        <v>209</v>
      </c>
      <c r="D84" s="86" t="s">
        <v>240</v>
      </c>
      <c r="E84" s="86" t="s">
        <v>241</v>
      </c>
      <c r="F84" s="86" t="s">
        <v>242</v>
      </c>
      <c r="G84" s="86" t="s">
        <v>243</v>
      </c>
      <c r="H84" s="86" t="s">
        <v>244</v>
      </c>
      <c r="I84" s="86" t="s">
        <v>245</v>
      </c>
      <c r="J84" s="86" t="s">
        <v>246</v>
      </c>
      <c r="K84" s="86" t="s">
        <v>247</v>
      </c>
      <c r="L84" s="86" t="s">
        <v>248</v>
      </c>
      <c r="M84" s="86" t="s">
        <v>249</v>
      </c>
      <c r="N84" s="86" t="s">
        <v>250</v>
      </c>
      <c r="O84" s="86" t="s">
        <v>251</v>
      </c>
      <c r="P84" s="86" t="s">
        <v>252</v>
      </c>
      <c r="Q84" s="69"/>
      <c r="R84" s="69"/>
      <c r="S84" s="69"/>
    </row>
    <row r="85" spans="1:19" ht="15.75" customHeight="1" x14ac:dyDescent="0.25">
      <c r="A85" s="87" t="str">
        <f>CBAM!$B$5&amp;".em.int.stl.drg.---"</f>
        <v>egy.em.int.stl.drg.---</v>
      </c>
      <c r="B85" s="77" t="s">
        <v>215</v>
      </c>
      <c r="C85" s="88" t="s">
        <v>216</v>
      </c>
      <c r="D85" s="89">
        <f>IFERROR(INDEX(calculations!$M:$X,41,CBAM!$P$6)/INDEX(calculations!$M:$X,20,CBAM!$P$6),0)</f>
        <v>0.12903000000000001</v>
      </c>
      <c r="E85" s="90">
        <f>IFERROR(INDEX(calculations!$M:$X,42,CBAM!$P$6)/INDEX(calculations!$M:$X,20,CBAM!$P$6),0)</f>
        <v>0.56100000000000005</v>
      </c>
      <c r="F85" s="90">
        <f>IFERROR(INDEX(calculations!$M:$X,43,CBAM!$P$6)/INDEX(calculations!$M:$X,20,CBAM!$P$6),0)</f>
        <v>0.04</v>
      </c>
      <c r="G85" s="90">
        <f>IFERROR(INDEX(calculations!$M:$X,44,CBAM!$P$6)/INDEX(calculations!$M:$X,20,CBAM!$P$6),0)</f>
        <v>0</v>
      </c>
      <c r="H85" s="90">
        <f>IFERROR(INDEX(calculations!$M:$X,45,CBAM!$P$6)/INDEX(calculations!$M:$X,20,CBAM!$P$6),0)</f>
        <v>0.25</v>
      </c>
      <c r="I85" s="90">
        <f>IFERROR(INDEX(calculations!$M:$X,244,CBAM!$P$6)/INDEX(calculations!$M:$X,20,CBAM!$P$6),0)</f>
        <v>0</v>
      </c>
      <c r="J85" s="91" t="str">
        <f>IF(INDEX(input_data!$L:$L,MATCH("all.in.cs2.stl.drg.---",input_data!$A:$A,0))=1,"YES","NO")</f>
        <v>NO</v>
      </c>
      <c r="K85" s="90">
        <f>IFERROR(INDEX(calculations!$M:$X,246,CBAM!$P$6),0)</f>
        <v>0.98003000000000007</v>
      </c>
      <c r="L85" s="90">
        <f>IFERROR(INDEX(calculations!$M:$X,247,CBAM!$P$6),0)</f>
        <v>0.73003000000000007</v>
      </c>
      <c r="M85" s="92">
        <f>INDEX(input_data!$L:$L,MATCH("all.in.dfv.stl.drg.---",input_data!$A:$A,0))</f>
        <v>1.82</v>
      </c>
      <c r="N85" s="92">
        <f>INDEX(input_data!$L:$L,MATCH("all.in.bnk.stl.drg.---",input_data!$A:$A,0))</f>
        <v>0.48099999999999998</v>
      </c>
      <c r="O85" s="93">
        <f t="shared" ref="O85:O94" si="9">MAX(L85-N85,0)</f>
        <v>0.24903000000000008</v>
      </c>
      <c r="P85" s="84" t="s">
        <v>253</v>
      </c>
      <c r="Q85" s="69"/>
      <c r="R85" s="69"/>
      <c r="S85" s="69"/>
    </row>
    <row r="86" spans="1:19" ht="15.75" customHeight="1" x14ac:dyDescent="0.25">
      <c r="A86" s="94" t="str">
        <f>CBAM!$B$5&amp;".em.int.stl.scr.---"</f>
        <v>egy.em.int.stl.scr.---</v>
      </c>
      <c r="B86" s="81" t="s">
        <v>218</v>
      </c>
      <c r="C86" s="95" t="s">
        <v>216</v>
      </c>
      <c r="D86" s="89">
        <f>IFERROR(INDEX(calculations!$M:$X,69,CBAM!$P$6)/INDEX(calculations!$M:$X,48,CBAM!$P$6),0)</f>
        <v>0.14025000000000001</v>
      </c>
      <c r="E86" s="90">
        <f>IFERROR(INDEX(calculations!$M:$X,70,CBAM!$P$6)/INDEX(calculations!$M:$X,48,CBAM!$P$6),0)</f>
        <v>0</v>
      </c>
      <c r="F86" s="90">
        <f>IFERROR(INDEX(calculations!$M:$X,71,CBAM!$P$6)/INDEX(calculations!$M:$X,48,CBAM!$P$6),0)</f>
        <v>1.4999999999999999E-2</v>
      </c>
      <c r="G86" s="90">
        <f>IFERROR(INDEX(calculations!$M:$X,72,CBAM!$P$6)/INDEX(calculations!$M:$X,48,CBAM!$P$6),0)</f>
        <v>0</v>
      </c>
      <c r="H86" s="90">
        <f>IFERROR(INDEX(calculations!$M:$X,73,CBAM!$P$6)/INDEX(calculations!$M:$X,48,CBAM!$P$6),0)</f>
        <v>0.25</v>
      </c>
      <c r="I86" s="90">
        <f>IFERROR(INDEX(calculations!$M:$X,249,CBAM!$P$6)/INDEX(calculations!$M:$X,48,CBAM!$P$6),0)</f>
        <v>0</v>
      </c>
      <c r="J86" s="91" t="str">
        <f>IF(INDEX(input_data!$L:$L,MATCH("all.in.cs2.stl.scr.---",input_data!$A:$A,0))=1,"YES","NO")</f>
        <v>NO</v>
      </c>
      <c r="K86" s="90">
        <f>IFERROR(INDEX(calculations!$M:$X,251,CBAM!$P$6),0)</f>
        <v>0.40525</v>
      </c>
      <c r="L86" s="90">
        <f>IFERROR(INDEX(calculations!$M:$X,252,CBAM!$P$6),0)</f>
        <v>0.15525000000000003</v>
      </c>
      <c r="M86" s="92">
        <f>INDEX(input_data!$L:$L,MATCH("all.in.dfv.stl.scr.---",input_data!$A:$A,0))</f>
        <v>0.72</v>
      </c>
      <c r="N86" s="92">
        <f>INDEX(input_data!$L:$L,MATCH("all.in.bnk.stl.scr.---",input_data!$A:$A,0))</f>
        <v>7.1999999999999995E-2</v>
      </c>
      <c r="O86" s="93">
        <f t="shared" si="9"/>
        <v>8.3250000000000032E-2</v>
      </c>
      <c r="P86" s="84" t="s">
        <v>254</v>
      </c>
      <c r="Q86" s="69"/>
      <c r="R86" s="69"/>
      <c r="S86" s="69"/>
    </row>
    <row r="87" spans="1:19" ht="15.75" customHeight="1" x14ac:dyDescent="0.25">
      <c r="A87" s="87" t="str">
        <f>CBAM!$B$5&amp;".em.int.stl.bof.---"</f>
        <v>egy.em.int.stl.bof.---</v>
      </c>
      <c r="B87" s="77" t="s">
        <v>220</v>
      </c>
      <c r="C87" s="88" t="s">
        <v>216</v>
      </c>
      <c r="D87" s="89">
        <f>IFERROR(INDEX(calculations!$M:$X,97,CBAM!$P$6)/INDEX(calculations!$M:$X,76,CBAM!$P$6),0)</f>
        <v>0</v>
      </c>
      <c r="E87" s="90">
        <f>IFERROR(INDEX(calculations!$M:$X,98,CBAM!$P$6)/INDEX(calculations!$M:$X,76,CBAM!$P$6),0)</f>
        <v>0</v>
      </c>
      <c r="F87" s="90">
        <f>IFERROR(INDEX(calculations!$M:$X,99,CBAM!$P$6)/INDEX(calculations!$M:$X,76,CBAM!$P$6),0)</f>
        <v>0</v>
      </c>
      <c r="G87" s="90">
        <f>IFERROR(INDEX(calculations!$M:$X,100,CBAM!$P$6)/INDEX(calculations!$M:$X,76,CBAM!$P$6),0)</f>
        <v>0</v>
      </c>
      <c r="H87" s="90">
        <f>IFERROR(INDEX(calculations!$M:$X,101,CBAM!$P$6)/INDEX(calculations!$M:$X,76,CBAM!$P$6),0)</f>
        <v>0</v>
      </c>
      <c r="I87" s="90">
        <f>IFERROR(INDEX(calculations!$M:$X,254,CBAM!$P$6)/INDEX(calculations!$M:$X,76,CBAM!$P$6),0)</f>
        <v>0</v>
      </c>
      <c r="J87" s="91" t="str">
        <f>IF(INDEX(input_data!$L:$L,MATCH("all.in.cs2.stl.bof.---",input_data!$A:$A,0))=1,"YES","NO")</f>
        <v>NO</v>
      </c>
      <c r="K87" s="90">
        <f>IFERROR(INDEX(calculations!$M:$X,256,CBAM!$P$6),0)</f>
        <v>2.3594999999999997</v>
      </c>
      <c r="L87" s="90">
        <f>IFERROR(INDEX(calculations!$M:$X,257,CBAM!$P$6),0)</f>
        <v>2.1719999999999997</v>
      </c>
      <c r="M87" s="92">
        <f>INDEX(input_data!$L:$L,MATCH("all.in.dfv.stl.bof.---",input_data!$A:$A,0))</f>
        <v>2.8</v>
      </c>
      <c r="N87" s="92">
        <f>INDEX(input_data!$L:$L,MATCH("all.in.bnk.stl.bof.---",input_data!$A:$A,0))</f>
        <v>1.37</v>
      </c>
      <c r="O87" s="93">
        <f t="shared" si="9"/>
        <v>0.8019999999999996</v>
      </c>
      <c r="P87" s="84" t="s">
        <v>255</v>
      </c>
      <c r="Q87" s="69"/>
      <c r="R87" s="69"/>
      <c r="S87" s="69"/>
    </row>
    <row r="88" spans="1:19" ht="15.75" customHeight="1" x14ac:dyDescent="0.25">
      <c r="A88" s="94" t="str">
        <f>CBAM!$B$5&amp;".em.int.cmt.dry.---"</f>
        <v>egy.em.int.cmt.dry.---</v>
      </c>
      <c r="B88" s="81" t="s">
        <v>222</v>
      </c>
      <c r="C88" s="95" t="s">
        <v>216</v>
      </c>
      <c r="D88" s="89">
        <f>IFERROR(INDEX(calculations!$M:$X,125,CBAM!$P$6)/INDEX(calculations!$M:$X,104,CBAM!$P$6),0)</f>
        <v>0.28829999999999995</v>
      </c>
      <c r="E88" s="90">
        <f>IFERROR(INDEX(calculations!$M:$X,126,CBAM!$P$6)/INDEX(calculations!$M:$X,104,CBAM!$P$6),0)</f>
        <v>0</v>
      </c>
      <c r="F88" s="90">
        <f>IFERROR(INDEX(calculations!$M:$X,127,CBAM!$P$6)/INDEX(calculations!$M:$X,104,CBAM!$P$6),0)</f>
        <v>0.52600000000000002</v>
      </c>
      <c r="G88" s="90">
        <f>IFERROR(INDEX(calculations!$M:$X,128,CBAM!$P$6)/INDEX(calculations!$M:$X,104,CBAM!$P$6),0)</f>
        <v>0</v>
      </c>
      <c r="H88" s="90">
        <f>IFERROR(INDEX(calculations!$M:$X,129,CBAM!$P$6)/INDEX(calculations!$M:$X,104,CBAM!$P$6),0)</f>
        <v>5.6250000000000001E-2</v>
      </c>
      <c r="I88" s="90">
        <f>IFERROR(INDEX(calculations!$M:$X,259,CBAM!$P$6)/INDEX(calculations!$M:$X,104,CBAM!$P$6),0)</f>
        <v>0</v>
      </c>
      <c r="J88" s="96" t="str">
        <f>IF(INDEX(input_data!$L:$L,MATCH("all.in.cs2.cmt.dry.---",input_data!$A:$A,0))=1,"YES","NO")</f>
        <v>YES</v>
      </c>
      <c r="K88" s="90">
        <f>IFERROR(INDEX(calculations!$M:$X,261,CBAM!$P$6),0)</f>
        <v>0.87055000000000005</v>
      </c>
      <c r="L88" s="90">
        <f>IFERROR(INDEX(calculations!$M:$X,262,CBAM!$P$6),0)</f>
        <v>0.87055000000000005</v>
      </c>
      <c r="M88" s="92">
        <f>INDEX(input_data!$L:$L,MATCH("all.in.dfv.cmt.dry.---",input_data!$A:$A,0))</f>
        <v>1.58</v>
      </c>
      <c r="N88" s="92">
        <f>INDEX(input_data!$L:$L,MATCH("all.in.bnk.cmt.dry.---",input_data!$A:$A,0))</f>
        <v>0.66600000000000004</v>
      </c>
      <c r="O88" s="93">
        <f t="shared" si="9"/>
        <v>0.20455000000000001</v>
      </c>
      <c r="P88" s="84" t="s">
        <v>256</v>
      </c>
      <c r="Q88" s="69"/>
      <c r="R88" s="69"/>
      <c r="S88" s="69"/>
    </row>
    <row r="89" spans="1:19" ht="15.75" customHeight="1" x14ac:dyDescent="0.25">
      <c r="A89" s="87" t="str">
        <f>CBAM!$B$5&amp;".em.int.frt.amc.---"</f>
        <v>egy.em.int.frt.amc.---</v>
      </c>
      <c r="B89" s="77" t="s">
        <v>224</v>
      </c>
      <c r="C89" s="88" t="s">
        <v>216</v>
      </c>
      <c r="D89" s="89">
        <f>IFERROR(INDEX(calculations!$M:$X,153,CBAM!$P$6)/INDEX(calculations!$M:$X,132,CBAM!$P$6),0)</f>
        <v>0.39269999999999999</v>
      </c>
      <c r="E89" s="90">
        <f>IFERROR(INDEX(calculations!$M:$X,154,CBAM!$P$6)/INDEX(calculations!$M:$X,132,CBAM!$P$6),0)</f>
        <v>1.4585999999999999</v>
      </c>
      <c r="F89" s="90">
        <f>IFERROR(INDEX(calculations!$M:$X,155,CBAM!$P$6)/INDEX(calculations!$M:$X,132,CBAM!$P$6),0)</f>
        <v>0</v>
      </c>
      <c r="G89" s="90">
        <f>IFERROR(INDEX(calculations!$M:$X,156,CBAM!$P$6)/INDEX(calculations!$M:$X,132,CBAM!$P$6),0)</f>
        <v>0</v>
      </c>
      <c r="H89" s="90">
        <f>IFERROR(INDEX(calculations!$M:$X,157,CBAM!$P$6)/INDEX(calculations!$M:$X,132,CBAM!$P$6),0)</f>
        <v>3.7499999999999999E-2</v>
      </c>
      <c r="I89" s="90">
        <f>IFERROR(INDEX(calculations!$M:$X,264,CBAM!$P$6)/INDEX(calculations!$M:$X,132,CBAM!$P$6),0)</f>
        <v>0</v>
      </c>
      <c r="J89" s="96" t="str">
        <f>IF(INDEX(input_data!$L:$L,MATCH("all.in.cs2.frt.amc.---",input_data!$A:$A,0))=1,"YES","NO")</f>
        <v>YES</v>
      </c>
      <c r="K89" s="90">
        <f>IFERROR(INDEX(calculations!$M:$X,266,CBAM!$P$6),0)</f>
        <v>1.8888</v>
      </c>
      <c r="L89" s="90">
        <f>IFERROR(INDEX(calculations!$M:$X,267,CBAM!$P$6),0)</f>
        <v>1.8888</v>
      </c>
      <c r="M89" s="92">
        <f>INDEX(input_data!$L:$L,MATCH("all.in.dfv.frt.amc.---",input_data!$A:$A,0))</f>
        <v>1.8260000000000001</v>
      </c>
      <c r="N89" s="92">
        <f>INDEX(input_data!$L:$L,MATCH("all.in.bnk.frt.amc.---",input_data!$A:$A,0))</f>
        <v>1.522</v>
      </c>
      <c r="O89" s="93">
        <f t="shared" si="9"/>
        <v>0.36680000000000001</v>
      </c>
      <c r="P89" s="84" t="s">
        <v>257</v>
      </c>
      <c r="Q89" s="69"/>
      <c r="R89" s="69"/>
      <c r="S89" s="69"/>
    </row>
    <row r="90" spans="1:19" ht="15.75" customHeight="1" x14ac:dyDescent="0.25">
      <c r="A90" s="94" t="str">
        <f>CBAM!$B$5&amp;".em.int.frt.ure.---"</f>
        <v>egy.em.int.frt.ure.---</v>
      </c>
      <c r="B90" s="81" t="s">
        <v>226</v>
      </c>
      <c r="C90" s="95" t="s">
        <v>216</v>
      </c>
      <c r="D90" s="89">
        <f>IFERROR(INDEX(calculations!$M:$X,181,CBAM!$P$6)/INDEX(calculations!$M:$X,160,CBAM!$P$6),0)</f>
        <v>0.11220000000000002</v>
      </c>
      <c r="E90" s="90">
        <f>IFERROR(INDEX(calculations!$M:$X,182,CBAM!$P$6)/INDEX(calculations!$M:$X,160,CBAM!$P$6),0)</f>
        <v>0</v>
      </c>
      <c r="F90" s="90">
        <f>IFERROR(INDEX(calculations!$M:$X,183,CBAM!$P$6)/INDEX(calculations!$M:$X,160,CBAM!$P$6),0)</f>
        <v>-0.73299999999999998</v>
      </c>
      <c r="G90" s="90">
        <f>IFERROR(INDEX(calculations!$M:$X,184,CBAM!$P$6)/INDEX(calculations!$M:$X,160,CBAM!$P$6),0)</f>
        <v>0</v>
      </c>
      <c r="H90" s="90">
        <f>IFERROR(INDEX(calculations!$M:$X,185,CBAM!$P$6)/INDEX(calculations!$M:$X,160,CBAM!$P$6),0)</f>
        <v>3.7499999999999999E-2</v>
      </c>
      <c r="I90" s="90">
        <f>IFERROR(INDEX(calculations!$M:$X,269,CBAM!$P$6)/INDEX(calculations!$M:$X,160,CBAM!$P$6),0)</f>
        <v>1.0709495999999998</v>
      </c>
      <c r="J90" s="96" t="str">
        <f>IF(INDEX(input_data!$L:$L,MATCH("all.in.cs2.frt.ure.---",input_data!$A:$A,0))=1,"YES","NO")</f>
        <v>YES</v>
      </c>
      <c r="K90" s="90">
        <f>IFERROR(INDEX(calculations!$M:$X,271,CBAM!$P$6),0)</f>
        <v>0.48764959999999985</v>
      </c>
      <c r="L90" s="90">
        <f>IFERROR(INDEX(calculations!$M:$X,272,CBAM!$P$6),0)</f>
        <v>0.48764959999999985</v>
      </c>
      <c r="M90" s="92">
        <f>INDEX(input_data!$L:$L,MATCH("all.in.dfv.frt.ure.---",input_data!$A:$A,0))</f>
        <v>1.88</v>
      </c>
      <c r="N90" s="92">
        <f>INDEX(input_data!$L:$L,MATCH("all.in.bnk.frt.ure.---",input_data!$A:$A,0))</f>
        <v>0.90200000000000002</v>
      </c>
      <c r="O90" s="93">
        <f t="shared" si="9"/>
        <v>0</v>
      </c>
      <c r="P90" s="84" t="s">
        <v>258</v>
      </c>
      <c r="Q90" s="69"/>
      <c r="R90" s="69"/>
      <c r="S90" s="69"/>
    </row>
    <row r="91" spans="1:19" ht="15.75" customHeight="1" x14ac:dyDescent="0.25">
      <c r="A91" s="87" t="str">
        <f>CBAM!$B$5&amp;".em.int.frt.nit.---"</f>
        <v>egy.em.int.frt.nit.---</v>
      </c>
      <c r="B91" s="77" t="s">
        <v>228</v>
      </c>
      <c r="C91" s="88" t="s">
        <v>216</v>
      </c>
      <c r="D91" s="89">
        <f>IFERROR(INDEX(calculations!$M:$X,209,CBAM!$P$6)/INDEX(calculations!$M:$X,188,CBAM!$P$6),0)</f>
        <v>0.11220000000000001</v>
      </c>
      <c r="E91" s="90">
        <f>IFERROR(INDEX(calculations!$M:$X,210,CBAM!$P$6)/INDEX(calculations!$M:$X,188,CBAM!$P$6),0)</f>
        <v>0</v>
      </c>
      <c r="F91" s="90">
        <f>IFERROR(INDEX(calculations!$M:$X,211,CBAM!$P$6)/INDEX(calculations!$M:$X,188,CBAM!$P$6),0)</f>
        <v>0</v>
      </c>
      <c r="G91" s="90">
        <f>IFERROR(INDEX(calculations!$M:$X,212,CBAM!$P$6)/INDEX(calculations!$M:$X,188,CBAM!$P$6),0)</f>
        <v>0.97</v>
      </c>
      <c r="H91" s="90">
        <f>IFERROR(INDEX(calculations!$M:$X,213,CBAM!$P$6)/INDEX(calculations!$M:$X,188,CBAM!$P$6),0)</f>
        <v>4.3749999999999997E-2</v>
      </c>
      <c r="I91" s="90">
        <f>IFERROR(INDEX(calculations!$M:$X,274,CBAM!$P$6)/INDEX(calculations!$M:$X,188,CBAM!$P$6),0)</f>
        <v>0.40231440000000002</v>
      </c>
      <c r="J91" s="96" t="str">
        <f>IF(INDEX(input_data!$L:$L,MATCH("all.in.cs2.frt.nit.---",input_data!$A:$A,0))=1,"YES","NO")</f>
        <v>YES</v>
      </c>
      <c r="K91" s="90">
        <f>IFERROR(INDEX(calculations!$M:$X,276,CBAM!$P$6),0)</f>
        <v>1.5282643999999999</v>
      </c>
      <c r="L91" s="90">
        <f>IFERROR(INDEX(calculations!$M:$X,277,CBAM!$P$6),0)</f>
        <v>1.5282643999999999</v>
      </c>
      <c r="M91" s="92">
        <f>INDEX(input_data!$L:$L,MATCH("all.in.dfv.frt.nit.---",input_data!$A:$A,0))</f>
        <v>0.97</v>
      </c>
      <c r="N91" s="92">
        <f>INDEX(input_data!$L:$L,MATCH("all.in.bnk.frt.nit.---",input_data!$A:$A,0))</f>
        <v>0.30199999999999999</v>
      </c>
      <c r="O91" s="93">
        <f t="shared" si="9"/>
        <v>1.2262643999999998</v>
      </c>
      <c r="P91" s="84" t="s">
        <v>259</v>
      </c>
      <c r="Q91" s="69"/>
      <c r="R91" s="69"/>
      <c r="S91" s="69"/>
    </row>
    <row r="92" spans="1:19" ht="15.75" customHeight="1" x14ac:dyDescent="0.25">
      <c r="A92" s="94" t="str">
        <f>CBAM!$B$5&amp;".em.int.alu.prp.---"</f>
        <v>egy.em.int.alu.prp.---</v>
      </c>
      <c r="B92" s="81" t="s">
        <v>230</v>
      </c>
      <c r="C92" s="95" t="s">
        <v>216</v>
      </c>
      <c r="D92" s="89">
        <f>IFERROR(INDEX(calculations!$M:$X,237,CBAM!$P$6)/INDEX(calculations!$M:$X,216,CBAM!$P$6),0)</f>
        <v>0.1482</v>
      </c>
      <c r="E92" s="90">
        <f>IFERROR(INDEX(calculations!$M:$X,238,CBAM!$P$6)/INDEX(calculations!$M:$X,216,CBAM!$P$6),0)</f>
        <v>0</v>
      </c>
      <c r="F92" s="90">
        <f>IFERROR(INDEX(calculations!$M:$X,239,CBAM!$P$6)/INDEX(calculations!$M:$X,216,CBAM!$P$6),0)</f>
        <v>1.5</v>
      </c>
      <c r="G92" s="90">
        <f>IFERROR(INDEX(calculations!$M:$X,240,CBAM!$P$6)/INDEX(calculations!$M:$X,216,CBAM!$P$6),0)</f>
        <v>0.85</v>
      </c>
      <c r="H92" s="90">
        <f>IFERROR(INDEX(calculations!$M:$X,241,CBAM!$P$6)/INDEX(calculations!$M:$X,216,CBAM!$P$6),0)</f>
        <v>6.7499999999999991</v>
      </c>
      <c r="I92" s="90">
        <f>IFERROR(INDEX(calculations!$M:$X,279,CBAM!$P$6)/INDEX(calculations!$M:$X,216,CBAM!$P$6),0)</f>
        <v>0</v>
      </c>
      <c r="J92" s="91" t="str">
        <f>IF(INDEX(input_data!$L:$L,MATCH("all.in.cs2.alu.prp.---",input_data!$A:$A,0))=1,"YES","NO")</f>
        <v>NO</v>
      </c>
      <c r="K92" s="90">
        <f>IFERROR(INDEX(calculations!$M:$X,281,CBAM!$P$6),0)</f>
        <v>9.2481999999999989</v>
      </c>
      <c r="L92" s="90">
        <f>IFERROR(INDEX(calculations!$M:$X,282,CBAM!$P$6),0)</f>
        <v>2.4982000000000002</v>
      </c>
      <c r="M92" s="92">
        <f>INDEX(input_data!$L:$L,MATCH("all.in.dfv.alu.prp.---",input_data!$A:$A,0))</f>
        <v>2.06</v>
      </c>
      <c r="N92" s="92">
        <f>INDEX(input_data!$L:$L,MATCH("all.in.bnk.alu.prp.---",input_data!$A:$A,0))</f>
        <v>1.423</v>
      </c>
      <c r="O92" s="93">
        <f t="shared" si="9"/>
        <v>1.0752000000000002</v>
      </c>
      <c r="P92" s="84" t="s">
        <v>260</v>
      </c>
      <c r="Q92" s="69"/>
      <c r="R92" s="69"/>
      <c r="S92" s="69"/>
    </row>
    <row r="93" spans="1:19" ht="15.75" customHeight="1" x14ac:dyDescent="0.25">
      <c r="A93" s="87" t="str">
        <f>CBAM!$B$5&amp;".em.int.stl.oth.---"</f>
        <v>egy.em.int.stl.oth.---</v>
      </c>
      <c r="B93" s="77" t="s">
        <v>232</v>
      </c>
      <c r="C93" s="88" t="s">
        <v>216</v>
      </c>
      <c r="D93" s="89">
        <f>IFERROR(INDEX(calculations!$M:$X,307,CBAM!$P$6)/INDEX(calculations!$M:$X,286,CBAM!$P$6),0)</f>
        <v>0.17219999999999999</v>
      </c>
      <c r="E93" s="90">
        <f>IFERROR(INDEX(calculations!$M:$X,308,CBAM!$P$6)/INDEX(calculations!$M:$X,286,CBAM!$P$6),0)</f>
        <v>0.67269999999999996</v>
      </c>
      <c r="F93" s="90">
        <f>IFERROR(INDEX(calculations!$M:$X,309,CBAM!$P$6)/INDEX(calculations!$M:$X,286,CBAM!$P$6),0)</f>
        <v>0</v>
      </c>
      <c r="G93" s="90">
        <f>IFERROR(INDEX(calculations!$M:$X,310,CBAM!$P$6)/INDEX(calculations!$M:$X,286,CBAM!$P$6),0)</f>
        <v>0</v>
      </c>
      <c r="H93" s="90">
        <f>IFERROR(INDEX(calculations!$M:$X,311,CBAM!$P$6)/INDEX(calculations!$M:$X,286,CBAM!$P$6),0)</f>
        <v>0.4375</v>
      </c>
      <c r="I93" s="90">
        <f>IFERROR(INDEX(calculations!$M:$X,312,CBAM!$P$6)/INDEX(calculations!$M:$X,286,CBAM!$P$6),0)</f>
        <v>0</v>
      </c>
      <c r="J93" s="91" t="str">
        <f>IF(INDEX(input_data!$L:$L,MATCH("all.in.cs2.stl.oth.---",input_data!$A:$A,0))=1,"YES","NO")</f>
        <v>NO</v>
      </c>
      <c r="K93" s="90">
        <f>IFERROR(INDEX(calculations!$M:$X,314,CBAM!$P$6),0)</f>
        <v>1.2823999999999998</v>
      </c>
      <c r="L93" s="90">
        <f>IFERROR(INDEX(calculations!$M:$X,315,CBAM!$P$6),0)</f>
        <v>0.84489999999999987</v>
      </c>
      <c r="M93" s="92">
        <f>INDEX(input_data!$L:$L,MATCH("all.in.dfv.stl.oth.---",input_data!$A:$A,0))</f>
        <v>1.466</v>
      </c>
      <c r="N93" s="92">
        <f>INDEX(input_data!$L:$L,MATCH("all.in.bnk.stl.oth.---",input_data!$A:$A,0))</f>
        <v>1.222</v>
      </c>
      <c r="O93" s="93">
        <f t="shared" si="9"/>
        <v>0</v>
      </c>
      <c r="P93" s="84" t="s">
        <v>261</v>
      </c>
      <c r="Q93" s="69"/>
      <c r="R93" s="69"/>
      <c r="S93" s="69"/>
    </row>
    <row r="94" spans="1:19" ht="15.75" customHeight="1" x14ac:dyDescent="0.25">
      <c r="A94" s="94" t="str">
        <f>CBAM!$B$5&amp;".em.int.frt.otn.---"</f>
        <v>egy.em.int.frt.otn.---</v>
      </c>
      <c r="B94" s="81" t="s">
        <v>234</v>
      </c>
      <c r="C94" s="95" t="s">
        <v>235</v>
      </c>
      <c r="D94" s="89">
        <f>IFERROR(INDEX(calculations!$M:$X,339,CBAM!$P$6)/INDEX(calculations!$M:$X,318,CBAM!$P$6),0)</f>
        <v>0.28050000000000003</v>
      </c>
      <c r="E94" s="90">
        <f>IFERROR(INDEX(calculations!$M:$X,340,CBAM!$P$6)/INDEX(calculations!$M:$X,318,CBAM!$P$6),0)</f>
        <v>0</v>
      </c>
      <c r="F94" s="90">
        <f>IFERROR(INDEX(calculations!$M:$X,341,CBAM!$P$6)/INDEX(calculations!$M:$X,318,CBAM!$P$6),0)</f>
        <v>0</v>
      </c>
      <c r="G94" s="90">
        <f>IFERROR(INDEX(calculations!$M:$X,342,CBAM!$P$6)/INDEX(calculations!$M:$X,318,CBAM!$P$6),0)</f>
        <v>0</v>
      </c>
      <c r="H94" s="90">
        <f>IFERROR(INDEX(calculations!$M:$X,343,CBAM!$P$6)/INDEX(calculations!$M:$X,318,CBAM!$P$6),0)</f>
        <v>3.7499999999999999E-2</v>
      </c>
      <c r="I94" s="90">
        <f>IFERROR(INDEX(calculations!$M:$X,344,CBAM!$P$6)/INDEX(calculations!$M:$X,318,CBAM!$P$6),0)</f>
        <v>0</v>
      </c>
      <c r="J94" s="96" t="str">
        <f>IF(INDEX(input_data!$L:$L,MATCH("all.in.cs2.frt.otn.---",input_data!$A:$A,0))=1,"YES","NO")</f>
        <v>YES</v>
      </c>
      <c r="K94" s="90">
        <f>IFERROR(INDEX(calculations!$M:$X,346,CBAM!$P$6),0)</f>
        <v>0.318</v>
      </c>
      <c r="L94" s="90">
        <f>IFERROR(INDEX(calculations!$M:$X,347,CBAM!$P$6),0)</f>
        <v>0.318</v>
      </c>
      <c r="M94" s="92">
        <f>INDEX(input_data!$L:$L,MATCH("all.in.dfv.frt.otn.---",input_data!$A:$A,0))</f>
        <v>3.3839999999999999</v>
      </c>
      <c r="N94" s="92">
        <f>INDEX(input_data!$L:$L,MATCH("all.in.bnk.frt.otn.---",input_data!$A:$A,0))</f>
        <v>2.82</v>
      </c>
      <c r="O94" s="93">
        <f t="shared" si="9"/>
        <v>0</v>
      </c>
      <c r="P94" s="84" t="s">
        <v>262</v>
      </c>
      <c r="Q94" s="69"/>
      <c r="R94" s="69"/>
      <c r="S94" s="69"/>
    </row>
    <row r="95" spans="1:19" ht="31.5" customHeight="1" x14ac:dyDescent="0.25">
      <c r="A95" s="72" t="s">
        <v>263</v>
      </c>
      <c r="Q95" s="69"/>
      <c r="R95" s="69"/>
      <c r="S95" s="69"/>
    </row>
    <row r="96" spans="1:19" ht="13.5" customHeight="1" x14ac:dyDescent="0.25">
      <c r="A96" s="69"/>
      <c r="B96" s="69"/>
      <c r="C96" s="69"/>
      <c r="D96" s="69"/>
      <c r="E96" s="69"/>
      <c r="F96" s="69"/>
      <c r="G96" s="69"/>
      <c r="H96" s="69"/>
      <c r="I96" s="69"/>
      <c r="J96" s="69"/>
      <c r="K96" s="69"/>
      <c r="L96" s="69"/>
      <c r="M96" s="69"/>
      <c r="N96" s="69"/>
      <c r="O96" s="69"/>
      <c r="P96" s="69"/>
      <c r="Q96" s="69"/>
      <c r="R96" s="69"/>
      <c r="S96" s="69"/>
    </row>
    <row r="97" spans="1:19" ht="19.5" customHeight="1" x14ac:dyDescent="0.25">
      <c r="A97" s="8" t="s">
        <v>264</v>
      </c>
      <c r="B97" s="8"/>
      <c r="C97" s="8"/>
      <c r="D97" s="8"/>
      <c r="E97" s="8"/>
      <c r="F97" s="8"/>
      <c r="G97" s="8"/>
      <c r="H97" s="8"/>
      <c r="I97" s="8"/>
      <c r="J97" s="8"/>
      <c r="K97" s="8"/>
      <c r="L97" s="8"/>
      <c r="M97" s="8"/>
      <c r="N97" s="8"/>
      <c r="O97" s="8"/>
      <c r="P97" s="8"/>
      <c r="Q97" s="69"/>
      <c r="R97" s="69"/>
      <c r="S97" s="69"/>
    </row>
    <row r="98" spans="1:19" ht="14.25" customHeight="1" x14ac:dyDescent="0.25">
      <c r="A98" s="85" t="s">
        <v>265</v>
      </c>
      <c r="Q98" s="69"/>
      <c r="R98" s="69"/>
      <c r="S98" s="69"/>
    </row>
    <row r="99" spans="1:19" ht="48" customHeight="1" x14ac:dyDescent="0.25">
      <c r="A99" s="86" t="s">
        <v>207</v>
      </c>
      <c r="B99" s="86" t="s">
        <v>208</v>
      </c>
      <c r="C99" s="86" t="s">
        <v>209</v>
      </c>
      <c r="D99" s="86" t="s">
        <v>266</v>
      </c>
      <c r="E99" s="86" t="s">
        <v>267</v>
      </c>
      <c r="F99" s="86" t="s">
        <v>268</v>
      </c>
      <c r="G99" s="86" t="s">
        <v>269</v>
      </c>
      <c r="H99" s="86" t="s">
        <v>270</v>
      </c>
      <c r="I99" s="86" t="s">
        <v>271</v>
      </c>
      <c r="J99" s="86" t="s">
        <v>272</v>
      </c>
      <c r="K99" s="86" t="s">
        <v>273</v>
      </c>
      <c r="L99" s="86" t="s">
        <v>274</v>
      </c>
      <c r="M99" s="86" t="s">
        <v>275</v>
      </c>
      <c r="N99" s="86" t="s">
        <v>276</v>
      </c>
      <c r="O99" s="86" t="s">
        <v>277</v>
      </c>
      <c r="P99" s="86" t="s">
        <v>278</v>
      </c>
      <c r="Q99" s="69"/>
      <c r="R99" s="69"/>
      <c r="S99" s="69"/>
    </row>
    <row r="100" spans="1:19" ht="15.75" customHeight="1" x14ac:dyDescent="0.25">
      <c r="A100" s="87" t="str">
        <f>CBAM!$B$5&amp;".cmp.ef.stl.drg.---"</f>
        <v>egy.cmp.ef.stl.drg.---</v>
      </c>
      <c r="B100" s="77" t="s">
        <v>279</v>
      </c>
      <c r="C100" s="88" t="s">
        <v>216</v>
      </c>
      <c r="D100" s="89">
        <f>IFERROR(INDEX(calculations!$M:$X,41,CBAM!$P$6)/INDEX(calculations!$M:$X,20,CBAM!$P$6),0)</f>
        <v>0.12903000000000001</v>
      </c>
      <c r="E100" s="97">
        <f>IFERROR((IFERROR(INDEX(ref_data!$D:$D,MATCH(CBAM!$B$5&amp;".ref.ei.stl.drg.---",ref_data!$A:$A,0)),0)*96.1+IFERROR(INDEX(ref_data!$E:$E,MATCH(CBAM!$B$5&amp;".ref.ei.stl.drg.---",ref_data!$A:$A,0)),0)*56.1+IFERROR(INDEX(ref_data!$F:$F,MATCH(CBAM!$B$5&amp;".ref.ei.stl.drg.---",ref_data!$A:$A,0)),0)*69.3+IFERROR(INDEX(ref_data!$G:$G,MATCH(CBAM!$B$5&amp;".ref.ei.stl.drg.---",ref_data!$A:$A,0)),0)*74.1+IFERROR(INDEX(ref_data!$H:$H,MATCH(CBAM!$B$5&amp;".ref.ei.stl.drg.---",ref_data!$A:$A,0)),0)*71.9+IFERROR(INDEX(ref_data!$I:$I,MATCH(CBAM!$B$5&amp;".ref.ei.stl.drg.---",ref_data!$A:$A,0)),0)*63.1+IFERROR(INDEX(ref_data!$J:$J,MATCH(CBAM!$B$5&amp;".ref.ei.stl.drg.---",ref_data!$A:$A,0)),0)*0+IFERROR(INDEX(ref_data!$K:$K,MATCH(CBAM!$B$5&amp;".ref.ei.stl.drg.---",ref_data!$A:$A,0)),0)*0)/1000,0)</f>
        <v>0.31755</v>
      </c>
      <c r="F100" s="90">
        <f>IFERROR(INDEX(calculations!$M:$X,42,CBAM!$P$6)/INDEX(calculations!$M:$X,20,CBAM!$P$6),0)</f>
        <v>0.56100000000000005</v>
      </c>
      <c r="G100" s="97">
        <f>IFERROR((IFERROR(INDEX(ref_data!$L:$L,MATCH(CBAM!$B$5&amp;".ref.ei.stl.drg.---",ref_data!$A:$A,0)),0)*96.1+IFERROR(INDEX(ref_data!$M:$M,MATCH(CBAM!$B$5&amp;".ref.ei.stl.drg.---",ref_data!$A:$A,0)),0)*56.1+IFERROR(INDEX(ref_data!$N:$N,MATCH(CBAM!$B$5&amp;".ref.ei.stl.drg.---",ref_data!$A:$A,0)),0)*69.3+IFERROR(INDEX(ref_data!$O:$O,MATCH(CBAM!$B$5&amp;".ref.ei.stl.drg.---",ref_data!$A:$A,0)),0)*74.1+IFERROR(INDEX(ref_data!$P:$P,MATCH(CBAM!$B$5&amp;".ref.ei.stl.drg.---",ref_data!$A:$A,0)),0)*71.9+IFERROR(INDEX(ref_data!$Q:$Q,MATCH(CBAM!$B$5&amp;".ref.ei.stl.drg.---",ref_data!$A:$A,0)),0)*63.1+IFERROR(INDEX(ref_data!$R:$R,MATCH(CBAM!$B$5&amp;".ref.ei.stl.drg.---",ref_data!$A:$A,0)),0)*0+IFERROR(INDEX(ref_data!$S:$S,MATCH(CBAM!$B$5&amp;".ref.ei.stl.drg.---",ref_data!$A:$A,0)),0)*0)/1000,0)</f>
        <v>1.3464</v>
      </c>
      <c r="H100" s="90">
        <f>IFERROR(INDEX(calculations!$M:$X,43,CBAM!$P$6)/INDEX(calculations!$M:$X,20,CBAM!$P$6),0)</f>
        <v>0.04</v>
      </c>
      <c r="I100" s="97">
        <f>IFERROR(INDEX(ref_data!$U:$U,MATCH("egy.ref.ei.stl.drg.---",ref_data!$A:$A,0)),0)</f>
        <v>0.1</v>
      </c>
      <c r="J100" s="90">
        <f>IFERROR(INDEX(calculations!$M:$X,44,CBAM!$P$6)/INDEX(calculations!$M:$X,20,CBAM!$P$6),0)</f>
        <v>0</v>
      </c>
      <c r="K100" s="97">
        <f>IFERROR(INDEX(ref_data!$V:$V,MATCH("egy.ref.ei.stl.drg.---",ref_data!$A:$A,0)),0)</f>
        <v>0</v>
      </c>
      <c r="L100" s="90">
        <f>IFERROR(INDEX(calculations!$M:$X,45,CBAM!$P$6)/INDEX(calculations!$M:$X,20,CBAM!$P$6),0)</f>
        <v>0.25</v>
      </c>
      <c r="M100" s="90">
        <f>IFERROR(INDEX(calculations!$M:$X,246,CBAM!$P$6),0)</f>
        <v>0.98003000000000007</v>
      </c>
      <c r="N100" s="97">
        <f>IFERROR(INDEX(ref_data!$F:$F,MATCH(CBAM!$B$5&amp;".ref.dv.stl.drg.---",ref_data!$A:$A,0)),"—")</f>
        <v>1.4039999999999999</v>
      </c>
      <c r="O100" s="98">
        <f t="shared" ref="O100:O107" si="10">IFERROR(M100/N100,"—")</f>
        <v>0.69802706552706562</v>
      </c>
      <c r="P100" s="84" t="s">
        <v>280</v>
      </c>
      <c r="Q100" s="69"/>
      <c r="R100" s="69"/>
      <c r="S100" s="69"/>
    </row>
    <row r="101" spans="1:19" ht="15.75" customHeight="1" x14ac:dyDescent="0.25">
      <c r="A101" s="94" t="str">
        <f>CBAM!$B$5&amp;".cmp.ef.stl.scr.---"</f>
        <v>egy.cmp.ef.stl.scr.---</v>
      </c>
      <c r="B101" s="81" t="s">
        <v>281</v>
      </c>
      <c r="C101" s="95" t="s">
        <v>216</v>
      </c>
      <c r="D101" s="89">
        <f>IFERROR(INDEX(calculations!$M:$X,69,CBAM!$P$6)/INDEX(calculations!$M:$X,48,CBAM!$P$6),0)</f>
        <v>0.14025000000000001</v>
      </c>
      <c r="E101" s="97">
        <f>IFERROR((IFERROR(INDEX(ref_data!$D:$D,MATCH(CBAM!$B$5&amp;".ref.ei.stl.scr.---",ref_data!$A:$A,0)),0)*96.1+IFERROR(INDEX(ref_data!$E:$E,MATCH(CBAM!$B$5&amp;".ref.ei.stl.scr.---",ref_data!$A:$A,0)),0)*56.1+IFERROR(INDEX(ref_data!$F:$F,MATCH(CBAM!$B$5&amp;".ref.ei.stl.scr.---",ref_data!$A:$A,0)),0)*69.3+IFERROR(INDEX(ref_data!$G:$G,MATCH(CBAM!$B$5&amp;".ref.ei.stl.scr.---",ref_data!$A:$A,0)),0)*74.1+IFERROR(INDEX(ref_data!$H:$H,MATCH(CBAM!$B$5&amp;".ref.ei.stl.scr.---",ref_data!$A:$A,0)),0)*71.9+IFERROR(INDEX(ref_data!$I:$I,MATCH(CBAM!$B$5&amp;".ref.ei.stl.scr.---",ref_data!$A:$A,0)),0)*63.1+IFERROR(INDEX(ref_data!$J:$J,MATCH(CBAM!$B$5&amp;".ref.ei.stl.scr.---",ref_data!$A:$A,0)),0)*0+IFERROR(INDEX(ref_data!$K:$K,MATCH(CBAM!$B$5&amp;".ref.ei.stl.scr.---",ref_data!$A:$A,0)),0)*0)/1000,0)</f>
        <v>0.15506999999999999</v>
      </c>
      <c r="F101" s="90">
        <f>IFERROR(INDEX(calculations!$M:$X,70,CBAM!$P$6)/INDEX(calculations!$M:$X,48,CBAM!$P$6),0)</f>
        <v>0</v>
      </c>
      <c r="G101" s="97">
        <f>IFERROR((IFERROR(INDEX(ref_data!$L:$L,MATCH(CBAM!$B$5&amp;".ref.ei.stl.scr.---",ref_data!$A:$A,0)),0)*96.1+IFERROR(INDEX(ref_data!$M:$M,MATCH(CBAM!$B$5&amp;".ref.ei.stl.scr.---",ref_data!$A:$A,0)),0)*56.1+IFERROR(INDEX(ref_data!$N:$N,MATCH(CBAM!$B$5&amp;".ref.ei.stl.scr.---",ref_data!$A:$A,0)),0)*69.3+IFERROR(INDEX(ref_data!$O:$O,MATCH(CBAM!$B$5&amp;".ref.ei.stl.scr.---",ref_data!$A:$A,0)),0)*74.1+IFERROR(INDEX(ref_data!$P:$P,MATCH(CBAM!$B$5&amp;".ref.ei.stl.scr.---",ref_data!$A:$A,0)),0)*71.9+IFERROR(INDEX(ref_data!$Q:$Q,MATCH(CBAM!$B$5&amp;".ref.ei.stl.scr.---",ref_data!$A:$A,0)),0)*63.1+IFERROR(INDEX(ref_data!$R:$R,MATCH(CBAM!$B$5&amp;".ref.ei.stl.scr.---",ref_data!$A:$A,0)),0)*0+IFERROR(INDEX(ref_data!$S:$S,MATCH(CBAM!$B$5&amp;".ref.ei.stl.scr.---",ref_data!$A:$A,0)),0)*0)/1000,0)</f>
        <v>0</v>
      </c>
      <c r="H101" s="90">
        <f>IFERROR(INDEX(calculations!$M:$X,71,CBAM!$P$6)/INDEX(calculations!$M:$X,48,CBAM!$P$6),0)</f>
        <v>1.4999999999999999E-2</v>
      </c>
      <c r="I101" s="97">
        <f>IFERROR(INDEX(ref_data!$U:$U,MATCH("egy.ref.ei.stl.scr.---",ref_data!$A:$A,0)),0)</f>
        <v>0</v>
      </c>
      <c r="J101" s="90">
        <f>IFERROR(INDEX(calculations!$M:$X,72,CBAM!$P$6)/INDEX(calculations!$M:$X,48,CBAM!$P$6),0)</f>
        <v>0</v>
      </c>
      <c r="K101" s="97">
        <f>IFERROR(INDEX(ref_data!$V:$V,MATCH("egy.ref.ei.stl.scr.---",ref_data!$A:$A,0)),0)</f>
        <v>0</v>
      </c>
      <c r="L101" s="90">
        <f>IFERROR(INDEX(calculations!$M:$X,73,CBAM!$P$6)/INDEX(calculations!$M:$X,48,CBAM!$P$6),0)</f>
        <v>0.25</v>
      </c>
      <c r="M101" s="90">
        <f>IFERROR(INDEX(calculations!$M:$X,251,CBAM!$P$6),0)</f>
        <v>0.40525</v>
      </c>
      <c r="N101" s="97">
        <f>IFERROR(INDEX(ref_data!$F:$F,MATCH(CBAM!$B$5&amp;".ref.dv.stl.scr.---",ref_data!$A:$A,0)),"—")</f>
        <v>0.72</v>
      </c>
      <c r="O101" s="98">
        <f t="shared" si="10"/>
        <v>0.56284722222222228</v>
      </c>
      <c r="P101" s="84" t="s">
        <v>282</v>
      </c>
      <c r="Q101" s="69"/>
      <c r="R101" s="69"/>
      <c r="S101" s="69"/>
    </row>
    <row r="102" spans="1:19" ht="15.75" customHeight="1" x14ac:dyDescent="0.25">
      <c r="A102" s="87" t="str">
        <f>CBAM!$B$5&amp;".cmp.ef.stl.bof.---"</f>
        <v>egy.cmp.ef.stl.bof.---</v>
      </c>
      <c r="B102" s="77" t="s">
        <v>283</v>
      </c>
      <c r="C102" s="88" t="s">
        <v>216</v>
      </c>
      <c r="D102" s="89">
        <f>IFERROR(INDEX(calculations!$M:$X,97,CBAM!$P$6)/INDEX(calculations!$M:$X,76,CBAM!$P$6),0)</f>
        <v>0</v>
      </c>
      <c r="E102" s="97">
        <f>IFERROR((IFERROR(INDEX(ref_data!$D:$D,MATCH(CBAM!$B$5&amp;".ref.ei.stl.bof.---",ref_data!$A:$A,0)),0)*96.1+IFERROR(INDEX(ref_data!$E:$E,MATCH(CBAM!$B$5&amp;".ref.ei.stl.bof.---",ref_data!$A:$A,0)),0)*56.1+IFERROR(INDEX(ref_data!$F:$F,MATCH(CBAM!$B$5&amp;".ref.ei.stl.bof.---",ref_data!$A:$A,0)),0)*69.3+IFERROR(INDEX(ref_data!$G:$G,MATCH(CBAM!$B$5&amp;".ref.ei.stl.bof.---",ref_data!$A:$A,0)),0)*74.1+IFERROR(INDEX(ref_data!$H:$H,MATCH(CBAM!$B$5&amp;".ref.ei.stl.bof.---",ref_data!$A:$A,0)),0)*71.9+IFERROR(INDEX(ref_data!$I:$I,MATCH(CBAM!$B$5&amp;".ref.ei.stl.bof.---",ref_data!$A:$A,0)),0)*63.1+IFERROR(INDEX(ref_data!$J:$J,MATCH(CBAM!$B$5&amp;".ref.ei.stl.bof.---",ref_data!$A:$A,0)),0)*0+IFERROR(INDEX(ref_data!$K:$K,MATCH(CBAM!$B$5&amp;".ref.ei.stl.bof.---",ref_data!$A:$A,0)),0)*0)/1000,0)</f>
        <v>0.40726999999999997</v>
      </c>
      <c r="F102" s="90">
        <f>IFERROR(INDEX(calculations!$M:$X,98,CBAM!$P$6)/INDEX(calculations!$M:$X,76,CBAM!$P$6),0)</f>
        <v>0</v>
      </c>
      <c r="G102" s="97">
        <f>IFERROR((IFERROR(INDEX(ref_data!$L:$L,MATCH(CBAM!$B$5&amp;".ref.ei.stl.bof.---",ref_data!$A:$A,0)),0)*96.1+IFERROR(INDEX(ref_data!$M:$M,MATCH(CBAM!$B$5&amp;".ref.ei.stl.bof.---",ref_data!$A:$A,0)),0)*56.1+IFERROR(INDEX(ref_data!$N:$N,MATCH(CBAM!$B$5&amp;".ref.ei.stl.bof.---",ref_data!$A:$A,0)),0)*69.3+IFERROR(INDEX(ref_data!$O:$O,MATCH(CBAM!$B$5&amp;".ref.ei.stl.bof.---",ref_data!$A:$A,0)),0)*74.1+IFERROR(INDEX(ref_data!$P:$P,MATCH(CBAM!$B$5&amp;".ref.ei.stl.bof.---",ref_data!$A:$A,0)),0)*71.9+IFERROR(INDEX(ref_data!$Q:$Q,MATCH(CBAM!$B$5&amp;".ref.ei.stl.bof.---",ref_data!$A:$A,0)),0)*63.1+IFERROR(INDEX(ref_data!$R:$R,MATCH(CBAM!$B$5&amp;".ref.ei.stl.bof.---",ref_data!$A:$A,0)),0)*0+IFERROR(INDEX(ref_data!$S:$S,MATCH(CBAM!$B$5&amp;".ref.ei.stl.bof.---",ref_data!$A:$A,0)),0)*0)/1000,0)</f>
        <v>1.4975999999999998</v>
      </c>
      <c r="H102" s="90">
        <f>IFERROR(INDEX(calculations!$M:$X,99,CBAM!$P$6)/INDEX(calculations!$M:$X,76,CBAM!$P$6),0)</f>
        <v>0</v>
      </c>
      <c r="I102" s="97">
        <f>IFERROR(INDEX(ref_data!$U:$U,MATCH("egy.ref.ei.stl.bof.---",ref_data!$A:$A,0)),0)</f>
        <v>0.25</v>
      </c>
      <c r="J102" s="90">
        <f>IFERROR(INDEX(calculations!$M:$X,100,CBAM!$P$6)/INDEX(calculations!$M:$X,76,CBAM!$P$6),0)</f>
        <v>0</v>
      </c>
      <c r="K102" s="97">
        <f>IFERROR(INDEX(ref_data!$V:$V,MATCH("egy.ref.ei.stl.bof.---",ref_data!$A:$A,0)),0)</f>
        <v>0</v>
      </c>
      <c r="L102" s="90">
        <f>IFERROR(INDEX(calculations!$M:$X,101,CBAM!$P$6)/INDEX(calculations!$M:$X,76,CBAM!$P$6),0)</f>
        <v>0</v>
      </c>
      <c r="M102" s="90">
        <f>IFERROR(INDEX(calculations!$M:$X,256,CBAM!$P$6),0)</f>
        <v>2.3594999999999997</v>
      </c>
      <c r="N102" s="97" t="str">
        <f>IFERROR(INDEX(ref_data!$F:$F,MATCH(CBAM!$B$5&amp;".ref.dv.stl.bof.---",ref_data!$A:$A,0)),"—")</f>
        <v>—</v>
      </c>
      <c r="O102" s="98" t="str">
        <f t="shared" si="10"/>
        <v>—</v>
      </c>
      <c r="P102" s="84" t="s">
        <v>284</v>
      </c>
      <c r="Q102" s="69"/>
      <c r="R102" s="69"/>
      <c r="S102" s="69"/>
    </row>
    <row r="103" spans="1:19" ht="15.75" customHeight="1" x14ac:dyDescent="0.25">
      <c r="A103" s="94" t="str">
        <f>CBAM!$B$5&amp;".cmp.ef.cmt.dry.---"</f>
        <v>egy.cmp.ef.cmt.dry.---</v>
      </c>
      <c r="B103" s="81" t="s">
        <v>112</v>
      </c>
      <c r="C103" s="95" t="s">
        <v>216</v>
      </c>
      <c r="D103" s="89">
        <f>IFERROR(INDEX(calculations!$M:$X,125,CBAM!$P$6)/INDEX(calculations!$M:$X,104,CBAM!$P$6),0)</f>
        <v>0.28829999999999995</v>
      </c>
      <c r="E103" s="97">
        <f>IFERROR((IFERROR(INDEX(ref_data!$D:$D,MATCH(CBAM!$B$5&amp;".ref.ei.cmt.dry.---",ref_data!$A:$A,0)),0)*96.1+IFERROR(INDEX(ref_data!$E:$E,MATCH(CBAM!$B$5&amp;".ref.ei.cmt.dry.---",ref_data!$A:$A,0)),0)*56.1+IFERROR(INDEX(ref_data!$F:$F,MATCH(CBAM!$B$5&amp;".ref.ei.cmt.dry.---",ref_data!$A:$A,0)),0)*69.3+IFERROR(INDEX(ref_data!$G:$G,MATCH(CBAM!$B$5&amp;".ref.ei.cmt.dry.---",ref_data!$A:$A,0)),0)*74.1+IFERROR(INDEX(ref_data!$H:$H,MATCH(CBAM!$B$5&amp;".ref.ei.cmt.dry.---",ref_data!$A:$A,0)),0)*71.9+IFERROR(INDEX(ref_data!$I:$I,MATCH(CBAM!$B$5&amp;".ref.ei.cmt.dry.---",ref_data!$A:$A,0)),0)*63.1+IFERROR(INDEX(ref_data!$J:$J,MATCH(CBAM!$B$5&amp;".ref.ei.cmt.dry.---",ref_data!$A:$A,0)),0)*0+IFERROR(INDEX(ref_data!$K:$K,MATCH(CBAM!$B$5&amp;".ref.ei.cmt.dry.---",ref_data!$A:$A,0)),0)*0)/1000,0)</f>
        <v>0.26830000000000004</v>
      </c>
      <c r="F103" s="90">
        <f>IFERROR(INDEX(calculations!$M:$X,126,CBAM!$P$6)/INDEX(calculations!$M:$X,104,CBAM!$P$6),0)</f>
        <v>0</v>
      </c>
      <c r="G103" s="97">
        <f>IFERROR((IFERROR(INDEX(ref_data!$L:$L,MATCH(CBAM!$B$5&amp;".ref.ei.cmt.dry.---",ref_data!$A:$A,0)),0)*96.1+IFERROR(INDEX(ref_data!$M:$M,MATCH(CBAM!$B$5&amp;".ref.ei.cmt.dry.---",ref_data!$A:$A,0)),0)*56.1+IFERROR(INDEX(ref_data!$N:$N,MATCH(CBAM!$B$5&amp;".ref.ei.cmt.dry.---",ref_data!$A:$A,0)),0)*69.3+IFERROR(INDEX(ref_data!$O:$O,MATCH(CBAM!$B$5&amp;".ref.ei.cmt.dry.---",ref_data!$A:$A,0)),0)*74.1+IFERROR(INDEX(ref_data!$P:$P,MATCH(CBAM!$B$5&amp;".ref.ei.cmt.dry.---",ref_data!$A:$A,0)),0)*71.9+IFERROR(INDEX(ref_data!$Q:$Q,MATCH(CBAM!$B$5&amp;".ref.ei.cmt.dry.---",ref_data!$A:$A,0)),0)*63.1+IFERROR(INDEX(ref_data!$R:$R,MATCH(CBAM!$B$5&amp;".ref.ei.cmt.dry.---",ref_data!$A:$A,0)),0)*0+IFERROR(INDEX(ref_data!$S:$S,MATCH(CBAM!$B$5&amp;".ref.ei.cmt.dry.---",ref_data!$A:$A,0)),0)*0)/1000,0)</f>
        <v>0</v>
      </c>
      <c r="H103" s="90">
        <f>IFERROR(INDEX(calculations!$M:$X,127,CBAM!$P$6)/INDEX(calculations!$M:$X,104,CBAM!$P$6),0)</f>
        <v>0.52600000000000002</v>
      </c>
      <c r="I103" s="97">
        <f>IFERROR(INDEX(ref_data!$U:$U,MATCH("egy.ref.ei.cmt.dry.---",ref_data!$A:$A,0)),0)</f>
        <v>0.52600000000000002</v>
      </c>
      <c r="J103" s="90">
        <f>IFERROR(INDEX(calculations!$M:$X,128,CBAM!$P$6)/INDEX(calculations!$M:$X,104,CBAM!$P$6),0)</f>
        <v>0</v>
      </c>
      <c r="K103" s="97">
        <f>IFERROR(INDEX(ref_data!$V:$V,MATCH("egy.ref.ei.cmt.dry.---",ref_data!$A:$A,0)),0)</f>
        <v>0</v>
      </c>
      <c r="L103" s="90">
        <f>IFERROR(INDEX(calculations!$M:$X,129,CBAM!$P$6)/INDEX(calculations!$M:$X,104,CBAM!$P$6),0)</f>
        <v>5.6250000000000001E-2</v>
      </c>
      <c r="M103" s="90">
        <f>IFERROR(INDEX(calculations!$M:$X,261,CBAM!$P$6),0)</f>
        <v>0.87055000000000005</v>
      </c>
      <c r="N103" s="97">
        <f>IFERROR(INDEX(ref_data!$F:$F,MATCH(CBAM!$B$5&amp;".ref.dv.cmt.dry.---",ref_data!$A:$A,0)),"—")</f>
        <v>0.875</v>
      </c>
      <c r="O103" s="98">
        <f t="shared" si="10"/>
        <v>0.99491428571428575</v>
      </c>
      <c r="P103" s="84" t="s">
        <v>285</v>
      </c>
      <c r="Q103" s="69"/>
      <c r="R103" s="69"/>
      <c r="S103" s="69"/>
    </row>
    <row r="104" spans="1:19" ht="15.75" customHeight="1" x14ac:dyDescent="0.25">
      <c r="A104" s="87" t="str">
        <f>CBAM!$B$5&amp;".cmp.ef.frt.amc.---"</f>
        <v>egy.cmp.ef.frt.amc.---</v>
      </c>
      <c r="B104" s="77" t="s">
        <v>286</v>
      </c>
      <c r="C104" s="88" t="s">
        <v>216</v>
      </c>
      <c r="D104" s="89">
        <f>IFERROR(INDEX(calculations!$M:$X,153,CBAM!$P$6)/INDEX(calculations!$M:$X,132,CBAM!$P$6),0)</f>
        <v>0.39269999999999999</v>
      </c>
      <c r="E104" s="97">
        <f>IFERROR((IFERROR(INDEX(ref_data!$D:$D,MATCH(CBAM!$B$5&amp;".ref.ei.frt.amc.---",ref_data!$A:$A,0)),0)*96.1+IFERROR(INDEX(ref_data!$E:$E,MATCH(CBAM!$B$5&amp;".ref.ei.frt.amc.---",ref_data!$A:$A,0)),0)*56.1+IFERROR(INDEX(ref_data!$F:$F,MATCH(CBAM!$B$5&amp;".ref.ei.frt.amc.---",ref_data!$A:$A,0)),0)*69.3+IFERROR(INDEX(ref_data!$G:$G,MATCH(CBAM!$B$5&amp;".ref.ei.frt.amc.---",ref_data!$A:$A,0)),0)*74.1+IFERROR(INDEX(ref_data!$H:$H,MATCH(CBAM!$B$5&amp;".ref.ei.frt.amc.---",ref_data!$A:$A,0)),0)*71.9+IFERROR(INDEX(ref_data!$I:$I,MATCH(CBAM!$B$5&amp;".ref.ei.frt.amc.---",ref_data!$A:$A,0)),0)*63.1+IFERROR(INDEX(ref_data!$J:$J,MATCH(CBAM!$B$5&amp;".ref.ei.frt.amc.---",ref_data!$A:$A,0)),0)*0+IFERROR(INDEX(ref_data!$K:$K,MATCH(CBAM!$B$5&amp;".ref.ei.frt.amc.---",ref_data!$A:$A,0)),0)*0)/1000,0)</f>
        <v>0.67320000000000002</v>
      </c>
      <c r="F104" s="90">
        <f>IFERROR(INDEX(calculations!$M:$X,154,CBAM!$P$6)/INDEX(calculations!$M:$X,132,CBAM!$P$6),0)</f>
        <v>1.4585999999999999</v>
      </c>
      <c r="G104" s="97">
        <f>IFERROR((IFERROR(INDEX(ref_data!$L:$L,MATCH(CBAM!$B$5&amp;".ref.ei.frt.amc.---",ref_data!$A:$A,0)),0)*96.1+IFERROR(INDEX(ref_data!$M:$M,MATCH(CBAM!$B$5&amp;".ref.ei.frt.amc.---",ref_data!$A:$A,0)),0)*56.1+IFERROR(INDEX(ref_data!$N:$N,MATCH(CBAM!$B$5&amp;".ref.ei.frt.amc.---",ref_data!$A:$A,0)),0)*69.3+IFERROR(INDEX(ref_data!$O:$O,MATCH(CBAM!$B$5&amp;".ref.ei.frt.amc.---",ref_data!$A:$A,0)),0)*74.1+IFERROR(INDEX(ref_data!$P:$P,MATCH(CBAM!$B$5&amp;".ref.ei.frt.amc.---",ref_data!$A:$A,0)),0)*71.9+IFERROR(INDEX(ref_data!$Q:$Q,MATCH(CBAM!$B$5&amp;".ref.ei.frt.amc.---",ref_data!$A:$A,0)),0)*63.1+IFERROR(INDEX(ref_data!$R:$R,MATCH(CBAM!$B$5&amp;".ref.ei.frt.amc.---",ref_data!$A:$A,0)),0)*0+IFERROR(INDEX(ref_data!$S:$S,MATCH(CBAM!$B$5&amp;".ref.ei.frt.amc.---",ref_data!$A:$A,0)),0)*0)/1000,0)</f>
        <v>1.3464</v>
      </c>
      <c r="H104" s="90">
        <f>IFERROR(INDEX(calculations!$M:$X,155,CBAM!$P$6)/INDEX(calculations!$M:$X,132,CBAM!$P$6),0)</f>
        <v>0</v>
      </c>
      <c r="I104" s="97">
        <f>IFERROR(INDEX(ref_data!$U:$U,MATCH("egy.ref.ei.frt.amc.---",ref_data!$A:$A,0)),0)</f>
        <v>0</v>
      </c>
      <c r="J104" s="90">
        <f>IFERROR(INDEX(calculations!$M:$X,156,CBAM!$P$6)/INDEX(calculations!$M:$X,132,CBAM!$P$6),0)</f>
        <v>0</v>
      </c>
      <c r="K104" s="97">
        <f>IFERROR(INDEX(ref_data!$V:$V,MATCH("egy.ref.ei.frt.amc.---",ref_data!$A:$A,0)),0)</f>
        <v>0</v>
      </c>
      <c r="L104" s="90">
        <f>IFERROR(INDEX(calculations!$M:$X,157,CBAM!$P$6)/INDEX(calculations!$M:$X,132,CBAM!$P$6),0)</f>
        <v>3.7499999999999999E-2</v>
      </c>
      <c r="M104" s="90">
        <f>IFERROR(INDEX(calculations!$M:$X,266,CBAM!$P$6),0)</f>
        <v>1.8888</v>
      </c>
      <c r="N104" s="97">
        <f>IFERROR(INDEX(ref_data!$F:$F,MATCH(CBAM!$B$5&amp;".ref.dv.frt.amc.---",ref_data!$A:$A,0)),"—")</f>
        <v>1.4039999999999999</v>
      </c>
      <c r="O104" s="98">
        <f t="shared" si="10"/>
        <v>1.3452991452991454</v>
      </c>
      <c r="P104" s="84" t="s">
        <v>287</v>
      </c>
      <c r="Q104" s="69"/>
      <c r="R104" s="69"/>
      <c r="S104" s="69"/>
    </row>
    <row r="105" spans="1:19" ht="15.75" customHeight="1" x14ac:dyDescent="0.25">
      <c r="A105" s="94" t="str">
        <f>CBAM!$B$5&amp;".cmp.ef.frt.ure.---"</f>
        <v>egy.cmp.ef.frt.ure.---</v>
      </c>
      <c r="B105" s="81" t="s">
        <v>114</v>
      </c>
      <c r="C105" s="95" t="s">
        <v>216</v>
      </c>
      <c r="D105" s="89">
        <f>IFERROR(INDEX(calculations!$M:$X,181,CBAM!$P$6)/INDEX(calculations!$M:$X,160,CBAM!$P$6),0)</f>
        <v>0.11220000000000002</v>
      </c>
      <c r="E105" s="97">
        <f>IFERROR((IFERROR(INDEX(ref_data!$D:$D,MATCH(CBAM!$B$5&amp;".ref.ei.frt.ure.---",ref_data!$A:$A,0)),0)*96.1+IFERROR(INDEX(ref_data!$E:$E,MATCH(CBAM!$B$5&amp;".ref.ei.frt.ure.---",ref_data!$A:$A,0)),0)*56.1+IFERROR(INDEX(ref_data!$F:$F,MATCH(CBAM!$B$5&amp;".ref.ei.frt.ure.---",ref_data!$A:$A,0)),0)*69.3+IFERROR(INDEX(ref_data!$G:$G,MATCH(CBAM!$B$5&amp;".ref.ei.frt.ure.---",ref_data!$A:$A,0)),0)*74.1+IFERROR(INDEX(ref_data!$H:$H,MATCH(CBAM!$B$5&amp;".ref.ei.frt.ure.---",ref_data!$A:$A,0)),0)*71.9+IFERROR(INDEX(ref_data!$I:$I,MATCH(CBAM!$B$5&amp;".ref.ei.frt.ure.---",ref_data!$A:$A,0)),0)*63.1+IFERROR(INDEX(ref_data!$J:$J,MATCH(CBAM!$B$5&amp;".ref.ei.frt.ure.---",ref_data!$A:$A,0)),0)*0+IFERROR(INDEX(ref_data!$K:$K,MATCH(CBAM!$B$5&amp;".ref.ei.frt.ure.---",ref_data!$A:$A,0)),0)*0)/1000,0)</f>
        <v>0.16830000000000001</v>
      </c>
      <c r="F105" s="90">
        <f>IFERROR(INDEX(calculations!$M:$X,182,CBAM!$P$6)/INDEX(calculations!$M:$X,160,CBAM!$P$6),0)</f>
        <v>0</v>
      </c>
      <c r="G105" s="97">
        <f>IFERROR((IFERROR(INDEX(ref_data!$L:$L,MATCH(CBAM!$B$5&amp;".ref.ei.frt.ure.---",ref_data!$A:$A,0)),0)*96.1+IFERROR(INDEX(ref_data!$M:$M,MATCH(CBAM!$B$5&amp;".ref.ei.frt.ure.---",ref_data!$A:$A,0)),0)*56.1+IFERROR(INDEX(ref_data!$N:$N,MATCH(CBAM!$B$5&amp;".ref.ei.frt.ure.---",ref_data!$A:$A,0)),0)*69.3+IFERROR(INDEX(ref_data!$O:$O,MATCH(CBAM!$B$5&amp;".ref.ei.frt.ure.---",ref_data!$A:$A,0)),0)*74.1+IFERROR(INDEX(ref_data!$P:$P,MATCH(CBAM!$B$5&amp;".ref.ei.frt.ure.---",ref_data!$A:$A,0)),0)*71.9+IFERROR(INDEX(ref_data!$Q:$Q,MATCH(CBAM!$B$5&amp;".ref.ei.frt.ure.---",ref_data!$A:$A,0)),0)*63.1+IFERROR(INDEX(ref_data!$R:$R,MATCH(CBAM!$B$5&amp;".ref.ei.frt.ure.---",ref_data!$A:$A,0)),0)*0+IFERROR(INDEX(ref_data!$S:$S,MATCH(CBAM!$B$5&amp;".ref.ei.frt.ure.---",ref_data!$A:$A,0)),0)*0)/1000,0)</f>
        <v>0</v>
      </c>
      <c r="H105" s="90">
        <f>IFERROR(INDEX(calculations!$M:$X,183,CBAM!$P$6)/INDEX(calculations!$M:$X,160,CBAM!$P$6),0)</f>
        <v>-0.73299999999999998</v>
      </c>
      <c r="I105" s="97">
        <f>IFERROR(INDEX(ref_data!$U:$U,MATCH("egy.ref.ei.frt.ure.---",ref_data!$A:$A,0)),0)</f>
        <v>-0.73299999999999998</v>
      </c>
      <c r="J105" s="90">
        <f>IFERROR(INDEX(calculations!$M:$X,184,CBAM!$P$6)/INDEX(calculations!$M:$X,160,CBAM!$P$6),0)</f>
        <v>0</v>
      </c>
      <c r="K105" s="97">
        <f>IFERROR(INDEX(ref_data!$V:$V,MATCH("egy.ref.ei.frt.ure.---",ref_data!$A:$A,0)),0)</f>
        <v>0</v>
      </c>
      <c r="L105" s="90">
        <f>IFERROR(INDEX(calculations!$M:$X,185,CBAM!$P$6)/INDEX(calculations!$M:$X,160,CBAM!$P$6),0)</f>
        <v>3.7499999999999999E-2</v>
      </c>
      <c r="M105" s="90">
        <f>IFERROR(INDEX(calculations!$M:$X,271,CBAM!$P$6),0)</f>
        <v>0.48764959999999985</v>
      </c>
      <c r="N105" s="97">
        <f>IFERROR(INDEX(ref_data!$F:$F,MATCH(CBAM!$B$5&amp;".ref.dv.frt.ure.---",ref_data!$A:$A,0)),"—")</f>
        <v>1.4590000000000001</v>
      </c>
      <c r="O105" s="98">
        <f t="shared" si="10"/>
        <v>0.33423550376970518</v>
      </c>
      <c r="P105" s="84" t="s">
        <v>288</v>
      </c>
      <c r="Q105" s="69"/>
      <c r="R105" s="69"/>
      <c r="S105" s="69"/>
    </row>
    <row r="106" spans="1:19" ht="15.75" customHeight="1" x14ac:dyDescent="0.25">
      <c r="A106" s="87" t="str">
        <f>CBAM!$B$5&amp;".cmp.ef.frt.nit.---"</f>
        <v>egy.cmp.ef.frt.nit.---</v>
      </c>
      <c r="B106" s="77" t="s">
        <v>289</v>
      </c>
      <c r="C106" s="88" t="s">
        <v>216</v>
      </c>
      <c r="D106" s="89">
        <f>IFERROR(INDEX(calculations!$M:$X,209,CBAM!$P$6)/INDEX(calculations!$M:$X,188,CBAM!$P$6),0)</f>
        <v>0.11220000000000001</v>
      </c>
      <c r="E106" s="97">
        <f>IFERROR((IFERROR(INDEX(ref_data!$D:$D,MATCH(CBAM!$B$5&amp;".ref.ei.frt.nit.---",ref_data!$A:$A,0)),0)*96.1+IFERROR(INDEX(ref_data!$E:$E,MATCH(CBAM!$B$5&amp;".ref.ei.frt.nit.---",ref_data!$A:$A,0)),0)*56.1+IFERROR(INDEX(ref_data!$F:$F,MATCH(CBAM!$B$5&amp;".ref.ei.frt.nit.---",ref_data!$A:$A,0)),0)*69.3+IFERROR(INDEX(ref_data!$G:$G,MATCH(CBAM!$B$5&amp;".ref.ei.frt.nit.---",ref_data!$A:$A,0)),0)*74.1+IFERROR(INDEX(ref_data!$H:$H,MATCH(CBAM!$B$5&amp;".ref.ei.frt.nit.---",ref_data!$A:$A,0)),0)*71.9+IFERROR(INDEX(ref_data!$I:$I,MATCH(CBAM!$B$5&amp;".ref.ei.frt.nit.---",ref_data!$A:$A,0)),0)*63.1+IFERROR(INDEX(ref_data!$J:$J,MATCH(CBAM!$B$5&amp;".ref.ei.frt.nit.---",ref_data!$A:$A,0)),0)*0+IFERROR(INDEX(ref_data!$K:$K,MATCH(CBAM!$B$5&amp;".ref.ei.frt.nit.---",ref_data!$A:$A,0)),0)*0)/1000,0)</f>
        <v>0.11220000000000001</v>
      </c>
      <c r="F106" s="90">
        <f>IFERROR(INDEX(calculations!$M:$X,210,CBAM!$P$6)/INDEX(calculations!$M:$X,188,CBAM!$P$6),0)</f>
        <v>0</v>
      </c>
      <c r="G106" s="97">
        <f>IFERROR((IFERROR(INDEX(ref_data!$L:$L,MATCH(CBAM!$B$5&amp;".ref.ei.frt.nit.---",ref_data!$A:$A,0)),0)*96.1+IFERROR(INDEX(ref_data!$M:$M,MATCH(CBAM!$B$5&amp;".ref.ei.frt.nit.---",ref_data!$A:$A,0)),0)*56.1+IFERROR(INDEX(ref_data!$N:$N,MATCH(CBAM!$B$5&amp;".ref.ei.frt.nit.---",ref_data!$A:$A,0)),0)*69.3+IFERROR(INDEX(ref_data!$O:$O,MATCH(CBAM!$B$5&amp;".ref.ei.frt.nit.---",ref_data!$A:$A,0)),0)*74.1+IFERROR(INDEX(ref_data!$P:$P,MATCH(CBAM!$B$5&amp;".ref.ei.frt.nit.---",ref_data!$A:$A,0)),0)*71.9+IFERROR(INDEX(ref_data!$Q:$Q,MATCH(CBAM!$B$5&amp;".ref.ei.frt.nit.---",ref_data!$A:$A,0)),0)*63.1+IFERROR(INDEX(ref_data!$R:$R,MATCH(CBAM!$B$5&amp;".ref.ei.frt.nit.---",ref_data!$A:$A,0)),0)*0+IFERROR(INDEX(ref_data!$S:$S,MATCH(CBAM!$B$5&amp;".ref.ei.frt.nit.---",ref_data!$A:$A,0)),0)*0)/1000,0)</f>
        <v>0</v>
      </c>
      <c r="H106" s="90">
        <f>IFERROR(INDEX(calculations!$M:$X,211,CBAM!$P$6)/INDEX(calculations!$M:$X,188,CBAM!$P$6),0)</f>
        <v>0</v>
      </c>
      <c r="I106" s="97">
        <f>IFERROR(INDEX(ref_data!$U:$U,MATCH("egy.ref.ei.frt.nit.---",ref_data!$A:$A,0)),0)</f>
        <v>0</v>
      </c>
      <c r="J106" s="90">
        <f>IFERROR(INDEX(calculations!$M:$X,212,CBAM!$P$6)/INDEX(calculations!$M:$X,188,CBAM!$P$6),0)</f>
        <v>0.97</v>
      </c>
      <c r="K106" s="97">
        <f>IFERROR(INDEX(ref_data!$V:$V,MATCH("egy.ref.ei.frt.nit.---",ref_data!$A:$A,0)),0)</f>
        <v>2.5</v>
      </c>
      <c r="L106" s="90">
        <f>IFERROR(INDEX(calculations!$M:$X,213,CBAM!$P$6)/INDEX(calculations!$M:$X,188,CBAM!$P$6),0)</f>
        <v>4.3749999999999997E-2</v>
      </c>
      <c r="M106" s="90">
        <f>IFERROR(INDEX(calculations!$M:$X,276,CBAM!$P$6),0)</f>
        <v>1.5282643999999999</v>
      </c>
      <c r="N106" s="97">
        <f>IFERROR(INDEX(ref_data!$F:$F,MATCH(CBAM!$B$5&amp;".ref.dv.frt.nit.---",ref_data!$A:$A,0)),"—")</f>
        <v>0.86</v>
      </c>
      <c r="O106" s="98">
        <f t="shared" si="10"/>
        <v>1.7770516279069766</v>
      </c>
      <c r="P106" s="84" t="s">
        <v>290</v>
      </c>
      <c r="Q106" s="69"/>
      <c r="R106" s="69"/>
      <c r="S106" s="69"/>
    </row>
    <row r="107" spans="1:19" ht="15.75" customHeight="1" x14ac:dyDescent="0.25">
      <c r="A107" s="94" t="str">
        <f>CBAM!$B$5&amp;".cmp.ef.alu.prp.---"</f>
        <v>egy.cmp.ef.alu.prp.---</v>
      </c>
      <c r="B107" s="81" t="s">
        <v>291</v>
      </c>
      <c r="C107" s="95" t="s">
        <v>216</v>
      </c>
      <c r="D107" s="89">
        <f>IFERROR(INDEX(calculations!$M:$X,237,CBAM!$P$6)/INDEX(calculations!$M:$X,216,CBAM!$P$6),0)</f>
        <v>0.1482</v>
      </c>
      <c r="E107" s="97">
        <f>IFERROR((IFERROR(INDEX(ref_data!$D:$D,MATCH(CBAM!$B$5&amp;".ref.ei.alu.prp.---",ref_data!$A:$A,0)),0)*96.1+IFERROR(INDEX(ref_data!$E:$E,MATCH(CBAM!$B$5&amp;".ref.ei.alu.prp.---",ref_data!$A:$A,0)),0)*56.1+IFERROR(INDEX(ref_data!$F:$F,MATCH(CBAM!$B$5&amp;".ref.ei.alu.prp.---",ref_data!$A:$A,0)),0)*69.3+IFERROR(INDEX(ref_data!$G:$G,MATCH(CBAM!$B$5&amp;".ref.ei.alu.prp.---",ref_data!$A:$A,0)),0)*74.1+IFERROR(INDEX(ref_data!$H:$H,MATCH(CBAM!$B$5&amp;".ref.ei.alu.prp.---",ref_data!$A:$A,0)),0)*71.9+IFERROR(INDEX(ref_data!$I:$I,MATCH(CBAM!$B$5&amp;".ref.ei.alu.prp.---",ref_data!$A:$A,0)),0)*63.1+IFERROR(INDEX(ref_data!$J:$J,MATCH(CBAM!$B$5&amp;".ref.ei.alu.prp.---",ref_data!$A:$A,0)),0)*0+IFERROR(INDEX(ref_data!$K:$K,MATCH(CBAM!$B$5&amp;".ref.ei.alu.prp.---",ref_data!$A:$A,0)),0)*0)/1000,0)</f>
        <v>0.11156000000000001</v>
      </c>
      <c r="F107" s="90">
        <f>IFERROR(INDEX(calculations!$M:$X,238,CBAM!$P$6)/INDEX(calculations!$M:$X,216,CBAM!$P$6),0)</f>
        <v>0</v>
      </c>
      <c r="G107" s="97">
        <f>IFERROR((IFERROR(INDEX(ref_data!$L:$L,MATCH(CBAM!$B$5&amp;".ref.ei.alu.prp.---",ref_data!$A:$A,0)),0)*96.1+IFERROR(INDEX(ref_data!$M:$M,MATCH(CBAM!$B$5&amp;".ref.ei.alu.prp.---",ref_data!$A:$A,0)),0)*56.1+IFERROR(INDEX(ref_data!$N:$N,MATCH(CBAM!$B$5&amp;".ref.ei.alu.prp.---",ref_data!$A:$A,0)),0)*69.3+IFERROR(INDEX(ref_data!$O:$O,MATCH(CBAM!$B$5&amp;".ref.ei.alu.prp.---",ref_data!$A:$A,0)),0)*74.1+IFERROR(INDEX(ref_data!$P:$P,MATCH(CBAM!$B$5&amp;".ref.ei.alu.prp.---",ref_data!$A:$A,0)),0)*71.9+IFERROR(INDEX(ref_data!$Q:$Q,MATCH(CBAM!$B$5&amp;".ref.ei.alu.prp.---",ref_data!$A:$A,0)),0)*63.1+IFERROR(INDEX(ref_data!$R:$R,MATCH(CBAM!$B$5&amp;".ref.ei.alu.prp.---",ref_data!$A:$A,0)),0)*0+IFERROR(INDEX(ref_data!$S:$S,MATCH(CBAM!$B$5&amp;".ref.ei.alu.prp.---",ref_data!$A:$A,0)),0)*0)/1000,0)</f>
        <v>0</v>
      </c>
      <c r="H107" s="90">
        <f>IFERROR(INDEX(calculations!$M:$X,239,CBAM!$P$6)/INDEX(calculations!$M:$X,216,CBAM!$P$6),0)</f>
        <v>1.5</v>
      </c>
      <c r="I107" s="97">
        <f>IFERROR(INDEX(ref_data!$U:$U,MATCH("egy.ref.ei.alu.prp.---",ref_data!$A:$A,0)),0)</f>
        <v>1.5</v>
      </c>
      <c r="J107" s="90">
        <f>IFERROR(INDEX(calculations!$M:$X,240,CBAM!$P$6)/INDEX(calculations!$M:$X,216,CBAM!$P$6),0)</f>
        <v>0.85</v>
      </c>
      <c r="K107" s="97">
        <f>IFERROR(INDEX(ref_data!$V:$V,MATCH("egy.ref.ei.alu.prp.---",ref_data!$A:$A,0)),0)</f>
        <v>0.7</v>
      </c>
      <c r="L107" s="90">
        <f>IFERROR(INDEX(calculations!$M:$X,241,CBAM!$P$6)/INDEX(calculations!$M:$X,216,CBAM!$P$6),0)</f>
        <v>6.7499999999999991</v>
      </c>
      <c r="M107" s="90">
        <f>IFERROR(INDEX(calculations!$M:$X,281,CBAM!$P$6),0)</f>
        <v>9.2481999999999989</v>
      </c>
      <c r="N107" s="97">
        <f>IFERROR(INDEX(ref_data!$F:$F,MATCH(CBAM!$B$5&amp;".ref.dv.alu.prp.---",ref_data!$A:$A,0)),"—")</f>
        <v>1.8</v>
      </c>
      <c r="O107" s="98">
        <f t="shared" si="10"/>
        <v>5.1378888888888881</v>
      </c>
      <c r="P107" s="84" t="s">
        <v>292</v>
      </c>
      <c r="Q107" s="69"/>
      <c r="R107" s="69"/>
      <c r="S107" s="69"/>
    </row>
    <row r="108" spans="1:19" ht="15.75" customHeight="1" x14ac:dyDescent="0.25">
      <c r="A108" s="87" t="str">
        <f>CBAM!$B$5&amp;".cmp.ef.stl.oth.---"</f>
        <v>egy.cmp.ef.stl.oth.---</v>
      </c>
      <c r="B108" s="77" t="s">
        <v>293</v>
      </c>
      <c r="C108" s="88" t="s">
        <v>216</v>
      </c>
      <c r="D108" s="99" t="s">
        <v>294</v>
      </c>
      <c r="E108" s="100" t="s">
        <v>294</v>
      </c>
      <c r="F108" s="100" t="s">
        <v>294</v>
      </c>
      <c r="G108" s="100" t="s">
        <v>294</v>
      </c>
      <c r="H108" s="100" t="s">
        <v>294</v>
      </c>
      <c r="I108" s="100" t="s">
        <v>294</v>
      </c>
      <c r="J108" s="100" t="s">
        <v>294</v>
      </c>
      <c r="K108" s="100" t="s">
        <v>294</v>
      </c>
      <c r="L108" s="100" t="s">
        <v>294</v>
      </c>
      <c r="M108" s="100" t="s">
        <v>294</v>
      </c>
      <c r="N108" s="100" t="s">
        <v>294</v>
      </c>
      <c r="O108" s="101" t="s">
        <v>294</v>
      </c>
      <c r="P108" s="102" t="s">
        <v>295</v>
      </c>
      <c r="Q108" s="69"/>
      <c r="R108" s="69"/>
      <c r="S108" s="69"/>
    </row>
    <row r="109" spans="1:19" ht="15.75" customHeight="1" x14ac:dyDescent="0.25">
      <c r="A109" s="94" t="str">
        <f>CBAM!$B$5&amp;".cmp.ef.frt.otn.---"</f>
        <v>egy.cmp.ef.frt.otn.---</v>
      </c>
      <c r="B109" s="81" t="s">
        <v>296</v>
      </c>
      <c r="C109" s="95" t="s">
        <v>235</v>
      </c>
      <c r="D109" s="99" t="s">
        <v>294</v>
      </c>
      <c r="E109" s="100" t="s">
        <v>294</v>
      </c>
      <c r="F109" s="100" t="s">
        <v>294</v>
      </c>
      <c r="G109" s="100" t="s">
        <v>294</v>
      </c>
      <c r="H109" s="100" t="s">
        <v>294</v>
      </c>
      <c r="I109" s="100" t="s">
        <v>294</v>
      </c>
      <c r="J109" s="100" t="s">
        <v>294</v>
      </c>
      <c r="K109" s="100" t="s">
        <v>294</v>
      </c>
      <c r="L109" s="100" t="s">
        <v>294</v>
      </c>
      <c r="M109" s="100" t="s">
        <v>294</v>
      </c>
      <c r="N109" s="100" t="s">
        <v>294</v>
      </c>
      <c r="O109" s="101" t="s">
        <v>294</v>
      </c>
      <c r="P109" s="102" t="s">
        <v>295</v>
      </c>
      <c r="Q109" s="69"/>
      <c r="R109" s="69"/>
      <c r="S109" s="69"/>
    </row>
    <row r="110" spans="1:19" ht="23.25" customHeight="1" x14ac:dyDescent="0.25">
      <c r="A110" s="7" t="s">
        <v>297</v>
      </c>
      <c r="B110" s="7"/>
      <c r="C110" s="7"/>
      <c r="D110" s="7"/>
      <c r="E110" s="7"/>
      <c r="F110" s="7"/>
      <c r="G110" s="7"/>
      <c r="H110" s="7"/>
      <c r="I110" s="7"/>
      <c r="J110" s="7"/>
      <c r="K110" s="7"/>
      <c r="L110" s="7"/>
      <c r="M110" s="7"/>
      <c r="N110" s="7"/>
      <c r="O110" s="7"/>
      <c r="P110" s="7"/>
      <c r="Q110" s="69"/>
      <c r="R110" s="69"/>
      <c r="S110" s="69"/>
    </row>
    <row r="111" spans="1:19" ht="13.5" customHeight="1" x14ac:dyDescent="0.25">
      <c r="A111" s="69"/>
      <c r="B111" s="69"/>
      <c r="C111" s="69"/>
      <c r="D111" s="69"/>
      <c r="E111" s="69"/>
      <c r="F111" s="69"/>
      <c r="G111" s="69"/>
      <c r="H111" s="69"/>
      <c r="I111" s="69"/>
      <c r="J111" s="69"/>
      <c r="K111" s="69"/>
      <c r="L111" s="69"/>
      <c r="M111" s="69"/>
      <c r="N111" s="69"/>
      <c r="O111" s="69"/>
      <c r="P111" s="69"/>
      <c r="Q111" s="69"/>
      <c r="R111" s="69"/>
      <c r="S111" s="69"/>
    </row>
    <row r="112" spans="1:19" ht="19.5" customHeight="1" x14ac:dyDescent="0.25">
      <c r="A112" s="9" t="s">
        <v>298</v>
      </c>
      <c r="B112" s="9"/>
      <c r="C112" s="9"/>
      <c r="D112" s="9"/>
      <c r="E112" s="9"/>
      <c r="F112" s="9"/>
      <c r="G112" s="9"/>
      <c r="H112" s="9"/>
      <c r="I112" s="9"/>
      <c r="J112" s="9"/>
      <c r="K112" s="9"/>
      <c r="L112" s="9"/>
      <c r="M112" s="9"/>
      <c r="N112" s="9"/>
      <c r="O112" s="9"/>
      <c r="P112" s="9"/>
      <c r="Q112" s="69"/>
      <c r="R112" s="69"/>
      <c r="S112" s="69"/>
    </row>
    <row r="113" spans="1:19" ht="30" customHeight="1" x14ac:dyDescent="0.25">
      <c r="A113" s="7" t="s">
        <v>299</v>
      </c>
      <c r="B113" s="7"/>
      <c r="C113" s="7"/>
      <c r="D113" s="7"/>
      <c r="E113" s="7"/>
      <c r="F113" s="7"/>
      <c r="G113" s="7"/>
      <c r="H113" s="7"/>
      <c r="I113" s="7"/>
      <c r="J113" s="7"/>
      <c r="K113" s="7"/>
      <c r="L113" s="7"/>
      <c r="M113" s="7"/>
      <c r="N113" s="7"/>
      <c r="O113" s="7"/>
      <c r="P113" s="7"/>
      <c r="Q113" s="69"/>
      <c r="R113" s="69"/>
      <c r="S113" s="69"/>
    </row>
    <row r="114" spans="1:19" ht="36" customHeight="1" x14ac:dyDescent="0.25">
      <c r="A114" s="86" t="s">
        <v>154</v>
      </c>
      <c r="B114" s="86" t="s">
        <v>300</v>
      </c>
      <c r="C114" s="86" t="s">
        <v>301</v>
      </c>
      <c r="D114" s="86" t="s">
        <v>302</v>
      </c>
      <c r="E114" s="86" t="s">
        <v>303</v>
      </c>
      <c r="F114" s="69"/>
      <c r="G114" s="69"/>
      <c r="H114" s="69"/>
      <c r="I114" s="69"/>
      <c r="J114" s="69"/>
      <c r="K114" s="69"/>
      <c r="L114" s="69"/>
      <c r="M114" s="69"/>
      <c r="N114" s="69"/>
      <c r="O114" s="69"/>
      <c r="P114" s="69"/>
      <c r="Q114" s="69"/>
      <c r="R114" s="69"/>
      <c r="S114" s="69"/>
    </row>
    <row r="115" spans="1:19" ht="13.5" customHeight="1" x14ac:dyDescent="0.25">
      <c r="A115" s="103" t="s">
        <v>279</v>
      </c>
      <c r="B115" s="104">
        <f>INDEX(input_data!$L:$L,MATCH("all.in.nh3.stl.drg.---",input_data!$A:$A,0))</f>
        <v>0</v>
      </c>
      <c r="C115" s="90">
        <f>IFERROR((INDEX(calculations!$M:$X,153,CBAM!$P$6)+INDEX(calculations!$M:$X,154,CBAM!$P$6)+INDEX(calculations!$M:$X,155,CBAM!$P$6)+INDEX(calculations!$M:$X,156,CBAM!$P$6))/INDEX(calculations!$M:$X,132,CBAM!$P$6),0)</f>
        <v>1.8512999999999999</v>
      </c>
      <c r="D115" s="89">
        <f t="shared" ref="D115:D124" si="11">B115*C115</f>
        <v>0</v>
      </c>
      <c r="E115" s="105" t="s">
        <v>304</v>
      </c>
      <c r="F115" s="69"/>
      <c r="G115" s="69"/>
      <c r="H115" s="69"/>
      <c r="I115" s="69"/>
      <c r="J115" s="69"/>
      <c r="K115" s="69"/>
      <c r="L115" s="69"/>
      <c r="M115" s="69"/>
      <c r="N115" s="69"/>
      <c r="O115" s="69"/>
      <c r="P115" s="69"/>
      <c r="Q115" s="69"/>
      <c r="R115" s="69"/>
      <c r="S115" s="69"/>
    </row>
    <row r="116" spans="1:19" ht="13.5" customHeight="1" x14ac:dyDescent="0.25">
      <c r="A116" s="106" t="s">
        <v>281</v>
      </c>
      <c r="B116" s="104">
        <f>INDEX(input_data!$L:$L,MATCH("all.in.nh3.stl.scr.---",input_data!$A:$A,0))</f>
        <v>0</v>
      </c>
      <c r="C116" s="90">
        <f>IFERROR((INDEX(calculations!$M:$X,153,CBAM!$P$6)+INDEX(calculations!$M:$X,154,CBAM!$P$6)+INDEX(calculations!$M:$X,155,CBAM!$P$6)+INDEX(calculations!$M:$X,156,CBAM!$P$6))/INDEX(calculations!$M:$X,132,CBAM!$P$6),0)</f>
        <v>1.8512999999999999</v>
      </c>
      <c r="D116" s="89">
        <f t="shared" si="11"/>
        <v>0</v>
      </c>
      <c r="E116" s="107" t="s">
        <v>305</v>
      </c>
      <c r="F116" s="69"/>
      <c r="G116" s="69"/>
      <c r="H116" s="69"/>
      <c r="I116" s="69"/>
      <c r="J116" s="69"/>
      <c r="K116" s="69"/>
      <c r="L116" s="69"/>
      <c r="M116" s="69"/>
      <c r="N116" s="69"/>
      <c r="O116" s="69"/>
      <c r="P116" s="69"/>
      <c r="Q116" s="69"/>
      <c r="R116" s="69"/>
      <c r="S116" s="69"/>
    </row>
    <row r="117" spans="1:19" ht="13.5" customHeight="1" x14ac:dyDescent="0.25">
      <c r="A117" s="103" t="s">
        <v>283</v>
      </c>
      <c r="B117" s="104">
        <f>INDEX(input_data!$L:$L,MATCH("all.in.nh3.stl.bof.---",input_data!$A:$A,0))</f>
        <v>0</v>
      </c>
      <c r="C117" s="90">
        <f>IFERROR((INDEX(calculations!$M:$X,153,CBAM!$P$6)+INDEX(calculations!$M:$X,154,CBAM!$P$6)+INDEX(calculations!$M:$X,155,CBAM!$P$6)+INDEX(calculations!$M:$X,156,CBAM!$P$6))/INDEX(calculations!$M:$X,132,CBAM!$P$6),0)</f>
        <v>1.8512999999999999</v>
      </c>
      <c r="D117" s="89">
        <f t="shared" si="11"/>
        <v>0</v>
      </c>
      <c r="E117" s="105" t="s">
        <v>306</v>
      </c>
      <c r="F117" s="69"/>
      <c r="G117" s="69"/>
      <c r="H117" s="69"/>
      <c r="I117" s="69"/>
      <c r="J117" s="69"/>
      <c r="K117" s="69"/>
      <c r="L117" s="69"/>
      <c r="M117" s="69"/>
      <c r="N117" s="69"/>
      <c r="O117" s="69"/>
      <c r="P117" s="69"/>
      <c r="Q117" s="69"/>
      <c r="R117" s="69"/>
      <c r="S117" s="69"/>
    </row>
    <row r="118" spans="1:19" ht="13.5" customHeight="1" x14ac:dyDescent="0.25">
      <c r="A118" s="106" t="s">
        <v>112</v>
      </c>
      <c r="B118" s="104">
        <f>INDEX(input_data!$L:$L,MATCH("all.in.nh3.cmt.dry.---",input_data!$A:$A,0))</f>
        <v>0</v>
      </c>
      <c r="C118" s="90">
        <f>IFERROR((INDEX(calculations!$M:$X,153,CBAM!$P$6)+INDEX(calculations!$M:$X,154,CBAM!$P$6)+INDEX(calculations!$M:$X,155,CBAM!$P$6)+INDEX(calculations!$M:$X,156,CBAM!$P$6))/INDEX(calculations!$M:$X,132,CBAM!$P$6),0)</f>
        <v>1.8512999999999999</v>
      </c>
      <c r="D118" s="89">
        <f t="shared" si="11"/>
        <v>0</v>
      </c>
      <c r="E118" s="107" t="s">
        <v>307</v>
      </c>
      <c r="F118" s="69"/>
      <c r="G118" s="69"/>
      <c r="H118" s="69"/>
      <c r="I118" s="69"/>
      <c r="J118" s="69"/>
      <c r="K118" s="69"/>
      <c r="L118" s="69"/>
      <c r="M118" s="69"/>
      <c r="N118" s="69"/>
      <c r="O118" s="69"/>
      <c r="P118" s="69"/>
      <c r="Q118" s="69"/>
      <c r="R118" s="69"/>
      <c r="S118" s="69"/>
    </row>
    <row r="119" spans="1:19" ht="13.5" customHeight="1" x14ac:dyDescent="0.25">
      <c r="A119" s="103" t="s">
        <v>286</v>
      </c>
      <c r="B119" s="104">
        <f>INDEX(input_data!$L:$L,MATCH("all.in.nh3.frt.amc.---",input_data!$A:$A,0))</f>
        <v>0</v>
      </c>
      <c r="C119" s="90">
        <f>IFERROR((INDEX(calculations!$M:$X,153,CBAM!$P$6)+INDEX(calculations!$M:$X,154,CBAM!$P$6)+INDEX(calculations!$M:$X,155,CBAM!$P$6)+INDEX(calculations!$M:$X,156,CBAM!$P$6))/INDEX(calculations!$M:$X,132,CBAM!$P$6),0)</f>
        <v>1.8512999999999999</v>
      </c>
      <c r="D119" s="89">
        <f t="shared" si="11"/>
        <v>0</v>
      </c>
      <c r="E119" s="105" t="s">
        <v>308</v>
      </c>
      <c r="F119" s="69"/>
      <c r="G119" s="69"/>
      <c r="H119" s="69"/>
      <c r="I119" s="69"/>
      <c r="J119" s="69"/>
      <c r="K119" s="69"/>
      <c r="L119" s="69"/>
      <c r="M119" s="69"/>
      <c r="N119" s="69"/>
      <c r="O119" s="69"/>
      <c r="P119" s="69"/>
      <c r="Q119" s="69"/>
      <c r="R119" s="69"/>
      <c r="S119" s="69"/>
    </row>
    <row r="120" spans="1:19" ht="13.5" customHeight="1" x14ac:dyDescent="0.25">
      <c r="A120" s="106" t="s">
        <v>114</v>
      </c>
      <c r="B120" s="104">
        <f>INDEX(input_data!$L:$L,MATCH("all.in.nh3.frt.ure.---",input_data!$A:$A,0))</f>
        <v>0.56699999999999995</v>
      </c>
      <c r="C120" s="90">
        <f>IFERROR((INDEX(calculations!$M:$X,153,CBAM!$P$6)+INDEX(calculations!$M:$X,154,CBAM!$P$6)+INDEX(calculations!$M:$X,155,CBAM!$P$6)+INDEX(calculations!$M:$X,156,CBAM!$P$6))/INDEX(calculations!$M:$X,132,CBAM!$P$6),0)</f>
        <v>1.8512999999999999</v>
      </c>
      <c r="D120" s="89">
        <f t="shared" si="11"/>
        <v>1.0496870999999999</v>
      </c>
      <c r="E120" s="107" t="s">
        <v>309</v>
      </c>
      <c r="F120" s="69"/>
      <c r="G120" s="69"/>
      <c r="H120" s="69"/>
      <c r="I120" s="69"/>
      <c r="J120" s="69"/>
      <c r="K120" s="69"/>
      <c r="L120" s="69"/>
      <c r="M120" s="69"/>
      <c r="N120" s="69"/>
      <c r="O120" s="69"/>
      <c r="P120" s="69"/>
      <c r="Q120" s="69"/>
      <c r="R120" s="69"/>
      <c r="S120" s="69"/>
    </row>
    <row r="121" spans="1:19" ht="13.5" customHeight="1" x14ac:dyDescent="0.25">
      <c r="A121" s="103" t="s">
        <v>289</v>
      </c>
      <c r="B121" s="104">
        <f>INDEX(input_data!$L:$L,MATCH("all.in.nh3.frt.nit.---",input_data!$A:$A,0))</f>
        <v>0.21299999999999999</v>
      </c>
      <c r="C121" s="90">
        <f>IFERROR((INDEX(calculations!$M:$X,153,CBAM!$P$6)+INDEX(calculations!$M:$X,154,CBAM!$P$6)+INDEX(calculations!$M:$X,155,CBAM!$P$6)+INDEX(calculations!$M:$X,156,CBAM!$P$6))/INDEX(calculations!$M:$X,132,CBAM!$P$6),0)</f>
        <v>1.8512999999999999</v>
      </c>
      <c r="D121" s="89">
        <f t="shared" si="11"/>
        <v>0.39432689999999998</v>
      </c>
      <c r="E121" s="105" t="s">
        <v>310</v>
      </c>
      <c r="F121" s="69"/>
      <c r="G121" s="69"/>
      <c r="H121" s="69"/>
      <c r="I121" s="69"/>
      <c r="J121" s="69"/>
      <c r="K121" s="69"/>
      <c r="L121" s="69"/>
      <c r="M121" s="69"/>
      <c r="N121" s="69"/>
      <c r="O121" s="69"/>
      <c r="P121" s="69"/>
      <c r="Q121" s="69"/>
      <c r="R121" s="69"/>
      <c r="S121" s="69"/>
    </row>
    <row r="122" spans="1:19" ht="13.5" customHeight="1" x14ac:dyDescent="0.25">
      <c r="A122" s="106" t="s">
        <v>291</v>
      </c>
      <c r="B122" s="104">
        <f>INDEX(input_data!$L:$L,MATCH("all.in.nh3.alu.prp.---",input_data!$A:$A,0))</f>
        <v>0</v>
      </c>
      <c r="C122" s="90">
        <f>IFERROR((INDEX(calculations!$M:$X,153,CBAM!$P$6)+INDEX(calculations!$M:$X,154,CBAM!$P$6)+INDEX(calculations!$M:$X,155,CBAM!$P$6)+INDEX(calculations!$M:$X,156,CBAM!$P$6))/INDEX(calculations!$M:$X,132,CBAM!$P$6),0)</f>
        <v>1.8512999999999999</v>
      </c>
      <c r="D122" s="89">
        <f t="shared" si="11"/>
        <v>0</v>
      </c>
      <c r="E122" s="107" t="s">
        <v>311</v>
      </c>
      <c r="F122" s="69"/>
      <c r="G122" s="69"/>
      <c r="H122" s="69"/>
      <c r="I122" s="69"/>
      <c r="J122" s="69"/>
      <c r="K122" s="69"/>
      <c r="L122" s="69"/>
      <c r="M122" s="69"/>
      <c r="N122" s="69"/>
      <c r="O122" s="69"/>
      <c r="P122" s="69"/>
      <c r="Q122" s="69"/>
      <c r="R122" s="69"/>
      <c r="S122" s="69"/>
    </row>
    <row r="123" spans="1:19" ht="13.5" customHeight="1" x14ac:dyDescent="0.25">
      <c r="A123" s="103" t="s">
        <v>293</v>
      </c>
      <c r="B123" s="104">
        <f>INDEX(input_data!$L:$L,MATCH("all.in.nh3.stl.oth.---",input_data!$A:$A,0))</f>
        <v>0</v>
      </c>
      <c r="C123" s="90">
        <f>IFERROR((INDEX(calculations!$M:$X,153,CBAM!$P$6)+INDEX(calculations!$M:$X,154,CBAM!$P$6)+INDEX(calculations!$M:$X,155,CBAM!$P$6)+INDEX(calculations!$M:$X,156,CBAM!$P$6))/INDEX(calculations!$M:$X,132,CBAM!$P$6),0)</f>
        <v>1.8512999999999999</v>
      </c>
      <c r="D123" s="89">
        <f t="shared" si="11"/>
        <v>0</v>
      </c>
      <c r="E123" s="105" t="s">
        <v>312</v>
      </c>
      <c r="F123" s="69"/>
      <c r="G123" s="69"/>
      <c r="H123" s="69"/>
      <c r="I123" s="69"/>
      <c r="J123" s="69"/>
      <c r="K123" s="69"/>
      <c r="L123" s="69"/>
      <c r="M123" s="69"/>
      <c r="N123" s="69"/>
      <c r="O123" s="69"/>
      <c r="P123" s="69"/>
      <c r="Q123" s="69"/>
      <c r="R123" s="69"/>
      <c r="S123" s="69"/>
    </row>
    <row r="124" spans="1:19" ht="13.5" customHeight="1" x14ac:dyDescent="0.25">
      <c r="A124" s="106" t="s">
        <v>313</v>
      </c>
      <c r="B124" s="104">
        <f>INDEX(input_data!$L:$L,MATCH("all.in.nh3.frt.otn.---",input_data!$A:$A,0))</f>
        <v>0</v>
      </c>
      <c r="C124" s="90">
        <f>IFERROR((INDEX(calculations!$M:$X,153,CBAM!$P$6)+INDEX(calculations!$M:$X,154,CBAM!$P$6)+INDEX(calculations!$M:$X,155,CBAM!$P$6)+INDEX(calculations!$M:$X,156,CBAM!$P$6))/INDEX(calculations!$M:$X,132,CBAM!$P$6),0)</f>
        <v>1.8512999999999999</v>
      </c>
      <c r="D124" s="89">
        <f t="shared" si="11"/>
        <v>0</v>
      </c>
      <c r="E124" s="107" t="s">
        <v>314</v>
      </c>
      <c r="F124" s="69"/>
      <c r="G124" s="69"/>
      <c r="H124" s="69"/>
      <c r="I124" s="69"/>
      <c r="J124" s="69"/>
      <c r="K124" s="69"/>
      <c r="L124" s="69"/>
      <c r="M124" s="69"/>
      <c r="N124" s="69"/>
      <c r="O124" s="69"/>
      <c r="P124" s="69"/>
      <c r="Q124" s="69"/>
      <c r="R124" s="69"/>
      <c r="S124" s="69"/>
    </row>
    <row r="125" spans="1:19" ht="13.5" customHeight="1" x14ac:dyDescent="0.25">
      <c r="A125" s="69"/>
      <c r="B125" s="69"/>
      <c r="C125" s="69"/>
      <c r="D125" s="69"/>
      <c r="E125" s="69"/>
      <c r="F125" s="69"/>
      <c r="G125" s="69"/>
      <c r="H125" s="69"/>
      <c r="I125" s="69"/>
      <c r="J125" s="69"/>
      <c r="K125" s="69"/>
      <c r="L125" s="69"/>
      <c r="M125" s="69"/>
      <c r="N125" s="69"/>
      <c r="O125" s="69"/>
      <c r="P125" s="69"/>
      <c r="Q125" s="69"/>
      <c r="R125" s="69"/>
      <c r="S125" s="69"/>
    </row>
    <row r="126" spans="1:19" ht="18" customHeight="1" x14ac:dyDescent="0.25">
      <c r="A126" s="9" t="s">
        <v>315</v>
      </c>
      <c r="B126" s="9"/>
      <c r="C126" s="9"/>
      <c r="D126" s="9"/>
      <c r="E126" s="9"/>
      <c r="F126" s="9"/>
      <c r="G126" s="9"/>
      <c r="H126" s="9"/>
      <c r="I126" s="9"/>
      <c r="J126" s="9"/>
      <c r="K126" s="9"/>
      <c r="L126" s="9"/>
      <c r="M126" s="9"/>
      <c r="N126" s="9"/>
      <c r="O126" s="9"/>
      <c r="P126" s="9"/>
      <c r="Q126" s="69"/>
      <c r="R126" s="69"/>
      <c r="S126" s="69"/>
    </row>
    <row r="127" spans="1:19" ht="36" customHeight="1" x14ac:dyDescent="0.25">
      <c r="A127" s="86" t="s">
        <v>316</v>
      </c>
      <c r="B127" s="86" t="s">
        <v>154</v>
      </c>
      <c r="C127" s="86" t="s">
        <v>317</v>
      </c>
      <c r="D127" s="86" t="s">
        <v>318</v>
      </c>
      <c r="E127" s="86" t="s">
        <v>319</v>
      </c>
      <c r="F127" s="86" t="s">
        <v>320</v>
      </c>
      <c r="G127" s="69"/>
      <c r="H127" s="69"/>
      <c r="I127" s="69"/>
      <c r="J127" s="69"/>
      <c r="K127" s="69"/>
      <c r="L127" s="69"/>
      <c r="M127" s="69"/>
      <c r="N127" s="69"/>
      <c r="O127" s="69"/>
      <c r="P127" s="69"/>
      <c r="Q127" s="69"/>
      <c r="R127" s="69"/>
      <c r="S127" s="69"/>
    </row>
    <row r="128" spans="1:19" ht="13.5" customHeight="1" x14ac:dyDescent="0.25">
      <c r="A128" s="76" t="s">
        <v>321</v>
      </c>
      <c r="B128" s="77" t="s">
        <v>279</v>
      </c>
      <c r="C128" s="108" t="s">
        <v>253</v>
      </c>
      <c r="D128" s="109">
        <f>INDEX(input_data!$L:$L,MATCH("all.in.bnk.stl.drg.---",input_data!$A:$A,0))</f>
        <v>0.48099999999999998</v>
      </c>
      <c r="E128" s="88" t="s">
        <v>322</v>
      </c>
      <c r="F128" s="110" t="s">
        <v>323</v>
      </c>
      <c r="G128" s="69"/>
      <c r="H128" s="69"/>
      <c r="I128" s="69"/>
      <c r="J128" s="69"/>
      <c r="K128" s="69"/>
      <c r="L128" s="69"/>
      <c r="M128" s="69"/>
      <c r="N128" s="69"/>
      <c r="O128" s="69"/>
      <c r="P128" s="69"/>
      <c r="Q128" s="69"/>
      <c r="R128" s="69"/>
      <c r="S128" s="69"/>
    </row>
    <row r="129" spans="1:19" ht="13.5" customHeight="1" x14ac:dyDescent="0.25">
      <c r="A129" s="80" t="s">
        <v>324</v>
      </c>
      <c r="B129" s="81" t="s">
        <v>281</v>
      </c>
      <c r="C129" s="111" t="s">
        <v>254</v>
      </c>
      <c r="D129" s="109">
        <f>INDEX(input_data!$L:$L,MATCH("all.in.bnk.stl.scr.---",input_data!$A:$A,0))</f>
        <v>7.1999999999999995E-2</v>
      </c>
      <c r="E129" s="95" t="s">
        <v>322</v>
      </c>
      <c r="F129" s="110" t="s">
        <v>323</v>
      </c>
      <c r="G129" s="69"/>
      <c r="H129" s="69"/>
      <c r="I129" s="69"/>
      <c r="J129" s="69"/>
      <c r="K129" s="69"/>
      <c r="L129" s="69"/>
      <c r="M129" s="69"/>
      <c r="N129" s="69"/>
      <c r="O129" s="69"/>
      <c r="P129" s="69"/>
      <c r="Q129" s="69"/>
      <c r="R129" s="69"/>
      <c r="S129" s="69"/>
    </row>
    <row r="130" spans="1:19" ht="13.5" customHeight="1" x14ac:dyDescent="0.25">
      <c r="A130" s="76" t="s">
        <v>325</v>
      </c>
      <c r="B130" s="77" t="s">
        <v>283</v>
      </c>
      <c r="C130" s="108" t="s">
        <v>255</v>
      </c>
      <c r="D130" s="109">
        <f>INDEX(input_data!$L:$L,MATCH("all.in.bnk.stl.bof.---",input_data!$A:$A,0))</f>
        <v>1.37</v>
      </c>
      <c r="E130" s="88" t="s">
        <v>322</v>
      </c>
      <c r="F130" s="110" t="s">
        <v>323</v>
      </c>
      <c r="G130" s="69"/>
      <c r="H130" s="69"/>
      <c r="I130" s="69"/>
      <c r="J130" s="69"/>
      <c r="K130" s="69"/>
      <c r="L130" s="69"/>
      <c r="M130" s="69"/>
      <c r="N130" s="69"/>
      <c r="O130" s="69"/>
      <c r="P130" s="69"/>
      <c r="Q130" s="69"/>
      <c r="R130" s="69"/>
      <c r="S130" s="69"/>
    </row>
    <row r="131" spans="1:19" ht="13.5" customHeight="1" x14ac:dyDescent="0.25">
      <c r="A131" s="80" t="s">
        <v>326</v>
      </c>
      <c r="B131" s="81" t="s">
        <v>112</v>
      </c>
      <c r="C131" s="111" t="s">
        <v>256</v>
      </c>
      <c r="D131" s="109">
        <f>INDEX(input_data!$L:$L,MATCH("all.in.bnk.cmt.dry.---",input_data!$A:$A,0))</f>
        <v>0.66600000000000004</v>
      </c>
      <c r="E131" s="95" t="s">
        <v>327</v>
      </c>
      <c r="F131" s="112" t="s">
        <v>328</v>
      </c>
    </row>
    <row r="132" spans="1:19" ht="13.5" customHeight="1" x14ac:dyDescent="0.25">
      <c r="A132" s="76" t="s">
        <v>329</v>
      </c>
      <c r="B132" s="77" t="s">
        <v>286</v>
      </c>
      <c r="C132" s="108" t="s">
        <v>257</v>
      </c>
      <c r="D132" s="109">
        <f>INDEX(input_data!$L:$L,MATCH("all.in.bnk.frt.amc.---",input_data!$A:$A,0))</f>
        <v>1.522</v>
      </c>
      <c r="E132" s="88" t="s">
        <v>330</v>
      </c>
      <c r="F132" s="112" t="s">
        <v>328</v>
      </c>
    </row>
    <row r="133" spans="1:19" ht="13.5" customHeight="1" x14ac:dyDescent="0.25">
      <c r="A133" s="80" t="s">
        <v>331</v>
      </c>
      <c r="B133" s="81" t="s">
        <v>114</v>
      </c>
      <c r="C133" s="111" t="s">
        <v>258</v>
      </c>
      <c r="D133" s="109">
        <f>INDEX(input_data!$L:$L,MATCH("all.in.bnk.frt.ure.---",input_data!$A:$A,0))</f>
        <v>0.90200000000000002</v>
      </c>
      <c r="E133" s="95" t="s">
        <v>330</v>
      </c>
      <c r="F133" s="112" t="s">
        <v>328</v>
      </c>
    </row>
    <row r="134" spans="1:19" ht="13.5" customHeight="1" x14ac:dyDescent="0.25">
      <c r="A134" s="76" t="s">
        <v>332</v>
      </c>
      <c r="B134" s="77" t="s">
        <v>289</v>
      </c>
      <c r="C134" s="108" t="s">
        <v>259</v>
      </c>
      <c r="D134" s="109">
        <f>INDEX(input_data!$L:$L,MATCH("all.in.bnk.frt.nit.---",input_data!$A:$A,0))</f>
        <v>0.30199999999999999</v>
      </c>
      <c r="E134" s="88" t="s">
        <v>330</v>
      </c>
      <c r="F134" s="112" t="s">
        <v>328</v>
      </c>
    </row>
    <row r="135" spans="1:19" ht="13.5" customHeight="1" x14ac:dyDescent="0.25">
      <c r="A135" s="80" t="s">
        <v>333</v>
      </c>
      <c r="B135" s="81" t="s">
        <v>291</v>
      </c>
      <c r="C135" s="111" t="s">
        <v>260</v>
      </c>
      <c r="D135" s="109">
        <f>INDEX(input_data!$L:$L,MATCH("all.in.bnk.alu.prp.---",input_data!$A:$A,0))</f>
        <v>1.423</v>
      </c>
      <c r="E135" s="95" t="s">
        <v>334</v>
      </c>
      <c r="F135" s="110" t="s">
        <v>323</v>
      </c>
    </row>
    <row r="136" spans="1:19" ht="13.5" customHeight="1" x14ac:dyDescent="0.25">
      <c r="A136" s="76" t="s">
        <v>335</v>
      </c>
      <c r="B136" s="77" t="s">
        <v>293</v>
      </c>
      <c r="C136" s="108" t="s">
        <v>261</v>
      </c>
      <c r="D136" s="109">
        <f>INDEX(input_data!$L:$L,MATCH("all.in.bnk.stl.oth.---",input_data!$A:$A,0))</f>
        <v>1.222</v>
      </c>
      <c r="E136" s="88" t="s">
        <v>322</v>
      </c>
      <c r="F136" s="110" t="s">
        <v>323</v>
      </c>
    </row>
    <row r="137" spans="1:19" ht="13.5" customHeight="1" x14ac:dyDescent="0.25">
      <c r="A137" s="80" t="s">
        <v>336</v>
      </c>
      <c r="B137" s="81" t="s">
        <v>296</v>
      </c>
      <c r="C137" s="111" t="s">
        <v>262</v>
      </c>
      <c r="D137" s="109">
        <f>INDEX(input_data!$L:$L,MATCH("all.in.bnk.frt.otn.---",input_data!$A:$A,0))</f>
        <v>2.82</v>
      </c>
      <c r="E137" s="95" t="s">
        <v>330</v>
      </c>
      <c r="F137" s="112" t="s">
        <v>328</v>
      </c>
    </row>
    <row r="138" spans="1:19" ht="39.75" customHeight="1" x14ac:dyDescent="0.25">
      <c r="A138" s="72" t="s">
        <v>337</v>
      </c>
    </row>
  </sheetData>
  <mergeCells count="13">
    <mergeCell ref="A112:P112"/>
    <mergeCell ref="A113:P113"/>
    <mergeCell ref="A126:P126"/>
    <mergeCell ref="A42:P42"/>
    <mergeCell ref="A55:P55"/>
    <mergeCell ref="A82:P82"/>
    <mergeCell ref="A97:P97"/>
    <mergeCell ref="A110:P110"/>
    <mergeCell ref="A1:H1"/>
    <mergeCell ref="A4:P4"/>
    <mergeCell ref="A9:P9"/>
    <mergeCell ref="A24:P24"/>
    <mergeCell ref="A31:P31"/>
  </mergeCells>
  <dataValidations count="4">
    <dataValidation type="list" sqref="B5" xr:uid="{00000000-0002-0000-0100-000000000000}">
      <formula1>"egy,alb,uzb,aze,ind"</formula1>
      <formula2>0</formula2>
    </dataValidation>
    <dataValidation type="list" sqref="B6" xr:uid="{00000000-0002-0000-0100-000001000000}">
      <formula1>"2024,2025,2026,2027,2028,2029,2030,2031,2032,2033,2034,2035"</formula1>
      <formula2>0</formula2>
    </dataValidation>
    <dataValidation type="list" sqref="B7" xr:uid="{00000000-0002-0000-0100-000002000000}">
      <formula1>"0,0.1,0.2,0.3,0.4,0.5,0.6,0.7,0.8,0.9,1.0"</formula1>
      <formula2>0</formula2>
    </dataValidation>
    <dataValidation type="list" sqref="B11:B15 B19:I19 B22" xr:uid="{00000000-0002-0000-0100-000003000000}">
      <formula1>"0,1"</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BE123"/>
  <sheetViews>
    <sheetView showGridLines="0" zoomScaleNormal="100" workbookViewId="0">
      <pane xSplit="6" ySplit="10" topLeftCell="G11" activePane="bottomRight" state="frozen"/>
      <selection pane="topRight" activeCell="G1" sqref="G1"/>
      <selection pane="bottomLeft" activeCell="A11" sqref="A11"/>
      <selection pane="bottomRight" sqref="A1:BE1"/>
    </sheetView>
  </sheetViews>
  <sheetFormatPr defaultColWidth="8.7109375" defaultRowHeight="15" x14ac:dyDescent="0.25"/>
  <cols>
    <col min="1" max="1" width="9" customWidth="1"/>
    <col min="2" max="2" width="5" customWidth="1"/>
    <col min="3" max="3" width="22" customWidth="1"/>
    <col min="4" max="4" width="10" customWidth="1"/>
    <col min="5" max="5" width="30" customWidth="1"/>
    <col min="6" max="6" width="18" customWidth="1"/>
    <col min="7" max="7" width="6" customWidth="1"/>
    <col min="11" max="11" width="7" customWidth="1"/>
    <col min="13" max="13" width="8" customWidth="1"/>
    <col min="14" max="14" width="6" customWidth="1"/>
    <col min="15" max="15" width="12" customWidth="1"/>
    <col min="16" max="16" width="7" customWidth="1"/>
    <col min="17" max="17" width="9" customWidth="1"/>
    <col min="19" max="19" width="6" customWidth="1"/>
    <col min="23" max="23" width="7" customWidth="1"/>
    <col min="24" max="24" width="6" customWidth="1"/>
    <col min="25" max="25" width="7" customWidth="1"/>
    <col min="29" max="29" width="36" customWidth="1"/>
    <col min="30" max="30" width="24" customWidth="1"/>
    <col min="32" max="32" width="9" customWidth="1"/>
    <col min="33" max="33" width="8" customWidth="1"/>
    <col min="35" max="35" width="7" customWidth="1"/>
    <col min="36" max="36" width="6" customWidth="1"/>
    <col min="48" max="48" width="2" customWidth="1"/>
    <col min="49" max="49" width="9" customWidth="1"/>
    <col min="55" max="55" width="13" customWidth="1"/>
    <col min="56" max="56" width="10" customWidth="1"/>
  </cols>
  <sheetData>
    <row r="1" spans="1:57" ht="27.75" customHeight="1" x14ac:dyDescent="0.25">
      <c r="A1" s="6" t="s">
        <v>338</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row>
    <row r="2" spans="1:57" ht="37.5" customHeight="1" x14ac:dyDescent="0.25">
      <c r="A2" s="5" t="s">
        <v>339</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row>
    <row r="4" spans="1:57" ht="13.5" customHeight="1" x14ac:dyDescent="0.25">
      <c r="A4" s="4" t="s">
        <v>340</v>
      </c>
      <c r="B4" s="4"/>
      <c r="C4" s="4"/>
      <c r="D4" s="4"/>
      <c r="E4" s="4"/>
      <c r="F4" s="4"/>
      <c r="G4" s="3" t="s">
        <v>341</v>
      </c>
      <c r="H4" s="3"/>
      <c r="I4" s="3"/>
      <c r="J4" s="3"/>
      <c r="K4" s="3"/>
      <c r="L4" s="3"/>
      <c r="M4" s="3"/>
      <c r="N4" s="2" t="s">
        <v>342</v>
      </c>
      <c r="O4" s="2"/>
      <c r="P4" s="2"/>
      <c r="Q4" s="2"/>
      <c r="R4" s="113" t="s">
        <v>343</v>
      </c>
      <c r="S4" s="1" t="s">
        <v>344</v>
      </c>
      <c r="T4" s="1"/>
      <c r="U4" s="1"/>
      <c r="V4" s="1"/>
      <c r="W4" s="433" t="s">
        <v>345</v>
      </c>
      <c r="X4" s="433"/>
      <c r="Y4" s="433"/>
      <c r="Z4" s="433"/>
      <c r="AA4" s="433"/>
      <c r="AB4" s="433"/>
      <c r="AC4" s="433"/>
      <c r="AD4" s="434" t="s">
        <v>346</v>
      </c>
      <c r="AE4" s="434"/>
      <c r="AF4" s="435" t="s">
        <v>347</v>
      </c>
      <c r="AG4" s="435"/>
      <c r="AH4" s="435"/>
      <c r="AI4" s="435"/>
      <c r="AJ4" s="435" t="s">
        <v>348</v>
      </c>
      <c r="AK4" s="435"/>
      <c r="AL4" s="435"/>
      <c r="AM4" s="435"/>
      <c r="AN4" s="435"/>
      <c r="AO4" s="435"/>
      <c r="AP4" s="435"/>
      <c r="AQ4" s="435"/>
      <c r="AR4" s="435"/>
      <c r="AS4" s="435"/>
      <c r="AT4" s="435"/>
      <c r="AU4" s="435"/>
      <c r="AW4" s="2" t="s">
        <v>349</v>
      </c>
      <c r="AX4" s="2"/>
      <c r="AY4" s="2"/>
      <c r="AZ4" s="2"/>
      <c r="BA4" s="2"/>
      <c r="BB4" s="2"/>
      <c r="BC4" s="436" t="s">
        <v>350</v>
      </c>
      <c r="BD4" s="436"/>
      <c r="BE4" s="436"/>
    </row>
    <row r="5" spans="1:57" ht="42" customHeight="1" x14ac:dyDescent="0.25">
      <c r="A5" s="114" t="s">
        <v>351</v>
      </c>
      <c r="B5" s="114" t="s">
        <v>352</v>
      </c>
      <c r="C5" s="114" t="s">
        <v>154</v>
      </c>
      <c r="D5" s="114" t="s">
        <v>209</v>
      </c>
      <c r="E5" s="114" t="s">
        <v>353</v>
      </c>
      <c r="F5" s="114" t="s">
        <v>354</v>
      </c>
      <c r="G5" s="115" t="s">
        <v>355</v>
      </c>
      <c r="H5" s="115" t="s">
        <v>356</v>
      </c>
      <c r="I5" s="115" t="s">
        <v>357</v>
      </c>
      <c r="J5" s="115" t="s">
        <v>358</v>
      </c>
      <c r="K5" s="115" t="s">
        <v>359</v>
      </c>
      <c r="L5" s="115" t="s">
        <v>360</v>
      </c>
      <c r="M5" s="115" t="s">
        <v>361</v>
      </c>
      <c r="N5" s="116" t="s">
        <v>362</v>
      </c>
      <c r="O5" s="116" t="s">
        <v>363</v>
      </c>
      <c r="P5" s="116" t="s">
        <v>364</v>
      </c>
      <c r="Q5" s="116" t="s">
        <v>365</v>
      </c>
      <c r="R5" s="117" t="s">
        <v>366</v>
      </c>
      <c r="S5" s="118" t="s">
        <v>367</v>
      </c>
      <c r="T5" s="118" t="s">
        <v>368</v>
      </c>
      <c r="U5" s="118" t="s">
        <v>369</v>
      </c>
      <c r="V5" s="118" t="s">
        <v>370</v>
      </c>
      <c r="W5" s="119" t="s">
        <v>371</v>
      </c>
      <c r="X5" s="119" t="s">
        <v>372</v>
      </c>
      <c r="Y5" s="119" t="s">
        <v>373</v>
      </c>
      <c r="Z5" s="119" t="s">
        <v>374</v>
      </c>
      <c r="AA5" s="119" t="s">
        <v>375</v>
      </c>
      <c r="AB5" s="119" t="s">
        <v>376</v>
      </c>
      <c r="AC5" s="119" t="s">
        <v>377</v>
      </c>
      <c r="AD5" s="120" t="s">
        <v>378</v>
      </c>
      <c r="AE5" s="120" t="s">
        <v>379</v>
      </c>
      <c r="AF5" s="117" t="s">
        <v>380</v>
      </c>
      <c r="AG5" s="117" t="s">
        <v>381</v>
      </c>
      <c r="AH5" s="117" t="s">
        <v>382</v>
      </c>
      <c r="AI5" s="117" t="s">
        <v>383</v>
      </c>
      <c r="AJ5" s="117" t="s">
        <v>124</v>
      </c>
      <c r="AK5" s="117" t="s">
        <v>125</v>
      </c>
      <c r="AL5" s="117" t="s">
        <v>126</v>
      </c>
      <c r="AM5" s="117" t="s">
        <v>127</v>
      </c>
      <c r="AN5" s="117" t="s">
        <v>128</v>
      </c>
      <c r="AO5" s="117" t="s">
        <v>129</v>
      </c>
      <c r="AP5" s="117" t="s">
        <v>130</v>
      </c>
      <c r="AQ5" s="117" t="s">
        <v>131</v>
      </c>
      <c r="AR5" s="117" t="s">
        <v>132</v>
      </c>
      <c r="AS5" s="117" t="s">
        <v>133</v>
      </c>
      <c r="AT5" s="117" t="s">
        <v>134</v>
      </c>
      <c r="AU5" s="117" t="s">
        <v>135</v>
      </c>
      <c r="AW5" s="116" t="s">
        <v>384</v>
      </c>
      <c r="AX5" s="116" t="s">
        <v>385</v>
      </c>
      <c r="AY5" s="116" t="s">
        <v>386</v>
      </c>
      <c r="AZ5" s="116" t="s">
        <v>387</v>
      </c>
      <c r="BA5" s="116" t="s">
        <v>388</v>
      </c>
      <c r="BB5" s="116" t="s">
        <v>389</v>
      </c>
      <c r="BC5" s="121" t="s">
        <v>390</v>
      </c>
      <c r="BD5" s="121" t="s">
        <v>391</v>
      </c>
      <c r="BE5" s="121" t="s">
        <v>392</v>
      </c>
    </row>
    <row r="6" spans="1:57" ht="18" customHeight="1" x14ac:dyDescent="0.25">
      <c r="A6" s="437" t="s">
        <v>393</v>
      </c>
      <c r="B6" s="437"/>
      <c r="C6" s="437"/>
      <c r="D6" s="437"/>
      <c r="E6" s="437"/>
      <c r="F6" s="437"/>
      <c r="G6" s="437"/>
      <c r="H6" s="437"/>
      <c r="I6" s="437"/>
      <c r="J6" s="437"/>
      <c r="K6" s="437"/>
      <c r="L6" s="437"/>
      <c r="M6" s="437"/>
      <c r="N6" s="437"/>
      <c r="O6" s="437"/>
      <c r="P6" s="437"/>
      <c r="Q6" s="437"/>
      <c r="R6" s="437"/>
      <c r="S6" s="437"/>
      <c r="T6" s="437"/>
      <c r="U6" s="437"/>
      <c r="V6" s="437"/>
      <c r="W6" s="437"/>
      <c r="X6" s="437"/>
      <c r="Y6" s="437"/>
      <c r="Z6" s="437"/>
      <c r="AA6" s="437"/>
      <c r="AB6" s="437"/>
      <c r="AC6" s="437"/>
      <c r="AD6" s="437"/>
      <c r="AE6" s="437"/>
      <c r="AF6" s="437"/>
      <c r="AG6" s="437"/>
      <c r="AH6" s="437"/>
      <c r="AI6" s="437"/>
      <c r="AJ6" s="437"/>
      <c r="AK6" s="437"/>
      <c r="AL6" s="437"/>
      <c r="AM6" s="437"/>
      <c r="AN6" s="437"/>
      <c r="AO6" s="437"/>
      <c r="AP6" s="437"/>
      <c r="AQ6" s="437"/>
      <c r="AR6" s="437"/>
      <c r="AS6" s="437"/>
      <c r="AT6" s="437"/>
      <c r="AU6" s="437"/>
      <c r="AV6" s="437"/>
      <c r="AW6" s="437"/>
      <c r="AX6" s="437"/>
      <c r="AY6" s="437"/>
      <c r="AZ6" s="437"/>
      <c r="BA6" s="437"/>
      <c r="BB6" s="437"/>
      <c r="BC6" s="437"/>
      <c r="BD6" s="437"/>
      <c r="BE6" s="437"/>
    </row>
    <row r="7" spans="1:57" ht="45.75" customHeight="1" x14ac:dyDescent="0.25">
      <c r="A7" s="122" t="s">
        <v>394</v>
      </c>
      <c r="B7" s="123">
        <v>1</v>
      </c>
      <c r="C7" s="124" t="s">
        <v>395</v>
      </c>
      <c r="D7" s="123" t="s">
        <v>396</v>
      </c>
      <c r="E7" s="125" t="s">
        <v>397</v>
      </c>
      <c r="F7" s="126" t="s">
        <v>398</v>
      </c>
      <c r="G7" s="127">
        <f t="shared" ref="G7:G20" si="0">S7*T7/1000</f>
        <v>0.12903000000000001</v>
      </c>
      <c r="H7" s="127">
        <f t="shared" ref="H7:H20" si="1">U7*V7/1000</f>
        <v>0.56100000000000005</v>
      </c>
      <c r="I7" s="128">
        <v>0.04</v>
      </c>
      <c r="J7" s="129">
        <v>0</v>
      </c>
      <c r="K7" s="127">
        <f t="shared" ref="K7:K20" si="2">G7+H7+I7+J7</f>
        <v>0.73003000000000007</v>
      </c>
      <c r="L7" s="127">
        <v>0</v>
      </c>
      <c r="M7" s="127">
        <f t="shared" ref="M7:M20" si="3">K7+L7</f>
        <v>0.73003000000000007</v>
      </c>
      <c r="N7" s="130">
        <v>0.25</v>
      </c>
      <c r="O7" s="131">
        <v>0</v>
      </c>
      <c r="P7" s="132">
        <f t="shared" ref="P7:P20" si="4">M7+N7</f>
        <v>0.98003000000000007</v>
      </c>
      <c r="Q7" s="133">
        <f>P7-N7</f>
        <v>0.73003000000000007</v>
      </c>
      <c r="R7" s="123"/>
      <c r="S7" s="134">
        <v>2.2999999999999998</v>
      </c>
      <c r="T7" s="134">
        <v>56.1</v>
      </c>
      <c r="U7" s="134">
        <v>10</v>
      </c>
      <c r="V7" s="134">
        <v>56.1</v>
      </c>
      <c r="W7" s="130">
        <v>1.82</v>
      </c>
      <c r="X7" s="135">
        <v>0.1</v>
      </c>
      <c r="Y7" s="136">
        <f t="shared" ref="Y7:Y20" si="5">W7*(1+X7)</f>
        <v>2.0020000000000002</v>
      </c>
      <c r="Z7" s="130">
        <v>0.48099999999999998</v>
      </c>
      <c r="AA7" s="137">
        <f t="shared" ref="AA7:AA20" si="6">Q7-Y7</f>
        <v>-1.27197</v>
      </c>
      <c r="AB7" s="137">
        <f t="shared" ref="AB7:AB20" si="7">Q7-Z7</f>
        <v>0.24903000000000008</v>
      </c>
      <c r="AC7" s="138" t="s">
        <v>399</v>
      </c>
      <c r="AD7" s="139" t="s">
        <v>400</v>
      </c>
      <c r="AE7" s="140" t="s">
        <v>401</v>
      </c>
      <c r="AF7" s="141">
        <v>5100</v>
      </c>
      <c r="AG7" s="141">
        <v>580</v>
      </c>
      <c r="AH7" s="141">
        <v>1400</v>
      </c>
      <c r="AI7" s="142">
        <v>4.3999999999999997E-2</v>
      </c>
      <c r="AJ7" s="143">
        <f t="shared" ref="AJ7:AJ20" si="8">AG7</f>
        <v>580</v>
      </c>
      <c r="AK7" s="143">
        <f t="shared" ref="AK7:AK20" si="9">ROUND(AJ7*(1+AI7),0)</f>
        <v>606</v>
      </c>
      <c r="AL7" s="143">
        <f t="shared" ref="AL7:AL20" si="10">ROUND(AK7*(1+AI7),0)</f>
        <v>633</v>
      </c>
      <c r="AM7" s="143">
        <f t="shared" ref="AM7:AM20" si="11">ROUND(AL7*(1+AI7),0)</f>
        <v>661</v>
      </c>
      <c r="AN7" s="143">
        <f t="shared" ref="AN7:AN20" si="12">ROUND(AM7*(1+AI7),0)</f>
        <v>690</v>
      </c>
      <c r="AO7" s="143">
        <f t="shared" ref="AO7:AO20" si="13">ROUND(AN7*(1+AI7),0)</f>
        <v>720</v>
      </c>
      <c r="AP7" s="143">
        <f t="shared" ref="AP7:AP20" si="14">ROUND(AO7*(1+AI7),0)</f>
        <v>752</v>
      </c>
      <c r="AQ7" s="143">
        <f t="shared" ref="AQ7:AQ20" si="15">ROUND(AP7*(1+AI7),0)</f>
        <v>785</v>
      </c>
      <c r="AR7" s="143">
        <f t="shared" ref="AR7:AR20" si="16">ROUND(AQ7*(1+AI7),0)</f>
        <v>820</v>
      </c>
      <c r="AS7" s="143">
        <f t="shared" ref="AS7:AS20" si="17">ROUND(AR7*(1+AI7),0)</f>
        <v>856</v>
      </c>
      <c r="AT7" s="143">
        <f t="shared" ref="AT7:AT20" si="18">ROUND(AS7*(1+AI7),0)</f>
        <v>894</v>
      </c>
      <c r="AU7" s="143">
        <f t="shared" ref="AU7:AU20" si="19">ROUND(AT7*(1+AI7),0)</f>
        <v>933</v>
      </c>
      <c r="AW7" s="144"/>
      <c r="AX7" s="145"/>
      <c r="AY7" s="145"/>
      <c r="AZ7" s="146">
        <f>K7</f>
        <v>0.73003000000000007</v>
      </c>
      <c r="BA7" s="145"/>
      <c r="BB7" s="132">
        <f t="shared" ref="BB7:BB20" si="20">AJ7*Q7/1000</f>
        <v>0.42341740000000005</v>
      </c>
      <c r="BC7" s="147" t="s">
        <v>402</v>
      </c>
      <c r="BD7" s="148">
        <f>Q7</f>
        <v>0.73003000000000007</v>
      </c>
      <c r="BE7" s="149"/>
    </row>
    <row r="8" spans="1:57" ht="45.75" customHeight="1" x14ac:dyDescent="0.25">
      <c r="A8" s="150" t="s">
        <v>394</v>
      </c>
      <c r="B8" s="151">
        <v>2</v>
      </c>
      <c r="C8" s="152" t="s">
        <v>403</v>
      </c>
      <c r="D8" s="151" t="s">
        <v>396</v>
      </c>
      <c r="E8" s="153" t="s">
        <v>404</v>
      </c>
      <c r="F8" s="154" t="s">
        <v>405</v>
      </c>
      <c r="G8" s="127">
        <f t="shared" si="0"/>
        <v>0.14025000000000001</v>
      </c>
      <c r="H8" s="127">
        <f t="shared" si="1"/>
        <v>0</v>
      </c>
      <c r="I8" s="128">
        <v>1.4999999999999999E-2</v>
      </c>
      <c r="J8" s="129">
        <v>0</v>
      </c>
      <c r="K8" s="127">
        <f t="shared" si="2"/>
        <v>0.15525</v>
      </c>
      <c r="L8" s="127">
        <v>0</v>
      </c>
      <c r="M8" s="127">
        <f t="shared" si="3"/>
        <v>0.15525</v>
      </c>
      <c r="N8" s="130">
        <v>0.25</v>
      </c>
      <c r="O8" s="131">
        <v>0</v>
      </c>
      <c r="P8" s="132">
        <f t="shared" si="4"/>
        <v>0.40525</v>
      </c>
      <c r="Q8" s="133">
        <f>P8-N8</f>
        <v>0.15525</v>
      </c>
      <c r="R8" s="151"/>
      <c r="S8" s="134">
        <v>2.5</v>
      </c>
      <c r="T8" s="134">
        <v>56.1</v>
      </c>
      <c r="U8" s="134">
        <v>0</v>
      </c>
      <c r="V8" s="134">
        <v>0</v>
      </c>
      <c r="W8" s="130">
        <v>0.72</v>
      </c>
      <c r="X8" s="135">
        <v>0.1</v>
      </c>
      <c r="Y8" s="136">
        <f t="shared" si="5"/>
        <v>0.79200000000000004</v>
      </c>
      <c r="Z8" s="130">
        <v>7.1999999999999995E-2</v>
      </c>
      <c r="AA8" s="137">
        <f t="shared" si="6"/>
        <v>-0.63675000000000004</v>
      </c>
      <c r="AB8" s="137">
        <f t="shared" si="7"/>
        <v>8.3250000000000005E-2</v>
      </c>
      <c r="AC8" s="138" t="s">
        <v>406</v>
      </c>
      <c r="AD8" s="139" t="s">
        <v>407</v>
      </c>
      <c r="AE8" s="139" t="s">
        <v>408</v>
      </c>
      <c r="AF8" s="141">
        <v>4800</v>
      </c>
      <c r="AG8" s="141">
        <v>300</v>
      </c>
      <c r="AH8" s="141">
        <v>900</v>
      </c>
      <c r="AI8" s="142">
        <v>4.3999999999999997E-2</v>
      </c>
      <c r="AJ8" s="143">
        <f t="shared" si="8"/>
        <v>300</v>
      </c>
      <c r="AK8" s="143">
        <f t="shared" si="9"/>
        <v>313</v>
      </c>
      <c r="AL8" s="143">
        <f t="shared" si="10"/>
        <v>327</v>
      </c>
      <c r="AM8" s="143">
        <f t="shared" si="11"/>
        <v>341</v>
      </c>
      <c r="AN8" s="143">
        <f t="shared" si="12"/>
        <v>356</v>
      </c>
      <c r="AO8" s="143">
        <f t="shared" si="13"/>
        <v>372</v>
      </c>
      <c r="AP8" s="143">
        <f t="shared" si="14"/>
        <v>388</v>
      </c>
      <c r="AQ8" s="143">
        <f t="shared" si="15"/>
        <v>405</v>
      </c>
      <c r="AR8" s="143">
        <f t="shared" si="16"/>
        <v>423</v>
      </c>
      <c r="AS8" s="143">
        <f t="shared" si="17"/>
        <v>442</v>
      </c>
      <c r="AT8" s="143">
        <f t="shared" si="18"/>
        <v>461</v>
      </c>
      <c r="AU8" s="143">
        <f t="shared" si="19"/>
        <v>481</v>
      </c>
      <c r="AW8" s="144"/>
      <c r="AX8" s="145"/>
      <c r="AY8" s="145"/>
      <c r="AZ8" s="146">
        <f>K8</f>
        <v>0.15525</v>
      </c>
      <c r="BA8" s="145"/>
      <c r="BB8" s="132">
        <f t="shared" si="20"/>
        <v>4.6575000000000005E-2</v>
      </c>
      <c r="BC8" s="147" t="s">
        <v>402</v>
      </c>
      <c r="BD8" s="148">
        <f>Q8</f>
        <v>0.15525</v>
      </c>
      <c r="BE8" s="149"/>
    </row>
    <row r="9" spans="1:57" ht="45.75" customHeight="1" x14ac:dyDescent="0.25">
      <c r="A9" s="155" t="s">
        <v>394</v>
      </c>
      <c r="B9" s="145">
        <v>3</v>
      </c>
      <c r="C9" s="156" t="s">
        <v>409</v>
      </c>
      <c r="D9" s="145" t="s">
        <v>396</v>
      </c>
      <c r="E9" s="157" t="s">
        <v>410</v>
      </c>
      <c r="F9" s="158" t="s">
        <v>411</v>
      </c>
      <c r="G9" s="127">
        <f t="shared" si="0"/>
        <v>0.38439999999999996</v>
      </c>
      <c r="H9" s="127">
        <f t="shared" si="1"/>
        <v>1.5375999999999999</v>
      </c>
      <c r="I9" s="128">
        <v>0.25</v>
      </c>
      <c r="J9" s="129">
        <v>0</v>
      </c>
      <c r="K9" s="127">
        <f t="shared" si="2"/>
        <v>2.1719999999999997</v>
      </c>
      <c r="L9" s="127">
        <v>0</v>
      </c>
      <c r="M9" s="127">
        <f t="shared" si="3"/>
        <v>2.1719999999999997</v>
      </c>
      <c r="N9" s="130">
        <v>0.1875</v>
      </c>
      <c r="O9" s="131">
        <v>0</v>
      </c>
      <c r="P9" s="132">
        <f t="shared" si="4"/>
        <v>2.3594999999999997</v>
      </c>
      <c r="Q9" s="133">
        <f>P9-N9</f>
        <v>2.1719999999999997</v>
      </c>
      <c r="R9" s="145"/>
      <c r="S9" s="134">
        <v>4</v>
      </c>
      <c r="T9" s="134">
        <v>96.1</v>
      </c>
      <c r="U9" s="134">
        <v>16</v>
      </c>
      <c r="V9" s="134">
        <v>96.1</v>
      </c>
      <c r="W9" s="130">
        <v>2.8</v>
      </c>
      <c r="X9" s="135">
        <v>0.1</v>
      </c>
      <c r="Y9" s="136">
        <f t="shared" si="5"/>
        <v>3.08</v>
      </c>
      <c r="Z9" s="130">
        <v>1.37</v>
      </c>
      <c r="AA9" s="137">
        <f t="shared" si="6"/>
        <v>-0.90800000000000036</v>
      </c>
      <c r="AB9" s="137">
        <f t="shared" si="7"/>
        <v>0.8019999999999996</v>
      </c>
      <c r="AC9" s="138" t="s">
        <v>412</v>
      </c>
      <c r="AD9" s="159" t="s">
        <v>413</v>
      </c>
      <c r="AE9" s="140" t="s">
        <v>414</v>
      </c>
      <c r="AF9" s="141">
        <v>0</v>
      </c>
      <c r="AG9" s="141">
        <v>0</v>
      </c>
      <c r="AH9" s="141">
        <v>0</v>
      </c>
      <c r="AI9" s="142">
        <v>0</v>
      </c>
      <c r="AJ9" s="143">
        <f t="shared" si="8"/>
        <v>0</v>
      </c>
      <c r="AK9" s="143">
        <f t="shared" si="9"/>
        <v>0</v>
      </c>
      <c r="AL9" s="143">
        <f t="shared" si="10"/>
        <v>0</v>
      </c>
      <c r="AM9" s="143">
        <f t="shared" si="11"/>
        <v>0</v>
      </c>
      <c r="AN9" s="143">
        <f t="shared" si="12"/>
        <v>0</v>
      </c>
      <c r="AO9" s="143">
        <f t="shared" si="13"/>
        <v>0</v>
      </c>
      <c r="AP9" s="143">
        <f t="shared" si="14"/>
        <v>0</v>
      </c>
      <c r="AQ9" s="143">
        <f t="shared" si="15"/>
        <v>0</v>
      </c>
      <c r="AR9" s="143">
        <f t="shared" si="16"/>
        <v>0</v>
      </c>
      <c r="AS9" s="143">
        <f t="shared" si="17"/>
        <v>0</v>
      </c>
      <c r="AT9" s="143">
        <f t="shared" si="18"/>
        <v>0</v>
      </c>
      <c r="AU9" s="143">
        <f t="shared" si="19"/>
        <v>0</v>
      </c>
      <c r="AW9" s="144"/>
      <c r="AX9" s="145"/>
      <c r="AY9" s="145"/>
      <c r="AZ9" s="146">
        <f>K9</f>
        <v>2.1719999999999997</v>
      </c>
      <c r="BA9" s="145"/>
      <c r="BB9" s="132">
        <f t="shared" si="20"/>
        <v>0</v>
      </c>
      <c r="BC9" s="147" t="s">
        <v>402</v>
      </c>
      <c r="BD9" s="148">
        <f>Q9</f>
        <v>2.1719999999999997</v>
      </c>
      <c r="BE9" s="149"/>
    </row>
    <row r="10" spans="1:57" ht="45.75" customHeight="1" x14ac:dyDescent="0.25">
      <c r="A10" s="160" t="s">
        <v>394</v>
      </c>
      <c r="B10" s="161">
        <v>4</v>
      </c>
      <c r="C10" s="162" t="s">
        <v>415</v>
      </c>
      <c r="D10" s="161" t="s">
        <v>416</v>
      </c>
      <c r="E10" s="163" t="s">
        <v>417</v>
      </c>
      <c r="F10" s="164" t="s">
        <v>418</v>
      </c>
      <c r="G10" s="127">
        <f t="shared" si="0"/>
        <v>0.36</v>
      </c>
      <c r="H10" s="127">
        <f t="shared" si="1"/>
        <v>1.7250000000000001</v>
      </c>
      <c r="I10" s="128">
        <v>0.7</v>
      </c>
      <c r="J10" s="129">
        <v>0</v>
      </c>
      <c r="K10" s="127">
        <f t="shared" si="2"/>
        <v>2.7850000000000001</v>
      </c>
      <c r="L10" s="127">
        <v>0</v>
      </c>
      <c r="M10" s="127">
        <f t="shared" si="3"/>
        <v>2.7850000000000001</v>
      </c>
      <c r="N10" s="130">
        <v>1.75</v>
      </c>
      <c r="O10" s="131">
        <v>0</v>
      </c>
      <c r="P10" s="132">
        <f t="shared" si="4"/>
        <v>4.5350000000000001</v>
      </c>
      <c r="Q10" s="133">
        <f>P10-N10</f>
        <v>2.7850000000000001</v>
      </c>
      <c r="R10" s="161"/>
      <c r="S10" s="134">
        <v>6</v>
      </c>
      <c r="T10" s="134">
        <v>60</v>
      </c>
      <c r="U10" s="134">
        <v>23</v>
      </c>
      <c r="V10" s="134">
        <v>75</v>
      </c>
      <c r="W10" s="130">
        <v>2.8</v>
      </c>
      <c r="X10" s="135">
        <v>0.1</v>
      </c>
      <c r="Y10" s="136">
        <f t="shared" si="5"/>
        <v>3.08</v>
      </c>
      <c r="Z10" s="130">
        <v>1.4</v>
      </c>
      <c r="AA10" s="137">
        <f t="shared" si="6"/>
        <v>-0.29499999999999993</v>
      </c>
      <c r="AB10" s="137">
        <f t="shared" si="7"/>
        <v>1.3850000000000002</v>
      </c>
      <c r="AC10" s="138" t="s">
        <v>419</v>
      </c>
      <c r="AD10" s="159" t="s">
        <v>420</v>
      </c>
      <c r="AE10" s="159" t="s">
        <v>421</v>
      </c>
      <c r="AF10" s="141">
        <v>0</v>
      </c>
      <c r="AG10" s="141">
        <v>0</v>
      </c>
      <c r="AH10" s="141">
        <v>0</v>
      </c>
      <c r="AI10" s="142">
        <v>5.5E-2</v>
      </c>
      <c r="AJ10" s="143">
        <f t="shared" si="8"/>
        <v>0</v>
      </c>
      <c r="AK10" s="143">
        <f t="shared" si="9"/>
        <v>0</v>
      </c>
      <c r="AL10" s="143">
        <f t="shared" si="10"/>
        <v>0</v>
      </c>
      <c r="AM10" s="143">
        <f t="shared" si="11"/>
        <v>0</v>
      </c>
      <c r="AN10" s="143">
        <f t="shared" si="12"/>
        <v>0</v>
      </c>
      <c r="AO10" s="143">
        <f t="shared" si="13"/>
        <v>0</v>
      </c>
      <c r="AP10" s="143">
        <f t="shared" si="14"/>
        <v>0</v>
      </c>
      <c r="AQ10" s="143">
        <f t="shared" si="15"/>
        <v>0</v>
      </c>
      <c r="AR10" s="143">
        <f t="shared" si="16"/>
        <v>0</v>
      </c>
      <c r="AS10" s="143">
        <f t="shared" si="17"/>
        <v>0</v>
      </c>
      <c r="AT10" s="143">
        <f t="shared" si="18"/>
        <v>0</v>
      </c>
      <c r="AU10" s="143">
        <f t="shared" si="19"/>
        <v>0</v>
      </c>
      <c r="AW10" s="144"/>
      <c r="AX10" s="145"/>
      <c r="AY10" s="145"/>
      <c r="AZ10" s="146">
        <f>K10</f>
        <v>2.7850000000000001</v>
      </c>
      <c r="BA10" s="145"/>
      <c r="BB10" s="132">
        <f t="shared" si="20"/>
        <v>0</v>
      </c>
      <c r="BC10" s="147" t="s">
        <v>402</v>
      </c>
      <c r="BD10" s="148">
        <f>Q10</f>
        <v>2.7850000000000001</v>
      </c>
      <c r="BE10" s="149"/>
    </row>
    <row r="11" spans="1:57" ht="45.75" customHeight="1" x14ac:dyDescent="0.25">
      <c r="A11" s="165" t="s">
        <v>394</v>
      </c>
      <c r="B11" s="166">
        <v>5</v>
      </c>
      <c r="C11" s="167" t="s">
        <v>422</v>
      </c>
      <c r="D11" s="166" t="s">
        <v>423</v>
      </c>
      <c r="E11" s="168" t="s">
        <v>424</v>
      </c>
      <c r="F11" s="169" t="s">
        <v>425</v>
      </c>
      <c r="G11" s="127">
        <f t="shared" si="0"/>
        <v>0.28829999999999995</v>
      </c>
      <c r="H11" s="127">
        <f t="shared" si="1"/>
        <v>0</v>
      </c>
      <c r="I11" s="128">
        <v>0.52600000000000002</v>
      </c>
      <c r="J11" s="129">
        <v>0</v>
      </c>
      <c r="K11" s="127">
        <f t="shared" si="2"/>
        <v>0.81430000000000002</v>
      </c>
      <c r="L11" s="127">
        <v>0</v>
      </c>
      <c r="M11" s="127">
        <f t="shared" si="3"/>
        <v>0.81430000000000002</v>
      </c>
      <c r="N11" s="130">
        <v>5.6250000000000001E-2</v>
      </c>
      <c r="O11" s="170">
        <v>1</v>
      </c>
      <c r="P11" s="132">
        <f t="shared" si="4"/>
        <v>0.87055000000000005</v>
      </c>
      <c r="Q11" s="133">
        <f t="shared" ref="Q11:Q16" si="21">P11</f>
        <v>0.87055000000000005</v>
      </c>
      <c r="R11" s="166"/>
      <c r="S11" s="134">
        <v>3</v>
      </c>
      <c r="T11" s="134">
        <v>96.1</v>
      </c>
      <c r="U11" s="134">
        <v>0</v>
      </c>
      <c r="V11" s="134">
        <v>0</v>
      </c>
      <c r="W11" s="130">
        <v>1.58</v>
      </c>
      <c r="X11" s="135">
        <v>0.1</v>
      </c>
      <c r="Y11" s="136">
        <f t="shared" si="5"/>
        <v>1.7380000000000002</v>
      </c>
      <c r="Z11" s="130">
        <v>0.66600000000000004</v>
      </c>
      <c r="AA11" s="137">
        <f t="shared" si="6"/>
        <v>-0.86745000000000017</v>
      </c>
      <c r="AB11" s="137">
        <f t="shared" si="7"/>
        <v>0.20455000000000001</v>
      </c>
      <c r="AC11" s="138" t="s">
        <v>426</v>
      </c>
      <c r="AD11" s="139" t="s">
        <v>427</v>
      </c>
      <c r="AE11" s="140" t="s">
        <v>428</v>
      </c>
      <c r="AF11" s="141">
        <v>50000</v>
      </c>
      <c r="AG11" s="141">
        <v>800</v>
      </c>
      <c r="AH11" s="141">
        <v>9700</v>
      </c>
      <c r="AI11" s="142">
        <v>3.3000000000000002E-2</v>
      </c>
      <c r="AJ11" s="143">
        <f t="shared" si="8"/>
        <v>800</v>
      </c>
      <c r="AK11" s="143">
        <f t="shared" si="9"/>
        <v>826</v>
      </c>
      <c r="AL11" s="143">
        <f t="shared" si="10"/>
        <v>853</v>
      </c>
      <c r="AM11" s="143">
        <f t="shared" si="11"/>
        <v>881</v>
      </c>
      <c r="AN11" s="143">
        <f t="shared" si="12"/>
        <v>910</v>
      </c>
      <c r="AO11" s="143">
        <f t="shared" si="13"/>
        <v>940</v>
      </c>
      <c r="AP11" s="143">
        <f t="shared" si="14"/>
        <v>971</v>
      </c>
      <c r="AQ11" s="143">
        <f t="shared" si="15"/>
        <v>1003</v>
      </c>
      <c r="AR11" s="143">
        <f t="shared" si="16"/>
        <v>1036</v>
      </c>
      <c r="AS11" s="143">
        <f t="shared" si="17"/>
        <v>1070</v>
      </c>
      <c r="AT11" s="143">
        <f t="shared" si="18"/>
        <v>1105</v>
      </c>
      <c r="AU11" s="143">
        <f t="shared" si="19"/>
        <v>1141</v>
      </c>
      <c r="AW11" s="144"/>
      <c r="AX11" s="145"/>
      <c r="AY11" s="145"/>
      <c r="AZ11" s="146">
        <f t="shared" ref="AZ11:AZ16" si="22">K11+N11</f>
        <v>0.87055000000000005</v>
      </c>
      <c r="BA11" s="145"/>
      <c r="BB11" s="132">
        <f t="shared" si="20"/>
        <v>0.69644000000000006</v>
      </c>
      <c r="BC11" s="171" t="s">
        <v>429</v>
      </c>
      <c r="BD11" s="172">
        <f>Q11/0.8</f>
        <v>1.0881875000000001</v>
      </c>
      <c r="BE11" s="173">
        <f>ROUND(AF11*0.8,0)</f>
        <v>40000</v>
      </c>
    </row>
    <row r="12" spans="1:57" ht="45.75" customHeight="1" x14ac:dyDescent="0.25">
      <c r="A12" s="174" t="s">
        <v>394</v>
      </c>
      <c r="B12" s="175">
        <v>6</v>
      </c>
      <c r="C12" s="176" t="s">
        <v>430</v>
      </c>
      <c r="D12" s="175" t="s">
        <v>416</v>
      </c>
      <c r="E12" s="177" t="s">
        <v>431</v>
      </c>
      <c r="F12" s="178" t="s">
        <v>432</v>
      </c>
      <c r="G12" s="127">
        <f t="shared" si="0"/>
        <v>0.19074000000000002</v>
      </c>
      <c r="H12" s="127">
        <f t="shared" si="1"/>
        <v>0</v>
      </c>
      <c r="I12" s="128">
        <v>0.45</v>
      </c>
      <c r="J12" s="129">
        <v>0</v>
      </c>
      <c r="K12" s="127">
        <f t="shared" si="2"/>
        <v>0.64074000000000009</v>
      </c>
      <c r="L12" s="127">
        <v>0</v>
      </c>
      <c r="M12" s="127">
        <f t="shared" si="3"/>
        <v>0.64074000000000009</v>
      </c>
      <c r="N12" s="130">
        <v>0.05</v>
      </c>
      <c r="O12" s="170">
        <v>1</v>
      </c>
      <c r="P12" s="132">
        <f t="shared" si="4"/>
        <v>0.69074000000000013</v>
      </c>
      <c r="Q12" s="133">
        <f t="shared" si="21"/>
        <v>0.69074000000000013</v>
      </c>
      <c r="R12" s="175"/>
      <c r="S12" s="134">
        <v>3.4</v>
      </c>
      <c r="T12" s="134">
        <v>56.1</v>
      </c>
      <c r="U12" s="134">
        <v>0</v>
      </c>
      <c r="V12" s="134">
        <v>0</v>
      </c>
      <c r="W12" s="130">
        <v>1.3</v>
      </c>
      <c r="X12" s="135">
        <v>0.01</v>
      </c>
      <c r="Y12" s="136">
        <f t="shared" si="5"/>
        <v>1.3130000000000002</v>
      </c>
      <c r="Z12" s="130">
        <v>0.55000000000000004</v>
      </c>
      <c r="AA12" s="137">
        <f t="shared" si="6"/>
        <v>-0.62226000000000004</v>
      </c>
      <c r="AB12" s="137">
        <f t="shared" si="7"/>
        <v>0.14074000000000009</v>
      </c>
      <c r="AC12" s="138" t="s">
        <v>433</v>
      </c>
      <c r="AD12" s="159" t="s">
        <v>434</v>
      </c>
      <c r="AE12" s="159" t="s">
        <v>435</v>
      </c>
      <c r="AF12" s="141">
        <v>0</v>
      </c>
      <c r="AG12" s="141">
        <v>0</v>
      </c>
      <c r="AH12" s="141">
        <v>0</v>
      </c>
      <c r="AI12" s="142">
        <v>5.5E-2</v>
      </c>
      <c r="AJ12" s="143">
        <f t="shared" si="8"/>
        <v>0</v>
      </c>
      <c r="AK12" s="143">
        <f t="shared" si="9"/>
        <v>0</v>
      </c>
      <c r="AL12" s="143">
        <f t="shared" si="10"/>
        <v>0</v>
      </c>
      <c r="AM12" s="143">
        <f t="shared" si="11"/>
        <v>0</v>
      </c>
      <c r="AN12" s="143">
        <f t="shared" si="12"/>
        <v>0</v>
      </c>
      <c r="AO12" s="143">
        <f t="shared" si="13"/>
        <v>0</v>
      </c>
      <c r="AP12" s="143">
        <f t="shared" si="14"/>
        <v>0</v>
      </c>
      <c r="AQ12" s="143">
        <f t="shared" si="15"/>
        <v>0</v>
      </c>
      <c r="AR12" s="143">
        <f t="shared" si="16"/>
        <v>0</v>
      </c>
      <c r="AS12" s="143">
        <f t="shared" si="17"/>
        <v>0</v>
      </c>
      <c r="AT12" s="143">
        <f t="shared" si="18"/>
        <v>0</v>
      </c>
      <c r="AU12" s="143">
        <f t="shared" si="19"/>
        <v>0</v>
      </c>
      <c r="AW12" s="144"/>
      <c r="AX12" s="145"/>
      <c r="AY12" s="145"/>
      <c r="AZ12" s="146">
        <f t="shared" si="22"/>
        <v>0.69074000000000013</v>
      </c>
      <c r="BA12" s="145"/>
      <c r="BB12" s="132">
        <f t="shared" si="20"/>
        <v>0</v>
      </c>
      <c r="BC12" s="147" t="s">
        <v>402</v>
      </c>
      <c r="BD12" s="148">
        <f>Q12</f>
        <v>0.69074000000000013</v>
      </c>
      <c r="BE12" s="149"/>
    </row>
    <row r="13" spans="1:57" ht="45.75" customHeight="1" x14ac:dyDescent="0.25">
      <c r="A13" s="179" t="s">
        <v>394</v>
      </c>
      <c r="B13" s="180">
        <v>7</v>
      </c>
      <c r="C13" s="181" t="s">
        <v>436</v>
      </c>
      <c r="D13" s="180" t="s">
        <v>437</v>
      </c>
      <c r="E13" s="182" t="s">
        <v>438</v>
      </c>
      <c r="F13" s="183" t="s">
        <v>439</v>
      </c>
      <c r="G13" s="127">
        <f t="shared" si="0"/>
        <v>0.39269999999999999</v>
      </c>
      <c r="H13" s="127">
        <f t="shared" si="1"/>
        <v>1.4586000000000001</v>
      </c>
      <c r="I13" s="128">
        <v>0</v>
      </c>
      <c r="J13" s="129">
        <v>0</v>
      </c>
      <c r="K13" s="127">
        <f t="shared" si="2"/>
        <v>1.8513000000000002</v>
      </c>
      <c r="L13" s="127">
        <v>0</v>
      </c>
      <c r="M13" s="127">
        <f t="shared" si="3"/>
        <v>1.8513000000000002</v>
      </c>
      <c r="N13" s="130">
        <v>3.7499999999999999E-2</v>
      </c>
      <c r="O13" s="170">
        <v>1</v>
      </c>
      <c r="P13" s="132">
        <f t="shared" si="4"/>
        <v>1.8888000000000003</v>
      </c>
      <c r="Q13" s="133">
        <f t="shared" si="21"/>
        <v>1.8888000000000003</v>
      </c>
      <c r="R13" s="180"/>
      <c r="S13" s="134">
        <v>7</v>
      </c>
      <c r="T13" s="134">
        <v>56.1</v>
      </c>
      <c r="U13" s="134">
        <v>26</v>
      </c>
      <c r="V13" s="134">
        <v>56.1</v>
      </c>
      <c r="W13" s="130">
        <v>2.0499999999999998</v>
      </c>
      <c r="X13" s="135">
        <v>0.01</v>
      </c>
      <c r="Y13" s="136">
        <f t="shared" si="5"/>
        <v>2.0705</v>
      </c>
      <c r="Z13" s="130">
        <v>1.484</v>
      </c>
      <c r="AA13" s="137">
        <f t="shared" si="6"/>
        <v>-0.18169999999999975</v>
      </c>
      <c r="AB13" s="137">
        <f t="shared" si="7"/>
        <v>0.40480000000000027</v>
      </c>
      <c r="AC13" s="138" t="s">
        <v>440</v>
      </c>
      <c r="AD13" s="139" t="s">
        <v>441</v>
      </c>
      <c r="AE13" s="140" t="s">
        <v>442</v>
      </c>
      <c r="AF13" s="184">
        <v>1785</v>
      </c>
      <c r="AG13" s="141">
        <v>120</v>
      </c>
      <c r="AH13" s="141">
        <v>400</v>
      </c>
      <c r="AI13" s="142">
        <v>2.1999999999999999E-2</v>
      </c>
      <c r="AJ13" s="143">
        <f t="shared" si="8"/>
        <v>120</v>
      </c>
      <c r="AK13" s="143">
        <f t="shared" si="9"/>
        <v>123</v>
      </c>
      <c r="AL13" s="143">
        <f t="shared" si="10"/>
        <v>126</v>
      </c>
      <c r="AM13" s="143">
        <f t="shared" si="11"/>
        <v>129</v>
      </c>
      <c r="AN13" s="143">
        <f t="shared" si="12"/>
        <v>132</v>
      </c>
      <c r="AO13" s="143">
        <f t="shared" si="13"/>
        <v>135</v>
      </c>
      <c r="AP13" s="143">
        <f t="shared" si="14"/>
        <v>138</v>
      </c>
      <c r="AQ13" s="143">
        <f t="shared" si="15"/>
        <v>141</v>
      </c>
      <c r="AR13" s="143">
        <f t="shared" si="16"/>
        <v>144</v>
      </c>
      <c r="AS13" s="143">
        <f t="shared" si="17"/>
        <v>147</v>
      </c>
      <c r="AT13" s="143">
        <f t="shared" si="18"/>
        <v>150</v>
      </c>
      <c r="AU13" s="143">
        <f t="shared" si="19"/>
        <v>153</v>
      </c>
      <c r="AW13" s="144">
        <v>1</v>
      </c>
      <c r="AX13" s="144">
        <v>1.8512999999999999</v>
      </c>
      <c r="AY13" s="144">
        <v>1.8888</v>
      </c>
      <c r="AZ13" s="146">
        <f t="shared" si="22"/>
        <v>1.8888000000000003</v>
      </c>
      <c r="BA13" s="185">
        <v>3500</v>
      </c>
      <c r="BB13" s="132">
        <f t="shared" si="20"/>
        <v>0.22665600000000002</v>
      </c>
      <c r="BC13" s="171" t="s">
        <v>443</v>
      </c>
      <c r="BD13" s="172">
        <f>Q13/0.822</f>
        <v>2.2978102189781024</v>
      </c>
      <c r="BE13" s="173">
        <f>ROUND(AF13*0.822,0)</f>
        <v>1467</v>
      </c>
    </row>
    <row r="14" spans="1:57" ht="45.75" customHeight="1" x14ac:dyDescent="0.25">
      <c r="A14" s="186" t="s">
        <v>394</v>
      </c>
      <c r="B14" s="187">
        <v>8</v>
      </c>
      <c r="C14" s="188" t="s">
        <v>114</v>
      </c>
      <c r="D14" s="187" t="s">
        <v>444</v>
      </c>
      <c r="E14" s="189" t="s">
        <v>445</v>
      </c>
      <c r="F14" s="190" t="s">
        <v>446</v>
      </c>
      <c r="G14" s="127">
        <f t="shared" si="0"/>
        <v>0.11220000000000001</v>
      </c>
      <c r="H14" s="127">
        <f t="shared" si="1"/>
        <v>0</v>
      </c>
      <c r="I14" s="128">
        <v>-0.73299999999999998</v>
      </c>
      <c r="J14" s="129">
        <v>0</v>
      </c>
      <c r="K14" s="127">
        <f t="shared" si="2"/>
        <v>-0.62080000000000002</v>
      </c>
      <c r="L14" s="127">
        <f>AW14*AY14</f>
        <v>1.0709495999999998</v>
      </c>
      <c r="M14" s="127">
        <f t="shared" si="3"/>
        <v>0.45014959999999982</v>
      </c>
      <c r="N14" s="130">
        <v>3.7499999999999999E-2</v>
      </c>
      <c r="O14" s="170">
        <v>1</v>
      </c>
      <c r="P14" s="132">
        <f t="shared" si="4"/>
        <v>0.48764959999999979</v>
      </c>
      <c r="Q14" s="133">
        <f t="shared" si="21"/>
        <v>0.48764959999999979</v>
      </c>
      <c r="R14" s="187"/>
      <c r="S14" s="134">
        <v>2</v>
      </c>
      <c r="T14" s="134">
        <v>56.1</v>
      </c>
      <c r="U14" s="134">
        <v>0</v>
      </c>
      <c r="V14" s="134">
        <v>0</v>
      </c>
      <c r="W14" s="130">
        <v>1.39</v>
      </c>
      <c r="X14" s="135">
        <v>0.01</v>
      </c>
      <c r="Y14" s="136">
        <f t="shared" si="5"/>
        <v>1.4038999999999999</v>
      </c>
      <c r="Z14" s="130">
        <v>0.90200000000000002</v>
      </c>
      <c r="AA14" s="137">
        <f t="shared" si="6"/>
        <v>-0.91625040000000013</v>
      </c>
      <c r="AB14" s="137">
        <f t="shared" si="7"/>
        <v>-0.41435040000000023</v>
      </c>
      <c r="AC14" s="138" t="s">
        <v>447</v>
      </c>
      <c r="AD14" s="139" t="s">
        <v>448</v>
      </c>
      <c r="AE14" s="140" t="s">
        <v>449</v>
      </c>
      <c r="AF14" s="141">
        <v>2800</v>
      </c>
      <c r="AG14" s="141">
        <v>1600</v>
      </c>
      <c r="AH14" s="141">
        <v>2200</v>
      </c>
      <c r="AI14" s="142">
        <v>2.1999999999999999E-2</v>
      </c>
      <c r="AJ14" s="143">
        <f t="shared" si="8"/>
        <v>1600</v>
      </c>
      <c r="AK14" s="143">
        <f t="shared" si="9"/>
        <v>1635</v>
      </c>
      <c r="AL14" s="143">
        <f t="shared" si="10"/>
        <v>1671</v>
      </c>
      <c r="AM14" s="143">
        <f t="shared" si="11"/>
        <v>1708</v>
      </c>
      <c r="AN14" s="143">
        <f t="shared" si="12"/>
        <v>1746</v>
      </c>
      <c r="AO14" s="143">
        <f t="shared" si="13"/>
        <v>1784</v>
      </c>
      <c r="AP14" s="143">
        <f t="shared" si="14"/>
        <v>1823</v>
      </c>
      <c r="AQ14" s="143">
        <f t="shared" si="15"/>
        <v>1863</v>
      </c>
      <c r="AR14" s="143">
        <f t="shared" si="16"/>
        <v>1904</v>
      </c>
      <c r="AS14" s="143">
        <f t="shared" si="17"/>
        <v>1946</v>
      </c>
      <c r="AT14" s="143">
        <f t="shared" si="18"/>
        <v>1989</v>
      </c>
      <c r="AU14" s="143">
        <f t="shared" si="19"/>
        <v>2033</v>
      </c>
      <c r="AW14" s="144">
        <v>0.56699999999999995</v>
      </c>
      <c r="AX14" s="144">
        <v>1.8512999999999999</v>
      </c>
      <c r="AY14" s="144">
        <v>1.8888</v>
      </c>
      <c r="AZ14" s="146">
        <f t="shared" si="22"/>
        <v>-0.58330000000000004</v>
      </c>
      <c r="BA14" s="145"/>
      <c r="BB14" s="132">
        <f t="shared" si="20"/>
        <v>0.78023935999999972</v>
      </c>
      <c r="BC14" s="171" t="s">
        <v>450</v>
      </c>
      <c r="BD14" s="172">
        <f>Q14/0.466</f>
        <v>1.0464583690987119</v>
      </c>
      <c r="BE14" s="173">
        <f>ROUND(AF14*0.466,0)</f>
        <v>1305</v>
      </c>
    </row>
    <row r="15" spans="1:57" ht="45.75" customHeight="1" x14ac:dyDescent="0.25">
      <c r="A15" s="191" t="s">
        <v>394</v>
      </c>
      <c r="B15" s="192">
        <v>9</v>
      </c>
      <c r="C15" s="193" t="s">
        <v>289</v>
      </c>
      <c r="D15" s="192" t="s">
        <v>451</v>
      </c>
      <c r="E15" s="194" t="s">
        <v>452</v>
      </c>
      <c r="F15" s="195" t="s">
        <v>453</v>
      </c>
      <c r="G15" s="127">
        <f t="shared" si="0"/>
        <v>0.11220000000000001</v>
      </c>
      <c r="H15" s="127">
        <f t="shared" si="1"/>
        <v>0</v>
      </c>
      <c r="I15" s="128">
        <v>0</v>
      </c>
      <c r="J15" s="129">
        <v>0.97</v>
      </c>
      <c r="K15" s="127">
        <f t="shared" si="2"/>
        <v>1.0822000000000001</v>
      </c>
      <c r="L15" s="127">
        <f>AW15*AY15</f>
        <v>0.40137</v>
      </c>
      <c r="M15" s="127">
        <f t="shared" si="3"/>
        <v>1.4835700000000001</v>
      </c>
      <c r="N15" s="130">
        <v>4.3749999999999997E-2</v>
      </c>
      <c r="O15" s="170">
        <v>1</v>
      </c>
      <c r="P15" s="132">
        <f t="shared" si="4"/>
        <v>1.52732</v>
      </c>
      <c r="Q15" s="133">
        <f t="shared" si="21"/>
        <v>1.52732</v>
      </c>
      <c r="R15" s="192"/>
      <c r="S15" s="134">
        <v>2</v>
      </c>
      <c r="T15" s="134">
        <v>56.1</v>
      </c>
      <c r="U15" s="134">
        <v>0</v>
      </c>
      <c r="V15" s="134">
        <v>0</v>
      </c>
      <c r="W15" s="130">
        <v>2.64</v>
      </c>
      <c r="X15" s="135">
        <v>0.01</v>
      </c>
      <c r="Y15" s="136">
        <f t="shared" si="5"/>
        <v>2.6664000000000003</v>
      </c>
      <c r="Z15" s="130">
        <v>0.30199999999999999</v>
      </c>
      <c r="AA15" s="137">
        <f t="shared" si="6"/>
        <v>-1.1390800000000003</v>
      </c>
      <c r="AB15" s="137">
        <f t="shared" si="7"/>
        <v>1.22532</v>
      </c>
      <c r="AC15" s="138" t="s">
        <v>454</v>
      </c>
      <c r="AD15" s="139" t="s">
        <v>455</v>
      </c>
      <c r="AE15" s="140" t="s">
        <v>456</v>
      </c>
      <c r="AF15" s="141">
        <v>600</v>
      </c>
      <c r="AG15" s="141">
        <v>80</v>
      </c>
      <c r="AH15" s="141">
        <v>250</v>
      </c>
      <c r="AI15" s="142">
        <v>2.1999999999999999E-2</v>
      </c>
      <c r="AJ15" s="143">
        <f t="shared" si="8"/>
        <v>80</v>
      </c>
      <c r="AK15" s="143">
        <f t="shared" si="9"/>
        <v>82</v>
      </c>
      <c r="AL15" s="143">
        <f t="shared" si="10"/>
        <v>84</v>
      </c>
      <c r="AM15" s="143">
        <f t="shared" si="11"/>
        <v>86</v>
      </c>
      <c r="AN15" s="143">
        <f t="shared" si="12"/>
        <v>88</v>
      </c>
      <c r="AO15" s="143">
        <f t="shared" si="13"/>
        <v>90</v>
      </c>
      <c r="AP15" s="143">
        <f t="shared" si="14"/>
        <v>92</v>
      </c>
      <c r="AQ15" s="143">
        <f t="shared" si="15"/>
        <v>94</v>
      </c>
      <c r="AR15" s="143">
        <f t="shared" si="16"/>
        <v>96</v>
      </c>
      <c r="AS15" s="143">
        <f t="shared" si="17"/>
        <v>98</v>
      </c>
      <c r="AT15" s="143">
        <f t="shared" si="18"/>
        <v>100</v>
      </c>
      <c r="AU15" s="143">
        <f t="shared" si="19"/>
        <v>102</v>
      </c>
      <c r="AW15" s="144">
        <v>0.21249999999999999</v>
      </c>
      <c r="AX15" s="144">
        <v>1.8512999999999999</v>
      </c>
      <c r="AY15" s="144">
        <v>1.8888</v>
      </c>
      <c r="AZ15" s="146">
        <f t="shared" si="22"/>
        <v>1.12595</v>
      </c>
      <c r="BA15" s="145"/>
      <c r="BB15" s="132">
        <f t="shared" si="20"/>
        <v>0.12218559999999999</v>
      </c>
      <c r="BC15" s="171" t="s">
        <v>457</v>
      </c>
      <c r="BD15" s="172">
        <f>Q15/0.35</f>
        <v>4.3637714285714289</v>
      </c>
      <c r="BE15" s="173">
        <f>ROUND(AF15*0.35,0)</f>
        <v>210</v>
      </c>
    </row>
    <row r="16" spans="1:57" ht="45.75" customHeight="1" x14ac:dyDescent="0.25">
      <c r="A16" s="196" t="s">
        <v>394</v>
      </c>
      <c r="B16" s="197">
        <v>10</v>
      </c>
      <c r="C16" s="198" t="s">
        <v>458</v>
      </c>
      <c r="D16" s="197" t="s">
        <v>416</v>
      </c>
      <c r="E16" s="199" t="s">
        <v>459</v>
      </c>
      <c r="F16" s="200" t="s">
        <v>460</v>
      </c>
      <c r="G16" s="127">
        <f t="shared" si="0"/>
        <v>6.7319999999999991E-2</v>
      </c>
      <c r="H16" s="127">
        <f t="shared" si="1"/>
        <v>0</v>
      </c>
      <c r="I16" s="128">
        <v>0.05</v>
      </c>
      <c r="J16" s="129">
        <v>1.2</v>
      </c>
      <c r="K16" s="127">
        <f t="shared" si="2"/>
        <v>1.31732</v>
      </c>
      <c r="L16" s="127">
        <v>0</v>
      </c>
      <c r="M16" s="127">
        <f t="shared" si="3"/>
        <v>1.31732</v>
      </c>
      <c r="N16" s="130">
        <v>0.1125</v>
      </c>
      <c r="O16" s="170">
        <v>1</v>
      </c>
      <c r="P16" s="132">
        <f t="shared" si="4"/>
        <v>1.4298200000000001</v>
      </c>
      <c r="Q16" s="133">
        <f t="shared" si="21"/>
        <v>1.4298200000000001</v>
      </c>
      <c r="R16" s="197"/>
      <c r="S16" s="134">
        <v>1.2</v>
      </c>
      <c r="T16" s="134">
        <v>56.1</v>
      </c>
      <c r="U16" s="134">
        <v>0</v>
      </c>
      <c r="V16" s="134">
        <v>0</v>
      </c>
      <c r="W16" s="130">
        <v>1.6</v>
      </c>
      <c r="X16" s="135">
        <v>0.01</v>
      </c>
      <c r="Y16" s="136">
        <f t="shared" si="5"/>
        <v>1.6160000000000001</v>
      </c>
      <c r="Z16" s="130">
        <v>0.35</v>
      </c>
      <c r="AA16" s="137">
        <f t="shared" si="6"/>
        <v>-0.18618000000000001</v>
      </c>
      <c r="AB16" s="137">
        <f t="shared" si="7"/>
        <v>1.0798200000000002</v>
      </c>
      <c r="AC16" s="138" t="s">
        <v>461</v>
      </c>
      <c r="AD16" s="159" t="s">
        <v>462</v>
      </c>
      <c r="AE16" s="159" t="s">
        <v>463</v>
      </c>
      <c r="AF16" s="141">
        <v>0</v>
      </c>
      <c r="AG16" s="141">
        <v>0</v>
      </c>
      <c r="AH16" s="141">
        <v>0</v>
      </c>
      <c r="AI16" s="142">
        <v>5.5E-2</v>
      </c>
      <c r="AJ16" s="143">
        <f t="shared" si="8"/>
        <v>0</v>
      </c>
      <c r="AK16" s="143">
        <f t="shared" si="9"/>
        <v>0</v>
      </c>
      <c r="AL16" s="143">
        <f t="shared" si="10"/>
        <v>0</v>
      </c>
      <c r="AM16" s="143">
        <f t="shared" si="11"/>
        <v>0</v>
      </c>
      <c r="AN16" s="143">
        <f t="shared" si="12"/>
        <v>0</v>
      </c>
      <c r="AO16" s="143">
        <f t="shared" si="13"/>
        <v>0</v>
      </c>
      <c r="AP16" s="143">
        <f t="shared" si="14"/>
        <v>0</v>
      </c>
      <c r="AQ16" s="143">
        <f t="shared" si="15"/>
        <v>0</v>
      </c>
      <c r="AR16" s="143">
        <f t="shared" si="16"/>
        <v>0</v>
      </c>
      <c r="AS16" s="143">
        <f t="shared" si="17"/>
        <v>0</v>
      </c>
      <c r="AT16" s="143">
        <f t="shared" si="18"/>
        <v>0</v>
      </c>
      <c r="AU16" s="143">
        <f t="shared" si="19"/>
        <v>0</v>
      </c>
      <c r="AW16" s="144"/>
      <c r="AX16" s="145"/>
      <c r="AY16" s="145"/>
      <c r="AZ16" s="146">
        <f t="shared" si="22"/>
        <v>1.4298200000000001</v>
      </c>
      <c r="BA16" s="145"/>
      <c r="BB16" s="132">
        <f t="shared" si="20"/>
        <v>0</v>
      </c>
      <c r="BC16" s="147" t="s">
        <v>402</v>
      </c>
      <c r="BD16" s="148">
        <f>Q16</f>
        <v>1.4298200000000001</v>
      </c>
      <c r="BE16" s="149"/>
    </row>
    <row r="17" spans="1:57" ht="45.75" customHeight="1" x14ac:dyDescent="0.25">
      <c r="A17" s="201" t="s">
        <v>394</v>
      </c>
      <c r="B17" s="202">
        <v>11</v>
      </c>
      <c r="C17" s="203" t="s">
        <v>291</v>
      </c>
      <c r="D17" s="202" t="s">
        <v>464</v>
      </c>
      <c r="E17" s="204" t="s">
        <v>465</v>
      </c>
      <c r="F17" s="205" t="s">
        <v>466</v>
      </c>
      <c r="G17" s="127">
        <f t="shared" si="0"/>
        <v>0.156</v>
      </c>
      <c r="H17" s="127">
        <f t="shared" si="1"/>
        <v>0</v>
      </c>
      <c r="I17" s="128">
        <v>1.5</v>
      </c>
      <c r="J17" s="129">
        <v>0.85</v>
      </c>
      <c r="K17" s="127">
        <f t="shared" si="2"/>
        <v>2.5059999999999998</v>
      </c>
      <c r="L17" s="127">
        <v>0</v>
      </c>
      <c r="M17" s="127">
        <f t="shared" si="3"/>
        <v>2.5059999999999998</v>
      </c>
      <c r="N17" s="130">
        <v>6.75</v>
      </c>
      <c r="O17" s="131">
        <v>0</v>
      </c>
      <c r="P17" s="132">
        <f t="shared" si="4"/>
        <v>9.2560000000000002</v>
      </c>
      <c r="Q17" s="133">
        <f>P17-N17</f>
        <v>2.5060000000000002</v>
      </c>
      <c r="R17" s="202"/>
      <c r="S17" s="134">
        <v>2</v>
      </c>
      <c r="T17" s="134">
        <v>78</v>
      </c>
      <c r="U17" s="134">
        <v>0</v>
      </c>
      <c r="V17" s="134">
        <v>0</v>
      </c>
      <c r="W17" s="130">
        <v>2.06</v>
      </c>
      <c r="X17" s="135">
        <v>0.1</v>
      </c>
      <c r="Y17" s="136">
        <f t="shared" si="5"/>
        <v>2.2660000000000005</v>
      </c>
      <c r="Z17" s="130">
        <v>1.423</v>
      </c>
      <c r="AA17" s="137">
        <f t="shared" si="6"/>
        <v>0.23999999999999977</v>
      </c>
      <c r="AB17" s="137">
        <f t="shared" si="7"/>
        <v>1.0830000000000002</v>
      </c>
      <c r="AC17" s="138" t="s">
        <v>467</v>
      </c>
      <c r="AD17" s="139" t="s">
        <v>468</v>
      </c>
      <c r="AE17" s="140" t="s">
        <v>469</v>
      </c>
      <c r="AF17" s="141">
        <v>300</v>
      </c>
      <c r="AG17" s="141">
        <v>167</v>
      </c>
      <c r="AH17" s="141">
        <v>174</v>
      </c>
      <c r="AI17" s="142">
        <v>5.5E-2</v>
      </c>
      <c r="AJ17" s="143">
        <f t="shared" si="8"/>
        <v>167</v>
      </c>
      <c r="AK17" s="143">
        <f t="shared" si="9"/>
        <v>176</v>
      </c>
      <c r="AL17" s="143">
        <f t="shared" si="10"/>
        <v>186</v>
      </c>
      <c r="AM17" s="143">
        <f t="shared" si="11"/>
        <v>196</v>
      </c>
      <c r="AN17" s="143">
        <f t="shared" si="12"/>
        <v>207</v>
      </c>
      <c r="AO17" s="143">
        <f t="shared" si="13"/>
        <v>218</v>
      </c>
      <c r="AP17" s="143">
        <f t="shared" si="14"/>
        <v>230</v>
      </c>
      <c r="AQ17" s="143">
        <f t="shared" si="15"/>
        <v>243</v>
      </c>
      <c r="AR17" s="143">
        <f t="shared" si="16"/>
        <v>256</v>
      </c>
      <c r="AS17" s="143">
        <f t="shared" si="17"/>
        <v>270</v>
      </c>
      <c r="AT17" s="143">
        <f t="shared" si="18"/>
        <v>285</v>
      </c>
      <c r="AU17" s="143">
        <f t="shared" si="19"/>
        <v>301</v>
      </c>
      <c r="AW17" s="144"/>
      <c r="AX17" s="145"/>
      <c r="AY17" s="145"/>
      <c r="AZ17" s="146">
        <f>K17</f>
        <v>2.5059999999999998</v>
      </c>
      <c r="BA17" s="145"/>
      <c r="BB17" s="132">
        <f t="shared" si="20"/>
        <v>0.41850200000000004</v>
      </c>
      <c r="BC17" s="147" t="s">
        <v>402</v>
      </c>
      <c r="BD17" s="148">
        <f>Q17</f>
        <v>2.5060000000000002</v>
      </c>
      <c r="BE17" s="149"/>
    </row>
    <row r="18" spans="1:57" ht="45.75" customHeight="1" x14ac:dyDescent="0.25">
      <c r="A18" s="206" t="s">
        <v>394</v>
      </c>
      <c r="B18" s="207">
        <v>12</v>
      </c>
      <c r="C18" s="208" t="s">
        <v>470</v>
      </c>
      <c r="D18" s="207" t="s">
        <v>416</v>
      </c>
      <c r="E18" s="209" t="s">
        <v>471</v>
      </c>
      <c r="F18" s="210" t="s">
        <v>472</v>
      </c>
      <c r="G18" s="127">
        <f t="shared" si="0"/>
        <v>0.44880000000000003</v>
      </c>
      <c r="H18" s="127">
        <f t="shared" si="1"/>
        <v>0</v>
      </c>
      <c r="I18" s="128">
        <v>0.4</v>
      </c>
      <c r="J18" s="129">
        <v>0.1</v>
      </c>
      <c r="K18" s="127">
        <f t="shared" si="2"/>
        <v>0.94879999999999998</v>
      </c>
      <c r="L18" s="127">
        <v>0</v>
      </c>
      <c r="M18" s="127">
        <f t="shared" si="3"/>
        <v>0.94879999999999998</v>
      </c>
      <c r="N18" s="130">
        <v>0.25</v>
      </c>
      <c r="O18" s="131">
        <v>0</v>
      </c>
      <c r="P18" s="132">
        <f t="shared" si="4"/>
        <v>1.1987999999999999</v>
      </c>
      <c r="Q18" s="133">
        <f>P18-N18</f>
        <v>0.94879999999999987</v>
      </c>
      <c r="R18" s="207"/>
      <c r="S18" s="134">
        <v>8</v>
      </c>
      <c r="T18" s="134">
        <v>56.1</v>
      </c>
      <c r="U18" s="134">
        <v>0</v>
      </c>
      <c r="V18" s="134">
        <v>0</v>
      </c>
      <c r="W18" s="130">
        <v>1.2</v>
      </c>
      <c r="X18" s="135">
        <v>0.1</v>
      </c>
      <c r="Y18" s="136">
        <f t="shared" si="5"/>
        <v>1.32</v>
      </c>
      <c r="Z18" s="130">
        <v>0.3</v>
      </c>
      <c r="AA18" s="137">
        <f t="shared" si="6"/>
        <v>-0.3712000000000002</v>
      </c>
      <c r="AB18" s="137">
        <f t="shared" si="7"/>
        <v>0.64879999999999982</v>
      </c>
      <c r="AC18" s="138" t="s">
        <v>473</v>
      </c>
      <c r="AD18" s="159" t="s">
        <v>474</v>
      </c>
      <c r="AE18" s="159" t="s">
        <v>475</v>
      </c>
      <c r="AF18" s="141">
        <v>0</v>
      </c>
      <c r="AG18" s="141">
        <v>0</v>
      </c>
      <c r="AH18" s="141">
        <v>0</v>
      </c>
      <c r="AI18" s="142">
        <v>5.5E-2</v>
      </c>
      <c r="AJ18" s="143">
        <f t="shared" si="8"/>
        <v>0</v>
      </c>
      <c r="AK18" s="143">
        <f t="shared" si="9"/>
        <v>0</v>
      </c>
      <c r="AL18" s="143">
        <f t="shared" si="10"/>
        <v>0</v>
      </c>
      <c r="AM18" s="143">
        <f t="shared" si="11"/>
        <v>0</v>
      </c>
      <c r="AN18" s="143">
        <f t="shared" si="12"/>
        <v>0</v>
      </c>
      <c r="AO18" s="143">
        <f t="shared" si="13"/>
        <v>0</v>
      </c>
      <c r="AP18" s="143">
        <f t="shared" si="14"/>
        <v>0</v>
      </c>
      <c r="AQ18" s="143">
        <f t="shared" si="15"/>
        <v>0</v>
      </c>
      <c r="AR18" s="143">
        <f t="shared" si="16"/>
        <v>0</v>
      </c>
      <c r="AS18" s="143">
        <f t="shared" si="17"/>
        <v>0</v>
      </c>
      <c r="AT18" s="143">
        <f t="shared" si="18"/>
        <v>0</v>
      </c>
      <c r="AU18" s="143">
        <f t="shared" si="19"/>
        <v>0</v>
      </c>
      <c r="AW18" s="144"/>
      <c r="AX18" s="145"/>
      <c r="AY18" s="145"/>
      <c r="AZ18" s="146">
        <f>K18</f>
        <v>0.94879999999999998</v>
      </c>
      <c r="BA18" s="145"/>
      <c r="BB18" s="132">
        <f t="shared" si="20"/>
        <v>0</v>
      </c>
      <c r="BC18" s="147" t="s">
        <v>402</v>
      </c>
      <c r="BD18" s="148">
        <f>Q18</f>
        <v>0.94879999999999987</v>
      </c>
      <c r="BE18" s="149"/>
    </row>
    <row r="19" spans="1:57" ht="45.75" customHeight="1" x14ac:dyDescent="0.25">
      <c r="A19" s="211" t="s">
        <v>394</v>
      </c>
      <c r="B19" s="212">
        <v>13</v>
      </c>
      <c r="C19" s="213" t="s">
        <v>476</v>
      </c>
      <c r="D19" s="212" t="s">
        <v>416</v>
      </c>
      <c r="E19" s="214" t="s">
        <v>477</v>
      </c>
      <c r="F19" s="215" t="s">
        <v>478</v>
      </c>
      <c r="G19" s="127">
        <f t="shared" si="0"/>
        <v>2.5245000000000002</v>
      </c>
      <c r="H19" s="127">
        <f t="shared" si="1"/>
        <v>7</v>
      </c>
      <c r="I19" s="128">
        <v>0</v>
      </c>
      <c r="J19" s="129">
        <v>0</v>
      </c>
      <c r="K19" s="127">
        <f t="shared" si="2"/>
        <v>9.5244999999999997</v>
      </c>
      <c r="L19" s="127">
        <v>0</v>
      </c>
      <c r="M19" s="127">
        <f t="shared" si="3"/>
        <v>9.5244999999999997</v>
      </c>
      <c r="N19" s="130">
        <v>0.5</v>
      </c>
      <c r="O19" s="131">
        <v>0</v>
      </c>
      <c r="P19" s="132">
        <f t="shared" si="4"/>
        <v>10.0245</v>
      </c>
      <c r="Q19" s="133">
        <f>P19-N19</f>
        <v>9.5244999999999997</v>
      </c>
      <c r="R19" s="212"/>
      <c r="S19" s="134">
        <v>45</v>
      </c>
      <c r="T19" s="134">
        <v>56.1</v>
      </c>
      <c r="U19" s="134">
        <v>70</v>
      </c>
      <c r="V19" s="134">
        <v>100</v>
      </c>
      <c r="W19" s="130">
        <v>10.4</v>
      </c>
      <c r="X19" s="135">
        <v>0.1</v>
      </c>
      <c r="Y19" s="136">
        <f t="shared" si="5"/>
        <v>11.440000000000001</v>
      </c>
      <c r="Z19" s="130">
        <v>5.97</v>
      </c>
      <c r="AA19" s="137">
        <f t="shared" si="6"/>
        <v>-1.9155000000000015</v>
      </c>
      <c r="AB19" s="137">
        <f t="shared" si="7"/>
        <v>3.5545</v>
      </c>
      <c r="AC19" s="138" t="s">
        <v>479</v>
      </c>
      <c r="AD19" s="159" t="s">
        <v>480</v>
      </c>
      <c r="AE19" s="140" t="s">
        <v>481</v>
      </c>
      <c r="AF19" s="141">
        <v>0</v>
      </c>
      <c r="AG19" s="141">
        <v>0</v>
      </c>
      <c r="AH19" s="141">
        <v>0</v>
      </c>
      <c r="AI19" s="142">
        <v>5.5E-2</v>
      </c>
      <c r="AJ19" s="143">
        <f t="shared" si="8"/>
        <v>0</v>
      </c>
      <c r="AK19" s="143">
        <f t="shared" si="9"/>
        <v>0</v>
      </c>
      <c r="AL19" s="143">
        <f t="shared" si="10"/>
        <v>0</v>
      </c>
      <c r="AM19" s="143">
        <f t="shared" si="11"/>
        <v>0</v>
      </c>
      <c r="AN19" s="143">
        <f t="shared" si="12"/>
        <v>0</v>
      </c>
      <c r="AO19" s="143">
        <f t="shared" si="13"/>
        <v>0</v>
      </c>
      <c r="AP19" s="143">
        <f t="shared" si="14"/>
        <v>0</v>
      </c>
      <c r="AQ19" s="143">
        <f t="shared" si="15"/>
        <v>0</v>
      </c>
      <c r="AR19" s="143">
        <f t="shared" si="16"/>
        <v>0</v>
      </c>
      <c r="AS19" s="143">
        <f t="shared" si="17"/>
        <v>0</v>
      </c>
      <c r="AT19" s="143">
        <f t="shared" si="18"/>
        <v>0</v>
      </c>
      <c r="AU19" s="143">
        <f t="shared" si="19"/>
        <v>0</v>
      </c>
      <c r="AW19" s="144"/>
      <c r="AX19" s="145"/>
      <c r="AY19" s="145"/>
      <c r="AZ19" s="146">
        <f>K19</f>
        <v>9.5244999999999997</v>
      </c>
      <c r="BA19" s="145"/>
      <c r="BB19" s="132">
        <f t="shared" si="20"/>
        <v>0</v>
      </c>
      <c r="BC19" s="147" t="s">
        <v>402</v>
      </c>
      <c r="BD19" s="148">
        <f>Q19</f>
        <v>9.5244999999999997</v>
      </c>
      <c r="BE19" s="149"/>
    </row>
    <row r="20" spans="1:57" ht="45.75" customHeight="1" x14ac:dyDescent="0.25">
      <c r="A20" s="216" t="s">
        <v>394</v>
      </c>
      <c r="B20" s="217">
        <v>14</v>
      </c>
      <c r="C20" s="218" t="s">
        <v>482</v>
      </c>
      <c r="D20" s="217" t="s">
        <v>483</v>
      </c>
      <c r="E20" s="219" t="s">
        <v>484</v>
      </c>
      <c r="F20" s="220" t="s">
        <v>485</v>
      </c>
      <c r="G20" s="127">
        <f t="shared" si="0"/>
        <v>0</v>
      </c>
      <c r="H20" s="127">
        <f t="shared" si="1"/>
        <v>0</v>
      </c>
      <c r="I20" s="128">
        <v>0.5</v>
      </c>
      <c r="J20" s="129">
        <v>0</v>
      </c>
      <c r="K20" s="127">
        <f t="shared" si="2"/>
        <v>0.5</v>
      </c>
      <c r="L20" s="127">
        <v>0</v>
      </c>
      <c r="M20" s="127">
        <f t="shared" si="3"/>
        <v>0.5</v>
      </c>
      <c r="N20" s="130">
        <v>0</v>
      </c>
      <c r="O20" s="170">
        <v>1</v>
      </c>
      <c r="P20" s="132">
        <f t="shared" si="4"/>
        <v>0.5</v>
      </c>
      <c r="Q20" s="133">
        <f>P20</f>
        <v>0.5</v>
      </c>
      <c r="R20" s="217"/>
      <c r="S20" s="134">
        <v>0</v>
      </c>
      <c r="T20" s="134">
        <v>0</v>
      </c>
      <c r="U20" s="134">
        <v>0</v>
      </c>
      <c r="V20" s="134">
        <v>0</v>
      </c>
      <c r="W20" s="130">
        <v>0.5</v>
      </c>
      <c r="X20" s="135">
        <v>0</v>
      </c>
      <c r="Y20" s="136">
        <f t="shared" si="5"/>
        <v>0.5</v>
      </c>
      <c r="Z20" s="130">
        <v>0</v>
      </c>
      <c r="AA20" s="137">
        <f t="shared" si="6"/>
        <v>0</v>
      </c>
      <c r="AB20" s="137">
        <f t="shared" si="7"/>
        <v>0.5</v>
      </c>
      <c r="AC20" s="138" t="s">
        <v>486</v>
      </c>
      <c r="AD20" s="140" t="s">
        <v>487</v>
      </c>
      <c r="AE20" s="159" t="s">
        <v>488</v>
      </c>
      <c r="AF20" s="141">
        <v>0</v>
      </c>
      <c r="AG20" s="141">
        <v>0</v>
      </c>
      <c r="AH20" s="141">
        <v>0</v>
      </c>
      <c r="AI20" s="142">
        <v>5.5E-2</v>
      </c>
      <c r="AJ20" s="143">
        <f t="shared" si="8"/>
        <v>0</v>
      </c>
      <c r="AK20" s="143">
        <f t="shared" si="9"/>
        <v>0</v>
      </c>
      <c r="AL20" s="143">
        <f t="shared" si="10"/>
        <v>0</v>
      </c>
      <c r="AM20" s="143">
        <f t="shared" si="11"/>
        <v>0</v>
      </c>
      <c r="AN20" s="143">
        <f t="shared" si="12"/>
        <v>0</v>
      </c>
      <c r="AO20" s="143">
        <f t="shared" si="13"/>
        <v>0</v>
      </c>
      <c r="AP20" s="143">
        <f t="shared" si="14"/>
        <v>0</v>
      </c>
      <c r="AQ20" s="143">
        <f t="shared" si="15"/>
        <v>0</v>
      </c>
      <c r="AR20" s="143">
        <f t="shared" si="16"/>
        <v>0</v>
      </c>
      <c r="AS20" s="143">
        <f t="shared" si="17"/>
        <v>0</v>
      </c>
      <c r="AT20" s="143">
        <f t="shared" si="18"/>
        <v>0</v>
      </c>
      <c r="AU20" s="143">
        <f t="shared" si="19"/>
        <v>0</v>
      </c>
      <c r="AW20" s="144"/>
      <c r="AX20" s="145"/>
      <c r="AY20" s="145"/>
      <c r="AZ20" s="146">
        <f>K20+N20</f>
        <v>0.5</v>
      </c>
      <c r="BA20" s="145"/>
      <c r="BB20" s="132">
        <f t="shared" si="20"/>
        <v>0</v>
      </c>
      <c r="BC20" s="147" t="s">
        <v>402</v>
      </c>
      <c r="BD20" s="148">
        <f>Q20</f>
        <v>0.5</v>
      </c>
      <c r="BE20" s="149"/>
    </row>
    <row r="22" spans="1:57" ht="18" customHeight="1" x14ac:dyDescent="0.25">
      <c r="A22" s="438" t="s">
        <v>489</v>
      </c>
      <c r="B22" s="438"/>
      <c r="C22" s="438"/>
      <c r="D22" s="438"/>
      <c r="E22" s="438"/>
      <c r="F22" s="438"/>
      <c r="G22" s="438"/>
      <c r="H22" s="438"/>
      <c r="I22" s="438"/>
      <c r="J22" s="438"/>
      <c r="K22" s="438"/>
      <c r="L22" s="438"/>
      <c r="M22" s="438"/>
      <c r="N22" s="438"/>
      <c r="O22" s="438"/>
      <c r="P22" s="438"/>
      <c r="Q22" s="438"/>
      <c r="R22" s="438"/>
      <c r="S22" s="438"/>
      <c r="T22" s="438"/>
      <c r="U22" s="438"/>
      <c r="V22" s="438"/>
      <c r="W22" s="438"/>
      <c r="X22" s="438"/>
      <c r="Y22" s="438"/>
      <c r="Z22" s="438"/>
      <c r="AA22" s="438"/>
      <c r="AB22" s="438"/>
      <c r="AC22" s="438"/>
      <c r="AD22" s="438"/>
      <c r="AE22" s="438"/>
      <c r="AF22" s="438"/>
      <c r="AG22" s="438"/>
      <c r="AH22" s="438"/>
      <c r="AI22" s="438"/>
      <c r="AJ22" s="438"/>
      <c r="AK22" s="438"/>
      <c r="AL22" s="438"/>
      <c r="AM22" s="438"/>
      <c r="AN22" s="438"/>
      <c r="AO22" s="438"/>
      <c r="AP22" s="438"/>
      <c r="AQ22" s="438"/>
      <c r="AR22" s="438"/>
      <c r="AS22" s="438"/>
      <c r="AT22" s="438"/>
      <c r="AU22" s="438"/>
      <c r="AV22" s="438"/>
      <c r="AW22" s="438"/>
      <c r="AX22" s="438"/>
      <c r="AY22" s="438"/>
      <c r="AZ22" s="438"/>
      <c r="BA22" s="438"/>
      <c r="BB22" s="438"/>
      <c r="BC22" s="438"/>
      <c r="BD22" s="438"/>
      <c r="BE22" s="438"/>
    </row>
    <row r="23" spans="1:57" ht="15.75" customHeight="1" x14ac:dyDescent="0.25">
      <c r="B23" s="115" t="s">
        <v>352</v>
      </c>
      <c r="C23" s="115" t="s">
        <v>490</v>
      </c>
      <c r="D23" s="115" t="s">
        <v>491</v>
      </c>
      <c r="E23" s="115" t="s">
        <v>492</v>
      </c>
      <c r="F23" s="115" t="s">
        <v>493</v>
      </c>
      <c r="G23" s="115" t="s">
        <v>355</v>
      </c>
      <c r="H23" s="115" t="s">
        <v>356</v>
      </c>
      <c r="K23" s="115" t="s">
        <v>494</v>
      </c>
      <c r="M23" s="115" t="s">
        <v>495</v>
      </c>
      <c r="N23" s="115" t="s">
        <v>362</v>
      </c>
      <c r="P23" s="115" t="s">
        <v>364</v>
      </c>
      <c r="Q23" s="115" t="s">
        <v>496</v>
      </c>
      <c r="R23" s="115" t="s">
        <v>497</v>
      </c>
      <c r="S23" s="115" t="s">
        <v>498</v>
      </c>
    </row>
    <row r="24" spans="1:57" ht="15" customHeight="1" x14ac:dyDescent="0.25">
      <c r="B24" s="221">
        <v>1</v>
      </c>
      <c r="C24" s="222" t="s">
        <v>395</v>
      </c>
      <c r="D24" s="223" t="s">
        <v>396</v>
      </c>
      <c r="E24" s="126" t="s">
        <v>499</v>
      </c>
      <c r="F24" s="123" t="str">
        <f>TEXT(SUM(R41:R45),"0%")&amp;IF(ABS(SUM(R41:R45)-1)&lt;0.001," OK"," CHK")</f>
        <v>100% OK</v>
      </c>
      <c r="G24" s="127">
        <f>SUMPRODUCT(R41:R45,G41:G45)/SUM(R41:R45)</f>
        <v>0.12903000000000003</v>
      </c>
      <c r="H24" s="127">
        <f>SUMPRODUCT(R41:R45,H41:H45)/SUM(R41:R45)</f>
        <v>0.56100000000000005</v>
      </c>
      <c r="K24" s="127">
        <f>SUMPRODUCT(R41:R45,K41:K45)/SUM(R41:R45)</f>
        <v>0.73003000000000018</v>
      </c>
      <c r="M24" s="127">
        <f>SUMPRODUCT(R41:R45,M41:M45)/SUM(R41:R45)</f>
        <v>0.73003000000000018</v>
      </c>
      <c r="N24" s="136">
        <f>SUMPRODUCT(R41:R45,N41:N45)/SUM(R41:R45)</f>
        <v>0.25</v>
      </c>
      <c r="P24" s="132">
        <f>SUMPRODUCT(R41:R45,P41:P45)/SUM(R41:R45)</f>
        <v>0.98003000000000018</v>
      </c>
      <c r="Q24" s="133">
        <f>SUMPRODUCT(R41:R45,Q41:Q45)/SUM(R41:R45)</f>
        <v>0.73003000000000018</v>
      </c>
      <c r="R24" s="224">
        <f t="shared" ref="R24:R37" si="23">Q7</f>
        <v>0.73003000000000007</v>
      </c>
      <c r="S24" s="225">
        <f t="shared" ref="S24:S37" si="24">Q24-Q7</f>
        <v>0</v>
      </c>
    </row>
    <row r="25" spans="1:57" ht="15" customHeight="1" x14ac:dyDescent="0.25">
      <c r="B25" s="226">
        <v>2</v>
      </c>
      <c r="C25" s="227" t="s">
        <v>403</v>
      </c>
      <c r="D25" s="228" t="s">
        <v>396</v>
      </c>
      <c r="E25" s="154" t="s">
        <v>499</v>
      </c>
      <c r="F25" s="151" t="str">
        <f>TEXT(SUM(R46:R49),"0%")&amp;IF(ABS(SUM(R46:R49)-1)&lt;0.001," OK"," CHK")</f>
        <v>100% OK</v>
      </c>
      <c r="G25" s="127">
        <f>SUMPRODUCT(R46:R49,G46:G49)/SUM(R46:R49)</f>
        <v>0.14025000000000001</v>
      </c>
      <c r="H25" s="127">
        <f>SUMPRODUCT(R46:R49,H46:H49)/SUM(R46:R49)</f>
        <v>0</v>
      </c>
      <c r="K25" s="127">
        <f>SUMPRODUCT(R46:R49,K46:K49)/SUM(R46:R49)</f>
        <v>0.15525</v>
      </c>
      <c r="M25" s="127">
        <f>SUMPRODUCT(R46:R49,M46:M49)/SUM(R46:R49)</f>
        <v>0.15525</v>
      </c>
      <c r="N25" s="136">
        <f>SUMPRODUCT(R46:R49,N46:N49)/SUM(R46:R49)</f>
        <v>0.25</v>
      </c>
      <c r="P25" s="132">
        <f>SUMPRODUCT(R46:R49,P46:P49)/SUM(R46:R49)</f>
        <v>0.40525</v>
      </c>
      <c r="Q25" s="133">
        <f>SUMPRODUCT(R46:R49,Q46:Q49)/SUM(R46:R49)</f>
        <v>0.15525</v>
      </c>
      <c r="R25" s="224">
        <f t="shared" si="23"/>
        <v>0.15525</v>
      </c>
      <c r="S25" s="225">
        <f t="shared" si="24"/>
        <v>0</v>
      </c>
    </row>
    <row r="26" spans="1:57" ht="15" customHeight="1" x14ac:dyDescent="0.25">
      <c r="B26" s="229">
        <v>3</v>
      </c>
      <c r="C26" s="230" t="s">
        <v>409</v>
      </c>
      <c r="D26" s="231" t="s">
        <v>396</v>
      </c>
      <c r="E26" s="158" t="s">
        <v>499</v>
      </c>
      <c r="F26" s="145" t="str">
        <f>TEXT(SUM(R50:R50),"0%")&amp;IF(ABS(SUM(R50:R50)-1)&lt;0.001," OK"," CHK")</f>
        <v>100% OK</v>
      </c>
      <c r="G26" s="127">
        <f>SUMPRODUCT(R50:R50,G50:G50)/SUM(R50:R50)</f>
        <v>0.38439999999999996</v>
      </c>
      <c r="H26" s="127">
        <f>SUMPRODUCT(R50:R50,H50:H50)/SUM(R50:R50)</f>
        <v>1.5375999999999999</v>
      </c>
      <c r="K26" s="127">
        <f>SUMPRODUCT(R50:R50,K50:K50)/SUM(R50:R50)</f>
        <v>2.1719999999999997</v>
      </c>
      <c r="M26" s="127">
        <f>SUMPRODUCT(R50:R50,M50:M50)/SUM(R50:R50)</f>
        <v>2.1719999999999997</v>
      </c>
      <c r="N26" s="136">
        <f>SUMPRODUCT(R50:R50,N50:N50)/SUM(R50:R50)</f>
        <v>0.1875</v>
      </c>
      <c r="P26" s="132">
        <f>SUMPRODUCT(R50:R50,P50:P50)/SUM(R50:R50)</f>
        <v>2.3594999999999997</v>
      </c>
      <c r="Q26" s="133">
        <f>SUMPRODUCT(R50:R50,Q50:Q50)/SUM(R50:R50)</f>
        <v>2.1719999999999997</v>
      </c>
      <c r="R26" s="224">
        <f t="shared" si="23"/>
        <v>2.1719999999999997</v>
      </c>
      <c r="S26" s="225">
        <f t="shared" si="24"/>
        <v>0</v>
      </c>
    </row>
    <row r="27" spans="1:57" ht="15" customHeight="1" x14ac:dyDescent="0.25">
      <c r="B27" s="232">
        <v>4</v>
      </c>
      <c r="C27" s="233" t="s">
        <v>415</v>
      </c>
      <c r="D27" s="234" t="s">
        <v>416</v>
      </c>
      <c r="E27" s="235" t="s">
        <v>500</v>
      </c>
      <c r="F27" s="236" t="s">
        <v>501</v>
      </c>
      <c r="G27" s="127">
        <f>G10</f>
        <v>0.36</v>
      </c>
      <c r="H27" s="127">
        <f>H10</f>
        <v>1.7250000000000001</v>
      </c>
      <c r="K27" s="127">
        <f>K10</f>
        <v>2.7850000000000001</v>
      </c>
      <c r="M27" s="127">
        <f>M10</f>
        <v>2.7850000000000001</v>
      </c>
      <c r="N27" s="136">
        <f>N10</f>
        <v>1.75</v>
      </c>
      <c r="P27" s="132">
        <f>P10</f>
        <v>4.5350000000000001</v>
      </c>
      <c r="Q27" s="133">
        <f>Q10</f>
        <v>2.7850000000000001</v>
      </c>
      <c r="R27" s="224">
        <f t="shared" si="23"/>
        <v>2.7850000000000001</v>
      </c>
      <c r="S27" s="225">
        <f t="shared" si="24"/>
        <v>0</v>
      </c>
    </row>
    <row r="28" spans="1:57" ht="15" customHeight="1" x14ac:dyDescent="0.25">
      <c r="B28" s="237">
        <v>5</v>
      </c>
      <c r="C28" s="238" t="s">
        <v>422</v>
      </c>
      <c r="D28" s="239" t="s">
        <v>423</v>
      </c>
      <c r="E28" s="169" t="s">
        <v>499</v>
      </c>
      <c r="F28" s="166" t="str">
        <f>TEXT(SUM(R57:R59),"0%")&amp;IF(ABS(SUM(R57:R59)-1)&lt;0.001," OK"," CHK")</f>
        <v>100% OK</v>
      </c>
      <c r="G28" s="127">
        <f>SUMPRODUCT(R57:R59,G57:G59)/SUM(R57:R59)</f>
        <v>0.2883</v>
      </c>
      <c r="H28" s="127">
        <f>SUMPRODUCT(R57:R59,H57:H59)/SUM(R57:R59)</f>
        <v>0</v>
      </c>
      <c r="K28" s="127">
        <f>SUMPRODUCT(R57:R59,K57:K59)/SUM(R57:R59)</f>
        <v>0.81430000000000002</v>
      </c>
      <c r="M28" s="127">
        <f>SUMPRODUCT(R57:R59,M57:M59)/SUM(R57:R59)</f>
        <v>0.81430000000000002</v>
      </c>
      <c r="N28" s="136">
        <f>SUMPRODUCT(R57:R59,N57:N59)/SUM(R57:R59)</f>
        <v>5.6250000000000001E-2</v>
      </c>
      <c r="P28" s="132">
        <f>SUMPRODUCT(R57:R59,P57:P59)/SUM(R57:R59)</f>
        <v>0.87054999999999993</v>
      </c>
      <c r="Q28" s="133">
        <f>SUMPRODUCT(R57:R59,Q57:Q59)/SUM(R57:R59)</f>
        <v>0.87054999999999993</v>
      </c>
      <c r="R28" s="224">
        <f t="shared" si="23"/>
        <v>0.87055000000000005</v>
      </c>
      <c r="S28" s="225">
        <f t="shared" si="24"/>
        <v>0</v>
      </c>
    </row>
    <row r="29" spans="1:57" ht="15" customHeight="1" x14ac:dyDescent="0.25">
      <c r="B29" s="240">
        <v>6</v>
      </c>
      <c r="C29" s="241" t="s">
        <v>430</v>
      </c>
      <c r="D29" s="242" t="s">
        <v>416</v>
      </c>
      <c r="E29" s="243" t="s">
        <v>500</v>
      </c>
      <c r="F29" s="244" t="s">
        <v>501</v>
      </c>
      <c r="G29" s="127">
        <f>G12</f>
        <v>0.19074000000000002</v>
      </c>
      <c r="H29" s="127">
        <f>H12</f>
        <v>0</v>
      </c>
      <c r="K29" s="127">
        <f>K12</f>
        <v>0.64074000000000009</v>
      </c>
      <c r="M29" s="127">
        <f>M12</f>
        <v>0.64074000000000009</v>
      </c>
      <c r="N29" s="136">
        <f>N12</f>
        <v>0.05</v>
      </c>
      <c r="P29" s="132">
        <f>P12</f>
        <v>0.69074000000000013</v>
      </c>
      <c r="Q29" s="133">
        <f>Q12</f>
        <v>0.69074000000000013</v>
      </c>
      <c r="R29" s="224">
        <f t="shared" si="23"/>
        <v>0.69074000000000013</v>
      </c>
      <c r="S29" s="225">
        <f t="shared" si="24"/>
        <v>0</v>
      </c>
    </row>
    <row r="30" spans="1:57" ht="15" customHeight="1" x14ac:dyDescent="0.25">
      <c r="B30" s="245">
        <v>7</v>
      </c>
      <c r="C30" s="246" t="s">
        <v>436</v>
      </c>
      <c r="D30" s="247" t="s">
        <v>437</v>
      </c>
      <c r="E30" s="183" t="s">
        <v>499</v>
      </c>
      <c r="F30" s="180" t="str">
        <f>TEXT(SUM(R61:R62),"0%")&amp;IF(ABS(SUM(R61:R62)-1)&lt;0.001," OK"," CHK")</f>
        <v>100% OK</v>
      </c>
      <c r="G30" s="127">
        <f>SUMPRODUCT(R61:R62,G61:G62)/SUM(R61:R62)</f>
        <v>0.39269999999999999</v>
      </c>
      <c r="H30" s="127">
        <f>SUMPRODUCT(R61:R62,H61:H62)/SUM(R61:R62)</f>
        <v>1.4586000000000001</v>
      </c>
      <c r="K30" s="127">
        <f>SUMPRODUCT(R61:R62,K61:K62)/SUM(R61:R62)</f>
        <v>1.8513000000000002</v>
      </c>
      <c r="M30" s="127">
        <f>SUMPRODUCT(R61:R62,M61:M62)/SUM(R61:R62)</f>
        <v>1.8513000000000002</v>
      </c>
      <c r="N30" s="136">
        <f>SUMPRODUCT(R61:R62,N61:N62)/SUM(R61:R62)</f>
        <v>3.7500000000000006E-2</v>
      </c>
      <c r="P30" s="132">
        <f>SUMPRODUCT(R61:R62,P61:P62)/SUM(R61:R62)</f>
        <v>1.8888000000000003</v>
      </c>
      <c r="Q30" s="133">
        <f>SUMPRODUCT(R61:R62,Q61:Q62)/SUM(R61:R62)</f>
        <v>1.8888000000000003</v>
      </c>
      <c r="R30" s="224">
        <f t="shared" si="23"/>
        <v>1.8888000000000003</v>
      </c>
      <c r="S30" s="225">
        <f t="shared" si="24"/>
        <v>0</v>
      </c>
    </row>
    <row r="31" spans="1:57" ht="15" customHeight="1" x14ac:dyDescent="0.25">
      <c r="B31" s="248">
        <v>8</v>
      </c>
      <c r="C31" s="249" t="s">
        <v>114</v>
      </c>
      <c r="D31" s="250" t="s">
        <v>444</v>
      </c>
      <c r="E31" s="190" t="s">
        <v>499</v>
      </c>
      <c r="F31" s="187" t="str">
        <f>TEXT(SUM(R63:R63),"0%")&amp;IF(ABS(SUM(R63:R63)-1)&lt;0.001," OK"," CHK")</f>
        <v>100% OK</v>
      </c>
      <c r="G31" s="127">
        <f>SUMPRODUCT(R63:R63,G63:G63)/SUM(R63:R63)</f>
        <v>0.11220000000000001</v>
      </c>
      <c r="H31" s="127">
        <f>SUMPRODUCT(R63:R63,H63:H63)/SUM(R63:R63)</f>
        <v>0</v>
      </c>
      <c r="K31" s="127">
        <f>SUMPRODUCT(R63:R63,K63:K63)/SUM(R63:R63)</f>
        <v>-0.62080000000000002</v>
      </c>
      <c r="M31" s="127">
        <f>SUMPRODUCT(R63:R63,M63:M63)/SUM(R63:R63)</f>
        <v>0.45014959999999982</v>
      </c>
      <c r="N31" s="136">
        <f>SUMPRODUCT(R63:R63,N63:N63)/SUM(R63:R63)</f>
        <v>3.7499999999999999E-2</v>
      </c>
      <c r="P31" s="132">
        <f>SUMPRODUCT(R63:R63,P63:P63)/SUM(R63:R63)</f>
        <v>0.48764959999999979</v>
      </c>
      <c r="Q31" s="133">
        <f>SUMPRODUCT(R63:R63,Q63:Q63)/SUM(R63:R63)</f>
        <v>0.48764959999999979</v>
      </c>
      <c r="R31" s="224">
        <f t="shared" si="23"/>
        <v>0.48764959999999979</v>
      </c>
      <c r="S31" s="225">
        <f t="shared" si="24"/>
        <v>0</v>
      </c>
    </row>
    <row r="32" spans="1:57" ht="15" customHeight="1" x14ac:dyDescent="0.25">
      <c r="B32" s="251">
        <v>9</v>
      </c>
      <c r="C32" s="252" t="s">
        <v>289</v>
      </c>
      <c r="D32" s="253" t="s">
        <v>451</v>
      </c>
      <c r="E32" s="195" t="s">
        <v>499</v>
      </c>
      <c r="F32" s="192" t="str">
        <f>TEXT(SUM(R64:R66),"0%")&amp;IF(ABS(SUM(R64:R66)-1)&lt;0.001," OK"," CHK")</f>
        <v>100% OK</v>
      </c>
      <c r="G32" s="127">
        <f>SUMPRODUCT(R64:R66,G64:G66)/SUM(R64:R66)</f>
        <v>0.11220000000000002</v>
      </c>
      <c r="H32" s="127">
        <f>SUMPRODUCT(R64:R66,H64:H66)/SUM(R64:R66)</f>
        <v>0</v>
      </c>
      <c r="K32" s="127">
        <f>SUMPRODUCT(R64:R66,K64:K66)/SUM(R64:R66)</f>
        <v>1.0822000000000001</v>
      </c>
      <c r="M32" s="127">
        <f>SUMPRODUCT(R64:R66,M64:M66)/SUM(R64:R66)</f>
        <v>1.4835700000000001</v>
      </c>
      <c r="N32" s="136">
        <f>SUMPRODUCT(R64:R66,N64:N66)/SUM(R64:R66)</f>
        <v>4.3749999999999997E-2</v>
      </c>
      <c r="P32" s="132">
        <f>SUMPRODUCT(R64:R66,P64:P66)/SUM(R64:R66)</f>
        <v>1.5273200000000002</v>
      </c>
      <c r="Q32" s="133">
        <f>SUMPRODUCT(R64:R66,Q64:Q66)/SUM(R64:R66)</f>
        <v>1.5273200000000002</v>
      </c>
      <c r="R32" s="224">
        <f t="shared" si="23"/>
        <v>1.52732</v>
      </c>
      <c r="S32" s="225">
        <f t="shared" si="24"/>
        <v>0</v>
      </c>
    </row>
    <row r="33" spans="1:57" ht="15" customHeight="1" x14ac:dyDescent="0.25">
      <c r="B33" s="254">
        <v>10</v>
      </c>
      <c r="C33" s="255" t="s">
        <v>458</v>
      </c>
      <c r="D33" s="256" t="s">
        <v>416</v>
      </c>
      <c r="E33" s="257" t="s">
        <v>500</v>
      </c>
      <c r="F33" s="258" t="s">
        <v>501</v>
      </c>
      <c r="G33" s="127">
        <f>G16</f>
        <v>6.7319999999999991E-2</v>
      </c>
      <c r="H33" s="127">
        <f>H16</f>
        <v>0</v>
      </c>
      <c r="K33" s="127">
        <f>K16</f>
        <v>1.31732</v>
      </c>
      <c r="M33" s="127">
        <f>M16</f>
        <v>1.31732</v>
      </c>
      <c r="N33" s="136">
        <f>N16</f>
        <v>0.1125</v>
      </c>
      <c r="P33" s="132">
        <f>P16</f>
        <v>1.4298200000000001</v>
      </c>
      <c r="Q33" s="133">
        <f>Q16</f>
        <v>1.4298200000000001</v>
      </c>
      <c r="R33" s="224">
        <f t="shared" si="23"/>
        <v>1.4298200000000001</v>
      </c>
      <c r="S33" s="225">
        <f t="shared" si="24"/>
        <v>0</v>
      </c>
    </row>
    <row r="34" spans="1:57" ht="15" customHeight="1" x14ac:dyDescent="0.25">
      <c r="B34" s="259">
        <v>11</v>
      </c>
      <c r="C34" s="260" t="s">
        <v>291</v>
      </c>
      <c r="D34" s="261" t="s">
        <v>464</v>
      </c>
      <c r="E34" s="205" t="s">
        <v>499</v>
      </c>
      <c r="F34" s="202" t="str">
        <f>TEXT(SUM(R70:R74),"0%")&amp;IF(ABS(SUM(R70:R74)-1)&lt;0.001," OK"," CHK")</f>
        <v>100% OK</v>
      </c>
      <c r="G34" s="127">
        <f>SUMPRODUCT(R70:R74,G70:G74)/SUM(R70:R74)</f>
        <v>0.15600000000000003</v>
      </c>
      <c r="H34" s="127">
        <f>SUMPRODUCT(R70:R74,H70:H74)/SUM(R70:R74)</f>
        <v>0</v>
      </c>
      <c r="K34" s="127">
        <f>SUMPRODUCT(R70:R74,K70:K74)/SUM(R70:R74)</f>
        <v>2.5059999999999998</v>
      </c>
      <c r="M34" s="127">
        <f>SUMPRODUCT(R70:R74,M70:M74)/SUM(R70:R74)</f>
        <v>2.5059999999999998</v>
      </c>
      <c r="N34" s="136">
        <f>SUMPRODUCT(R70:R74,N70:N74)/SUM(R70:R74)</f>
        <v>6.75</v>
      </c>
      <c r="P34" s="132">
        <f>SUMPRODUCT(R70:R74,P70:P74)/SUM(R70:R74)</f>
        <v>9.2560000000000002</v>
      </c>
      <c r="Q34" s="133">
        <f>SUMPRODUCT(R70:R74,Q70:Q74)/SUM(R70:R74)</f>
        <v>2.5060000000000002</v>
      </c>
      <c r="R34" s="224">
        <f t="shared" si="23"/>
        <v>2.5060000000000002</v>
      </c>
      <c r="S34" s="225">
        <f t="shared" si="24"/>
        <v>0</v>
      </c>
    </row>
    <row r="35" spans="1:57" ht="15" customHeight="1" x14ac:dyDescent="0.25">
      <c r="B35" s="262">
        <v>12</v>
      </c>
      <c r="C35" s="263" t="s">
        <v>470</v>
      </c>
      <c r="D35" s="264" t="s">
        <v>416</v>
      </c>
      <c r="E35" s="265" t="s">
        <v>500</v>
      </c>
      <c r="F35" s="266" t="s">
        <v>501</v>
      </c>
      <c r="G35" s="127">
        <f t="shared" ref="G35:H37" si="25">G18</f>
        <v>0.44880000000000003</v>
      </c>
      <c r="H35" s="127">
        <f t="shared" si="25"/>
        <v>0</v>
      </c>
      <c r="K35" s="127">
        <f>K18</f>
        <v>0.94879999999999998</v>
      </c>
      <c r="M35" s="127">
        <f t="shared" ref="M35:N37" si="26">M18</f>
        <v>0.94879999999999998</v>
      </c>
      <c r="N35" s="136">
        <f t="shared" si="26"/>
        <v>0.25</v>
      </c>
      <c r="P35" s="132">
        <f t="shared" ref="P35:Q37" si="27">P18</f>
        <v>1.1987999999999999</v>
      </c>
      <c r="Q35" s="133">
        <f t="shared" si="27"/>
        <v>0.94879999999999987</v>
      </c>
      <c r="R35" s="224">
        <f t="shared" si="23"/>
        <v>0.94879999999999987</v>
      </c>
      <c r="S35" s="225">
        <f t="shared" si="24"/>
        <v>0</v>
      </c>
    </row>
    <row r="36" spans="1:57" ht="15" customHeight="1" x14ac:dyDescent="0.25">
      <c r="B36" s="267">
        <v>13</v>
      </c>
      <c r="C36" s="268" t="s">
        <v>476</v>
      </c>
      <c r="D36" s="269" t="s">
        <v>416</v>
      </c>
      <c r="E36" s="270" t="s">
        <v>500</v>
      </c>
      <c r="F36" s="271" t="s">
        <v>501</v>
      </c>
      <c r="G36" s="127">
        <f t="shared" si="25"/>
        <v>2.5245000000000002</v>
      </c>
      <c r="H36" s="127">
        <f t="shared" si="25"/>
        <v>7</v>
      </c>
      <c r="K36" s="127">
        <f>K19</f>
        <v>9.5244999999999997</v>
      </c>
      <c r="M36" s="127">
        <f t="shared" si="26"/>
        <v>9.5244999999999997</v>
      </c>
      <c r="N36" s="136">
        <f t="shared" si="26"/>
        <v>0.5</v>
      </c>
      <c r="P36" s="132">
        <f t="shared" si="27"/>
        <v>10.0245</v>
      </c>
      <c r="Q36" s="133">
        <f t="shared" si="27"/>
        <v>9.5244999999999997</v>
      </c>
      <c r="R36" s="224">
        <f t="shared" si="23"/>
        <v>9.5244999999999997</v>
      </c>
      <c r="S36" s="225">
        <f t="shared" si="24"/>
        <v>0</v>
      </c>
    </row>
    <row r="37" spans="1:57" ht="15" customHeight="1" x14ac:dyDescent="0.25">
      <c r="B37" s="272">
        <v>14</v>
      </c>
      <c r="C37" s="273" t="s">
        <v>482</v>
      </c>
      <c r="D37" s="274" t="s">
        <v>483</v>
      </c>
      <c r="E37" s="275" t="s">
        <v>500</v>
      </c>
      <c r="F37" s="276" t="s">
        <v>501</v>
      </c>
      <c r="G37" s="127">
        <f t="shared" si="25"/>
        <v>0</v>
      </c>
      <c r="H37" s="127">
        <f t="shared" si="25"/>
        <v>0</v>
      </c>
      <c r="K37" s="127">
        <f>K20</f>
        <v>0.5</v>
      </c>
      <c r="M37" s="127">
        <f t="shared" si="26"/>
        <v>0.5</v>
      </c>
      <c r="N37" s="136">
        <f t="shared" si="26"/>
        <v>0</v>
      </c>
      <c r="P37" s="132">
        <f t="shared" si="27"/>
        <v>0.5</v>
      </c>
      <c r="Q37" s="133">
        <f t="shared" si="27"/>
        <v>0.5</v>
      </c>
      <c r="R37" s="224">
        <f t="shared" si="23"/>
        <v>0.5</v>
      </c>
      <c r="S37" s="225">
        <f t="shared" si="24"/>
        <v>0</v>
      </c>
    </row>
    <row r="39" spans="1:57" ht="18" customHeight="1" x14ac:dyDescent="0.25">
      <c r="A39" s="439" t="s">
        <v>502</v>
      </c>
      <c r="B39" s="439"/>
      <c r="C39" s="439"/>
      <c r="D39" s="439"/>
      <c r="E39" s="439"/>
      <c r="F39" s="439"/>
      <c r="G39" s="439"/>
      <c r="H39" s="439"/>
      <c r="I39" s="439"/>
      <c r="J39" s="439"/>
      <c r="K39" s="439"/>
      <c r="L39" s="439"/>
      <c r="M39" s="439"/>
      <c r="N39" s="439"/>
      <c r="O39" s="439"/>
      <c r="P39" s="439"/>
      <c r="Q39" s="439"/>
      <c r="R39" s="439"/>
      <c r="S39" s="439"/>
      <c r="T39" s="439"/>
      <c r="U39" s="439"/>
      <c r="V39" s="439"/>
      <c r="W39" s="439"/>
      <c r="X39" s="439"/>
      <c r="Y39" s="439"/>
      <c r="Z39" s="439"/>
      <c r="AA39" s="439"/>
      <c r="AB39" s="439"/>
      <c r="AC39" s="439"/>
      <c r="AD39" s="439"/>
      <c r="AE39" s="439"/>
      <c r="AF39" s="439"/>
      <c r="AG39" s="439"/>
      <c r="AH39" s="439"/>
      <c r="AI39" s="439"/>
      <c r="AJ39" s="439"/>
      <c r="AK39" s="439"/>
      <c r="AL39" s="439"/>
      <c r="AM39" s="439"/>
      <c r="AN39" s="439"/>
      <c r="AO39" s="439"/>
      <c r="AP39" s="439"/>
      <c r="AQ39" s="439"/>
      <c r="AR39" s="439"/>
      <c r="AS39" s="439"/>
      <c r="AT39" s="439"/>
      <c r="AU39" s="439"/>
      <c r="AV39" s="439"/>
      <c r="AW39" s="439"/>
      <c r="AX39" s="439"/>
      <c r="AY39" s="439"/>
      <c r="AZ39" s="439"/>
      <c r="BA39" s="439"/>
      <c r="BB39" s="439"/>
      <c r="BC39" s="439"/>
      <c r="BD39" s="439"/>
      <c r="BE39" s="439"/>
    </row>
    <row r="40" spans="1:57" ht="13.5" customHeight="1" x14ac:dyDescent="0.25">
      <c r="A40" s="277" t="s">
        <v>503</v>
      </c>
      <c r="B40" s="278"/>
      <c r="C40" s="278"/>
      <c r="D40" s="278"/>
      <c r="E40" s="278"/>
      <c r="F40" s="278"/>
      <c r="G40" s="278"/>
      <c r="H40" s="278"/>
      <c r="I40" s="278"/>
      <c r="J40" s="278"/>
      <c r="K40" s="278"/>
      <c r="L40" s="278"/>
      <c r="M40" s="278"/>
      <c r="N40" s="278"/>
      <c r="O40" s="278"/>
      <c r="P40" s="278"/>
      <c r="Q40" s="278"/>
      <c r="R40" s="278"/>
      <c r="S40" s="278"/>
      <c r="T40" s="278"/>
      <c r="U40" s="278"/>
      <c r="V40" s="278"/>
      <c r="W40" s="278"/>
      <c r="X40" s="278"/>
      <c r="Y40" s="278"/>
      <c r="Z40" s="278"/>
      <c r="AA40" s="278"/>
      <c r="AB40" s="278"/>
      <c r="AC40" s="278"/>
      <c r="AD40" s="278"/>
      <c r="AE40" s="278"/>
      <c r="AF40" s="278"/>
      <c r="AG40" s="278"/>
      <c r="AH40" s="278"/>
      <c r="AI40" s="278"/>
      <c r="AJ40" s="278"/>
      <c r="AK40" s="278"/>
      <c r="AL40" s="278"/>
      <c r="AM40" s="278"/>
      <c r="AN40" s="278"/>
      <c r="AO40" s="278"/>
      <c r="AP40" s="278"/>
      <c r="AQ40" s="278"/>
      <c r="AR40" s="278"/>
      <c r="AS40" s="278"/>
      <c r="AT40" s="278"/>
      <c r="AU40" s="278"/>
      <c r="AV40" s="278"/>
      <c r="AW40" s="278"/>
      <c r="AX40" s="278"/>
      <c r="AY40" s="278"/>
      <c r="AZ40" s="278"/>
      <c r="BA40" s="278"/>
      <c r="BB40" s="278"/>
      <c r="BC40" s="278"/>
      <c r="BD40" s="278"/>
      <c r="BE40" s="278"/>
    </row>
    <row r="41" spans="1:57" ht="43.5" customHeight="1" x14ac:dyDescent="0.25">
      <c r="A41" s="279" t="s">
        <v>504</v>
      </c>
      <c r="B41" s="123">
        <v>1</v>
      </c>
      <c r="C41" s="280" t="s">
        <v>505</v>
      </c>
      <c r="D41" s="123" t="s">
        <v>396</v>
      </c>
      <c r="E41" s="125" t="s">
        <v>506</v>
      </c>
      <c r="F41" s="126" t="s">
        <v>507</v>
      </c>
      <c r="G41" s="127">
        <f t="shared" ref="G41:G55" si="28">S41*T41/1000</f>
        <v>0.12903000000000001</v>
      </c>
      <c r="H41" s="127">
        <f t="shared" ref="H41:H55" si="29">U41*V41/1000</f>
        <v>0.56100000000000005</v>
      </c>
      <c r="I41" s="128">
        <v>0.04</v>
      </c>
      <c r="J41" s="129">
        <v>0</v>
      </c>
      <c r="K41" s="127">
        <f t="shared" ref="K41:K55" si="30">G41+H41+I41+J41</f>
        <v>0.73003000000000007</v>
      </c>
      <c r="L41" s="127">
        <v>0</v>
      </c>
      <c r="M41" s="127">
        <f t="shared" ref="M41:M55" si="31">K41+L41</f>
        <v>0.73003000000000007</v>
      </c>
      <c r="N41" s="130">
        <v>0.25</v>
      </c>
      <c r="O41" s="131" t="s">
        <v>323</v>
      </c>
      <c r="P41" s="132">
        <f t="shared" ref="P41:P55" si="32">M41+N41</f>
        <v>0.98003000000000007</v>
      </c>
      <c r="Q41" s="133">
        <f t="shared" ref="Q41:Q55" si="33">P41-N41</f>
        <v>0.73003000000000007</v>
      </c>
      <c r="R41" s="142">
        <v>0.55000000000000004</v>
      </c>
      <c r="S41" s="134">
        <v>2.2999999999999998</v>
      </c>
      <c r="T41" s="134">
        <v>56.1</v>
      </c>
      <c r="U41" s="134">
        <v>10</v>
      </c>
      <c r="V41" s="134">
        <v>56.1</v>
      </c>
      <c r="W41" s="130">
        <v>1.82</v>
      </c>
      <c r="X41" s="135">
        <v>0.1</v>
      </c>
      <c r="Y41" s="136">
        <f t="shared" ref="Y41:Y55" si="34">W41*(1+X41)</f>
        <v>2.0020000000000002</v>
      </c>
      <c r="Z41" s="130">
        <v>0.48099999999999998</v>
      </c>
      <c r="AA41" s="137">
        <f t="shared" ref="AA41:AA55" si="35">Q41-Y41</f>
        <v>-1.27197</v>
      </c>
      <c r="AB41" s="137">
        <f t="shared" ref="AB41:AB55" si="36">Q41-Z41</f>
        <v>0.24903000000000008</v>
      </c>
      <c r="AC41" s="138" t="s">
        <v>399</v>
      </c>
      <c r="AD41" s="139" t="s">
        <v>400</v>
      </c>
      <c r="AE41" s="140" t="s">
        <v>401</v>
      </c>
      <c r="AF41" s="141">
        <v>5100</v>
      </c>
      <c r="AG41" s="184">
        <v>319</v>
      </c>
      <c r="AH41" s="184">
        <v>770</v>
      </c>
      <c r="AI41" s="142">
        <v>4.3999999999999997E-2</v>
      </c>
      <c r="AJ41" s="143">
        <f t="shared" ref="AJ41:AJ50" si="37">AG41</f>
        <v>319</v>
      </c>
      <c r="AK41" s="143">
        <f t="shared" ref="AK41:AK50" si="38">ROUND(AJ41*(1+AI41),0)</f>
        <v>333</v>
      </c>
      <c r="AL41" s="143">
        <f t="shared" ref="AL41:AL50" si="39">ROUND(AK41*(1+AI41),0)</f>
        <v>348</v>
      </c>
      <c r="AM41" s="143">
        <f t="shared" ref="AM41:AM50" si="40">ROUND(AL41*(1+AI41),0)</f>
        <v>363</v>
      </c>
      <c r="AN41" s="143">
        <f t="shared" ref="AN41:AN50" si="41">ROUND(AM41*(1+AI41),0)</f>
        <v>379</v>
      </c>
      <c r="AO41" s="143">
        <f t="shared" ref="AO41:AO50" si="42">ROUND(AN41*(1+AI41),0)</f>
        <v>396</v>
      </c>
      <c r="AP41" s="143">
        <f t="shared" ref="AP41:AP50" si="43">ROUND(AO41*(1+AI41),0)</f>
        <v>413</v>
      </c>
      <c r="AQ41" s="143">
        <f t="shared" ref="AQ41:AQ50" si="44">ROUND(AP41*(1+AI41),0)</f>
        <v>431</v>
      </c>
      <c r="AR41" s="143">
        <f t="shared" ref="AR41:AR50" si="45">ROUND(AQ41*(1+AI41),0)</f>
        <v>450</v>
      </c>
      <c r="AS41" s="143">
        <f t="shared" ref="AS41:AS50" si="46">ROUND(AR41*(1+AI41),0)</f>
        <v>470</v>
      </c>
      <c r="AT41" s="143">
        <f t="shared" ref="AT41:AT50" si="47">ROUND(AS41*(1+AI41),0)</f>
        <v>491</v>
      </c>
      <c r="AU41" s="143">
        <f t="shared" ref="AU41:AU50" si="48">ROUND(AT41*(1+AI41),0)</f>
        <v>513</v>
      </c>
      <c r="AW41" s="144"/>
      <c r="AX41" s="145"/>
      <c r="AY41" s="145"/>
      <c r="AZ41" s="146">
        <f t="shared" ref="AZ41:AZ55" si="49">K41</f>
        <v>0.73003000000000007</v>
      </c>
      <c r="BA41" s="145"/>
      <c r="BB41" s="132">
        <f t="shared" ref="BB41:BB50" si="50">AJ41*Q41/1000</f>
        <v>0.23287957000000004</v>
      </c>
      <c r="BC41" s="147" t="s">
        <v>402</v>
      </c>
      <c r="BD41" s="148">
        <f t="shared" ref="BD41:BD55" si="51">Q41</f>
        <v>0.73003000000000007</v>
      </c>
      <c r="BE41" s="149"/>
    </row>
    <row r="42" spans="1:57" ht="43.5" customHeight="1" x14ac:dyDescent="0.25">
      <c r="A42" s="279" t="s">
        <v>504</v>
      </c>
      <c r="B42" s="123">
        <v>2</v>
      </c>
      <c r="C42" s="280" t="s">
        <v>508</v>
      </c>
      <c r="D42" s="123" t="s">
        <v>396</v>
      </c>
      <c r="E42" s="125" t="s">
        <v>509</v>
      </c>
      <c r="F42" s="126" t="s">
        <v>510</v>
      </c>
      <c r="G42" s="127">
        <f t="shared" si="28"/>
        <v>0.12903000000000001</v>
      </c>
      <c r="H42" s="127">
        <f t="shared" si="29"/>
        <v>0.56100000000000005</v>
      </c>
      <c r="I42" s="128">
        <v>0.04</v>
      </c>
      <c r="J42" s="129">
        <v>0</v>
      </c>
      <c r="K42" s="127">
        <f t="shared" si="30"/>
        <v>0.73003000000000007</v>
      </c>
      <c r="L42" s="127">
        <v>0</v>
      </c>
      <c r="M42" s="127">
        <f t="shared" si="31"/>
        <v>0.73003000000000007</v>
      </c>
      <c r="N42" s="130">
        <v>0.25</v>
      </c>
      <c r="O42" s="131" t="s">
        <v>323</v>
      </c>
      <c r="P42" s="132">
        <f t="shared" si="32"/>
        <v>0.98003000000000007</v>
      </c>
      <c r="Q42" s="133">
        <f t="shared" si="33"/>
        <v>0.73003000000000007</v>
      </c>
      <c r="R42" s="142">
        <v>0.08</v>
      </c>
      <c r="S42" s="134">
        <v>2.2999999999999998</v>
      </c>
      <c r="T42" s="134">
        <v>56.1</v>
      </c>
      <c r="U42" s="134">
        <v>10</v>
      </c>
      <c r="V42" s="134">
        <v>56.1</v>
      </c>
      <c r="W42" s="130">
        <v>1.82</v>
      </c>
      <c r="X42" s="135">
        <v>0.1</v>
      </c>
      <c r="Y42" s="136">
        <f t="shared" si="34"/>
        <v>2.0020000000000002</v>
      </c>
      <c r="Z42" s="130">
        <v>0.48099999999999998</v>
      </c>
      <c r="AA42" s="137">
        <f t="shared" si="35"/>
        <v>-1.27197</v>
      </c>
      <c r="AB42" s="137">
        <f t="shared" si="36"/>
        <v>0.24903000000000008</v>
      </c>
      <c r="AC42" s="138" t="s">
        <v>399</v>
      </c>
      <c r="AD42" s="139" t="s">
        <v>400</v>
      </c>
      <c r="AE42" s="140" t="s">
        <v>401</v>
      </c>
      <c r="AF42" s="141">
        <v>5100</v>
      </c>
      <c r="AG42" s="184">
        <v>46</v>
      </c>
      <c r="AH42" s="184">
        <v>112</v>
      </c>
      <c r="AI42" s="142">
        <v>4.3999999999999997E-2</v>
      </c>
      <c r="AJ42" s="143">
        <f t="shared" si="37"/>
        <v>46</v>
      </c>
      <c r="AK42" s="143">
        <f t="shared" si="38"/>
        <v>48</v>
      </c>
      <c r="AL42" s="143">
        <f t="shared" si="39"/>
        <v>50</v>
      </c>
      <c r="AM42" s="143">
        <f t="shared" si="40"/>
        <v>52</v>
      </c>
      <c r="AN42" s="143">
        <f t="shared" si="41"/>
        <v>54</v>
      </c>
      <c r="AO42" s="143">
        <f t="shared" si="42"/>
        <v>56</v>
      </c>
      <c r="AP42" s="143">
        <f t="shared" si="43"/>
        <v>58</v>
      </c>
      <c r="AQ42" s="143">
        <f t="shared" si="44"/>
        <v>61</v>
      </c>
      <c r="AR42" s="143">
        <f t="shared" si="45"/>
        <v>64</v>
      </c>
      <c r="AS42" s="143">
        <f t="shared" si="46"/>
        <v>67</v>
      </c>
      <c r="AT42" s="143">
        <f t="shared" si="47"/>
        <v>70</v>
      </c>
      <c r="AU42" s="143">
        <f t="shared" si="48"/>
        <v>73</v>
      </c>
      <c r="AW42" s="144"/>
      <c r="AX42" s="145"/>
      <c r="AY42" s="145"/>
      <c r="AZ42" s="146">
        <f t="shared" si="49"/>
        <v>0.73003000000000007</v>
      </c>
      <c r="BA42" s="145"/>
      <c r="BB42" s="132">
        <f t="shared" si="50"/>
        <v>3.3581380000000001E-2</v>
      </c>
      <c r="BC42" s="147" t="s">
        <v>402</v>
      </c>
      <c r="BD42" s="148">
        <f t="shared" si="51"/>
        <v>0.73003000000000007</v>
      </c>
      <c r="BE42" s="149"/>
    </row>
    <row r="43" spans="1:57" ht="43.5" customHeight="1" x14ac:dyDescent="0.25">
      <c r="A43" s="279" t="s">
        <v>504</v>
      </c>
      <c r="B43" s="123">
        <v>3</v>
      </c>
      <c r="C43" s="280" t="s">
        <v>511</v>
      </c>
      <c r="D43" s="123" t="s">
        <v>396</v>
      </c>
      <c r="E43" s="125" t="s">
        <v>512</v>
      </c>
      <c r="F43" s="126" t="s">
        <v>513</v>
      </c>
      <c r="G43" s="127">
        <f t="shared" si="28"/>
        <v>0.12903000000000001</v>
      </c>
      <c r="H43" s="127">
        <f t="shared" si="29"/>
        <v>0.56100000000000005</v>
      </c>
      <c r="I43" s="128">
        <v>0.04</v>
      </c>
      <c r="J43" s="129">
        <v>0</v>
      </c>
      <c r="K43" s="127">
        <f t="shared" si="30"/>
        <v>0.73003000000000007</v>
      </c>
      <c r="L43" s="127">
        <v>0</v>
      </c>
      <c r="M43" s="127">
        <f t="shared" si="31"/>
        <v>0.73003000000000007</v>
      </c>
      <c r="N43" s="130">
        <v>0.25</v>
      </c>
      <c r="O43" s="131" t="s">
        <v>323</v>
      </c>
      <c r="P43" s="132">
        <f t="shared" si="32"/>
        <v>0.98003000000000007</v>
      </c>
      <c r="Q43" s="133">
        <f t="shared" si="33"/>
        <v>0.73003000000000007</v>
      </c>
      <c r="R43" s="142">
        <v>0.05</v>
      </c>
      <c r="S43" s="134">
        <v>2.2999999999999998</v>
      </c>
      <c r="T43" s="134">
        <v>56.1</v>
      </c>
      <c r="U43" s="134">
        <v>10</v>
      </c>
      <c r="V43" s="134">
        <v>56.1</v>
      </c>
      <c r="W43" s="130">
        <v>1.82</v>
      </c>
      <c r="X43" s="135">
        <v>0.1</v>
      </c>
      <c r="Y43" s="136">
        <f t="shared" si="34"/>
        <v>2.0020000000000002</v>
      </c>
      <c r="Z43" s="130">
        <v>0.48099999999999998</v>
      </c>
      <c r="AA43" s="137">
        <f t="shared" si="35"/>
        <v>-1.27197</v>
      </c>
      <c r="AB43" s="137">
        <f t="shared" si="36"/>
        <v>0.24903000000000008</v>
      </c>
      <c r="AC43" s="138" t="s">
        <v>399</v>
      </c>
      <c r="AD43" s="139" t="s">
        <v>400</v>
      </c>
      <c r="AE43" s="140" t="s">
        <v>401</v>
      </c>
      <c r="AF43" s="141">
        <v>5100</v>
      </c>
      <c r="AG43" s="184">
        <v>29</v>
      </c>
      <c r="AH43" s="184">
        <v>70</v>
      </c>
      <c r="AI43" s="142">
        <v>4.3999999999999997E-2</v>
      </c>
      <c r="AJ43" s="143">
        <f t="shared" si="37"/>
        <v>29</v>
      </c>
      <c r="AK43" s="143">
        <f t="shared" si="38"/>
        <v>30</v>
      </c>
      <c r="AL43" s="143">
        <f t="shared" si="39"/>
        <v>31</v>
      </c>
      <c r="AM43" s="143">
        <f t="shared" si="40"/>
        <v>32</v>
      </c>
      <c r="AN43" s="143">
        <f t="shared" si="41"/>
        <v>33</v>
      </c>
      <c r="AO43" s="143">
        <f t="shared" si="42"/>
        <v>34</v>
      </c>
      <c r="AP43" s="143">
        <f t="shared" si="43"/>
        <v>35</v>
      </c>
      <c r="AQ43" s="143">
        <f t="shared" si="44"/>
        <v>37</v>
      </c>
      <c r="AR43" s="143">
        <f t="shared" si="45"/>
        <v>39</v>
      </c>
      <c r="AS43" s="143">
        <f t="shared" si="46"/>
        <v>41</v>
      </c>
      <c r="AT43" s="143">
        <f t="shared" si="47"/>
        <v>43</v>
      </c>
      <c r="AU43" s="143">
        <f t="shared" si="48"/>
        <v>45</v>
      </c>
      <c r="AW43" s="144"/>
      <c r="AX43" s="145"/>
      <c r="AY43" s="145"/>
      <c r="AZ43" s="146">
        <f t="shared" si="49"/>
        <v>0.73003000000000007</v>
      </c>
      <c r="BA43" s="145"/>
      <c r="BB43" s="132">
        <f t="shared" si="50"/>
        <v>2.1170870000000001E-2</v>
      </c>
      <c r="BC43" s="147" t="s">
        <v>402</v>
      </c>
      <c r="BD43" s="148">
        <f t="shared" si="51"/>
        <v>0.73003000000000007</v>
      </c>
      <c r="BE43" s="149"/>
    </row>
    <row r="44" spans="1:57" ht="43.5" customHeight="1" x14ac:dyDescent="0.25">
      <c r="A44" s="279" t="s">
        <v>504</v>
      </c>
      <c r="B44" s="123">
        <v>4</v>
      </c>
      <c r="C44" s="280" t="s">
        <v>514</v>
      </c>
      <c r="D44" s="123" t="s">
        <v>396</v>
      </c>
      <c r="E44" s="125" t="s">
        <v>515</v>
      </c>
      <c r="F44" s="126" t="s">
        <v>516</v>
      </c>
      <c r="G44" s="127">
        <f t="shared" si="28"/>
        <v>0.12903000000000001</v>
      </c>
      <c r="H44" s="127">
        <f t="shared" si="29"/>
        <v>0.56100000000000005</v>
      </c>
      <c r="I44" s="128">
        <v>0.04</v>
      </c>
      <c r="J44" s="129">
        <v>0</v>
      </c>
      <c r="K44" s="127">
        <f t="shared" si="30"/>
        <v>0.73003000000000007</v>
      </c>
      <c r="L44" s="127">
        <v>0</v>
      </c>
      <c r="M44" s="127">
        <f t="shared" si="31"/>
        <v>0.73003000000000007</v>
      </c>
      <c r="N44" s="130">
        <v>0.25</v>
      </c>
      <c r="O44" s="131" t="s">
        <v>323</v>
      </c>
      <c r="P44" s="132">
        <f t="shared" si="32"/>
        <v>0.98003000000000007</v>
      </c>
      <c r="Q44" s="133">
        <f t="shared" si="33"/>
        <v>0.73003000000000007</v>
      </c>
      <c r="R44" s="142">
        <v>0.2</v>
      </c>
      <c r="S44" s="134">
        <v>2.2999999999999998</v>
      </c>
      <c r="T44" s="134">
        <v>56.1</v>
      </c>
      <c r="U44" s="134">
        <v>10</v>
      </c>
      <c r="V44" s="134">
        <v>56.1</v>
      </c>
      <c r="W44" s="130">
        <v>1.82</v>
      </c>
      <c r="X44" s="135">
        <v>0.1</v>
      </c>
      <c r="Y44" s="136">
        <f t="shared" si="34"/>
        <v>2.0020000000000002</v>
      </c>
      <c r="Z44" s="130">
        <v>0.48099999999999998</v>
      </c>
      <c r="AA44" s="137">
        <f t="shared" si="35"/>
        <v>-1.27197</v>
      </c>
      <c r="AB44" s="137">
        <f t="shared" si="36"/>
        <v>0.24903000000000008</v>
      </c>
      <c r="AC44" s="138" t="s">
        <v>399</v>
      </c>
      <c r="AD44" s="139" t="s">
        <v>400</v>
      </c>
      <c r="AE44" s="140" t="s">
        <v>401</v>
      </c>
      <c r="AF44" s="141">
        <v>5100</v>
      </c>
      <c r="AG44" s="184">
        <v>116</v>
      </c>
      <c r="AH44" s="184">
        <v>280</v>
      </c>
      <c r="AI44" s="142">
        <v>4.3999999999999997E-2</v>
      </c>
      <c r="AJ44" s="143">
        <f t="shared" si="37"/>
        <v>116</v>
      </c>
      <c r="AK44" s="143">
        <f t="shared" si="38"/>
        <v>121</v>
      </c>
      <c r="AL44" s="143">
        <f t="shared" si="39"/>
        <v>126</v>
      </c>
      <c r="AM44" s="143">
        <f t="shared" si="40"/>
        <v>132</v>
      </c>
      <c r="AN44" s="143">
        <f t="shared" si="41"/>
        <v>138</v>
      </c>
      <c r="AO44" s="143">
        <f t="shared" si="42"/>
        <v>144</v>
      </c>
      <c r="AP44" s="143">
        <f t="shared" si="43"/>
        <v>150</v>
      </c>
      <c r="AQ44" s="143">
        <f t="shared" si="44"/>
        <v>157</v>
      </c>
      <c r="AR44" s="143">
        <f t="shared" si="45"/>
        <v>164</v>
      </c>
      <c r="AS44" s="143">
        <f t="shared" si="46"/>
        <v>171</v>
      </c>
      <c r="AT44" s="143">
        <f t="shared" si="47"/>
        <v>179</v>
      </c>
      <c r="AU44" s="143">
        <f t="shared" si="48"/>
        <v>187</v>
      </c>
      <c r="AW44" s="144"/>
      <c r="AX44" s="145"/>
      <c r="AY44" s="145"/>
      <c r="AZ44" s="146">
        <f t="shared" si="49"/>
        <v>0.73003000000000007</v>
      </c>
      <c r="BA44" s="145"/>
      <c r="BB44" s="132">
        <f t="shared" si="50"/>
        <v>8.4683480000000005E-2</v>
      </c>
      <c r="BC44" s="147" t="s">
        <v>402</v>
      </c>
      <c r="BD44" s="148">
        <f t="shared" si="51"/>
        <v>0.73003000000000007</v>
      </c>
      <c r="BE44" s="149"/>
    </row>
    <row r="45" spans="1:57" ht="43.5" customHeight="1" x14ac:dyDescent="0.25">
      <c r="A45" s="279" t="s">
        <v>504</v>
      </c>
      <c r="B45" s="123">
        <v>5</v>
      </c>
      <c r="C45" s="280" t="s">
        <v>517</v>
      </c>
      <c r="D45" s="123" t="s">
        <v>396</v>
      </c>
      <c r="E45" s="125" t="s">
        <v>518</v>
      </c>
      <c r="F45" s="126" t="s">
        <v>519</v>
      </c>
      <c r="G45" s="127">
        <f t="shared" si="28"/>
        <v>0.12903000000000001</v>
      </c>
      <c r="H45" s="127">
        <f t="shared" si="29"/>
        <v>0.56100000000000005</v>
      </c>
      <c r="I45" s="128">
        <v>0.04</v>
      </c>
      <c r="J45" s="129">
        <v>0</v>
      </c>
      <c r="K45" s="127">
        <f t="shared" si="30"/>
        <v>0.73003000000000007</v>
      </c>
      <c r="L45" s="127">
        <v>0</v>
      </c>
      <c r="M45" s="127">
        <f t="shared" si="31"/>
        <v>0.73003000000000007</v>
      </c>
      <c r="N45" s="130">
        <v>0.25</v>
      </c>
      <c r="O45" s="131" t="s">
        <v>323</v>
      </c>
      <c r="P45" s="132">
        <f t="shared" si="32"/>
        <v>0.98003000000000007</v>
      </c>
      <c r="Q45" s="133">
        <f t="shared" si="33"/>
        <v>0.73003000000000007</v>
      </c>
      <c r="R45" s="142">
        <v>0.12</v>
      </c>
      <c r="S45" s="134">
        <v>2.2999999999999998</v>
      </c>
      <c r="T45" s="134">
        <v>56.1</v>
      </c>
      <c r="U45" s="134">
        <v>10</v>
      </c>
      <c r="V45" s="134">
        <v>56.1</v>
      </c>
      <c r="W45" s="130">
        <v>1.82</v>
      </c>
      <c r="X45" s="135">
        <v>0.1</v>
      </c>
      <c r="Y45" s="136">
        <f t="shared" si="34"/>
        <v>2.0020000000000002</v>
      </c>
      <c r="Z45" s="130">
        <v>0.48099999999999998</v>
      </c>
      <c r="AA45" s="137">
        <f t="shared" si="35"/>
        <v>-1.27197</v>
      </c>
      <c r="AB45" s="137">
        <f t="shared" si="36"/>
        <v>0.24903000000000008</v>
      </c>
      <c r="AC45" s="138" t="s">
        <v>399</v>
      </c>
      <c r="AD45" s="139" t="s">
        <v>400</v>
      </c>
      <c r="AE45" s="140" t="s">
        <v>401</v>
      </c>
      <c r="AF45" s="141">
        <v>5100</v>
      </c>
      <c r="AG45" s="184">
        <v>70</v>
      </c>
      <c r="AH45" s="184">
        <v>168</v>
      </c>
      <c r="AI45" s="142">
        <v>4.3999999999999997E-2</v>
      </c>
      <c r="AJ45" s="143">
        <f t="shared" si="37"/>
        <v>70</v>
      </c>
      <c r="AK45" s="143">
        <f t="shared" si="38"/>
        <v>73</v>
      </c>
      <c r="AL45" s="143">
        <f t="shared" si="39"/>
        <v>76</v>
      </c>
      <c r="AM45" s="143">
        <f t="shared" si="40"/>
        <v>79</v>
      </c>
      <c r="AN45" s="143">
        <f t="shared" si="41"/>
        <v>82</v>
      </c>
      <c r="AO45" s="143">
        <f t="shared" si="42"/>
        <v>86</v>
      </c>
      <c r="AP45" s="143">
        <f t="shared" si="43"/>
        <v>90</v>
      </c>
      <c r="AQ45" s="143">
        <f t="shared" si="44"/>
        <v>94</v>
      </c>
      <c r="AR45" s="143">
        <f t="shared" si="45"/>
        <v>98</v>
      </c>
      <c r="AS45" s="143">
        <f t="shared" si="46"/>
        <v>102</v>
      </c>
      <c r="AT45" s="143">
        <f t="shared" si="47"/>
        <v>106</v>
      </c>
      <c r="AU45" s="143">
        <f t="shared" si="48"/>
        <v>111</v>
      </c>
      <c r="AW45" s="144"/>
      <c r="AX45" s="145"/>
      <c r="AY45" s="145"/>
      <c r="AZ45" s="146">
        <f t="shared" si="49"/>
        <v>0.73003000000000007</v>
      </c>
      <c r="BA45" s="145"/>
      <c r="BB45" s="132">
        <f t="shared" si="50"/>
        <v>5.1102100000000004E-2</v>
      </c>
      <c r="BC45" s="147" t="s">
        <v>402</v>
      </c>
      <c r="BD45" s="148">
        <f t="shared" si="51"/>
        <v>0.73003000000000007</v>
      </c>
      <c r="BE45" s="149"/>
    </row>
    <row r="46" spans="1:57" ht="43.5" customHeight="1" x14ac:dyDescent="0.25">
      <c r="A46" s="281" t="s">
        <v>504</v>
      </c>
      <c r="B46" s="151">
        <v>6</v>
      </c>
      <c r="C46" s="282" t="s">
        <v>520</v>
      </c>
      <c r="D46" s="151" t="s">
        <v>396</v>
      </c>
      <c r="E46" s="153" t="s">
        <v>518</v>
      </c>
      <c r="F46" s="154" t="s">
        <v>521</v>
      </c>
      <c r="G46" s="127">
        <f t="shared" si="28"/>
        <v>0.14025000000000001</v>
      </c>
      <c r="H46" s="127">
        <f t="shared" si="29"/>
        <v>0</v>
      </c>
      <c r="I46" s="128">
        <v>1.4999999999999999E-2</v>
      </c>
      <c r="J46" s="129">
        <v>0</v>
      </c>
      <c r="K46" s="127">
        <f t="shared" si="30"/>
        <v>0.15525</v>
      </c>
      <c r="L46" s="127">
        <v>0</v>
      </c>
      <c r="M46" s="127">
        <f t="shared" si="31"/>
        <v>0.15525</v>
      </c>
      <c r="N46" s="130">
        <v>0.25</v>
      </c>
      <c r="O46" s="131" t="s">
        <v>323</v>
      </c>
      <c r="P46" s="132">
        <f t="shared" si="32"/>
        <v>0.40525</v>
      </c>
      <c r="Q46" s="133">
        <f t="shared" si="33"/>
        <v>0.15525</v>
      </c>
      <c r="R46" s="142">
        <v>0.45</v>
      </c>
      <c r="S46" s="134">
        <v>2.5</v>
      </c>
      <c r="T46" s="134">
        <v>56.1</v>
      </c>
      <c r="U46" s="134">
        <v>0</v>
      </c>
      <c r="V46" s="134">
        <v>0</v>
      </c>
      <c r="W46" s="130">
        <v>0.72</v>
      </c>
      <c r="X46" s="135">
        <v>0.1</v>
      </c>
      <c r="Y46" s="136">
        <f t="shared" si="34"/>
        <v>0.79200000000000004</v>
      </c>
      <c r="Z46" s="130">
        <v>7.1999999999999995E-2</v>
      </c>
      <c r="AA46" s="137">
        <f t="shared" si="35"/>
        <v>-0.63675000000000004</v>
      </c>
      <c r="AB46" s="137">
        <f t="shared" si="36"/>
        <v>8.3250000000000005E-2</v>
      </c>
      <c r="AC46" s="138" t="s">
        <v>406</v>
      </c>
      <c r="AD46" s="139" t="s">
        <v>407</v>
      </c>
      <c r="AE46" s="139" t="s">
        <v>408</v>
      </c>
      <c r="AF46" s="141">
        <v>4800</v>
      </c>
      <c r="AG46" s="184">
        <v>135</v>
      </c>
      <c r="AH46" s="184">
        <v>405</v>
      </c>
      <c r="AI46" s="142">
        <v>4.3999999999999997E-2</v>
      </c>
      <c r="AJ46" s="143">
        <f t="shared" si="37"/>
        <v>135</v>
      </c>
      <c r="AK46" s="143">
        <f t="shared" si="38"/>
        <v>141</v>
      </c>
      <c r="AL46" s="143">
        <f t="shared" si="39"/>
        <v>147</v>
      </c>
      <c r="AM46" s="143">
        <f t="shared" si="40"/>
        <v>153</v>
      </c>
      <c r="AN46" s="143">
        <f t="shared" si="41"/>
        <v>160</v>
      </c>
      <c r="AO46" s="143">
        <f t="shared" si="42"/>
        <v>167</v>
      </c>
      <c r="AP46" s="143">
        <f t="shared" si="43"/>
        <v>174</v>
      </c>
      <c r="AQ46" s="143">
        <f t="shared" si="44"/>
        <v>182</v>
      </c>
      <c r="AR46" s="143">
        <f t="shared" si="45"/>
        <v>190</v>
      </c>
      <c r="AS46" s="143">
        <f t="shared" si="46"/>
        <v>198</v>
      </c>
      <c r="AT46" s="143">
        <f t="shared" si="47"/>
        <v>207</v>
      </c>
      <c r="AU46" s="143">
        <f t="shared" si="48"/>
        <v>216</v>
      </c>
      <c r="AW46" s="144"/>
      <c r="AX46" s="145"/>
      <c r="AY46" s="145"/>
      <c r="AZ46" s="146">
        <f t="shared" si="49"/>
        <v>0.15525</v>
      </c>
      <c r="BA46" s="145"/>
      <c r="BB46" s="132">
        <f t="shared" si="50"/>
        <v>2.0958749999999998E-2</v>
      </c>
      <c r="BC46" s="147" t="s">
        <v>402</v>
      </c>
      <c r="BD46" s="148">
        <f t="shared" si="51"/>
        <v>0.15525</v>
      </c>
      <c r="BE46" s="149"/>
    </row>
    <row r="47" spans="1:57" ht="43.5" customHeight="1" x14ac:dyDescent="0.25">
      <c r="A47" s="281" t="s">
        <v>504</v>
      </c>
      <c r="B47" s="151">
        <v>7</v>
      </c>
      <c r="C47" s="282" t="s">
        <v>522</v>
      </c>
      <c r="D47" s="151" t="s">
        <v>396</v>
      </c>
      <c r="E47" s="153" t="s">
        <v>523</v>
      </c>
      <c r="F47" s="154" t="s">
        <v>524</v>
      </c>
      <c r="G47" s="127">
        <f t="shared" si="28"/>
        <v>0.14025000000000001</v>
      </c>
      <c r="H47" s="127">
        <f t="shared" si="29"/>
        <v>0</v>
      </c>
      <c r="I47" s="128">
        <v>1.4999999999999999E-2</v>
      </c>
      <c r="J47" s="129">
        <v>0</v>
      </c>
      <c r="K47" s="127">
        <f t="shared" si="30"/>
        <v>0.15525</v>
      </c>
      <c r="L47" s="127">
        <v>0</v>
      </c>
      <c r="M47" s="127">
        <f t="shared" si="31"/>
        <v>0.15525</v>
      </c>
      <c r="N47" s="130">
        <v>0.25</v>
      </c>
      <c r="O47" s="131" t="s">
        <v>323</v>
      </c>
      <c r="P47" s="132">
        <f t="shared" si="32"/>
        <v>0.40525</v>
      </c>
      <c r="Q47" s="133">
        <f t="shared" si="33"/>
        <v>0.15525</v>
      </c>
      <c r="R47" s="142">
        <v>0.25</v>
      </c>
      <c r="S47" s="134">
        <v>2.5</v>
      </c>
      <c r="T47" s="134">
        <v>56.1</v>
      </c>
      <c r="U47" s="134">
        <v>0</v>
      </c>
      <c r="V47" s="134">
        <v>0</v>
      </c>
      <c r="W47" s="130">
        <v>0.72</v>
      </c>
      <c r="X47" s="135">
        <v>0.1</v>
      </c>
      <c r="Y47" s="136">
        <f t="shared" si="34"/>
        <v>0.79200000000000004</v>
      </c>
      <c r="Z47" s="130">
        <v>7.1999999999999995E-2</v>
      </c>
      <c r="AA47" s="137">
        <f t="shared" si="35"/>
        <v>-0.63675000000000004</v>
      </c>
      <c r="AB47" s="137">
        <f t="shared" si="36"/>
        <v>8.3250000000000005E-2</v>
      </c>
      <c r="AC47" s="138" t="s">
        <v>406</v>
      </c>
      <c r="AD47" s="139" t="s">
        <v>407</v>
      </c>
      <c r="AE47" s="139" t="s">
        <v>408</v>
      </c>
      <c r="AF47" s="141">
        <v>4800</v>
      </c>
      <c r="AG47" s="184">
        <v>75</v>
      </c>
      <c r="AH47" s="184">
        <v>225</v>
      </c>
      <c r="AI47" s="142">
        <v>4.3999999999999997E-2</v>
      </c>
      <c r="AJ47" s="143">
        <f t="shared" si="37"/>
        <v>75</v>
      </c>
      <c r="AK47" s="143">
        <f t="shared" si="38"/>
        <v>78</v>
      </c>
      <c r="AL47" s="143">
        <f t="shared" si="39"/>
        <v>81</v>
      </c>
      <c r="AM47" s="143">
        <f t="shared" si="40"/>
        <v>85</v>
      </c>
      <c r="AN47" s="143">
        <f t="shared" si="41"/>
        <v>89</v>
      </c>
      <c r="AO47" s="143">
        <f t="shared" si="42"/>
        <v>93</v>
      </c>
      <c r="AP47" s="143">
        <f t="shared" si="43"/>
        <v>97</v>
      </c>
      <c r="AQ47" s="143">
        <f t="shared" si="44"/>
        <v>101</v>
      </c>
      <c r="AR47" s="143">
        <f t="shared" si="45"/>
        <v>105</v>
      </c>
      <c r="AS47" s="143">
        <f t="shared" si="46"/>
        <v>110</v>
      </c>
      <c r="AT47" s="143">
        <f t="shared" si="47"/>
        <v>115</v>
      </c>
      <c r="AU47" s="143">
        <f t="shared" si="48"/>
        <v>120</v>
      </c>
      <c r="AW47" s="144"/>
      <c r="AX47" s="145"/>
      <c r="AY47" s="145"/>
      <c r="AZ47" s="146">
        <f t="shared" si="49"/>
        <v>0.15525</v>
      </c>
      <c r="BA47" s="145"/>
      <c r="BB47" s="132">
        <f t="shared" si="50"/>
        <v>1.1643750000000001E-2</v>
      </c>
      <c r="BC47" s="147" t="s">
        <v>402</v>
      </c>
      <c r="BD47" s="148">
        <f t="shared" si="51"/>
        <v>0.15525</v>
      </c>
      <c r="BE47" s="149"/>
    </row>
    <row r="48" spans="1:57" ht="43.5" customHeight="1" x14ac:dyDescent="0.25">
      <c r="A48" s="281" t="s">
        <v>504</v>
      </c>
      <c r="B48" s="151">
        <v>8</v>
      </c>
      <c r="C48" s="282" t="s">
        <v>525</v>
      </c>
      <c r="D48" s="151" t="s">
        <v>396</v>
      </c>
      <c r="E48" s="153" t="s">
        <v>526</v>
      </c>
      <c r="F48" s="154" t="s">
        <v>527</v>
      </c>
      <c r="G48" s="127">
        <f t="shared" si="28"/>
        <v>0.14025000000000001</v>
      </c>
      <c r="H48" s="127">
        <f t="shared" si="29"/>
        <v>0</v>
      </c>
      <c r="I48" s="128">
        <v>1.4999999999999999E-2</v>
      </c>
      <c r="J48" s="129">
        <v>0</v>
      </c>
      <c r="K48" s="127">
        <f t="shared" si="30"/>
        <v>0.15525</v>
      </c>
      <c r="L48" s="127">
        <v>0</v>
      </c>
      <c r="M48" s="127">
        <f t="shared" si="31"/>
        <v>0.15525</v>
      </c>
      <c r="N48" s="130">
        <v>0.25</v>
      </c>
      <c r="O48" s="131" t="s">
        <v>323</v>
      </c>
      <c r="P48" s="132">
        <f t="shared" si="32"/>
        <v>0.40525</v>
      </c>
      <c r="Q48" s="133">
        <f t="shared" si="33"/>
        <v>0.15525</v>
      </c>
      <c r="R48" s="142">
        <v>0.15</v>
      </c>
      <c r="S48" s="134">
        <v>2.5</v>
      </c>
      <c r="T48" s="134">
        <v>56.1</v>
      </c>
      <c r="U48" s="134">
        <v>0</v>
      </c>
      <c r="V48" s="134">
        <v>0</v>
      </c>
      <c r="W48" s="130">
        <v>0.72</v>
      </c>
      <c r="X48" s="135">
        <v>0.1</v>
      </c>
      <c r="Y48" s="136">
        <f t="shared" si="34"/>
        <v>0.79200000000000004</v>
      </c>
      <c r="Z48" s="130">
        <v>7.1999999999999995E-2</v>
      </c>
      <c r="AA48" s="137">
        <f t="shared" si="35"/>
        <v>-0.63675000000000004</v>
      </c>
      <c r="AB48" s="137">
        <f t="shared" si="36"/>
        <v>8.3250000000000005E-2</v>
      </c>
      <c r="AC48" s="138" t="s">
        <v>406</v>
      </c>
      <c r="AD48" s="139" t="s">
        <v>407</v>
      </c>
      <c r="AE48" s="139" t="s">
        <v>408</v>
      </c>
      <c r="AF48" s="141">
        <v>4800</v>
      </c>
      <c r="AG48" s="184">
        <v>45</v>
      </c>
      <c r="AH48" s="184">
        <v>135</v>
      </c>
      <c r="AI48" s="142">
        <v>4.3999999999999997E-2</v>
      </c>
      <c r="AJ48" s="143">
        <f t="shared" si="37"/>
        <v>45</v>
      </c>
      <c r="AK48" s="143">
        <f t="shared" si="38"/>
        <v>47</v>
      </c>
      <c r="AL48" s="143">
        <f t="shared" si="39"/>
        <v>49</v>
      </c>
      <c r="AM48" s="143">
        <f t="shared" si="40"/>
        <v>51</v>
      </c>
      <c r="AN48" s="143">
        <f t="shared" si="41"/>
        <v>53</v>
      </c>
      <c r="AO48" s="143">
        <f t="shared" si="42"/>
        <v>55</v>
      </c>
      <c r="AP48" s="143">
        <f t="shared" si="43"/>
        <v>57</v>
      </c>
      <c r="AQ48" s="143">
        <f t="shared" si="44"/>
        <v>60</v>
      </c>
      <c r="AR48" s="143">
        <f t="shared" si="45"/>
        <v>63</v>
      </c>
      <c r="AS48" s="143">
        <f t="shared" si="46"/>
        <v>66</v>
      </c>
      <c r="AT48" s="143">
        <f t="shared" si="47"/>
        <v>69</v>
      </c>
      <c r="AU48" s="143">
        <f t="shared" si="48"/>
        <v>72</v>
      </c>
      <c r="AW48" s="144"/>
      <c r="AX48" s="145"/>
      <c r="AY48" s="145"/>
      <c r="AZ48" s="146">
        <f t="shared" si="49"/>
        <v>0.15525</v>
      </c>
      <c r="BA48" s="145"/>
      <c r="BB48" s="132">
        <f t="shared" si="50"/>
        <v>6.9862500000000003E-3</v>
      </c>
      <c r="BC48" s="147" t="s">
        <v>402</v>
      </c>
      <c r="BD48" s="148">
        <f t="shared" si="51"/>
        <v>0.15525</v>
      </c>
      <c r="BE48" s="149"/>
    </row>
    <row r="49" spans="1:57" ht="43.5" customHeight="1" x14ac:dyDescent="0.25">
      <c r="A49" s="281" t="s">
        <v>504</v>
      </c>
      <c r="B49" s="151">
        <v>9</v>
      </c>
      <c r="C49" s="282" t="s">
        <v>528</v>
      </c>
      <c r="D49" s="151" t="s">
        <v>396</v>
      </c>
      <c r="E49" s="153" t="s">
        <v>529</v>
      </c>
      <c r="F49" s="154" t="s">
        <v>530</v>
      </c>
      <c r="G49" s="127">
        <f t="shared" si="28"/>
        <v>0.14025000000000001</v>
      </c>
      <c r="H49" s="127">
        <f t="shared" si="29"/>
        <v>0</v>
      </c>
      <c r="I49" s="128">
        <v>1.4999999999999999E-2</v>
      </c>
      <c r="J49" s="129">
        <v>0</v>
      </c>
      <c r="K49" s="127">
        <f t="shared" si="30"/>
        <v>0.15525</v>
      </c>
      <c r="L49" s="127">
        <v>0</v>
      </c>
      <c r="M49" s="127">
        <f t="shared" si="31"/>
        <v>0.15525</v>
      </c>
      <c r="N49" s="130">
        <v>0.25</v>
      </c>
      <c r="O49" s="131" t="s">
        <v>323</v>
      </c>
      <c r="P49" s="132">
        <f t="shared" si="32"/>
        <v>0.40525</v>
      </c>
      <c r="Q49" s="133">
        <f t="shared" si="33"/>
        <v>0.15525</v>
      </c>
      <c r="R49" s="142">
        <v>0.15</v>
      </c>
      <c r="S49" s="134">
        <v>2.5</v>
      </c>
      <c r="T49" s="134">
        <v>56.1</v>
      </c>
      <c r="U49" s="134">
        <v>0</v>
      </c>
      <c r="V49" s="134">
        <v>0</v>
      </c>
      <c r="W49" s="130">
        <v>0.72</v>
      </c>
      <c r="X49" s="135">
        <v>0.1</v>
      </c>
      <c r="Y49" s="136">
        <f t="shared" si="34"/>
        <v>0.79200000000000004</v>
      </c>
      <c r="Z49" s="130">
        <v>7.1999999999999995E-2</v>
      </c>
      <c r="AA49" s="137">
        <f t="shared" si="35"/>
        <v>-0.63675000000000004</v>
      </c>
      <c r="AB49" s="137">
        <f t="shared" si="36"/>
        <v>8.3250000000000005E-2</v>
      </c>
      <c r="AC49" s="138" t="s">
        <v>406</v>
      </c>
      <c r="AD49" s="139" t="s">
        <v>407</v>
      </c>
      <c r="AE49" s="139" t="s">
        <v>408</v>
      </c>
      <c r="AF49" s="141">
        <v>4800</v>
      </c>
      <c r="AG49" s="184">
        <v>45</v>
      </c>
      <c r="AH49" s="184">
        <v>135</v>
      </c>
      <c r="AI49" s="142">
        <v>4.3999999999999997E-2</v>
      </c>
      <c r="AJ49" s="143">
        <f t="shared" si="37"/>
        <v>45</v>
      </c>
      <c r="AK49" s="143">
        <f t="shared" si="38"/>
        <v>47</v>
      </c>
      <c r="AL49" s="143">
        <f t="shared" si="39"/>
        <v>49</v>
      </c>
      <c r="AM49" s="143">
        <f t="shared" si="40"/>
        <v>51</v>
      </c>
      <c r="AN49" s="143">
        <f t="shared" si="41"/>
        <v>53</v>
      </c>
      <c r="AO49" s="143">
        <f t="shared" si="42"/>
        <v>55</v>
      </c>
      <c r="AP49" s="143">
        <f t="shared" si="43"/>
        <v>57</v>
      </c>
      <c r="AQ49" s="143">
        <f t="shared" si="44"/>
        <v>60</v>
      </c>
      <c r="AR49" s="143">
        <f t="shared" si="45"/>
        <v>63</v>
      </c>
      <c r="AS49" s="143">
        <f t="shared" si="46"/>
        <v>66</v>
      </c>
      <c r="AT49" s="143">
        <f t="shared" si="47"/>
        <v>69</v>
      </c>
      <c r="AU49" s="143">
        <f t="shared" si="48"/>
        <v>72</v>
      </c>
      <c r="AW49" s="144"/>
      <c r="AX49" s="145"/>
      <c r="AY49" s="145"/>
      <c r="AZ49" s="146">
        <f t="shared" si="49"/>
        <v>0.15525</v>
      </c>
      <c r="BA49" s="145"/>
      <c r="BB49" s="132">
        <f t="shared" si="50"/>
        <v>6.9862500000000003E-3</v>
      </c>
      <c r="BC49" s="147" t="s">
        <v>402</v>
      </c>
      <c r="BD49" s="148">
        <f t="shared" si="51"/>
        <v>0.15525</v>
      </c>
      <c r="BE49" s="149"/>
    </row>
    <row r="50" spans="1:57" ht="43.5" customHeight="1" x14ac:dyDescent="0.25">
      <c r="A50" s="100" t="s">
        <v>504</v>
      </c>
      <c r="B50" s="145">
        <v>10</v>
      </c>
      <c r="C50" s="283" t="s">
        <v>531</v>
      </c>
      <c r="D50" s="145" t="s">
        <v>396</v>
      </c>
      <c r="E50" s="157" t="s">
        <v>532</v>
      </c>
      <c r="F50" s="158" t="s">
        <v>533</v>
      </c>
      <c r="G50" s="127">
        <f t="shared" si="28"/>
        <v>0.38439999999999996</v>
      </c>
      <c r="H50" s="127">
        <f t="shared" si="29"/>
        <v>1.5375999999999999</v>
      </c>
      <c r="I50" s="128">
        <v>0.25</v>
      </c>
      <c r="J50" s="129">
        <v>0</v>
      </c>
      <c r="K50" s="127">
        <f t="shared" si="30"/>
        <v>2.1719999999999997</v>
      </c>
      <c r="L50" s="127">
        <v>0</v>
      </c>
      <c r="M50" s="127">
        <f t="shared" si="31"/>
        <v>2.1719999999999997</v>
      </c>
      <c r="N50" s="130">
        <v>0.1875</v>
      </c>
      <c r="O50" s="131" t="s">
        <v>323</v>
      </c>
      <c r="P50" s="132">
        <f t="shared" si="32"/>
        <v>2.3594999999999997</v>
      </c>
      <c r="Q50" s="133">
        <f t="shared" si="33"/>
        <v>2.1719999999999997</v>
      </c>
      <c r="R50" s="142">
        <v>1</v>
      </c>
      <c r="S50" s="134">
        <v>4</v>
      </c>
      <c r="T50" s="134">
        <v>96.1</v>
      </c>
      <c r="U50" s="134">
        <v>16</v>
      </c>
      <c r="V50" s="134">
        <v>96.1</v>
      </c>
      <c r="W50" s="130">
        <v>2.8</v>
      </c>
      <c r="X50" s="135">
        <v>0.1</v>
      </c>
      <c r="Y50" s="136">
        <f t="shared" si="34"/>
        <v>3.08</v>
      </c>
      <c r="Z50" s="130">
        <v>1.37</v>
      </c>
      <c r="AA50" s="137">
        <f t="shared" si="35"/>
        <v>-0.90800000000000036</v>
      </c>
      <c r="AB50" s="137">
        <f t="shared" si="36"/>
        <v>0.8019999999999996</v>
      </c>
      <c r="AC50" s="138" t="s">
        <v>412</v>
      </c>
      <c r="AD50" s="159" t="s">
        <v>413</v>
      </c>
      <c r="AE50" s="140" t="s">
        <v>414</v>
      </c>
      <c r="AF50" s="141">
        <v>0</v>
      </c>
      <c r="AG50" s="184">
        <v>0</v>
      </c>
      <c r="AH50" s="184">
        <v>0</v>
      </c>
      <c r="AI50" s="142">
        <v>0</v>
      </c>
      <c r="AJ50" s="143">
        <f t="shared" si="37"/>
        <v>0</v>
      </c>
      <c r="AK50" s="143">
        <f t="shared" si="38"/>
        <v>0</v>
      </c>
      <c r="AL50" s="143">
        <f t="shared" si="39"/>
        <v>0</v>
      </c>
      <c r="AM50" s="143">
        <f t="shared" si="40"/>
        <v>0</v>
      </c>
      <c r="AN50" s="143">
        <f t="shared" si="41"/>
        <v>0</v>
      </c>
      <c r="AO50" s="143">
        <f t="shared" si="42"/>
        <v>0</v>
      </c>
      <c r="AP50" s="143">
        <f t="shared" si="43"/>
        <v>0</v>
      </c>
      <c r="AQ50" s="143">
        <f t="shared" si="44"/>
        <v>0</v>
      </c>
      <c r="AR50" s="143">
        <f t="shared" si="45"/>
        <v>0</v>
      </c>
      <c r="AS50" s="143">
        <f t="shared" si="46"/>
        <v>0</v>
      </c>
      <c r="AT50" s="143">
        <f t="shared" si="47"/>
        <v>0</v>
      </c>
      <c r="AU50" s="143">
        <f t="shared" si="48"/>
        <v>0</v>
      </c>
      <c r="AW50" s="144"/>
      <c r="AX50" s="145"/>
      <c r="AY50" s="145"/>
      <c r="AZ50" s="146">
        <f t="shared" si="49"/>
        <v>2.1719999999999997</v>
      </c>
      <c r="BA50" s="145"/>
      <c r="BB50" s="132">
        <f t="shared" si="50"/>
        <v>0</v>
      </c>
      <c r="BC50" s="147" t="s">
        <v>402</v>
      </c>
      <c r="BD50" s="148">
        <f t="shared" si="51"/>
        <v>2.1719999999999997</v>
      </c>
      <c r="BE50" s="149"/>
    </row>
    <row r="51" spans="1:57" ht="45.75" customHeight="1" x14ac:dyDescent="0.25">
      <c r="A51" s="236" t="s">
        <v>534</v>
      </c>
      <c r="B51" s="161">
        <v>11</v>
      </c>
      <c r="C51" s="162" t="s">
        <v>535</v>
      </c>
      <c r="D51" s="161" t="s">
        <v>416</v>
      </c>
      <c r="E51" s="163" t="s">
        <v>536</v>
      </c>
      <c r="F51" s="164" t="s">
        <v>537</v>
      </c>
      <c r="G51" s="127">
        <f t="shared" si="28"/>
        <v>0.25245000000000001</v>
      </c>
      <c r="H51" s="127">
        <f t="shared" si="29"/>
        <v>1.4496</v>
      </c>
      <c r="I51" s="128">
        <v>0.3</v>
      </c>
      <c r="J51" s="129">
        <v>0</v>
      </c>
      <c r="K51" s="127">
        <f t="shared" si="30"/>
        <v>2.0020500000000001</v>
      </c>
      <c r="L51" s="127">
        <v>0</v>
      </c>
      <c r="M51" s="127">
        <f t="shared" si="31"/>
        <v>2.0020500000000001</v>
      </c>
      <c r="N51" s="130">
        <v>0.05</v>
      </c>
      <c r="O51" s="131" t="s">
        <v>323</v>
      </c>
      <c r="P51" s="132">
        <f t="shared" si="32"/>
        <v>2.0520499999999999</v>
      </c>
      <c r="Q51" s="133">
        <f t="shared" si="33"/>
        <v>2.0020500000000001</v>
      </c>
      <c r="R51" s="161"/>
      <c r="S51" s="134">
        <v>4.5</v>
      </c>
      <c r="T51" s="134">
        <v>56.1</v>
      </c>
      <c r="U51" s="134">
        <v>24</v>
      </c>
      <c r="V51" s="134">
        <v>60.4</v>
      </c>
      <c r="W51" s="130">
        <v>2</v>
      </c>
      <c r="X51" s="135">
        <v>0.1</v>
      </c>
      <c r="Y51" s="136">
        <f t="shared" si="34"/>
        <v>2.2000000000000002</v>
      </c>
      <c r="Z51" s="130">
        <v>1.3280000000000001</v>
      </c>
      <c r="AA51" s="137">
        <f t="shared" si="35"/>
        <v>-0.19795000000000007</v>
      </c>
      <c r="AB51" s="137">
        <f t="shared" si="36"/>
        <v>0.67405000000000004</v>
      </c>
      <c r="AC51" s="138" t="s">
        <v>538</v>
      </c>
      <c r="AD51" s="159" t="s">
        <v>539</v>
      </c>
      <c r="AE51" s="159" t="s">
        <v>540</v>
      </c>
      <c r="AF51" s="141">
        <v>0</v>
      </c>
      <c r="AG51" s="141">
        <v>0</v>
      </c>
      <c r="AH51" s="141">
        <v>0</v>
      </c>
      <c r="AI51" s="142">
        <v>5.5E-2</v>
      </c>
      <c r="AW51" s="144"/>
      <c r="AX51" s="145"/>
      <c r="AY51" s="145"/>
      <c r="AZ51" s="146">
        <f t="shared" si="49"/>
        <v>2.0020500000000001</v>
      </c>
      <c r="BA51" s="145"/>
      <c r="BB51" s="132">
        <v>0</v>
      </c>
      <c r="BC51" s="147" t="s">
        <v>402</v>
      </c>
      <c r="BD51" s="148">
        <f t="shared" si="51"/>
        <v>2.0020500000000001</v>
      </c>
      <c r="BE51" s="149"/>
    </row>
    <row r="52" spans="1:57" ht="45.75" customHeight="1" x14ac:dyDescent="0.25">
      <c r="A52" s="236" t="s">
        <v>534</v>
      </c>
      <c r="B52" s="161">
        <v>12</v>
      </c>
      <c r="C52" s="162" t="s">
        <v>541</v>
      </c>
      <c r="D52" s="161" t="s">
        <v>416</v>
      </c>
      <c r="E52" s="163" t="s">
        <v>542</v>
      </c>
      <c r="F52" s="164" t="s">
        <v>543</v>
      </c>
      <c r="G52" s="127">
        <f t="shared" si="28"/>
        <v>0.28050000000000003</v>
      </c>
      <c r="H52" s="127">
        <f t="shared" si="29"/>
        <v>1.1000000000000001</v>
      </c>
      <c r="I52" s="128">
        <v>0</v>
      </c>
      <c r="J52" s="129">
        <v>0</v>
      </c>
      <c r="K52" s="127">
        <f t="shared" si="30"/>
        <v>1.3805000000000001</v>
      </c>
      <c r="L52" s="127">
        <v>0</v>
      </c>
      <c r="M52" s="127">
        <f t="shared" si="31"/>
        <v>1.3805000000000001</v>
      </c>
      <c r="N52" s="130">
        <v>0.3</v>
      </c>
      <c r="O52" s="131" t="s">
        <v>323</v>
      </c>
      <c r="P52" s="132">
        <f t="shared" si="32"/>
        <v>1.6805000000000001</v>
      </c>
      <c r="Q52" s="133">
        <f t="shared" si="33"/>
        <v>1.3805000000000001</v>
      </c>
      <c r="R52" s="161"/>
      <c r="S52" s="134">
        <v>5</v>
      </c>
      <c r="T52" s="134">
        <v>56.1</v>
      </c>
      <c r="U52" s="134">
        <v>11</v>
      </c>
      <c r="V52" s="134">
        <v>100</v>
      </c>
      <c r="W52" s="130">
        <v>1.45</v>
      </c>
      <c r="X52" s="135">
        <v>0.1</v>
      </c>
      <c r="Y52" s="136">
        <f t="shared" si="34"/>
        <v>1.595</v>
      </c>
      <c r="Z52" s="130">
        <v>0.48099999999999998</v>
      </c>
      <c r="AA52" s="137">
        <f t="shared" si="35"/>
        <v>-0.21449999999999991</v>
      </c>
      <c r="AB52" s="137">
        <f t="shared" si="36"/>
        <v>0.89950000000000008</v>
      </c>
      <c r="AC52" s="138" t="s">
        <v>544</v>
      </c>
      <c r="AD52" s="159" t="s">
        <v>545</v>
      </c>
      <c r="AE52" s="140" t="s">
        <v>481</v>
      </c>
      <c r="AF52" s="141">
        <v>0</v>
      </c>
      <c r="AG52" s="141">
        <v>0</v>
      </c>
      <c r="AH52" s="141">
        <v>0</v>
      </c>
      <c r="AI52" s="142">
        <v>5.5E-2</v>
      </c>
      <c r="AW52" s="144"/>
      <c r="AX52" s="145"/>
      <c r="AY52" s="145"/>
      <c r="AZ52" s="146">
        <f t="shared" si="49"/>
        <v>1.3805000000000001</v>
      </c>
      <c r="BA52" s="145"/>
      <c r="BB52" s="132">
        <v>0</v>
      </c>
      <c r="BC52" s="147" t="s">
        <v>402</v>
      </c>
      <c r="BD52" s="148">
        <f t="shared" si="51"/>
        <v>1.3805000000000001</v>
      </c>
      <c r="BE52" s="149"/>
    </row>
    <row r="53" spans="1:57" ht="45.75" customHeight="1" x14ac:dyDescent="0.25">
      <c r="A53" s="236" t="s">
        <v>534</v>
      </c>
      <c r="B53" s="161">
        <v>13</v>
      </c>
      <c r="C53" s="162" t="s">
        <v>546</v>
      </c>
      <c r="D53" s="161" t="s">
        <v>416</v>
      </c>
      <c r="E53" s="163" t="s">
        <v>547</v>
      </c>
      <c r="F53" s="164" t="s">
        <v>548</v>
      </c>
      <c r="G53" s="127">
        <f t="shared" si="28"/>
        <v>0.49919999999999998</v>
      </c>
      <c r="H53" s="127">
        <f t="shared" si="29"/>
        <v>2.4981</v>
      </c>
      <c r="I53" s="128">
        <v>1.2</v>
      </c>
      <c r="J53" s="129">
        <v>0</v>
      </c>
      <c r="K53" s="127">
        <f t="shared" si="30"/>
        <v>4.1973000000000003</v>
      </c>
      <c r="L53" s="127">
        <v>0</v>
      </c>
      <c r="M53" s="127">
        <f t="shared" si="31"/>
        <v>4.1973000000000003</v>
      </c>
      <c r="N53" s="130">
        <v>4</v>
      </c>
      <c r="O53" s="131" t="s">
        <v>323</v>
      </c>
      <c r="P53" s="132">
        <f t="shared" si="32"/>
        <v>8.1973000000000003</v>
      </c>
      <c r="Q53" s="133">
        <f t="shared" si="33"/>
        <v>4.1973000000000003</v>
      </c>
      <c r="R53" s="161"/>
      <c r="S53" s="134">
        <v>8</v>
      </c>
      <c r="T53" s="134">
        <v>62.4</v>
      </c>
      <c r="U53" s="134">
        <v>33</v>
      </c>
      <c r="V53" s="134">
        <v>75.7</v>
      </c>
      <c r="W53" s="130">
        <v>4.5</v>
      </c>
      <c r="X53" s="135">
        <v>0.1</v>
      </c>
      <c r="Y53" s="136">
        <f t="shared" si="34"/>
        <v>4.95</v>
      </c>
      <c r="Z53" s="130">
        <v>2.81</v>
      </c>
      <c r="AA53" s="137">
        <f t="shared" si="35"/>
        <v>-0.75269999999999992</v>
      </c>
      <c r="AB53" s="137">
        <f t="shared" si="36"/>
        <v>1.3873000000000002</v>
      </c>
      <c r="AC53" s="138" t="s">
        <v>549</v>
      </c>
      <c r="AD53" s="159" t="s">
        <v>550</v>
      </c>
      <c r="AE53" s="159" t="s">
        <v>551</v>
      </c>
      <c r="AF53" s="141">
        <v>0</v>
      </c>
      <c r="AG53" s="141">
        <v>0</v>
      </c>
      <c r="AH53" s="141">
        <v>0</v>
      </c>
      <c r="AI53" s="142">
        <v>5.5E-2</v>
      </c>
      <c r="AW53" s="144"/>
      <c r="AX53" s="145"/>
      <c r="AY53" s="145"/>
      <c r="AZ53" s="146">
        <f t="shared" si="49"/>
        <v>4.1973000000000003</v>
      </c>
      <c r="BA53" s="145"/>
      <c r="BB53" s="132">
        <v>0</v>
      </c>
      <c r="BC53" s="147" t="s">
        <v>402</v>
      </c>
      <c r="BD53" s="148">
        <f t="shared" si="51"/>
        <v>4.1973000000000003</v>
      </c>
      <c r="BE53" s="149"/>
    </row>
    <row r="54" spans="1:57" ht="45.75" customHeight="1" x14ac:dyDescent="0.25">
      <c r="A54" s="236" t="s">
        <v>534</v>
      </c>
      <c r="B54" s="161">
        <v>14</v>
      </c>
      <c r="C54" s="162" t="s">
        <v>552</v>
      </c>
      <c r="D54" s="161" t="s">
        <v>416</v>
      </c>
      <c r="E54" s="163" t="s">
        <v>553</v>
      </c>
      <c r="F54" s="164" t="s">
        <v>554</v>
      </c>
      <c r="G54" s="127">
        <f t="shared" si="28"/>
        <v>0.39974999999999999</v>
      </c>
      <c r="H54" s="127">
        <f t="shared" si="29"/>
        <v>1.8</v>
      </c>
      <c r="I54" s="128">
        <v>0.7</v>
      </c>
      <c r="J54" s="129">
        <v>0</v>
      </c>
      <c r="K54" s="127">
        <f t="shared" si="30"/>
        <v>2.89975</v>
      </c>
      <c r="L54" s="127">
        <v>0</v>
      </c>
      <c r="M54" s="127">
        <f t="shared" si="31"/>
        <v>2.89975</v>
      </c>
      <c r="N54" s="130">
        <v>1.5</v>
      </c>
      <c r="O54" s="131" t="s">
        <v>323</v>
      </c>
      <c r="P54" s="132">
        <f t="shared" si="32"/>
        <v>4.39975</v>
      </c>
      <c r="Q54" s="133">
        <f t="shared" si="33"/>
        <v>2.89975</v>
      </c>
      <c r="R54" s="161"/>
      <c r="S54" s="134">
        <v>6.5</v>
      </c>
      <c r="T54" s="134">
        <v>61.5</v>
      </c>
      <c r="U54" s="134">
        <v>24</v>
      </c>
      <c r="V54" s="134">
        <v>75</v>
      </c>
      <c r="W54" s="130">
        <v>2.1</v>
      </c>
      <c r="X54" s="135">
        <v>0.1</v>
      </c>
      <c r="Y54" s="136">
        <f t="shared" si="34"/>
        <v>2.3100000000000005</v>
      </c>
      <c r="Z54" s="130">
        <v>1.32</v>
      </c>
      <c r="AA54" s="137">
        <f t="shared" si="35"/>
        <v>0.58974999999999955</v>
      </c>
      <c r="AB54" s="137">
        <f t="shared" si="36"/>
        <v>1.57975</v>
      </c>
      <c r="AC54" s="138" t="s">
        <v>555</v>
      </c>
      <c r="AD54" s="159" t="s">
        <v>556</v>
      </c>
      <c r="AE54" s="159" t="s">
        <v>421</v>
      </c>
      <c r="AF54" s="141">
        <v>0</v>
      </c>
      <c r="AG54" s="141">
        <v>0</v>
      </c>
      <c r="AH54" s="141">
        <v>0</v>
      </c>
      <c r="AI54" s="142">
        <v>5.5E-2</v>
      </c>
      <c r="AW54" s="144"/>
      <c r="AX54" s="145"/>
      <c r="AY54" s="145"/>
      <c r="AZ54" s="146">
        <f t="shared" si="49"/>
        <v>2.89975</v>
      </c>
      <c r="BA54" s="145"/>
      <c r="BB54" s="132">
        <v>0</v>
      </c>
      <c r="BC54" s="147" t="s">
        <v>402</v>
      </c>
      <c r="BD54" s="148">
        <f t="shared" si="51"/>
        <v>2.89975</v>
      </c>
      <c r="BE54" s="149"/>
    </row>
    <row r="55" spans="1:57" ht="45.75" customHeight="1" x14ac:dyDescent="0.25">
      <c r="A55" s="236" t="s">
        <v>534</v>
      </c>
      <c r="B55" s="161">
        <v>15</v>
      </c>
      <c r="C55" s="162" t="s">
        <v>557</v>
      </c>
      <c r="D55" s="161" t="s">
        <v>416</v>
      </c>
      <c r="E55" s="163" t="s">
        <v>558</v>
      </c>
      <c r="F55" s="164" t="s">
        <v>548</v>
      </c>
      <c r="G55" s="127">
        <f t="shared" si="28"/>
        <v>0.3</v>
      </c>
      <c r="H55" s="127">
        <f t="shared" si="29"/>
        <v>1.6002000000000001</v>
      </c>
      <c r="I55" s="128">
        <v>0.5</v>
      </c>
      <c r="J55" s="129">
        <v>0</v>
      </c>
      <c r="K55" s="127">
        <f t="shared" si="30"/>
        <v>2.4001999999999999</v>
      </c>
      <c r="L55" s="127">
        <v>0</v>
      </c>
      <c r="M55" s="127">
        <f t="shared" si="31"/>
        <v>2.4001999999999999</v>
      </c>
      <c r="N55" s="130">
        <v>3.5</v>
      </c>
      <c r="O55" s="131" t="s">
        <v>323</v>
      </c>
      <c r="P55" s="132">
        <f t="shared" si="32"/>
        <v>5.9001999999999999</v>
      </c>
      <c r="Q55" s="133">
        <f t="shared" si="33"/>
        <v>2.4001999999999999</v>
      </c>
      <c r="R55" s="161"/>
      <c r="S55" s="134">
        <v>5</v>
      </c>
      <c r="T55" s="134">
        <v>60</v>
      </c>
      <c r="U55" s="134">
        <v>21</v>
      </c>
      <c r="V55" s="134">
        <v>76.2</v>
      </c>
      <c r="W55" s="130">
        <v>2.5</v>
      </c>
      <c r="X55" s="135">
        <v>0.1</v>
      </c>
      <c r="Y55" s="136">
        <f t="shared" si="34"/>
        <v>2.75</v>
      </c>
      <c r="Z55" s="130">
        <v>1.32</v>
      </c>
      <c r="AA55" s="137">
        <f t="shared" si="35"/>
        <v>-0.34980000000000011</v>
      </c>
      <c r="AB55" s="137">
        <f t="shared" si="36"/>
        <v>1.0801999999999998</v>
      </c>
      <c r="AC55" s="138" t="s">
        <v>559</v>
      </c>
      <c r="AD55" s="159" t="s">
        <v>556</v>
      </c>
      <c r="AE55" s="159" t="s">
        <v>551</v>
      </c>
      <c r="AF55" s="141">
        <v>0</v>
      </c>
      <c r="AG55" s="141">
        <v>0</v>
      </c>
      <c r="AH55" s="141">
        <v>0</v>
      </c>
      <c r="AI55" s="142">
        <v>5.5E-2</v>
      </c>
      <c r="AW55" s="144"/>
      <c r="AX55" s="145"/>
      <c r="AY55" s="145"/>
      <c r="AZ55" s="146">
        <f t="shared" si="49"/>
        <v>2.4001999999999999</v>
      </c>
      <c r="BA55" s="145"/>
      <c r="BB55" s="132">
        <v>0</v>
      </c>
      <c r="BC55" s="147" t="s">
        <v>402</v>
      </c>
      <c r="BD55" s="148">
        <f t="shared" si="51"/>
        <v>2.4001999999999999</v>
      </c>
      <c r="BE55" s="149"/>
    </row>
    <row r="56" spans="1:57" ht="13.5" customHeight="1" x14ac:dyDescent="0.25">
      <c r="A56" s="277" t="s">
        <v>560</v>
      </c>
      <c r="B56" s="278"/>
      <c r="C56" s="278"/>
      <c r="D56" s="278"/>
      <c r="E56" s="278"/>
      <c r="F56" s="278"/>
      <c r="G56" s="278"/>
      <c r="H56" s="278"/>
      <c r="I56" s="278"/>
      <c r="J56" s="278"/>
      <c r="K56" s="278"/>
      <c r="L56" s="278"/>
      <c r="M56" s="278"/>
      <c r="N56" s="278"/>
      <c r="O56" s="278"/>
      <c r="P56" s="278"/>
      <c r="Q56" s="278"/>
      <c r="R56" s="278"/>
      <c r="S56" s="278"/>
      <c r="T56" s="278"/>
      <c r="U56" s="278"/>
      <c r="V56" s="278"/>
      <c r="W56" s="278"/>
      <c r="X56" s="278"/>
      <c r="Y56" s="278"/>
      <c r="Z56" s="278"/>
      <c r="AA56" s="278"/>
      <c r="AB56" s="278"/>
      <c r="AC56" s="278"/>
      <c r="AD56" s="278"/>
      <c r="AE56" s="278"/>
      <c r="AF56" s="278"/>
      <c r="AG56" s="278"/>
      <c r="AH56" s="278"/>
      <c r="AI56" s="278"/>
      <c r="AJ56" s="278"/>
      <c r="AK56" s="278"/>
      <c r="AL56" s="278"/>
      <c r="AM56" s="278"/>
      <c r="AN56" s="278"/>
      <c r="AO56" s="278"/>
      <c r="AP56" s="278"/>
      <c r="AQ56" s="278"/>
      <c r="AR56" s="278"/>
      <c r="AS56" s="278"/>
      <c r="AT56" s="278"/>
      <c r="AU56" s="278"/>
      <c r="AV56" s="278"/>
      <c r="AW56" s="278"/>
      <c r="AX56" s="278"/>
      <c r="AY56" s="278"/>
      <c r="AZ56" s="278"/>
      <c r="BA56" s="278"/>
      <c r="BB56" s="278"/>
      <c r="BC56" s="278"/>
      <c r="BD56" s="278"/>
      <c r="BE56" s="278"/>
    </row>
    <row r="57" spans="1:57" ht="43.5" customHeight="1" x14ac:dyDescent="0.25">
      <c r="A57" s="284" t="s">
        <v>504</v>
      </c>
      <c r="B57" s="166">
        <v>16</v>
      </c>
      <c r="C57" s="285" t="s">
        <v>561</v>
      </c>
      <c r="D57" s="166" t="s">
        <v>423</v>
      </c>
      <c r="E57" s="168" t="s">
        <v>562</v>
      </c>
      <c r="F57" s="169" t="s">
        <v>563</v>
      </c>
      <c r="G57" s="127">
        <f>S57*T57/1000</f>
        <v>0.28829999999999995</v>
      </c>
      <c r="H57" s="127">
        <f>U57*V57/1000</f>
        <v>0</v>
      </c>
      <c r="I57" s="128">
        <v>0.52600000000000002</v>
      </c>
      <c r="J57" s="129">
        <v>0</v>
      </c>
      <c r="K57" s="127">
        <f>G57+H57+I57+J57</f>
        <v>0.81430000000000002</v>
      </c>
      <c r="L57" s="127">
        <v>0</v>
      </c>
      <c r="M57" s="127">
        <f>K57+L57</f>
        <v>0.81430000000000002</v>
      </c>
      <c r="N57" s="130">
        <v>5.6250000000000001E-2</v>
      </c>
      <c r="O57" s="170" t="s">
        <v>328</v>
      </c>
      <c r="P57" s="132">
        <f>M57+N57</f>
        <v>0.87055000000000005</v>
      </c>
      <c r="Q57" s="133">
        <f>P57</f>
        <v>0.87055000000000005</v>
      </c>
      <c r="R57" s="142">
        <v>0.7</v>
      </c>
      <c r="S57" s="134">
        <v>3</v>
      </c>
      <c r="T57" s="134">
        <v>96.1</v>
      </c>
      <c r="U57" s="134">
        <v>0</v>
      </c>
      <c r="V57" s="134">
        <v>0</v>
      </c>
      <c r="W57" s="130">
        <v>1.58</v>
      </c>
      <c r="X57" s="135">
        <v>0.1</v>
      </c>
      <c r="Y57" s="136">
        <f>W57*(1+X57)</f>
        <v>1.7380000000000002</v>
      </c>
      <c r="Z57" s="130">
        <v>0.66600000000000004</v>
      </c>
      <c r="AA57" s="137">
        <f>Q57-Y57</f>
        <v>-0.86745000000000017</v>
      </c>
      <c r="AB57" s="137">
        <f>Q57-Z57</f>
        <v>0.20455000000000001</v>
      </c>
      <c r="AC57" s="138" t="s">
        <v>426</v>
      </c>
      <c r="AD57" s="139" t="s">
        <v>427</v>
      </c>
      <c r="AE57" s="140" t="s">
        <v>428</v>
      </c>
      <c r="AF57" s="141">
        <v>50000</v>
      </c>
      <c r="AG57" s="184">
        <v>560</v>
      </c>
      <c r="AH57" s="184">
        <v>6790</v>
      </c>
      <c r="AI57" s="142">
        <v>3.3000000000000002E-2</v>
      </c>
      <c r="AJ57" s="143">
        <f>AG57</f>
        <v>560</v>
      </c>
      <c r="AK57" s="143">
        <f>ROUND(AJ57*(1+AI57),0)</f>
        <v>578</v>
      </c>
      <c r="AL57" s="143">
        <f>ROUND(AK57*(1+AI57),0)</f>
        <v>597</v>
      </c>
      <c r="AM57" s="143">
        <f>ROUND(AL57*(1+AI57),0)</f>
        <v>617</v>
      </c>
      <c r="AN57" s="143">
        <f>ROUND(AM57*(1+AI57),0)</f>
        <v>637</v>
      </c>
      <c r="AO57" s="143">
        <f>ROUND(AN57*(1+AI57),0)</f>
        <v>658</v>
      </c>
      <c r="AP57" s="143">
        <f>ROUND(AO57*(1+AI57),0)</f>
        <v>680</v>
      </c>
      <c r="AQ57" s="143">
        <f>ROUND(AP57*(1+AI57),0)</f>
        <v>702</v>
      </c>
      <c r="AR57" s="143">
        <f>ROUND(AQ57*(1+AI57),0)</f>
        <v>725</v>
      </c>
      <c r="AS57" s="143">
        <f>ROUND(AR57*(1+AI57),0)</f>
        <v>749</v>
      </c>
      <c r="AT57" s="143">
        <f>ROUND(AS57*(1+AI57),0)</f>
        <v>774</v>
      </c>
      <c r="AU57" s="143">
        <f>ROUND(AT57*(1+AI57),0)</f>
        <v>800</v>
      </c>
      <c r="AW57" s="144"/>
      <c r="AX57" s="145"/>
      <c r="AY57" s="145"/>
      <c r="AZ57" s="146">
        <f>K57+N57</f>
        <v>0.87055000000000005</v>
      </c>
      <c r="BA57" s="145"/>
      <c r="BB57" s="132">
        <f>AJ57*Q57/1000</f>
        <v>0.48750800000000005</v>
      </c>
      <c r="BC57" s="171" t="s">
        <v>429</v>
      </c>
      <c r="BD57" s="172">
        <f>Q57/0.8</f>
        <v>1.0881875000000001</v>
      </c>
      <c r="BE57" s="149"/>
    </row>
    <row r="58" spans="1:57" ht="43.5" customHeight="1" x14ac:dyDescent="0.25">
      <c r="A58" s="284" t="s">
        <v>504</v>
      </c>
      <c r="B58" s="166">
        <v>17</v>
      </c>
      <c r="C58" s="285" t="s">
        <v>564</v>
      </c>
      <c r="D58" s="166" t="s">
        <v>423</v>
      </c>
      <c r="E58" s="168" t="s">
        <v>565</v>
      </c>
      <c r="F58" s="169" t="s">
        <v>566</v>
      </c>
      <c r="G58" s="127">
        <f>S58*T58/1000</f>
        <v>0.28829999999999995</v>
      </c>
      <c r="H58" s="127">
        <f>U58*V58/1000</f>
        <v>0</v>
      </c>
      <c r="I58" s="128">
        <v>0.52600000000000002</v>
      </c>
      <c r="J58" s="129">
        <v>0</v>
      </c>
      <c r="K58" s="127">
        <f>G58+H58+I58+J58</f>
        <v>0.81430000000000002</v>
      </c>
      <c r="L58" s="127">
        <v>0</v>
      </c>
      <c r="M58" s="127">
        <f>K58+L58</f>
        <v>0.81430000000000002</v>
      </c>
      <c r="N58" s="130">
        <v>5.6250000000000001E-2</v>
      </c>
      <c r="O58" s="170" t="s">
        <v>328</v>
      </c>
      <c r="P58" s="132">
        <f>M58+N58</f>
        <v>0.87055000000000005</v>
      </c>
      <c r="Q58" s="133">
        <f>P58</f>
        <v>0.87055000000000005</v>
      </c>
      <c r="R58" s="142">
        <v>0.27</v>
      </c>
      <c r="S58" s="134">
        <v>3</v>
      </c>
      <c r="T58" s="134">
        <v>96.1</v>
      </c>
      <c r="U58" s="134">
        <v>0</v>
      </c>
      <c r="V58" s="134">
        <v>0</v>
      </c>
      <c r="W58" s="130">
        <v>1.58</v>
      </c>
      <c r="X58" s="135">
        <v>0.1</v>
      </c>
      <c r="Y58" s="136">
        <f>W58*(1+X58)</f>
        <v>1.7380000000000002</v>
      </c>
      <c r="Z58" s="130">
        <v>0.66600000000000004</v>
      </c>
      <c r="AA58" s="137">
        <f>Q58-Y58</f>
        <v>-0.86745000000000017</v>
      </c>
      <c r="AB58" s="137">
        <f>Q58-Z58</f>
        <v>0.20455000000000001</v>
      </c>
      <c r="AC58" s="138" t="s">
        <v>426</v>
      </c>
      <c r="AD58" s="139" t="s">
        <v>427</v>
      </c>
      <c r="AE58" s="140" t="s">
        <v>428</v>
      </c>
      <c r="AF58" s="141">
        <v>50000</v>
      </c>
      <c r="AG58" s="184">
        <v>216</v>
      </c>
      <c r="AH58" s="184">
        <v>2619</v>
      </c>
      <c r="AI58" s="142">
        <v>3.3000000000000002E-2</v>
      </c>
      <c r="AJ58" s="143">
        <f>AG58</f>
        <v>216</v>
      </c>
      <c r="AK58" s="143">
        <f>ROUND(AJ58*(1+AI58),0)</f>
        <v>223</v>
      </c>
      <c r="AL58" s="143">
        <f>ROUND(AK58*(1+AI58),0)</f>
        <v>230</v>
      </c>
      <c r="AM58" s="143">
        <f>ROUND(AL58*(1+AI58),0)</f>
        <v>238</v>
      </c>
      <c r="AN58" s="143">
        <f>ROUND(AM58*(1+AI58),0)</f>
        <v>246</v>
      </c>
      <c r="AO58" s="143">
        <f>ROUND(AN58*(1+AI58),0)</f>
        <v>254</v>
      </c>
      <c r="AP58" s="143">
        <f>ROUND(AO58*(1+AI58),0)</f>
        <v>262</v>
      </c>
      <c r="AQ58" s="143">
        <f>ROUND(AP58*(1+AI58),0)</f>
        <v>271</v>
      </c>
      <c r="AR58" s="143">
        <f>ROUND(AQ58*(1+AI58),0)</f>
        <v>280</v>
      </c>
      <c r="AS58" s="143">
        <f>ROUND(AR58*(1+AI58),0)</f>
        <v>289</v>
      </c>
      <c r="AT58" s="143">
        <f>ROUND(AS58*(1+AI58),0)</f>
        <v>299</v>
      </c>
      <c r="AU58" s="143">
        <f>ROUND(AT58*(1+AI58),0)</f>
        <v>309</v>
      </c>
      <c r="AW58" s="144"/>
      <c r="AX58" s="145"/>
      <c r="AY58" s="145"/>
      <c r="AZ58" s="146">
        <f>K58+N58</f>
        <v>0.87055000000000005</v>
      </c>
      <c r="BA58" s="145"/>
      <c r="BB58" s="132">
        <f>AJ58*Q58/1000</f>
        <v>0.18803880000000001</v>
      </c>
      <c r="BC58" s="171" t="s">
        <v>429</v>
      </c>
      <c r="BD58" s="172">
        <f>Q58/0.8</f>
        <v>1.0881875000000001</v>
      </c>
      <c r="BE58" s="149"/>
    </row>
    <row r="59" spans="1:57" ht="43.5" customHeight="1" x14ac:dyDescent="0.25">
      <c r="A59" s="284" t="s">
        <v>504</v>
      </c>
      <c r="B59" s="166">
        <v>18</v>
      </c>
      <c r="C59" s="285" t="s">
        <v>567</v>
      </c>
      <c r="D59" s="166" t="s">
        <v>423</v>
      </c>
      <c r="E59" s="168" t="s">
        <v>568</v>
      </c>
      <c r="F59" s="169" t="s">
        <v>569</v>
      </c>
      <c r="G59" s="127">
        <f>S59*T59/1000</f>
        <v>0.28829999999999995</v>
      </c>
      <c r="H59" s="127">
        <f>U59*V59/1000</f>
        <v>0</v>
      </c>
      <c r="I59" s="128">
        <v>0.52600000000000002</v>
      </c>
      <c r="J59" s="129">
        <v>0</v>
      </c>
      <c r="K59" s="127">
        <f>G59+H59+I59+J59</f>
        <v>0.81430000000000002</v>
      </c>
      <c r="L59" s="127">
        <v>0</v>
      </c>
      <c r="M59" s="127">
        <f>K59+L59</f>
        <v>0.81430000000000002</v>
      </c>
      <c r="N59" s="130">
        <v>5.6250000000000001E-2</v>
      </c>
      <c r="O59" s="170" t="s">
        <v>328</v>
      </c>
      <c r="P59" s="132">
        <f>M59+N59</f>
        <v>0.87055000000000005</v>
      </c>
      <c r="Q59" s="133">
        <f>P59</f>
        <v>0.87055000000000005</v>
      </c>
      <c r="R59" s="142">
        <v>0.03</v>
      </c>
      <c r="S59" s="134">
        <v>3</v>
      </c>
      <c r="T59" s="134">
        <v>96.1</v>
      </c>
      <c r="U59" s="134">
        <v>0</v>
      </c>
      <c r="V59" s="134">
        <v>0</v>
      </c>
      <c r="W59" s="130">
        <v>1.58</v>
      </c>
      <c r="X59" s="135">
        <v>0.1</v>
      </c>
      <c r="Y59" s="136">
        <f>W59*(1+X59)</f>
        <v>1.7380000000000002</v>
      </c>
      <c r="Z59" s="130">
        <v>0.66600000000000004</v>
      </c>
      <c r="AA59" s="137">
        <f>Q59-Y59</f>
        <v>-0.86745000000000017</v>
      </c>
      <c r="AB59" s="137">
        <f>Q59-Z59</f>
        <v>0.20455000000000001</v>
      </c>
      <c r="AC59" s="138" t="s">
        <v>426</v>
      </c>
      <c r="AD59" s="139" t="s">
        <v>427</v>
      </c>
      <c r="AE59" s="140" t="s">
        <v>428</v>
      </c>
      <c r="AF59" s="141">
        <v>50000</v>
      </c>
      <c r="AG59" s="184">
        <v>24</v>
      </c>
      <c r="AH59" s="184">
        <v>291</v>
      </c>
      <c r="AI59" s="142">
        <v>3.3000000000000002E-2</v>
      </c>
      <c r="AJ59" s="143">
        <f>AG59</f>
        <v>24</v>
      </c>
      <c r="AK59" s="143">
        <f>ROUND(AJ59*(1+AI59),0)</f>
        <v>25</v>
      </c>
      <c r="AL59" s="143">
        <f>ROUND(AK59*(1+AI59),0)</f>
        <v>26</v>
      </c>
      <c r="AM59" s="143">
        <f>ROUND(AL59*(1+AI59),0)</f>
        <v>27</v>
      </c>
      <c r="AN59" s="143">
        <f>ROUND(AM59*(1+AI59),0)</f>
        <v>28</v>
      </c>
      <c r="AO59" s="143">
        <f>ROUND(AN59*(1+AI59),0)</f>
        <v>29</v>
      </c>
      <c r="AP59" s="143">
        <f>ROUND(AO59*(1+AI59),0)</f>
        <v>30</v>
      </c>
      <c r="AQ59" s="143">
        <f>ROUND(AP59*(1+AI59),0)</f>
        <v>31</v>
      </c>
      <c r="AR59" s="143">
        <f>ROUND(AQ59*(1+AI59),0)</f>
        <v>32</v>
      </c>
      <c r="AS59" s="143">
        <f>ROUND(AR59*(1+AI59),0)</f>
        <v>33</v>
      </c>
      <c r="AT59" s="143">
        <f>ROUND(AS59*(1+AI59),0)</f>
        <v>34</v>
      </c>
      <c r="AU59" s="143">
        <f>ROUND(AT59*(1+AI59),0)</f>
        <v>35</v>
      </c>
      <c r="AW59" s="144"/>
      <c r="AX59" s="145"/>
      <c r="AY59" s="145"/>
      <c r="AZ59" s="146">
        <f>K59+N59</f>
        <v>0.87055000000000005</v>
      </c>
      <c r="BA59" s="145"/>
      <c r="BB59" s="132">
        <f>AJ59*Q59/1000</f>
        <v>2.0893200000000001E-2</v>
      </c>
      <c r="BC59" s="171" t="s">
        <v>429</v>
      </c>
      <c r="BD59" s="172">
        <f>Q59/0.8</f>
        <v>1.0881875000000001</v>
      </c>
      <c r="BE59" s="149"/>
    </row>
    <row r="60" spans="1:57" ht="13.5" customHeight="1" x14ac:dyDescent="0.25">
      <c r="A60" s="277" t="s">
        <v>570</v>
      </c>
      <c r="B60" s="278"/>
      <c r="C60" s="278"/>
      <c r="D60" s="278"/>
      <c r="E60" s="278"/>
      <c r="F60" s="278"/>
      <c r="G60" s="278"/>
      <c r="H60" s="278"/>
      <c r="I60" s="278"/>
      <c r="J60" s="278"/>
      <c r="K60" s="278"/>
      <c r="L60" s="278"/>
      <c r="M60" s="278"/>
      <c r="N60" s="278"/>
      <c r="O60" s="278"/>
      <c r="P60" s="278"/>
      <c r="Q60" s="278"/>
      <c r="R60" s="278"/>
      <c r="S60" s="278"/>
      <c r="T60" s="278"/>
      <c r="U60" s="278"/>
      <c r="V60" s="278"/>
      <c r="W60" s="278"/>
      <c r="X60" s="278"/>
      <c r="Y60" s="278"/>
      <c r="Z60" s="278"/>
      <c r="AA60" s="278"/>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c r="BD60" s="278"/>
      <c r="BE60" s="278"/>
    </row>
    <row r="61" spans="1:57" ht="43.5" customHeight="1" x14ac:dyDescent="0.25">
      <c r="A61" s="286" t="s">
        <v>504</v>
      </c>
      <c r="B61" s="180">
        <v>19</v>
      </c>
      <c r="C61" s="287" t="s">
        <v>571</v>
      </c>
      <c r="D61" s="180" t="s">
        <v>437</v>
      </c>
      <c r="E61" s="182" t="s">
        <v>572</v>
      </c>
      <c r="F61" s="183" t="s">
        <v>573</v>
      </c>
      <c r="G61" s="127">
        <f t="shared" ref="G61:G68" si="52">S61*T61/1000</f>
        <v>0.39269999999999999</v>
      </c>
      <c r="H61" s="127">
        <f t="shared" ref="H61:H68" si="53">U61*V61/1000</f>
        <v>1.4586000000000001</v>
      </c>
      <c r="I61" s="128">
        <v>0</v>
      </c>
      <c r="J61" s="129">
        <v>0</v>
      </c>
      <c r="K61" s="127">
        <f t="shared" ref="K61:K68" si="54">G61+H61+I61+J61</f>
        <v>1.8513000000000002</v>
      </c>
      <c r="L61" s="127">
        <v>0</v>
      </c>
      <c r="M61" s="127">
        <f t="shared" ref="M61:M68" si="55">K61+L61</f>
        <v>1.8513000000000002</v>
      </c>
      <c r="N61" s="130">
        <v>3.7499999999999999E-2</v>
      </c>
      <c r="O61" s="170" t="s">
        <v>328</v>
      </c>
      <c r="P61" s="132">
        <f t="shared" ref="P61:P68" si="56">M61+N61</f>
        <v>1.8888000000000003</v>
      </c>
      <c r="Q61" s="133">
        <f t="shared" ref="Q61:Q68" si="57">P61</f>
        <v>1.8888000000000003</v>
      </c>
      <c r="R61" s="142">
        <v>0.92</v>
      </c>
      <c r="S61" s="134">
        <v>7</v>
      </c>
      <c r="T61" s="134">
        <v>56.1</v>
      </c>
      <c r="U61" s="134">
        <v>26</v>
      </c>
      <c r="V61" s="134">
        <v>56.1</v>
      </c>
      <c r="W61" s="130">
        <v>2.0499999999999998</v>
      </c>
      <c r="X61" s="135">
        <v>0.01</v>
      </c>
      <c r="Y61" s="136">
        <f t="shared" ref="Y61:Y68" si="58">W61*(1+X61)</f>
        <v>2.0705</v>
      </c>
      <c r="Z61" s="130">
        <v>1.484</v>
      </c>
      <c r="AA61" s="137">
        <f t="shared" ref="AA61:AA68" si="59">Q61-Y61</f>
        <v>-0.18169999999999975</v>
      </c>
      <c r="AB61" s="137">
        <f t="shared" ref="AB61:AB68" si="60">Q61-Z61</f>
        <v>0.40480000000000027</v>
      </c>
      <c r="AC61" s="138" t="s">
        <v>440</v>
      </c>
      <c r="AD61" s="139" t="s">
        <v>441</v>
      </c>
      <c r="AE61" s="140" t="s">
        <v>442</v>
      </c>
      <c r="AF61" s="184">
        <v>1785</v>
      </c>
      <c r="AG61" s="184">
        <v>110</v>
      </c>
      <c r="AH61" s="184">
        <v>368</v>
      </c>
      <c r="AI61" s="142">
        <v>2.1999999999999999E-2</v>
      </c>
      <c r="AJ61" s="143">
        <f t="shared" ref="AJ61:AJ66" si="61">AG61</f>
        <v>110</v>
      </c>
      <c r="AK61" s="143">
        <f t="shared" ref="AK61:AK66" si="62">ROUND(AJ61*(1+AI61),0)</f>
        <v>112</v>
      </c>
      <c r="AL61" s="143">
        <f t="shared" ref="AL61:AL66" si="63">ROUND(AK61*(1+AI61),0)</f>
        <v>114</v>
      </c>
      <c r="AM61" s="143">
        <f t="shared" ref="AM61:AM66" si="64">ROUND(AL61*(1+AI61),0)</f>
        <v>117</v>
      </c>
      <c r="AN61" s="143">
        <f t="shared" ref="AN61:AN66" si="65">ROUND(AM61*(1+AI61),0)</f>
        <v>120</v>
      </c>
      <c r="AO61" s="143">
        <f t="shared" ref="AO61:AO66" si="66">ROUND(AN61*(1+AI61),0)</f>
        <v>123</v>
      </c>
      <c r="AP61" s="143">
        <f t="shared" ref="AP61:AP66" si="67">ROUND(AO61*(1+AI61),0)</f>
        <v>126</v>
      </c>
      <c r="AQ61" s="143">
        <f t="shared" ref="AQ61:AQ66" si="68">ROUND(AP61*(1+AI61),0)</f>
        <v>129</v>
      </c>
      <c r="AR61" s="143">
        <f t="shared" ref="AR61:AR66" si="69">ROUND(AQ61*(1+AI61),0)</f>
        <v>132</v>
      </c>
      <c r="AS61" s="143">
        <f t="shared" ref="AS61:AS66" si="70">ROUND(AR61*(1+AI61),0)</f>
        <v>135</v>
      </c>
      <c r="AT61" s="143">
        <f t="shared" ref="AT61:AT66" si="71">ROUND(AS61*(1+AI61),0)</f>
        <v>138</v>
      </c>
      <c r="AU61" s="143">
        <f t="shared" ref="AU61:AU66" si="72">ROUND(AT61*(1+AI61),0)</f>
        <v>141</v>
      </c>
      <c r="AW61" s="144">
        <v>1</v>
      </c>
      <c r="AX61" s="144">
        <v>1.8512999999999999</v>
      </c>
      <c r="AY61" s="144">
        <v>1.8888</v>
      </c>
      <c r="AZ61" s="146">
        <f t="shared" ref="AZ61:AZ68" si="73">K61+N61</f>
        <v>1.8888000000000003</v>
      </c>
      <c r="BA61" s="185">
        <v>3500</v>
      </c>
      <c r="BB61" s="132">
        <f t="shared" ref="BB61:BB66" si="74">AJ61*Q61/1000</f>
        <v>0.20776800000000004</v>
      </c>
      <c r="BC61" s="171" t="s">
        <v>443</v>
      </c>
      <c r="BD61" s="172">
        <f>Q61/0.822</f>
        <v>2.2978102189781024</v>
      </c>
      <c r="BE61" s="149"/>
    </row>
    <row r="62" spans="1:57" ht="43.5" customHeight="1" x14ac:dyDescent="0.25">
      <c r="A62" s="286" t="s">
        <v>504</v>
      </c>
      <c r="B62" s="180">
        <v>20</v>
      </c>
      <c r="C62" s="287" t="s">
        <v>574</v>
      </c>
      <c r="D62" s="180" t="s">
        <v>437</v>
      </c>
      <c r="E62" s="182" t="s">
        <v>575</v>
      </c>
      <c r="F62" s="183" t="s">
        <v>576</v>
      </c>
      <c r="G62" s="127">
        <f t="shared" si="52"/>
        <v>0.39269999999999999</v>
      </c>
      <c r="H62" s="127">
        <f t="shared" si="53"/>
        <v>1.4586000000000001</v>
      </c>
      <c r="I62" s="128">
        <v>0</v>
      </c>
      <c r="J62" s="129">
        <v>0</v>
      </c>
      <c r="K62" s="127">
        <f t="shared" si="54"/>
        <v>1.8513000000000002</v>
      </c>
      <c r="L62" s="127">
        <v>0</v>
      </c>
      <c r="M62" s="127">
        <f t="shared" si="55"/>
        <v>1.8513000000000002</v>
      </c>
      <c r="N62" s="130">
        <v>3.7499999999999999E-2</v>
      </c>
      <c r="O62" s="170" t="s">
        <v>328</v>
      </c>
      <c r="P62" s="132">
        <f t="shared" si="56"/>
        <v>1.8888000000000003</v>
      </c>
      <c r="Q62" s="133">
        <f t="shared" si="57"/>
        <v>1.8888000000000003</v>
      </c>
      <c r="R62" s="142">
        <v>0.08</v>
      </c>
      <c r="S62" s="134">
        <v>7</v>
      </c>
      <c r="T62" s="134">
        <v>56.1</v>
      </c>
      <c r="U62" s="134">
        <v>26</v>
      </c>
      <c r="V62" s="134">
        <v>56.1</v>
      </c>
      <c r="W62" s="130">
        <v>2.0499999999999998</v>
      </c>
      <c r="X62" s="135">
        <v>0.01</v>
      </c>
      <c r="Y62" s="136">
        <f t="shared" si="58"/>
        <v>2.0705</v>
      </c>
      <c r="Z62" s="130">
        <v>1.484</v>
      </c>
      <c r="AA62" s="137">
        <f t="shared" si="59"/>
        <v>-0.18169999999999975</v>
      </c>
      <c r="AB62" s="137">
        <f t="shared" si="60"/>
        <v>0.40480000000000027</v>
      </c>
      <c r="AC62" s="138" t="s">
        <v>440</v>
      </c>
      <c r="AD62" s="139" t="s">
        <v>441</v>
      </c>
      <c r="AE62" s="140" t="s">
        <v>442</v>
      </c>
      <c r="AF62" s="184">
        <v>1785</v>
      </c>
      <c r="AG62" s="184">
        <v>10</v>
      </c>
      <c r="AH62" s="184">
        <v>32</v>
      </c>
      <c r="AI62" s="142">
        <v>2.1999999999999999E-2</v>
      </c>
      <c r="AJ62" s="143">
        <f t="shared" si="61"/>
        <v>10</v>
      </c>
      <c r="AK62" s="143">
        <f t="shared" si="62"/>
        <v>10</v>
      </c>
      <c r="AL62" s="143">
        <f t="shared" si="63"/>
        <v>10</v>
      </c>
      <c r="AM62" s="143">
        <f t="shared" si="64"/>
        <v>10</v>
      </c>
      <c r="AN62" s="143">
        <f t="shared" si="65"/>
        <v>10</v>
      </c>
      <c r="AO62" s="143">
        <f t="shared" si="66"/>
        <v>10</v>
      </c>
      <c r="AP62" s="143">
        <f t="shared" si="67"/>
        <v>10</v>
      </c>
      <c r="AQ62" s="143">
        <f t="shared" si="68"/>
        <v>10</v>
      </c>
      <c r="AR62" s="143">
        <f t="shared" si="69"/>
        <v>10</v>
      </c>
      <c r="AS62" s="143">
        <f t="shared" si="70"/>
        <v>10</v>
      </c>
      <c r="AT62" s="143">
        <f t="shared" si="71"/>
        <v>10</v>
      </c>
      <c r="AU62" s="143">
        <f t="shared" si="72"/>
        <v>10</v>
      </c>
      <c r="AW62" s="144">
        <v>1</v>
      </c>
      <c r="AX62" s="144">
        <v>1.8512999999999999</v>
      </c>
      <c r="AY62" s="144">
        <v>1.8888</v>
      </c>
      <c r="AZ62" s="146">
        <f t="shared" si="73"/>
        <v>1.8888000000000003</v>
      </c>
      <c r="BA62" s="185">
        <v>3500</v>
      </c>
      <c r="BB62" s="132">
        <f t="shared" si="74"/>
        <v>1.8888000000000002E-2</v>
      </c>
      <c r="BC62" s="171" t="s">
        <v>443</v>
      </c>
      <c r="BD62" s="172">
        <f>Q62/0.822</f>
        <v>2.2978102189781024</v>
      </c>
      <c r="BE62" s="149"/>
    </row>
    <row r="63" spans="1:57" ht="43.5" customHeight="1" x14ac:dyDescent="0.25">
      <c r="A63" s="288" t="s">
        <v>504</v>
      </c>
      <c r="B63" s="187">
        <v>21</v>
      </c>
      <c r="C63" s="289" t="s">
        <v>577</v>
      </c>
      <c r="D63" s="187" t="s">
        <v>444</v>
      </c>
      <c r="E63" s="189" t="s">
        <v>578</v>
      </c>
      <c r="F63" s="190" t="s">
        <v>579</v>
      </c>
      <c r="G63" s="127">
        <f t="shared" si="52"/>
        <v>0.11220000000000001</v>
      </c>
      <c r="H63" s="127">
        <f t="shared" si="53"/>
        <v>0</v>
      </c>
      <c r="I63" s="128">
        <v>-0.73299999999999998</v>
      </c>
      <c r="J63" s="129">
        <v>0</v>
      </c>
      <c r="K63" s="127">
        <f t="shared" si="54"/>
        <v>-0.62080000000000002</v>
      </c>
      <c r="L63" s="127">
        <f>AW63*AY63</f>
        <v>1.0709495999999998</v>
      </c>
      <c r="M63" s="127">
        <f t="shared" si="55"/>
        <v>0.45014959999999982</v>
      </c>
      <c r="N63" s="130">
        <v>3.7499999999999999E-2</v>
      </c>
      <c r="O63" s="170" t="s">
        <v>328</v>
      </c>
      <c r="P63" s="132">
        <f t="shared" si="56"/>
        <v>0.48764959999999979</v>
      </c>
      <c r="Q63" s="133">
        <f t="shared" si="57"/>
        <v>0.48764959999999979</v>
      </c>
      <c r="R63" s="142">
        <v>1</v>
      </c>
      <c r="S63" s="134">
        <v>2</v>
      </c>
      <c r="T63" s="134">
        <v>56.1</v>
      </c>
      <c r="U63" s="134">
        <v>0</v>
      </c>
      <c r="V63" s="134">
        <v>0</v>
      </c>
      <c r="W63" s="130">
        <v>1.39</v>
      </c>
      <c r="X63" s="135">
        <v>0.01</v>
      </c>
      <c r="Y63" s="136">
        <f t="shared" si="58"/>
        <v>1.4038999999999999</v>
      </c>
      <c r="Z63" s="130">
        <v>0.90200000000000002</v>
      </c>
      <c r="AA63" s="137">
        <f t="shared" si="59"/>
        <v>-0.91625040000000013</v>
      </c>
      <c r="AB63" s="137">
        <f t="shared" si="60"/>
        <v>-0.41435040000000023</v>
      </c>
      <c r="AC63" s="138" t="s">
        <v>447</v>
      </c>
      <c r="AD63" s="139" t="s">
        <v>448</v>
      </c>
      <c r="AE63" s="140" t="s">
        <v>449</v>
      </c>
      <c r="AF63" s="141">
        <v>2800</v>
      </c>
      <c r="AG63" s="184">
        <v>1600</v>
      </c>
      <c r="AH63" s="184">
        <v>2200</v>
      </c>
      <c r="AI63" s="142">
        <v>2.1999999999999999E-2</v>
      </c>
      <c r="AJ63" s="143">
        <f t="shared" si="61"/>
        <v>1600</v>
      </c>
      <c r="AK63" s="143">
        <f t="shared" si="62"/>
        <v>1635</v>
      </c>
      <c r="AL63" s="143">
        <f t="shared" si="63"/>
        <v>1671</v>
      </c>
      <c r="AM63" s="143">
        <f t="shared" si="64"/>
        <v>1708</v>
      </c>
      <c r="AN63" s="143">
        <f t="shared" si="65"/>
        <v>1746</v>
      </c>
      <c r="AO63" s="143">
        <f t="shared" si="66"/>
        <v>1784</v>
      </c>
      <c r="AP63" s="143">
        <f t="shared" si="67"/>
        <v>1823</v>
      </c>
      <c r="AQ63" s="143">
        <f t="shared" si="68"/>
        <v>1863</v>
      </c>
      <c r="AR63" s="143">
        <f t="shared" si="69"/>
        <v>1904</v>
      </c>
      <c r="AS63" s="143">
        <f t="shared" si="70"/>
        <v>1946</v>
      </c>
      <c r="AT63" s="143">
        <f t="shared" si="71"/>
        <v>1989</v>
      </c>
      <c r="AU63" s="143">
        <f t="shared" si="72"/>
        <v>2033</v>
      </c>
      <c r="AW63" s="144">
        <v>0.56699999999999995</v>
      </c>
      <c r="AX63" s="144">
        <v>1.8512999999999999</v>
      </c>
      <c r="AY63" s="144">
        <v>1.8888</v>
      </c>
      <c r="AZ63" s="146">
        <f t="shared" si="73"/>
        <v>-0.58330000000000004</v>
      </c>
      <c r="BA63" s="145"/>
      <c r="BB63" s="132">
        <f t="shared" si="74"/>
        <v>0.78023935999999972</v>
      </c>
      <c r="BC63" s="171" t="s">
        <v>450</v>
      </c>
      <c r="BD63" s="172">
        <f>Q63/0.466</f>
        <v>1.0464583690987119</v>
      </c>
      <c r="BE63" s="149"/>
    </row>
    <row r="64" spans="1:57" ht="43.5" customHeight="1" x14ac:dyDescent="0.25">
      <c r="A64" s="290" t="s">
        <v>504</v>
      </c>
      <c r="B64" s="192">
        <v>22</v>
      </c>
      <c r="C64" s="291" t="s">
        <v>289</v>
      </c>
      <c r="D64" s="192" t="s">
        <v>451</v>
      </c>
      <c r="E64" s="194" t="s">
        <v>580</v>
      </c>
      <c r="F64" s="195" t="s">
        <v>581</v>
      </c>
      <c r="G64" s="127">
        <f t="shared" si="52"/>
        <v>0.11220000000000001</v>
      </c>
      <c r="H64" s="127">
        <f t="shared" si="53"/>
        <v>0</v>
      </c>
      <c r="I64" s="128">
        <v>0</v>
      </c>
      <c r="J64" s="129">
        <v>0.97</v>
      </c>
      <c r="K64" s="127">
        <f t="shared" si="54"/>
        <v>1.0822000000000001</v>
      </c>
      <c r="L64" s="127">
        <f>AW64*AY64</f>
        <v>0.40137</v>
      </c>
      <c r="M64" s="127">
        <f t="shared" si="55"/>
        <v>1.4835700000000001</v>
      </c>
      <c r="N64" s="130">
        <v>4.3749999999999997E-2</v>
      </c>
      <c r="O64" s="170" t="s">
        <v>328</v>
      </c>
      <c r="P64" s="132">
        <f t="shared" si="56"/>
        <v>1.52732</v>
      </c>
      <c r="Q64" s="133">
        <f t="shared" si="57"/>
        <v>1.52732</v>
      </c>
      <c r="R64" s="142">
        <v>0.55000000000000004</v>
      </c>
      <c r="S64" s="134">
        <v>2</v>
      </c>
      <c r="T64" s="134">
        <v>56.1</v>
      </c>
      <c r="U64" s="134">
        <v>0</v>
      </c>
      <c r="V64" s="134">
        <v>0</v>
      </c>
      <c r="W64" s="130">
        <v>2.64</v>
      </c>
      <c r="X64" s="135">
        <v>0.01</v>
      </c>
      <c r="Y64" s="136">
        <f t="shared" si="58"/>
        <v>2.6664000000000003</v>
      </c>
      <c r="Z64" s="130">
        <v>0.30199999999999999</v>
      </c>
      <c r="AA64" s="137">
        <f t="shared" si="59"/>
        <v>-1.1390800000000003</v>
      </c>
      <c r="AB64" s="137">
        <f t="shared" si="60"/>
        <v>1.22532</v>
      </c>
      <c r="AC64" s="138" t="s">
        <v>454</v>
      </c>
      <c r="AD64" s="139" t="s">
        <v>455</v>
      </c>
      <c r="AE64" s="140" t="s">
        <v>456</v>
      </c>
      <c r="AF64" s="141">
        <v>600</v>
      </c>
      <c r="AG64" s="184">
        <v>44</v>
      </c>
      <c r="AH64" s="184">
        <v>138</v>
      </c>
      <c r="AI64" s="142">
        <v>2.1999999999999999E-2</v>
      </c>
      <c r="AJ64" s="143">
        <f t="shared" si="61"/>
        <v>44</v>
      </c>
      <c r="AK64" s="143">
        <f t="shared" si="62"/>
        <v>45</v>
      </c>
      <c r="AL64" s="143">
        <f t="shared" si="63"/>
        <v>46</v>
      </c>
      <c r="AM64" s="143">
        <f t="shared" si="64"/>
        <v>47</v>
      </c>
      <c r="AN64" s="143">
        <f t="shared" si="65"/>
        <v>48</v>
      </c>
      <c r="AO64" s="143">
        <f t="shared" si="66"/>
        <v>49</v>
      </c>
      <c r="AP64" s="143">
        <f t="shared" si="67"/>
        <v>50</v>
      </c>
      <c r="AQ64" s="143">
        <f t="shared" si="68"/>
        <v>51</v>
      </c>
      <c r="AR64" s="143">
        <f t="shared" si="69"/>
        <v>52</v>
      </c>
      <c r="AS64" s="143">
        <f t="shared" si="70"/>
        <v>53</v>
      </c>
      <c r="AT64" s="143">
        <f t="shared" si="71"/>
        <v>54</v>
      </c>
      <c r="AU64" s="143">
        <f t="shared" si="72"/>
        <v>55</v>
      </c>
      <c r="AW64" s="144">
        <v>0.21249999999999999</v>
      </c>
      <c r="AX64" s="144">
        <v>1.8512999999999999</v>
      </c>
      <c r="AY64" s="144">
        <v>1.8888</v>
      </c>
      <c r="AZ64" s="146">
        <f t="shared" si="73"/>
        <v>1.12595</v>
      </c>
      <c r="BA64" s="145"/>
      <c r="BB64" s="132">
        <f t="shared" si="74"/>
        <v>6.7202079999999997E-2</v>
      </c>
      <c r="BC64" s="171" t="s">
        <v>457</v>
      </c>
      <c r="BD64" s="172">
        <f>Q64/0.35</f>
        <v>4.3637714285714289</v>
      </c>
      <c r="BE64" s="149"/>
    </row>
    <row r="65" spans="1:57" ht="43.5" customHeight="1" x14ac:dyDescent="0.25">
      <c r="A65" s="290" t="s">
        <v>504</v>
      </c>
      <c r="B65" s="192">
        <v>23</v>
      </c>
      <c r="C65" s="291" t="s">
        <v>582</v>
      </c>
      <c r="D65" s="192" t="s">
        <v>451</v>
      </c>
      <c r="E65" s="194" t="s">
        <v>583</v>
      </c>
      <c r="F65" s="195" t="s">
        <v>584</v>
      </c>
      <c r="G65" s="127">
        <f t="shared" si="52"/>
        <v>0.11220000000000001</v>
      </c>
      <c r="H65" s="127">
        <f t="shared" si="53"/>
        <v>0</v>
      </c>
      <c r="I65" s="128">
        <v>0</v>
      </c>
      <c r="J65" s="129">
        <v>0.97</v>
      </c>
      <c r="K65" s="127">
        <f t="shared" si="54"/>
        <v>1.0822000000000001</v>
      </c>
      <c r="L65" s="127">
        <f>AW65*AY65</f>
        <v>0.40137</v>
      </c>
      <c r="M65" s="127">
        <f t="shared" si="55"/>
        <v>1.4835700000000001</v>
      </c>
      <c r="N65" s="130">
        <v>4.3749999999999997E-2</v>
      </c>
      <c r="O65" s="170" t="s">
        <v>328</v>
      </c>
      <c r="P65" s="132">
        <f t="shared" si="56"/>
        <v>1.52732</v>
      </c>
      <c r="Q65" s="133">
        <f t="shared" si="57"/>
        <v>1.52732</v>
      </c>
      <c r="R65" s="142">
        <v>0.35</v>
      </c>
      <c r="S65" s="134">
        <v>2</v>
      </c>
      <c r="T65" s="134">
        <v>56.1</v>
      </c>
      <c r="U65" s="134">
        <v>0</v>
      </c>
      <c r="V65" s="134">
        <v>0</v>
      </c>
      <c r="W65" s="130">
        <v>2.64</v>
      </c>
      <c r="X65" s="135">
        <v>0.01</v>
      </c>
      <c r="Y65" s="136">
        <f t="shared" si="58"/>
        <v>2.6664000000000003</v>
      </c>
      <c r="Z65" s="130">
        <v>0.30199999999999999</v>
      </c>
      <c r="AA65" s="137">
        <f t="shared" si="59"/>
        <v>-1.1390800000000003</v>
      </c>
      <c r="AB65" s="137">
        <f t="shared" si="60"/>
        <v>1.22532</v>
      </c>
      <c r="AC65" s="138" t="s">
        <v>454</v>
      </c>
      <c r="AD65" s="139" t="s">
        <v>455</v>
      </c>
      <c r="AE65" s="140" t="s">
        <v>456</v>
      </c>
      <c r="AF65" s="141">
        <v>600</v>
      </c>
      <c r="AG65" s="184">
        <v>28</v>
      </c>
      <c r="AH65" s="184">
        <v>88</v>
      </c>
      <c r="AI65" s="142">
        <v>2.1999999999999999E-2</v>
      </c>
      <c r="AJ65" s="143">
        <f t="shared" si="61"/>
        <v>28</v>
      </c>
      <c r="AK65" s="143">
        <f t="shared" si="62"/>
        <v>29</v>
      </c>
      <c r="AL65" s="143">
        <f t="shared" si="63"/>
        <v>30</v>
      </c>
      <c r="AM65" s="143">
        <f t="shared" si="64"/>
        <v>31</v>
      </c>
      <c r="AN65" s="143">
        <f t="shared" si="65"/>
        <v>32</v>
      </c>
      <c r="AO65" s="143">
        <f t="shared" si="66"/>
        <v>33</v>
      </c>
      <c r="AP65" s="143">
        <f t="shared" si="67"/>
        <v>34</v>
      </c>
      <c r="AQ65" s="143">
        <f t="shared" si="68"/>
        <v>35</v>
      </c>
      <c r="AR65" s="143">
        <f t="shared" si="69"/>
        <v>36</v>
      </c>
      <c r="AS65" s="143">
        <f t="shared" si="70"/>
        <v>37</v>
      </c>
      <c r="AT65" s="143">
        <f t="shared" si="71"/>
        <v>38</v>
      </c>
      <c r="AU65" s="143">
        <f t="shared" si="72"/>
        <v>39</v>
      </c>
      <c r="AW65" s="144">
        <v>0.21249999999999999</v>
      </c>
      <c r="AX65" s="144">
        <v>1.8512999999999999</v>
      </c>
      <c r="AY65" s="144">
        <v>1.8888</v>
      </c>
      <c r="AZ65" s="146">
        <f t="shared" si="73"/>
        <v>1.12595</v>
      </c>
      <c r="BA65" s="145"/>
      <c r="BB65" s="132">
        <f t="shared" si="74"/>
        <v>4.2764960000000005E-2</v>
      </c>
      <c r="BC65" s="171" t="s">
        <v>457</v>
      </c>
      <c r="BD65" s="172">
        <f>Q65/0.35</f>
        <v>4.3637714285714289</v>
      </c>
      <c r="BE65" s="149"/>
    </row>
    <row r="66" spans="1:57" ht="43.5" customHeight="1" x14ac:dyDescent="0.25">
      <c r="A66" s="290" t="s">
        <v>504</v>
      </c>
      <c r="B66" s="192">
        <v>24</v>
      </c>
      <c r="C66" s="291" t="s">
        <v>585</v>
      </c>
      <c r="D66" s="192" t="s">
        <v>451</v>
      </c>
      <c r="E66" s="194" t="s">
        <v>586</v>
      </c>
      <c r="F66" s="195" t="s">
        <v>587</v>
      </c>
      <c r="G66" s="127">
        <f t="shared" si="52"/>
        <v>0.11220000000000001</v>
      </c>
      <c r="H66" s="127">
        <f t="shared" si="53"/>
        <v>0</v>
      </c>
      <c r="I66" s="128">
        <v>0</v>
      </c>
      <c r="J66" s="129">
        <v>0.97</v>
      </c>
      <c r="K66" s="127">
        <f t="shared" si="54"/>
        <v>1.0822000000000001</v>
      </c>
      <c r="L66" s="127">
        <f>AW66*AY66</f>
        <v>0.40137</v>
      </c>
      <c r="M66" s="127">
        <f t="shared" si="55"/>
        <v>1.4835700000000001</v>
      </c>
      <c r="N66" s="130">
        <v>4.3749999999999997E-2</v>
      </c>
      <c r="O66" s="170" t="s">
        <v>328</v>
      </c>
      <c r="P66" s="132">
        <f t="shared" si="56"/>
        <v>1.52732</v>
      </c>
      <c r="Q66" s="133">
        <f t="shared" si="57"/>
        <v>1.52732</v>
      </c>
      <c r="R66" s="142">
        <v>0.1</v>
      </c>
      <c r="S66" s="134">
        <v>2</v>
      </c>
      <c r="T66" s="134">
        <v>56.1</v>
      </c>
      <c r="U66" s="134">
        <v>0</v>
      </c>
      <c r="V66" s="134">
        <v>0</v>
      </c>
      <c r="W66" s="130">
        <v>2.64</v>
      </c>
      <c r="X66" s="135">
        <v>0.01</v>
      </c>
      <c r="Y66" s="136">
        <f t="shared" si="58"/>
        <v>2.6664000000000003</v>
      </c>
      <c r="Z66" s="130">
        <v>0.30199999999999999</v>
      </c>
      <c r="AA66" s="137">
        <f t="shared" si="59"/>
        <v>-1.1390800000000003</v>
      </c>
      <c r="AB66" s="137">
        <f t="shared" si="60"/>
        <v>1.22532</v>
      </c>
      <c r="AC66" s="138" t="s">
        <v>454</v>
      </c>
      <c r="AD66" s="139" t="s">
        <v>455</v>
      </c>
      <c r="AE66" s="140" t="s">
        <v>456</v>
      </c>
      <c r="AF66" s="141">
        <v>600</v>
      </c>
      <c r="AG66" s="184">
        <v>8</v>
      </c>
      <c r="AH66" s="184">
        <v>25</v>
      </c>
      <c r="AI66" s="142">
        <v>2.1999999999999999E-2</v>
      </c>
      <c r="AJ66" s="143">
        <f t="shared" si="61"/>
        <v>8</v>
      </c>
      <c r="AK66" s="143">
        <f t="shared" si="62"/>
        <v>8</v>
      </c>
      <c r="AL66" s="143">
        <f t="shared" si="63"/>
        <v>8</v>
      </c>
      <c r="AM66" s="143">
        <f t="shared" si="64"/>
        <v>8</v>
      </c>
      <c r="AN66" s="143">
        <f t="shared" si="65"/>
        <v>8</v>
      </c>
      <c r="AO66" s="143">
        <f t="shared" si="66"/>
        <v>8</v>
      </c>
      <c r="AP66" s="143">
        <f t="shared" si="67"/>
        <v>8</v>
      </c>
      <c r="AQ66" s="143">
        <f t="shared" si="68"/>
        <v>8</v>
      </c>
      <c r="AR66" s="143">
        <f t="shared" si="69"/>
        <v>8</v>
      </c>
      <c r="AS66" s="143">
        <f t="shared" si="70"/>
        <v>8</v>
      </c>
      <c r="AT66" s="143">
        <f t="shared" si="71"/>
        <v>8</v>
      </c>
      <c r="AU66" s="143">
        <f t="shared" si="72"/>
        <v>8</v>
      </c>
      <c r="AW66" s="144">
        <v>0.21249999999999999</v>
      </c>
      <c r="AX66" s="144">
        <v>1.8512999999999999</v>
      </c>
      <c r="AY66" s="144">
        <v>1.8888</v>
      </c>
      <c r="AZ66" s="146">
        <f t="shared" si="73"/>
        <v>1.12595</v>
      </c>
      <c r="BA66" s="145"/>
      <c r="BB66" s="132">
        <f t="shared" si="74"/>
        <v>1.221856E-2</v>
      </c>
      <c r="BC66" s="171" t="s">
        <v>457</v>
      </c>
      <c r="BD66" s="172">
        <f>Q66/0.35</f>
        <v>4.3637714285714289</v>
      </c>
      <c r="BE66" s="149"/>
    </row>
    <row r="67" spans="1:57" ht="45.75" customHeight="1" x14ac:dyDescent="0.25">
      <c r="A67" s="258" t="s">
        <v>534</v>
      </c>
      <c r="B67" s="197">
        <v>25</v>
      </c>
      <c r="C67" s="198" t="s">
        <v>588</v>
      </c>
      <c r="D67" s="197" t="s">
        <v>416</v>
      </c>
      <c r="E67" s="199" t="s">
        <v>589</v>
      </c>
      <c r="F67" s="200" t="s">
        <v>590</v>
      </c>
      <c r="G67" s="127">
        <f t="shared" si="52"/>
        <v>5.049E-2</v>
      </c>
      <c r="H67" s="127">
        <f t="shared" si="53"/>
        <v>0</v>
      </c>
      <c r="I67" s="128">
        <v>0</v>
      </c>
      <c r="J67" s="129">
        <v>1.9</v>
      </c>
      <c r="K67" s="127">
        <f t="shared" si="54"/>
        <v>1.9504899999999998</v>
      </c>
      <c r="L67" s="127">
        <v>0</v>
      </c>
      <c r="M67" s="127">
        <f t="shared" si="55"/>
        <v>1.9504899999999998</v>
      </c>
      <c r="N67" s="130">
        <v>0.1125</v>
      </c>
      <c r="O67" s="170" t="s">
        <v>328</v>
      </c>
      <c r="P67" s="132">
        <f t="shared" si="56"/>
        <v>2.0629899999999997</v>
      </c>
      <c r="Q67" s="133">
        <f t="shared" si="57"/>
        <v>2.0629899999999997</v>
      </c>
      <c r="R67" s="197"/>
      <c r="S67" s="134">
        <v>0.9</v>
      </c>
      <c r="T67" s="134">
        <v>56.1</v>
      </c>
      <c r="U67" s="134">
        <v>0</v>
      </c>
      <c r="V67" s="134">
        <v>0</v>
      </c>
      <c r="W67" s="130">
        <v>1.95</v>
      </c>
      <c r="X67" s="135">
        <v>0.01</v>
      </c>
      <c r="Y67" s="136">
        <f t="shared" si="58"/>
        <v>1.9695</v>
      </c>
      <c r="Z67" s="130">
        <v>0.30199999999999999</v>
      </c>
      <c r="AA67" s="137">
        <f t="shared" si="59"/>
        <v>9.3489999999999629E-2</v>
      </c>
      <c r="AB67" s="137">
        <f t="shared" si="60"/>
        <v>1.7609899999999996</v>
      </c>
      <c r="AC67" s="138" t="s">
        <v>591</v>
      </c>
      <c r="AD67" s="159" t="s">
        <v>592</v>
      </c>
      <c r="AE67" s="140" t="s">
        <v>593</v>
      </c>
      <c r="AF67" s="141">
        <v>0</v>
      </c>
      <c r="AG67" s="141">
        <v>0</v>
      </c>
      <c r="AH67" s="141">
        <v>0</v>
      </c>
      <c r="AI67" s="142">
        <v>5.5E-2</v>
      </c>
      <c r="AW67" s="144"/>
      <c r="AX67" s="145"/>
      <c r="AY67" s="145"/>
      <c r="AZ67" s="146">
        <f t="shared" si="73"/>
        <v>2.0629899999999997</v>
      </c>
      <c r="BA67" s="145"/>
      <c r="BB67" s="132">
        <v>0</v>
      </c>
      <c r="BC67" s="171" t="s">
        <v>594</v>
      </c>
      <c r="BD67" s="172">
        <f>Q67/0.222</f>
        <v>9.2927477477477467</v>
      </c>
      <c r="BE67" s="149"/>
    </row>
    <row r="68" spans="1:57" ht="45.75" customHeight="1" x14ac:dyDescent="0.25">
      <c r="A68" s="258" t="s">
        <v>534</v>
      </c>
      <c r="B68" s="197">
        <v>26</v>
      </c>
      <c r="C68" s="198" t="s">
        <v>595</v>
      </c>
      <c r="D68" s="197" t="s">
        <v>416</v>
      </c>
      <c r="E68" s="199" t="s">
        <v>596</v>
      </c>
      <c r="F68" s="200" t="s">
        <v>597</v>
      </c>
      <c r="G68" s="127">
        <f t="shared" si="52"/>
        <v>0.10098</v>
      </c>
      <c r="H68" s="127">
        <f t="shared" si="53"/>
        <v>0</v>
      </c>
      <c r="I68" s="128">
        <v>0.05</v>
      </c>
      <c r="J68" s="129">
        <v>0.8</v>
      </c>
      <c r="K68" s="127">
        <f t="shared" si="54"/>
        <v>0.95098000000000005</v>
      </c>
      <c r="L68" s="127">
        <v>0</v>
      </c>
      <c r="M68" s="127">
        <f t="shared" si="55"/>
        <v>0.95098000000000005</v>
      </c>
      <c r="N68" s="130">
        <v>0.13750000000000001</v>
      </c>
      <c r="O68" s="170" t="s">
        <v>328</v>
      </c>
      <c r="P68" s="132">
        <f t="shared" si="56"/>
        <v>1.0884800000000001</v>
      </c>
      <c r="Q68" s="133">
        <f t="shared" si="57"/>
        <v>1.0884800000000001</v>
      </c>
      <c r="R68" s="197"/>
      <c r="S68" s="134">
        <v>1.8</v>
      </c>
      <c r="T68" s="134">
        <v>56.1</v>
      </c>
      <c r="U68" s="134">
        <v>0</v>
      </c>
      <c r="V68" s="134">
        <v>0</v>
      </c>
      <c r="W68" s="130">
        <v>1.2</v>
      </c>
      <c r="X68" s="135">
        <v>0.01</v>
      </c>
      <c r="Y68" s="136">
        <f t="shared" si="58"/>
        <v>1.212</v>
      </c>
      <c r="Z68" s="130">
        <v>0.4</v>
      </c>
      <c r="AA68" s="137">
        <f t="shared" si="59"/>
        <v>-0.12351999999999985</v>
      </c>
      <c r="AB68" s="137">
        <f t="shared" si="60"/>
        <v>0.68848000000000009</v>
      </c>
      <c r="AC68" s="138" t="s">
        <v>598</v>
      </c>
      <c r="AD68" s="159" t="s">
        <v>599</v>
      </c>
      <c r="AE68" s="159" t="s">
        <v>600</v>
      </c>
      <c r="AF68" s="141">
        <v>0</v>
      </c>
      <c r="AG68" s="141">
        <v>0</v>
      </c>
      <c r="AH68" s="141">
        <v>0</v>
      </c>
      <c r="AI68" s="142">
        <v>5.5E-2</v>
      </c>
      <c r="AW68" s="144"/>
      <c r="AX68" s="145"/>
      <c r="AY68" s="145"/>
      <c r="AZ68" s="146">
        <f t="shared" si="73"/>
        <v>1.0884800000000001</v>
      </c>
      <c r="BA68" s="145"/>
      <c r="BB68" s="132">
        <v>0</v>
      </c>
      <c r="BC68" s="171" t="s">
        <v>601</v>
      </c>
      <c r="BD68" s="172">
        <f>Q68/0.15</f>
        <v>7.2565333333333344</v>
      </c>
      <c r="BE68" s="149"/>
    </row>
    <row r="69" spans="1:57" ht="13.5" customHeight="1" x14ac:dyDescent="0.25">
      <c r="A69" s="277" t="s">
        <v>602</v>
      </c>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c r="BD69" s="278"/>
      <c r="BE69" s="278"/>
    </row>
    <row r="70" spans="1:57" ht="43.5" customHeight="1" x14ac:dyDescent="0.25">
      <c r="A70" s="292" t="s">
        <v>504</v>
      </c>
      <c r="B70" s="202">
        <v>27</v>
      </c>
      <c r="C70" s="293" t="s">
        <v>603</v>
      </c>
      <c r="D70" s="202" t="s">
        <v>464</v>
      </c>
      <c r="E70" s="204" t="s">
        <v>604</v>
      </c>
      <c r="F70" s="205" t="s">
        <v>605</v>
      </c>
      <c r="G70" s="127">
        <f t="shared" ref="G70:G76" si="75">S70*T70/1000</f>
        <v>0.156</v>
      </c>
      <c r="H70" s="127">
        <f t="shared" ref="H70:H76" si="76">U70*V70/1000</f>
        <v>0</v>
      </c>
      <c r="I70" s="128">
        <v>1.5</v>
      </c>
      <c r="J70" s="129">
        <v>0.85</v>
      </c>
      <c r="K70" s="127">
        <f t="shared" ref="K70:K76" si="77">G70+H70+I70+J70</f>
        <v>2.5059999999999998</v>
      </c>
      <c r="L70" s="127">
        <v>0</v>
      </c>
      <c r="M70" s="127">
        <f t="shared" ref="M70:M76" si="78">K70+L70</f>
        <v>2.5059999999999998</v>
      </c>
      <c r="N70" s="130">
        <v>6.75</v>
      </c>
      <c r="O70" s="131" t="s">
        <v>323</v>
      </c>
      <c r="P70" s="132">
        <f t="shared" ref="P70:P76" si="79">M70+N70</f>
        <v>9.2560000000000002</v>
      </c>
      <c r="Q70" s="133">
        <f>P70-N70</f>
        <v>2.5060000000000002</v>
      </c>
      <c r="R70" s="142">
        <v>0.6</v>
      </c>
      <c r="S70" s="134">
        <v>2</v>
      </c>
      <c r="T70" s="134">
        <v>78</v>
      </c>
      <c r="U70" s="134">
        <v>0</v>
      </c>
      <c r="V70" s="134">
        <v>0</v>
      </c>
      <c r="W70" s="130">
        <v>2.06</v>
      </c>
      <c r="X70" s="135">
        <v>0.1</v>
      </c>
      <c r="Y70" s="136">
        <f t="shared" ref="Y70:Y76" si="80">W70*(1+X70)</f>
        <v>2.2660000000000005</v>
      </c>
      <c r="Z70" s="130">
        <v>1.423</v>
      </c>
      <c r="AA70" s="137">
        <f t="shared" ref="AA70:AA76" si="81">Q70-Y70</f>
        <v>0.23999999999999977</v>
      </c>
      <c r="AB70" s="137">
        <f t="shared" ref="AB70:AB76" si="82">Q70-Z70</f>
        <v>1.0830000000000002</v>
      </c>
      <c r="AC70" s="138" t="s">
        <v>467</v>
      </c>
      <c r="AD70" s="139" t="s">
        <v>468</v>
      </c>
      <c r="AE70" s="140" t="s">
        <v>469</v>
      </c>
      <c r="AF70" s="141">
        <v>300</v>
      </c>
      <c r="AG70" s="184">
        <v>100</v>
      </c>
      <c r="AH70" s="184">
        <v>104</v>
      </c>
      <c r="AI70" s="142">
        <v>5.5E-2</v>
      </c>
      <c r="AJ70" s="143">
        <f>AG70</f>
        <v>100</v>
      </c>
      <c r="AK70" s="143">
        <f>ROUND(AJ70*(1+AI70),0)</f>
        <v>106</v>
      </c>
      <c r="AL70" s="143">
        <f>ROUND(AK70*(1+AI70),0)</f>
        <v>112</v>
      </c>
      <c r="AM70" s="143">
        <f>ROUND(AL70*(1+AI70),0)</f>
        <v>118</v>
      </c>
      <c r="AN70" s="143">
        <f>ROUND(AM70*(1+AI70),0)</f>
        <v>124</v>
      </c>
      <c r="AO70" s="143">
        <f>ROUND(AN70*(1+AI70),0)</f>
        <v>131</v>
      </c>
      <c r="AP70" s="143">
        <f>ROUND(AO70*(1+AI70),0)</f>
        <v>138</v>
      </c>
      <c r="AQ70" s="143">
        <f>ROUND(AP70*(1+AI70),0)</f>
        <v>146</v>
      </c>
      <c r="AR70" s="143">
        <f>ROUND(AQ70*(1+AI70),0)</f>
        <v>154</v>
      </c>
      <c r="AS70" s="143">
        <f>ROUND(AR70*(1+AI70),0)</f>
        <v>162</v>
      </c>
      <c r="AT70" s="143">
        <f>ROUND(AS70*(1+AI70),0)</f>
        <v>171</v>
      </c>
      <c r="AU70" s="143">
        <f>ROUND(AT70*(1+AI70),0)</f>
        <v>180</v>
      </c>
      <c r="AW70" s="144"/>
      <c r="AX70" s="145"/>
      <c r="AY70" s="145"/>
      <c r="AZ70" s="146">
        <f>K70</f>
        <v>2.5059999999999998</v>
      </c>
      <c r="BA70" s="145"/>
      <c r="BB70" s="132">
        <f>AJ70*Q70/1000</f>
        <v>0.25060000000000004</v>
      </c>
      <c r="BC70" s="147" t="s">
        <v>402</v>
      </c>
      <c r="BD70" s="148">
        <f t="shared" ref="BD70:BD76" si="83">Q70</f>
        <v>2.5060000000000002</v>
      </c>
      <c r="BE70" s="149"/>
    </row>
    <row r="71" spans="1:57" ht="43.5" customHeight="1" x14ac:dyDescent="0.25">
      <c r="A71" s="292" t="s">
        <v>504</v>
      </c>
      <c r="B71" s="202">
        <v>28</v>
      </c>
      <c r="C71" s="293" t="s">
        <v>606</v>
      </c>
      <c r="D71" s="202" t="s">
        <v>464</v>
      </c>
      <c r="E71" s="204" t="s">
        <v>607</v>
      </c>
      <c r="F71" s="205" t="s">
        <v>608</v>
      </c>
      <c r="G71" s="127">
        <f t="shared" si="75"/>
        <v>0.156</v>
      </c>
      <c r="H71" s="127">
        <f t="shared" si="76"/>
        <v>0</v>
      </c>
      <c r="I71" s="128">
        <v>1.5</v>
      </c>
      <c r="J71" s="129">
        <v>0.85</v>
      </c>
      <c r="K71" s="127">
        <f t="shared" si="77"/>
        <v>2.5059999999999998</v>
      </c>
      <c r="L71" s="127">
        <v>0</v>
      </c>
      <c r="M71" s="127">
        <f t="shared" si="78"/>
        <v>2.5059999999999998</v>
      </c>
      <c r="N71" s="130">
        <v>6.75</v>
      </c>
      <c r="O71" s="131" t="s">
        <v>323</v>
      </c>
      <c r="P71" s="132">
        <f t="shared" si="79"/>
        <v>9.2560000000000002</v>
      </c>
      <c r="Q71" s="133">
        <f>P71-N71</f>
        <v>2.5060000000000002</v>
      </c>
      <c r="R71" s="142">
        <v>0.22</v>
      </c>
      <c r="S71" s="134">
        <v>2</v>
      </c>
      <c r="T71" s="134">
        <v>78</v>
      </c>
      <c r="U71" s="134">
        <v>0</v>
      </c>
      <c r="V71" s="134">
        <v>0</v>
      </c>
      <c r="W71" s="130">
        <v>2.06</v>
      </c>
      <c r="X71" s="135">
        <v>0.1</v>
      </c>
      <c r="Y71" s="136">
        <f t="shared" si="80"/>
        <v>2.2660000000000005</v>
      </c>
      <c r="Z71" s="130">
        <v>1.423</v>
      </c>
      <c r="AA71" s="137">
        <f t="shared" si="81"/>
        <v>0.23999999999999977</v>
      </c>
      <c r="AB71" s="137">
        <f t="shared" si="82"/>
        <v>1.0830000000000002</v>
      </c>
      <c r="AC71" s="138" t="s">
        <v>467</v>
      </c>
      <c r="AD71" s="139" t="s">
        <v>468</v>
      </c>
      <c r="AE71" s="140" t="s">
        <v>469</v>
      </c>
      <c r="AF71" s="141">
        <v>300</v>
      </c>
      <c r="AG71" s="184">
        <v>37</v>
      </c>
      <c r="AH71" s="184">
        <v>38</v>
      </c>
      <c r="AI71" s="142">
        <v>5.5E-2</v>
      </c>
      <c r="AJ71" s="143">
        <f>AG71</f>
        <v>37</v>
      </c>
      <c r="AK71" s="143">
        <f>ROUND(AJ71*(1+AI71),0)</f>
        <v>39</v>
      </c>
      <c r="AL71" s="143">
        <f>ROUND(AK71*(1+AI71),0)</f>
        <v>41</v>
      </c>
      <c r="AM71" s="143">
        <f>ROUND(AL71*(1+AI71),0)</f>
        <v>43</v>
      </c>
      <c r="AN71" s="143">
        <f>ROUND(AM71*(1+AI71),0)</f>
        <v>45</v>
      </c>
      <c r="AO71" s="143">
        <f>ROUND(AN71*(1+AI71),0)</f>
        <v>47</v>
      </c>
      <c r="AP71" s="143">
        <f>ROUND(AO71*(1+AI71),0)</f>
        <v>50</v>
      </c>
      <c r="AQ71" s="143">
        <f>ROUND(AP71*(1+AI71),0)</f>
        <v>53</v>
      </c>
      <c r="AR71" s="143">
        <f>ROUND(AQ71*(1+AI71),0)</f>
        <v>56</v>
      </c>
      <c r="AS71" s="143">
        <f>ROUND(AR71*(1+AI71),0)</f>
        <v>59</v>
      </c>
      <c r="AT71" s="143">
        <f>ROUND(AS71*(1+AI71),0)</f>
        <v>62</v>
      </c>
      <c r="AU71" s="143">
        <f>ROUND(AT71*(1+AI71),0)</f>
        <v>65</v>
      </c>
      <c r="AW71" s="144"/>
      <c r="AX71" s="145"/>
      <c r="AY71" s="145"/>
      <c r="AZ71" s="146">
        <f>K71</f>
        <v>2.5059999999999998</v>
      </c>
      <c r="BA71" s="145"/>
      <c r="BB71" s="132">
        <f>AJ71*Q71/1000</f>
        <v>9.2722000000000013E-2</v>
      </c>
      <c r="BC71" s="147" t="s">
        <v>402</v>
      </c>
      <c r="BD71" s="148">
        <f t="shared" si="83"/>
        <v>2.5060000000000002</v>
      </c>
      <c r="BE71" s="149"/>
    </row>
    <row r="72" spans="1:57" ht="43.5" customHeight="1" x14ac:dyDescent="0.25">
      <c r="A72" s="292" t="s">
        <v>504</v>
      </c>
      <c r="B72" s="202">
        <v>29</v>
      </c>
      <c r="C72" s="293" t="s">
        <v>609</v>
      </c>
      <c r="D72" s="202" t="s">
        <v>464</v>
      </c>
      <c r="E72" s="204" t="s">
        <v>610</v>
      </c>
      <c r="F72" s="205" t="s">
        <v>611</v>
      </c>
      <c r="G72" s="127">
        <f t="shared" si="75"/>
        <v>0.156</v>
      </c>
      <c r="H72" s="127">
        <f t="shared" si="76"/>
        <v>0</v>
      </c>
      <c r="I72" s="128">
        <v>1.5</v>
      </c>
      <c r="J72" s="129">
        <v>0.85</v>
      </c>
      <c r="K72" s="127">
        <f t="shared" si="77"/>
        <v>2.5059999999999998</v>
      </c>
      <c r="L72" s="127">
        <v>0</v>
      </c>
      <c r="M72" s="127">
        <f t="shared" si="78"/>
        <v>2.5059999999999998</v>
      </c>
      <c r="N72" s="130">
        <v>6.75</v>
      </c>
      <c r="O72" s="131" t="s">
        <v>323</v>
      </c>
      <c r="P72" s="132">
        <f t="shared" si="79"/>
        <v>9.2560000000000002</v>
      </c>
      <c r="Q72" s="133">
        <f>P72-N72</f>
        <v>2.5060000000000002</v>
      </c>
      <c r="R72" s="142">
        <v>0.1</v>
      </c>
      <c r="S72" s="134">
        <v>2</v>
      </c>
      <c r="T72" s="134">
        <v>78</v>
      </c>
      <c r="U72" s="134">
        <v>0</v>
      </c>
      <c r="V72" s="134">
        <v>0</v>
      </c>
      <c r="W72" s="130">
        <v>2.06</v>
      </c>
      <c r="X72" s="135">
        <v>0.1</v>
      </c>
      <c r="Y72" s="136">
        <f t="shared" si="80"/>
        <v>2.2660000000000005</v>
      </c>
      <c r="Z72" s="130">
        <v>1.423</v>
      </c>
      <c r="AA72" s="137">
        <f t="shared" si="81"/>
        <v>0.23999999999999977</v>
      </c>
      <c r="AB72" s="137">
        <f t="shared" si="82"/>
        <v>1.0830000000000002</v>
      </c>
      <c r="AC72" s="138" t="s">
        <v>467</v>
      </c>
      <c r="AD72" s="139" t="s">
        <v>468</v>
      </c>
      <c r="AE72" s="140" t="s">
        <v>469</v>
      </c>
      <c r="AF72" s="141">
        <v>300</v>
      </c>
      <c r="AG72" s="184">
        <v>17</v>
      </c>
      <c r="AH72" s="184">
        <v>17</v>
      </c>
      <c r="AI72" s="142">
        <v>5.5E-2</v>
      </c>
      <c r="AJ72" s="143">
        <f>AG72</f>
        <v>17</v>
      </c>
      <c r="AK72" s="143">
        <f>ROUND(AJ72*(1+AI72),0)</f>
        <v>18</v>
      </c>
      <c r="AL72" s="143">
        <f>ROUND(AK72*(1+AI72),0)</f>
        <v>19</v>
      </c>
      <c r="AM72" s="143">
        <f>ROUND(AL72*(1+AI72),0)</f>
        <v>20</v>
      </c>
      <c r="AN72" s="143">
        <f>ROUND(AM72*(1+AI72),0)</f>
        <v>21</v>
      </c>
      <c r="AO72" s="143">
        <f>ROUND(AN72*(1+AI72),0)</f>
        <v>22</v>
      </c>
      <c r="AP72" s="143">
        <f>ROUND(AO72*(1+AI72),0)</f>
        <v>23</v>
      </c>
      <c r="AQ72" s="143">
        <f>ROUND(AP72*(1+AI72),0)</f>
        <v>24</v>
      </c>
      <c r="AR72" s="143">
        <f>ROUND(AQ72*(1+AI72),0)</f>
        <v>25</v>
      </c>
      <c r="AS72" s="143">
        <f>ROUND(AR72*(1+AI72),0)</f>
        <v>26</v>
      </c>
      <c r="AT72" s="143">
        <f>ROUND(AS72*(1+AI72),0)</f>
        <v>27</v>
      </c>
      <c r="AU72" s="143">
        <f>ROUND(AT72*(1+AI72),0)</f>
        <v>28</v>
      </c>
      <c r="AW72" s="144"/>
      <c r="AX72" s="145"/>
      <c r="AY72" s="145"/>
      <c r="AZ72" s="146">
        <f>K72</f>
        <v>2.5059999999999998</v>
      </c>
      <c r="BA72" s="145"/>
      <c r="BB72" s="132">
        <f>AJ72*Q72/1000</f>
        <v>4.2602000000000001E-2</v>
      </c>
      <c r="BC72" s="147" t="s">
        <v>402</v>
      </c>
      <c r="BD72" s="148">
        <f t="shared" si="83"/>
        <v>2.5060000000000002</v>
      </c>
      <c r="BE72" s="149"/>
    </row>
    <row r="73" spans="1:57" ht="43.5" customHeight="1" x14ac:dyDescent="0.25">
      <c r="A73" s="292" t="s">
        <v>504</v>
      </c>
      <c r="B73" s="202">
        <v>30</v>
      </c>
      <c r="C73" s="293" t="s">
        <v>612</v>
      </c>
      <c r="D73" s="202" t="s">
        <v>464</v>
      </c>
      <c r="E73" s="204" t="s">
        <v>613</v>
      </c>
      <c r="F73" s="205" t="s">
        <v>614</v>
      </c>
      <c r="G73" s="127">
        <f t="shared" si="75"/>
        <v>0.156</v>
      </c>
      <c r="H73" s="127">
        <f t="shared" si="76"/>
        <v>0</v>
      </c>
      <c r="I73" s="128">
        <v>1.5</v>
      </c>
      <c r="J73" s="129">
        <v>0.85</v>
      </c>
      <c r="K73" s="127">
        <f t="shared" si="77"/>
        <v>2.5059999999999998</v>
      </c>
      <c r="L73" s="127">
        <v>0</v>
      </c>
      <c r="M73" s="127">
        <f t="shared" si="78"/>
        <v>2.5059999999999998</v>
      </c>
      <c r="N73" s="130">
        <v>6.75</v>
      </c>
      <c r="O73" s="131" t="s">
        <v>323</v>
      </c>
      <c r="P73" s="132">
        <f t="shared" si="79"/>
        <v>9.2560000000000002</v>
      </c>
      <c r="Q73" s="133">
        <f>P73-N73</f>
        <v>2.5060000000000002</v>
      </c>
      <c r="R73" s="142">
        <v>0.06</v>
      </c>
      <c r="S73" s="134">
        <v>2</v>
      </c>
      <c r="T73" s="134">
        <v>78</v>
      </c>
      <c r="U73" s="134">
        <v>0</v>
      </c>
      <c r="V73" s="134">
        <v>0</v>
      </c>
      <c r="W73" s="130">
        <v>2.06</v>
      </c>
      <c r="X73" s="135">
        <v>0.1</v>
      </c>
      <c r="Y73" s="136">
        <f t="shared" si="80"/>
        <v>2.2660000000000005</v>
      </c>
      <c r="Z73" s="130">
        <v>1.423</v>
      </c>
      <c r="AA73" s="137">
        <f t="shared" si="81"/>
        <v>0.23999999999999977</v>
      </c>
      <c r="AB73" s="137">
        <f t="shared" si="82"/>
        <v>1.0830000000000002</v>
      </c>
      <c r="AC73" s="138" t="s">
        <v>467</v>
      </c>
      <c r="AD73" s="139" t="s">
        <v>468</v>
      </c>
      <c r="AE73" s="140" t="s">
        <v>469</v>
      </c>
      <c r="AF73" s="141">
        <v>300</v>
      </c>
      <c r="AG73" s="184">
        <v>10</v>
      </c>
      <c r="AH73" s="184">
        <v>10</v>
      </c>
      <c r="AI73" s="142">
        <v>5.5E-2</v>
      </c>
      <c r="AJ73" s="143">
        <f>AG73</f>
        <v>10</v>
      </c>
      <c r="AK73" s="143">
        <f>ROUND(AJ73*(1+AI73),0)</f>
        <v>11</v>
      </c>
      <c r="AL73" s="143">
        <f>ROUND(AK73*(1+AI73),0)</f>
        <v>12</v>
      </c>
      <c r="AM73" s="143">
        <f>ROUND(AL73*(1+AI73),0)</f>
        <v>13</v>
      </c>
      <c r="AN73" s="143">
        <f>ROUND(AM73*(1+AI73),0)</f>
        <v>14</v>
      </c>
      <c r="AO73" s="143">
        <f>ROUND(AN73*(1+AI73),0)</f>
        <v>15</v>
      </c>
      <c r="AP73" s="143">
        <f>ROUND(AO73*(1+AI73),0)</f>
        <v>16</v>
      </c>
      <c r="AQ73" s="143">
        <f>ROUND(AP73*(1+AI73),0)</f>
        <v>17</v>
      </c>
      <c r="AR73" s="143">
        <f>ROUND(AQ73*(1+AI73),0)</f>
        <v>18</v>
      </c>
      <c r="AS73" s="143">
        <f>ROUND(AR73*(1+AI73),0)</f>
        <v>19</v>
      </c>
      <c r="AT73" s="143">
        <f>ROUND(AS73*(1+AI73),0)</f>
        <v>20</v>
      </c>
      <c r="AU73" s="143">
        <f>ROUND(AT73*(1+AI73),0)</f>
        <v>21</v>
      </c>
      <c r="AW73" s="144"/>
      <c r="AX73" s="145"/>
      <c r="AY73" s="145"/>
      <c r="AZ73" s="146">
        <f>K73</f>
        <v>2.5059999999999998</v>
      </c>
      <c r="BA73" s="145"/>
      <c r="BB73" s="132">
        <f>AJ73*Q73/1000</f>
        <v>2.5060000000000002E-2</v>
      </c>
      <c r="BC73" s="147" t="s">
        <v>402</v>
      </c>
      <c r="BD73" s="148">
        <f t="shared" si="83"/>
        <v>2.5060000000000002</v>
      </c>
      <c r="BE73" s="149"/>
    </row>
    <row r="74" spans="1:57" ht="43.5" customHeight="1" x14ac:dyDescent="0.25">
      <c r="A74" s="292" t="s">
        <v>504</v>
      </c>
      <c r="B74" s="202">
        <v>31</v>
      </c>
      <c r="C74" s="293" t="s">
        <v>615</v>
      </c>
      <c r="D74" s="202" t="s">
        <v>464</v>
      </c>
      <c r="E74" s="204" t="s">
        <v>616</v>
      </c>
      <c r="F74" s="205" t="s">
        <v>617</v>
      </c>
      <c r="G74" s="127">
        <f t="shared" si="75"/>
        <v>0.156</v>
      </c>
      <c r="H74" s="127">
        <f t="shared" si="76"/>
        <v>0</v>
      </c>
      <c r="I74" s="128">
        <v>1.5</v>
      </c>
      <c r="J74" s="129">
        <v>0.85</v>
      </c>
      <c r="K74" s="127">
        <f t="shared" si="77"/>
        <v>2.5059999999999998</v>
      </c>
      <c r="L74" s="127">
        <v>0</v>
      </c>
      <c r="M74" s="127">
        <f t="shared" si="78"/>
        <v>2.5059999999999998</v>
      </c>
      <c r="N74" s="130">
        <v>6.75</v>
      </c>
      <c r="O74" s="131" t="s">
        <v>323</v>
      </c>
      <c r="P74" s="132">
        <f t="shared" si="79"/>
        <v>9.2560000000000002</v>
      </c>
      <c r="Q74" s="133">
        <f>P74-N74</f>
        <v>2.5060000000000002</v>
      </c>
      <c r="R74" s="142">
        <v>0.02</v>
      </c>
      <c r="S74" s="134">
        <v>2</v>
      </c>
      <c r="T74" s="134">
        <v>78</v>
      </c>
      <c r="U74" s="134">
        <v>0</v>
      </c>
      <c r="V74" s="134">
        <v>0</v>
      </c>
      <c r="W74" s="130">
        <v>2.06</v>
      </c>
      <c r="X74" s="135">
        <v>0.1</v>
      </c>
      <c r="Y74" s="136">
        <f t="shared" si="80"/>
        <v>2.2660000000000005</v>
      </c>
      <c r="Z74" s="130">
        <v>1.423</v>
      </c>
      <c r="AA74" s="137">
        <f t="shared" si="81"/>
        <v>0.23999999999999977</v>
      </c>
      <c r="AB74" s="137">
        <f t="shared" si="82"/>
        <v>1.0830000000000002</v>
      </c>
      <c r="AC74" s="138" t="s">
        <v>467</v>
      </c>
      <c r="AD74" s="139" t="s">
        <v>468</v>
      </c>
      <c r="AE74" s="140" t="s">
        <v>469</v>
      </c>
      <c r="AF74" s="141">
        <v>300</v>
      </c>
      <c r="AG74" s="184">
        <v>3</v>
      </c>
      <c r="AH74" s="184">
        <v>3</v>
      </c>
      <c r="AI74" s="142">
        <v>5.5E-2</v>
      </c>
      <c r="AJ74" s="143">
        <f>AG74</f>
        <v>3</v>
      </c>
      <c r="AK74" s="143">
        <f>ROUND(AJ74*(1+AI74),0)</f>
        <v>3</v>
      </c>
      <c r="AL74" s="143">
        <f>ROUND(AK74*(1+AI74),0)</f>
        <v>3</v>
      </c>
      <c r="AM74" s="143">
        <f>ROUND(AL74*(1+AI74),0)</f>
        <v>3</v>
      </c>
      <c r="AN74" s="143">
        <f>ROUND(AM74*(1+AI74),0)</f>
        <v>3</v>
      </c>
      <c r="AO74" s="143">
        <f>ROUND(AN74*(1+AI74),0)</f>
        <v>3</v>
      </c>
      <c r="AP74" s="143">
        <f>ROUND(AO74*(1+AI74),0)</f>
        <v>3</v>
      </c>
      <c r="AQ74" s="143">
        <f>ROUND(AP74*(1+AI74),0)</f>
        <v>3</v>
      </c>
      <c r="AR74" s="143">
        <f>ROUND(AQ74*(1+AI74),0)</f>
        <v>3</v>
      </c>
      <c r="AS74" s="143">
        <f>ROUND(AR74*(1+AI74),0)</f>
        <v>3</v>
      </c>
      <c r="AT74" s="143">
        <f>ROUND(AS74*(1+AI74),0)</f>
        <v>3</v>
      </c>
      <c r="AU74" s="143">
        <f>ROUND(AT74*(1+AI74),0)</f>
        <v>3</v>
      </c>
      <c r="AW74" s="144"/>
      <c r="AX74" s="145"/>
      <c r="AY74" s="145"/>
      <c r="AZ74" s="146">
        <f>K74</f>
        <v>2.5059999999999998</v>
      </c>
      <c r="BA74" s="145"/>
      <c r="BB74" s="132">
        <f>AJ74*Q74/1000</f>
        <v>7.5180000000000004E-3</v>
      </c>
      <c r="BC74" s="147" t="s">
        <v>402</v>
      </c>
      <c r="BD74" s="148">
        <f t="shared" si="83"/>
        <v>2.5060000000000002</v>
      </c>
      <c r="BE74" s="149"/>
    </row>
    <row r="75" spans="1:57" ht="45.75" customHeight="1" x14ac:dyDescent="0.25">
      <c r="A75" s="266" t="s">
        <v>534</v>
      </c>
      <c r="B75" s="207">
        <v>32</v>
      </c>
      <c r="C75" s="208" t="s">
        <v>618</v>
      </c>
      <c r="D75" s="207" t="s">
        <v>416</v>
      </c>
      <c r="E75" s="209" t="s">
        <v>619</v>
      </c>
      <c r="F75" s="210" t="s">
        <v>620</v>
      </c>
      <c r="G75" s="127">
        <f t="shared" si="75"/>
        <v>0.78539999999999999</v>
      </c>
      <c r="H75" s="127">
        <f t="shared" si="76"/>
        <v>0</v>
      </c>
      <c r="I75" s="128">
        <v>0.05</v>
      </c>
      <c r="J75" s="129">
        <v>0</v>
      </c>
      <c r="K75" s="127">
        <f t="shared" si="77"/>
        <v>0.83540000000000003</v>
      </c>
      <c r="L75" s="127">
        <v>0</v>
      </c>
      <c r="M75" s="127">
        <f t="shared" si="78"/>
        <v>0.83540000000000003</v>
      </c>
      <c r="N75" s="130">
        <v>0.15</v>
      </c>
      <c r="O75" s="170" t="s">
        <v>328</v>
      </c>
      <c r="P75" s="132">
        <f t="shared" si="79"/>
        <v>0.98540000000000005</v>
      </c>
      <c r="Q75" s="133">
        <f>P75</f>
        <v>0.98540000000000005</v>
      </c>
      <c r="R75" s="207"/>
      <c r="S75" s="134">
        <v>14</v>
      </c>
      <c r="T75" s="134">
        <v>56.1</v>
      </c>
      <c r="U75" s="134">
        <v>0</v>
      </c>
      <c r="V75" s="134">
        <v>0</v>
      </c>
      <c r="W75" s="130">
        <v>1.05</v>
      </c>
      <c r="X75" s="135">
        <v>0.1</v>
      </c>
      <c r="Y75" s="136">
        <f t="shared" si="80"/>
        <v>1.1550000000000002</v>
      </c>
      <c r="Z75" s="130">
        <v>0.2</v>
      </c>
      <c r="AA75" s="137">
        <f t="shared" si="81"/>
        <v>-0.1696000000000002</v>
      </c>
      <c r="AB75" s="137">
        <f t="shared" si="82"/>
        <v>0.7854000000000001</v>
      </c>
      <c r="AC75" s="138" t="s">
        <v>621</v>
      </c>
      <c r="AD75" s="159" t="s">
        <v>622</v>
      </c>
      <c r="AE75" s="159" t="s">
        <v>623</v>
      </c>
      <c r="AF75" s="141">
        <v>0</v>
      </c>
      <c r="AG75" s="141">
        <v>0</v>
      </c>
      <c r="AH75" s="141">
        <v>0</v>
      </c>
      <c r="AI75" s="142">
        <v>5.5E-2</v>
      </c>
      <c r="AW75" s="144"/>
      <c r="AX75" s="145"/>
      <c r="AY75" s="145"/>
      <c r="AZ75" s="146">
        <f>K75+N75</f>
        <v>0.98540000000000005</v>
      </c>
      <c r="BA75" s="145"/>
      <c r="BB75" s="132">
        <v>0</v>
      </c>
      <c r="BC75" s="147" t="s">
        <v>402</v>
      </c>
      <c r="BD75" s="148">
        <f t="shared" si="83"/>
        <v>0.98540000000000005</v>
      </c>
      <c r="BE75" s="149"/>
    </row>
    <row r="76" spans="1:57" ht="45.75" customHeight="1" x14ac:dyDescent="0.25">
      <c r="A76" s="266" t="s">
        <v>534</v>
      </c>
      <c r="B76" s="207">
        <v>33</v>
      </c>
      <c r="C76" s="208" t="s">
        <v>624</v>
      </c>
      <c r="D76" s="207" t="s">
        <v>416</v>
      </c>
      <c r="E76" s="209" t="s">
        <v>625</v>
      </c>
      <c r="F76" s="210" t="s">
        <v>626</v>
      </c>
      <c r="G76" s="127">
        <f t="shared" si="75"/>
        <v>1.6829999999999998E-2</v>
      </c>
      <c r="H76" s="127">
        <f t="shared" si="76"/>
        <v>0</v>
      </c>
      <c r="I76" s="128">
        <v>0</v>
      </c>
      <c r="J76" s="129">
        <v>0</v>
      </c>
      <c r="K76" s="127">
        <f t="shared" si="77"/>
        <v>1.6829999999999998E-2</v>
      </c>
      <c r="L76" s="127">
        <v>0</v>
      </c>
      <c r="M76" s="127">
        <f t="shared" si="78"/>
        <v>1.6829999999999998E-2</v>
      </c>
      <c r="N76" s="130">
        <v>5.0000000000000001E-3</v>
      </c>
      <c r="O76" s="131" t="s">
        <v>323</v>
      </c>
      <c r="P76" s="132">
        <f t="shared" si="79"/>
        <v>2.1829999999999999E-2</v>
      </c>
      <c r="Q76" s="133">
        <f>P76-N76</f>
        <v>1.6829999999999998E-2</v>
      </c>
      <c r="R76" s="207"/>
      <c r="S76" s="134">
        <v>0.3</v>
      </c>
      <c r="T76" s="134">
        <v>56.1</v>
      </c>
      <c r="U76" s="134">
        <v>0</v>
      </c>
      <c r="V76" s="134">
        <v>0</v>
      </c>
      <c r="W76" s="130">
        <v>0.05</v>
      </c>
      <c r="X76" s="135">
        <v>0.1</v>
      </c>
      <c r="Y76" s="136">
        <f t="shared" si="80"/>
        <v>5.5000000000000007E-2</v>
      </c>
      <c r="Z76" s="130">
        <v>0</v>
      </c>
      <c r="AA76" s="137">
        <f t="shared" si="81"/>
        <v>-3.8170000000000009E-2</v>
      </c>
      <c r="AB76" s="137">
        <f t="shared" si="82"/>
        <v>1.6829999999999998E-2</v>
      </c>
      <c r="AC76" s="138" t="s">
        <v>627</v>
      </c>
      <c r="AD76" s="159" t="s">
        <v>628</v>
      </c>
      <c r="AE76" s="140" t="s">
        <v>481</v>
      </c>
      <c r="AF76" s="141">
        <v>0</v>
      </c>
      <c r="AG76" s="141">
        <v>0</v>
      </c>
      <c r="AH76" s="141">
        <v>0</v>
      </c>
      <c r="AI76" s="142">
        <v>5.5E-2</v>
      </c>
      <c r="AW76" s="144"/>
      <c r="AX76" s="145"/>
      <c r="AY76" s="145"/>
      <c r="AZ76" s="146">
        <f>K76</f>
        <v>1.6829999999999998E-2</v>
      </c>
      <c r="BA76" s="145"/>
      <c r="BB76" s="132">
        <v>0</v>
      </c>
      <c r="BC76" s="147" t="s">
        <v>402</v>
      </c>
      <c r="BD76" s="148">
        <f t="shared" si="83"/>
        <v>1.6829999999999998E-2</v>
      </c>
      <c r="BE76" s="149"/>
    </row>
    <row r="77" spans="1:57" ht="13.5" customHeight="1" x14ac:dyDescent="0.25">
      <c r="A77" s="277" t="s">
        <v>629</v>
      </c>
      <c r="B77" s="278"/>
      <c r="C77" s="278"/>
      <c r="D77" s="278"/>
      <c r="E77" s="278"/>
      <c r="F77" s="278"/>
      <c r="G77" s="278"/>
      <c r="H77" s="278"/>
      <c r="I77" s="278"/>
      <c r="J77" s="278"/>
      <c r="K77" s="278"/>
      <c r="L77" s="278"/>
      <c r="M77" s="278"/>
      <c r="N77" s="278"/>
      <c r="O77" s="278"/>
      <c r="P77" s="278"/>
      <c r="Q77" s="278"/>
      <c r="R77" s="278"/>
      <c r="S77" s="278"/>
      <c r="T77" s="278"/>
      <c r="U77" s="278"/>
      <c r="V77" s="278"/>
      <c r="W77" s="278"/>
      <c r="X77" s="278"/>
      <c r="Y77" s="278"/>
      <c r="Z77" s="278"/>
      <c r="AA77" s="278"/>
      <c r="AB77" s="278"/>
      <c r="AC77" s="278"/>
      <c r="AD77" s="278"/>
      <c r="AE77" s="278"/>
      <c r="AF77" s="278"/>
      <c r="AG77" s="278"/>
      <c r="AH77" s="278"/>
      <c r="AI77" s="278"/>
      <c r="AJ77" s="278"/>
      <c r="AK77" s="278"/>
      <c r="AL77" s="278"/>
      <c r="AM77" s="278"/>
      <c r="AN77" s="278"/>
      <c r="AO77" s="278"/>
      <c r="AP77" s="278"/>
      <c r="AQ77" s="278"/>
      <c r="AR77" s="278"/>
      <c r="AS77" s="278"/>
      <c r="AT77" s="278"/>
      <c r="AU77" s="278"/>
      <c r="AV77" s="278"/>
      <c r="AW77" s="278"/>
      <c r="AX77" s="278"/>
      <c r="AY77" s="278"/>
      <c r="AZ77" s="278"/>
      <c r="BA77" s="278"/>
      <c r="BB77" s="278"/>
      <c r="BC77" s="278"/>
      <c r="BD77" s="278"/>
      <c r="BE77" s="278"/>
    </row>
    <row r="78" spans="1:57" ht="13.5" customHeight="1" x14ac:dyDescent="0.25">
      <c r="A78" s="277" t="s">
        <v>630</v>
      </c>
      <c r="B78" s="278"/>
      <c r="C78" s="278"/>
      <c r="D78" s="278"/>
      <c r="E78" s="278"/>
      <c r="F78" s="278"/>
      <c r="G78" s="278"/>
      <c r="H78" s="278"/>
      <c r="I78" s="278"/>
      <c r="J78" s="278"/>
      <c r="K78" s="278"/>
      <c r="L78" s="278"/>
      <c r="M78" s="278"/>
      <c r="N78" s="278"/>
      <c r="O78" s="278"/>
      <c r="P78" s="278"/>
      <c r="Q78" s="278"/>
      <c r="R78" s="278"/>
      <c r="S78" s="278"/>
      <c r="T78" s="278"/>
      <c r="U78" s="278"/>
      <c r="V78" s="278"/>
      <c r="W78" s="278"/>
      <c r="X78" s="278"/>
      <c r="Y78" s="278"/>
      <c r="Z78" s="278"/>
      <c r="AA78" s="278"/>
      <c r="AB78" s="278"/>
      <c r="AC78" s="278"/>
      <c r="AD78" s="278"/>
      <c r="AE78" s="278"/>
      <c r="AF78" s="278"/>
      <c r="AG78" s="278"/>
      <c r="AH78" s="278"/>
      <c r="AI78" s="278"/>
      <c r="AJ78" s="278"/>
      <c r="AK78" s="278"/>
      <c r="AL78" s="278"/>
      <c r="AM78" s="278"/>
      <c r="AN78" s="278"/>
      <c r="AO78" s="278"/>
      <c r="AP78" s="278"/>
      <c r="AQ78" s="278"/>
      <c r="AR78" s="278"/>
      <c r="AS78" s="278"/>
      <c r="AT78" s="278"/>
      <c r="AU78" s="278"/>
      <c r="AV78" s="278"/>
      <c r="AW78" s="278"/>
      <c r="AX78" s="278"/>
      <c r="AY78" s="278"/>
      <c r="AZ78" s="278"/>
      <c r="BA78" s="278"/>
      <c r="BB78" s="278"/>
      <c r="BC78" s="278"/>
      <c r="BD78" s="278"/>
      <c r="BE78" s="278"/>
    </row>
    <row r="79" spans="1:57" ht="27.75" customHeight="1" x14ac:dyDescent="0.25">
      <c r="A79" s="5" t="s">
        <v>631</v>
      </c>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row>
    <row r="80" spans="1:57" ht="27.75" customHeight="1" x14ac:dyDescent="0.25">
      <c r="A80" s="5" t="s">
        <v>632</v>
      </c>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row>
    <row r="81" spans="1:57" ht="27.75" customHeight="1" x14ac:dyDescent="0.25">
      <c r="A81" s="5" t="s">
        <v>633</v>
      </c>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row>
    <row r="82" spans="1:57" ht="27.75" customHeight="1" x14ac:dyDescent="0.25">
      <c r="A82" s="5" t="s">
        <v>634</v>
      </c>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row>
    <row r="83" spans="1:57" ht="27.75" customHeight="1" x14ac:dyDescent="0.25">
      <c r="A83" s="5" t="s">
        <v>635</v>
      </c>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row>
    <row r="85" spans="1:57" ht="15" customHeight="1" x14ac:dyDescent="0.25">
      <c r="A85" s="440" t="s">
        <v>636</v>
      </c>
      <c r="B85" s="440"/>
      <c r="C85" s="440"/>
      <c r="D85" s="440"/>
      <c r="E85" s="440"/>
      <c r="F85" s="440"/>
      <c r="G85" s="440"/>
      <c r="H85" s="440"/>
      <c r="I85" s="440"/>
      <c r="J85" s="440"/>
      <c r="K85" s="440"/>
      <c r="L85" s="440"/>
      <c r="M85" s="440"/>
      <c r="N85" s="440"/>
      <c r="O85" s="440"/>
      <c r="P85" s="440"/>
      <c r="Q85" s="440"/>
      <c r="R85" s="440"/>
      <c r="S85" s="440"/>
      <c r="T85" s="440"/>
      <c r="U85" s="440"/>
      <c r="V85" s="440"/>
      <c r="W85" s="440"/>
      <c r="X85" s="440"/>
      <c r="Y85" s="440"/>
      <c r="Z85" s="440"/>
      <c r="AA85" s="440"/>
      <c r="AB85" s="440"/>
      <c r="AC85" s="440"/>
      <c r="AD85" s="440"/>
      <c r="AE85" s="440"/>
      <c r="AF85" s="440"/>
      <c r="AG85" s="440"/>
      <c r="AH85" s="440"/>
      <c r="AI85" s="440"/>
      <c r="AJ85" s="440"/>
      <c r="AK85" s="440"/>
      <c r="AL85" s="440"/>
      <c r="AM85" s="440"/>
      <c r="AN85" s="440"/>
    </row>
    <row r="88" spans="1:57" ht="19.5" customHeight="1" x14ac:dyDescent="0.25">
      <c r="A88" s="441" t="s">
        <v>637</v>
      </c>
      <c r="B88" s="441"/>
      <c r="C88" s="441"/>
      <c r="D88" s="441"/>
      <c r="E88" s="441"/>
      <c r="F88" s="441"/>
      <c r="G88" s="441"/>
      <c r="H88" s="441"/>
      <c r="I88" s="441"/>
      <c r="J88" s="441"/>
    </row>
    <row r="89" spans="1:57" ht="15" customHeight="1" x14ac:dyDescent="0.25">
      <c r="A89" s="294" t="s">
        <v>638</v>
      </c>
    </row>
    <row r="90" spans="1:57" ht="15.75" customHeight="1" x14ac:dyDescent="0.25">
      <c r="A90" s="115" t="s">
        <v>352</v>
      </c>
      <c r="B90" s="115" t="s">
        <v>639</v>
      </c>
      <c r="C90" s="115" t="s">
        <v>640</v>
      </c>
      <c r="D90" s="115" t="s">
        <v>641</v>
      </c>
      <c r="E90" s="115" t="s">
        <v>642</v>
      </c>
      <c r="F90" s="115" t="s">
        <v>643</v>
      </c>
      <c r="G90" s="115" t="s">
        <v>644</v>
      </c>
      <c r="H90" s="115" t="s">
        <v>645</v>
      </c>
      <c r="I90" s="115" t="s">
        <v>643</v>
      </c>
    </row>
    <row r="91" spans="1:57" ht="90.75" customHeight="1" x14ac:dyDescent="0.25">
      <c r="A91" s="295">
        <v>1</v>
      </c>
      <c r="B91" s="296" t="s">
        <v>646</v>
      </c>
      <c r="C91" s="297" t="s">
        <v>647</v>
      </c>
      <c r="D91" s="296" t="s">
        <v>648</v>
      </c>
      <c r="E91" s="296" t="s">
        <v>649</v>
      </c>
      <c r="F91" s="298" t="s">
        <v>650</v>
      </c>
      <c r="G91" s="299" t="s">
        <v>651</v>
      </c>
      <c r="H91" s="297" t="s">
        <v>652</v>
      </c>
      <c r="I91" s="296" t="s">
        <v>650</v>
      </c>
    </row>
    <row r="92" spans="1:57" ht="99.75" customHeight="1" x14ac:dyDescent="0.25">
      <c r="A92" s="300">
        <v>2</v>
      </c>
      <c r="B92" s="301" t="s">
        <v>653</v>
      </c>
      <c r="C92" s="302" t="s">
        <v>654</v>
      </c>
      <c r="D92" s="301" t="s">
        <v>655</v>
      </c>
      <c r="E92" s="301" t="s">
        <v>656</v>
      </c>
      <c r="F92" s="303" t="s">
        <v>657</v>
      </c>
      <c r="G92" s="157" t="s">
        <v>658</v>
      </c>
      <c r="H92" s="302" t="s">
        <v>659</v>
      </c>
      <c r="I92" s="301" t="s">
        <v>657</v>
      </c>
    </row>
    <row r="93" spans="1:57" ht="84.75" customHeight="1" x14ac:dyDescent="0.25">
      <c r="A93" s="295">
        <v>3</v>
      </c>
      <c r="B93" s="296" t="s">
        <v>660</v>
      </c>
      <c r="C93" s="297" t="s">
        <v>661</v>
      </c>
      <c r="D93" s="296" t="s">
        <v>662</v>
      </c>
      <c r="E93" s="296" t="s">
        <v>663</v>
      </c>
      <c r="F93" s="298" t="s">
        <v>650</v>
      </c>
      <c r="G93" s="299" t="s">
        <v>664</v>
      </c>
      <c r="H93" s="297" t="s">
        <v>665</v>
      </c>
      <c r="I93" s="296" t="s">
        <v>650</v>
      </c>
    </row>
    <row r="94" spans="1:57" ht="95.25" customHeight="1" x14ac:dyDescent="0.25">
      <c r="A94" s="300">
        <v>4</v>
      </c>
      <c r="B94" s="301" t="s">
        <v>666</v>
      </c>
      <c r="C94" s="302" t="s">
        <v>667</v>
      </c>
      <c r="D94" s="301" t="s">
        <v>668</v>
      </c>
      <c r="E94" s="301" t="s">
        <v>669</v>
      </c>
      <c r="F94" s="298" t="s">
        <v>650</v>
      </c>
      <c r="G94" s="157" t="s">
        <v>670</v>
      </c>
      <c r="H94" s="302" t="s">
        <v>671</v>
      </c>
      <c r="I94" s="301" t="s">
        <v>650</v>
      </c>
    </row>
    <row r="95" spans="1:57" ht="95.25" customHeight="1" x14ac:dyDescent="0.25">
      <c r="A95" s="295">
        <v>5</v>
      </c>
      <c r="B95" s="296" t="s">
        <v>672</v>
      </c>
      <c r="C95" s="297" t="s">
        <v>667</v>
      </c>
      <c r="D95" s="296" t="s">
        <v>673</v>
      </c>
      <c r="E95" s="296" t="s">
        <v>669</v>
      </c>
      <c r="F95" s="303" t="s">
        <v>657</v>
      </c>
      <c r="G95" s="299" t="s">
        <v>670</v>
      </c>
      <c r="H95" s="297" t="s">
        <v>674</v>
      </c>
      <c r="I95" s="296" t="s">
        <v>657</v>
      </c>
    </row>
    <row r="96" spans="1:57" ht="105.75" customHeight="1" x14ac:dyDescent="0.25">
      <c r="A96" s="300">
        <v>6</v>
      </c>
      <c r="B96" s="301" t="s">
        <v>675</v>
      </c>
      <c r="C96" s="302" t="s">
        <v>667</v>
      </c>
      <c r="D96" s="301" t="s">
        <v>676</v>
      </c>
      <c r="E96" s="301" t="s">
        <v>669</v>
      </c>
      <c r="F96" s="298" t="s">
        <v>650</v>
      </c>
      <c r="G96" s="157" t="s">
        <v>670</v>
      </c>
      <c r="H96" s="302"/>
      <c r="I96" s="301" t="s">
        <v>650</v>
      </c>
    </row>
    <row r="97" spans="1:9" ht="95.25" customHeight="1" x14ac:dyDescent="0.25">
      <c r="A97" s="295">
        <v>7</v>
      </c>
      <c r="B97" s="296" t="s">
        <v>677</v>
      </c>
      <c r="C97" s="297" t="s">
        <v>667</v>
      </c>
      <c r="D97" s="296" t="s">
        <v>678</v>
      </c>
      <c r="E97" s="296" t="s">
        <v>669</v>
      </c>
      <c r="F97" s="298" t="s">
        <v>650</v>
      </c>
      <c r="G97" s="299" t="s">
        <v>670</v>
      </c>
      <c r="H97" s="297" t="s">
        <v>679</v>
      </c>
      <c r="I97" s="296" t="s">
        <v>650</v>
      </c>
    </row>
    <row r="98" spans="1:9" ht="84.75" customHeight="1" x14ac:dyDescent="0.25">
      <c r="A98" s="300">
        <v>8</v>
      </c>
      <c r="B98" s="301" t="s">
        <v>680</v>
      </c>
      <c r="C98" s="302" t="s">
        <v>667</v>
      </c>
      <c r="D98" s="301" t="s">
        <v>681</v>
      </c>
      <c r="E98" s="301" t="s">
        <v>669</v>
      </c>
      <c r="F98" s="298" t="s">
        <v>650</v>
      </c>
      <c r="G98" s="157" t="s">
        <v>670</v>
      </c>
      <c r="H98" s="302"/>
      <c r="I98" s="301" t="s">
        <v>650</v>
      </c>
    </row>
    <row r="99" spans="1:9" ht="84.75" customHeight="1" x14ac:dyDescent="0.25">
      <c r="A99" s="295">
        <v>9</v>
      </c>
      <c r="B99" s="296" t="s">
        <v>682</v>
      </c>
      <c r="C99" s="297" t="s">
        <v>683</v>
      </c>
      <c r="D99" s="296" t="s">
        <v>684</v>
      </c>
      <c r="E99" s="296" t="s">
        <v>685</v>
      </c>
      <c r="F99" s="298" t="s">
        <v>650</v>
      </c>
      <c r="G99" s="299" t="s">
        <v>686</v>
      </c>
      <c r="H99" s="297" t="s">
        <v>687</v>
      </c>
      <c r="I99" s="296" t="s">
        <v>650</v>
      </c>
    </row>
    <row r="100" spans="1:9" ht="84.75" customHeight="1" x14ac:dyDescent="0.25">
      <c r="A100" s="300">
        <v>10</v>
      </c>
      <c r="B100" s="301" t="s">
        <v>688</v>
      </c>
      <c r="C100" s="302" t="s">
        <v>689</v>
      </c>
      <c r="D100" s="301" t="s">
        <v>690</v>
      </c>
      <c r="E100" s="301" t="s">
        <v>691</v>
      </c>
      <c r="F100" s="303" t="s">
        <v>657</v>
      </c>
      <c r="G100" s="157" t="s">
        <v>692</v>
      </c>
      <c r="H100" s="302" t="s">
        <v>693</v>
      </c>
      <c r="I100" s="301" t="s">
        <v>657</v>
      </c>
    </row>
    <row r="101" spans="1:9" ht="84.75" customHeight="1" x14ac:dyDescent="0.25">
      <c r="A101" s="295">
        <v>11</v>
      </c>
      <c r="B101" s="296" t="s">
        <v>694</v>
      </c>
      <c r="C101" s="297" t="s">
        <v>689</v>
      </c>
      <c r="D101" s="296" t="s">
        <v>695</v>
      </c>
      <c r="E101" s="296" t="s">
        <v>696</v>
      </c>
      <c r="F101" s="303" t="s">
        <v>657</v>
      </c>
      <c r="G101" s="299" t="s">
        <v>692</v>
      </c>
      <c r="H101" s="297" t="s">
        <v>697</v>
      </c>
      <c r="I101" s="296" t="s">
        <v>657</v>
      </c>
    </row>
    <row r="102" spans="1:9" ht="105.75" customHeight="1" x14ac:dyDescent="0.25">
      <c r="A102" s="300">
        <v>12</v>
      </c>
      <c r="B102" s="301" t="s">
        <v>698</v>
      </c>
      <c r="C102" s="302" t="s">
        <v>699</v>
      </c>
      <c r="D102" s="301" t="s">
        <v>700</v>
      </c>
      <c r="E102" s="301" t="s">
        <v>663</v>
      </c>
      <c r="F102" s="303" t="s">
        <v>657</v>
      </c>
      <c r="G102" s="157" t="s">
        <v>701</v>
      </c>
      <c r="H102" s="302" t="s">
        <v>702</v>
      </c>
      <c r="I102" s="301" t="s">
        <v>657</v>
      </c>
    </row>
    <row r="103" spans="1:9" ht="74.25" customHeight="1" x14ac:dyDescent="0.25">
      <c r="A103" s="295">
        <v>13</v>
      </c>
      <c r="B103" s="296" t="s">
        <v>703</v>
      </c>
      <c r="C103" s="297" t="s">
        <v>704</v>
      </c>
      <c r="D103" s="296" t="s">
        <v>705</v>
      </c>
      <c r="E103" s="296" t="s">
        <v>706</v>
      </c>
      <c r="F103" s="298" t="s">
        <v>650</v>
      </c>
      <c r="G103" s="299" t="s">
        <v>707</v>
      </c>
      <c r="H103" s="297" t="s">
        <v>708</v>
      </c>
      <c r="I103" s="296" t="s">
        <v>650</v>
      </c>
    </row>
    <row r="104" spans="1:9" ht="116.25" customHeight="1" x14ac:dyDescent="0.25">
      <c r="A104" s="300">
        <v>14</v>
      </c>
      <c r="B104" s="301" t="s">
        <v>709</v>
      </c>
      <c r="C104" s="302" t="s">
        <v>710</v>
      </c>
      <c r="D104" s="301" t="s">
        <v>711</v>
      </c>
      <c r="E104" s="301" t="s">
        <v>706</v>
      </c>
      <c r="F104" s="303" t="s">
        <v>657</v>
      </c>
      <c r="G104" s="157" t="s">
        <v>712</v>
      </c>
      <c r="H104" s="302"/>
      <c r="I104" s="301" t="s">
        <v>657</v>
      </c>
    </row>
    <row r="105" spans="1:9" ht="74.25" customHeight="1" x14ac:dyDescent="0.25">
      <c r="A105" s="295">
        <v>15</v>
      </c>
      <c r="B105" s="296" t="s">
        <v>713</v>
      </c>
      <c r="C105" s="297" t="s">
        <v>714</v>
      </c>
      <c r="D105" s="296" t="s">
        <v>715</v>
      </c>
      <c r="E105" s="296" t="s">
        <v>124</v>
      </c>
      <c r="F105" s="298" t="s">
        <v>650</v>
      </c>
      <c r="G105" s="299" t="s">
        <v>716</v>
      </c>
      <c r="H105" s="297"/>
      <c r="I105" s="296" t="s">
        <v>650</v>
      </c>
    </row>
    <row r="106" spans="1:9" ht="69" customHeight="1" x14ac:dyDescent="0.25">
      <c r="A106" s="300">
        <v>16</v>
      </c>
      <c r="B106" s="301" t="s">
        <v>717</v>
      </c>
      <c r="C106" s="302" t="s">
        <v>718</v>
      </c>
      <c r="D106" s="301" t="s">
        <v>719</v>
      </c>
      <c r="E106" s="301" t="s">
        <v>124</v>
      </c>
      <c r="F106" s="298" t="s">
        <v>650</v>
      </c>
      <c r="G106" s="157" t="s">
        <v>720</v>
      </c>
      <c r="H106" s="302" t="s">
        <v>721</v>
      </c>
      <c r="I106" s="301" t="s">
        <v>650</v>
      </c>
    </row>
    <row r="107" spans="1:9" ht="54.75" customHeight="1" x14ac:dyDescent="0.25">
      <c r="A107" s="295">
        <v>17</v>
      </c>
      <c r="B107" s="296" t="s">
        <v>722</v>
      </c>
      <c r="C107" s="297" t="s">
        <v>723</v>
      </c>
      <c r="D107" s="296" t="s">
        <v>724</v>
      </c>
      <c r="E107" s="296" t="s">
        <v>124</v>
      </c>
      <c r="F107" s="298" t="s">
        <v>650</v>
      </c>
      <c r="G107" s="299" t="s">
        <v>725</v>
      </c>
      <c r="H107" s="297" t="s">
        <v>726</v>
      </c>
      <c r="I107" s="296" t="s">
        <v>650</v>
      </c>
    </row>
    <row r="108" spans="1:9" ht="63.75" customHeight="1" x14ac:dyDescent="0.25">
      <c r="A108" s="300">
        <v>18</v>
      </c>
      <c r="B108" s="301" t="s">
        <v>727</v>
      </c>
      <c r="C108" s="302" t="s">
        <v>728</v>
      </c>
      <c r="D108" s="301" t="s">
        <v>729</v>
      </c>
      <c r="E108" s="301" t="s">
        <v>730</v>
      </c>
      <c r="F108" s="298" t="s">
        <v>650</v>
      </c>
      <c r="G108" s="157" t="s">
        <v>692</v>
      </c>
      <c r="H108" s="302" t="s">
        <v>731</v>
      </c>
      <c r="I108" s="301" t="s">
        <v>650</v>
      </c>
    </row>
    <row r="109" spans="1:9" ht="95.25" customHeight="1" x14ac:dyDescent="0.25">
      <c r="A109" s="295">
        <v>19</v>
      </c>
      <c r="B109" s="296" t="s">
        <v>732</v>
      </c>
      <c r="C109" s="297" t="s">
        <v>733</v>
      </c>
      <c r="D109" s="296" t="s">
        <v>734</v>
      </c>
      <c r="E109" s="296" t="s">
        <v>126</v>
      </c>
      <c r="F109" s="298" t="s">
        <v>650</v>
      </c>
      <c r="G109" s="299" t="s">
        <v>735</v>
      </c>
      <c r="H109" s="297" t="s">
        <v>736</v>
      </c>
      <c r="I109" s="296" t="s">
        <v>650</v>
      </c>
    </row>
    <row r="110" spans="1:9" ht="95.25" customHeight="1" x14ac:dyDescent="0.25">
      <c r="A110" s="300">
        <v>20</v>
      </c>
      <c r="B110" s="301" t="s">
        <v>737</v>
      </c>
      <c r="C110" s="302" t="s">
        <v>733</v>
      </c>
      <c r="D110" s="301" t="s">
        <v>738</v>
      </c>
      <c r="E110" s="301" t="s">
        <v>126</v>
      </c>
      <c r="F110" s="298" t="s">
        <v>650</v>
      </c>
      <c r="G110" s="157" t="s">
        <v>735</v>
      </c>
      <c r="H110" s="302" t="s">
        <v>739</v>
      </c>
      <c r="I110" s="301" t="s">
        <v>650</v>
      </c>
    </row>
    <row r="111" spans="1:9" ht="84.75" customHeight="1" x14ac:dyDescent="0.25">
      <c r="A111" s="295">
        <v>21</v>
      </c>
      <c r="B111" s="296" t="s">
        <v>740</v>
      </c>
      <c r="C111" s="297" t="s">
        <v>741</v>
      </c>
      <c r="D111" s="296" t="s">
        <v>742</v>
      </c>
      <c r="E111" s="296" t="s">
        <v>124</v>
      </c>
      <c r="F111" s="298" t="s">
        <v>650</v>
      </c>
      <c r="G111" s="299" t="s">
        <v>743</v>
      </c>
      <c r="H111" s="297" t="s">
        <v>744</v>
      </c>
      <c r="I111" s="296" t="s">
        <v>650</v>
      </c>
    </row>
    <row r="113" spans="1:11" ht="19.5" customHeight="1" x14ac:dyDescent="0.25">
      <c r="A113" s="442" t="s">
        <v>745</v>
      </c>
      <c r="B113" s="442"/>
      <c r="C113" s="442"/>
      <c r="D113" s="442"/>
      <c r="E113" s="442"/>
      <c r="F113" s="442"/>
      <c r="G113" s="442"/>
      <c r="H113" s="442"/>
      <c r="I113" s="442"/>
      <c r="J113" s="442"/>
      <c r="K113" s="442"/>
    </row>
    <row r="114" spans="1:11" ht="27.75" customHeight="1" x14ac:dyDescent="0.25">
      <c r="A114" s="443" t="s">
        <v>746</v>
      </c>
      <c r="B114" s="443"/>
      <c r="C114" s="443"/>
      <c r="D114" s="443"/>
      <c r="E114" s="443"/>
      <c r="F114" s="443"/>
      <c r="G114" s="443"/>
      <c r="H114" s="443"/>
      <c r="I114" s="443"/>
      <c r="J114" s="443"/>
      <c r="K114" s="443"/>
    </row>
    <row r="115" spans="1:11" ht="30" customHeight="1" x14ac:dyDescent="0.25">
      <c r="A115" s="304" t="s">
        <v>154</v>
      </c>
      <c r="B115" s="304" t="s">
        <v>316</v>
      </c>
      <c r="C115" s="304" t="s">
        <v>747</v>
      </c>
      <c r="D115" s="304" t="s">
        <v>748</v>
      </c>
      <c r="E115" s="304" t="s">
        <v>749</v>
      </c>
      <c r="F115" s="304" t="s">
        <v>750</v>
      </c>
      <c r="G115" s="304" t="s">
        <v>751</v>
      </c>
      <c r="H115" s="304" t="s">
        <v>752</v>
      </c>
      <c r="I115" s="304" t="s">
        <v>753</v>
      </c>
      <c r="J115" s="304" t="s">
        <v>278</v>
      </c>
    </row>
    <row r="116" spans="1:11" ht="30" customHeight="1" x14ac:dyDescent="0.25">
      <c r="A116" s="305" t="s">
        <v>279</v>
      </c>
      <c r="B116" s="306" t="s">
        <v>321</v>
      </c>
      <c r="C116" s="307">
        <f>S7</f>
        <v>2.2999999999999998</v>
      </c>
      <c r="D116" s="306" t="s">
        <v>754</v>
      </c>
      <c r="E116" s="307">
        <f>U7</f>
        <v>10</v>
      </c>
      <c r="F116" s="306" t="s">
        <v>754</v>
      </c>
      <c r="G116" s="307">
        <f>N7*3.6/0.45</f>
        <v>2</v>
      </c>
      <c r="H116" s="308">
        <f t="shared" ref="H116:I118" si="84">I7</f>
        <v>0.04</v>
      </c>
      <c r="I116" s="308">
        <f t="shared" si="84"/>
        <v>0</v>
      </c>
      <c r="J116" s="309"/>
    </row>
    <row r="117" spans="1:11" ht="30" customHeight="1" x14ac:dyDescent="0.25">
      <c r="A117" s="310" t="s">
        <v>281</v>
      </c>
      <c r="B117" s="311" t="s">
        <v>324</v>
      </c>
      <c r="C117" s="312">
        <f>S8</f>
        <v>2.5</v>
      </c>
      <c r="D117" s="311" t="s">
        <v>754</v>
      </c>
      <c r="E117" s="312">
        <f>U8</f>
        <v>0</v>
      </c>
      <c r="F117" s="311" t="s">
        <v>755</v>
      </c>
      <c r="G117" s="312">
        <f>N8*3.6/0.45</f>
        <v>2</v>
      </c>
      <c r="H117" s="313">
        <f t="shared" si="84"/>
        <v>1.4999999999999999E-2</v>
      </c>
      <c r="I117" s="313">
        <f t="shared" si="84"/>
        <v>0</v>
      </c>
      <c r="J117" s="314"/>
    </row>
    <row r="118" spans="1:11" ht="39.75" customHeight="1" x14ac:dyDescent="0.25">
      <c r="A118" s="305" t="s">
        <v>756</v>
      </c>
      <c r="B118" s="306" t="s">
        <v>325</v>
      </c>
      <c r="C118" s="307">
        <f>S9</f>
        <v>4</v>
      </c>
      <c r="D118" s="306" t="s">
        <v>757</v>
      </c>
      <c r="E118" s="307">
        <f>U9</f>
        <v>16</v>
      </c>
      <c r="F118" s="306" t="s">
        <v>757</v>
      </c>
      <c r="G118" s="307">
        <f>N9*3.6/0.45</f>
        <v>1.5</v>
      </c>
      <c r="H118" s="308">
        <f t="shared" si="84"/>
        <v>0.25</v>
      </c>
      <c r="I118" s="308">
        <f t="shared" si="84"/>
        <v>0</v>
      </c>
      <c r="J118" s="309" t="s">
        <v>758</v>
      </c>
    </row>
    <row r="119" spans="1:11" ht="39.75" customHeight="1" x14ac:dyDescent="0.25">
      <c r="A119" s="310" t="s">
        <v>759</v>
      </c>
      <c r="B119" s="311" t="s">
        <v>326</v>
      </c>
      <c r="C119" s="312">
        <f>S11</f>
        <v>3</v>
      </c>
      <c r="D119" s="311" t="s">
        <v>757</v>
      </c>
      <c r="E119" s="312">
        <f>U11</f>
        <v>0</v>
      </c>
      <c r="F119" s="311" t="s">
        <v>755</v>
      </c>
      <c r="G119" s="312">
        <f>N11*3.6/0.45</f>
        <v>0.45</v>
      </c>
      <c r="H119" s="313">
        <f>I11</f>
        <v>0.52600000000000002</v>
      </c>
      <c r="I119" s="313">
        <f>J11</f>
        <v>0</v>
      </c>
      <c r="J119" s="314" t="s">
        <v>760</v>
      </c>
    </row>
    <row r="120" spans="1:11" ht="30" customHeight="1" x14ac:dyDescent="0.25">
      <c r="A120" s="305" t="s">
        <v>761</v>
      </c>
      <c r="B120" s="306" t="s">
        <v>329</v>
      </c>
      <c r="C120" s="307">
        <f>S13</f>
        <v>7</v>
      </c>
      <c r="D120" s="306" t="s">
        <v>754</v>
      </c>
      <c r="E120" s="307">
        <f>U13</f>
        <v>26</v>
      </c>
      <c r="F120" s="306" t="s">
        <v>754</v>
      </c>
      <c r="G120" s="307">
        <f>N13*3.6/0.45</f>
        <v>0.3</v>
      </c>
      <c r="H120" s="308">
        <f t="shared" ref="H120:I122" si="85">I13</f>
        <v>0</v>
      </c>
      <c r="I120" s="308">
        <f t="shared" si="85"/>
        <v>0</v>
      </c>
      <c r="J120" s="309"/>
    </row>
    <row r="121" spans="1:11" ht="30" customHeight="1" x14ac:dyDescent="0.25">
      <c r="A121" s="310" t="s">
        <v>114</v>
      </c>
      <c r="B121" s="311" t="s">
        <v>331</v>
      </c>
      <c r="C121" s="312">
        <f>S14</f>
        <v>2</v>
      </c>
      <c r="D121" s="311" t="s">
        <v>754</v>
      </c>
      <c r="E121" s="312">
        <f>U14</f>
        <v>0</v>
      </c>
      <c r="F121" s="311" t="s">
        <v>755</v>
      </c>
      <c r="G121" s="312">
        <f>N14*3.6/0.45</f>
        <v>0.3</v>
      </c>
      <c r="H121" s="313">
        <f t="shared" si="85"/>
        <v>-0.73299999999999998</v>
      </c>
      <c r="I121" s="313">
        <f t="shared" si="85"/>
        <v>0</v>
      </c>
      <c r="J121" s="314"/>
    </row>
    <row r="122" spans="1:11" ht="30" customHeight="1" x14ac:dyDescent="0.25">
      <c r="A122" s="305" t="s">
        <v>289</v>
      </c>
      <c r="B122" s="306" t="s">
        <v>332</v>
      </c>
      <c r="C122" s="307">
        <f>S15</f>
        <v>2</v>
      </c>
      <c r="D122" s="306" t="s">
        <v>754</v>
      </c>
      <c r="E122" s="307">
        <f>U15</f>
        <v>0</v>
      </c>
      <c r="F122" s="306" t="s">
        <v>755</v>
      </c>
      <c r="G122" s="307">
        <f>N15*3.6/0.45</f>
        <v>0.35</v>
      </c>
      <c r="H122" s="308">
        <f t="shared" si="85"/>
        <v>0</v>
      </c>
      <c r="I122" s="308">
        <f t="shared" si="85"/>
        <v>0.97</v>
      </c>
      <c r="J122" s="309"/>
    </row>
    <row r="123" spans="1:11" ht="39.75" customHeight="1" x14ac:dyDescent="0.25">
      <c r="A123" s="310" t="s">
        <v>291</v>
      </c>
      <c r="B123" s="311" t="s">
        <v>333</v>
      </c>
      <c r="C123" s="312">
        <f>S17</f>
        <v>2</v>
      </c>
      <c r="D123" s="311" t="s">
        <v>762</v>
      </c>
      <c r="E123" s="312">
        <f>U17</f>
        <v>0</v>
      </c>
      <c r="F123" s="311" t="s">
        <v>755</v>
      </c>
      <c r="G123" s="312">
        <f>N17*3.6/0.45</f>
        <v>54</v>
      </c>
      <c r="H123" s="313">
        <f>I17</f>
        <v>1.5</v>
      </c>
      <c r="I123" s="313">
        <f>J17</f>
        <v>0.85</v>
      </c>
      <c r="J123" s="314" t="s">
        <v>763</v>
      </c>
    </row>
  </sheetData>
  <mergeCells count="24">
    <mergeCell ref="A113:K113"/>
    <mergeCell ref="A114:K114"/>
    <mergeCell ref="A81:BE81"/>
    <mergeCell ref="A82:BE82"/>
    <mergeCell ref="A83:BE83"/>
    <mergeCell ref="A85:AN85"/>
    <mergeCell ref="A88:J88"/>
    <mergeCell ref="A6:BE6"/>
    <mergeCell ref="A22:BE22"/>
    <mergeCell ref="A39:BE39"/>
    <mergeCell ref="A79:BE79"/>
    <mergeCell ref="A80:BE80"/>
    <mergeCell ref="A1:BE1"/>
    <mergeCell ref="A2:BE2"/>
    <mergeCell ref="A4:F4"/>
    <mergeCell ref="G4:M4"/>
    <mergeCell ref="N4:Q4"/>
    <mergeCell ref="S4:V4"/>
    <mergeCell ref="W4:AC4"/>
    <mergeCell ref="AD4:AE4"/>
    <mergeCell ref="AF4:AI4"/>
    <mergeCell ref="AJ4:AU4"/>
    <mergeCell ref="AW4:BB4"/>
    <mergeCell ref="BC4:BE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108"/>
  <sheetViews>
    <sheetView topLeftCell="A12" zoomScaleNormal="100" workbookViewId="0">
      <selection activeCell="E10" sqref="E10"/>
    </sheetView>
  </sheetViews>
  <sheetFormatPr defaultColWidth="8.7109375" defaultRowHeight="15" x14ac:dyDescent="0.25"/>
  <cols>
    <col min="1" max="1" width="10" customWidth="1"/>
    <col min="2" max="2" width="38" customWidth="1"/>
    <col min="3" max="3" width="8" customWidth="1"/>
    <col min="4" max="5" width="12" customWidth="1"/>
    <col min="6" max="6" width="14" customWidth="1"/>
    <col min="7" max="7" width="22" customWidth="1"/>
    <col min="8" max="8" width="14" customWidth="1"/>
    <col min="9" max="9" width="9" customWidth="1"/>
    <col min="10" max="10" width="30" customWidth="1"/>
  </cols>
  <sheetData>
    <row r="1" spans="1:10" ht="30" customHeight="1" x14ac:dyDescent="0.25">
      <c r="A1" s="444" t="s">
        <v>764</v>
      </c>
      <c r="B1" s="444"/>
      <c r="C1" s="444"/>
      <c r="D1" s="444"/>
      <c r="E1" s="444"/>
      <c r="F1" s="444"/>
      <c r="G1" s="444"/>
      <c r="H1" s="444"/>
      <c r="I1" s="444"/>
      <c r="J1" s="444"/>
    </row>
    <row r="2" spans="1:10" ht="18" customHeight="1" x14ac:dyDescent="0.25">
      <c r="A2" s="445" t="s">
        <v>765</v>
      </c>
      <c r="B2" s="445"/>
      <c r="C2" s="445"/>
      <c r="D2" s="445"/>
      <c r="E2" s="445"/>
      <c r="F2" s="445"/>
      <c r="G2" s="445"/>
      <c r="H2" s="445"/>
      <c r="I2" s="445"/>
      <c r="J2" s="445"/>
    </row>
    <row r="3" spans="1:10" ht="51.75" customHeight="1" x14ac:dyDescent="0.25">
      <c r="A3" s="446" t="s">
        <v>766</v>
      </c>
      <c r="B3" s="446"/>
      <c r="C3" s="446"/>
      <c r="D3" s="446"/>
      <c r="E3" s="446"/>
      <c r="F3" s="446"/>
      <c r="G3" s="446"/>
      <c r="H3" s="446"/>
      <c r="I3" s="446"/>
      <c r="J3" s="446"/>
    </row>
    <row r="4" spans="1:10" ht="51.75" customHeight="1" x14ac:dyDescent="0.25">
      <c r="A4" s="446" t="s">
        <v>767</v>
      </c>
      <c r="B4" s="446"/>
      <c r="C4" s="446"/>
      <c r="D4" s="446"/>
      <c r="E4" s="446"/>
      <c r="F4" s="446"/>
      <c r="G4" s="446"/>
      <c r="H4" s="446"/>
      <c r="I4" s="446"/>
      <c r="J4" s="446"/>
    </row>
    <row r="6" spans="1:10" ht="21.75" customHeight="1" x14ac:dyDescent="0.25">
      <c r="A6" s="447" t="s">
        <v>768</v>
      </c>
      <c r="B6" s="447"/>
      <c r="C6" s="447"/>
      <c r="D6" s="447"/>
      <c r="E6" s="447"/>
      <c r="F6" s="447"/>
      <c r="G6" s="447"/>
      <c r="H6" s="447"/>
      <c r="I6" s="447"/>
      <c r="J6" s="447"/>
    </row>
    <row r="7" spans="1:10" ht="55.5" customHeight="1" x14ac:dyDescent="0.25">
      <c r="A7" s="315" t="s">
        <v>769</v>
      </c>
      <c r="B7" s="315" t="s">
        <v>209</v>
      </c>
      <c r="C7" s="315" t="s">
        <v>770</v>
      </c>
      <c r="D7" s="315" t="s">
        <v>771</v>
      </c>
      <c r="E7" s="315" t="s">
        <v>772</v>
      </c>
      <c r="F7" s="315" t="s">
        <v>773</v>
      </c>
      <c r="G7" s="315" t="s">
        <v>774</v>
      </c>
      <c r="H7" s="315" t="s">
        <v>775</v>
      </c>
      <c r="I7" s="315" t="s">
        <v>246</v>
      </c>
      <c r="J7" s="315" t="s">
        <v>776</v>
      </c>
    </row>
    <row r="8" spans="1:10" ht="39.75" customHeight="1" x14ac:dyDescent="0.25">
      <c r="A8" s="316" t="s">
        <v>777</v>
      </c>
      <c r="B8" s="317" t="s">
        <v>216</v>
      </c>
      <c r="C8" s="318">
        <f>INDEX(input_data!$L:$L,MATCH("all.in.bnk.stl.drg.---",input_data!$A:$A,0))</f>
        <v>0.48099999999999998</v>
      </c>
      <c r="D8" s="318">
        <f>INDEX(input_data!$L:$L,MATCH("all.in.dfv.stl.drg.---",input_data!$A:$A,0))</f>
        <v>1.82</v>
      </c>
      <c r="E8" s="319">
        <f>IFERROR(INDEX(CBAM!$L:$L,MATCH(CBAM!$B$5&amp;".em.int.stl.drg.---",CBAM!$A:$A,0)),"—")</f>
        <v>0.73003000000000007</v>
      </c>
      <c r="F8" s="319">
        <f>IFERROR(INDEX(CBAM!$K:$K,MATCH(CBAM!$B$5&amp;".em.int.stl.drg.---",CBAM!$A:$A,0)),"—")</f>
        <v>0.98003000000000007</v>
      </c>
      <c r="G8" s="320">
        <f t="shared" ref="G8:G15" si="0">IFERROR(MAX(E8-C8,0),"—")</f>
        <v>0.24903000000000008</v>
      </c>
      <c r="H8" s="316" t="str">
        <f t="shared" ref="H8:H15" si="1">IFERROR(IF(E8&lt;=C8,"✓ At/below BM",IF(E8&lt;=D8,"⚠ Above BM","✗ Above default")),"—")</f>
        <v>⚠ Above BM</v>
      </c>
      <c r="I8" s="321" t="s">
        <v>323</v>
      </c>
      <c r="J8" s="322" t="s">
        <v>778</v>
      </c>
    </row>
    <row r="9" spans="1:10" ht="39.75" customHeight="1" x14ac:dyDescent="0.25">
      <c r="A9" s="323" t="s">
        <v>779</v>
      </c>
      <c r="B9" s="324" t="s">
        <v>216</v>
      </c>
      <c r="C9" s="318">
        <f>INDEX(input_data!$L:$L,MATCH("all.in.bnk.stl.scr.---",input_data!$A:$A,0))</f>
        <v>7.1999999999999995E-2</v>
      </c>
      <c r="D9" s="318">
        <f>INDEX(input_data!$L:$L,MATCH("all.in.dfv.stl.scr.---",input_data!$A:$A,0))</f>
        <v>0.72</v>
      </c>
      <c r="E9" s="319">
        <f>IFERROR(INDEX(CBAM!$L:$L,MATCH(CBAM!$B$5&amp;".em.int.stl.scr.---",CBAM!$A:$A,0)),"—")</f>
        <v>0.15525000000000003</v>
      </c>
      <c r="F9" s="319">
        <f>IFERROR(INDEX(CBAM!$K:$K,MATCH(CBAM!$B$5&amp;".em.int.stl.scr.---",CBAM!$A:$A,0)),"—")</f>
        <v>0.40525</v>
      </c>
      <c r="G9" s="320">
        <f t="shared" si="0"/>
        <v>8.3250000000000032E-2</v>
      </c>
      <c r="H9" s="316" t="str">
        <f t="shared" si="1"/>
        <v>⚠ Above BM</v>
      </c>
      <c r="I9" s="321" t="s">
        <v>323</v>
      </c>
      <c r="J9" s="325" t="s">
        <v>780</v>
      </c>
    </row>
    <row r="10" spans="1:10" ht="39.75" customHeight="1" x14ac:dyDescent="0.25">
      <c r="A10" s="316" t="s">
        <v>781</v>
      </c>
      <c r="B10" s="317" t="s">
        <v>216</v>
      </c>
      <c r="C10" s="318">
        <f>INDEX(input_data!$L:$L,MATCH("all.in.bnk.stl.bof.---",input_data!$A:$A,0))</f>
        <v>1.37</v>
      </c>
      <c r="D10" s="318">
        <f>INDEX(input_data!$L:$L,MATCH("all.in.dfv.stl.bof.---",input_data!$A:$A,0))</f>
        <v>2.8</v>
      </c>
      <c r="E10" s="319">
        <f>IFERROR(INDEX(CBAM!$L:$L,MATCH(CBAM!$B$5&amp;".em.int.stl.bof.---",CBAM!$A:$A,0)),"—")</f>
        <v>2.1719999999999997</v>
      </c>
      <c r="F10" s="319">
        <f>IFERROR(INDEX(CBAM!$K:$K,MATCH(CBAM!$B$5&amp;".em.int.stl.bof.---",CBAM!$A:$A,0)),"—")</f>
        <v>2.3594999999999997</v>
      </c>
      <c r="G10" s="320">
        <f t="shared" si="0"/>
        <v>0.8019999999999996</v>
      </c>
      <c r="H10" s="316" t="str">
        <f t="shared" si="1"/>
        <v>⚠ Above BM</v>
      </c>
      <c r="I10" s="321" t="s">
        <v>323</v>
      </c>
      <c r="J10" s="322" t="s">
        <v>782</v>
      </c>
    </row>
    <row r="11" spans="1:10" ht="39.75" customHeight="1" x14ac:dyDescent="0.25">
      <c r="A11" s="323" t="s">
        <v>783</v>
      </c>
      <c r="B11" s="324" t="s">
        <v>216</v>
      </c>
      <c r="C11" s="318">
        <f>INDEX(input_data!$L:$L,MATCH("all.in.bnk.cmt.dry.---",input_data!$A:$A,0))</f>
        <v>0.66600000000000004</v>
      </c>
      <c r="D11" s="318">
        <f>INDEX(input_data!$L:$L,MATCH("all.in.dfv.cmt.dry.---",input_data!$A:$A,0))</f>
        <v>1.58</v>
      </c>
      <c r="E11" s="319">
        <f>IFERROR(INDEX(CBAM!$L:$L,MATCH(CBAM!$B$5&amp;".em.int.cmt.dry.---",CBAM!$A:$A,0)),"—")</f>
        <v>0.87055000000000005</v>
      </c>
      <c r="F11" s="319">
        <f>IFERROR(INDEX(CBAM!$K:$K,MATCH(CBAM!$B$5&amp;".em.int.cmt.dry.---",CBAM!$A:$A,0)),"—")</f>
        <v>0.87055000000000005</v>
      </c>
      <c r="G11" s="320">
        <f t="shared" si="0"/>
        <v>0.20455000000000001</v>
      </c>
      <c r="H11" s="316" t="str">
        <f t="shared" si="1"/>
        <v>⚠ Above BM</v>
      </c>
      <c r="I11" s="326" t="s">
        <v>328</v>
      </c>
      <c r="J11" s="325" t="s">
        <v>784</v>
      </c>
    </row>
    <row r="12" spans="1:10" ht="39.75" customHeight="1" x14ac:dyDescent="0.25">
      <c r="A12" s="316" t="s">
        <v>785</v>
      </c>
      <c r="B12" s="317" t="s">
        <v>216</v>
      </c>
      <c r="C12" s="318">
        <f>INDEX(input_data!$L:$L,MATCH("all.in.bnk.frt.amc.---",input_data!$A:$A,0))</f>
        <v>1.522</v>
      </c>
      <c r="D12" s="318">
        <f>INDEX(input_data!$L:$L,MATCH("all.in.dfv.frt.amc.---",input_data!$A:$A,0))</f>
        <v>1.8260000000000001</v>
      </c>
      <c r="E12" s="319">
        <f>IFERROR(INDEX(CBAM!$L:$L,MATCH(CBAM!$B$5&amp;".em.int.frt.amc.---",CBAM!$A:$A,0)),"—")</f>
        <v>1.8888</v>
      </c>
      <c r="F12" s="319">
        <f>IFERROR(INDEX(CBAM!$K:$K,MATCH(CBAM!$B$5&amp;".em.int.frt.amc.---",CBAM!$A:$A,0)),"—")</f>
        <v>1.8888</v>
      </c>
      <c r="G12" s="320">
        <f t="shared" si="0"/>
        <v>0.36680000000000001</v>
      </c>
      <c r="H12" s="316" t="str">
        <f t="shared" si="1"/>
        <v>✗ Above default</v>
      </c>
      <c r="I12" s="326" t="s">
        <v>328</v>
      </c>
      <c r="J12" s="322" t="s">
        <v>786</v>
      </c>
    </row>
    <row r="13" spans="1:10" ht="39.75" customHeight="1" x14ac:dyDescent="0.25">
      <c r="A13" s="323" t="s">
        <v>787</v>
      </c>
      <c r="B13" s="324" t="s">
        <v>216</v>
      </c>
      <c r="C13" s="318">
        <f>INDEX(input_data!$L:$L,MATCH("all.in.bnk.frt.ure.---",input_data!$A:$A,0))</f>
        <v>0.90200000000000002</v>
      </c>
      <c r="D13" s="318">
        <f>INDEX(input_data!$L:$L,MATCH("all.in.dfv.frt.ure.---",input_data!$A:$A,0))</f>
        <v>1.88</v>
      </c>
      <c r="E13" s="319">
        <f>IFERROR(INDEX(CBAM!$L:$L,MATCH(CBAM!$B$5&amp;".em.int.frt.ure.---",CBAM!$A:$A,0)),"—")</f>
        <v>0.48764959999999985</v>
      </c>
      <c r="F13" s="319">
        <f>IFERROR(INDEX(CBAM!$K:$K,MATCH(CBAM!$B$5&amp;".em.int.frt.ure.---",CBAM!$A:$A,0)),"—")</f>
        <v>0.48764959999999985</v>
      </c>
      <c r="G13" s="320">
        <f t="shared" si="0"/>
        <v>0</v>
      </c>
      <c r="H13" s="316" t="str">
        <f t="shared" si="1"/>
        <v>✓ At/below BM</v>
      </c>
      <c r="I13" s="326" t="s">
        <v>328</v>
      </c>
      <c r="J13" s="325" t="s">
        <v>788</v>
      </c>
    </row>
    <row r="14" spans="1:10" ht="39.75" customHeight="1" x14ac:dyDescent="0.25">
      <c r="A14" s="316" t="s">
        <v>789</v>
      </c>
      <c r="B14" s="317" t="s">
        <v>216</v>
      </c>
      <c r="C14" s="318">
        <f>INDEX(input_data!$L:$L,MATCH("all.in.bnk.frt.nit.---",input_data!$A:$A,0))</f>
        <v>0.30199999999999999</v>
      </c>
      <c r="D14" s="318">
        <f>INDEX(input_data!$L:$L,MATCH("all.in.dfv.frt.nit.---",input_data!$A:$A,0))</f>
        <v>0.97</v>
      </c>
      <c r="E14" s="319">
        <f>IFERROR(INDEX(CBAM!$L:$L,MATCH(CBAM!$B$5&amp;".em.int.frt.nit.---",CBAM!$A:$A,0)),"—")</f>
        <v>1.5282643999999999</v>
      </c>
      <c r="F14" s="319">
        <f>IFERROR(INDEX(CBAM!$K:$K,MATCH(CBAM!$B$5&amp;".em.int.frt.nit.---",CBAM!$A:$A,0)),"—")</f>
        <v>1.5282643999999999</v>
      </c>
      <c r="G14" s="320">
        <f t="shared" si="0"/>
        <v>1.2262643999999998</v>
      </c>
      <c r="H14" s="316" t="str">
        <f t="shared" si="1"/>
        <v>✗ Above default</v>
      </c>
      <c r="I14" s="326" t="s">
        <v>328</v>
      </c>
      <c r="J14" s="322" t="s">
        <v>790</v>
      </c>
    </row>
    <row r="15" spans="1:10" ht="39.75" customHeight="1" x14ac:dyDescent="0.25">
      <c r="A15" s="323" t="s">
        <v>791</v>
      </c>
      <c r="B15" s="324" t="s">
        <v>216</v>
      </c>
      <c r="C15" s="318">
        <f>INDEX(input_data!$L:$L,MATCH("all.in.bnk.alu.prp.---",input_data!$A:$A,0))</f>
        <v>1.423</v>
      </c>
      <c r="D15" s="318">
        <f>INDEX(input_data!$L:$L,MATCH("all.in.dfv.alu.prp.---",input_data!$A:$A,0))</f>
        <v>2.06</v>
      </c>
      <c r="E15" s="319">
        <f>IFERROR(INDEX(CBAM!$L:$L,MATCH(CBAM!$B$5&amp;".em.int.alu.prp.---",CBAM!$A:$A,0)),"—")</f>
        <v>2.4982000000000002</v>
      </c>
      <c r="F15" s="319">
        <f>IFERROR(INDEX(CBAM!$K:$K,MATCH(CBAM!$B$5&amp;".em.int.alu.prp.---",CBAM!$A:$A,0)),"—")</f>
        <v>9.2481999999999989</v>
      </c>
      <c r="G15" s="320">
        <f t="shared" si="0"/>
        <v>1.0752000000000002</v>
      </c>
      <c r="H15" s="316" t="str">
        <f t="shared" si="1"/>
        <v>✗ Above default</v>
      </c>
      <c r="I15" s="321" t="s">
        <v>323</v>
      </c>
      <c r="J15" s="325" t="s">
        <v>792</v>
      </c>
    </row>
    <row r="16" spans="1:10" ht="42" customHeight="1" x14ac:dyDescent="0.25">
      <c r="A16" s="448" t="s">
        <v>793</v>
      </c>
      <c r="B16" s="448"/>
      <c r="C16" s="448"/>
      <c r="D16" s="448"/>
      <c r="E16" s="448"/>
      <c r="F16" s="448"/>
      <c r="G16" s="448"/>
      <c r="H16" s="448"/>
      <c r="I16" s="448"/>
      <c r="J16" s="448"/>
    </row>
    <row r="18" spans="1:10" ht="21.75" customHeight="1" x14ac:dyDescent="0.25">
      <c r="A18" s="449" t="s">
        <v>794</v>
      </c>
      <c r="B18" s="449"/>
      <c r="C18" s="449"/>
      <c r="D18" s="449"/>
      <c r="E18" s="449"/>
      <c r="F18" s="449"/>
      <c r="G18" s="449"/>
      <c r="H18" s="449"/>
      <c r="I18" s="449"/>
      <c r="J18" s="449"/>
    </row>
    <row r="19" spans="1:10" ht="55.5" customHeight="1" x14ac:dyDescent="0.25">
      <c r="A19" s="450" t="s">
        <v>795</v>
      </c>
      <c r="B19" s="450"/>
      <c r="C19" s="450"/>
      <c r="D19" s="450"/>
      <c r="E19" s="450"/>
      <c r="F19" s="450"/>
      <c r="G19" s="450"/>
      <c r="H19" s="450"/>
      <c r="I19" s="450"/>
      <c r="J19" s="450"/>
    </row>
    <row r="20" spans="1:10" ht="48" customHeight="1" x14ac:dyDescent="0.25">
      <c r="A20" s="315" t="s">
        <v>796</v>
      </c>
      <c r="B20" s="315" t="s">
        <v>797</v>
      </c>
      <c r="C20" s="315" t="s">
        <v>798</v>
      </c>
      <c r="D20" s="315" t="s">
        <v>799</v>
      </c>
      <c r="E20" s="315" t="s">
        <v>800</v>
      </c>
      <c r="F20" s="315" t="s">
        <v>801</v>
      </c>
      <c r="G20" s="315" t="s">
        <v>802</v>
      </c>
      <c r="H20" s="315" t="s">
        <v>278</v>
      </c>
    </row>
    <row r="21" spans="1:10" ht="15.75" customHeight="1" x14ac:dyDescent="0.25">
      <c r="A21" s="316" t="s">
        <v>803</v>
      </c>
      <c r="B21" s="327" t="s">
        <v>321</v>
      </c>
      <c r="C21" s="318">
        <f>IFERROR(INDEX(ref_data!$D:$D,MATCH("egy.ref.dv.stl.drg.---",ref_data!$A:$A,0)),"—")</f>
        <v>1.4039999999999999</v>
      </c>
      <c r="D21" s="318">
        <f>IFERROR(INDEX(ref_data!$E:$E,MATCH("egy.ref.dv.stl.drg.---",ref_data!$A:$A,0)),"—")</f>
        <v>0</v>
      </c>
      <c r="E21" s="318">
        <f>IFERROR(INDEX(ref_data!$F:$F,MATCH("egy.ref.dv.stl.drg.---",ref_data!$A:$A,0)),"—")</f>
        <v>1.4039999999999999</v>
      </c>
      <c r="F21" s="318">
        <f>IFERROR(INDEX(ref_data!$G:$G,MATCH("egy.ref.dv.stl.drg.---",ref_data!$A:$A,0)),"—")</f>
        <v>0.48099999999999998</v>
      </c>
      <c r="G21" s="328">
        <f>IFERROR(INDEX(ref_data!$H:$H,MATCH("egy.ref.dv.stl.drg.---",ref_data!$A:$A,0)),"—")</f>
        <v>0.92300000000000004</v>
      </c>
      <c r="H21" s="322" t="s">
        <v>804</v>
      </c>
    </row>
    <row r="22" spans="1:10" ht="15.75" customHeight="1" x14ac:dyDescent="0.25">
      <c r="A22" s="324"/>
      <c r="B22" s="329" t="s">
        <v>324</v>
      </c>
      <c r="C22" s="318">
        <f>IFERROR(INDEX(ref_data!$D:$D,MATCH("egy.ref.dv.stl.scr.---",ref_data!$A:$A,0)),"—")</f>
        <v>0.72</v>
      </c>
      <c r="D22" s="318">
        <f>IFERROR(INDEX(ref_data!$E:$E,MATCH("egy.ref.dv.stl.scr.---",ref_data!$A:$A,0)),"—")</f>
        <v>0</v>
      </c>
      <c r="E22" s="318">
        <f>IFERROR(INDEX(ref_data!$F:$F,MATCH("egy.ref.dv.stl.scr.---",ref_data!$A:$A,0)),"—")</f>
        <v>0.72</v>
      </c>
      <c r="F22" s="318">
        <f>IFERROR(INDEX(ref_data!$G:$G,MATCH("egy.ref.dv.stl.scr.---",ref_data!$A:$A,0)),"—")</f>
        <v>7.1999999999999995E-2</v>
      </c>
      <c r="G22" s="328">
        <f>IFERROR(INDEX(ref_data!$H:$H,MATCH("egy.ref.dv.stl.scr.---",ref_data!$A:$A,0)),"—")</f>
        <v>0.64800000000000002</v>
      </c>
      <c r="H22" s="325" t="s">
        <v>805</v>
      </c>
    </row>
    <row r="23" spans="1:10" ht="15.75" customHeight="1" x14ac:dyDescent="0.25">
      <c r="A23" s="317"/>
      <c r="B23" s="327" t="s">
        <v>326</v>
      </c>
      <c r="C23" s="318">
        <f>IFERROR(INDEX(ref_data!$D:$D,MATCH("egy.ref.dv.cmt.dry.---",ref_data!$A:$A,0)),"—")</f>
        <v>0.78</v>
      </c>
      <c r="D23" s="318">
        <f>IFERROR(INDEX(ref_data!$E:$E,MATCH("egy.ref.dv.cmt.dry.---",ref_data!$A:$A,0)),"—")</f>
        <v>9.5000000000000001E-2</v>
      </c>
      <c r="E23" s="318">
        <f>IFERROR(INDEX(ref_data!$F:$F,MATCH("egy.ref.dv.cmt.dry.---",ref_data!$A:$A,0)),"—")</f>
        <v>0.875</v>
      </c>
      <c r="F23" s="318">
        <f>IFERROR(INDEX(ref_data!$G:$G,MATCH("egy.ref.dv.cmt.dry.---",ref_data!$A:$A,0)),"—")</f>
        <v>0.66600000000000004</v>
      </c>
      <c r="G23" s="328">
        <f>IFERROR(INDEX(ref_data!$H:$H,MATCH("egy.ref.dv.cmt.dry.---",ref_data!$A:$A,0)),"—")</f>
        <v>0.20899999999999999</v>
      </c>
      <c r="H23" s="322" t="s">
        <v>806</v>
      </c>
    </row>
    <row r="24" spans="1:10" ht="15.75" customHeight="1" x14ac:dyDescent="0.25">
      <c r="A24" s="324"/>
      <c r="B24" s="329" t="s">
        <v>329</v>
      </c>
      <c r="C24" s="318">
        <f>IFERROR(INDEX(ref_data!$D:$D,MATCH("egy.ref.dv.frt.amc.---",ref_data!$A:$A,0)),"—")</f>
        <v>1.4039999999999999</v>
      </c>
      <c r="D24" s="318">
        <f>IFERROR(INDEX(ref_data!$E:$E,MATCH("egy.ref.dv.frt.amc.---",ref_data!$A:$A,0)),"—")</f>
        <v>0</v>
      </c>
      <c r="E24" s="318">
        <f>IFERROR(INDEX(ref_data!$F:$F,MATCH("egy.ref.dv.frt.amc.---",ref_data!$A:$A,0)),"—")</f>
        <v>1.4039999999999999</v>
      </c>
      <c r="F24" s="318">
        <f>IFERROR(INDEX(ref_data!$G:$G,MATCH("egy.ref.dv.frt.amc.---",ref_data!$A:$A,0)),"—")</f>
        <v>1.522</v>
      </c>
      <c r="G24" s="328">
        <f>IFERROR(INDEX(ref_data!$H:$H,MATCH("egy.ref.dv.frt.amc.---",ref_data!$A:$A,0)),"—")</f>
        <v>0</v>
      </c>
      <c r="H24" s="325" t="s">
        <v>807</v>
      </c>
    </row>
    <row r="25" spans="1:10" ht="15.75" customHeight="1" x14ac:dyDescent="0.25">
      <c r="A25" s="317"/>
      <c r="B25" s="327" t="s">
        <v>331</v>
      </c>
      <c r="C25" s="318">
        <f>IFERROR(INDEX(ref_data!$D:$D,MATCH("egy.ref.dv.frt.ure.---",ref_data!$A:$A,0)),"—")</f>
        <v>1.4039999999999999</v>
      </c>
      <c r="D25" s="318">
        <f>IFERROR(INDEX(ref_data!$E:$E,MATCH("egy.ref.dv.frt.ure.---",ref_data!$A:$A,0)),"—")</f>
        <v>5.5E-2</v>
      </c>
      <c r="E25" s="318">
        <f>IFERROR(INDEX(ref_data!$F:$F,MATCH("egy.ref.dv.frt.ure.---",ref_data!$A:$A,0)),"—")</f>
        <v>1.4590000000000001</v>
      </c>
      <c r="F25" s="318">
        <f>IFERROR(INDEX(ref_data!$G:$G,MATCH("egy.ref.dv.frt.ure.---",ref_data!$A:$A,0)),"—")</f>
        <v>0.90200000000000002</v>
      </c>
      <c r="G25" s="328">
        <f>IFERROR(INDEX(ref_data!$H:$H,MATCH("egy.ref.dv.frt.ure.---",ref_data!$A:$A,0)),"—")</f>
        <v>0.55700000000000005</v>
      </c>
      <c r="H25" s="322" t="s">
        <v>808</v>
      </c>
    </row>
    <row r="26" spans="1:10" ht="15.75" customHeight="1" x14ac:dyDescent="0.25">
      <c r="A26" s="324"/>
      <c r="B26" s="329" t="s">
        <v>332</v>
      </c>
      <c r="C26" s="318">
        <f>IFERROR(INDEX(ref_data!$D:$D,MATCH("egy.ref.dv.frt.nit.---",ref_data!$A:$A,0)),"—")</f>
        <v>0.8</v>
      </c>
      <c r="D26" s="318">
        <f>IFERROR(INDEX(ref_data!$E:$E,MATCH("egy.ref.dv.frt.nit.---",ref_data!$A:$A,0)),"—")</f>
        <v>0.06</v>
      </c>
      <c r="E26" s="318">
        <f>IFERROR(INDEX(ref_data!$F:$F,MATCH("egy.ref.dv.frt.nit.---",ref_data!$A:$A,0)),"—")</f>
        <v>0.86</v>
      </c>
      <c r="F26" s="318">
        <f>IFERROR(INDEX(ref_data!$G:$G,MATCH("egy.ref.dv.frt.nit.---",ref_data!$A:$A,0)),"—")</f>
        <v>0.30199999999999999</v>
      </c>
      <c r="G26" s="328">
        <f>IFERROR(INDEX(ref_data!$H:$H,MATCH("egy.ref.dv.frt.nit.---",ref_data!$A:$A,0)),"—")</f>
        <v>0.55800000000000005</v>
      </c>
      <c r="H26" s="325" t="s">
        <v>809</v>
      </c>
    </row>
    <row r="27" spans="1:10" ht="15.75" customHeight="1" x14ac:dyDescent="0.25">
      <c r="A27" s="317"/>
      <c r="B27" s="327" t="s">
        <v>333</v>
      </c>
      <c r="C27" s="318">
        <f>IFERROR(INDEX(ref_data!$D:$D,MATCH("egy.ref.dv.alu.prp.---",ref_data!$A:$A,0)),"—")</f>
        <v>1.8</v>
      </c>
      <c r="D27" s="318">
        <f>IFERROR(INDEX(ref_data!$E:$E,MATCH("egy.ref.dv.alu.prp.---",ref_data!$A:$A,0)),"—")</f>
        <v>0</v>
      </c>
      <c r="E27" s="318">
        <f>IFERROR(INDEX(ref_data!$F:$F,MATCH("egy.ref.dv.alu.prp.---",ref_data!$A:$A,0)),"—")</f>
        <v>1.8</v>
      </c>
      <c r="F27" s="318">
        <f>IFERROR(INDEX(ref_data!$G:$G,MATCH("egy.ref.dv.alu.prp.---",ref_data!$A:$A,0)),"—")</f>
        <v>1.423</v>
      </c>
      <c r="G27" s="328">
        <f>IFERROR(INDEX(ref_data!$H:$H,MATCH("egy.ref.dv.alu.prp.---",ref_data!$A:$A,0)),"—")</f>
        <v>0.377</v>
      </c>
      <c r="H27" s="322" t="s">
        <v>810</v>
      </c>
    </row>
    <row r="28" spans="1:10" ht="15.75" customHeight="1" x14ac:dyDescent="0.25">
      <c r="A28" s="323" t="s">
        <v>811</v>
      </c>
      <c r="B28" s="329" t="s">
        <v>324</v>
      </c>
      <c r="C28" s="318">
        <f>IFERROR(INDEX(ref_data!$D:$D,MATCH("alb.ref.dv.stl.scr.---",ref_data!$A:$A,0)),"—")</f>
        <v>0.42</v>
      </c>
      <c r="D28" s="318">
        <f>IFERROR(INDEX(ref_data!$E:$E,MATCH("alb.ref.dv.stl.scr.---",ref_data!$A:$A,0)),"—")</f>
        <v>0</v>
      </c>
      <c r="E28" s="318">
        <f>IFERROR(INDEX(ref_data!$F:$F,MATCH("alb.ref.dv.stl.scr.---",ref_data!$A:$A,0)),"—")</f>
        <v>0.42</v>
      </c>
      <c r="F28" s="318">
        <f>IFERROR(INDEX(ref_data!$G:$G,MATCH("alb.ref.dv.stl.scr.---",ref_data!$A:$A,0)),"—")</f>
        <v>7.1999999999999995E-2</v>
      </c>
      <c r="G28" s="328">
        <f>IFERROR(INDEX(ref_data!$H:$H,MATCH("alb.ref.dv.stl.scr.---",ref_data!$A:$A,0)),"—")</f>
        <v>0.34799999999999998</v>
      </c>
      <c r="H28" s="325" t="s">
        <v>812</v>
      </c>
    </row>
    <row r="29" spans="1:10" ht="15.75" customHeight="1" x14ac:dyDescent="0.25">
      <c r="A29" s="317"/>
      <c r="B29" s="327" t="s">
        <v>326</v>
      </c>
      <c r="C29" s="318">
        <f>IFERROR(INDEX(ref_data!$D:$D,MATCH("alb.ref.dv.cmt.dry.---",ref_data!$A:$A,0)),"—")</f>
        <v>0.75</v>
      </c>
      <c r="D29" s="318">
        <f>IFERROR(INDEX(ref_data!$E:$E,MATCH("alb.ref.dv.cmt.dry.---",ref_data!$A:$A,0)),"—")</f>
        <v>0.09</v>
      </c>
      <c r="E29" s="318">
        <f>IFERROR(INDEX(ref_data!$F:$F,MATCH("alb.ref.dv.cmt.dry.---",ref_data!$A:$A,0)),"—")</f>
        <v>0.84</v>
      </c>
      <c r="F29" s="318">
        <f>IFERROR(INDEX(ref_data!$G:$G,MATCH("alb.ref.dv.cmt.dry.---",ref_data!$A:$A,0)),"—")</f>
        <v>0.66600000000000004</v>
      </c>
      <c r="G29" s="328">
        <f>IFERROR(INDEX(ref_data!$H:$H,MATCH("alb.ref.dv.cmt.dry.---",ref_data!$A:$A,0)),"—")</f>
        <v>0.17399999999999999</v>
      </c>
      <c r="H29" s="322" t="s">
        <v>813</v>
      </c>
    </row>
    <row r="30" spans="1:10" ht="15.75" customHeight="1" x14ac:dyDescent="0.25">
      <c r="A30" s="323" t="s">
        <v>814</v>
      </c>
      <c r="B30" s="329" t="s">
        <v>324</v>
      </c>
      <c r="C30" s="318">
        <f>IFERROR(INDEX(ref_data!$D:$D,MATCH("uzb.ref.dv.stl.scr.---",ref_data!$A:$A,0)),"—")</f>
        <v>0.68</v>
      </c>
      <c r="D30" s="318">
        <f>IFERROR(INDEX(ref_data!$E:$E,MATCH("uzb.ref.dv.stl.scr.---",ref_data!$A:$A,0)),"—")</f>
        <v>0</v>
      </c>
      <c r="E30" s="318">
        <f>IFERROR(INDEX(ref_data!$F:$F,MATCH("uzb.ref.dv.stl.scr.---",ref_data!$A:$A,0)),"—")</f>
        <v>0.68</v>
      </c>
      <c r="F30" s="318">
        <f>IFERROR(INDEX(ref_data!$G:$G,MATCH("uzb.ref.dv.stl.scr.---",ref_data!$A:$A,0)),"—")</f>
        <v>7.1999999999999995E-2</v>
      </c>
      <c r="G30" s="328">
        <f>IFERROR(INDEX(ref_data!$H:$H,MATCH("uzb.ref.dv.stl.scr.---",ref_data!$A:$A,0)),"—")</f>
        <v>0.60799999999999998</v>
      </c>
      <c r="H30" s="325" t="s">
        <v>815</v>
      </c>
    </row>
    <row r="31" spans="1:10" ht="15.75" customHeight="1" x14ac:dyDescent="0.25">
      <c r="A31" s="317"/>
      <c r="B31" s="327" t="s">
        <v>321</v>
      </c>
      <c r="C31" s="318">
        <f>IFERROR(INDEX(ref_data!$D:$D,MATCH("uzb.ref.dv.stl.drg.---",ref_data!$A:$A,0)),"—")</f>
        <v>1.35</v>
      </c>
      <c r="D31" s="318">
        <f>IFERROR(INDEX(ref_data!$E:$E,MATCH("uzb.ref.dv.stl.drg.---",ref_data!$A:$A,0)),"—")</f>
        <v>0</v>
      </c>
      <c r="E31" s="318">
        <f>IFERROR(INDEX(ref_data!$F:$F,MATCH("uzb.ref.dv.stl.drg.---",ref_data!$A:$A,0)),"—")</f>
        <v>1.35</v>
      </c>
      <c r="F31" s="318">
        <f>IFERROR(INDEX(ref_data!$G:$G,MATCH("uzb.ref.dv.stl.drg.---",ref_data!$A:$A,0)),"—")</f>
        <v>0.48099999999999998</v>
      </c>
      <c r="G31" s="328">
        <f>IFERROR(INDEX(ref_data!$H:$H,MATCH("uzb.ref.dv.stl.drg.---",ref_data!$A:$A,0)),"—")</f>
        <v>0.86899999999999999</v>
      </c>
      <c r="H31" s="322" t="s">
        <v>816</v>
      </c>
    </row>
    <row r="32" spans="1:10" ht="15.75" customHeight="1" x14ac:dyDescent="0.25">
      <c r="A32" s="324"/>
      <c r="B32" s="329" t="s">
        <v>326</v>
      </c>
      <c r="C32" s="318">
        <f>IFERROR(INDEX(ref_data!$D:$D,MATCH("uzb.ref.dv.cmt.dry.---",ref_data!$A:$A,0)),"—")</f>
        <v>0.82</v>
      </c>
      <c r="D32" s="318">
        <f>IFERROR(INDEX(ref_data!$E:$E,MATCH("uzb.ref.dv.cmt.dry.---",ref_data!$A:$A,0)),"—")</f>
        <v>0.11</v>
      </c>
      <c r="E32" s="318">
        <f>IFERROR(INDEX(ref_data!$F:$F,MATCH("uzb.ref.dv.cmt.dry.---",ref_data!$A:$A,0)),"—")</f>
        <v>0.93</v>
      </c>
      <c r="F32" s="318">
        <f>IFERROR(INDEX(ref_data!$G:$G,MATCH("uzb.ref.dv.cmt.dry.---",ref_data!$A:$A,0)),"—")</f>
        <v>0.66600000000000004</v>
      </c>
      <c r="G32" s="328">
        <f>IFERROR(INDEX(ref_data!$H:$H,MATCH("uzb.ref.dv.cmt.dry.---",ref_data!$A:$A,0)),"—")</f>
        <v>0.26400000000000001</v>
      </c>
      <c r="H32" s="325" t="s">
        <v>817</v>
      </c>
    </row>
    <row r="33" spans="1:8" ht="15.75" customHeight="1" x14ac:dyDescent="0.25">
      <c r="A33" s="317"/>
      <c r="B33" s="327" t="s">
        <v>329</v>
      </c>
      <c r="C33" s="318">
        <f>IFERROR(INDEX(ref_data!$D:$D,MATCH("uzb.ref.dv.frt.amc.---",ref_data!$A:$A,0)),"—")</f>
        <v>1.35</v>
      </c>
      <c r="D33" s="318">
        <f>IFERROR(INDEX(ref_data!$E:$E,MATCH("uzb.ref.dv.frt.amc.---",ref_data!$A:$A,0)),"—")</f>
        <v>0</v>
      </c>
      <c r="E33" s="318">
        <f>IFERROR(INDEX(ref_data!$F:$F,MATCH("uzb.ref.dv.frt.amc.---",ref_data!$A:$A,0)),"—")</f>
        <v>1.35</v>
      </c>
      <c r="F33" s="318">
        <f>IFERROR(INDEX(ref_data!$G:$G,MATCH("uzb.ref.dv.frt.amc.---",ref_data!$A:$A,0)),"—")</f>
        <v>1.522</v>
      </c>
      <c r="G33" s="328">
        <f>IFERROR(INDEX(ref_data!$H:$H,MATCH("uzb.ref.dv.frt.amc.---",ref_data!$A:$A,0)),"—")</f>
        <v>0</v>
      </c>
      <c r="H33" s="322" t="s">
        <v>818</v>
      </c>
    </row>
    <row r="34" spans="1:8" ht="15.75" customHeight="1" x14ac:dyDescent="0.25">
      <c r="A34" s="324"/>
      <c r="B34" s="329" t="s">
        <v>331</v>
      </c>
      <c r="C34" s="318">
        <f>IFERROR(INDEX(ref_data!$D:$D,MATCH("uzb.ref.dv.frt.ure.---",ref_data!$A:$A,0)),"—")</f>
        <v>1.35</v>
      </c>
      <c r="D34" s="318">
        <f>IFERROR(INDEX(ref_data!$E:$E,MATCH("uzb.ref.dv.frt.ure.---",ref_data!$A:$A,0)),"—")</f>
        <v>5.5E-2</v>
      </c>
      <c r="E34" s="318">
        <f>IFERROR(INDEX(ref_data!$F:$F,MATCH("uzb.ref.dv.frt.ure.---",ref_data!$A:$A,0)),"—")</f>
        <v>1.405</v>
      </c>
      <c r="F34" s="318">
        <f>IFERROR(INDEX(ref_data!$G:$G,MATCH("uzb.ref.dv.frt.ure.---",ref_data!$A:$A,0)),"—")</f>
        <v>0.90200000000000002</v>
      </c>
      <c r="G34" s="328">
        <f>IFERROR(INDEX(ref_data!$H:$H,MATCH("uzb.ref.dv.frt.ure.---",ref_data!$A:$A,0)),"—")</f>
        <v>0.503</v>
      </c>
      <c r="H34" s="325" t="s">
        <v>819</v>
      </c>
    </row>
    <row r="35" spans="1:8" ht="15.75" customHeight="1" x14ac:dyDescent="0.25">
      <c r="A35" s="317"/>
      <c r="B35" s="327" t="s">
        <v>332</v>
      </c>
      <c r="C35" s="318">
        <f>IFERROR(INDEX(ref_data!$D:$D,MATCH("uzb.ref.dv.frt.nit.---",ref_data!$A:$A,0)),"—")</f>
        <v>0.75</v>
      </c>
      <c r="D35" s="318">
        <f>IFERROR(INDEX(ref_data!$E:$E,MATCH("uzb.ref.dv.frt.nit.---",ref_data!$A:$A,0)),"—")</f>
        <v>5.5E-2</v>
      </c>
      <c r="E35" s="318">
        <f>IFERROR(INDEX(ref_data!$F:$F,MATCH("uzb.ref.dv.frt.nit.---",ref_data!$A:$A,0)),"—")</f>
        <v>0.80500000000000005</v>
      </c>
      <c r="F35" s="318">
        <f>IFERROR(INDEX(ref_data!$G:$G,MATCH("uzb.ref.dv.frt.nit.---",ref_data!$A:$A,0)),"—")</f>
        <v>0.30199999999999999</v>
      </c>
      <c r="G35" s="328">
        <f>IFERROR(INDEX(ref_data!$H:$H,MATCH("uzb.ref.dv.frt.nit.---",ref_data!$A:$A,0)),"—")</f>
        <v>0.503</v>
      </c>
      <c r="H35" s="322" t="s">
        <v>820</v>
      </c>
    </row>
    <row r="36" spans="1:8" ht="15.75" customHeight="1" x14ac:dyDescent="0.25">
      <c r="A36" s="323" t="s">
        <v>821</v>
      </c>
      <c r="B36" s="329" t="s">
        <v>324</v>
      </c>
      <c r="C36" s="318">
        <f>IFERROR(INDEX(ref_data!$D:$D,MATCH("aze.ref.dv.stl.scr.---",ref_data!$A:$A,0)),"—")</f>
        <v>0.6</v>
      </c>
      <c r="D36" s="318">
        <f>IFERROR(INDEX(ref_data!$E:$E,MATCH("aze.ref.dv.stl.scr.---",ref_data!$A:$A,0)),"—")</f>
        <v>0</v>
      </c>
      <c r="E36" s="318">
        <f>IFERROR(INDEX(ref_data!$F:$F,MATCH("aze.ref.dv.stl.scr.---",ref_data!$A:$A,0)),"—")</f>
        <v>0.6</v>
      </c>
      <c r="F36" s="318">
        <f>IFERROR(INDEX(ref_data!$G:$G,MATCH("aze.ref.dv.stl.scr.---",ref_data!$A:$A,0)),"—")</f>
        <v>7.1999999999999995E-2</v>
      </c>
      <c r="G36" s="328">
        <f>IFERROR(INDEX(ref_data!$H:$H,MATCH("aze.ref.dv.stl.scr.---",ref_data!$A:$A,0)),"—")</f>
        <v>0.52800000000000002</v>
      </c>
      <c r="H36" s="325" t="s">
        <v>822</v>
      </c>
    </row>
    <row r="37" spans="1:8" ht="15.75" customHeight="1" x14ac:dyDescent="0.25">
      <c r="A37" s="317"/>
      <c r="B37" s="327" t="s">
        <v>326</v>
      </c>
      <c r="C37" s="318">
        <f>IFERROR(INDEX(ref_data!$D:$D,MATCH("aze.ref.dv.cmt.dry.---",ref_data!$A:$A,0)),"—")</f>
        <v>0.8</v>
      </c>
      <c r="D37" s="318">
        <f>IFERROR(INDEX(ref_data!$E:$E,MATCH("aze.ref.dv.cmt.dry.---",ref_data!$A:$A,0)),"—")</f>
        <v>0.1</v>
      </c>
      <c r="E37" s="318">
        <f>IFERROR(INDEX(ref_data!$F:$F,MATCH("aze.ref.dv.cmt.dry.---",ref_data!$A:$A,0)),"—")</f>
        <v>0.9</v>
      </c>
      <c r="F37" s="318">
        <f>IFERROR(INDEX(ref_data!$G:$G,MATCH("aze.ref.dv.cmt.dry.---",ref_data!$A:$A,0)),"—")</f>
        <v>0.66600000000000004</v>
      </c>
      <c r="G37" s="328">
        <f>IFERROR(INDEX(ref_data!$H:$H,MATCH("aze.ref.dv.cmt.dry.---",ref_data!$A:$A,0)),"—")</f>
        <v>0.23400000000000001</v>
      </c>
      <c r="H37" s="322" t="s">
        <v>823</v>
      </c>
    </row>
    <row r="38" spans="1:8" ht="15.75" customHeight="1" x14ac:dyDescent="0.25">
      <c r="A38" s="324"/>
      <c r="B38" s="329" t="s">
        <v>329</v>
      </c>
      <c r="C38" s="318">
        <f>IFERROR(INDEX(ref_data!$D:$D,MATCH("aze.ref.dv.frt.amc.---",ref_data!$A:$A,0)),"—")</f>
        <v>1.3</v>
      </c>
      <c r="D38" s="318">
        <f>IFERROR(INDEX(ref_data!$E:$E,MATCH("aze.ref.dv.frt.amc.---",ref_data!$A:$A,0)),"—")</f>
        <v>0</v>
      </c>
      <c r="E38" s="318">
        <f>IFERROR(INDEX(ref_data!$F:$F,MATCH("aze.ref.dv.frt.amc.---",ref_data!$A:$A,0)),"—")</f>
        <v>1.3</v>
      </c>
      <c r="F38" s="318">
        <f>IFERROR(INDEX(ref_data!$G:$G,MATCH("aze.ref.dv.frt.amc.---",ref_data!$A:$A,0)),"—")</f>
        <v>1.522</v>
      </c>
      <c r="G38" s="328">
        <f>IFERROR(INDEX(ref_data!$H:$H,MATCH("aze.ref.dv.frt.amc.---",ref_data!$A:$A,0)),"—")</f>
        <v>0</v>
      </c>
      <c r="H38" s="325" t="s">
        <v>824</v>
      </c>
    </row>
    <row r="39" spans="1:8" ht="15.75" customHeight="1" x14ac:dyDescent="0.25">
      <c r="A39" s="317"/>
      <c r="B39" s="327" t="s">
        <v>331</v>
      </c>
      <c r="C39" s="318">
        <f>IFERROR(INDEX(ref_data!$D:$D,MATCH("aze.ref.dv.frt.ure.---",ref_data!$A:$A,0)),"—")</f>
        <v>1.3</v>
      </c>
      <c r="D39" s="318">
        <f>IFERROR(INDEX(ref_data!$E:$E,MATCH("aze.ref.dv.frt.ure.---",ref_data!$A:$A,0)),"—")</f>
        <v>0.05</v>
      </c>
      <c r="E39" s="318">
        <f>IFERROR(INDEX(ref_data!$F:$F,MATCH("aze.ref.dv.frt.ure.---",ref_data!$A:$A,0)),"—")</f>
        <v>1.35</v>
      </c>
      <c r="F39" s="318">
        <f>IFERROR(INDEX(ref_data!$G:$G,MATCH("aze.ref.dv.frt.ure.---",ref_data!$A:$A,0)),"—")</f>
        <v>0.90200000000000002</v>
      </c>
      <c r="G39" s="328">
        <f>IFERROR(INDEX(ref_data!$H:$H,MATCH("aze.ref.dv.frt.ure.---",ref_data!$A:$A,0)),"—")</f>
        <v>0.44800000000000001</v>
      </c>
      <c r="H39" s="322" t="s">
        <v>825</v>
      </c>
    </row>
    <row r="40" spans="1:8" ht="15.75" customHeight="1" x14ac:dyDescent="0.25">
      <c r="A40" s="323" t="s">
        <v>826</v>
      </c>
      <c r="B40" s="329" t="s">
        <v>321</v>
      </c>
      <c r="C40" s="318">
        <f>IFERROR(INDEX(ref_data!$D:$D,MATCH("ind.ref.dv.stl.drg.---",ref_data!$A:$A,0)),"—")</f>
        <v>2.5</v>
      </c>
      <c r="D40" s="318">
        <f>IFERROR(INDEX(ref_data!$E:$E,MATCH("ind.ref.dv.stl.drg.---",ref_data!$A:$A,0)),"—")</f>
        <v>0</v>
      </c>
      <c r="E40" s="318">
        <f>IFERROR(INDEX(ref_data!$F:$F,MATCH("ind.ref.dv.stl.drg.---",ref_data!$A:$A,0)),"—")</f>
        <v>2.5</v>
      </c>
      <c r="F40" s="318">
        <f>IFERROR(INDEX(ref_data!$G:$G,MATCH("ind.ref.dv.stl.drg.---",ref_data!$A:$A,0)),"—")</f>
        <v>0.48099999999999998</v>
      </c>
      <c r="G40" s="328">
        <f>IFERROR(INDEX(ref_data!$H:$H,MATCH("ind.ref.dv.stl.drg.---",ref_data!$A:$A,0)),"—")</f>
        <v>2.0190000000000001</v>
      </c>
      <c r="H40" s="325" t="s">
        <v>827</v>
      </c>
    </row>
    <row r="41" spans="1:8" ht="15.75" customHeight="1" x14ac:dyDescent="0.25">
      <c r="A41" s="317"/>
      <c r="B41" s="327" t="s">
        <v>324</v>
      </c>
      <c r="C41" s="318">
        <f>IFERROR(INDEX(ref_data!$D:$D,MATCH("ind.ref.dv.stl.scr.---",ref_data!$A:$A,0)),"—")</f>
        <v>1.2</v>
      </c>
      <c r="D41" s="318">
        <f>IFERROR(INDEX(ref_data!$E:$E,MATCH("ind.ref.dv.stl.scr.---",ref_data!$A:$A,0)),"—")</f>
        <v>0</v>
      </c>
      <c r="E41" s="318">
        <f>IFERROR(INDEX(ref_data!$F:$F,MATCH("ind.ref.dv.stl.scr.---",ref_data!$A:$A,0)),"—")</f>
        <v>1.2</v>
      </c>
      <c r="F41" s="318">
        <f>IFERROR(INDEX(ref_data!$G:$G,MATCH("ind.ref.dv.stl.scr.---",ref_data!$A:$A,0)),"—")</f>
        <v>7.1999999999999995E-2</v>
      </c>
      <c r="G41" s="328">
        <f>IFERROR(INDEX(ref_data!$H:$H,MATCH("ind.ref.dv.stl.scr.---",ref_data!$A:$A,0)),"—")</f>
        <v>1.1279999999999999</v>
      </c>
      <c r="H41" s="322" t="s">
        <v>828</v>
      </c>
    </row>
    <row r="42" spans="1:8" ht="15.75" customHeight="1" x14ac:dyDescent="0.25">
      <c r="A42" s="324"/>
      <c r="B42" s="329" t="s">
        <v>325</v>
      </c>
      <c r="C42" s="318">
        <f>IFERROR(INDEX(ref_data!$D:$D,MATCH("ind.ref.dv.stl.bof.---",ref_data!$A:$A,0)),"—")</f>
        <v>2.8</v>
      </c>
      <c r="D42" s="318">
        <f>IFERROR(INDEX(ref_data!$E:$E,MATCH("ind.ref.dv.stl.bof.---",ref_data!$A:$A,0)),"—")</f>
        <v>0</v>
      </c>
      <c r="E42" s="318">
        <f>IFERROR(INDEX(ref_data!$F:$F,MATCH("ind.ref.dv.stl.bof.---",ref_data!$A:$A,0)),"—")</f>
        <v>2.8</v>
      </c>
      <c r="F42" s="318">
        <f>IFERROR(INDEX(ref_data!$G:$G,MATCH("ind.ref.dv.stl.bof.---",ref_data!$A:$A,0)),"—")</f>
        <v>1.37</v>
      </c>
      <c r="G42" s="328">
        <f>IFERROR(INDEX(ref_data!$H:$H,MATCH("ind.ref.dv.stl.bof.---",ref_data!$A:$A,0)),"—")</f>
        <v>1.43</v>
      </c>
      <c r="H42" s="325" t="s">
        <v>829</v>
      </c>
    </row>
    <row r="43" spans="1:8" ht="15.75" customHeight="1" x14ac:dyDescent="0.25">
      <c r="A43" s="317"/>
      <c r="B43" s="327" t="s">
        <v>326</v>
      </c>
      <c r="C43" s="318">
        <f>IFERROR(INDEX(ref_data!$D:$D,MATCH("ind.ref.dv.cmt.dry.---",ref_data!$A:$A,0)),"—")</f>
        <v>0.88</v>
      </c>
      <c r="D43" s="318">
        <f>IFERROR(INDEX(ref_data!$E:$E,MATCH("ind.ref.dv.cmt.dry.---",ref_data!$A:$A,0)),"—")</f>
        <v>0.12</v>
      </c>
      <c r="E43" s="318">
        <f>IFERROR(INDEX(ref_data!$F:$F,MATCH("ind.ref.dv.cmt.dry.---",ref_data!$A:$A,0)),"—")</f>
        <v>1</v>
      </c>
      <c r="F43" s="318">
        <f>IFERROR(INDEX(ref_data!$G:$G,MATCH("ind.ref.dv.cmt.dry.---",ref_data!$A:$A,0)),"—")</f>
        <v>0.66600000000000004</v>
      </c>
      <c r="G43" s="328">
        <f>IFERROR(INDEX(ref_data!$H:$H,MATCH("ind.ref.dv.cmt.dry.---",ref_data!$A:$A,0)),"—")</f>
        <v>0.33400000000000002</v>
      </c>
      <c r="H43" s="322" t="s">
        <v>830</v>
      </c>
    </row>
    <row r="44" spans="1:8" ht="15.75" customHeight="1" x14ac:dyDescent="0.25">
      <c r="A44" s="324"/>
      <c r="B44" s="329" t="s">
        <v>329</v>
      </c>
      <c r="C44" s="318">
        <f>IFERROR(INDEX(ref_data!$D:$D,MATCH("ind.ref.dv.frt.amc.---",ref_data!$A:$A,0)),"—")</f>
        <v>1.8</v>
      </c>
      <c r="D44" s="318">
        <f>IFERROR(INDEX(ref_data!$E:$E,MATCH("ind.ref.dv.frt.amc.---",ref_data!$A:$A,0)),"—")</f>
        <v>0</v>
      </c>
      <c r="E44" s="318">
        <f>IFERROR(INDEX(ref_data!$F:$F,MATCH("ind.ref.dv.frt.amc.---",ref_data!$A:$A,0)),"—")</f>
        <v>1.8</v>
      </c>
      <c r="F44" s="318">
        <f>IFERROR(INDEX(ref_data!$G:$G,MATCH("ind.ref.dv.frt.amc.---",ref_data!$A:$A,0)),"—")</f>
        <v>1.522</v>
      </c>
      <c r="G44" s="328">
        <f>IFERROR(INDEX(ref_data!$H:$H,MATCH("ind.ref.dv.frt.amc.---",ref_data!$A:$A,0)),"—")</f>
        <v>0.27800000000000002</v>
      </c>
      <c r="H44" s="325" t="s">
        <v>831</v>
      </c>
    </row>
    <row r="45" spans="1:8" ht="15.75" customHeight="1" x14ac:dyDescent="0.25">
      <c r="A45" s="317"/>
      <c r="B45" s="327" t="s">
        <v>331</v>
      </c>
      <c r="C45" s="318">
        <f>IFERROR(INDEX(ref_data!$D:$D,MATCH("ind.ref.dv.frt.ure.---",ref_data!$A:$A,0)),"—")</f>
        <v>1.8</v>
      </c>
      <c r="D45" s="318">
        <f>IFERROR(INDEX(ref_data!$E:$E,MATCH("ind.ref.dv.frt.ure.---",ref_data!$A:$A,0)),"—")</f>
        <v>7.0000000000000007E-2</v>
      </c>
      <c r="E45" s="318">
        <f>IFERROR(INDEX(ref_data!$F:$F,MATCH("ind.ref.dv.frt.ure.---",ref_data!$A:$A,0)),"—")</f>
        <v>1.87</v>
      </c>
      <c r="F45" s="318">
        <f>IFERROR(INDEX(ref_data!$G:$G,MATCH("ind.ref.dv.frt.ure.---",ref_data!$A:$A,0)),"—")</f>
        <v>0.90200000000000002</v>
      </c>
      <c r="G45" s="328">
        <f>IFERROR(INDEX(ref_data!$H:$H,MATCH("ind.ref.dv.frt.ure.---",ref_data!$A:$A,0)),"—")</f>
        <v>0.96799999999999997</v>
      </c>
      <c r="H45" s="322" t="s">
        <v>832</v>
      </c>
    </row>
    <row r="46" spans="1:8" ht="15.75" customHeight="1" x14ac:dyDescent="0.25">
      <c r="A46" s="324"/>
      <c r="B46" s="329" t="s">
        <v>332</v>
      </c>
      <c r="C46" s="318">
        <f>IFERROR(INDEX(ref_data!$D:$D,MATCH("ind.ref.dv.frt.nit.---",ref_data!$A:$A,0)),"—")</f>
        <v>0.9</v>
      </c>
      <c r="D46" s="318">
        <f>IFERROR(INDEX(ref_data!$E:$E,MATCH("ind.ref.dv.frt.nit.---",ref_data!$A:$A,0)),"—")</f>
        <v>7.0000000000000007E-2</v>
      </c>
      <c r="E46" s="318">
        <f>IFERROR(INDEX(ref_data!$F:$F,MATCH("ind.ref.dv.frt.nit.---",ref_data!$A:$A,0)),"—")</f>
        <v>0.97</v>
      </c>
      <c r="F46" s="318">
        <f>IFERROR(INDEX(ref_data!$G:$G,MATCH("ind.ref.dv.frt.nit.---",ref_data!$A:$A,0)),"—")</f>
        <v>0.30199999999999999</v>
      </c>
      <c r="G46" s="328">
        <f>IFERROR(INDEX(ref_data!$H:$H,MATCH("ind.ref.dv.frt.nit.---",ref_data!$A:$A,0)),"—")</f>
        <v>0.66800000000000004</v>
      </c>
      <c r="H46" s="325" t="s">
        <v>833</v>
      </c>
    </row>
    <row r="47" spans="1:8" ht="15.75" customHeight="1" x14ac:dyDescent="0.25">
      <c r="A47" s="317"/>
      <c r="B47" s="327" t="s">
        <v>333</v>
      </c>
      <c r="C47" s="318">
        <f>IFERROR(INDEX(ref_data!$D:$D,MATCH("ind.ref.dv.alu.prp.---",ref_data!$A:$A,0)),"—")</f>
        <v>3.5</v>
      </c>
      <c r="D47" s="318">
        <f>IFERROR(INDEX(ref_data!$E:$E,MATCH("ind.ref.dv.alu.prp.---",ref_data!$A:$A,0)),"—")</f>
        <v>0</v>
      </c>
      <c r="E47" s="318">
        <f>IFERROR(INDEX(ref_data!$F:$F,MATCH("ind.ref.dv.alu.prp.---",ref_data!$A:$A,0)),"—")</f>
        <v>3.5</v>
      </c>
      <c r="F47" s="318">
        <f>IFERROR(INDEX(ref_data!$G:$G,MATCH("ind.ref.dv.alu.prp.---",ref_data!$A:$A,0)),"—")</f>
        <v>1.423</v>
      </c>
      <c r="G47" s="328">
        <f>IFERROR(INDEX(ref_data!$H:$H,MATCH("ind.ref.dv.alu.prp.---",ref_data!$A:$A,0)),"—")</f>
        <v>2.077</v>
      </c>
      <c r="H47" s="322" t="s">
        <v>834</v>
      </c>
    </row>
    <row r="49" spans="1:10" ht="15.75" customHeight="1" x14ac:dyDescent="0.25">
      <c r="A49" s="330" t="s">
        <v>835</v>
      </c>
    </row>
    <row r="50" spans="1:10" ht="55.5" customHeight="1" x14ac:dyDescent="0.25">
      <c r="A50" s="331" t="s">
        <v>836</v>
      </c>
      <c r="B50" s="332" t="s">
        <v>837</v>
      </c>
    </row>
    <row r="51" spans="1:10" ht="55.5" customHeight="1" x14ac:dyDescent="0.25">
      <c r="A51" s="331" t="s">
        <v>838</v>
      </c>
      <c r="B51" s="332" t="s">
        <v>839</v>
      </c>
    </row>
    <row r="52" spans="1:10" ht="55.5" customHeight="1" x14ac:dyDescent="0.25">
      <c r="A52" s="331" t="s">
        <v>840</v>
      </c>
      <c r="B52" s="332" t="s">
        <v>841</v>
      </c>
    </row>
    <row r="53" spans="1:10" ht="55.5" customHeight="1" x14ac:dyDescent="0.25">
      <c r="A53" s="331" t="s">
        <v>842</v>
      </c>
      <c r="B53" s="332" t="s">
        <v>843</v>
      </c>
    </row>
    <row r="54" spans="1:10" ht="69.75" customHeight="1" x14ac:dyDescent="0.25">
      <c r="A54" s="331" t="s">
        <v>844</v>
      </c>
      <c r="B54" s="332" t="s">
        <v>845</v>
      </c>
    </row>
    <row r="56" spans="1:10" ht="21.75" customHeight="1" x14ac:dyDescent="0.25">
      <c r="A56" s="449" t="s">
        <v>846</v>
      </c>
      <c r="B56" s="449"/>
      <c r="C56" s="449"/>
      <c r="D56" s="449"/>
      <c r="E56" s="449"/>
      <c r="F56" s="449"/>
      <c r="G56" s="449"/>
      <c r="H56" s="449"/>
      <c r="I56" s="449"/>
      <c r="J56" s="449"/>
    </row>
    <row r="57" spans="1:10" ht="42" customHeight="1" x14ac:dyDescent="0.25">
      <c r="A57" s="450" t="s">
        <v>847</v>
      </c>
      <c r="B57" s="450"/>
      <c r="C57" s="450"/>
      <c r="D57" s="450"/>
      <c r="E57" s="450"/>
      <c r="F57" s="450"/>
      <c r="G57" s="450"/>
      <c r="H57" s="450"/>
      <c r="I57" s="450"/>
      <c r="J57" s="450"/>
    </row>
    <row r="58" spans="1:10" ht="15.75" customHeight="1" x14ac:dyDescent="0.25">
      <c r="A58" s="451" t="s">
        <v>848</v>
      </c>
      <c r="B58" s="451"/>
      <c r="C58" s="451"/>
      <c r="D58" s="451"/>
      <c r="E58" s="451"/>
      <c r="F58" s="451"/>
      <c r="G58" s="451"/>
      <c r="H58" s="451"/>
      <c r="I58" s="451"/>
      <c r="J58" s="451"/>
    </row>
    <row r="59" spans="1:10" ht="19.5" customHeight="1" x14ac:dyDescent="0.25">
      <c r="A59" s="315" t="s">
        <v>849</v>
      </c>
      <c r="B59" s="315" t="s">
        <v>850</v>
      </c>
      <c r="C59" s="315" t="s">
        <v>851</v>
      </c>
      <c r="D59" s="315" t="s">
        <v>852</v>
      </c>
    </row>
    <row r="60" spans="1:10" ht="27.75" customHeight="1" x14ac:dyDescent="0.25">
      <c r="A60" s="316" t="s">
        <v>853</v>
      </c>
      <c r="B60" s="317" t="s">
        <v>854</v>
      </c>
      <c r="C60" s="333" t="s">
        <v>855</v>
      </c>
      <c r="D60" s="322" t="s">
        <v>856</v>
      </c>
    </row>
    <row r="61" spans="1:10" ht="27.75" customHeight="1" x14ac:dyDescent="0.25">
      <c r="A61" s="323" t="s">
        <v>857</v>
      </c>
      <c r="B61" s="324" t="s">
        <v>858</v>
      </c>
      <c r="C61" s="333" t="s">
        <v>859</v>
      </c>
      <c r="D61" s="325" t="s">
        <v>860</v>
      </c>
    </row>
    <row r="63" spans="1:10" ht="15.75" customHeight="1" x14ac:dyDescent="0.25">
      <c r="A63" s="330" t="s">
        <v>861</v>
      </c>
    </row>
    <row r="64" spans="1:10" ht="36" customHeight="1" x14ac:dyDescent="0.25">
      <c r="A64" s="315" t="s">
        <v>862</v>
      </c>
      <c r="B64" s="315" t="s">
        <v>863</v>
      </c>
      <c r="C64" s="315" t="s">
        <v>354</v>
      </c>
      <c r="D64" s="315" t="s">
        <v>864</v>
      </c>
      <c r="E64" s="315" t="s">
        <v>865</v>
      </c>
      <c r="F64" s="315" t="s">
        <v>866</v>
      </c>
      <c r="G64" s="315" t="s">
        <v>645</v>
      </c>
    </row>
    <row r="65" spans="1:7" ht="15.75" customHeight="1" x14ac:dyDescent="0.25">
      <c r="A65" s="334" t="s">
        <v>867</v>
      </c>
      <c r="B65" s="317" t="s">
        <v>868</v>
      </c>
      <c r="C65" s="317" t="s">
        <v>869</v>
      </c>
      <c r="D65" s="318">
        <v>0.66600000000000004</v>
      </c>
      <c r="E65" s="318">
        <v>0.66600000000000004</v>
      </c>
      <c r="F65" s="327" t="s">
        <v>326</v>
      </c>
      <c r="G65" s="322" t="s">
        <v>870</v>
      </c>
    </row>
    <row r="66" spans="1:7" ht="15.75" customHeight="1" x14ac:dyDescent="0.25">
      <c r="A66" s="335" t="s">
        <v>867</v>
      </c>
      <c r="B66" s="324" t="s">
        <v>871</v>
      </c>
      <c r="C66" s="324" t="s">
        <v>872</v>
      </c>
      <c r="D66" s="318">
        <v>0.85899999999999999</v>
      </c>
      <c r="E66" s="318">
        <v>0.85899999999999999</v>
      </c>
      <c r="F66" s="329" t="s">
        <v>755</v>
      </c>
      <c r="G66" s="325" t="s">
        <v>873</v>
      </c>
    </row>
    <row r="67" spans="1:7" ht="15.75" customHeight="1" x14ac:dyDescent="0.25">
      <c r="A67" s="334" t="s">
        <v>874</v>
      </c>
      <c r="B67" s="317" t="s">
        <v>875</v>
      </c>
      <c r="C67" s="317" t="s">
        <v>869</v>
      </c>
      <c r="D67" s="318">
        <v>0.66600000000000004</v>
      </c>
      <c r="E67" s="318">
        <v>0.66600000000000004</v>
      </c>
      <c r="F67" s="327" t="s">
        <v>876</v>
      </c>
      <c r="G67" s="322"/>
    </row>
    <row r="68" spans="1:7" ht="15.75" customHeight="1" x14ac:dyDescent="0.25">
      <c r="A68" s="335" t="s">
        <v>877</v>
      </c>
      <c r="B68" s="324" t="s">
        <v>878</v>
      </c>
      <c r="C68" s="324" t="s">
        <v>879</v>
      </c>
      <c r="D68" s="318">
        <v>1.37</v>
      </c>
      <c r="E68" s="318">
        <v>1.37</v>
      </c>
      <c r="F68" s="329" t="s">
        <v>325</v>
      </c>
      <c r="G68" s="325" t="s">
        <v>880</v>
      </c>
    </row>
    <row r="69" spans="1:7" ht="15.75" customHeight="1" x14ac:dyDescent="0.25">
      <c r="A69" s="334" t="s">
        <v>877</v>
      </c>
      <c r="B69" s="317" t="s">
        <v>881</v>
      </c>
      <c r="C69" s="317" t="s">
        <v>882</v>
      </c>
      <c r="D69" s="318">
        <v>0.48099999999999998</v>
      </c>
      <c r="E69" s="318">
        <v>0.48099999999999998</v>
      </c>
      <c r="F69" s="327" t="s">
        <v>321</v>
      </c>
      <c r="G69" s="322" t="s">
        <v>883</v>
      </c>
    </row>
    <row r="70" spans="1:7" ht="15.75" customHeight="1" x14ac:dyDescent="0.25">
      <c r="A70" s="335" t="s">
        <v>877</v>
      </c>
      <c r="B70" s="324" t="s">
        <v>884</v>
      </c>
      <c r="C70" s="324" t="s">
        <v>885</v>
      </c>
      <c r="D70" s="318">
        <v>7.1999999999999995E-2</v>
      </c>
      <c r="E70" s="318">
        <v>7.1999999999999995E-2</v>
      </c>
      <c r="F70" s="329" t="s">
        <v>324</v>
      </c>
      <c r="G70" s="325" t="s">
        <v>886</v>
      </c>
    </row>
    <row r="71" spans="1:7" ht="15.75" customHeight="1" x14ac:dyDescent="0.25">
      <c r="A71" s="334" t="s">
        <v>887</v>
      </c>
      <c r="B71" s="317" t="s">
        <v>888</v>
      </c>
      <c r="C71" s="317" t="s">
        <v>879</v>
      </c>
      <c r="D71" s="318">
        <v>1.37</v>
      </c>
      <c r="E71" s="318">
        <v>1.37</v>
      </c>
      <c r="F71" s="327" t="s">
        <v>325</v>
      </c>
      <c r="G71" s="322"/>
    </row>
    <row r="72" spans="1:7" ht="15.75" customHeight="1" x14ac:dyDescent="0.25">
      <c r="A72" s="335" t="s">
        <v>887</v>
      </c>
      <c r="B72" s="324" t="s">
        <v>889</v>
      </c>
      <c r="C72" s="324" t="s">
        <v>882</v>
      </c>
      <c r="D72" s="318">
        <v>0.48099999999999998</v>
      </c>
      <c r="E72" s="318">
        <v>0.48099999999999998</v>
      </c>
      <c r="F72" s="329" t="s">
        <v>321</v>
      </c>
      <c r="G72" s="325"/>
    </row>
    <row r="73" spans="1:7" ht="15.75" customHeight="1" x14ac:dyDescent="0.25">
      <c r="A73" s="334" t="s">
        <v>887</v>
      </c>
      <c r="B73" s="317" t="s">
        <v>890</v>
      </c>
      <c r="C73" s="317" t="s">
        <v>885</v>
      </c>
      <c r="D73" s="318">
        <v>7.1999999999999995E-2</v>
      </c>
      <c r="E73" s="318">
        <v>7.1999999999999995E-2</v>
      </c>
      <c r="F73" s="327" t="s">
        <v>324</v>
      </c>
      <c r="G73" s="322"/>
    </row>
    <row r="74" spans="1:7" ht="15.75" customHeight="1" x14ac:dyDescent="0.25">
      <c r="A74" s="335" t="s">
        <v>891</v>
      </c>
      <c r="B74" s="324" t="s">
        <v>892</v>
      </c>
      <c r="C74" s="324" t="s">
        <v>755</v>
      </c>
      <c r="D74" s="318">
        <v>1.9</v>
      </c>
      <c r="E74" s="318">
        <v>1.9</v>
      </c>
      <c r="F74" s="329" t="s">
        <v>893</v>
      </c>
      <c r="G74" s="325" t="s">
        <v>894</v>
      </c>
    </row>
    <row r="75" spans="1:7" ht="15.75" customHeight="1" x14ac:dyDescent="0.25">
      <c r="A75" s="334" t="s">
        <v>895</v>
      </c>
      <c r="B75" s="317" t="s">
        <v>896</v>
      </c>
      <c r="C75" s="317" t="s">
        <v>755</v>
      </c>
      <c r="D75" s="318">
        <v>1.44</v>
      </c>
      <c r="E75" s="318">
        <v>1.44</v>
      </c>
      <c r="F75" s="327" t="s">
        <v>893</v>
      </c>
      <c r="G75" s="322"/>
    </row>
    <row r="76" spans="1:7" ht="15.75" customHeight="1" x14ac:dyDescent="0.25">
      <c r="A76" s="335" t="s">
        <v>897</v>
      </c>
      <c r="B76" s="324" t="s">
        <v>898</v>
      </c>
      <c r="C76" s="324" t="s">
        <v>755</v>
      </c>
      <c r="D76" s="318">
        <v>3</v>
      </c>
      <c r="E76" s="318">
        <v>3</v>
      </c>
      <c r="F76" s="329" t="s">
        <v>893</v>
      </c>
      <c r="G76" s="325" t="s">
        <v>899</v>
      </c>
    </row>
    <row r="77" spans="1:7" ht="15.75" customHeight="1" x14ac:dyDescent="0.25">
      <c r="A77" s="334" t="s">
        <v>900</v>
      </c>
      <c r="B77" s="317" t="s">
        <v>901</v>
      </c>
      <c r="C77" s="317" t="s">
        <v>755</v>
      </c>
      <c r="D77" s="318">
        <v>5.5</v>
      </c>
      <c r="E77" s="318">
        <v>5.5</v>
      </c>
      <c r="F77" s="327" t="s">
        <v>893</v>
      </c>
      <c r="G77" s="322" t="s">
        <v>902</v>
      </c>
    </row>
    <row r="78" spans="1:7" ht="15.75" customHeight="1" x14ac:dyDescent="0.25">
      <c r="A78" s="335" t="s">
        <v>903</v>
      </c>
      <c r="B78" s="324" t="s">
        <v>904</v>
      </c>
      <c r="C78" s="324" t="s">
        <v>755</v>
      </c>
      <c r="D78" s="318">
        <v>0.48099999999999998</v>
      </c>
      <c r="E78" s="318">
        <v>0.48099999999999998</v>
      </c>
      <c r="F78" s="329" t="s">
        <v>905</v>
      </c>
      <c r="G78" s="325" t="s">
        <v>906</v>
      </c>
    </row>
    <row r="79" spans="1:7" ht="15.75" customHeight="1" x14ac:dyDescent="0.25">
      <c r="A79" s="334" t="s">
        <v>257</v>
      </c>
      <c r="B79" s="317" t="s">
        <v>907</v>
      </c>
      <c r="C79" s="317" t="s">
        <v>755</v>
      </c>
      <c r="D79" s="318">
        <v>1.522</v>
      </c>
      <c r="E79" s="318">
        <v>1.522</v>
      </c>
      <c r="F79" s="327" t="s">
        <v>329</v>
      </c>
      <c r="G79" s="322" t="s">
        <v>908</v>
      </c>
    </row>
    <row r="80" spans="1:7" ht="15.75" customHeight="1" x14ac:dyDescent="0.25">
      <c r="A80" s="335" t="s">
        <v>258</v>
      </c>
      <c r="B80" s="324" t="s">
        <v>909</v>
      </c>
      <c r="C80" s="324" t="s">
        <v>755</v>
      </c>
      <c r="D80" s="318">
        <v>5.2999999999999999E-2</v>
      </c>
      <c r="E80" s="318">
        <v>0.90200000000000002</v>
      </c>
      <c r="F80" s="329" t="s">
        <v>331</v>
      </c>
      <c r="G80" s="325" t="s">
        <v>910</v>
      </c>
    </row>
    <row r="81" spans="1:10" ht="15.75" customHeight="1" x14ac:dyDescent="0.25">
      <c r="A81" s="334" t="s">
        <v>259</v>
      </c>
      <c r="B81" s="317" t="s">
        <v>289</v>
      </c>
      <c r="C81" s="317" t="s">
        <v>755</v>
      </c>
      <c r="D81" s="318">
        <v>0.30199999999999999</v>
      </c>
      <c r="E81" s="318">
        <v>0.30199999999999999</v>
      </c>
      <c r="F81" s="327" t="s">
        <v>332</v>
      </c>
      <c r="G81" s="322"/>
    </row>
    <row r="82" spans="1:10" ht="15.75" customHeight="1" x14ac:dyDescent="0.25">
      <c r="A82" s="335" t="s">
        <v>911</v>
      </c>
      <c r="B82" s="324" t="s">
        <v>912</v>
      </c>
      <c r="C82" s="324" t="s">
        <v>755</v>
      </c>
      <c r="D82" s="318">
        <v>0.4</v>
      </c>
      <c r="E82" s="318">
        <v>0.46</v>
      </c>
      <c r="F82" s="329" t="s">
        <v>913</v>
      </c>
      <c r="G82" s="325" t="s">
        <v>914</v>
      </c>
    </row>
    <row r="83" spans="1:10" ht="15.75" customHeight="1" x14ac:dyDescent="0.25">
      <c r="A83" s="334" t="s">
        <v>915</v>
      </c>
      <c r="B83" s="317" t="s">
        <v>916</v>
      </c>
      <c r="C83" s="317" t="s">
        <v>755</v>
      </c>
      <c r="D83" s="318">
        <v>0.84</v>
      </c>
      <c r="E83" s="318">
        <v>0.9</v>
      </c>
      <c r="F83" s="327" t="s">
        <v>913</v>
      </c>
      <c r="G83" s="322" t="s">
        <v>917</v>
      </c>
    </row>
    <row r="84" spans="1:10" ht="15.75" customHeight="1" x14ac:dyDescent="0.25">
      <c r="A84" s="335" t="s">
        <v>918</v>
      </c>
      <c r="B84" s="324" t="s">
        <v>919</v>
      </c>
      <c r="C84" s="324" t="s">
        <v>920</v>
      </c>
      <c r="D84" s="318">
        <v>1.423</v>
      </c>
      <c r="E84" s="318">
        <v>1.423</v>
      </c>
      <c r="F84" s="329" t="s">
        <v>333</v>
      </c>
      <c r="G84" s="325" t="s">
        <v>921</v>
      </c>
    </row>
    <row r="85" spans="1:10" ht="15.75" customHeight="1" x14ac:dyDescent="0.25">
      <c r="A85" s="334" t="s">
        <v>922</v>
      </c>
      <c r="B85" s="317" t="s">
        <v>923</v>
      </c>
      <c r="C85" s="317" t="s">
        <v>924</v>
      </c>
      <c r="D85" s="318">
        <v>9.0999999999999998E-2</v>
      </c>
      <c r="E85" s="318">
        <v>9.0999999999999998E-2</v>
      </c>
      <c r="F85" s="327" t="s">
        <v>755</v>
      </c>
      <c r="G85" s="322" t="s">
        <v>925</v>
      </c>
    </row>
    <row r="86" spans="1:10" ht="15.75" customHeight="1" x14ac:dyDescent="0.25">
      <c r="A86" s="335" t="s">
        <v>926</v>
      </c>
      <c r="B86" s="324" t="s">
        <v>927</v>
      </c>
      <c r="C86" s="324" t="s">
        <v>920</v>
      </c>
      <c r="D86" s="318">
        <v>1.4790000000000001</v>
      </c>
      <c r="E86" s="318">
        <v>1.4790000000000001</v>
      </c>
      <c r="F86" s="329" t="s">
        <v>928</v>
      </c>
      <c r="G86" s="325" t="s">
        <v>929</v>
      </c>
    </row>
    <row r="87" spans="1:10" ht="15.75" customHeight="1" x14ac:dyDescent="0.25">
      <c r="A87" s="334" t="s">
        <v>930</v>
      </c>
      <c r="B87" s="317" t="s">
        <v>931</v>
      </c>
      <c r="C87" s="317" t="s">
        <v>755</v>
      </c>
      <c r="D87" s="318">
        <v>0</v>
      </c>
      <c r="E87" s="318">
        <v>0</v>
      </c>
      <c r="F87" s="327" t="s">
        <v>755</v>
      </c>
      <c r="G87" s="322" t="s">
        <v>932</v>
      </c>
    </row>
    <row r="89" spans="1:10" ht="15.75" customHeight="1" x14ac:dyDescent="0.25">
      <c r="A89" s="451" t="s">
        <v>933</v>
      </c>
      <c r="B89" s="451"/>
      <c r="C89" s="451"/>
      <c r="D89" s="451"/>
      <c r="E89" s="451"/>
      <c r="F89" s="451"/>
      <c r="G89" s="451"/>
      <c r="H89" s="451"/>
      <c r="I89" s="451"/>
      <c r="J89" s="451"/>
    </row>
    <row r="90" spans="1:10" ht="39.75" customHeight="1" x14ac:dyDescent="0.25">
      <c r="A90" s="450" t="s">
        <v>934</v>
      </c>
      <c r="B90" s="450"/>
      <c r="C90" s="450"/>
      <c r="D90" s="450"/>
      <c r="E90" s="450"/>
      <c r="F90" s="450"/>
      <c r="G90" s="450"/>
      <c r="H90" s="450"/>
      <c r="I90" s="450"/>
      <c r="J90" s="450"/>
    </row>
    <row r="91" spans="1:10" ht="19.5" customHeight="1" x14ac:dyDescent="0.25">
      <c r="A91" s="315" t="s">
        <v>935</v>
      </c>
      <c r="B91" s="315" t="s">
        <v>138</v>
      </c>
      <c r="C91" s="315" t="s">
        <v>936</v>
      </c>
      <c r="D91" s="315" t="s">
        <v>937</v>
      </c>
    </row>
    <row r="92" spans="1:10" ht="15.75" customHeight="1" x14ac:dyDescent="0.25">
      <c r="A92" s="336">
        <v>2026</v>
      </c>
      <c r="B92" s="337">
        <v>2.5000000000000001E-2</v>
      </c>
      <c r="C92" s="337">
        <v>0.97499999999999998</v>
      </c>
      <c r="D92" s="337">
        <v>2.5000000000000001E-2</v>
      </c>
    </row>
    <row r="93" spans="1:10" ht="15.75" customHeight="1" x14ac:dyDescent="0.25">
      <c r="A93" s="336">
        <v>2027</v>
      </c>
      <c r="B93" s="337">
        <v>0.05</v>
      </c>
      <c r="C93" s="337">
        <v>0.95</v>
      </c>
      <c r="D93" s="337">
        <v>0.05</v>
      </c>
    </row>
    <row r="94" spans="1:10" ht="15.75" customHeight="1" x14ac:dyDescent="0.25">
      <c r="A94" s="338">
        <v>2028</v>
      </c>
      <c r="B94" s="339">
        <v>0.1</v>
      </c>
      <c r="C94" s="339">
        <v>0.9</v>
      </c>
      <c r="D94" s="339">
        <v>0.1</v>
      </c>
    </row>
    <row r="95" spans="1:10" ht="15.75" customHeight="1" x14ac:dyDescent="0.25">
      <c r="A95" s="338">
        <v>2029</v>
      </c>
      <c r="B95" s="339">
        <v>0.22500000000000001</v>
      </c>
      <c r="C95" s="339">
        <v>0.77500000000000002</v>
      </c>
      <c r="D95" s="339">
        <v>0.22500000000000001</v>
      </c>
    </row>
    <row r="96" spans="1:10" ht="15.75" customHeight="1" x14ac:dyDescent="0.25">
      <c r="A96" s="340">
        <v>2030</v>
      </c>
      <c r="B96" s="341">
        <v>0.48499999999999999</v>
      </c>
      <c r="C96" s="341">
        <v>0.51500000000000001</v>
      </c>
      <c r="D96" s="341">
        <v>0.48499999999999999</v>
      </c>
    </row>
    <row r="97" spans="1:10" ht="15.75" customHeight="1" x14ac:dyDescent="0.25">
      <c r="A97" s="340">
        <v>2031</v>
      </c>
      <c r="B97" s="341">
        <v>0.61</v>
      </c>
      <c r="C97" s="341">
        <v>0.39</v>
      </c>
      <c r="D97" s="341">
        <v>0.61</v>
      </c>
    </row>
    <row r="98" spans="1:10" ht="15.75" customHeight="1" x14ac:dyDescent="0.25">
      <c r="A98" s="340">
        <v>2032</v>
      </c>
      <c r="B98" s="341">
        <v>0.73499999999999999</v>
      </c>
      <c r="C98" s="341">
        <v>0.26500000000000001</v>
      </c>
      <c r="D98" s="341">
        <v>0.73499999999999999</v>
      </c>
    </row>
    <row r="99" spans="1:10" ht="15.75" customHeight="1" x14ac:dyDescent="0.25">
      <c r="A99" s="340">
        <v>2033</v>
      </c>
      <c r="B99" s="341">
        <v>0.86</v>
      </c>
      <c r="C99" s="341">
        <v>0.14000000000000001</v>
      </c>
      <c r="D99" s="341">
        <v>0.86</v>
      </c>
    </row>
    <row r="100" spans="1:10" ht="15.75" customHeight="1" x14ac:dyDescent="0.25">
      <c r="A100" s="340">
        <v>2034</v>
      </c>
      <c r="B100" s="341">
        <v>1</v>
      </c>
      <c r="C100" s="341">
        <v>0</v>
      </c>
      <c r="D100" s="341">
        <v>1</v>
      </c>
    </row>
    <row r="102" spans="1:10" ht="21.75" customHeight="1" x14ac:dyDescent="0.25">
      <c r="A102" s="449" t="s">
        <v>938</v>
      </c>
      <c r="B102" s="449"/>
      <c r="C102" s="449"/>
      <c r="D102" s="449"/>
      <c r="E102" s="449"/>
      <c r="F102" s="449"/>
      <c r="G102" s="449"/>
      <c r="H102" s="449"/>
      <c r="I102" s="449"/>
      <c r="J102" s="449"/>
    </row>
    <row r="103" spans="1:10" ht="90.75" customHeight="1" x14ac:dyDescent="0.25">
      <c r="A103" s="331" t="s">
        <v>939</v>
      </c>
      <c r="B103" s="332" t="s">
        <v>940</v>
      </c>
    </row>
    <row r="104" spans="1:10" ht="64.5" customHeight="1" x14ac:dyDescent="0.25">
      <c r="A104" s="331" t="s">
        <v>941</v>
      </c>
      <c r="B104" s="332" t="s">
        <v>942</v>
      </c>
    </row>
    <row r="105" spans="1:10" ht="64.5" customHeight="1" x14ac:dyDescent="0.25">
      <c r="A105" s="331" t="s">
        <v>943</v>
      </c>
      <c r="B105" s="332" t="s">
        <v>944</v>
      </c>
    </row>
    <row r="106" spans="1:10" ht="78" customHeight="1" x14ac:dyDescent="0.25">
      <c r="A106" s="331" t="s">
        <v>945</v>
      </c>
      <c r="B106" s="332" t="s">
        <v>946</v>
      </c>
    </row>
    <row r="107" spans="1:10" ht="64.5" customHeight="1" x14ac:dyDescent="0.25">
      <c r="A107" s="331" t="s">
        <v>947</v>
      </c>
      <c r="B107" s="332" t="s">
        <v>948</v>
      </c>
    </row>
    <row r="108" spans="1:10" ht="64.5" customHeight="1" x14ac:dyDescent="0.25">
      <c r="A108" s="331" t="s">
        <v>949</v>
      </c>
      <c r="B108" s="332" t="s">
        <v>950</v>
      </c>
    </row>
  </sheetData>
  <mergeCells count="14">
    <mergeCell ref="A58:J58"/>
    <mergeCell ref="A89:J89"/>
    <mergeCell ref="A90:J90"/>
    <mergeCell ref="A102:J102"/>
    <mergeCell ref="A16:J16"/>
    <mergeCell ref="A18:J18"/>
    <mergeCell ref="A19:J19"/>
    <mergeCell ref="A56:J56"/>
    <mergeCell ref="A57:J57"/>
    <mergeCell ref="A1:J1"/>
    <mergeCell ref="A2:J2"/>
    <mergeCell ref="A3:J3"/>
    <mergeCell ref="A4:J4"/>
    <mergeCell ref="A6:J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P110"/>
  <sheetViews>
    <sheetView showGridLines="0" zoomScaleNormal="100" workbookViewId="0">
      <pane xSplit="3" ySplit="3" topLeftCell="D4" activePane="bottomRight" state="frozen"/>
      <selection pane="topRight" activeCell="D1" sqref="D1"/>
      <selection pane="bottomLeft" activeCell="A4" sqref="A4"/>
      <selection pane="bottomRight" sqref="A1:P1"/>
    </sheetView>
  </sheetViews>
  <sheetFormatPr defaultColWidth="8.7109375" defaultRowHeight="15" x14ac:dyDescent="0.25"/>
  <cols>
    <col min="1" max="1" width="28" customWidth="1"/>
    <col min="2" max="2" width="8" customWidth="1"/>
    <col min="3" max="3" width="10" customWidth="1"/>
    <col min="4" max="4" width="12" customWidth="1"/>
    <col min="16" max="16" width="50" customWidth="1"/>
  </cols>
  <sheetData>
    <row r="1" spans="1:16" ht="27.75" customHeight="1" x14ac:dyDescent="0.25">
      <c r="A1" s="452" t="s">
        <v>951</v>
      </c>
      <c r="B1" s="452"/>
      <c r="C1" s="452"/>
      <c r="D1" s="452"/>
      <c r="E1" s="452"/>
      <c r="F1" s="452"/>
      <c r="G1" s="452"/>
      <c r="H1" s="452"/>
      <c r="I1" s="452"/>
      <c r="J1" s="452"/>
      <c r="K1" s="452"/>
      <c r="L1" s="452"/>
      <c r="M1" s="452"/>
      <c r="N1" s="452"/>
      <c r="O1" s="452"/>
      <c r="P1" s="452"/>
    </row>
    <row r="2" spans="1:16" ht="36" customHeight="1" x14ac:dyDescent="0.25">
      <c r="A2" s="453" t="s">
        <v>952</v>
      </c>
      <c r="B2" s="453"/>
      <c r="C2" s="453"/>
      <c r="D2" s="453"/>
      <c r="E2" s="453"/>
      <c r="F2" s="453"/>
      <c r="G2" s="453"/>
      <c r="H2" s="453"/>
      <c r="I2" s="453"/>
      <c r="J2" s="453"/>
      <c r="K2" s="453"/>
      <c r="L2" s="453"/>
      <c r="M2" s="453"/>
      <c r="N2" s="453"/>
      <c r="O2" s="453"/>
      <c r="P2" s="453"/>
    </row>
    <row r="4" spans="1:16" ht="18" customHeight="1" x14ac:dyDescent="0.25">
      <c r="A4" s="246" t="s">
        <v>953</v>
      </c>
      <c r="D4" s="342">
        <v>5.5E-2</v>
      </c>
      <c r="E4" s="342">
        <v>5.5E-2</v>
      </c>
      <c r="F4" s="342">
        <v>5.5E-2</v>
      </c>
      <c r="G4" s="342">
        <v>5.5E-2</v>
      </c>
      <c r="H4" s="342">
        <v>5.5E-2</v>
      </c>
      <c r="I4" s="342">
        <v>5.5E-2</v>
      </c>
      <c r="J4" s="342">
        <v>5.5E-2</v>
      </c>
      <c r="K4" s="342">
        <v>5.5E-2</v>
      </c>
      <c r="L4" s="342">
        <v>5.5E-2</v>
      </c>
      <c r="M4" s="342">
        <v>5.5E-2</v>
      </c>
      <c r="N4" s="342">
        <v>5.5E-2</v>
      </c>
      <c r="O4" s="342">
        <v>5.5E-2</v>
      </c>
    </row>
    <row r="5" spans="1:16" ht="18" customHeight="1" x14ac:dyDescent="0.25">
      <c r="A5" s="454" t="s">
        <v>954</v>
      </c>
      <c r="B5" s="454"/>
      <c r="C5" s="454"/>
      <c r="D5" s="454"/>
      <c r="E5" s="454"/>
      <c r="F5" s="454"/>
      <c r="G5" s="454"/>
      <c r="H5" s="454"/>
      <c r="I5" s="454"/>
      <c r="J5" s="454"/>
      <c r="K5" s="454"/>
      <c r="L5" s="454"/>
      <c r="M5" s="454"/>
      <c r="N5" s="454"/>
      <c r="O5" s="454"/>
      <c r="P5" s="454"/>
    </row>
    <row r="6" spans="1:16" ht="18" customHeight="1" x14ac:dyDescent="0.25">
      <c r="A6" s="115" t="s">
        <v>154</v>
      </c>
      <c r="B6" s="115" t="s">
        <v>209</v>
      </c>
      <c r="C6" s="115" t="s">
        <v>955</v>
      </c>
    </row>
    <row r="7" spans="1:16" ht="15.75" customHeight="1" x14ac:dyDescent="0.25">
      <c r="A7" s="343" t="s">
        <v>279</v>
      </c>
      <c r="B7" s="145" t="s">
        <v>956</v>
      </c>
      <c r="C7" s="344">
        <v>0.8</v>
      </c>
    </row>
    <row r="8" spans="1:16" ht="15.75" customHeight="1" x14ac:dyDescent="0.25">
      <c r="A8" s="343" t="s">
        <v>281</v>
      </c>
      <c r="B8" s="145" t="s">
        <v>956</v>
      </c>
      <c r="C8" s="344">
        <v>0.8</v>
      </c>
    </row>
    <row r="9" spans="1:16" ht="15.75" customHeight="1" x14ac:dyDescent="0.25">
      <c r="A9" s="343" t="s">
        <v>957</v>
      </c>
      <c r="B9" s="145" t="s">
        <v>956</v>
      </c>
      <c r="C9" s="344">
        <v>0</v>
      </c>
    </row>
    <row r="10" spans="1:16" ht="15.75" customHeight="1" x14ac:dyDescent="0.25">
      <c r="A10" s="343" t="s">
        <v>422</v>
      </c>
      <c r="B10" s="145" t="s">
        <v>956</v>
      </c>
      <c r="C10" s="344">
        <v>0.6</v>
      </c>
    </row>
    <row r="11" spans="1:16" ht="15.75" customHeight="1" x14ac:dyDescent="0.25">
      <c r="A11" s="343" t="s">
        <v>958</v>
      </c>
      <c r="B11" s="145" t="s">
        <v>956</v>
      </c>
      <c r="C11" s="344">
        <v>0.4</v>
      </c>
    </row>
    <row r="12" spans="1:16" ht="15.75" customHeight="1" x14ac:dyDescent="0.25">
      <c r="A12" s="343" t="s">
        <v>114</v>
      </c>
      <c r="B12" s="145" t="s">
        <v>956</v>
      </c>
      <c r="C12" s="344">
        <v>0.4</v>
      </c>
    </row>
    <row r="13" spans="1:16" ht="15.75" customHeight="1" x14ac:dyDescent="0.25">
      <c r="A13" s="343" t="s">
        <v>959</v>
      </c>
      <c r="B13" s="145" t="s">
        <v>956</v>
      </c>
      <c r="C13" s="344">
        <v>0.4</v>
      </c>
    </row>
    <row r="14" spans="1:16" ht="15.75" customHeight="1" x14ac:dyDescent="0.25">
      <c r="A14" s="343" t="s">
        <v>291</v>
      </c>
      <c r="B14" s="145" t="s">
        <v>956</v>
      </c>
      <c r="C14" s="344">
        <v>1</v>
      </c>
    </row>
    <row r="16" spans="1:16" ht="18" customHeight="1" x14ac:dyDescent="0.25">
      <c r="A16" s="454" t="s">
        <v>960</v>
      </c>
      <c r="B16" s="454"/>
      <c r="C16" s="454"/>
      <c r="D16" s="454"/>
      <c r="E16" s="454"/>
      <c r="F16" s="454"/>
      <c r="G16" s="454"/>
      <c r="H16" s="454"/>
      <c r="I16" s="454"/>
      <c r="J16" s="454"/>
      <c r="K16" s="454"/>
      <c r="L16" s="454"/>
      <c r="M16" s="454"/>
      <c r="N16" s="454"/>
      <c r="O16" s="454"/>
      <c r="P16" s="454"/>
    </row>
    <row r="17" spans="1:16" ht="18" customHeight="1" x14ac:dyDescent="0.25">
      <c r="A17" s="115" t="s">
        <v>154</v>
      </c>
      <c r="B17" s="115" t="s">
        <v>209</v>
      </c>
      <c r="C17" s="115" t="s">
        <v>961</v>
      </c>
      <c r="D17" s="115" t="s">
        <v>124</v>
      </c>
      <c r="E17" s="115" t="s">
        <v>125</v>
      </c>
      <c r="F17" s="115" t="s">
        <v>126</v>
      </c>
      <c r="G17" s="115" t="s">
        <v>127</v>
      </c>
      <c r="H17" s="115" t="s">
        <v>128</v>
      </c>
      <c r="I17" s="115" t="s">
        <v>129</v>
      </c>
      <c r="J17" s="115" t="s">
        <v>130</v>
      </c>
      <c r="K17" s="115" t="s">
        <v>131</v>
      </c>
      <c r="L17" s="115" t="s">
        <v>132</v>
      </c>
      <c r="M17" s="115" t="s">
        <v>133</v>
      </c>
      <c r="N17" s="115" t="s">
        <v>134</v>
      </c>
      <c r="O17" s="115" t="s">
        <v>135</v>
      </c>
      <c r="P17" s="115" t="s">
        <v>962</v>
      </c>
    </row>
    <row r="18" spans="1:16" ht="36" customHeight="1" x14ac:dyDescent="0.25">
      <c r="A18" s="343" t="s">
        <v>279</v>
      </c>
      <c r="B18" s="145" t="s">
        <v>956</v>
      </c>
      <c r="C18" s="345">
        <f t="shared" ref="C18:C25" si="0">C7</f>
        <v>0.8</v>
      </c>
      <c r="D18" s="346">
        <v>5100</v>
      </c>
      <c r="E18" s="347">
        <f>ROUND(D18*(1+E4*C7),0)</f>
        <v>5324</v>
      </c>
      <c r="F18" s="347">
        <f>ROUND(E18*(1+F4*C7),0)</f>
        <v>5558</v>
      </c>
      <c r="G18" s="347">
        <f>ROUND(F18*(1+G4*C7),0)</f>
        <v>5803</v>
      </c>
      <c r="H18" s="347">
        <f>ROUND(G18*(1+H4*C7),0)</f>
        <v>6058</v>
      </c>
      <c r="I18" s="347">
        <f>ROUND(H18*(1+I4*C7),0)</f>
        <v>6325</v>
      </c>
      <c r="J18" s="347">
        <f>ROUND(I18*(1+J4*C7),0)</f>
        <v>6603</v>
      </c>
      <c r="K18" s="347">
        <f>ROUND(J18*(1+K4*C7),0)</f>
        <v>6894</v>
      </c>
      <c r="L18" s="347">
        <f>ROUND(K18*(1+L4*C7),0)</f>
        <v>7197</v>
      </c>
      <c r="M18" s="347">
        <f>ROUND(L18*(1+M4*C7),0)</f>
        <v>7514</v>
      </c>
      <c r="N18" s="347">
        <f>ROUND(M18*(1+N4*C7),0)</f>
        <v>7845</v>
      </c>
      <c r="O18" s="347">
        <f>ROUND(N18*(1+O4*C7),0)</f>
        <v>8190</v>
      </c>
      <c r="P18" s="302" t="s">
        <v>963</v>
      </c>
    </row>
    <row r="19" spans="1:16" ht="36" customHeight="1" x14ac:dyDescent="0.25">
      <c r="A19" s="348" t="s">
        <v>281</v>
      </c>
      <c r="B19" s="349" t="s">
        <v>956</v>
      </c>
      <c r="C19" s="350">
        <f t="shared" si="0"/>
        <v>0.8</v>
      </c>
      <c r="D19" s="346">
        <v>4800</v>
      </c>
      <c r="E19" s="351">
        <f>ROUND(D19*(1+E4*C8),0)</f>
        <v>5011</v>
      </c>
      <c r="F19" s="351">
        <f>ROUND(E19*(1+F4*C8),0)</f>
        <v>5231</v>
      </c>
      <c r="G19" s="351">
        <f>ROUND(F19*(1+G4*C8),0)</f>
        <v>5461</v>
      </c>
      <c r="H19" s="351">
        <f>ROUND(G19*(1+H4*C8),0)</f>
        <v>5701</v>
      </c>
      <c r="I19" s="351">
        <f>ROUND(H19*(1+I4*C8),0)</f>
        <v>5952</v>
      </c>
      <c r="J19" s="351">
        <f>ROUND(I19*(1+J4*C8),0)</f>
        <v>6214</v>
      </c>
      <c r="K19" s="351">
        <f>ROUND(J19*(1+K4*C8),0)</f>
        <v>6487</v>
      </c>
      <c r="L19" s="351">
        <f>ROUND(K19*(1+L4*C8),0)</f>
        <v>6772</v>
      </c>
      <c r="M19" s="351">
        <f>ROUND(L19*(1+M4*C8),0)</f>
        <v>7070</v>
      </c>
      <c r="N19" s="351">
        <f>ROUND(M19*(1+N4*C8),0)</f>
        <v>7381</v>
      </c>
      <c r="O19" s="351">
        <f>ROUND(N19*(1+O4*C8),0)</f>
        <v>7706</v>
      </c>
      <c r="P19" s="297" t="s">
        <v>964</v>
      </c>
    </row>
    <row r="20" spans="1:16" ht="36" customHeight="1" x14ac:dyDescent="0.25">
      <c r="A20" s="343" t="s">
        <v>957</v>
      </c>
      <c r="B20" s="145" t="s">
        <v>956</v>
      </c>
      <c r="C20" s="345">
        <f t="shared" si="0"/>
        <v>0</v>
      </c>
      <c r="D20" s="346">
        <v>0</v>
      </c>
      <c r="E20" s="347">
        <f>ROUND(D20*(1+E4*C9),0)</f>
        <v>0</v>
      </c>
      <c r="F20" s="347">
        <f>ROUND(E20*(1+F4*C9),0)</f>
        <v>0</v>
      </c>
      <c r="G20" s="347">
        <f>ROUND(F20*(1+G4*C9),0)</f>
        <v>0</v>
      </c>
      <c r="H20" s="347">
        <f>ROUND(G20*(1+H4*C9),0)</f>
        <v>0</v>
      </c>
      <c r="I20" s="347">
        <f>ROUND(H20*(1+I4*C9),0)</f>
        <v>0</v>
      </c>
      <c r="J20" s="347">
        <f>ROUND(I20*(1+J4*C9),0)</f>
        <v>0</v>
      </c>
      <c r="K20" s="347">
        <f>ROUND(J20*(1+K4*C9),0)</f>
        <v>0</v>
      </c>
      <c r="L20" s="347">
        <f>ROUND(K20*(1+L4*C9),0)</f>
        <v>0</v>
      </c>
      <c r="M20" s="347">
        <f>ROUND(L20*(1+M4*C9),0)</f>
        <v>0</v>
      </c>
      <c r="N20" s="347">
        <f>ROUND(M20*(1+N4*C9),0)</f>
        <v>0</v>
      </c>
      <c r="O20" s="347">
        <f>ROUND(N20*(1+O4*C9),0)</f>
        <v>0</v>
      </c>
      <c r="P20" s="302" t="s">
        <v>965</v>
      </c>
    </row>
    <row r="21" spans="1:16" ht="36" customHeight="1" x14ac:dyDescent="0.25">
      <c r="A21" s="348" t="s">
        <v>422</v>
      </c>
      <c r="B21" s="349" t="s">
        <v>956</v>
      </c>
      <c r="C21" s="350">
        <f t="shared" si="0"/>
        <v>0.6</v>
      </c>
      <c r="D21" s="346">
        <v>50000</v>
      </c>
      <c r="E21" s="351">
        <f>ROUND(D21*(1+E4*C10),0)</f>
        <v>51650</v>
      </c>
      <c r="F21" s="351">
        <f>ROUND(E21*(1+F4*C10),0)</f>
        <v>53354</v>
      </c>
      <c r="G21" s="351">
        <f>ROUND(F21*(1+G4*C10),0)</f>
        <v>55115</v>
      </c>
      <c r="H21" s="351">
        <f>ROUND(G21*(1+H4*C10),0)</f>
        <v>56934</v>
      </c>
      <c r="I21" s="351">
        <f>ROUND(H21*(1+I4*C10),0)</f>
        <v>58813</v>
      </c>
      <c r="J21" s="351">
        <f>ROUND(I21*(1+J4*C10),0)</f>
        <v>60754</v>
      </c>
      <c r="K21" s="351">
        <f>ROUND(J21*(1+K4*C10),0)</f>
        <v>62759</v>
      </c>
      <c r="L21" s="351">
        <f>ROUND(K21*(1+L4*C10),0)</f>
        <v>64830</v>
      </c>
      <c r="M21" s="351">
        <f>ROUND(L21*(1+M4*C10),0)</f>
        <v>66969</v>
      </c>
      <c r="N21" s="351">
        <f>ROUND(M21*(1+N4*C10),0)</f>
        <v>69179</v>
      </c>
      <c r="O21" s="351">
        <f>ROUND(N21*(1+O4*C10),0)</f>
        <v>71462</v>
      </c>
      <c r="P21" s="297" t="s">
        <v>966</v>
      </c>
    </row>
    <row r="22" spans="1:16" ht="36" customHeight="1" x14ac:dyDescent="0.25">
      <c r="A22" s="343" t="s">
        <v>958</v>
      </c>
      <c r="B22" s="145" t="s">
        <v>956</v>
      </c>
      <c r="C22" s="345">
        <f t="shared" si="0"/>
        <v>0.4</v>
      </c>
      <c r="D22" s="346">
        <v>3500</v>
      </c>
      <c r="E22" s="347">
        <f>ROUND(D22*(1+E4*C11),0)</f>
        <v>3577</v>
      </c>
      <c r="F22" s="347">
        <f>ROUND(E22*(1+F4*C11),0)</f>
        <v>3656</v>
      </c>
      <c r="G22" s="347">
        <f>ROUND(F22*(1+G4*C11),0)</f>
        <v>3736</v>
      </c>
      <c r="H22" s="347">
        <f>ROUND(G22*(1+H4*C11),0)</f>
        <v>3818</v>
      </c>
      <c r="I22" s="347">
        <f>ROUND(H22*(1+I4*C11),0)</f>
        <v>3902</v>
      </c>
      <c r="J22" s="347">
        <f>ROUND(I22*(1+J4*C11),0)</f>
        <v>3988</v>
      </c>
      <c r="K22" s="347">
        <f>ROUND(J22*(1+K4*C11),0)</f>
        <v>4076</v>
      </c>
      <c r="L22" s="347">
        <f>ROUND(K22*(1+L4*C11),0)</f>
        <v>4166</v>
      </c>
      <c r="M22" s="347">
        <f>ROUND(L22*(1+M4*C11),0)</f>
        <v>4258</v>
      </c>
      <c r="N22" s="347">
        <f>ROUND(M22*(1+N4*C11),0)</f>
        <v>4352</v>
      </c>
      <c r="O22" s="347">
        <f>ROUND(N22*(1+O4*C11),0)</f>
        <v>4448</v>
      </c>
      <c r="P22" s="302" t="s">
        <v>967</v>
      </c>
    </row>
    <row r="23" spans="1:16" ht="36" customHeight="1" x14ac:dyDescent="0.25">
      <c r="A23" s="348" t="s">
        <v>114</v>
      </c>
      <c r="B23" s="349" t="s">
        <v>956</v>
      </c>
      <c r="C23" s="350">
        <f t="shared" si="0"/>
        <v>0.4</v>
      </c>
      <c r="D23" s="346">
        <v>2800</v>
      </c>
      <c r="E23" s="351">
        <f>ROUND(D23*(1+E4*C12),0)</f>
        <v>2862</v>
      </c>
      <c r="F23" s="351">
        <f>ROUND(E23*(1+F4*C12),0)</f>
        <v>2925</v>
      </c>
      <c r="G23" s="351">
        <f>ROUND(F23*(1+G4*C12),0)</f>
        <v>2989</v>
      </c>
      <c r="H23" s="351">
        <f>ROUND(G23*(1+H4*C12),0)</f>
        <v>3055</v>
      </c>
      <c r="I23" s="351">
        <f>ROUND(H23*(1+I4*C12),0)</f>
        <v>3122</v>
      </c>
      <c r="J23" s="351">
        <f>ROUND(I23*(1+J4*C12),0)</f>
        <v>3191</v>
      </c>
      <c r="K23" s="351">
        <f>ROUND(J23*(1+K4*C12),0)</f>
        <v>3261</v>
      </c>
      <c r="L23" s="351">
        <f>ROUND(K23*(1+L4*C12),0)</f>
        <v>3333</v>
      </c>
      <c r="M23" s="351">
        <f>ROUND(L23*(1+M4*C12),0)</f>
        <v>3406</v>
      </c>
      <c r="N23" s="351">
        <f>ROUND(M23*(1+N4*C12),0)</f>
        <v>3481</v>
      </c>
      <c r="O23" s="351">
        <f>ROUND(N23*(1+O4*C12),0)</f>
        <v>3558</v>
      </c>
      <c r="P23" s="297" t="s">
        <v>968</v>
      </c>
    </row>
    <row r="24" spans="1:16" ht="36" customHeight="1" x14ac:dyDescent="0.25">
      <c r="A24" s="343" t="s">
        <v>959</v>
      </c>
      <c r="B24" s="145" t="s">
        <v>956</v>
      </c>
      <c r="C24" s="345">
        <f t="shared" si="0"/>
        <v>0.4</v>
      </c>
      <c r="D24" s="346">
        <v>600</v>
      </c>
      <c r="E24" s="347">
        <f>ROUND(D24*(1+E4*C13),0)</f>
        <v>613</v>
      </c>
      <c r="F24" s="347">
        <f>ROUND(E24*(1+F4*C13),0)</f>
        <v>626</v>
      </c>
      <c r="G24" s="347">
        <f>ROUND(F24*(1+G4*C13),0)</f>
        <v>640</v>
      </c>
      <c r="H24" s="347">
        <f>ROUND(G24*(1+H4*C13),0)</f>
        <v>654</v>
      </c>
      <c r="I24" s="347">
        <f>ROUND(H24*(1+I4*C13),0)</f>
        <v>668</v>
      </c>
      <c r="J24" s="347">
        <f>ROUND(I24*(1+J4*C13),0)</f>
        <v>683</v>
      </c>
      <c r="K24" s="347">
        <f>ROUND(J24*(1+K4*C13),0)</f>
        <v>698</v>
      </c>
      <c r="L24" s="347">
        <f>ROUND(K24*(1+L4*C13),0)</f>
        <v>713</v>
      </c>
      <c r="M24" s="347">
        <f>ROUND(L24*(1+M4*C13),0)</f>
        <v>729</v>
      </c>
      <c r="N24" s="347">
        <f>ROUND(M24*(1+N4*C13),0)</f>
        <v>745</v>
      </c>
      <c r="O24" s="347">
        <f>ROUND(N24*(1+O4*C13),0)</f>
        <v>761</v>
      </c>
      <c r="P24" s="302" t="s">
        <v>969</v>
      </c>
    </row>
    <row r="25" spans="1:16" ht="36" customHeight="1" x14ac:dyDescent="0.25">
      <c r="A25" s="348" t="s">
        <v>291</v>
      </c>
      <c r="B25" s="349" t="s">
        <v>956</v>
      </c>
      <c r="C25" s="350">
        <f t="shared" si="0"/>
        <v>1</v>
      </c>
      <c r="D25" s="346">
        <v>300</v>
      </c>
      <c r="E25" s="351">
        <f>ROUND(D25*(1+E4*C14),0)</f>
        <v>317</v>
      </c>
      <c r="F25" s="351">
        <f>ROUND(E25*(1+F4*C14),0)</f>
        <v>334</v>
      </c>
      <c r="G25" s="351">
        <f>ROUND(F25*(1+G4*C14),0)</f>
        <v>352</v>
      </c>
      <c r="H25" s="351">
        <f>ROUND(G25*(1+H4*C14),0)</f>
        <v>371</v>
      </c>
      <c r="I25" s="351">
        <f>ROUND(H25*(1+I4*C14),0)</f>
        <v>391</v>
      </c>
      <c r="J25" s="351">
        <f>ROUND(I25*(1+J4*C14),0)</f>
        <v>413</v>
      </c>
      <c r="K25" s="351">
        <f>ROUND(J25*(1+K4*C14),0)</f>
        <v>436</v>
      </c>
      <c r="L25" s="351">
        <f>ROUND(K25*(1+L4*C14),0)</f>
        <v>460</v>
      </c>
      <c r="M25" s="351">
        <f>ROUND(L25*(1+M4*C14),0)</f>
        <v>485</v>
      </c>
      <c r="N25" s="351">
        <f>ROUND(M25*(1+N4*C14),0)</f>
        <v>512</v>
      </c>
      <c r="O25" s="351">
        <f>ROUND(N25*(1+O4*C14),0)</f>
        <v>540</v>
      </c>
      <c r="P25" s="297" t="s">
        <v>970</v>
      </c>
    </row>
    <row r="27" spans="1:16" ht="18" customHeight="1" x14ac:dyDescent="0.25">
      <c r="A27" s="454" t="s">
        <v>971</v>
      </c>
      <c r="B27" s="454"/>
      <c r="C27" s="454"/>
      <c r="D27" s="454"/>
      <c r="E27" s="454"/>
      <c r="F27" s="454"/>
      <c r="G27" s="454"/>
      <c r="H27" s="454"/>
      <c r="I27" s="454"/>
      <c r="J27" s="454"/>
      <c r="K27" s="454"/>
      <c r="L27" s="454"/>
      <c r="M27" s="454"/>
      <c r="N27" s="454"/>
      <c r="O27" s="454"/>
      <c r="P27" s="454"/>
    </row>
    <row r="28" spans="1:16" ht="18" customHeight="1" x14ac:dyDescent="0.25">
      <c r="A28" s="115" t="s">
        <v>154</v>
      </c>
      <c r="B28" s="115" t="s">
        <v>209</v>
      </c>
      <c r="C28" s="115" t="s">
        <v>961</v>
      </c>
      <c r="D28" s="115" t="s">
        <v>124</v>
      </c>
      <c r="E28" s="115" t="s">
        <v>125</v>
      </c>
      <c r="F28" s="115" t="s">
        <v>126</v>
      </c>
      <c r="G28" s="115" t="s">
        <v>127</v>
      </c>
      <c r="H28" s="115" t="s">
        <v>128</v>
      </c>
      <c r="I28" s="115" t="s">
        <v>129</v>
      </c>
      <c r="J28" s="115" t="s">
        <v>130</v>
      </c>
      <c r="K28" s="115" t="s">
        <v>131</v>
      </c>
      <c r="L28" s="115" t="s">
        <v>132</v>
      </c>
      <c r="M28" s="115" t="s">
        <v>133</v>
      </c>
      <c r="N28" s="115" t="s">
        <v>134</v>
      </c>
      <c r="O28" s="115" t="s">
        <v>135</v>
      </c>
      <c r="P28" s="115" t="s">
        <v>962</v>
      </c>
    </row>
    <row r="29" spans="1:16" ht="36" customHeight="1" x14ac:dyDescent="0.25">
      <c r="A29" s="343" t="s">
        <v>279</v>
      </c>
      <c r="B29" s="145" t="s">
        <v>956</v>
      </c>
      <c r="C29" s="345">
        <f t="shared" ref="C29:C36" si="1">C7</f>
        <v>0.8</v>
      </c>
      <c r="D29" s="346">
        <v>1400</v>
      </c>
      <c r="E29" s="347">
        <f>ROUND(D29*(1+E4*C7),0)</f>
        <v>1462</v>
      </c>
      <c r="F29" s="347">
        <f>ROUND(E29*(1+F4*C7),0)</f>
        <v>1526</v>
      </c>
      <c r="G29" s="347">
        <f>ROUND(F29*(1+G4*C7),0)</f>
        <v>1593</v>
      </c>
      <c r="H29" s="347">
        <f>ROUND(G29*(1+H4*C7),0)</f>
        <v>1663</v>
      </c>
      <c r="I29" s="347">
        <f>ROUND(H29*(1+I4*C7),0)</f>
        <v>1736</v>
      </c>
      <c r="J29" s="347">
        <f>ROUND(I29*(1+J4*C7),0)</f>
        <v>1812</v>
      </c>
      <c r="K29" s="347">
        <f>ROUND(J29*(1+K4*C7),0)</f>
        <v>1892</v>
      </c>
      <c r="L29" s="347">
        <f>ROUND(K29*(1+L4*C7),0)</f>
        <v>1975</v>
      </c>
      <c r="M29" s="347">
        <f>ROUND(L29*(1+M4*C7),0)</f>
        <v>2062</v>
      </c>
      <c r="N29" s="347">
        <f>ROUND(M29*(1+N4*C7),0)</f>
        <v>2153</v>
      </c>
      <c r="O29" s="347">
        <f>ROUND(N29*(1+O4*C7),0)</f>
        <v>2248</v>
      </c>
      <c r="P29" s="302" t="s">
        <v>963</v>
      </c>
    </row>
    <row r="30" spans="1:16" ht="36" customHeight="1" x14ac:dyDescent="0.25">
      <c r="A30" s="348" t="s">
        <v>281</v>
      </c>
      <c r="B30" s="349" t="s">
        <v>956</v>
      </c>
      <c r="C30" s="350">
        <f t="shared" si="1"/>
        <v>0.8</v>
      </c>
      <c r="D30" s="346">
        <v>900</v>
      </c>
      <c r="E30" s="351">
        <f>ROUND(D30*(1+E4*C8),0)</f>
        <v>940</v>
      </c>
      <c r="F30" s="351">
        <f>ROUND(E30*(1+F4*C8),0)</f>
        <v>981</v>
      </c>
      <c r="G30" s="351">
        <f>ROUND(F30*(1+G4*C8),0)</f>
        <v>1024</v>
      </c>
      <c r="H30" s="351">
        <f>ROUND(G30*(1+H4*C8),0)</f>
        <v>1069</v>
      </c>
      <c r="I30" s="351">
        <f>ROUND(H30*(1+I4*C8),0)</f>
        <v>1116</v>
      </c>
      <c r="J30" s="351">
        <f>ROUND(I30*(1+J4*C8),0)</f>
        <v>1165</v>
      </c>
      <c r="K30" s="351">
        <f>ROUND(J30*(1+K4*C8),0)</f>
        <v>1216</v>
      </c>
      <c r="L30" s="351">
        <f>ROUND(K30*(1+L4*C8),0)</f>
        <v>1270</v>
      </c>
      <c r="M30" s="351">
        <f>ROUND(L30*(1+M4*C8),0)</f>
        <v>1326</v>
      </c>
      <c r="N30" s="351">
        <f>ROUND(M30*(1+N4*C8),0)</f>
        <v>1384</v>
      </c>
      <c r="O30" s="351">
        <f>ROUND(N30*(1+O4*C8),0)</f>
        <v>1445</v>
      </c>
      <c r="P30" s="297" t="s">
        <v>964</v>
      </c>
    </row>
    <row r="31" spans="1:16" ht="36" customHeight="1" x14ac:dyDescent="0.25">
      <c r="A31" s="343" t="s">
        <v>957</v>
      </c>
      <c r="B31" s="145" t="s">
        <v>956</v>
      </c>
      <c r="C31" s="345">
        <f t="shared" si="1"/>
        <v>0</v>
      </c>
      <c r="D31" s="346">
        <v>0</v>
      </c>
      <c r="E31" s="347">
        <f>ROUND(D31*(1+E4*C9),0)</f>
        <v>0</v>
      </c>
      <c r="F31" s="347">
        <f>ROUND(E31*(1+F4*C9),0)</f>
        <v>0</v>
      </c>
      <c r="G31" s="347">
        <f>ROUND(F31*(1+G4*C9),0)</f>
        <v>0</v>
      </c>
      <c r="H31" s="347">
        <f>ROUND(G31*(1+H4*C9),0)</f>
        <v>0</v>
      </c>
      <c r="I31" s="347">
        <f>ROUND(H31*(1+I4*C9),0)</f>
        <v>0</v>
      </c>
      <c r="J31" s="347">
        <f>ROUND(I31*(1+J4*C9),0)</f>
        <v>0</v>
      </c>
      <c r="K31" s="347">
        <f>ROUND(J31*(1+K4*C9),0)</f>
        <v>0</v>
      </c>
      <c r="L31" s="347">
        <f>ROUND(K31*(1+L4*C9),0)</f>
        <v>0</v>
      </c>
      <c r="M31" s="347">
        <f>ROUND(L31*(1+M4*C9),0)</f>
        <v>0</v>
      </c>
      <c r="N31" s="347">
        <f>ROUND(M31*(1+N4*C9),0)</f>
        <v>0</v>
      </c>
      <c r="O31" s="347">
        <f>ROUND(N31*(1+O4*C9),0)</f>
        <v>0</v>
      </c>
      <c r="P31" s="302" t="s">
        <v>965</v>
      </c>
    </row>
    <row r="32" spans="1:16" ht="36" customHeight="1" x14ac:dyDescent="0.25">
      <c r="A32" s="348" t="s">
        <v>422</v>
      </c>
      <c r="B32" s="349" t="s">
        <v>956</v>
      </c>
      <c r="C32" s="350">
        <f t="shared" si="1"/>
        <v>0.6</v>
      </c>
      <c r="D32" s="346">
        <v>9700</v>
      </c>
      <c r="E32" s="351">
        <f>ROUND(D32*(1+E4*C10),0)</f>
        <v>10020</v>
      </c>
      <c r="F32" s="351">
        <f>ROUND(E32*(1+F4*C10),0)</f>
        <v>10351</v>
      </c>
      <c r="G32" s="351">
        <f>ROUND(F32*(1+G4*C10),0)</f>
        <v>10693</v>
      </c>
      <c r="H32" s="351">
        <f>ROUND(G32*(1+H4*C10),0)</f>
        <v>11046</v>
      </c>
      <c r="I32" s="351">
        <f>ROUND(H32*(1+I4*C10),0)</f>
        <v>11411</v>
      </c>
      <c r="J32" s="351">
        <f>ROUND(I32*(1+J4*C10),0)</f>
        <v>11788</v>
      </c>
      <c r="K32" s="351">
        <f>ROUND(J32*(1+K4*C10),0)</f>
        <v>12177</v>
      </c>
      <c r="L32" s="351">
        <f>ROUND(K32*(1+L4*C10),0)</f>
        <v>12579</v>
      </c>
      <c r="M32" s="351">
        <f>ROUND(L32*(1+M4*C10),0)</f>
        <v>12994</v>
      </c>
      <c r="N32" s="351">
        <f>ROUND(M32*(1+N4*C10),0)</f>
        <v>13423</v>
      </c>
      <c r="O32" s="351">
        <f>ROUND(N32*(1+O4*C10),0)</f>
        <v>13866</v>
      </c>
      <c r="P32" s="297" t="s">
        <v>966</v>
      </c>
    </row>
    <row r="33" spans="1:16" ht="36" customHeight="1" x14ac:dyDescent="0.25">
      <c r="A33" s="343" t="s">
        <v>958</v>
      </c>
      <c r="B33" s="145" t="s">
        <v>956</v>
      </c>
      <c r="C33" s="345">
        <f t="shared" si="1"/>
        <v>0.4</v>
      </c>
      <c r="D33" s="346">
        <v>400</v>
      </c>
      <c r="E33" s="347">
        <f>ROUND(D33*(1+E4*C11),0)</f>
        <v>409</v>
      </c>
      <c r="F33" s="347">
        <f>ROUND(E33*(1+F4*C11),0)</f>
        <v>418</v>
      </c>
      <c r="G33" s="347">
        <f>ROUND(F33*(1+G4*C11),0)</f>
        <v>427</v>
      </c>
      <c r="H33" s="347">
        <f>ROUND(G33*(1+H4*C11),0)</f>
        <v>436</v>
      </c>
      <c r="I33" s="347">
        <f>ROUND(H33*(1+I4*C11),0)</f>
        <v>446</v>
      </c>
      <c r="J33" s="347">
        <f>ROUND(I33*(1+J4*C11),0)</f>
        <v>456</v>
      </c>
      <c r="K33" s="347">
        <f>ROUND(J33*(1+K4*C11),0)</f>
        <v>466</v>
      </c>
      <c r="L33" s="347">
        <f>ROUND(K33*(1+L4*C11),0)</f>
        <v>476</v>
      </c>
      <c r="M33" s="347">
        <f>ROUND(L33*(1+M4*C11),0)</f>
        <v>486</v>
      </c>
      <c r="N33" s="347">
        <f>ROUND(M33*(1+N4*C11),0)</f>
        <v>497</v>
      </c>
      <c r="O33" s="347">
        <f>ROUND(N33*(1+O4*C11),0)</f>
        <v>508</v>
      </c>
      <c r="P33" s="302" t="s">
        <v>967</v>
      </c>
    </row>
    <row r="34" spans="1:16" ht="36" customHeight="1" x14ac:dyDescent="0.25">
      <c r="A34" s="348" t="s">
        <v>114</v>
      </c>
      <c r="B34" s="349" t="s">
        <v>956</v>
      </c>
      <c r="C34" s="350">
        <f t="shared" si="1"/>
        <v>0.4</v>
      </c>
      <c r="D34" s="346">
        <v>2200</v>
      </c>
      <c r="E34" s="351">
        <f>ROUND(D34*(1+E4*C12),0)</f>
        <v>2248</v>
      </c>
      <c r="F34" s="351">
        <f>ROUND(E34*(1+F4*C12),0)</f>
        <v>2297</v>
      </c>
      <c r="G34" s="351">
        <f>ROUND(F34*(1+G4*C12),0)</f>
        <v>2348</v>
      </c>
      <c r="H34" s="351">
        <f>ROUND(G34*(1+H4*C12),0)</f>
        <v>2400</v>
      </c>
      <c r="I34" s="351">
        <f>ROUND(H34*(1+I4*C12),0)</f>
        <v>2453</v>
      </c>
      <c r="J34" s="351">
        <f>ROUND(I34*(1+J4*C12),0)</f>
        <v>2507</v>
      </c>
      <c r="K34" s="351">
        <f>ROUND(J34*(1+K4*C12),0)</f>
        <v>2562</v>
      </c>
      <c r="L34" s="351">
        <f>ROUND(K34*(1+L4*C12),0)</f>
        <v>2618</v>
      </c>
      <c r="M34" s="351">
        <f>ROUND(L34*(1+M4*C12),0)</f>
        <v>2676</v>
      </c>
      <c r="N34" s="351">
        <f>ROUND(M34*(1+N4*C12),0)</f>
        <v>2735</v>
      </c>
      <c r="O34" s="351">
        <f>ROUND(N34*(1+O4*C12),0)</f>
        <v>2795</v>
      </c>
      <c r="P34" s="297" t="s">
        <v>968</v>
      </c>
    </row>
    <row r="35" spans="1:16" ht="36" customHeight="1" x14ac:dyDescent="0.25">
      <c r="A35" s="343" t="s">
        <v>959</v>
      </c>
      <c r="B35" s="145" t="s">
        <v>956</v>
      </c>
      <c r="C35" s="345">
        <f t="shared" si="1"/>
        <v>0.4</v>
      </c>
      <c r="D35" s="346">
        <v>250</v>
      </c>
      <c r="E35" s="347">
        <f>ROUND(D35*(1+E4*C13),0)</f>
        <v>256</v>
      </c>
      <c r="F35" s="347">
        <f>ROUND(E35*(1+F4*C13),0)</f>
        <v>262</v>
      </c>
      <c r="G35" s="347">
        <f>ROUND(F35*(1+G4*C13),0)</f>
        <v>268</v>
      </c>
      <c r="H35" s="347">
        <f>ROUND(G35*(1+H4*C13),0)</f>
        <v>274</v>
      </c>
      <c r="I35" s="347">
        <f>ROUND(H35*(1+I4*C13),0)</f>
        <v>280</v>
      </c>
      <c r="J35" s="347">
        <f>ROUND(I35*(1+J4*C13),0)</f>
        <v>286</v>
      </c>
      <c r="K35" s="347">
        <f>ROUND(J35*(1+K4*C13),0)</f>
        <v>292</v>
      </c>
      <c r="L35" s="347">
        <f>ROUND(K35*(1+L4*C13),0)</f>
        <v>298</v>
      </c>
      <c r="M35" s="347">
        <f>ROUND(L35*(1+M4*C13),0)</f>
        <v>305</v>
      </c>
      <c r="N35" s="347">
        <f>ROUND(M35*(1+N4*C13),0)</f>
        <v>312</v>
      </c>
      <c r="O35" s="347">
        <f>ROUND(N35*(1+O4*C13),0)</f>
        <v>319</v>
      </c>
      <c r="P35" s="302" t="s">
        <v>969</v>
      </c>
    </row>
    <row r="36" spans="1:16" ht="36" customHeight="1" x14ac:dyDescent="0.25">
      <c r="A36" s="348" t="s">
        <v>291</v>
      </c>
      <c r="B36" s="349" t="s">
        <v>956</v>
      </c>
      <c r="C36" s="350">
        <f t="shared" si="1"/>
        <v>1</v>
      </c>
      <c r="D36" s="346">
        <v>174</v>
      </c>
      <c r="E36" s="351">
        <f>ROUND(D36*(1+E4*C14),0)</f>
        <v>184</v>
      </c>
      <c r="F36" s="351">
        <f>ROUND(E36*(1+F4*C14),0)</f>
        <v>194</v>
      </c>
      <c r="G36" s="351">
        <f>ROUND(F36*(1+G4*C14),0)</f>
        <v>205</v>
      </c>
      <c r="H36" s="351">
        <f>ROUND(G36*(1+H4*C14),0)</f>
        <v>216</v>
      </c>
      <c r="I36" s="351">
        <f>ROUND(H36*(1+I4*C14),0)</f>
        <v>228</v>
      </c>
      <c r="J36" s="351">
        <f>ROUND(I36*(1+J4*C14),0)</f>
        <v>241</v>
      </c>
      <c r="K36" s="351">
        <f>ROUND(J36*(1+K4*C14),0)</f>
        <v>254</v>
      </c>
      <c r="L36" s="351">
        <f>ROUND(K36*(1+L4*C14),0)</f>
        <v>268</v>
      </c>
      <c r="M36" s="351">
        <f>ROUND(L36*(1+M4*C14),0)</f>
        <v>283</v>
      </c>
      <c r="N36" s="351">
        <f>ROUND(M36*(1+N4*C14),0)</f>
        <v>299</v>
      </c>
      <c r="O36" s="351">
        <f>ROUND(N36*(1+O4*C14),0)</f>
        <v>315</v>
      </c>
      <c r="P36" s="297" t="s">
        <v>970</v>
      </c>
    </row>
    <row r="38" spans="1:16" ht="18" customHeight="1" x14ac:dyDescent="0.25">
      <c r="A38" s="454" t="s">
        <v>972</v>
      </c>
      <c r="B38" s="454"/>
      <c r="C38" s="454"/>
      <c r="D38" s="454"/>
      <c r="E38" s="454"/>
      <c r="F38" s="454"/>
      <c r="G38" s="454"/>
      <c r="H38" s="454"/>
      <c r="I38" s="454"/>
      <c r="J38" s="454"/>
      <c r="K38" s="454"/>
      <c r="L38" s="454"/>
      <c r="M38" s="454"/>
      <c r="N38" s="454"/>
      <c r="O38" s="454"/>
      <c r="P38" s="454"/>
    </row>
    <row r="39" spans="1:16" ht="18" customHeight="1" x14ac:dyDescent="0.25">
      <c r="A39" s="115" t="s">
        <v>154</v>
      </c>
      <c r="B39" s="115" t="s">
        <v>209</v>
      </c>
      <c r="C39" s="115" t="s">
        <v>961</v>
      </c>
      <c r="D39" s="115" t="s">
        <v>124</v>
      </c>
      <c r="E39" s="115" t="s">
        <v>125</v>
      </c>
      <c r="F39" s="115" t="s">
        <v>126</v>
      </c>
      <c r="G39" s="115" t="s">
        <v>127</v>
      </c>
      <c r="H39" s="115" t="s">
        <v>128</v>
      </c>
      <c r="I39" s="115" t="s">
        <v>129</v>
      </c>
      <c r="J39" s="115" t="s">
        <v>130</v>
      </c>
      <c r="K39" s="115" t="s">
        <v>131</v>
      </c>
      <c r="L39" s="115" t="s">
        <v>132</v>
      </c>
      <c r="M39" s="115" t="s">
        <v>133</v>
      </c>
      <c r="N39" s="115" t="s">
        <v>134</v>
      </c>
      <c r="O39" s="115" t="s">
        <v>135</v>
      </c>
      <c r="P39" s="115" t="s">
        <v>962</v>
      </c>
    </row>
    <row r="40" spans="1:16" ht="36" customHeight="1" x14ac:dyDescent="0.25">
      <c r="A40" s="343" t="s">
        <v>279</v>
      </c>
      <c r="B40" s="145" t="s">
        <v>956</v>
      </c>
      <c r="C40" s="345">
        <f t="shared" ref="C40:C47" si="2">C7</f>
        <v>0.8</v>
      </c>
      <c r="D40" s="346">
        <v>580</v>
      </c>
      <c r="E40" s="347">
        <f>ROUND(D40*(1+E4*C7),0)</f>
        <v>606</v>
      </c>
      <c r="F40" s="347">
        <f>ROUND(E40*(1+F4*C7),0)</f>
        <v>633</v>
      </c>
      <c r="G40" s="347">
        <f>ROUND(F40*(1+G4*C7),0)</f>
        <v>661</v>
      </c>
      <c r="H40" s="347">
        <f>ROUND(G40*(1+H4*C7),0)</f>
        <v>690</v>
      </c>
      <c r="I40" s="347">
        <f>ROUND(H40*(1+I4*C7),0)</f>
        <v>720</v>
      </c>
      <c r="J40" s="347">
        <f>ROUND(I40*(1+J4*C7),0)</f>
        <v>752</v>
      </c>
      <c r="K40" s="347">
        <f>ROUND(J40*(1+K4*C7),0)</f>
        <v>785</v>
      </c>
      <c r="L40" s="347">
        <f>ROUND(K40*(1+L4*C7),0)</f>
        <v>820</v>
      </c>
      <c r="M40" s="347">
        <f>ROUND(L40*(1+M4*C7),0)</f>
        <v>856</v>
      </c>
      <c r="N40" s="347">
        <f>ROUND(M40*(1+N4*C7),0)</f>
        <v>894</v>
      </c>
      <c r="O40" s="347">
        <f>ROUND(N40*(1+O4*C7),0)</f>
        <v>933</v>
      </c>
      <c r="P40" s="302" t="s">
        <v>963</v>
      </c>
    </row>
    <row r="41" spans="1:16" ht="36" customHeight="1" x14ac:dyDescent="0.25">
      <c r="A41" s="348" t="s">
        <v>281</v>
      </c>
      <c r="B41" s="349" t="s">
        <v>956</v>
      </c>
      <c r="C41" s="350">
        <f t="shared" si="2"/>
        <v>0.8</v>
      </c>
      <c r="D41" s="346">
        <v>300</v>
      </c>
      <c r="E41" s="351">
        <f>ROUND(D41*(1+E4*C8),0)</f>
        <v>313</v>
      </c>
      <c r="F41" s="351">
        <f>ROUND(E41*(1+F4*C8),0)</f>
        <v>327</v>
      </c>
      <c r="G41" s="351">
        <f>ROUND(F41*(1+G4*C8),0)</f>
        <v>341</v>
      </c>
      <c r="H41" s="351">
        <f>ROUND(G41*(1+H4*C8),0)</f>
        <v>356</v>
      </c>
      <c r="I41" s="351">
        <f>ROUND(H41*(1+I4*C8),0)</f>
        <v>372</v>
      </c>
      <c r="J41" s="351">
        <f>ROUND(I41*(1+J4*C8),0)</f>
        <v>388</v>
      </c>
      <c r="K41" s="351">
        <f>ROUND(J41*(1+K4*C8),0)</f>
        <v>405</v>
      </c>
      <c r="L41" s="351">
        <f>ROUND(K41*(1+L4*C8),0)</f>
        <v>423</v>
      </c>
      <c r="M41" s="351">
        <f>ROUND(L41*(1+M4*C8),0)</f>
        <v>442</v>
      </c>
      <c r="N41" s="351">
        <f>ROUND(M41*(1+N4*C8),0)</f>
        <v>461</v>
      </c>
      <c r="O41" s="351">
        <f>ROUND(N41*(1+O4*C8),0)</f>
        <v>481</v>
      </c>
      <c r="P41" s="297" t="s">
        <v>964</v>
      </c>
    </row>
    <row r="42" spans="1:16" ht="36" customHeight="1" x14ac:dyDescent="0.25">
      <c r="A42" s="343" t="s">
        <v>957</v>
      </c>
      <c r="B42" s="145" t="s">
        <v>956</v>
      </c>
      <c r="C42" s="345">
        <f t="shared" si="2"/>
        <v>0</v>
      </c>
      <c r="D42" s="346">
        <v>0</v>
      </c>
      <c r="E42" s="347">
        <f>ROUND(D42*(1+E4*C9),0)</f>
        <v>0</v>
      </c>
      <c r="F42" s="347">
        <f>ROUND(E42*(1+F4*C9),0)</f>
        <v>0</v>
      </c>
      <c r="G42" s="347">
        <f>ROUND(F42*(1+G4*C9),0)</f>
        <v>0</v>
      </c>
      <c r="H42" s="347">
        <f>ROUND(G42*(1+H4*C9),0)</f>
        <v>0</v>
      </c>
      <c r="I42" s="347">
        <f>ROUND(H42*(1+I4*C9),0)</f>
        <v>0</v>
      </c>
      <c r="J42" s="347">
        <f>ROUND(I42*(1+J4*C9),0)</f>
        <v>0</v>
      </c>
      <c r="K42" s="347">
        <f>ROUND(J42*(1+K4*C9),0)</f>
        <v>0</v>
      </c>
      <c r="L42" s="347">
        <f>ROUND(K42*(1+L4*C9),0)</f>
        <v>0</v>
      </c>
      <c r="M42" s="347">
        <f>ROUND(L42*(1+M4*C9),0)</f>
        <v>0</v>
      </c>
      <c r="N42" s="347">
        <f>ROUND(M42*(1+N4*C9),0)</f>
        <v>0</v>
      </c>
      <c r="O42" s="347">
        <f>ROUND(N42*(1+O4*C9),0)</f>
        <v>0</v>
      </c>
      <c r="P42" s="302" t="s">
        <v>965</v>
      </c>
    </row>
    <row r="43" spans="1:16" ht="36" customHeight="1" x14ac:dyDescent="0.25">
      <c r="A43" s="348" t="s">
        <v>422</v>
      </c>
      <c r="B43" s="349" t="s">
        <v>956</v>
      </c>
      <c r="C43" s="350">
        <f t="shared" si="2"/>
        <v>0.6</v>
      </c>
      <c r="D43" s="346">
        <v>800</v>
      </c>
      <c r="E43" s="351">
        <f>ROUND(D43*(1+E4*C10),0)</f>
        <v>826</v>
      </c>
      <c r="F43" s="351">
        <f>ROUND(E43*(1+F4*C10),0)</f>
        <v>853</v>
      </c>
      <c r="G43" s="351">
        <f>ROUND(F43*(1+G4*C10),0)</f>
        <v>881</v>
      </c>
      <c r="H43" s="351">
        <f>ROUND(G43*(1+H4*C10),0)</f>
        <v>910</v>
      </c>
      <c r="I43" s="351">
        <f>ROUND(H43*(1+I4*C10),0)</f>
        <v>940</v>
      </c>
      <c r="J43" s="351">
        <f>ROUND(I43*(1+J4*C10),0)</f>
        <v>971</v>
      </c>
      <c r="K43" s="351">
        <f>ROUND(J43*(1+K4*C10),0)</f>
        <v>1003</v>
      </c>
      <c r="L43" s="351">
        <f>ROUND(K43*(1+L4*C10),0)</f>
        <v>1036</v>
      </c>
      <c r="M43" s="351">
        <f>ROUND(L43*(1+M4*C10),0)</f>
        <v>1070</v>
      </c>
      <c r="N43" s="351">
        <f>ROUND(M43*(1+N4*C10),0)</f>
        <v>1105</v>
      </c>
      <c r="O43" s="351">
        <f>ROUND(N43*(1+O4*C10),0)</f>
        <v>1141</v>
      </c>
      <c r="P43" s="297" t="s">
        <v>966</v>
      </c>
    </row>
    <row r="44" spans="1:16" ht="36" customHeight="1" x14ac:dyDescent="0.25">
      <c r="A44" s="343" t="s">
        <v>958</v>
      </c>
      <c r="B44" s="145" t="s">
        <v>956</v>
      </c>
      <c r="C44" s="345">
        <f t="shared" si="2"/>
        <v>0.4</v>
      </c>
      <c r="D44" s="346">
        <v>120</v>
      </c>
      <c r="E44" s="347">
        <f>ROUND(D44*(1+E4*C11),0)</f>
        <v>123</v>
      </c>
      <c r="F44" s="347">
        <f>ROUND(E44*(1+F4*C11),0)</f>
        <v>126</v>
      </c>
      <c r="G44" s="347">
        <f>ROUND(F44*(1+G4*C11),0)</f>
        <v>129</v>
      </c>
      <c r="H44" s="347">
        <f>ROUND(G44*(1+H4*C11),0)</f>
        <v>132</v>
      </c>
      <c r="I44" s="347">
        <f>ROUND(H44*(1+I4*C11),0)</f>
        <v>135</v>
      </c>
      <c r="J44" s="347">
        <f>ROUND(I44*(1+J4*C11),0)</f>
        <v>138</v>
      </c>
      <c r="K44" s="347">
        <f>ROUND(J44*(1+K4*C11),0)</f>
        <v>141</v>
      </c>
      <c r="L44" s="347">
        <f>ROUND(K44*(1+L4*C11),0)</f>
        <v>144</v>
      </c>
      <c r="M44" s="347">
        <f>ROUND(L44*(1+M4*C11),0)</f>
        <v>147</v>
      </c>
      <c r="N44" s="347">
        <f>ROUND(M44*(1+N4*C11),0)</f>
        <v>150</v>
      </c>
      <c r="O44" s="347">
        <f>ROUND(N44*(1+O4*C11),0)</f>
        <v>153</v>
      </c>
      <c r="P44" s="302" t="s">
        <v>967</v>
      </c>
    </row>
    <row r="45" spans="1:16" ht="36" customHeight="1" x14ac:dyDescent="0.25">
      <c r="A45" s="348" t="s">
        <v>114</v>
      </c>
      <c r="B45" s="349" t="s">
        <v>956</v>
      </c>
      <c r="C45" s="350">
        <f t="shared" si="2"/>
        <v>0.4</v>
      </c>
      <c r="D45" s="346">
        <v>1600</v>
      </c>
      <c r="E45" s="351">
        <f>ROUND(D45*(1+E4*C12),0)</f>
        <v>1635</v>
      </c>
      <c r="F45" s="351">
        <f>ROUND(E45*(1+F4*C12),0)</f>
        <v>1671</v>
      </c>
      <c r="G45" s="351">
        <f>ROUND(F45*(1+G4*C12),0)</f>
        <v>1708</v>
      </c>
      <c r="H45" s="351">
        <f>ROUND(G45*(1+H4*C12),0)</f>
        <v>1746</v>
      </c>
      <c r="I45" s="351">
        <f>ROUND(H45*(1+I4*C12),0)</f>
        <v>1784</v>
      </c>
      <c r="J45" s="351">
        <f>ROUND(I45*(1+J4*C12),0)</f>
        <v>1823</v>
      </c>
      <c r="K45" s="351">
        <f>ROUND(J45*(1+K4*C12),0)</f>
        <v>1863</v>
      </c>
      <c r="L45" s="351">
        <f>ROUND(K45*(1+L4*C12),0)</f>
        <v>1904</v>
      </c>
      <c r="M45" s="351">
        <f>ROUND(L45*(1+M4*C12),0)</f>
        <v>1946</v>
      </c>
      <c r="N45" s="351">
        <f>ROUND(M45*(1+N4*C12),0)</f>
        <v>1989</v>
      </c>
      <c r="O45" s="351">
        <f>ROUND(N45*(1+O4*C12),0)</f>
        <v>2033</v>
      </c>
      <c r="P45" s="297" t="s">
        <v>968</v>
      </c>
    </row>
    <row r="46" spans="1:16" ht="36" customHeight="1" x14ac:dyDescent="0.25">
      <c r="A46" s="343" t="s">
        <v>959</v>
      </c>
      <c r="B46" s="145" t="s">
        <v>956</v>
      </c>
      <c r="C46" s="345">
        <f t="shared" si="2"/>
        <v>0.4</v>
      </c>
      <c r="D46" s="346">
        <v>80</v>
      </c>
      <c r="E46" s="347">
        <f>ROUND(D46*(1+E4*C13),0)</f>
        <v>82</v>
      </c>
      <c r="F46" s="347">
        <f>ROUND(E46*(1+F4*C13),0)</f>
        <v>84</v>
      </c>
      <c r="G46" s="347">
        <f>ROUND(F46*(1+G4*C13),0)</f>
        <v>86</v>
      </c>
      <c r="H46" s="347">
        <f>ROUND(G46*(1+H4*C13),0)</f>
        <v>88</v>
      </c>
      <c r="I46" s="347">
        <f>ROUND(H46*(1+I4*C13),0)</f>
        <v>90</v>
      </c>
      <c r="J46" s="347">
        <f>ROUND(I46*(1+J4*C13),0)</f>
        <v>92</v>
      </c>
      <c r="K46" s="347">
        <f>ROUND(J46*(1+K4*C13),0)</f>
        <v>94</v>
      </c>
      <c r="L46" s="347">
        <f>ROUND(K46*(1+L4*C13),0)</f>
        <v>96</v>
      </c>
      <c r="M46" s="347">
        <f>ROUND(L46*(1+M4*C13),0)</f>
        <v>98</v>
      </c>
      <c r="N46" s="347">
        <f>ROUND(M46*(1+N4*C13),0)</f>
        <v>100</v>
      </c>
      <c r="O46" s="347">
        <f>ROUND(N46*(1+O4*C13),0)</f>
        <v>102</v>
      </c>
      <c r="P46" s="302" t="s">
        <v>969</v>
      </c>
    </row>
    <row r="47" spans="1:16" ht="36" customHeight="1" x14ac:dyDescent="0.25">
      <c r="A47" s="348" t="s">
        <v>291</v>
      </c>
      <c r="B47" s="349" t="s">
        <v>956</v>
      </c>
      <c r="C47" s="350">
        <f t="shared" si="2"/>
        <v>1</v>
      </c>
      <c r="D47" s="346">
        <v>167</v>
      </c>
      <c r="E47" s="351">
        <f>ROUND(D47*(1+E4*C14),0)</f>
        <v>176</v>
      </c>
      <c r="F47" s="351">
        <f>ROUND(E47*(1+F4*C14),0)</f>
        <v>186</v>
      </c>
      <c r="G47" s="351">
        <f>ROUND(F47*(1+G4*C14),0)</f>
        <v>196</v>
      </c>
      <c r="H47" s="351">
        <f>ROUND(G47*(1+H4*C14),0)</f>
        <v>207</v>
      </c>
      <c r="I47" s="351">
        <f>ROUND(H47*(1+I4*C14),0)</f>
        <v>218</v>
      </c>
      <c r="J47" s="351">
        <f>ROUND(I47*(1+J4*C14),0)</f>
        <v>230</v>
      </c>
      <c r="K47" s="351">
        <f>ROUND(J47*(1+K4*C14),0)</f>
        <v>243</v>
      </c>
      <c r="L47" s="351">
        <f>ROUND(K47*(1+L4*C14),0)</f>
        <v>256</v>
      </c>
      <c r="M47" s="351">
        <f>ROUND(L47*(1+M4*C14),0)</f>
        <v>270</v>
      </c>
      <c r="N47" s="351">
        <f>ROUND(M47*(1+N4*C14),0)</f>
        <v>285</v>
      </c>
      <c r="O47" s="351">
        <f>ROUND(N47*(1+O4*C14),0)</f>
        <v>301</v>
      </c>
      <c r="P47" s="297" t="s">
        <v>970</v>
      </c>
    </row>
    <row r="49" spans="1:16" ht="19.5" customHeight="1" x14ac:dyDescent="0.25">
      <c r="A49" s="454" t="s">
        <v>973</v>
      </c>
      <c r="B49" s="454"/>
      <c r="C49" s="454"/>
      <c r="D49" s="454"/>
      <c r="E49" s="454"/>
      <c r="F49" s="454"/>
      <c r="G49" s="454"/>
      <c r="H49" s="454"/>
      <c r="I49" s="454"/>
      <c r="J49" s="454"/>
      <c r="K49" s="454"/>
      <c r="L49" s="454"/>
      <c r="M49" s="454"/>
      <c r="N49" s="454"/>
      <c r="O49" s="454"/>
      <c r="P49" s="454"/>
    </row>
    <row r="50" spans="1:16" ht="39.75" customHeight="1" x14ac:dyDescent="0.25">
      <c r="A50" s="453" t="s">
        <v>974</v>
      </c>
      <c r="B50" s="453"/>
      <c r="C50" s="453"/>
      <c r="D50" s="453"/>
      <c r="E50" s="453"/>
      <c r="F50" s="453"/>
      <c r="G50" s="453"/>
      <c r="H50" s="453"/>
      <c r="I50" s="453"/>
      <c r="J50" s="453"/>
      <c r="K50" s="453"/>
      <c r="L50" s="453"/>
      <c r="M50" s="453"/>
      <c r="N50" s="453"/>
      <c r="O50" s="453"/>
      <c r="P50" s="453"/>
    </row>
    <row r="52" spans="1:16" ht="19.5" customHeight="1" x14ac:dyDescent="0.25">
      <c r="A52" s="441" t="s">
        <v>975</v>
      </c>
      <c r="B52" s="441"/>
      <c r="C52" s="441"/>
      <c r="D52" s="441"/>
      <c r="E52" s="441"/>
      <c r="F52" s="441"/>
      <c r="G52" s="441"/>
      <c r="H52" s="441"/>
      <c r="I52" s="441"/>
      <c r="J52" s="441"/>
      <c r="K52" s="441"/>
      <c r="L52" s="441"/>
    </row>
    <row r="53" spans="1:16" ht="17.25" customHeight="1" x14ac:dyDescent="0.25">
      <c r="A53" s="352" t="s">
        <v>976</v>
      </c>
    </row>
    <row r="54" spans="1:16" ht="135.75" customHeight="1" x14ac:dyDescent="0.25">
      <c r="A54" s="353" t="s">
        <v>977</v>
      </c>
    </row>
    <row r="55" spans="1:16" ht="15" customHeight="1" x14ac:dyDescent="0.25">
      <c r="B55" s="354" t="s">
        <v>978</v>
      </c>
      <c r="K55" s="354" t="s">
        <v>978</v>
      </c>
    </row>
    <row r="56" spans="1:16" ht="15" customHeight="1" x14ac:dyDescent="0.25">
      <c r="A56" s="355" t="s">
        <v>979</v>
      </c>
    </row>
    <row r="57" spans="1:16" ht="45.75" customHeight="1" x14ac:dyDescent="0.25">
      <c r="A57" s="356" t="s">
        <v>352</v>
      </c>
      <c r="B57" s="63" t="s">
        <v>980</v>
      </c>
      <c r="C57" s="63" t="s">
        <v>981</v>
      </c>
      <c r="D57" s="63" t="s">
        <v>982</v>
      </c>
      <c r="E57" s="63" t="s">
        <v>983</v>
      </c>
      <c r="F57" s="63" t="s">
        <v>984</v>
      </c>
      <c r="G57" s="63" t="s">
        <v>985</v>
      </c>
      <c r="H57" s="63" t="s">
        <v>986</v>
      </c>
      <c r="I57" s="63" t="s">
        <v>987</v>
      </c>
      <c r="J57" s="63" t="s">
        <v>988</v>
      </c>
      <c r="K57" s="63" t="s">
        <v>989</v>
      </c>
      <c r="L57" s="63" t="s">
        <v>990</v>
      </c>
    </row>
    <row r="58" spans="1:16" ht="171" customHeight="1" x14ac:dyDescent="0.25">
      <c r="A58" s="357">
        <v>1</v>
      </c>
      <c r="B58" s="358" t="s">
        <v>991</v>
      </c>
      <c r="C58" s="358" t="s">
        <v>992</v>
      </c>
      <c r="D58" s="358" t="s">
        <v>993</v>
      </c>
      <c r="E58" s="359" t="s">
        <v>321</v>
      </c>
      <c r="F58" s="360" t="s">
        <v>994</v>
      </c>
      <c r="G58" s="361">
        <v>3.2</v>
      </c>
      <c r="H58" s="361">
        <v>3.2</v>
      </c>
      <c r="I58" s="360" t="s">
        <v>995</v>
      </c>
      <c r="J58" s="362" t="s">
        <v>996</v>
      </c>
      <c r="K58" s="362" t="s">
        <v>997</v>
      </c>
      <c r="L58" s="360" t="s">
        <v>998</v>
      </c>
    </row>
    <row r="59" spans="1:16" ht="162" customHeight="1" x14ac:dyDescent="0.25">
      <c r="A59" s="363">
        <v>2</v>
      </c>
      <c r="B59" s="364" t="s">
        <v>999</v>
      </c>
      <c r="C59" s="364" t="s">
        <v>1000</v>
      </c>
      <c r="D59" s="364" t="s">
        <v>1001</v>
      </c>
      <c r="E59" s="365" t="s">
        <v>321</v>
      </c>
      <c r="F59" s="302" t="s">
        <v>1002</v>
      </c>
      <c r="G59" s="366">
        <v>2</v>
      </c>
      <c r="H59" s="366">
        <v>1.8</v>
      </c>
      <c r="I59" s="302" t="s">
        <v>1003</v>
      </c>
      <c r="J59" s="367" t="s">
        <v>1004</v>
      </c>
      <c r="K59" s="367" t="s">
        <v>1005</v>
      </c>
      <c r="L59" s="302" t="s">
        <v>1006</v>
      </c>
    </row>
    <row r="60" spans="1:16" ht="144.75" customHeight="1" x14ac:dyDescent="0.25">
      <c r="A60" s="357">
        <v>3</v>
      </c>
      <c r="B60" s="358" t="s">
        <v>1007</v>
      </c>
      <c r="C60" s="358" t="s">
        <v>1008</v>
      </c>
      <c r="D60" s="358" t="s">
        <v>1009</v>
      </c>
      <c r="E60" s="359" t="s">
        <v>321</v>
      </c>
      <c r="F60" s="360" t="s">
        <v>1010</v>
      </c>
      <c r="G60" s="361">
        <v>1</v>
      </c>
      <c r="H60" s="361">
        <v>0.9</v>
      </c>
      <c r="I60" s="360" t="s">
        <v>1011</v>
      </c>
      <c r="J60" s="362" t="s">
        <v>1012</v>
      </c>
      <c r="K60" s="362" t="s">
        <v>1005</v>
      </c>
      <c r="L60" s="360" t="s">
        <v>1013</v>
      </c>
    </row>
    <row r="61" spans="1:16" ht="135.75" customHeight="1" x14ac:dyDescent="0.25">
      <c r="A61" s="363">
        <v>4</v>
      </c>
      <c r="B61" s="364" t="s">
        <v>1014</v>
      </c>
      <c r="C61" s="364" t="s">
        <v>1015</v>
      </c>
      <c r="D61" s="364" t="s">
        <v>1016</v>
      </c>
      <c r="E61" s="365" t="s">
        <v>321</v>
      </c>
      <c r="F61" s="302" t="s">
        <v>1017</v>
      </c>
      <c r="G61" s="366">
        <v>2</v>
      </c>
      <c r="H61" s="366">
        <v>1.5</v>
      </c>
      <c r="I61" s="302" t="s">
        <v>1018</v>
      </c>
      <c r="J61" s="367" t="s">
        <v>1004</v>
      </c>
      <c r="K61" s="367" t="s">
        <v>1005</v>
      </c>
      <c r="L61" s="302" t="s">
        <v>1019</v>
      </c>
    </row>
    <row r="62" spans="1:16" ht="81.75" customHeight="1" x14ac:dyDescent="0.25">
      <c r="A62" s="357">
        <v>5</v>
      </c>
      <c r="B62" s="358" t="s">
        <v>1020</v>
      </c>
      <c r="C62" s="358" t="s">
        <v>1021</v>
      </c>
      <c r="D62" s="358" t="s">
        <v>1022</v>
      </c>
      <c r="E62" s="359" t="s">
        <v>324</v>
      </c>
      <c r="F62" s="360" t="s">
        <v>1023</v>
      </c>
      <c r="G62" s="361">
        <v>0.8</v>
      </c>
      <c r="H62" s="361">
        <v>0.7</v>
      </c>
      <c r="I62" s="360" t="s">
        <v>1024</v>
      </c>
      <c r="J62" s="362" t="s">
        <v>1025</v>
      </c>
      <c r="K62" s="362" t="s">
        <v>1026</v>
      </c>
      <c r="L62" s="360" t="s">
        <v>1027</v>
      </c>
    </row>
    <row r="63" spans="1:16" ht="135.75" customHeight="1" x14ac:dyDescent="0.25">
      <c r="A63" s="363">
        <v>6</v>
      </c>
      <c r="B63" s="364" t="s">
        <v>1028</v>
      </c>
      <c r="C63" s="364" t="s">
        <v>1029</v>
      </c>
      <c r="D63" s="364" t="s">
        <v>1030</v>
      </c>
      <c r="E63" s="365" t="s">
        <v>325</v>
      </c>
      <c r="F63" s="302" t="s">
        <v>1031</v>
      </c>
      <c r="G63" s="366">
        <v>0</v>
      </c>
      <c r="H63" s="366">
        <v>0</v>
      </c>
      <c r="I63" s="302" t="s">
        <v>1032</v>
      </c>
      <c r="J63" s="367" t="s">
        <v>1033</v>
      </c>
      <c r="K63" s="367" t="s">
        <v>1034</v>
      </c>
      <c r="L63" s="302" t="s">
        <v>1035</v>
      </c>
    </row>
    <row r="65" spans="1:12" ht="15" customHeight="1" x14ac:dyDescent="0.25">
      <c r="A65" s="355" t="s">
        <v>1036</v>
      </c>
    </row>
    <row r="66" spans="1:12" ht="36.75" customHeight="1" x14ac:dyDescent="0.25">
      <c r="A66" s="356" t="s">
        <v>352</v>
      </c>
      <c r="B66" s="63" t="s">
        <v>1037</v>
      </c>
      <c r="C66" s="63" t="s">
        <v>981</v>
      </c>
      <c r="D66" s="63" t="s">
        <v>982</v>
      </c>
      <c r="E66" s="63" t="s">
        <v>1038</v>
      </c>
      <c r="F66" s="63" t="s">
        <v>1039</v>
      </c>
      <c r="G66" s="63" t="s">
        <v>1040</v>
      </c>
      <c r="H66" s="63" t="s">
        <v>1041</v>
      </c>
      <c r="I66" s="63" t="s">
        <v>1042</v>
      </c>
      <c r="J66" s="63" t="s">
        <v>1043</v>
      </c>
      <c r="K66" s="63" t="s">
        <v>1044</v>
      </c>
      <c r="L66" s="63" t="s">
        <v>645</v>
      </c>
    </row>
    <row r="67" spans="1:12" ht="81.75" customHeight="1" x14ac:dyDescent="0.25">
      <c r="A67" s="357">
        <v>1</v>
      </c>
      <c r="B67" s="358" t="s">
        <v>1045</v>
      </c>
      <c r="C67" s="358" t="s">
        <v>1046</v>
      </c>
      <c r="D67" s="358" t="s">
        <v>1047</v>
      </c>
      <c r="E67" s="358" t="s">
        <v>1048</v>
      </c>
      <c r="F67" s="368">
        <v>10.6</v>
      </c>
      <c r="G67" s="368">
        <v>9</v>
      </c>
      <c r="H67" s="360" t="s">
        <v>1049</v>
      </c>
      <c r="I67" s="362" t="s">
        <v>1050</v>
      </c>
      <c r="J67" s="362" t="s">
        <v>1051</v>
      </c>
      <c r="K67" s="360" t="s">
        <v>1052</v>
      </c>
      <c r="L67" s="360" t="s">
        <v>1053</v>
      </c>
    </row>
    <row r="68" spans="1:12" ht="63.75" customHeight="1" x14ac:dyDescent="0.25">
      <c r="A68" s="363">
        <v>2</v>
      </c>
      <c r="B68" s="364" t="s">
        <v>1054</v>
      </c>
      <c r="C68" s="364" t="s">
        <v>1055</v>
      </c>
      <c r="D68" s="364" t="s">
        <v>1056</v>
      </c>
      <c r="E68" s="364" t="s">
        <v>1048</v>
      </c>
      <c r="F68" s="369">
        <v>5.7</v>
      </c>
      <c r="G68" s="369">
        <v>4.8</v>
      </c>
      <c r="H68" s="302" t="s">
        <v>1057</v>
      </c>
      <c r="I68" s="367" t="s">
        <v>1058</v>
      </c>
      <c r="J68" s="367" t="s">
        <v>1051</v>
      </c>
      <c r="K68" s="302" t="s">
        <v>1059</v>
      </c>
      <c r="L68" s="302" t="s">
        <v>1060</v>
      </c>
    </row>
    <row r="69" spans="1:12" ht="54.75" customHeight="1" x14ac:dyDescent="0.25">
      <c r="A69" s="357">
        <v>3</v>
      </c>
      <c r="B69" s="358" t="s">
        <v>1061</v>
      </c>
      <c r="C69" s="358" t="s">
        <v>1062</v>
      </c>
      <c r="D69" s="358" t="s">
        <v>1063</v>
      </c>
      <c r="E69" s="358" t="s">
        <v>1048</v>
      </c>
      <c r="F69" s="368">
        <v>4.0999999999999996</v>
      </c>
      <c r="G69" s="368">
        <v>3.5</v>
      </c>
      <c r="H69" s="360" t="s">
        <v>1064</v>
      </c>
      <c r="I69" s="362" t="s">
        <v>1065</v>
      </c>
      <c r="J69" s="362" t="s">
        <v>1051</v>
      </c>
      <c r="K69" s="360" t="s">
        <v>1066</v>
      </c>
      <c r="L69" s="360" t="s">
        <v>1067</v>
      </c>
    </row>
    <row r="70" spans="1:12" ht="54.75" customHeight="1" x14ac:dyDescent="0.25">
      <c r="A70" s="363">
        <v>4</v>
      </c>
      <c r="B70" s="364" t="s">
        <v>1068</v>
      </c>
      <c r="C70" s="364" t="s">
        <v>1069</v>
      </c>
      <c r="D70" s="364" t="s">
        <v>1070</v>
      </c>
      <c r="E70" s="364" t="s">
        <v>1071</v>
      </c>
      <c r="F70" s="369">
        <v>3.5</v>
      </c>
      <c r="G70" s="369">
        <v>2.8</v>
      </c>
      <c r="H70" s="302" t="s">
        <v>1072</v>
      </c>
      <c r="I70" s="367" t="s">
        <v>1073</v>
      </c>
      <c r="J70" s="367" t="s">
        <v>1051</v>
      </c>
      <c r="K70" s="302" t="s">
        <v>1066</v>
      </c>
      <c r="L70" s="302" t="s">
        <v>1074</v>
      </c>
    </row>
    <row r="71" spans="1:12" ht="54.75" customHeight="1" x14ac:dyDescent="0.25">
      <c r="A71" s="357">
        <v>5</v>
      </c>
      <c r="B71" s="358" t="s">
        <v>1075</v>
      </c>
      <c r="C71" s="358" t="s">
        <v>1076</v>
      </c>
      <c r="D71" s="358" t="s">
        <v>1077</v>
      </c>
      <c r="E71" s="358" t="s">
        <v>1048</v>
      </c>
      <c r="F71" s="368">
        <v>3.5</v>
      </c>
      <c r="G71" s="368">
        <v>3.2</v>
      </c>
      <c r="H71" s="360" t="s">
        <v>1078</v>
      </c>
      <c r="I71" s="362" t="s">
        <v>1079</v>
      </c>
      <c r="J71" s="362" t="s">
        <v>1051</v>
      </c>
      <c r="K71" s="360" t="s">
        <v>1080</v>
      </c>
      <c r="L71" s="360" t="s">
        <v>1081</v>
      </c>
    </row>
    <row r="72" spans="1:12" ht="72.75" customHeight="1" x14ac:dyDescent="0.25">
      <c r="A72" s="363">
        <v>6</v>
      </c>
      <c r="B72" s="364" t="s">
        <v>1082</v>
      </c>
      <c r="C72" s="364" t="s">
        <v>1083</v>
      </c>
      <c r="D72" s="364" t="s">
        <v>1084</v>
      </c>
      <c r="E72" s="364" t="s">
        <v>1048</v>
      </c>
      <c r="F72" s="369">
        <v>3.3</v>
      </c>
      <c r="G72" s="369">
        <v>2.9</v>
      </c>
      <c r="H72" s="302" t="s">
        <v>1085</v>
      </c>
      <c r="I72" s="367" t="s">
        <v>1086</v>
      </c>
      <c r="J72" s="367" t="s">
        <v>1051</v>
      </c>
      <c r="K72" s="302" t="s">
        <v>1087</v>
      </c>
      <c r="L72" s="302" t="s">
        <v>1088</v>
      </c>
    </row>
    <row r="73" spans="1:12" ht="45.75" customHeight="1" x14ac:dyDescent="0.25">
      <c r="A73" s="357">
        <v>7</v>
      </c>
      <c r="B73" s="358" t="s">
        <v>1089</v>
      </c>
      <c r="C73" s="358" t="s">
        <v>1090</v>
      </c>
      <c r="D73" s="358" t="s">
        <v>1091</v>
      </c>
      <c r="E73" s="358" t="s">
        <v>1048</v>
      </c>
      <c r="F73" s="368">
        <v>3.5</v>
      </c>
      <c r="G73" s="368">
        <v>3</v>
      </c>
      <c r="H73" s="360" t="s">
        <v>1072</v>
      </c>
      <c r="I73" s="362" t="s">
        <v>1065</v>
      </c>
      <c r="J73" s="362" t="s">
        <v>1051</v>
      </c>
      <c r="K73" s="360" t="s">
        <v>1092</v>
      </c>
      <c r="L73" s="360" t="s">
        <v>1093</v>
      </c>
    </row>
    <row r="74" spans="1:12" ht="27.75" customHeight="1" x14ac:dyDescent="0.25">
      <c r="A74" s="363">
        <v>8</v>
      </c>
      <c r="B74" s="364" t="s">
        <v>1094</v>
      </c>
      <c r="C74" s="364" t="s">
        <v>1090</v>
      </c>
      <c r="D74" s="364" t="s">
        <v>1095</v>
      </c>
      <c r="E74" s="364" t="s">
        <v>1048</v>
      </c>
      <c r="F74" s="369">
        <v>3</v>
      </c>
      <c r="G74" s="369">
        <v>2.6</v>
      </c>
      <c r="H74" s="302" t="s">
        <v>1072</v>
      </c>
      <c r="I74" s="367" t="s">
        <v>1096</v>
      </c>
      <c r="J74" s="367" t="s">
        <v>1051</v>
      </c>
      <c r="K74" s="302" t="s">
        <v>1097</v>
      </c>
      <c r="L74" s="302"/>
    </row>
    <row r="75" spans="1:12" ht="36.75" customHeight="1" x14ac:dyDescent="0.25">
      <c r="A75" s="357">
        <v>9</v>
      </c>
      <c r="B75" s="358" t="s">
        <v>1098</v>
      </c>
      <c r="C75" s="358" t="s">
        <v>1099</v>
      </c>
      <c r="D75" s="358" t="s">
        <v>1100</v>
      </c>
      <c r="E75" s="358" t="s">
        <v>1048</v>
      </c>
      <c r="F75" s="368">
        <v>2.5</v>
      </c>
      <c r="G75" s="368">
        <v>2.2000000000000002</v>
      </c>
      <c r="H75" s="360" t="s">
        <v>1101</v>
      </c>
      <c r="I75" s="362" t="s">
        <v>1086</v>
      </c>
      <c r="J75" s="362" t="s">
        <v>1051</v>
      </c>
      <c r="K75" s="360" t="s">
        <v>1102</v>
      </c>
      <c r="L75" s="360"/>
    </row>
    <row r="76" spans="1:12" ht="36.75" customHeight="1" x14ac:dyDescent="0.25">
      <c r="A76" s="363">
        <v>10</v>
      </c>
      <c r="B76" s="364" t="s">
        <v>1103</v>
      </c>
      <c r="C76" s="364" t="s">
        <v>1104</v>
      </c>
      <c r="D76" s="364" t="s">
        <v>1105</v>
      </c>
      <c r="E76" s="364" t="s">
        <v>1048</v>
      </c>
      <c r="F76" s="369">
        <v>1.6</v>
      </c>
      <c r="G76" s="369">
        <v>1.4</v>
      </c>
      <c r="H76" s="302" t="s">
        <v>1106</v>
      </c>
      <c r="I76" s="367" t="s">
        <v>1107</v>
      </c>
      <c r="J76" s="367" t="s">
        <v>1051</v>
      </c>
      <c r="K76" s="302" t="s">
        <v>1104</v>
      </c>
      <c r="L76" s="302" t="s">
        <v>1108</v>
      </c>
    </row>
    <row r="77" spans="1:12" ht="36.75" customHeight="1" x14ac:dyDescent="0.25">
      <c r="A77" s="357">
        <v>11</v>
      </c>
      <c r="B77" s="358" t="s">
        <v>1109</v>
      </c>
      <c r="C77" s="358" t="s">
        <v>1104</v>
      </c>
      <c r="D77" s="358" t="s">
        <v>1110</v>
      </c>
      <c r="E77" s="358" t="s">
        <v>1048</v>
      </c>
      <c r="F77" s="368">
        <v>1.3</v>
      </c>
      <c r="G77" s="368">
        <v>1.1000000000000001</v>
      </c>
      <c r="H77" s="360" t="s">
        <v>1072</v>
      </c>
      <c r="I77" s="362" t="s">
        <v>1079</v>
      </c>
      <c r="J77" s="362" t="s">
        <v>1051</v>
      </c>
      <c r="K77" s="360" t="s">
        <v>1104</v>
      </c>
      <c r="L77" s="360"/>
    </row>
    <row r="78" spans="1:12" ht="36.75" customHeight="1" x14ac:dyDescent="0.25">
      <c r="A78" s="363">
        <v>12</v>
      </c>
      <c r="B78" s="364" t="s">
        <v>1111</v>
      </c>
      <c r="C78" s="364" t="s">
        <v>1112</v>
      </c>
      <c r="D78" s="364" t="s">
        <v>1113</v>
      </c>
      <c r="E78" s="364" t="s">
        <v>1048</v>
      </c>
      <c r="F78" s="369">
        <v>2</v>
      </c>
      <c r="G78" s="369">
        <v>1.7</v>
      </c>
      <c r="H78" s="302" t="s">
        <v>1114</v>
      </c>
      <c r="I78" s="367" t="s">
        <v>1115</v>
      </c>
      <c r="J78" s="367" t="s">
        <v>1051</v>
      </c>
      <c r="K78" s="302" t="s">
        <v>1116</v>
      </c>
      <c r="L78" s="302"/>
    </row>
    <row r="79" spans="1:12" ht="27.75" customHeight="1" x14ac:dyDescent="0.25">
      <c r="A79" s="357">
        <v>13</v>
      </c>
      <c r="B79" s="358" t="s">
        <v>1117</v>
      </c>
      <c r="C79" s="358" t="s">
        <v>1118</v>
      </c>
      <c r="D79" s="358" t="s">
        <v>1119</v>
      </c>
      <c r="E79" s="358" t="s">
        <v>1048</v>
      </c>
      <c r="F79" s="368">
        <v>1.6</v>
      </c>
      <c r="G79" s="368">
        <v>1.3</v>
      </c>
      <c r="H79" s="360" t="s">
        <v>1072</v>
      </c>
      <c r="I79" s="362" t="s">
        <v>1096</v>
      </c>
      <c r="J79" s="362" t="s">
        <v>1051</v>
      </c>
      <c r="K79" s="360" t="s">
        <v>1120</v>
      </c>
      <c r="L79" s="360"/>
    </row>
    <row r="80" spans="1:12" ht="27.75" customHeight="1" x14ac:dyDescent="0.25">
      <c r="A80" s="363">
        <v>14</v>
      </c>
      <c r="B80" s="364" t="s">
        <v>1121</v>
      </c>
      <c r="C80" s="364" t="s">
        <v>1097</v>
      </c>
      <c r="D80" s="364" t="s">
        <v>1122</v>
      </c>
      <c r="E80" s="364" t="s">
        <v>1048</v>
      </c>
      <c r="F80" s="369">
        <v>2</v>
      </c>
      <c r="G80" s="369">
        <v>1.7</v>
      </c>
      <c r="H80" s="302" t="s">
        <v>1072</v>
      </c>
      <c r="I80" s="367" t="s">
        <v>1096</v>
      </c>
      <c r="J80" s="367" t="s">
        <v>1051</v>
      </c>
      <c r="K80" s="302" t="s">
        <v>1097</v>
      </c>
      <c r="L80" s="302"/>
    </row>
    <row r="81" spans="1:12" ht="72.75" customHeight="1" x14ac:dyDescent="0.25">
      <c r="A81" s="357">
        <v>15</v>
      </c>
      <c r="B81" s="358" t="s">
        <v>1123</v>
      </c>
      <c r="C81" s="358" t="s">
        <v>1090</v>
      </c>
      <c r="D81" s="358" t="s">
        <v>1124</v>
      </c>
      <c r="E81" s="358" t="s">
        <v>1125</v>
      </c>
      <c r="F81" s="368">
        <v>0.6</v>
      </c>
      <c r="G81" s="368">
        <v>0.5</v>
      </c>
      <c r="H81" s="360" t="s">
        <v>1126</v>
      </c>
      <c r="I81" s="362" t="s">
        <v>1127</v>
      </c>
      <c r="J81" s="362" t="s">
        <v>1051</v>
      </c>
      <c r="K81" s="360" t="s">
        <v>1097</v>
      </c>
      <c r="L81" s="360" t="s">
        <v>1128</v>
      </c>
    </row>
    <row r="83" spans="1:12" ht="15" customHeight="1" x14ac:dyDescent="0.25">
      <c r="A83" s="355" t="s">
        <v>1129</v>
      </c>
    </row>
    <row r="84" spans="1:12" ht="36.75" customHeight="1" x14ac:dyDescent="0.25">
      <c r="A84" s="356" t="s">
        <v>352</v>
      </c>
      <c r="B84" s="63" t="s">
        <v>1130</v>
      </c>
      <c r="C84" s="63" t="s">
        <v>1131</v>
      </c>
      <c r="D84" s="63" t="s">
        <v>982</v>
      </c>
      <c r="E84" s="63" t="s">
        <v>5</v>
      </c>
      <c r="F84" s="63" t="s">
        <v>1132</v>
      </c>
      <c r="G84" s="63" t="s">
        <v>1133</v>
      </c>
      <c r="H84" s="63" t="s">
        <v>1134</v>
      </c>
      <c r="I84" s="63" t="s">
        <v>1135</v>
      </c>
      <c r="J84" s="63" t="s">
        <v>1136</v>
      </c>
      <c r="K84" s="63" t="s">
        <v>1137</v>
      </c>
      <c r="L84" s="63" t="s">
        <v>990</v>
      </c>
    </row>
    <row r="85" spans="1:12" ht="324" customHeight="1" x14ac:dyDescent="0.25">
      <c r="A85" s="357">
        <v>1</v>
      </c>
      <c r="B85" s="358" t="s">
        <v>1138</v>
      </c>
      <c r="C85" s="358" t="s">
        <v>1139</v>
      </c>
      <c r="D85" s="360" t="s">
        <v>1140</v>
      </c>
      <c r="E85" s="360" t="s">
        <v>1141</v>
      </c>
      <c r="F85" s="362">
        <v>600</v>
      </c>
      <c r="G85" s="362">
        <v>1000</v>
      </c>
      <c r="H85" s="362" t="s">
        <v>1142</v>
      </c>
      <c r="I85" s="360" t="s">
        <v>1143</v>
      </c>
      <c r="J85" s="360" t="s">
        <v>1144</v>
      </c>
      <c r="K85" s="360" t="s">
        <v>1145</v>
      </c>
      <c r="L85" s="360" t="s">
        <v>1146</v>
      </c>
    </row>
    <row r="86" spans="1:12" ht="135.75" customHeight="1" x14ac:dyDescent="0.25">
      <c r="A86" s="363">
        <v>2</v>
      </c>
      <c r="B86" s="364" t="s">
        <v>1147</v>
      </c>
      <c r="C86" s="364" t="s">
        <v>1148</v>
      </c>
      <c r="D86" s="302" t="s">
        <v>1149</v>
      </c>
      <c r="E86" s="302" t="s">
        <v>1150</v>
      </c>
      <c r="F86" s="367">
        <v>390</v>
      </c>
      <c r="G86" s="367">
        <v>650</v>
      </c>
      <c r="H86" s="367" t="s">
        <v>755</v>
      </c>
      <c r="I86" s="302" t="s">
        <v>1151</v>
      </c>
      <c r="J86" s="302" t="s">
        <v>1152</v>
      </c>
      <c r="K86" s="302" t="s">
        <v>1153</v>
      </c>
      <c r="L86" s="302" t="s">
        <v>1154</v>
      </c>
    </row>
    <row r="87" spans="1:12" ht="189" customHeight="1" x14ac:dyDescent="0.25">
      <c r="A87" s="357">
        <v>3</v>
      </c>
      <c r="B87" s="358" t="s">
        <v>1155</v>
      </c>
      <c r="C87" s="358" t="s">
        <v>1156</v>
      </c>
      <c r="D87" s="360" t="s">
        <v>1157</v>
      </c>
      <c r="E87" s="360" t="s">
        <v>1158</v>
      </c>
      <c r="F87" s="362">
        <v>750</v>
      </c>
      <c r="G87" s="362" t="s">
        <v>755</v>
      </c>
      <c r="H87" s="362" t="s">
        <v>755</v>
      </c>
      <c r="I87" s="360" t="s">
        <v>1159</v>
      </c>
      <c r="J87" s="360" t="s">
        <v>1160</v>
      </c>
      <c r="K87" s="360" t="s">
        <v>1161</v>
      </c>
      <c r="L87" s="360" t="s">
        <v>1162</v>
      </c>
    </row>
    <row r="88" spans="1:12" ht="63.75" customHeight="1" x14ac:dyDescent="0.25">
      <c r="A88" s="363">
        <v>4</v>
      </c>
      <c r="B88" s="364" t="s">
        <v>1163</v>
      </c>
      <c r="C88" s="364" t="s">
        <v>1164</v>
      </c>
      <c r="D88" s="302" t="s">
        <v>1047</v>
      </c>
      <c r="E88" s="302" t="s">
        <v>1150</v>
      </c>
      <c r="F88" s="367">
        <v>330</v>
      </c>
      <c r="G88" s="367">
        <v>500</v>
      </c>
      <c r="H88" s="367" t="s">
        <v>755</v>
      </c>
      <c r="I88" s="302" t="s">
        <v>1165</v>
      </c>
      <c r="J88" s="302" t="s">
        <v>1166</v>
      </c>
      <c r="K88" s="302" t="s">
        <v>1167</v>
      </c>
      <c r="L88" s="302" t="s">
        <v>1168</v>
      </c>
    </row>
    <row r="89" spans="1:12" ht="288.75" customHeight="1" x14ac:dyDescent="0.25">
      <c r="A89" s="357">
        <v>5</v>
      </c>
      <c r="B89" s="358" t="s">
        <v>1169</v>
      </c>
      <c r="C89" s="358" t="s">
        <v>1170</v>
      </c>
      <c r="D89" s="360" t="s">
        <v>1171</v>
      </c>
      <c r="E89" s="360" t="s">
        <v>1172</v>
      </c>
      <c r="F89" s="362">
        <v>120</v>
      </c>
      <c r="G89" s="362" t="s">
        <v>755</v>
      </c>
      <c r="H89" s="362" t="s">
        <v>1173</v>
      </c>
      <c r="I89" s="360" t="s">
        <v>1174</v>
      </c>
      <c r="J89" s="360" t="s">
        <v>1175</v>
      </c>
      <c r="K89" s="360" t="s">
        <v>1176</v>
      </c>
      <c r="L89" s="360" t="s">
        <v>1177</v>
      </c>
    </row>
    <row r="90" spans="1:12" ht="99.75" customHeight="1" x14ac:dyDescent="0.25">
      <c r="A90" s="363">
        <v>6</v>
      </c>
      <c r="B90" s="364" t="s">
        <v>1178</v>
      </c>
      <c r="C90" s="364" t="s">
        <v>1179</v>
      </c>
      <c r="D90" s="302" t="s">
        <v>1030</v>
      </c>
      <c r="E90" s="302" t="s">
        <v>1180</v>
      </c>
      <c r="F90" s="367">
        <v>150</v>
      </c>
      <c r="G90" s="367" t="s">
        <v>755</v>
      </c>
      <c r="H90" s="367" t="s">
        <v>1181</v>
      </c>
      <c r="I90" s="302" t="s">
        <v>1182</v>
      </c>
      <c r="J90" s="302" t="s">
        <v>1072</v>
      </c>
      <c r="K90" s="302" t="s">
        <v>1183</v>
      </c>
      <c r="L90" s="302" t="s">
        <v>1184</v>
      </c>
    </row>
    <row r="91" spans="1:12" ht="135.75" customHeight="1" x14ac:dyDescent="0.25">
      <c r="A91" s="357">
        <v>7</v>
      </c>
      <c r="B91" s="358" t="s">
        <v>1185</v>
      </c>
      <c r="C91" s="358" t="s">
        <v>1186</v>
      </c>
      <c r="D91" s="360" t="s">
        <v>1105</v>
      </c>
      <c r="E91" s="360" t="s">
        <v>1150</v>
      </c>
      <c r="F91" s="362">
        <v>300</v>
      </c>
      <c r="G91" s="362">
        <v>500</v>
      </c>
      <c r="H91" s="362" t="s">
        <v>755</v>
      </c>
      <c r="I91" s="360" t="s">
        <v>1187</v>
      </c>
      <c r="J91" s="360" t="s">
        <v>1188</v>
      </c>
      <c r="K91" s="360" t="s">
        <v>1189</v>
      </c>
      <c r="L91" s="360" t="s">
        <v>1190</v>
      </c>
    </row>
    <row r="92" spans="1:12" ht="144.75" customHeight="1" x14ac:dyDescent="0.25">
      <c r="A92" s="363">
        <v>8</v>
      </c>
      <c r="B92" s="364" t="s">
        <v>1191</v>
      </c>
      <c r="C92" s="364" t="s">
        <v>1192</v>
      </c>
      <c r="D92" s="302" t="s">
        <v>1193</v>
      </c>
      <c r="E92" s="302" t="s">
        <v>1194</v>
      </c>
      <c r="F92" s="367">
        <v>440</v>
      </c>
      <c r="G92" s="367">
        <v>380</v>
      </c>
      <c r="H92" s="367" t="s">
        <v>1195</v>
      </c>
      <c r="I92" s="302" t="s">
        <v>1196</v>
      </c>
      <c r="J92" s="302" t="s">
        <v>1197</v>
      </c>
      <c r="K92" s="302" t="s">
        <v>1198</v>
      </c>
      <c r="L92" s="302" t="s">
        <v>1199</v>
      </c>
    </row>
    <row r="94" spans="1:12" ht="15" customHeight="1" x14ac:dyDescent="0.25">
      <c r="A94" s="355" t="s">
        <v>1200</v>
      </c>
    </row>
    <row r="95" spans="1:12" ht="36.75" customHeight="1" x14ac:dyDescent="0.25">
      <c r="A95" s="356" t="s">
        <v>352</v>
      </c>
      <c r="B95" s="63" t="s">
        <v>1201</v>
      </c>
      <c r="C95" s="63" t="s">
        <v>1202</v>
      </c>
      <c r="D95" s="63" t="s">
        <v>982</v>
      </c>
      <c r="E95" s="63" t="s">
        <v>1203</v>
      </c>
      <c r="F95" s="63" t="s">
        <v>1204</v>
      </c>
      <c r="G95" s="63" t="s">
        <v>1205</v>
      </c>
      <c r="H95" s="63" t="s">
        <v>1136</v>
      </c>
      <c r="I95" s="63" t="s">
        <v>1206</v>
      </c>
      <c r="J95" s="63" t="s">
        <v>1043</v>
      </c>
      <c r="K95" s="63" t="s">
        <v>1207</v>
      </c>
      <c r="L95" s="63" t="s">
        <v>990</v>
      </c>
    </row>
    <row r="96" spans="1:12" ht="409.6" customHeight="1" x14ac:dyDescent="0.25">
      <c r="A96" s="357">
        <v>1</v>
      </c>
      <c r="B96" s="358" t="s">
        <v>1208</v>
      </c>
      <c r="C96" s="358" t="s">
        <v>1209</v>
      </c>
      <c r="D96" s="358" t="s">
        <v>1210</v>
      </c>
      <c r="E96" s="360" t="s">
        <v>1211</v>
      </c>
      <c r="F96" s="370">
        <v>320</v>
      </c>
      <c r="G96" s="370">
        <v>285</v>
      </c>
      <c r="H96" s="360" t="s">
        <v>1212</v>
      </c>
      <c r="I96" s="360" t="s">
        <v>1213</v>
      </c>
      <c r="J96" s="360" t="s">
        <v>1214</v>
      </c>
      <c r="K96" s="360" t="s">
        <v>1215</v>
      </c>
      <c r="L96" s="360" t="s">
        <v>1216</v>
      </c>
    </row>
    <row r="97" spans="1:12" ht="409.6" customHeight="1" x14ac:dyDescent="0.25">
      <c r="A97" s="363">
        <v>2</v>
      </c>
      <c r="B97" s="364" t="s">
        <v>1217</v>
      </c>
      <c r="C97" s="364" t="s">
        <v>1218</v>
      </c>
      <c r="D97" s="364" t="s">
        <v>1210</v>
      </c>
      <c r="E97" s="302" t="s">
        <v>1219</v>
      </c>
      <c r="F97" s="371">
        <v>300</v>
      </c>
      <c r="G97" s="371">
        <v>0</v>
      </c>
      <c r="H97" s="302" t="s">
        <v>1220</v>
      </c>
      <c r="I97" s="302" t="s">
        <v>1221</v>
      </c>
      <c r="J97" s="302" t="s">
        <v>1222</v>
      </c>
      <c r="K97" s="302" t="s">
        <v>1223</v>
      </c>
      <c r="L97" s="302" t="s">
        <v>1224</v>
      </c>
    </row>
    <row r="99" spans="1:12" ht="409.6" customHeight="1" x14ac:dyDescent="0.25">
      <c r="B99" s="372" t="s">
        <v>1225</v>
      </c>
      <c r="C99" s="373"/>
      <c r="D99" s="373"/>
      <c r="E99" s="373"/>
      <c r="F99" s="373"/>
      <c r="G99" s="373"/>
      <c r="H99" s="373"/>
      <c r="I99" s="373"/>
      <c r="J99" s="373"/>
      <c r="K99" s="373"/>
      <c r="L99" s="374"/>
    </row>
    <row r="101" spans="1:12" ht="19.5" customHeight="1" x14ac:dyDescent="0.25">
      <c r="A101" s="441" t="s">
        <v>1226</v>
      </c>
      <c r="B101" s="441"/>
      <c r="C101" s="441"/>
      <c r="D101" s="441"/>
      <c r="E101" s="441"/>
      <c r="F101" s="441"/>
      <c r="G101" s="441"/>
      <c r="H101" s="441"/>
      <c r="I101" s="441"/>
    </row>
    <row r="102" spans="1:12" ht="27.75" customHeight="1" x14ac:dyDescent="0.25">
      <c r="A102" s="375" t="s">
        <v>154</v>
      </c>
      <c r="B102" s="375" t="s">
        <v>319</v>
      </c>
      <c r="C102" s="375" t="s">
        <v>1227</v>
      </c>
      <c r="D102" s="375" t="s">
        <v>1228</v>
      </c>
      <c r="E102" s="375" t="s">
        <v>1229</v>
      </c>
      <c r="F102" s="375" t="s">
        <v>1230</v>
      </c>
      <c r="G102" s="375" t="s">
        <v>1231</v>
      </c>
      <c r="H102" s="375" t="s">
        <v>1232</v>
      </c>
    </row>
    <row r="103" spans="1:12" ht="63.75" customHeight="1" x14ac:dyDescent="0.25">
      <c r="A103" s="376" t="s">
        <v>279</v>
      </c>
      <c r="B103" s="280" t="s">
        <v>1233</v>
      </c>
      <c r="C103" s="280">
        <v>0.73</v>
      </c>
      <c r="D103" s="280" t="s">
        <v>1234</v>
      </c>
      <c r="E103" s="280">
        <v>1.82</v>
      </c>
      <c r="F103" s="280" t="s">
        <v>1235</v>
      </c>
      <c r="G103" s="280" t="s">
        <v>1236</v>
      </c>
      <c r="H103" s="280" t="s">
        <v>1237</v>
      </c>
    </row>
    <row r="104" spans="1:12" ht="45.75" customHeight="1" x14ac:dyDescent="0.25">
      <c r="A104" s="376" t="s">
        <v>281</v>
      </c>
      <c r="B104" s="280" t="s">
        <v>1233</v>
      </c>
      <c r="C104" s="280">
        <v>0.155</v>
      </c>
      <c r="D104" s="280" t="s">
        <v>1034</v>
      </c>
      <c r="E104" s="280">
        <v>0.72</v>
      </c>
      <c r="F104" s="280" t="s">
        <v>1238</v>
      </c>
      <c r="G104" s="280" t="s">
        <v>1239</v>
      </c>
      <c r="H104" s="280" t="s">
        <v>1240</v>
      </c>
    </row>
    <row r="105" spans="1:12" ht="63.75" customHeight="1" x14ac:dyDescent="0.25">
      <c r="A105" s="376" t="s">
        <v>756</v>
      </c>
      <c r="B105" s="280" t="s">
        <v>1233</v>
      </c>
      <c r="C105" s="280">
        <v>2.1720000000000002</v>
      </c>
      <c r="D105" s="280" t="s">
        <v>1241</v>
      </c>
      <c r="E105" s="280">
        <v>2.8</v>
      </c>
      <c r="F105" s="280" t="s">
        <v>1242</v>
      </c>
      <c r="G105" s="280" t="s">
        <v>758</v>
      </c>
      <c r="H105" s="280" t="s">
        <v>1243</v>
      </c>
    </row>
    <row r="106" spans="1:12" ht="36.75" customHeight="1" x14ac:dyDescent="0.25">
      <c r="A106" s="377" t="s">
        <v>759</v>
      </c>
      <c r="B106" s="285" t="s">
        <v>112</v>
      </c>
      <c r="C106" s="285">
        <v>0.871</v>
      </c>
      <c r="D106" s="285" t="s">
        <v>1034</v>
      </c>
      <c r="E106" s="285">
        <v>1.58</v>
      </c>
      <c r="F106" s="285" t="s">
        <v>1244</v>
      </c>
      <c r="G106" s="285" t="s">
        <v>1245</v>
      </c>
      <c r="H106" s="285" t="s">
        <v>1246</v>
      </c>
    </row>
    <row r="107" spans="1:12" ht="45.75" customHeight="1" x14ac:dyDescent="0.25">
      <c r="A107" s="378" t="s">
        <v>761</v>
      </c>
      <c r="B107" s="287" t="s">
        <v>1247</v>
      </c>
      <c r="C107" s="287">
        <v>1.889</v>
      </c>
      <c r="D107" s="287" t="s">
        <v>1248</v>
      </c>
      <c r="E107" s="287">
        <v>1.8260000000000001</v>
      </c>
      <c r="F107" s="287" t="s">
        <v>1249</v>
      </c>
      <c r="G107" s="287" t="s">
        <v>1250</v>
      </c>
      <c r="H107" s="287" t="s">
        <v>1251</v>
      </c>
    </row>
    <row r="108" spans="1:12" ht="27.75" customHeight="1" x14ac:dyDescent="0.25">
      <c r="A108" s="378" t="s">
        <v>114</v>
      </c>
      <c r="B108" s="287" t="s">
        <v>1247</v>
      </c>
      <c r="C108" s="287">
        <v>-0.58299999999999996</v>
      </c>
      <c r="D108" s="287" t="s">
        <v>1252</v>
      </c>
      <c r="E108" s="287">
        <v>1.88</v>
      </c>
      <c r="F108" s="287" t="s">
        <v>1253</v>
      </c>
      <c r="G108" s="287" t="s">
        <v>1254</v>
      </c>
      <c r="H108" s="287" t="s">
        <v>1251</v>
      </c>
    </row>
    <row r="109" spans="1:12" ht="63.75" customHeight="1" x14ac:dyDescent="0.25">
      <c r="A109" s="378" t="s">
        <v>289</v>
      </c>
      <c r="B109" s="287" t="s">
        <v>1247</v>
      </c>
      <c r="C109" s="287">
        <v>1.1259999999999999</v>
      </c>
      <c r="D109" s="287" t="s">
        <v>1255</v>
      </c>
      <c r="E109" s="287">
        <v>0.97</v>
      </c>
      <c r="F109" s="287" t="s">
        <v>1256</v>
      </c>
      <c r="G109" s="287" t="s">
        <v>1257</v>
      </c>
      <c r="H109" s="287" t="s">
        <v>1258</v>
      </c>
    </row>
    <row r="110" spans="1:12" ht="54.75" customHeight="1" x14ac:dyDescent="0.25">
      <c r="A110" s="379" t="s">
        <v>291</v>
      </c>
      <c r="B110" s="293" t="s">
        <v>1259</v>
      </c>
      <c r="C110" s="293">
        <v>2.5059999999999998</v>
      </c>
      <c r="D110" s="293" t="s">
        <v>1034</v>
      </c>
      <c r="E110" s="293">
        <v>2.06</v>
      </c>
      <c r="F110" s="293" t="s">
        <v>1260</v>
      </c>
      <c r="G110" s="293" t="s">
        <v>1261</v>
      </c>
      <c r="H110" s="293" t="s">
        <v>1262</v>
      </c>
    </row>
  </sheetData>
  <mergeCells count="10">
    <mergeCell ref="A38:P38"/>
    <mergeCell ref="A49:P49"/>
    <mergeCell ref="A50:P50"/>
    <mergeCell ref="A52:L52"/>
    <mergeCell ref="A101:I101"/>
    <mergeCell ref="A1:P1"/>
    <mergeCell ref="A2:P2"/>
    <mergeCell ref="A5:P5"/>
    <mergeCell ref="A16:P16"/>
    <mergeCell ref="A27:P2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X369"/>
  <sheetViews>
    <sheetView tabSelected="1" topLeftCell="A31" zoomScaleNormal="100" workbookViewId="0">
      <selection activeCell="A2" sqref="A2:X2"/>
    </sheetView>
  </sheetViews>
  <sheetFormatPr defaultColWidth="8.7109375" defaultRowHeight="15" x14ac:dyDescent="0.25"/>
  <cols>
    <col min="1" max="1" width="36" customWidth="1"/>
    <col min="2" max="7" width="6" customWidth="1"/>
    <col min="8" max="8" width="40" customWidth="1"/>
    <col min="9" max="9" width="10" customWidth="1"/>
    <col min="10" max="10" width="36" customWidth="1"/>
    <col min="11" max="12" width="4" customWidth="1"/>
    <col min="13" max="24" width="11" customWidth="1"/>
  </cols>
  <sheetData>
    <row r="1" spans="1:24" ht="27.75" customHeight="1" x14ac:dyDescent="0.3">
      <c r="A1" s="14" t="s">
        <v>1263</v>
      </c>
      <c r="B1" s="14"/>
      <c r="C1" s="14"/>
      <c r="D1" s="14"/>
      <c r="E1" s="14"/>
      <c r="F1" s="14"/>
      <c r="G1" s="14"/>
      <c r="H1" s="14"/>
      <c r="I1" s="14"/>
      <c r="J1" s="14"/>
      <c r="K1" s="14"/>
      <c r="L1" s="14"/>
      <c r="M1" s="14"/>
      <c r="N1" s="14"/>
      <c r="O1" s="14"/>
      <c r="P1" s="14"/>
      <c r="Q1" s="14"/>
      <c r="R1" s="14"/>
      <c r="S1" s="14"/>
      <c r="T1" s="14"/>
      <c r="U1" s="14"/>
      <c r="V1" s="14"/>
      <c r="W1" s="14"/>
      <c r="X1" s="14"/>
    </row>
    <row r="2" spans="1:24" ht="18" customHeight="1" x14ac:dyDescent="0.25">
      <c r="A2" s="13" t="s">
        <v>1264</v>
      </c>
      <c r="B2" s="13"/>
      <c r="C2" s="13"/>
      <c r="D2" s="13"/>
      <c r="E2" s="13"/>
      <c r="F2" s="13"/>
      <c r="G2" s="13"/>
      <c r="H2" s="13"/>
      <c r="I2" s="13"/>
      <c r="J2" s="13"/>
      <c r="K2" s="13"/>
      <c r="L2" s="13"/>
      <c r="M2" s="13"/>
      <c r="N2" s="13"/>
      <c r="O2" s="13"/>
      <c r="P2" s="13"/>
      <c r="Q2" s="13"/>
      <c r="R2" s="13"/>
      <c r="S2" s="13"/>
      <c r="T2" s="13"/>
      <c r="U2" s="13"/>
      <c r="V2" s="13"/>
      <c r="W2" s="13"/>
      <c r="X2" s="13"/>
    </row>
    <row r="3" spans="1:24" ht="21.75" customHeight="1" x14ac:dyDescent="0.25">
      <c r="A3" s="35" t="s">
        <v>1265</v>
      </c>
      <c r="B3" s="35" t="s">
        <v>1266</v>
      </c>
      <c r="C3" s="35" t="s">
        <v>1267</v>
      </c>
      <c r="D3" s="35" t="s">
        <v>1268</v>
      </c>
      <c r="E3" s="35" t="s">
        <v>1269</v>
      </c>
      <c r="F3" s="35" t="s">
        <v>1270</v>
      </c>
      <c r="G3" s="35" t="s">
        <v>1271</v>
      </c>
      <c r="H3" s="35" t="s">
        <v>1272</v>
      </c>
      <c r="I3" s="35" t="s">
        <v>123</v>
      </c>
      <c r="J3" s="35" t="s">
        <v>1273</v>
      </c>
      <c r="K3" s="35"/>
      <c r="L3" s="35"/>
      <c r="M3" s="35" t="s">
        <v>124</v>
      </c>
      <c r="N3" s="35" t="s">
        <v>125</v>
      </c>
      <c r="O3" s="35" t="s">
        <v>126</v>
      </c>
      <c r="P3" s="35" t="s">
        <v>127</v>
      </c>
      <c r="Q3" s="35" t="s">
        <v>128</v>
      </c>
      <c r="R3" s="35" t="s">
        <v>129</v>
      </c>
      <c r="S3" s="35" t="s">
        <v>130</v>
      </c>
      <c r="T3" s="35" t="s">
        <v>131</v>
      </c>
      <c r="U3" s="35" t="s">
        <v>132</v>
      </c>
      <c r="V3" s="35" t="s">
        <v>133</v>
      </c>
      <c r="W3" s="35" t="s">
        <v>134</v>
      </c>
      <c r="X3" s="35" t="s">
        <v>135</v>
      </c>
    </row>
    <row r="5" spans="1:24" ht="21.75" customHeight="1" x14ac:dyDescent="0.25">
      <c r="A5" s="12" t="s">
        <v>1274</v>
      </c>
      <c r="B5" s="12"/>
      <c r="C5" s="12"/>
      <c r="D5" s="12"/>
      <c r="E5" s="12"/>
      <c r="F5" s="12"/>
      <c r="G5" s="12"/>
      <c r="H5" s="12"/>
      <c r="I5" s="12"/>
      <c r="J5" s="12"/>
      <c r="K5" s="12"/>
      <c r="L5" s="12"/>
      <c r="M5" s="12"/>
      <c r="N5" s="12"/>
      <c r="O5" s="12"/>
      <c r="P5" s="12"/>
      <c r="Q5" s="12"/>
      <c r="R5" s="12"/>
      <c r="S5" s="12"/>
      <c r="T5" s="12"/>
      <c r="U5" s="12"/>
      <c r="V5" s="12"/>
      <c r="W5" s="12"/>
      <c r="X5" s="12"/>
    </row>
    <row r="6" spans="1:24" ht="15" customHeight="1" x14ac:dyDescent="0.25">
      <c r="A6" s="380" t="str">
        <f>CBAM!$B$5&amp;".pj.grw.---.---.---"</f>
        <v>egy.pj.grw.---.---.---</v>
      </c>
      <c r="B6" s="380" t="str">
        <f>CBAM!$B$5</f>
        <v>egy</v>
      </c>
      <c r="C6" s="380" t="s">
        <v>1275</v>
      </c>
      <c r="D6" s="380" t="s">
        <v>1276</v>
      </c>
      <c r="E6" s="380" t="s">
        <v>1277</v>
      </c>
      <c r="F6" s="380" t="s">
        <v>1277</v>
      </c>
      <c r="G6" s="380" t="s">
        <v>1277</v>
      </c>
      <c r="H6" s="380" t="s">
        <v>1278</v>
      </c>
      <c r="I6" s="380" t="s">
        <v>1279</v>
      </c>
      <c r="J6" s="380" t="s">
        <v>1280</v>
      </c>
      <c r="K6" s="380"/>
      <c r="L6" s="380"/>
      <c r="M6" s="381">
        <f>INDEX(input_data!$L:$L,MATCH(CBAM!$B$5&amp;".in.grw.---.---.---",input_data!$A:$A,0))</f>
        <v>5.5E-2</v>
      </c>
      <c r="N6" s="381">
        <f>INDEX(input_data!$L:$L,MATCH(CBAM!$B$5&amp;".in.grw.---.---.---",input_data!$A:$A,0))</f>
        <v>5.5E-2</v>
      </c>
      <c r="O6" s="381">
        <f>INDEX(input_data!$L:$L,MATCH(CBAM!$B$5&amp;".in.grw.---.---.---",input_data!$A:$A,0))</f>
        <v>5.5E-2</v>
      </c>
      <c r="P6" s="381">
        <f>INDEX(input_data!$L:$L,MATCH(CBAM!$B$5&amp;".in.grw.---.---.---",input_data!$A:$A,0))</f>
        <v>5.5E-2</v>
      </c>
      <c r="Q6" s="381">
        <f>INDEX(input_data!$L:$L,MATCH(CBAM!$B$5&amp;".in.grw.---.---.---",input_data!$A:$A,0))</f>
        <v>5.5E-2</v>
      </c>
      <c r="R6" s="381">
        <f>INDEX(input_data!$L:$L,MATCH(CBAM!$B$5&amp;".in.grw.---.---.---",input_data!$A:$A,0))</f>
        <v>5.5E-2</v>
      </c>
      <c r="S6" s="381">
        <f>INDEX(input_data!$L:$L,MATCH(CBAM!$B$5&amp;".in.grw.---.---.---",input_data!$A:$A,0))</f>
        <v>5.5E-2</v>
      </c>
      <c r="T6" s="381">
        <f>INDEX(input_data!$L:$L,MATCH(CBAM!$B$5&amp;".in.grw.---.---.---",input_data!$A:$A,0))</f>
        <v>5.5E-2</v>
      </c>
      <c r="U6" s="381">
        <f>INDEX(input_data!$L:$L,MATCH(CBAM!$B$5&amp;".in.grw.---.---.---",input_data!$A:$A,0))</f>
        <v>5.5E-2</v>
      </c>
      <c r="V6" s="381">
        <f>INDEX(input_data!$L:$L,MATCH(CBAM!$B$5&amp;".in.grw.---.---.---",input_data!$A:$A,0))</f>
        <v>5.5E-2</v>
      </c>
      <c r="W6" s="381">
        <f>INDEX(input_data!$L:$L,MATCH(CBAM!$B$5&amp;".in.grw.---.---.---",input_data!$A:$A,0))</f>
        <v>5.5E-2</v>
      </c>
      <c r="X6" s="381">
        <f>INDEX(input_data!$L:$L,MATCH(CBAM!$B$5&amp;".in.grw.---.---.---",input_data!$A:$A,0))</f>
        <v>5.5E-2</v>
      </c>
    </row>
    <row r="7" spans="1:24" ht="15" customHeight="1" x14ac:dyDescent="0.25">
      <c r="A7" s="380" t="str">
        <f>CBAM!$B$5&amp;".pj.idx.---.---.---"</f>
        <v>egy.pj.idx.---.---.---</v>
      </c>
      <c r="B7" s="380" t="str">
        <f>CBAM!$B$5</f>
        <v>egy</v>
      </c>
      <c r="C7" s="380" t="s">
        <v>1275</v>
      </c>
      <c r="D7" s="380" t="s">
        <v>1281</v>
      </c>
      <c r="E7" s="380" t="s">
        <v>1277</v>
      </c>
      <c r="F7" s="380" t="s">
        <v>1277</v>
      </c>
      <c r="G7" s="380" t="s">
        <v>1277</v>
      </c>
      <c r="H7" s="380" t="s">
        <v>1282</v>
      </c>
      <c r="I7" s="380" t="s">
        <v>1283</v>
      </c>
      <c r="J7" s="380" t="s">
        <v>1284</v>
      </c>
      <c r="K7" s="380"/>
      <c r="L7" s="380"/>
      <c r="M7" s="382">
        <f>1</f>
        <v>1</v>
      </c>
      <c r="N7" s="382">
        <f t="shared" ref="N7:X7" si="0">M7*(1+N6)</f>
        <v>1.0549999999999999</v>
      </c>
      <c r="O7" s="382">
        <f t="shared" si="0"/>
        <v>1.1130249999999999</v>
      </c>
      <c r="P7" s="382">
        <f t="shared" si="0"/>
        <v>1.1742413749999998</v>
      </c>
      <c r="Q7" s="382">
        <f t="shared" si="0"/>
        <v>1.2388246506249998</v>
      </c>
      <c r="R7" s="382">
        <f t="shared" si="0"/>
        <v>1.3069600064093747</v>
      </c>
      <c r="S7" s="382">
        <f t="shared" si="0"/>
        <v>1.3788428067618903</v>
      </c>
      <c r="T7" s="382">
        <f t="shared" si="0"/>
        <v>1.4546791611337941</v>
      </c>
      <c r="U7" s="382">
        <f t="shared" si="0"/>
        <v>1.5346865149961528</v>
      </c>
      <c r="V7" s="382">
        <f t="shared" si="0"/>
        <v>1.6190942733209412</v>
      </c>
      <c r="W7" s="382">
        <f t="shared" si="0"/>
        <v>1.708144458353593</v>
      </c>
      <c r="X7" s="382">
        <f t="shared" si="0"/>
        <v>1.8020924035630406</v>
      </c>
    </row>
    <row r="9" spans="1:24" ht="21.75" customHeight="1" x14ac:dyDescent="0.25">
      <c r="A9" s="12" t="s">
        <v>1285</v>
      </c>
      <c r="B9" s="12"/>
      <c r="C9" s="12"/>
      <c r="D9" s="12"/>
      <c r="E9" s="12"/>
      <c r="F9" s="12"/>
      <c r="G9" s="12"/>
      <c r="H9" s="12"/>
      <c r="I9" s="12"/>
      <c r="J9" s="12"/>
      <c r="K9" s="12"/>
      <c r="L9" s="12"/>
      <c r="M9" s="12"/>
      <c r="N9" s="12"/>
      <c r="O9" s="12"/>
      <c r="P9" s="12"/>
      <c r="Q9" s="12"/>
      <c r="R9" s="12"/>
      <c r="S9" s="12"/>
      <c r="T9" s="12"/>
      <c r="U9" s="12"/>
      <c r="V9" s="12"/>
      <c r="W9" s="12"/>
      <c r="X9" s="12"/>
    </row>
    <row r="10" spans="1:24" ht="15" customHeight="1" x14ac:dyDescent="0.25">
      <c r="A10" s="383" t="s">
        <v>181</v>
      </c>
      <c r="B10" s="380" t="str">
        <f>CBAM!$B$5</f>
        <v>egy</v>
      </c>
      <c r="C10" s="380" t="s">
        <v>1286</v>
      </c>
      <c r="D10" s="380" t="s">
        <v>1287</v>
      </c>
      <c r="E10" s="380" t="s">
        <v>1277</v>
      </c>
      <c r="F10" s="380" t="s">
        <v>1277</v>
      </c>
      <c r="G10" s="380" t="s">
        <v>757</v>
      </c>
      <c r="H10" s="380" t="s">
        <v>1288</v>
      </c>
      <c r="I10" s="380" t="s">
        <v>1289</v>
      </c>
      <c r="J10" s="380" t="s">
        <v>1290</v>
      </c>
      <c r="K10" s="380"/>
      <c r="L10" s="380"/>
      <c r="M10" s="384">
        <f>INDEX(input_data!$L:$L,MATCH($A10,input_data!$A:$A,0))</f>
        <v>96.1</v>
      </c>
      <c r="N10" s="384">
        <f>INDEX(input_data!$L:$L,MATCH($A10,input_data!$A:$A,0))</f>
        <v>96.1</v>
      </c>
      <c r="O10" s="384">
        <f>INDEX(input_data!$L:$L,MATCH($A10,input_data!$A:$A,0))</f>
        <v>96.1</v>
      </c>
      <c r="P10" s="384">
        <f>INDEX(input_data!$L:$L,MATCH($A10,input_data!$A:$A,0))</f>
        <v>96.1</v>
      </c>
      <c r="Q10" s="384">
        <f>INDEX(input_data!$L:$L,MATCH($A10,input_data!$A:$A,0))</f>
        <v>96.1</v>
      </c>
      <c r="R10" s="384">
        <f>INDEX(input_data!$L:$L,MATCH($A10,input_data!$A:$A,0))</f>
        <v>96.1</v>
      </c>
      <c r="S10" s="384">
        <f>INDEX(input_data!$L:$L,MATCH($A10,input_data!$A:$A,0))</f>
        <v>96.1</v>
      </c>
      <c r="T10" s="384">
        <f>INDEX(input_data!$L:$L,MATCH($A10,input_data!$A:$A,0))</f>
        <v>96.1</v>
      </c>
      <c r="U10" s="384">
        <f>INDEX(input_data!$L:$L,MATCH($A10,input_data!$A:$A,0))</f>
        <v>96.1</v>
      </c>
      <c r="V10" s="384">
        <f>INDEX(input_data!$L:$L,MATCH($A10,input_data!$A:$A,0))</f>
        <v>96.1</v>
      </c>
      <c r="W10" s="384">
        <f>INDEX(input_data!$L:$L,MATCH($A10,input_data!$A:$A,0))</f>
        <v>96.1</v>
      </c>
      <c r="X10" s="384">
        <f>INDEX(input_data!$L:$L,MATCH($A10,input_data!$A:$A,0))</f>
        <v>96.1</v>
      </c>
    </row>
    <row r="11" spans="1:24" ht="15" customHeight="1" x14ac:dyDescent="0.25">
      <c r="A11" s="383" t="s">
        <v>184</v>
      </c>
      <c r="B11" s="380" t="str">
        <f>CBAM!$B$5</f>
        <v>egy</v>
      </c>
      <c r="C11" s="380" t="s">
        <v>1286</v>
      </c>
      <c r="D11" s="380" t="s">
        <v>1287</v>
      </c>
      <c r="E11" s="380" t="s">
        <v>1277</v>
      </c>
      <c r="F11" s="380" t="s">
        <v>1277</v>
      </c>
      <c r="G11" s="380" t="s">
        <v>754</v>
      </c>
      <c r="H11" s="380" t="s">
        <v>1291</v>
      </c>
      <c r="I11" s="380" t="s">
        <v>1289</v>
      </c>
      <c r="J11" s="380" t="s">
        <v>1290</v>
      </c>
      <c r="K11" s="380"/>
      <c r="L11" s="380"/>
      <c r="M11" s="384">
        <f>INDEX(input_data!$L:$L,MATCH($A11,input_data!$A:$A,0))</f>
        <v>56.1</v>
      </c>
      <c r="N11" s="384">
        <f>INDEX(input_data!$L:$L,MATCH($A11,input_data!$A:$A,0))</f>
        <v>56.1</v>
      </c>
      <c r="O11" s="384">
        <f>INDEX(input_data!$L:$L,MATCH($A11,input_data!$A:$A,0))</f>
        <v>56.1</v>
      </c>
      <c r="P11" s="384">
        <f>INDEX(input_data!$L:$L,MATCH($A11,input_data!$A:$A,0))</f>
        <v>56.1</v>
      </c>
      <c r="Q11" s="384">
        <f>INDEX(input_data!$L:$L,MATCH($A11,input_data!$A:$A,0))</f>
        <v>56.1</v>
      </c>
      <c r="R11" s="384">
        <f>INDEX(input_data!$L:$L,MATCH($A11,input_data!$A:$A,0))</f>
        <v>56.1</v>
      </c>
      <c r="S11" s="384">
        <f>INDEX(input_data!$L:$L,MATCH($A11,input_data!$A:$A,0))</f>
        <v>56.1</v>
      </c>
      <c r="T11" s="384">
        <f>INDEX(input_data!$L:$L,MATCH($A11,input_data!$A:$A,0))</f>
        <v>56.1</v>
      </c>
      <c r="U11" s="384">
        <f>INDEX(input_data!$L:$L,MATCH($A11,input_data!$A:$A,0))</f>
        <v>56.1</v>
      </c>
      <c r="V11" s="384">
        <f>INDEX(input_data!$L:$L,MATCH($A11,input_data!$A:$A,0))</f>
        <v>56.1</v>
      </c>
      <c r="W11" s="384">
        <f>INDEX(input_data!$L:$L,MATCH($A11,input_data!$A:$A,0))</f>
        <v>56.1</v>
      </c>
      <c r="X11" s="384">
        <f>INDEX(input_data!$L:$L,MATCH($A11,input_data!$A:$A,0))</f>
        <v>56.1</v>
      </c>
    </row>
    <row r="12" spans="1:24" ht="15" customHeight="1" x14ac:dyDescent="0.25">
      <c r="A12" s="383" t="s">
        <v>187</v>
      </c>
      <c r="B12" s="380" t="str">
        <f>CBAM!$B$5</f>
        <v>egy</v>
      </c>
      <c r="C12" s="380" t="s">
        <v>1286</v>
      </c>
      <c r="D12" s="380" t="s">
        <v>1287</v>
      </c>
      <c r="E12" s="380" t="s">
        <v>1277</v>
      </c>
      <c r="F12" s="380" t="s">
        <v>1277</v>
      </c>
      <c r="G12" s="380" t="s">
        <v>1292</v>
      </c>
      <c r="H12" s="380" t="s">
        <v>1293</v>
      </c>
      <c r="I12" s="380" t="s">
        <v>1289</v>
      </c>
      <c r="J12" s="380" t="s">
        <v>1290</v>
      </c>
      <c r="K12" s="380"/>
      <c r="L12" s="380"/>
      <c r="M12" s="384">
        <f>INDEX(input_data!$L:$L,MATCH($A12,input_data!$A:$A,0))</f>
        <v>69.3</v>
      </c>
      <c r="N12" s="384">
        <f>INDEX(input_data!$L:$L,MATCH($A12,input_data!$A:$A,0))</f>
        <v>69.3</v>
      </c>
      <c r="O12" s="384">
        <f>INDEX(input_data!$L:$L,MATCH($A12,input_data!$A:$A,0))</f>
        <v>69.3</v>
      </c>
      <c r="P12" s="384">
        <f>INDEX(input_data!$L:$L,MATCH($A12,input_data!$A:$A,0))</f>
        <v>69.3</v>
      </c>
      <c r="Q12" s="384">
        <f>INDEX(input_data!$L:$L,MATCH($A12,input_data!$A:$A,0))</f>
        <v>69.3</v>
      </c>
      <c r="R12" s="384">
        <f>INDEX(input_data!$L:$L,MATCH($A12,input_data!$A:$A,0))</f>
        <v>69.3</v>
      </c>
      <c r="S12" s="384">
        <f>INDEX(input_data!$L:$L,MATCH($A12,input_data!$A:$A,0))</f>
        <v>69.3</v>
      </c>
      <c r="T12" s="384">
        <f>INDEX(input_data!$L:$L,MATCH($A12,input_data!$A:$A,0))</f>
        <v>69.3</v>
      </c>
      <c r="U12" s="384">
        <f>INDEX(input_data!$L:$L,MATCH($A12,input_data!$A:$A,0))</f>
        <v>69.3</v>
      </c>
      <c r="V12" s="384">
        <f>INDEX(input_data!$L:$L,MATCH($A12,input_data!$A:$A,0))</f>
        <v>69.3</v>
      </c>
      <c r="W12" s="384">
        <f>INDEX(input_data!$L:$L,MATCH($A12,input_data!$A:$A,0))</f>
        <v>69.3</v>
      </c>
      <c r="X12" s="384">
        <f>INDEX(input_data!$L:$L,MATCH($A12,input_data!$A:$A,0))</f>
        <v>69.3</v>
      </c>
    </row>
    <row r="13" spans="1:24" ht="15" customHeight="1" x14ac:dyDescent="0.25">
      <c r="A13" s="383" t="s">
        <v>190</v>
      </c>
      <c r="B13" s="380" t="str">
        <f>CBAM!$B$5</f>
        <v>egy</v>
      </c>
      <c r="C13" s="380" t="s">
        <v>1286</v>
      </c>
      <c r="D13" s="380" t="s">
        <v>1287</v>
      </c>
      <c r="E13" s="380" t="s">
        <v>1277</v>
      </c>
      <c r="F13" s="380" t="s">
        <v>1277</v>
      </c>
      <c r="G13" s="380" t="s">
        <v>762</v>
      </c>
      <c r="H13" s="380" t="s">
        <v>1294</v>
      </c>
      <c r="I13" s="380" t="s">
        <v>1289</v>
      </c>
      <c r="J13" s="380" t="s">
        <v>1290</v>
      </c>
      <c r="K13" s="380"/>
      <c r="L13" s="380"/>
      <c r="M13" s="384">
        <f>INDEX(input_data!$L:$L,MATCH($A13,input_data!$A:$A,0))</f>
        <v>74.099999999999994</v>
      </c>
      <c r="N13" s="384">
        <f>INDEX(input_data!$L:$L,MATCH($A13,input_data!$A:$A,0))</f>
        <v>74.099999999999994</v>
      </c>
      <c r="O13" s="384">
        <f>INDEX(input_data!$L:$L,MATCH($A13,input_data!$A:$A,0))</f>
        <v>74.099999999999994</v>
      </c>
      <c r="P13" s="384">
        <f>INDEX(input_data!$L:$L,MATCH($A13,input_data!$A:$A,0))</f>
        <v>74.099999999999994</v>
      </c>
      <c r="Q13" s="384">
        <f>INDEX(input_data!$L:$L,MATCH($A13,input_data!$A:$A,0))</f>
        <v>74.099999999999994</v>
      </c>
      <c r="R13" s="384">
        <f>INDEX(input_data!$L:$L,MATCH($A13,input_data!$A:$A,0))</f>
        <v>74.099999999999994</v>
      </c>
      <c r="S13" s="384">
        <f>INDEX(input_data!$L:$L,MATCH($A13,input_data!$A:$A,0))</f>
        <v>74.099999999999994</v>
      </c>
      <c r="T13" s="384">
        <f>INDEX(input_data!$L:$L,MATCH($A13,input_data!$A:$A,0))</f>
        <v>74.099999999999994</v>
      </c>
      <c r="U13" s="384">
        <f>INDEX(input_data!$L:$L,MATCH($A13,input_data!$A:$A,0))</f>
        <v>74.099999999999994</v>
      </c>
      <c r="V13" s="384">
        <f>INDEX(input_data!$L:$L,MATCH($A13,input_data!$A:$A,0))</f>
        <v>74.099999999999994</v>
      </c>
      <c r="W13" s="384">
        <f>INDEX(input_data!$L:$L,MATCH($A13,input_data!$A:$A,0))</f>
        <v>74.099999999999994</v>
      </c>
      <c r="X13" s="384">
        <f>INDEX(input_data!$L:$L,MATCH($A13,input_data!$A:$A,0))</f>
        <v>74.099999999999994</v>
      </c>
    </row>
    <row r="14" spans="1:24" ht="15" customHeight="1" x14ac:dyDescent="0.25">
      <c r="A14" s="383" t="s">
        <v>193</v>
      </c>
      <c r="B14" s="380" t="str">
        <f>CBAM!$B$5</f>
        <v>egy</v>
      </c>
      <c r="C14" s="380" t="s">
        <v>1286</v>
      </c>
      <c r="D14" s="380" t="s">
        <v>1287</v>
      </c>
      <c r="E14" s="380" t="s">
        <v>1277</v>
      </c>
      <c r="F14" s="380" t="s">
        <v>1277</v>
      </c>
      <c r="G14" s="380" t="s">
        <v>1295</v>
      </c>
      <c r="H14" s="380" t="s">
        <v>1296</v>
      </c>
      <c r="I14" s="380" t="s">
        <v>1289</v>
      </c>
      <c r="J14" s="380" t="s">
        <v>1290</v>
      </c>
      <c r="K14" s="380"/>
      <c r="L14" s="380"/>
      <c r="M14" s="384">
        <f>INDEX(input_data!$L:$L,MATCH($A14,input_data!$A:$A,0))</f>
        <v>71.900000000000006</v>
      </c>
      <c r="N14" s="384">
        <f>INDEX(input_data!$L:$L,MATCH($A14,input_data!$A:$A,0))</f>
        <v>71.900000000000006</v>
      </c>
      <c r="O14" s="384">
        <f>INDEX(input_data!$L:$L,MATCH($A14,input_data!$A:$A,0))</f>
        <v>71.900000000000006</v>
      </c>
      <c r="P14" s="384">
        <f>INDEX(input_data!$L:$L,MATCH($A14,input_data!$A:$A,0))</f>
        <v>71.900000000000006</v>
      </c>
      <c r="Q14" s="384">
        <f>INDEX(input_data!$L:$L,MATCH($A14,input_data!$A:$A,0))</f>
        <v>71.900000000000006</v>
      </c>
      <c r="R14" s="384">
        <f>INDEX(input_data!$L:$L,MATCH($A14,input_data!$A:$A,0))</f>
        <v>71.900000000000006</v>
      </c>
      <c r="S14" s="384">
        <f>INDEX(input_data!$L:$L,MATCH($A14,input_data!$A:$A,0))</f>
        <v>71.900000000000006</v>
      </c>
      <c r="T14" s="384">
        <f>INDEX(input_data!$L:$L,MATCH($A14,input_data!$A:$A,0))</f>
        <v>71.900000000000006</v>
      </c>
      <c r="U14" s="384">
        <f>INDEX(input_data!$L:$L,MATCH($A14,input_data!$A:$A,0))</f>
        <v>71.900000000000006</v>
      </c>
      <c r="V14" s="384">
        <f>INDEX(input_data!$L:$L,MATCH($A14,input_data!$A:$A,0))</f>
        <v>71.900000000000006</v>
      </c>
      <c r="W14" s="384">
        <f>INDEX(input_data!$L:$L,MATCH($A14,input_data!$A:$A,0))</f>
        <v>71.900000000000006</v>
      </c>
      <c r="X14" s="384">
        <f>INDEX(input_data!$L:$L,MATCH($A14,input_data!$A:$A,0))</f>
        <v>71.900000000000006</v>
      </c>
    </row>
    <row r="15" spans="1:24" ht="15" customHeight="1" x14ac:dyDescent="0.25">
      <c r="A15" s="383" t="s">
        <v>196</v>
      </c>
      <c r="B15" s="380" t="str">
        <f>CBAM!$B$5</f>
        <v>egy</v>
      </c>
      <c r="C15" s="380" t="s">
        <v>1286</v>
      </c>
      <c r="D15" s="380" t="s">
        <v>1287</v>
      </c>
      <c r="E15" s="380" t="s">
        <v>1277</v>
      </c>
      <c r="F15" s="380" t="s">
        <v>1277</v>
      </c>
      <c r="G15" s="380" t="s">
        <v>1297</v>
      </c>
      <c r="H15" s="380" t="s">
        <v>1298</v>
      </c>
      <c r="I15" s="380" t="s">
        <v>1289</v>
      </c>
      <c r="J15" s="380" t="s">
        <v>1290</v>
      </c>
      <c r="K15" s="380"/>
      <c r="L15" s="380"/>
      <c r="M15" s="384">
        <f>INDEX(input_data!$L:$L,MATCH($A15,input_data!$A:$A,0))</f>
        <v>63.1</v>
      </c>
      <c r="N15" s="384">
        <f>INDEX(input_data!$L:$L,MATCH($A15,input_data!$A:$A,0))</f>
        <v>63.1</v>
      </c>
      <c r="O15" s="384">
        <f>INDEX(input_data!$L:$L,MATCH($A15,input_data!$A:$A,0))</f>
        <v>63.1</v>
      </c>
      <c r="P15" s="384">
        <f>INDEX(input_data!$L:$L,MATCH($A15,input_data!$A:$A,0))</f>
        <v>63.1</v>
      </c>
      <c r="Q15" s="384">
        <f>INDEX(input_data!$L:$L,MATCH($A15,input_data!$A:$A,0))</f>
        <v>63.1</v>
      </c>
      <c r="R15" s="384">
        <f>INDEX(input_data!$L:$L,MATCH($A15,input_data!$A:$A,0))</f>
        <v>63.1</v>
      </c>
      <c r="S15" s="384">
        <f>INDEX(input_data!$L:$L,MATCH($A15,input_data!$A:$A,0))</f>
        <v>63.1</v>
      </c>
      <c r="T15" s="384">
        <f>INDEX(input_data!$L:$L,MATCH($A15,input_data!$A:$A,0))</f>
        <v>63.1</v>
      </c>
      <c r="U15" s="384">
        <f>INDEX(input_data!$L:$L,MATCH($A15,input_data!$A:$A,0))</f>
        <v>63.1</v>
      </c>
      <c r="V15" s="384">
        <f>INDEX(input_data!$L:$L,MATCH($A15,input_data!$A:$A,0))</f>
        <v>63.1</v>
      </c>
      <c r="W15" s="384">
        <f>INDEX(input_data!$L:$L,MATCH($A15,input_data!$A:$A,0))</f>
        <v>63.1</v>
      </c>
      <c r="X15" s="384">
        <f>INDEX(input_data!$L:$L,MATCH($A15,input_data!$A:$A,0))</f>
        <v>63.1</v>
      </c>
    </row>
    <row r="16" spans="1:24" ht="15" customHeight="1" x14ac:dyDescent="0.25">
      <c r="A16" s="383" t="s">
        <v>199</v>
      </c>
      <c r="B16" s="380" t="str">
        <f>CBAM!$B$5</f>
        <v>egy</v>
      </c>
      <c r="C16" s="380" t="s">
        <v>1286</v>
      </c>
      <c r="D16" s="380" t="s">
        <v>1287</v>
      </c>
      <c r="E16" s="380" t="s">
        <v>1277</v>
      </c>
      <c r="F16" s="380" t="s">
        <v>1277</v>
      </c>
      <c r="G16" s="380" t="s">
        <v>1299</v>
      </c>
      <c r="H16" s="380" t="s">
        <v>1300</v>
      </c>
      <c r="I16" s="380" t="s">
        <v>1289</v>
      </c>
      <c r="J16" s="380" t="s">
        <v>1290</v>
      </c>
      <c r="K16" s="380"/>
      <c r="L16" s="380"/>
      <c r="M16" s="384">
        <f>INDEX(input_data!$L:$L,MATCH($A16,input_data!$A:$A,0))</f>
        <v>0</v>
      </c>
      <c r="N16" s="384">
        <f>INDEX(input_data!$L:$L,MATCH($A16,input_data!$A:$A,0))</f>
        <v>0</v>
      </c>
      <c r="O16" s="384">
        <f>INDEX(input_data!$L:$L,MATCH($A16,input_data!$A:$A,0))</f>
        <v>0</v>
      </c>
      <c r="P16" s="384">
        <f>INDEX(input_data!$L:$L,MATCH($A16,input_data!$A:$A,0))</f>
        <v>0</v>
      </c>
      <c r="Q16" s="384">
        <f>INDEX(input_data!$L:$L,MATCH($A16,input_data!$A:$A,0))</f>
        <v>0</v>
      </c>
      <c r="R16" s="384">
        <f>INDEX(input_data!$L:$L,MATCH($A16,input_data!$A:$A,0))</f>
        <v>0</v>
      </c>
      <c r="S16" s="384">
        <f>INDEX(input_data!$L:$L,MATCH($A16,input_data!$A:$A,0))</f>
        <v>0</v>
      </c>
      <c r="T16" s="384">
        <f>INDEX(input_data!$L:$L,MATCH($A16,input_data!$A:$A,0))</f>
        <v>0</v>
      </c>
      <c r="U16" s="384">
        <f>INDEX(input_data!$L:$L,MATCH($A16,input_data!$A:$A,0))</f>
        <v>0</v>
      </c>
      <c r="V16" s="384">
        <f>INDEX(input_data!$L:$L,MATCH($A16,input_data!$A:$A,0))</f>
        <v>0</v>
      </c>
      <c r="W16" s="384">
        <f>INDEX(input_data!$L:$L,MATCH($A16,input_data!$A:$A,0))</f>
        <v>0</v>
      </c>
      <c r="X16" s="384">
        <f>INDEX(input_data!$L:$L,MATCH($A16,input_data!$A:$A,0))</f>
        <v>0</v>
      </c>
    </row>
    <row r="17" spans="1:24" ht="15" customHeight="1" x14ac:dyDescent="0.25">
      <c r="A17" s="383" t="s">
        <v>202</v>
      </c>
      <c r="B17" s="380" t="str">
        <f>CBAM!$B$5</f>
        <v>egy</v>
      </c>
      <c r="C17" s="380" t="s">
        <v>1286</v>
      </c>
      <c r="D17" s="380" t="s">
        <v>1287</v>
      </c>
      <c r="E17" s="380" t="s">
        <v>1277</v>
      </c>
      <c r="F17" s="380" t="s">
        <v>1277</v>
      </c>
      <c r="G17" s="380" t="s">
        <v>1301</v>
      </c>
      <c r="H17" s="380" t="s">
        <v>1302</v>
      </c>
      <c r="I17" s="380" t="s">
        <v>1289</v>
      </c>
      <c r="J17" s="380" t="s">
        <v>1290</v>
      </c>
      <c r="K17" s="380"/>
      <c r="L17" s="380"/>
      <c r="M17" s="384">
        <f>INDEX(input_data!$L:$L,MATCH($A17,input_data!$A:$A,0))</f>
        <v>0</v>
      </c>
      <c r="N17" s="384">
        <f>INDEX(input_data!$L:$L,MATCH($A17,input_data!$A:$A,0))</f>
        <v>0</v>
      </c>
      <c r="O17" s="384">
        <f>INDEX(input_data!$L:$L,MATCH($A17,input_data!$A:$A,0))</f>
        <v>0</v>
      </c>
      <c r="P17" s="384">
        <f>INDEX(input_data!$L:$L,MATCH($A17,input_data!$A:$A,0))</f>
        <v>0</v>
      </c>
      <c r="Q17" s="384">
        <f>INDEX(input_data!$L:$L,MATCH($A17,input_data!$A:$A,0))</f>
        <v>0</v>
      </c>
      <c r="R17" s="384">
        <f>INDEX(input_data!$L:$L,MATCH($A17,input_data!$A:$A,0))</f>
        <v>0</v>
      </c>
      <c r="S17" s="384">
        <f>INDEX(input_data!$L:$L,MATCH($A17,input_data!$A:$A,0))</f>
        <v>0</v>
      </c>
      <c r="T17" s="384">
        <f>INDEX(input_data!$L:$L,MATCH($A17,input_data!$A:$A,0))</f>
        <v>0</v>
      </c>
      <c r="U17" s="384">
        <f>INDEX(input_data!$L:$L,MATCH($A17,input_data!$A:$A,0))</f>
        <v>0</v>
      </c>
      <c r="V17" s="384">
        <f>INDEX(input_data!$L:$L,MATCH($A17,input_data!$A:$A,0))</f>
        <v>0</v>
      </c>
      <c r="W17" s="384">
        <f>INDEX(input_data!$L:$L,MATCH($A17,input_data!$A:$A,0))</f>
        <v>0</v>
      </c>
      <c r="X17" s="384">
        <f>INDEX(input_data!$L:$L,MATCH($A17,input_data!$A:$A,0))</f>
        <v>0</v>
      </c>
    </row>
    <row r="19" spans="1:24" ht="21.75" customHeight="1" x14ac:dyDescent="0.25">
      <c r="A19" s="12" t="s">
        <v>1303</v>
      </c>
      <c r="B19" s="12"/>
      <c r="C19" s="12"/>
      <c r="D19" s="12"/>
      <c r="E19" s="12"/>
      <c r="F19" s="12"/>
      <c r="G19" s="12"/>
      <c r="H19" s="12"/>
      <c r="I19" s="12"/>
      <c r="J19" s="12"/>
      <c r="K19" s="12"/>
      <c r="L19" s="12"/>
      <c r="M19" s="12"/>
      <c r="N19" s="12"/>
      <c r="O19" s="12"/>
      <c r="P19" s="12"/>
      <c r="Q19" s="12"/>
      <c r="R19" s="12"/>
      <c r="S19" s="12"/>
      <c r="T19" s="12"/>
      <c r="U19" s="12"/>
      <c r="V19" s="12"/>
      <c r="W19" s="12"/>
      <c r="X19" s="12"/>
    </row>
    <row r="20" spans="1:24" ht="15" customHeight="1" x14ac:dyDescent="0.25">
      <c r="A20" s="380" t="str">
        <f>CBAM!$B$5&amp;".pj.prd.stl.drg.---"</f>
        <v>egy.pj.prd.stl.drg.---</v>
      </c>
      <c r="B20" s="380" t="str">
        <f>CBAM!$B$5</f>
        <v>egy</v>
      </c>
      <c r="C20" s="380" t="s">
        <v>1275</v>
      </c>
      <c r="D20" s="380" t="s">
        <v>1304</v>
      </c>
      <c r="E20" s="380" t="s">
        <v>322</v>
      </c>
      <c r="F20" s="380" t="s">
        <v>1305</v>
      </c>
      <c r="G20" s="380" t="s">
        <v>1277</v>
      </c>
      <c r="H20" s="380" t="s">
        <v>1306</v>
      </c>
      <c r="I20" s="380" t="s">
        <v>1307</v>
      </c>
      <c r="J20" s="380" t="s">
        <v>1308</v>
      </c>
      <c r="K20" s="380"/>
      <c r="L20" s="380"/>
      <c r="M20" s="385">
        <f>IFERROR(INDEX(input_data!$L:$L,MATCH(CBAM!$B$5&amp;".in.prb.stl.drg.---",input_data!$A:$A,0))*POWER(M7,INDEX(input_data!$L:$L,MATCH(CBAM!$B$5&amp;".in.els.stl.drg.---",input_data!$A:$A,0))),0)</f>
        <v>5.0999999999999996</v>
      </c>
      <c r="N20" s="385">
        <f>IFERROR(INDEX(input_data!$L:$L,MATCH(CBAM!$B$5&amp;".in.prb.stl.drg.---",input_data!$A:$A,0))*POWER(N7,INDEX(input_data!$L:$L,MATCH(CBAM!$B$5&amp;".in.els.stl.drg.---",input_data!$A:$A,0))),0)</f>
        <v>5.3804999999999996</v>
      </c>
      <c r="O20" s="385">
        <f>IFERROR(INDEX(input_data!$L:$L,MATCH(CBAM!$B$5&amp;".in.prb.stl.drg.---",input_data!$A:$A,0))*POWER(O7,INDEX(input_data!$L:$L,MATCH(CBAM!$B$5&amp;".in.els.stl.drg.---",input_data!$A:$A,0))),0)</f>
        <v>5.6764274999999991</v>
      </c>
      <c r="P20" s="385">
        <f>IFERROR(INDEX(input_data!$L:$L,MATCH(CBAM!$B$5&amp;".in.prb.stl.drg.---",input_data!$A:$A,0))*POWER(P7,INDEX(input_data!$L:$L,MATCH(CBAM!$B$5&amp;".in.els.stl.drg.---",input_data!$A:$A,0))),0)</f>
        <v>5.9886310124999982</v>
      </c>
      <c r="Q20" s="385">
        <f>IFERROR(INDEX(input_data!$L:$L,MATCH(CBAM!$B$5&amp;".in.prb.stl.drg.---",input_data!$A:$A,0))*POWER(Q7,INDEX(input_data!$L:$L,MATCH(CBAM!$B$5&amp;".in.els.stl.drg.---",input_data!$A:$A,0))),0)</f>
        <v>6.3180057181874982</v>
      </c>
      <c r="R20" s="385">
        <f>IFERROR(INDEX(input_data!$L:$L,MATCH(CBAM!$B$5&amp;".in.prb.stl.drg.---",input_data!$A:$A,0))*POWER(R7,INDEX(input_data!$L:$L,MATCH(CBAM!$B$5&amp;".in.els.stl.drg.---",input_data!$A:$A,0))),0)</f>
        <v>6.6654960326878108</v>
      </c>
      <c r="S20" s="385">
        <f>IFERROR(INDEX(input_data!$L:$L,MATCH(CBAM!$B$5&amp;".in.prb.stl.drg.---",input_data!$A:$A,0))*POWER(S7,INDEX(input_data!$L:$L,MATCH(CBAM!$B$5&amp;".in.els.stl.drg.---",input_data!$A:$A,0))),0)</f>
        <v>7.0320983144856397</v>
      </c>
      <c r="T20" s="385">
        <f>IFERROR(INDEX(input_data!$L:$L,MATCH(CBAM!$B$5&amp;".in.prb.stl.drg.---",input_data!$A:$A,0))*POWER(T7,INDEX(input_data!$L:$L,MATCH(CBAM!$B$5&amp;".in.els.stl.drg.---",input_data!$A:$A,0))),0)</f>
        <v>7.4188637217823494</v>
      </c>
      <c r="U20" s="385">
        <f>IFERROR(INDEX(input_data!$L:$L,MATCH(CBAM!$B$5&amp;".in.prb.stl.drg.---",input_data!$A:$A,0))*POWER(U7,INDEX(input_data!$L:$L,MATCH(CBAM!$B$5&amp;".in.els.stl.drg.---",input_data!$A:$A,0))),0)</f>
        <v>7.8269012264803788</v>
      </c>
      <c r="V20" s="385">
        <f>IFERROR(INDEX(input_data!$L:$L,MATCH(CBAM!$B$5&amp;".in.prb.stl.drg.---",input_data!$A:$A,0))*POWER(V7,INDEX(input_data!$L:$L,MATCH(CBAM!$B$5&amp;".in.els.stl.drg.---",input_data!$A:$A,0))),0)</f>
        <v>8.2573807939368002</v>
      </c>
      <c r="W20" s="385">
        <f>IFERROR(INDEX(input_data!$L:$L,MATCH(CBAM!$B$5&amp;".in.prb.stl.drg.---",input_data!$A:$A,0))*POWER(W7,INDEX(input_data!$L:$L,MATCH(CBAM!$B$5&amp;".in.els.stl.drg.---",input_data!$A:$A,0))),0)</f>
        <v>8.711536737603323</v>
      </c>
      <c r="X20" s="385">
        <f>IFERROR(INDEX(input_data!$L:$L,MATCH(CBAM!$B$5&amp;".in.prb.stl.drg.---",input_data!$A:$A,0))*POWER(X7,INDEX(input_data!$L:$L,MATCH(CBAM!$B$5&amp;".in.els.stl.drg.---",input_data!$A:$A,0))),0)</f>
        <v>9.1906712581715055</v>
      </c>
    </row>
    <row r="21" spans="1:24" ht="15" customHeight="1" x14ac:dyDescent="0.25">
      <c r="A21" s="380" t="str">
        <f>CBAM!$B$5&amp;".pj.eux.stl.drg.---"</f>
        <v>egy.pj.eux.stl.drg.---</v>
      </c>
      <c r="B21" s="380" t="str">
        <f>CBAM!$B$5</f>
        <v>egy</v>
      </c>
      <c r="C21" s="380" t="s">
        <v>1275</v>
      </c>
      <c r="D21" s="380" t="s">
        <v>1309</v>
      </c>
      <c r="E21" s="380" t="s">
        <v>322</v>
      </c>
      <c r="F21" s="380" t="s">
        <v>1305</v>
      </c>
      <c r="G21" s="380" t="s">
        <v>1277</v>
      </c>
      <c r="H21" s="380" t="s">
        <v>1310</v>
      </c>
      <c r="I21" s="380" t="s">
        <v>1307</v>
      </c>
      <c r="J21" s="380" t="s">
        <v>1311</v>
      </c>
      <c r="K21" s="380"/>
      <c r="L21" s="380"/>
      <c r="M21" s="385">
        <f>M20*INDEX(input_data!$L:$L,MATCH(CBAM!$B$5&amp;".in.exe.stl.drg.---",input_data!$A:$A,0))</f>
        <v>0.91799999999999993</v>
      </c>
      <c r="N21" s="385">
        <f>N20*INDEX(input_data!$L:$L,MATCH(CBAM!$B$5&amp;".in.exe.stl.drg.---",input_data!$A:$A,0))</f>
        <v>0.96848999999999985</v>
      </c>
      <c r="O21" s="385">
        <f>O20*INDEX(input_data!$L:$L,MATCH(CBAM!$B$5&amp;".in.exe.stl.drg.---",input_data!$A:$A,0))</f>
        <v>1.0217569499999999</v>
      </c>
      <c r="P21" s="385">
        <f>P20*INDEX(input_data!$L:$L,MATCH(CBAM!$B$5&amp;".in.exe.stl.drg.---",input_data!$A:$A,0))</f>
        <v>1.0779535822499997</v>
      </c>
      <c r="Q21" s="385">
        <f>Q20*INDEX(input_data!$L:$L,MATCH(CBAM!$B$5&amp;".in.exe.stl.drg.---",input_data!$A:$A,0))</f>
        <v>1.1372410292737496</v>
      </c>
      <c r="R21" s="385">
        <f>R20*INDEX(input_data!$L:$L,MATCH(CBAM!$B$5&amp;".in.exe.stl.drg.---",input_data!$A:$A,0))</f>
        <v>1.199789285883806</v>
      </c>
      <c r="S21" s="385">
        <f>S20*INDEX(input_data!$L:$L,MATCH(CBAM!$B$5&amp;".in.exe.stl.drg.---",input_data!$A:$A,0))</f>
        <v>1.265777696607415</v>
      </c>
      <c r="T21" s="385">
        <f>T20*INDEX(input_data!$L:$L,MATCH(CBAM!$B$5&amp;".in.exe.stl.drg.---",input_data!$A:$A,0))</f>
        <v>1.3353954699208228</v>
      </c>
      <c r="U21" s="385">
        <f>U20*INDEX(input_data!$L:$L,MATCH(CBAM!$B$5&amp;".in.exe.stl.drg.---",input_data!$A:$A,0))</f>
        <v>1.4088422207664681</v>
      </c>
      <c r="V21" s="385">
        <f>V20*INDEX(input_data!$L:$L,MATCH(CBAM!$B$5&amp;".in.exe.stl.drg.---",input_data!$A:$A,0))</f>
        <v>1.4863285429086239</v>
      </c>
      <c r="W21" s="385">
        <f>W20*INDEX(input_data!$L:$L,MATCH(CBAM!$B$5&amp;".in.exe.stl.drg.---",input_data!$A:$A,0))</f>
        <v>1.5680766127685981</v>
      </c>
      <c r="X21" s="385">
        <f>X20*INDEX(input_data!$L:$L,MATCH(CBAM!$B$5&amp;".in.exe.stl.drg.---",input_data!$A:$A,0))</f>
        <v>1.6543208264708709</v>
      </c>
    </row>
    <row r="22" spans="1:24" ht="15" customHeight="1" x14ac:dyDescent="0.25">
      <c r="A22" s="380" t="str">
        <f>CBAM!$B$5&amp;".pj.nex.stl.drg.---"</f>
        <v>egy.pj.nex.stl.drg.---</v>
      </c>
      <c r="B22" s="380" t="str">
        <f>CBAM!$B$5</f>
        <v>egy</v>
      </c>
      <c r="C22" s="380" t="s">
        <v>1275</v>
      </c>
      <c r="D22" s="380" t="s">
        <v>1312</v>
      </c>
      <c r="E22" s="380" t="s">
        <v>322</v>
      </c>
      <c r="F22" s="380" t="s">
        <v>1305</v>
      </c>
      <c r="G22" s="380" t="s">
        <v>1277</v>
      </c>
      <c r="H22" s="380" t="s">
        <v>1313</v>
      </c>
      <c r="I22" s="380" t="s">
        <v>1307</v>
      </c>
      <c r="J22" s="380" t="s">
        <v>1314</v>
      </c>
      <c r="K22" s="380"/>
      <c r="L22" s="380"/>
      <c r="M22" s="385">
        <f>M20*(INDEX(input_data!$L:$L,MATCH(CBAM!$B$5&amp;".in.ext.stl.drg.---",input_data!$A:$A,0))-INDEX(input_data!$L:$L,MATCH(CBAM!$B$5&amp;".in.exe.stl.drg.---",input_data!$A:$A,0)))</f>
        <v>1.1220000000000001</v>
      </c>
      <c r="N22" s="385">
        <f>N20*(INDEX(input_data!$L:$L,MATCH(CBAM!$B$5&amp;".in.ext.stl.drg.---",input_data!$A:$A,0))-INDEX(input_data!$L:$L,MATCH(CBAM!$B$5&amp;".in.exe.stl.drg.---",input_data!$A:$A,0)))</f>
        <v>1.18371</v>
      </c>
      <c r="O22" s="385">
        <f>O20*(INDEX(input_data!$L:$L,MATCH(CBAM!$B$5&amp;".in.ext.stl.drg.---",input_data!$A:$A,0))-INDEX(input_data!$L:$L,MATCH(CBAM!$B$5&amp;".in.exe.stl.drg.---",input_data!$A:$A,0)))</f>
        <v>1.24881405</v>
      </c>
      <c r="P22" s="385">
        <f>P20*(INDEX(input_data!$L:$L,MATCH(CBAM!$B$5&amp;".in.ext.stl.drg.---",input_data!$A:$A,0))-INDEX(input_data!$L:$L,MATCH(CBAM!$B$5&amp;".in.exe.stl.drg.---",input_data!$A:$A,0)))</f>
        <v>1.3174988227499997</v>
      </c>
      <c r="Q22" s="385">
        <f>Q20*(INDEX(input_data!$L:$L,MATCH(CBAM!$B$5&amp;".in.ext.stl.drg.---",input_data!$A:$A,0))-INDEX(input_data!$L:$L,MATCH(CBAM!$B$5&amp;".in.exe.stl.drg.---",input_data!$A:$A,0)))</f>
        <v>1.3899612580012497</v>
      </c>
      <c r="R22" s="385">
        <f>R20*(INDEX(input_data!$L:$L,MATCH(CBAM!$B$5&amp;".in.ext.stl.drg.---",input_data!$A:$A,0))-INDEX(input_data!$L:$L,MATCH(CBAM!$B$5&amp;".in.exe.stl.drg.---",input_data!$A:$A,0)))</f>
        <v>1.4664091271913187</v>
      </c>
      <c r="S22" s="385">
        <f>S20*(INDEX(input_data!$L:$L,MATCH(CBAM!$B$5&amp;".in.ext.stl.drg.---",input_data!$A:$A,0))-INDEX(input_data!$L:$L,MATCH(CBAM!$B$5&amp;".in.exe.stl.drg.---",input_data!$A:$A,0)))</f>
        <v>1.5470616291868409</v>
      </c>
      <c r="T22" s="385">
        <f>T20*(INDEX(input_data!$L:$L,MATCH(CBAM!$B$5&amp;".in.ext.stl.drg.---",input_data!$A:$A,0))-INDEX(input_data!$L:$L,MATCH(CBAM!$B$5&amp;".in.exe.stl.drg.---",input_data!$A:$A,0)))</f>
        <v>1.6321500187921172</v>
      </c>
      <c r="U22" s="385">
        <f>U20*(INDEX(input_data!$L:$L,MATCH(CBAM!$B$5&amp;".in.ext.stl.drg.---",input_data!$A:$A,0))-INDEX(input_data!$L:$L,MATCH(CBAM!$B$5&amp;".in.exe.stl.drg.---",input_data!$A:$A,0)))</f>
        <v>1.7219182698256836</v>
      </c>
      <c r="V22" s="385">
        <f>V20*(INDEX(input_data!$L:$L,MATCH(CBAM!$B$5&amp;".in.ext.stl.drg.---",input_data!$A:$A,0))-INDEX(input_data!$L:$L,MATCH(CBAM!$B$5&amp;".in.exe.stl.drg.---",input_data!$A:$A,0)))</f>
        <v>1.8166237746660963</v>
      </c>
      <c r="W22" s="385">
        <f>W20*(INDEX(input_data!$L:$L,MATCH(CBAM!$B$5&amp;".in.ext.stl.drg.---",input_data!$A:$A,0))-INDEX(input_data!$L:$L,MATCH(CBAM!$B$5&amp;".in.exe.stl.drg.---",input_data!$A:$A,0)))</f>
        <v>1.9165380822727314</v>
      </c>
      <c r="X22" s="385">
        <f>X20*(INDEX(input_data!$L:$L,MATCH(CBAM!$B$5&amp;".in.ext.stl.drg.---",input_data!$A:$A,0))-INDEX(input_data!$L:$L,MATCH(CBAM!$B$5&amp;".in.exe.stl.drg.---",input_data!$A:$A,0)))</f>
        <v>2.0219476767977316</v>
      </c>
    </row>
    <row r="23" spans="1:24" ht="15" customHeight="1" x14ac:dyDescent="0.25">
      <c r="A23" s="380" t="str">
        <f>CBAM!$B$5&amp;".pj.dom.stl.drg.---"</f>
        <v>egy.pj.dom.stl.drg.---</v>
      </c>
      <c r="B23" s="380" t="str">
        <f>CBAM!$B$5</f>
        <v>egy</v>
      </c>
      <c r="C23" s="380" t="s">
        <v>1275</v>
      </c>
      <c r="D23" s="380" t="s">
        <v>1267</v>
      </c>
      <c r="E23" s="380" t="s">
        <v>322</v>
      </c>
      <c r="F23" s="380" t="s">
        <v>1305</v>
      </c>
      <c r="G23" s="380" t="s">
        <v>1277</v>
      </c>
      <c r="H23" s="380" t="s">
        <v>1315</v>
      </c>
      <c r="I23" s="380" t="s">
        <v>1307</v>
      </c>
      <c r="J23" s="380" t="s">
        <v>1316</v>
      </c>
      <c r="K23" s="380"/>
      <c r="L23" s="380"/>
      <c r="M23" s="385">
        <f>M20*(1-INDEX(input_data!$L:$L,MATCH(CBAM!$B$5&amp;".in.ext.stl.drg.---",input_data!$A:$A,0)))*(1+INDEX(input_data!$L:$L,MATCH(CBAM!$B$5&amp;".in.imp.stl.drg.---",input_data!$A:$A,0)))</f>
        <v>3.2129999999999996</v>
      </c>
      <c r="N23" s="385">
        <f>N20*(1-INDEX(input_data!$L:$L,MATCH(CBAM!$B$5&amp;".in.ext.stl.drg.---",input_data!$A:$A,0)))*(1+INDEX(input_data!$L:$L,MATCH(CBAM!$B$5&amp;".in.imp.stl.drg.---",input_data!$A:$A,0)))</f>
        <v>3.3897149999999998</v>
      </c>
      <c r="O23" s="385">
        <f>O20*(1-INDEX(input_data!$L:$L,MATCH(CBAM!$B$5&amp;".in.ext.stl.drg.---",input_data!$A:$A,0)))*(1+INDEX(input_data!$L:$L,MATCH(CBAM!$B$5&amp;".in.imp.stl.drg.---",input_data!$A:$A,0)))</f>
        <v>3.5761493249999994</v>
      </c>
      <c r="P23" s="385">
        <f>P20*(1-INDEX(input_data!$L:$L,MATCH(CBAM!$B$5&amp;".in.ext.stl.drg.---",input_data!$A:$A,0)))*(1+INDEX(input_data!$L:$L,MATCH(CBAM!$B$5&amp;".in.imp.stl.drg.---",input_data!$A:$A,0)))</f>
        <v>3.7728375378749988</v>
      </c>
      <c r="Q23" s="385">
        <f>Q20*(1-INDEX(input_data!$L:$L,MATCH(CBAM!$B$5&amp;".in.ext.stl.drg.---",input_data!$A:$A,0)))*(1+INDEX(input_data!$L:$L,MATCH(CBAM!$B$5&amp;".in.imp.stl.drg.---",input_data!$A:$A,0)))</f>
        <v>3.9803436024581242</v>
      </c>
      <c r="R23" s="385">
        <f>R20*(1-INDEX(input_data!$L:$L,MATCH(CBAM!$B$5&amp;".in.ext.stl.drg.---",input_data!$A:$A,0)))*(1+INDEX(input_data!$L:$L,MATCH(CBAM!$B$5&amp;".in.imp.stl.drg.---",input_data!$A:$A,0)))</f>
        <v>4.1992625005933206</v>
      </c>
      <c r="S23" s="385">
        <f>S20*(1-INDEX(input_data!$L:$L,MATCH(CBAM!$B$5&amp;".in.ext.stl.drg.---",input_data!$A:$A,0)))*(1+INDEX(input_data!$L:$L,MATCH(CBAM!$B$5&amp;".in.imp.stl.drg.---",input_data!$A:$A,0)))</f>
        <v>4.4302219381259533</v>
      </c>
      <c r="T23" s="385">
        <f>T20*(1-INDEX(input_data!$L:$L,MATCH(CBAM!$B$5&amp;".in.ext.stl.drg.---",input_data!$A:$A,0)))*(1+INDEX(input_data!$L:$L,MATCH(CBAM!$B$5&amp;".in.imp.stl.drg.---",input_data!$A:$A,0)))</f>
        <v>4.6738841447228801</v>
      </c>
      <c r="U23" s="385">
        <f>U20*(1-INDEX(input_data!$L:$L,MATCH(CBAM!$B$5&amp;".in.ext.stl.drg.---",input_data!$A:$A,0)))*(1+INDEX(input_data!$L:$L,MATCH(CBAM!$B$5&amp;".in.imp.stl.drg.---",input_data!$A:$A,0)))</f>
        <v>4.9309477726826394</v>
      </c>
      <c r="V23" s="385">
        <f>V20*(1-INDEX(input_data!$L:$L,MATCH(CBAM!$B$5&amp;".in.ext.stl.drg.---",input_data!$A:$A,0)))*(1+INDEX(input_data!$L:$L,MATCH(CBAM!$B$5&amp;".in.imp.stl.drg.---",input_data!$A:$A,0)))</f>
        <v>5.2021499001801841</v>
      </c>
      <c r="W23" s="385">
        <f>W20*(1-INDEX(input_data!$L:$L,MATCH(CBAM!$B$5&amp;".in.ext.stl.drg.---",input_data!$A:$A,0)))*(1+INDEX(input_data!$L:$L,MATCH(CBAM!$B$5&amp;".in.imp.stl.drg.---",input_data!$A:$A,0)))</f>
        <v>5.4882681446900943</v>
      </c>
      <c r="X23" s="385">
        <f>X20*(1-INDEX(input_data!$L:$L,MATCH(CBAM!$B$5&amp;".in.ext.stl.drg.---",input_data!$A:$A,0)))*(1+INDEX(input_data!$L:$L,MATCH(CBAM!$B$5&amp;".in.imp.stl.drg.---",input_data!$A:$A,0)))</f>
        <v>5.790122892648049</v>
      </c>
    </row>
    <row r="24" spans="1:24" ht="15" customHeight="1" x14ac:dyDescent="0.25">
      <c r="A24" s="380" t="str">
        <f>CBAM!$B$5&amp;".pj.enc.stl.drg.coa"</f>
        <v>egy.pj.enc.stl.drg.coa</v>
      </c>
      <c r="B24" s="380" t="str">
        <f>CBAM!$B$5</f>
        <v>egy</v>
      </c>
      <c r="C24" s="380" t="s">
        <v>1275</v>
      </c>
      <c r="D24" s="380" t="s">
        <v>1317</v>
      </c>
      <c r="E24" s="380" t="s">
        <v>322</v>
      </c>
      <c r="F24" s="380" t="s">
        <v>1305</v>
      </c>
      <c r="G24" s="380" t="s">
        <v>757</v>
      </c>
      <c r="H24" s="380" t="s">
        <v>1318</v>
      </c>
      <c r="I24" s="380" t="s">
        <v>1319</v>
      </c>
      <c r="J24" s="380" t="s">
        <v>1320</v>
      </c>
      <c r="K24" s="380"/>
      <c r="L24" s="380"/>
      <c r="M24" s="385">
        <f>M20*INDEX(input_data!$L:$L,MATCH(CBAM!$B$5&amp;".in.enc.stl.drg.coa",input_data!$A:$A,0))</f>
        <v>0</v>
      </c>
      <c r="N24" s="385">
        <f>N20*INDEX(input_data!$L:$L,MATCH(CBAM!$B$5&amp;".in.enc.stl.drg.coa",input_data!$A:$A,0))</f>
        <v>0</v>
      </c>
      <c r="O24" s="385">
        <f>O20*INDEX(input_data!$L:$L,MATCH(CBAM!$B$5&amp;".in.enc.stl.drg.coa",input_data!$A:$A,0))</f>
        <v>0</v>
      </c>
      <c r="P24" s="385">
        <f>P20*INDEX(input_data!$L:$L,MATCH(CBAM!$B$5&amp;".in.enc.stl.drg.coa",input_data!$A:$A,0))</f>
        <v>0</v>
      </c>
      <c r="Q24" s="385">
        <f>Q20*INDEX(input_data!$L:$L,MATCH(CBAM!$B$5&amp;".in.enc.stl.drg.coa",input_data!$A:$A,0))</f>
        <v>0</v>
      </c>
      <c r="R24" s="385">
        <f>R20*INDEX(input_data!$L:$L,MATCH(CBAM!$B$5&amp;".in.enc.stl.drg.coa",input_data!$A:$A,0))</f>
        <v>0</v>
      </c>
      <c r="S24" s="385">
        <f>S20*INDEX(input_data!$L:$L,MATCH(CBAM!$B$5&amp;".in.enc.stl.drg.coa",input_data!$A:$A,0))</f>
        <v>0</v>
      </c>
      <c r="T24" s="385">
        <f>T20*INDEX(input_data!$L:$L,MATCH(CBAM!$B$5&amp;".in.enc.stl.drg.coa",input_data!$A:$A,0))</f>
        <v>0</v>
      </c>
      <c r="U24" s="385">
        <f>U20*INDEX(input_data!$L:$L,MATCH(CBAM!$B$5&amp;".in.enc.stl.drg.coa",input_data!$A:$A,0))</f>
        <v>0</v>
      </c>
      <c r="V24" s="385">
        <f>V20*INDEX(input_data!$L:$L,MATCH(CBAM!$B$5&amp;".in.enc.stl.drg.coa",input_data!$A:$A,0))</f>
        <v>0</v>
      </c>
      <c r="W24" s="385">
        <f>W20*INDEX(input_data!$L:$L,MATCH(CBAM!$B$5&amp;".in.enc.stl.drg.coa",input_data!$A:$A,0))</f>
        <v>0</v>
      </c>
      <c r="X24" s="385">
        <f>X20*INDEX(input_data!$L:$L,MATCH(CBAM!$B$5&amp;".in.enc.stl.drg.coa",input_data!$A:$A,0))</f>
        <v>0</v>
      </c>
    </row>
    <row r="25" spans="1:24" ht="15" customHeight="1" x14ac:dyDescent="0.25">
      <c r="A25" s="380" t="str">
        <f>CBAM!$B$5&amp;".pj.enc.stl.drg.nga"</f>
        <v>egy.pj.enc.stl.drg.nga</v>
      </c>
      <c r="B25" s="380" t="str">
        <f>CBAM!$B$5</f>
        <v>egy</v>
      </c>
      <c r="C25" s="380" t="s">
        <v>1275</v>
      </c>
      <c r="D25" s="380" t="s">
        <v>1317</v>
      </c>
      <c r="E25" s="380" t="s">
        <v>322</v>
      </c>
      <c r="F25" s="380" t="s">
        <v>1305</v>
      </c>
      <c r="G25" s="380" t="s">
        <v>754</v>
      </c>
      <c r="H25" s="380" t="s">
        <v>1321</v>
      </c>
      <c r="I25" s="380" t="s">
        <v>1319</v>
      </c>
      <c r="J25" s="380" t="s">
        <v>1320</v>
      </c>
      <c r="K25" s="380"/>
      <c r="L25" s="380"/>
      <c r="M25" s="385">
        <f>M20*INDEX(input_data!$L:$L,MATCH(CBAM!$B$5&amp;".in.enc.stl.drg.nga",input_data!$A:$A,0))</f>
        <v>11.729999999999999</v>
      </c>
      <c r="N25" s="385">
        <f>N20*INDEX(input_data!$L:$L,MATCH(CBAM!$B$5&amp;".in.enc.stl.drg.nga",input_data!$A:$A,0))</f>
        <v>12.375149999999998</v>
      </c>
      <c r="O25" s="385">
        <f>O20*INDEX(input_data!$L:$L,MATCH(CBAM!$B$5&amp;".in.enc.stl.drg.nga",input_data!$A:$A,0))</f>
        <v>13.055783249999998</v>
      </c>
      <c r="P25" s="385">
        <f>P20*INDEX(input_data!$L:$L,MATCH(CBAM!$B$5&amp;".in.enc.stl.drg.nga",input_data!$A:$A,0))</f>
        <v>13.773851328749995</v>
      </c>
      <c r="Q25" s="385">
        <f>Q20*INDEX(input_data!$L:$L,MATCH(CBAM!$B$5&amp;".in.enc.stl.drg.nga",input_data!$A:$A,0))</f>
        <v>14.531413151831245</v>
      </c>
      <c r="R25" s="385">
        <f>R20*INDEX(input_data!$L:$L,MATCH(CBAM!$B$5&amp;".in.enc.stl.drg.nga",input_data!$A:$A,0))</f>
        <v>15.330640875181963</v>
      </c>
      <c r="S25" s="385">
        <f>S20*INDEX(input_data!$L:$L,MATCH(CBAM!$B$5&amp;".in.enc.stl.drg.nga",input_data!$A:$A,0))</f>
        <v>16.173826123316971</v>
      </c>
      <c r="T25" s="385">
        <f>T20*INDEX(input_data!$L:$L,MATCH(CBAM!$B$5&amp;".in.enc.stl.drg.nga",input_data!$A:$A,0))</f>
        <v>17.063386560099403</v>
      </c>
      <c r="U25" s="385">
        <f>U20*INDEX(input_data!$L:$L,MATCH(CBAM!$B$5&amp;".in.enc.stl.drg.nga",input_data!$A:$A,0))</f>
        <v>18.001872820904868</v>
      </c>
      <c r="V25" s="385">
        <f>V20*INDEX(input_data!$L:$L,MATCH(CBAM!$B$5&amp;".in.enc.stl.drg.nga",input_data!$A:$A,0))</f>
        <v>18.991975826054638</v>
      </c>
      <c r="W25" s="385">
        <f>W20*INDEX(input_data!$L:$L,MATCH(CBAM!$B$5&amp;".in.enc.stl.drg.nga",input_data!$A:$A,0))</f>
        <v>20.03653449648764</v>
      </c>
      <c r="X25" s="385">
        <f>X20*INDEX(input_data!$L:$L,MATCH(CBAM!$B$5&amp;".in.enc.stl.drg.nga",input_data!$A:$A,0))</f>
        <v>21.138543893794463</v>
      </c>
    </row>
    <row r="26" spans="1:24" ht="15" customHeight="1" x14ac:dyDescent="0.25">
      <c r="A26" s="380" t="str">
        <f>CBAM!$B$5&amp;".pj.enc.stl.drg.gso"</f>
        <v>egy.pj.enc.stl.drg.gso</v>
      </c>
      <c r="B26" s="380" t="str">
        <f>CBAM!$B$5</f>
        <v>egy</v>
      </c>
      <c r="C26" s="380" t="s">
        <v>1275</v>
      </c>
      <c r="D26" s="380" t="s">
        <v>1317</v>
      </c>
      <c r="E26" s="380" t="s">
        <v>322</v>
      </c>
      <c r="F26" s="380" t="s">
        <v>1305</v>
      </c>
      <c r="G26" s="380" t="s">
        <v>1292</v>
      </c>
      <c r="H26" s="380" t="s">
        <v>1322</v>
      </c>
      <c r="I26" s="380" t="s">
        <v>1319</v>
      </c>
      <c r="J26" s="380" t="s">
        <v>1320</v>
      </c>
      <c r="K26" s="380"/>
      <c r="L26" s="380"/>
      <c r="M26" s="385">
        <f>M20*INDEX(input_data!$L:$L,MATCH(CBAM!$B$5&amp;".in.enc.stl.drg.gso",input_data!$A:$A,0))</f>
        <v>0</v>
      </c>
      <c r="N26" s="385">
        <f>N20*INDEX(input_data!$L:$L,MATCH(CBAM!$B$5&amp;".in.enc.stl.drg.gso",input_data!$A:$A,0))</f>
        <v>0</v>
      </c>
      <c r="O26" s="385">
        <f>O20*INDEX(input_data!$L:$L,MATCH(CBAM!$B$5&amp;".in.enc.stl.drg.gso",input_data!$A:$A,0))</f>
        <v>0</v>
      </c>
      <c r="P26" s="385">
        <f>P20*INDEX(input_data!$L:$L,MATCH(CBAM!$B$5&amp;".in.enc.stl.drg.gso",input_data!$A:$A,0))</f>
        <v>0</v>
      </c>
      <c r="Q26" s="385">
        <f>Q20*INDEX(input_data!$L:$L,MATCH(CBAM!$B$5&amp;".in.enc.stl.drg.gso",input_data!$A:$A,0))</f>
        <v>0</v>
      </c>
      <c r="R26" s="385">
        <f>R20*INDEX(input_data!$L:$L,MATCH(CBAM!$B$5&amp;".in.enc.stl.drg.gso",input_data!$A:$A,0))</f>
        <v>0</v>
      </c>
      <c r="S26" s="385">
        <f>S20*INDEX(input_data!$L:$L,MATCH(CBAM!$B$5&amp;".in.enc.stl.drg.gso",input_data!$A:$A,0))</f>
        <v>0</v>
      </c>
      <c r="T26" s="385">
        <f>T20*INDEX(input_data!$L:$L,MATCH(CBAM!$B$5&amp;".in.enc.stl.drg.gso",input_data!$A:$A,0))</f>
        <v>0</v>
      </c>
      <c r="U26" s="385">
        <f>U20*INDEX(input_data!$L:$L,MATCH(CBAM!$B$5&amp;".in.enc.stl.drg.gso",input_data!$A:$A,0))</f>
        <v>0</v>
      </c>
      <c r="V26" s="385">
        <f>V20*INDEX(input_data!$L:$L,MATCH(CBAM!$B$5&amp;".in.enc.stl.drg.gso",input_data!$A:$A,0))</f>
        <v>0</v>
      </c>
      <c r="W26" s="385">
        <f>W20*INDEX(input_data!$L:$L,MATCH(CBAM!$B$5&amp;".in.enc.stl.drg.gso",input_data!$A:$A,0))</f>
        <v>0</v>
      </c>
      <c r="X26" s="385">
        <f>X20*INDEX(input_data!$L:$L,MATCH(CBAM!$B$5&amp;".in.enc.stl.drg.gso",input_data!$A:$A,0))</f>
        <v>0</v>
      </c>
    </row>
    <row r="27" spans="1:24" ht="15" customHeight="1" x14ac:dyDescent="0.25">
      <c r="A27" s="380" t="str">
        <f>CBAM!$B$5&amp;".pj.enc.stl.drg.die"</f>
        <v>egy.pj.enc.stl.drg.die</v>
      </c>
      <c r="B27" s="380" t="str">
        <f>CBAM!$B$5</f>
        <v>egy</v>
      </c>
      <c r="C27" s="380" t="s">
        <v>1275</v>
      </c>
      <c r="D27" s="380" t="s">
        <v>1317</v>
      </c>
      <c r="E27" s="380" t="s">
        <v>322</v>
      </c>
      <c r="F27" s="380" t="s">
        <v>1305</v>
      </c>
      <c r="G27" s="380" t="s">
        <v>762</v>
      </c>
      <c r="H27" s="380" t="s">
        <v>1323</v>
      </c>
      <c r="I27" s="380" t="s">
        <v>1319</v>
      </c>
      <c r="J27" s="380" t="s">
        <v>1320</v>
      </c>
      <c r="K27" s="380"/>
      <c r="L27" s="380"/>
      <c r="M27" s="385">
        <f>M20*INDEX(input_data!$L:$L,MATCH(CBAM!$B$5&amp;".in.enc.stl.drg.die",input_data!$A:$A,0))</f>
        <v>0</v>
      </c>
      <c r="N27" s="385">
        <f>N20*INDEX(input_data!$L:$L,MATCH(CBAM!$B$5&amp;".in.enc.stl.drg.die",input_data!$A:$A,0))</f>
        <v>0</v>
      </c>
      <c r="O27" s="385">
        <f>O20*INDEX(input_data!$L:$L,MATCH(CBAM!$B$5&amp;".in.enc.stl.drg.die",input_data!$A:$A,0))</f>
        <v>0</v>
      </c>
      <c r="P27" s="385">
        <f>P20*INDEX(input_data!$L:$L,MATCH(CBAM!$B$5&amp;".in.enc.stl.drg.die",input_data!$A:$A,0))</f>
        <v>0</v>
      </c>
      <c r="Q27" s="385">
        <f>Q20*INDEX(input_data!$L:$L,MATCH(CBAM!$B$5&amp;".in.enc.stl.drg.die",input_data!$A:$A,0))</f>
        <v>0</v>
      </c>
      <c r="R27" s="385">
        <f>R20*INDEX(input_data!$L:$L,MATCH(CBAM!$B$5&amp;".in.enc.stl.drg.die",input_data!$A:$A,0))</f>
        <v>0</v>
      </c>
      <c r="S27" s="385">
        <f>S20*INDEX(input_data!$L:$L,MATCH(CBAM!$B$5&amp;".in.enc.stl.drg.die",input_data!$A:$A,0))</f>
        <v>0</v>
      </c>
      <c r="T27" s="385">
        <f>T20*INDEX(input_data!$L:$L,MATCH(CBAM!$B$5&amp;".in.enc.stl.drg.die",input_data!$A:$A,0))</f>
        <v>0</v>
      </c>
      <c r="U27" s="385">
        <f>U20*INDEX(input_data!$L:$L,MATCH(CBAM!$B$5&amp;".in.enc.stl.drg.die",input_data!$A:$A,0))</f>
        <v>0</v>
      </c>
      <c r="V27" s="385">
        <f>V20*INDEX(input_data!$L:$L,MATCH(CBAM!$B$5&amp;".in.enc.stl.drg.die",input_data!$A:$A,0))</f>
        <v>0</v>
      </c>
      <c r="W27" s="385">
        <f>W20*INDEX(input_data!$L:$L,MATCH(CBAM!$B$5&amp;".in.enc.stl.drg.die",input_data!$A:$A,0))</f>
        <v>0</v>
      </c>
      <c r="X27" s="385">
        <f>X20*INDEX(input_data!$L:$L,MATCH(CBAM!$B$5&amp;".in.enc.stl.drg.die",input_data!$A:$A,0))</f>
        <v>0</v>
      </c>
    </row>
    <row r="28" spans="1:24" ht="15" customHeight="1" x14ac:dyDescent="0.25">
      <c r="A28" s="380" t="str">
        <f>CBAM!$B$5&amp;".pj.enc.stl.drg.ker"</f>
        <v>egy.pj.enc.stl.drg.ker</v>
      </c>
      <c r="B28" s="380" t="str">
        <f>CBAM!$B$5</f>
        <v>egy</v>
      </c>
      <c r="C28" s="380" t="s">
        <v>1275</v>
      </c>
      <c r="D28" s="380" t="s">
        <v>1317</v>
      </c>
      <c r="E28" s="380" t="s">
        <v>322</v>
      </c>
      <c r="F28" s="380" t="s">
        <v>1305</v>
      </c>
      <c r="G28" s="380" t="s">
        <v>1295</v>
      </c>
      <c r="H28" s="380" t="s">
        <v>1324</v>
      </c>
      <c r="I28" s="380" t="s">
        <v>1319</v>
      </c>
      <c r="J28" s="380" t="s">
        <v>1320</v>
      </c>
      <c r="K28" s="380"/>
      <c r="L28" s="380"/>
      <c r="M28" s="385">
        <f>M20*INDEX(input_data!$L:$L,MATCH(CBAM!$B$5&amp;".in.enc.stl.drg.ker",input_data!$A:$A,0))</f>
        <v>0</v>
      </c>
      <c r="N28" s="385">
        <f>N20*INDEX(input_data!$L:$L,MATCH(CBAM!$B$5&amp;".in.enc.stl.drg.ker",input_data!$A:$A,0))</f>
        <v>0</v>
      </c>
      <c r="O28" s="385">
        <f>O20*INDEX(input_data!$L:$L,MATCH(CBAM!$B$5&amp;".in.enc.stl.drg.ker",input_data!$A:$A,0))</f>
        <v>0</v>
      </c>
      <c r="P28" s="385">
        <f>P20*INDEX(input_data!$L:$L,MATCH(CBAM!$B$5&amp;".in.enc.stl.drg.ker",input_data!$A:$A,0))</f>
        <v>0</v>
      </c>
      <c r="Q28" s="385">
        <f>Q20*INDEX(input_data!$L:$L,MATCH(CBAM!$B$5&amp;".in.enc.stl.drg.ker",input_data!$A:$A,0))</f>
        <v>0</v>
      </c>
      <c r="R28" s="385">
        <f>R20*INDEX(input_data!$L:$L,MATCH(CBAM!$B$5&amp;".in.enc.stl.drg.ker",input_data!$A:$A,0))</f>
        <v>0</v>
      </c>
      <c r="S28" s="385">
        <f>S20*INDEX(input_data!$L:$L,MATCH(CBAM!$B$5&amp;".in.enc.stl.drg.ker",input_data!$A:$A,0))</f>
        <v>0</v>
      </c>
      <c r="T28" s="385">
        <f>T20*INDEX(input_data!$L:$L,MATCH(CBAM!$B$5&amp;".in.enc.stl.drg.ker",input_data!$A:$A,0))</f>
        <v>0</v>
      </c>
      <c r="U28" s="385">
        <f>U20*INDEX(input_data!$L:$L,MATCH(CBAM!$B$5&amp;".in.enc.stl.drg.ker",input_data!$A:$A,0))</f>
        <v>0</v>
      </c>
      <c r="V28" s="385">
        <f>V20*INDEX(input_data!$L:$L,MATCH(CBAM!$B$5&amp;".in.enc.stl.drg.ker",input_data!$A:$A,0))</f>
        <v>0</v>
      </c>
      <c r="W28" s="385">
        <f>W20*INDEX(input_data!$L:$L,MATCH(CBAM!$B$5&amp;".in.enc.stl.drg.ker",input_data!$A:$A,0))</f>
        <v>0</v>
      </c>
      <c r="X28" s="385">
        <f>X20*INDEX(input_data!$L:$L,MATCH(CBAM!$B$5&amp;".in.enc.stl.drg.ker",input_data!$A:$A,0))</f>
        <v>0</v>
      </c>
    </row>
    <row r="29" spans="1:24" ht="15" customHeight="1" x14ac:dyDescent="0.25">
      <c r="A29" s="380" t="str">
        <f>CBAM!$B$5&amp;".pj.enc.stl.drg.lpg"</f>
        <v>egy.pj.enc.stl.drg.lpg</v>
      </c>
      <c r="B29" s="380" t="str">
        <f>CBAM!$B$5</f>
        <v>egy</v>
      </c>
      <c r="C29" s="380" t="s">
        <v>1275</v>
      </c>
      <c r="D29" s="380" t="s">
        <v>1317</v>
      </c>
      <c r="E29" s="380" t="s">
        <v>322</v>
      </c>
      <c r="F29" s="380" t="s">
        <v>1305</v>
      </c>
      <c r="G29" s="380" t="s">
        <v>1297</v>
      </c>
      <c r="H29" s="380" t="s">
        <v>1325</v>
      </c>
      <c r="I29" s="380" t="s">
        <v>1319</v>
      </c>
      <c r="J29" s="380" t="s">
        <v>1320</v>
      </c>
      <c r="K29" s="380"/>
      <c r="L29" s="380"/>
      <c r="M29" s="385">
        <f>M20*INDEX(input_data!$L:$L,MATCH(CBAM!$B$5&amp;".in.enc.stl.drg.lpg",input_data!$A:$A,0))</f>
        <v>0</v>
      </c>
      <c r="N29" s="385">
        <f>N20*INDEX(input_data!$L:$L,MATCH(CBAM!$B$5&amp;".in.enc.stl.drg.lpg",input_data!$A:$A,0))</f>
        <v>0</v>
      </c>
      <c r="O29" s="385">
        <f>O20*INDEX(input_data!$L:$L,MATCH(CBAM!$B$5&amp;".in.enc.stl.drg.lpg",input_data!$A:$A,0))</f>
        <v>0</v>
      </c>
      <c r="P29" s="385">
        <f>P20*INDEX(input_data!$L:$L,MATCH(CBAM!$B$5&amp;".in.enc.stl.drg.lpg",input_data!$A:$A,0))</f>
        <v>0</v>
      </c>
      <c r="Q29" s="385">
        <f>Q20*INDEX(input_data!$L:$L,MATCH(CBAM!$B$5&amp;".in.enc.stl.drg.lpg",input_data!$A:$A,0))</f>
        <v>0</v>
      </c>
      <c r="R29" s="385">
        <f>R20*INDEX(input_data!$L:$L,MATCH(CBAM!$B$5&amp;".in.enc.stl.drg.lpg",input_data!$A:$A,0))</f>
        <v>0</v>
      </c>
      <c r="S29" s="385">
        <f>S20*INDEX(input_data!$L:$L,MATCH(CBAM!$B$5&amp;".in.enc.stl.drg.lpg",input_data!$A:$A,0))</f>
        <v>0</v>
      </c>
      <c r="T29" s="385">
        <f>T20*INDEX(input_data!$L:$L,MATCH(CBAM!$B$5&amp;".in.enc.stl.drg.lpg",input_data!$A:$A,0))</f>
        <v>0</v>
      </c>
      <c r="U29" s="385">
        <f>U20*INDEX(input_data!$L:$L,MATCH(CBAM!$B$5&amp;".in.enc.stl.drg.lpg",input_data!$A:$A,0))</f>
        <v>0</v>
      </c>
      <c r="V29" s="385">
        <f>V20*INDEX(input_data!$L:$L,MATCH(CBAM!$B$5&amp;".in.enc.stl.drg.lpg",input_data!$A:$A,0))</f>
        <v>0</v>
      </c>
      <c r="W29" s="385">
        <f>W20*INDEX(input_data!$L:$L,MATCH(CBAM!$B$5&amp;".in.enc.stl.drg.lpg",input_data!$A:$A,0))</f>
        <v>0</v>
      </c>
      <c r="X29" s="385">
        <f>X20*INDEX(input_data!$L:$L,MATCH(CBAM!$B$5&amp;".in.enc.stl.drg.lpg",input_data!$A:$A,0))</f>
        <v>0</v>
      </c>
    </row>
    <row r="30" spans="1:24" ht="15" customHeight="1" x14ac:dyDescent="0.25">
      <c r="A30" s="380" t="str">
        <f>CBAM!$B$5&amp;".pj.enc.stl.drg.bio"</f>
        <v>egy.pj.enc.stl.drg.bio</v>
      </c>
      <c r="B30" s="380" t="str">
        <f>CBAM!$B$5</f>
        <v>egy</v>
      </c>
      <c r="C30" s="380" t="s">
        <v>1275</v>
      </c>
      <c r="D30" s="380" t="s">
        <v>1317</v>
      </c>
      <c r="E30" s="380" t="s">
        <v>322</v>
      </c>
      <c r="F30" s="380" t="s">
        <v>1305</v>
      </c>
      <c r="G30" s="380" t="s">
        <v>1299</v>
      </c>
      <c r="H30" s="380" t="s">
        <v>1326</v>
      </c>
      <c r="I30" s="380" t="s">
        <v>1319</v>
      </c>
      <c r="J30" s="380" t="s">
        <v>1320</v>
      </c>
      <c r="K30" s="380"/>
      <c r="L30" s="380"/>
      <c r="M30" s="385">
        <f>M20*INDEX(input_data!$L:$L,MATCH(CBAM!$B$5&amp;".in.enc.stl.drg.bio",input_data!$A:$A,0))</f>
        <v>0</v>
      </c>
      <c r="N30" s="385">
        <f>N20*INDEX(input_data!$L:$L,MATCH(CBAM!$B$5&amp;".in.enc.stl.drg.bio",input_data!$A:$A,0))</f>
        <v>0</v>
      </c>
      <c r="O30" s="385">
        <f>O20*INDEX(input_data!$L:$L,MATCH(CBAM!$B$5&amp;".in.enc.stl.drg.bio",input_data!$A:$A,0))</f>
        <v>0</v>
      </c>
      <c r="P30" s="385">
        <f>P20*INDEX(input_data!$L:$L,MATCH(CBAM!$B$5&amp;".in.enc.stl.drg.bio",input_data!$A:$A,0))</f>
        <v>0</v>
      </c>
      <c r="Q30" s="385">
        <f>Q20*INDEX(input_data!$L:$L,MATCH(CBAM!$B$5&amp;".in.enc.stl.drg.bio",input_data!$A:$A,0))</f>
        <v>0</v>
      </c>
      <c r="R30" s="385">
        <f>R20*INDEX(input_data!$L:$L,MATCH(CBAM!$B$5&amp;".in.enc.stl.drg.bio",input_data!$A:$A,0))</f>
        <v>0</v>
      </c>
      <c r="S30" s="385">
        <f>S20*INDEX(input_data!$L:$L,MATCH(CBAM!$B$5&amp;".in.enc.stl.drg.bio",input_data!$A:$A,0))</f>
        <v>0</v>
      </c>
      <c r="T30" s="385">
        <f>T20*INDEX(input_data!$L:$L,MATCH(CBAM!$B$5&amp;".in.enc.stl.drg.bio",input_data!$A:$A,0))</f>
        <v>0</v>
      </c>
      <c r="U30" s="385">
        <f>U20*INDEX(input_data!$L:$L,MATCH(CBAM!$B$5&amp;".in.enc.stl.drg.bio",input_data!$A:$A,0))</f>
        <v>0</v>
      </c>
      <c r="V30" s="385">
        <f>V20*INDEX(input_data!$L:$L,MATCH(CBAM!$B$5&amp;".in.enc.stl.drg.bio",input_data!$A:$A,0))</f>
        <v>0</v>
      </c>
      <c r="W30" s="385">
        <f>W20*INDEX(input_data!$L:$L,MATCH(CBAM!$B$5&amp;".in.enc.stl.drg.bio",input_data!$A:$A,0))</f>
        <v>0</v>
      </c>
      <c r="X30" s="385">
        <f>X20*INDEX(input_data!$L:$L,MATCH(CBAM!$B$5&amp;".in.enc.stl.drg.bio",input_data!$A:$A,0))</f>
        <v>0</v>
      </c>
    </row>
    <row r="31" spans="1:24" ht="15" customHeight="1" x14ac:dyDescent="0.25">
      <c r="A31" s="380" t="str">
        <f>CBAM!$B$5&amp;".pj.enc.stl.drg.ren"</f>
        <v>egy.pj.enc.stl.drg.ren</v>
      </c>
      <c r="B31" s="380" t="str">
        <f>CBAM!$B$5</f>
        <v>egy</v>
      </c>
      <c r="C31" s="380" t="s">
        <v>1275</v>
      </c>
      <c r="D31" s="380" t="s">
        <v>1317</v>
      </c>
      <c r="E31" s="380" t="s">
        <v>322</v>
      </c>
      <c r="F31" s="380" t="s">
        <v>1305</v>
      </c>
      <c r="G31" s="380" t="s">
        <v>1301</v>
      </c>
      <c r="H31" s="380" t="s">
        <v>1327</v>
      </c>
      <c r="I31" s="380" t="s">
        <v>1319</v>
      </c>
      <c r="J31" s="380" t="s">
        <v>1320</v>
      </c>
      <c r="K31" s="380"/>
      <c r="L31" s="380"/>
      <c r="M31" s="385">
        <f>M20*INDEX(input_data!$L:$L,MATCH(CBAM!$B$5&amp;".in.enc.stl.drg.ren",input_data!$A:$A,0))</f>
        <v>0</v>
      </c>
      <c r="N31" s="385">
        <f>N20*INDEX(input_data!$L:$L,MATCH(CBAM!$B$5&amp;".in.enc.stl.drg.ren",input_data!$A:$A,0))</f>
        <v>0</v>
      </c>
      <c r="O31" s="385">
        <f>O20*INDEX(input_data!$L:$L,MATCH(CBAM!$B$5&amp;".in.enc.stl.drg.ren",input_data!$A:$A,0))</f>
        <v>0</v>
      </c>
      <c r="P31" s="385">
        <f>P20*INDEX(input_data!$L:$L,MATCH(CBAM!$B$5&amp;".in.enc.stl.drg.ren",input_data!$A:$A,0))</f>
        <v>0</v>
      </c>
      <c r="Q31" s="385">
        <f>Q20*INDEX(input_data!$L:$L,MATCH(CBAM!$B$5&amp;".in.enc.stl.drg.ren",input_data!$A:$A,0))</f>
        <v>0</v>
      </c>
      <c r="R31" s="385">
        <f>R20*INDEX(input_data!$L:$L,MATCH(CBAM!$B$5&amp;".in.enc.stl.drg.ren",input_data!$A:$A,0))</f>
        <v>0</v>
      </c>
      <c r="S31" s="385">
        <f>S20*INDEX(input_data!$L:$L,MATCH(CBAM!$B$5&amp;".in.enc.stl.drg.ren",input_data!$A:$A,0))</f>
        <v>0</v>
      </c>
      <c r="T31" s="385">
        <f>T20*INDEX(input_data!$L:$L,MATCH(CBAM!$B$5&amp;".in.enc.stl.drg.ren",input_data!$A:$A,0))</f>
        <v>0</v>
      </c>
      <c r="U31" s="385">
        <f>U20*INDEX(input_data!$L:$L,MATCH(CBAM!$B$5&amp;".in.enc.stl.drg.ren",input_data!$A:$A,0))</f>
        <v>0</v>
      </c>
      <c r="V31" s="385">
        <f>V20*INDEX(input_data!$L:$L,MATCH(CBAM!$B$5&amp;".in.enc.stl.drg.ren",input_data!$A:$A,0))</f>
        <v>0</v>
      </c>
      <c r="W31" s="385">
        <f>W20*INDEX(input_data!$L:$L,MATCH(CBAM!$B$5&amp;".in.enc.stl.drg.ren",input_data!$A:$A,0))</f>
        <v>0</v>
      </c>
      <c r="X31" s="385">
        <f>X20*INDEX(input_data!$L:$L,MATCH(CBAM!$B$5&amp;".in.enc.stl.drg.ren",input_data!$A:$A,0))</f>
        <v>0</v>
      </c>
    </row>
    <row r="32" spans="1:24" ht="15" customHeight="1" x14ac:dyDescent="0.25">
      <c r="A32" s="380" t="str">
        <f>CBAM!$B$5&amp;".pj.enp.stl.drg.coa"</f>
        <v>egy.pj.enp.stl.drg.coa</v>
      </c>
      <c r="B32" s="380" t="str">
        <f>CBAM!$B$5</f>
        <v>egy</v>
      </c>
      <c r="C32" s="380" t="s">
        <v>1275</v>
      </c>
      <c r="D32" s="380" t="s">
        <v>1328</v>
      </c>
      <c r="E32" s="380" t="s">
        <v>322</v>
      </c>
      <c r="F32" s="380" t="s">
        <v>1305</v>
      </c>
      <c r="G32" s="380" t="s">
        <v>757</v>
      </c>
      <c r="H32" s="380" t="s">
        <v>1329</v>
      </c>
      <c r="I32" s="380" t="s">
        <v>1319</v>
      </c>
      <c r="J32" s="380" t="s">
        <v>1330</v>
      </c>
      <c r="K32" s="380"/>
      <c r="L32" s="380"/>
      <c r="M32" s="385">
        <f>M20*INDEX(input_data!$L:$L,MATCH(CBAM!$B$5&amp;".in.enp.stl.drg.coa",input_data!$A:$A,0))</f>
        <v>0</v>
      </c>
      <c r="N32" s="385">
        <f>N20*INDEX(input_data!$L:$L,MATCH(CBAM!$B$5&amp;".in.enp.stl.drg.coa",input_data!$A:$A,0))</f>
        <v>0</v>
      </c>
      <c r="O32" s="385">
        <f>O20*INDEX(input_data!$L:$L,MATCH(CBAM!$B$5&amp;".in.enp.stl.drg.coa",input_data!$A:$A,0))</f>
        <v>0</v>
      </c>
      <c r="P32" s="385">
        <f>P20*INDEX(input_data!$L:$L,MATCH(CBAM!$B$5&amp;".in.enp.stl.drg.coa",input_data!$A:$A,0))</f>
        <v>0</v>
      </c>
      <c r="Q32" s="385">
        <f>Q20*INDEX(input_data!$L:$L,MATCH(CBAM!$B$5&amp;".in.enp.stl.drg.coa",input_data!$A:$A,0))</f>
        <v>0</v>
      </c>
      <c r="R32" s="385">
        <f>R20*INDEX(input_data!$L:$L,MATCH(CBAM!$B$5&amp;".in.enp.stl.drg.coa",input_data!$A:$A,0))</f>
        <v>0</v>
      </c>
      <c r="S32" s="385">
        <f>S20*INDEX(input_data!$L:$L,MATCH(CBAM!$B$5&amp;".in.enp.stl.drg.coa",input_data!$A:$A,0))</f>
        <v>0</v>
      </c>
      <c r="T32" s="385">
        <f>T20*INDEX(input_data!$L:$L,MATCH(CBAM!$B$5&amp;".in.enp.stl.drg.coa",input_data!$A:$A,0))</f>
        <v>0</v>
      </c>
      <c r="U32" s="385">
        <f>U20*INDEX(input_data!$L:$L,MATCH(CBAM!$B$5&amp;".in.enp.stl.drg.coa",input_data!$A:$A,0))</f>
        <v>0</v>
      </c>
      <c r="V32" s="385">
        <f>V20*INDEX(input_data!$L:$L,MATCH(CBAM!$B$5&amp;".in.enp.stl.drg.coa",input_data!$A:$A,0))</f>
        <v>0</v>
      </c>
      <c r="W32" s="385">
        <f>W20*INDEX(input_data!$L:$L,MATCH(CBAM!$B$5&amp;".in.enp.stl.drg.coa",input_data!$A:$A,0))</f>
        <v>0</v>
      </c>
      <c r="X32" s="385">
        <f>X20*INDEX(input_data!$L:$L,MATCH(CBAM!$B$5&amp;".in.enp.stl.drg.coa",input_data!$A:$A,0))</f>
        <v>0</v>
      </c>
    </row>
    <row r="33" spans="1:24" ht="15" customHeight="1" x14ac:dyDescent="0.25">
      <c r="A33" s="380" t="str">
        <f>CBAM!$B$5&amp;".pj.enp.stl.drg.nga"</f>
        <v>egy.pj.enp.stl.drg.nga</v>
      </c>
      <c r="B33" s="380" t="str">
        <f>CBAM!$B$5</f>
        <v>egy</v>
      </c>
      <c r="C33" s="380" t="s">
        <v>1275</v>
      </c>
      <c r="D33" s="380" t="s">
        <v>1328</v>
      </c>
      <c r="E33" s="380" t="s">
        <v>322</v>
      </c>
      <c r="F33" s="380" t="s">
        <v>1305</v>
      </c>
      <c r="G33" s="380" t="s">
        <v>754</v>
      </c>
      <c r="H33" s="380" t="s">
        <v>1331</v>
      </c>
      <c r="I33" s="380" t="s">
        <v>1319</v>
      </c>
      <c r="J33" s="380" t="s">
        <v>1330</v>
      </c>
      <c r="K33" s="380"/>
      <c r="L33" s="380"/>
      <c r="M33" s="385">
        <f>M20*INDEX(input_data!$L:$L,MATCH(CBAM!$B$5&amp;".in.enp.stl.drg.nga",input_data!$A:$A,0))</f>
        <v>51</v>
      </c>
      <c r="N33" s="385">
        <f>N20*INDEX(input_data!$L:$L,MATCH(CBAM!$B$5&amp;".in.enp.stl.drg.nga",input_data!$A:$A,0))</f>
        <v>53.804999999999993</v>
      </c>
      <c r="O33" s="385">
        <f>O20*INDEX(input_data!$L:$L,MATCH(CBAM!$B$5&amp;".in.enp.stl.drg.nga",input_data!$A:$A,0))</f>
        <v>56.764274999999991</v>
      </c>
      <c r="P33" s="385">
        <f>P20*INDEX(input_data!$L:$L,MATCH(CBAM!$B$5&amp;".in.enp.stl.drg.nga",input_data!$A:$A,0))</f>
        <v>59.88631012499998</v>
      </c>
      <c r="Q33" s="385">
        <f>Q20*INDEX(input_data!$L:$L,MATCH(CBAM!$B$5&amp;".in.enp.stl.drg.nga",input_data!$A:$A,0))</f>
        <v>63.180057181874986</v>
      </c>
      <c r="R33" s="385">
        <f>R20*INDEX(input_data!$L:$L,MATCH(CBAM!$B$5&amp;".in.enp.stl.drg.nga",input_data!$A:$A,0))</f>
        <v>66.654960326878111</v>
      </c>
      <c r="S33" s="385">
        <f>S20*INDEX(input_data!$L:$L,MATCH(CBAM!$B$5&amp;".in.enp.stl.drg.nga",input_data!$A:$A,0))</f>
        <v>70.320983144856399</v>
      </c>
      <c r="T33" s="385">
        <f>T20*INDEX(input_data!$L:$L,MATCH(CBAM!$B$5&amp;".in.enp.stl.drg.nga",input_data!$A:$A,0))</f>
        <v>74.188637217823498</v>
      </c>
      <c r="U33" s="385">
        <f>U20*INDEX(input_data!$L:$L,MATCH(CBAM!$B$5&amp;".in.enp.stl.drg.nga",input_data!$A:$A,0))</f>
        <v>78.269012264803791</v>
      </c>
      <c r="V33" s="385">
        <f>V20*INDEX(input_data!$L:$L,MATCH(CBAM!$B$5&amp;".in.enp.stl.drg.nga",input_data!$A:$A,0))</f>
        <v>82.57380793936801</v>
      </c>
      <c r="W33" s="385">
        <f>W20*INDEX(input_data!$L:$L,MATCH(CBAM!$B$5&amp;".in.enp.stl.drg.nga",input_data!$A:$A,0))</f>
        <v>87.115367376033234</v>
      </c>
      <c r="X33" s="385">
        <f>X20*INDEX(input_data!$L:$L,MATCH(CBAM!$B$5&amp;".in.enp.stl.drg.nga",input_data!$A:$A,0))</f>
        <v>91.906712581715055</v>
      </c>
    </row>
    <row r="34" spans="1:24" ht="15" customHeight="1" x14ac:dyDescent="0.25">
      <c r="A34" s="380" t="str">
        <f>CBAM!$B$5&amp;".pj.enp.stl.drg.gso"</f>
        <v>egy.pj.enp.stl.drg.gso</v>
      </c>
      <c r="B34" s="380" t="str">
        <f>CBAM!$B$5</f>
        <v>egy</v>
      </c>
      <c r="C34" s="380" t="s">
        <v>1275</v>
      </c>
      <c r="D34" s="380" t="s">
        <v>1328</v>
      </c>
      <c r="E34" s="380" t="s">
        <v>322</v>
      </c>
      <c r="F34" s="380" t="s">
        <v>1305</v>
      </c>
      <c r="G34" s="380" t="s">
        <v>1292</v>
      </c>
      <c r="H34" s="380" t="s">
        <v>1332</v>
      </c>
      <c r="I34" s="380" t="s">
        <v>1319</v>
      </c>
      <c r="J34" s="380" t="s">
        <v>1330</v>
      </c>
      <c r="K34" s="380"/>
      <c r="L34" s="380"/>
      <c r="M34" s="385">
        <f>M20*INDEX(input_data!$L:$L,MATCH(CBAM!$B$5&amp;".in.enp.stl.drg.gso",input_data!$A:$A,0))</f>
        <v>0</v>
      </c>
      <c r="N34" s="385">
        <f>N20*INDEX(input_data!$L:$L,MATCH(CBAM!$B$5&amp;".in.enp.stl.drg.gso",input_data!$A:$A,0))</f>
        <v>0</v>
      </c>
      <c r="O34" s="385">
        <f>O20*INDEX(input_data!$L:$L,MATCH(CBAM!$B$5&amp;".in.enp.stl.drg.gso",input_data!$A:$A,0))</f>
        <v>0</v>
      </c>
      <c r="P34" s="385">
        <f>P20*INDEX(input_data!$L:$L,MATCH(CBAM!$B$5&amp;".in.enp.stl.drg.gso",input_data!$A:$A,0))</f>
        <v>0</v>
      </c>
      <c r="Q34" s="385">
        <f>Q20*INDEX(input_data!$L:$L,MATCH(CBAM!$B$5&amp;".in.enp.stl.drg.gso",input_data!$A:$A,0))</f>
        <v>0</v>
      </c>
      <c r="R34" s="385">
        <f>R20*INDEX(input_data!$L:$L,MATCH(CBAM!$B$5&amp;".in.enp.stl.drg.gso",input_data!$A:$A,0))</f>
        <v>0</v>
      </c>
      <c r="S34" s="385">
        <f>S20*INDEX(input_data!$L:$L,MATCH(CBAM!$B$5&amp;".in.enp.stl.drg.gso",input_data!$A:$A,0))</f>
        <v>0</v>
      </c>
      <c r="T34" s="385">
        <f>T20*INDEX(input_data!$L:$L,MATCH(CBAM!$B$5&amp;".in.enp.stl.drg.gso",input_data!$A:$A,0))</f>
        <v>0</v>
      </c>
      <c r="U34" s="385">
        <f>U20*INDEX(input_data!$L:$L,MATCH(CBAM!$B$5&amp;".in.enp.stl.drg.gso",input_data!$A:$A,0))</f>
        <v>0</v>
      </c>
      <c r="V34" s="385">
        <f>V20*INDEX(input_data!$L:$L,MATCH(CBAM!$B$5&amp;".in.enp.stl.drg.gso",input_data!$A:$A,0))</f>
        <v>0</v>
      </c>
      <c r="W34" s="385">
        <f>W20*INDEX(input_data!$L:$L,MATCH(CBAM!$B$5&amp;".in.enp.stl.drg.gso",input_data!$A:$A,0))</f>
        <v>0</v>
      </c>
      <c r="X34" s="385">
        <f>X20*INDEX(input_data!$L:$L,MATCH(CBAM!$B$5&amp;".in.enp.stl.drg.gso",input_data!$A:$A,0))</f>
        <v>0</v>
      </c>
    </row>
    <row r="35" spans="1:24" ht="15" customHeight="1" x14ac:dyDescent="0.25">
      <c r="A35" s="380" t="str">
        <f>CBAM!$B$5&amp;".pj.enp.stl.drg.die"</f>
        <v>egy.pj.enp.stl.drg.die</v>
      </c>
      <c r="B35" s="380" t="str">
        <f>CBAM!$B$5</f>
        <v>egy</v>
      </c>
      <c r="C35" s="380" t="s">
        <v>1275</v>
      </c>
      <c r="D35" s="380" t="s">
        <v>1328</v>
      </c>
      <c r="E35" s="380" t="s">
        <v>322</v>
      </c>
      <c r="F35" s="380" t="s">
        <v>1305</v>
      </c>
      <c r="G35" s="380" t="s">
        <v>762</v>
      </c>
      <c r="H35" s="380" t="s">
        <v>1333</v>
      </c>
      <c r="I35" s="380" t="s">
        <v>1319</v>
      </c>
      <c r="J35" s="380" t="s">
        <v>1330</v>
      </c>
      <c r="K35" s="380"/>
      <c r="L35" s="380"/>
      <c r="M35" s="385">
        <f>M20*INDEX(input_data!$L:$L,MATCH(CBAM!$B$5&amp;".in.enp.stl.drg.die",input_data!$A:$A,0))</f>
        <v>0</v>
      </c>
      <c r="N35" s="385">
        <f>N20*INDEX(input_data!$L:$L,MATCH(CBAM!$B$5&amp;".in.enp.stl.drg.die",input_data!$A:$A,0))</f>
        <v>0</v>
      </c>
      <c r="O35" s="385">
        <f>O20*INDEX(input_data!$L:$L,MATCH(CBAM!$B$5&amp;".in.enp.stl.drg.die",input_data!$A:$A,0))</f>
        <v>0</v>
      </c>
      <c r="P35" s="385">
        <f>P20*INDEX(input_data!$L:$L,MATCH(CBAM!$B$5&amp;".in.enp.stl.drg.die",input_data!$A:$A,0))</f>
        <v>0</v>
      </c>
      <c r="Q35" s="385">
        <f>Q20*INDEX(input_data!$L:$L,MATCH(CBAM!$B$5&amp;".in.enp.stl.drg.die",input_data!$A:$A,0))</f>
        <v>0</v>
      </c>
      <c r="R35" s="385">
        <f>R20*INDEX(input_data!$L:$L,MATCH(CBAM!$B$5&amp;".in.enp.stl.drg.die",input_data!$A:$A,0))</f>
        <v>0</v>
      </c>
      <c r="S35" s="385">
        <f>S20*INDEX(input_data!$L:$L,MATCH(CBAM!$B$5&amp;".in.enp.stl.drg.die",input_data!$A:$A,0))</f>
        <v>0</v>
      </c>
      <c r="T35" s="385">
        <f>T20*INDEX(input_data!$L:$L,MATCH(CBAM!$B$5&amp;".in.enp.stl.drg.die",input_data!$A:$A,0))</f>
        <v>0</v>
      </c>
      <c r="U35" s="385">
        <f>U20*INDEX(input_data!$L:$L,MATCH(CBAM!$B$5&amp;".in.enp.stl.drg.die",input_data!$A:$A,0))</f>
        <v>0</v>
      </c>
      <c r="V35" s="385">
        <f>V20*INDEX(input_data!$L:$L,MATCH(CBAM!$B$5&amp;".in.enp.stl.drg.die",input_data!$A:$A,0))</f>
        <v>0</v>
      </c>
      <c r="W35" s="385">
        <f>W20*INDEX(input_data!$L:$L,MATCH(CBAM!$B$5&amp;".in.enp.stl.drg.die",input_data!$A:$A,0))</f>
        <v>0</v>
      </c>
      <c r="X35" s="385">
        <f>X20*INDEX(input_data!$L:$L,MATCH(CBAM!$B$5&amp;".in.enp.stl.drg.die",input_data!$A:$A,0))</f>
        <v>0</v>
      </c>
    </row>
    <row r="36" spans="1:24" ht="15" customHeight="1" x14ac:dyDescent="0.25">
      <c r="A36" s="380" t="str">
        <f>CBAM!$B$5&amp;".pj.enp.stl.drg.ker"</f>
        <v>egy.pj.enp.stl.drg.ker</v>
      </c>
      <c r="B36" s="380" t="str">
        <f>CBAM!$B$5</f>
        <v>egy</v>
      </c>
      <c r="C36" s="380" t="s">
        <v>1275</v>
      </c>
      <c r="D36" s="380" t="s">
        <v>1328</v>
      </c>
      <c r="E36" s="380" t="s">
        <v>322</v>
      </c>
      <c r="F36" s="380" t="s">
        <v>1305</v>
      </c>
      <c r="G36" s="380" t="s">
        <v>1295</v>
      </c>
      <c r="H36" s="380" t="s">
        <v>1334</v>
      </c>
      <c r="I36" s="380" t="s">
        <v>1319</v>
      </c>
      <c r="J36" s="380" t="s">
        <v>1330</v>
      </c>
      <c r="K36" s="380"/>
      <c r="L36" s="380"/>
      <c r="M36" s="385">
        <f>M20*INDEX(input_data!$L:$L,MATCH(CBAM!$B$5&amp;".in.enp.stl.drg.ker",input_data!$A:$A,0))</f>
        <v>0</v>
      </c>
      <c r="N36" s="385">
        <f>N20*INDEX(input_data!$L:$L,MATCH(CBAM!$B$5&amp;".in.enp.stl.drg.ker",input_data!$A:$A,0))</f>
        <v>0</v>
      </c>
      <c r="O36" s="385">
        <f>O20*INDEX(input_data!$L:$L,MATCH(CBAM!$B$5&amp;".in.enp.stl.drg.ker",input_data!$A:$A,0))</f>
        <v>0</v>
      </c>
      <c r="P36" s="385">
        <f>P20*INDEX(input_data!$L:$L,MATCH(CBAM!$B$5&amp;".in.enp.stl.drg.ker",input_data!$A:$A,0))</f>
        <v>0</v>
      </c>
      <c r="Q36" s="385">
        <f>Q20*INDEX(input_data!$L:$L,MATCH(CBAM!$B$5&amp;".in.enp.stl.drg.ker",input_data!$A:$A,0))</f>
        <v>0</v>
      </c>
      <c r="R36" s="385">
        <f>R20*INDEX(input_data!$L:$L,MATCH(CBAM!$B$5&amp;".in.enp.stl.drg.ker",input_data!$A:$A,0))</f>
        <v>0</v>
      </c>
      <c r="S36" s="385">
        <f>S20*INDEX(input_data!$L:$L,MATCH(CBAM!$B$5&amp;".in.enp.stl.drg.ker",input_data!$A:$A,0))</f>
        <v>0</v>
      </c>
      <c r="T36" s="385">
        <f>T20*INDEX(input_data!$L:$L,MATCH(CBAM!$B$5&amp;".in.enp.stl.drg.ker",input_data!$A:$A,0))</f>
        <v>0</v>
      </c>
      <c r="U36" s="385">
        <f>U20*INDEX(input_data!$L:$L,MATCH(CBAM!$B$5&amp;".in.enp.stl.drg.ker",input_data!$A:$A,0))</f>
        <v>0</v>
      </c>
      <c r="V36" s="385">
        <f>V20*INDEX(input_data!$L:$L,MATCH(CBAM!$B$5&amp;".in.enp.stl.drg.ker",input_data!$A:$A,0))</f>
        <v>0</v>
      </c>
      <c r="W36" s="385">
        <f>W20*INDEX(input_data!$L:$L,MATCH(CBAM!$B$5&amp;".in.enp.stl.drg.ker",input_data!$A:$A,0))</f>
        <v>0</v>
      </c>
      <c r="X36" s="385">
        <f>X20*INDEX(input_data!$L:$L,MATCH(CBAM!$B$5&amp;".in.enp.stl.drg.ker",input_data!$A:$A,0))</f>
        <v>0</v>
      </c>
    </row>
    <row r="37" spans="1:24" ht="15" customHeight="1" x14ac:dyDescent="0.25">
      <c r="A37" s="380" t="str">
        <f>CBAM!$B$5&amp;".pj.enp.stl.drg.lpg"</f>
        <v>egy.pj.enp.stl.drg.lpg</v>
      </c>
      <c r="B37" s="380" t="str">
        <f>CBAM!$B$5</f>
        <v>egy</v>
      </c>
      <c r="C37" s="380" t="s">
        <v>1275</v>
      </c>
      <c r="D37" s="380" t="s">
        <v>1328</v>
      </c>
      <c r="E37" s="380" t="s">
        <v>322</v>
      </c>
      <c r="F37" s="380" t="s">
        <v>1305</v>
      </c>
      <c r="G37" s="380" t="s">
        <v>1297</v>
      </c>
      <c r="H37" s="380" t="s">
        <v>1335</v>
      </c>
      <c r="I37" s="380" t="s">
        <v>1319</v>
      </c>
      <c r="J37" s="380" t="s">
        <v>1330</v>
      </c>
      <c r="K37" s="380"/>
      <c r="L37" s="380"/>
      <c r="M37" s="385">
        <f>M20*INDEX(input_data!$L:$L,MATCH(CBAM!$B$5&amp;".in.enp.stl.drg.lpg",input_data!$A:$A,0))</f>
        <v>0</v>
      </c>
      <c r="N37" s="385">
        <f>N20*INDEX(input_data!$L:$L,MATCH(CBAM!$B$5&amp;".in.enp.stl.drg.lpg",input_data!$A:$A,0))</f>
        <v>0</v>
      </c>
      <c r="O37" s="385">
        <f>O20*INDEX(input_data!$L:$L,MATCH(CBAM!$B$5&amp;".in.enp.stl.drg.lpg",input_data!$A:$A,0))</f>
        <v>0</v>
      </c>
      <c r="P37" s="385">
        <f>P20*INDEX(input_data!$L:$L,MATCH(CBAM!$B$5&amp;".in.enp.stl.drg.lpg",input_data!$A:$A,0))</f>
        <v>0</v>
      </c>
      <c r="Q37" s="385">
        <f>Q20*INDEX(input_data!$L:$L,MATCH(CBAM!$B$5&amp;".in.enp.stl.drg.lpg",input_data!$A:$A,0))</f>
        <v>0</v>
      </c>
      <c r="R37" s="385">
        <f>R20*INDEX(input_data!$L:$L,MATCH(CBAM!$B$5&amp;".in.enp.stl.drg.lpg",input_data!$A:$A,0))</f>
        <v>0</v>
      </c>
      <c r="S37" s="385">
        <f>S20*INDEX(input_data!$L:$L,MATCH(CBAM!$B$5&amp;".in.enp.stl.drg.lpg",input_data!$A:$A,0))</f>
        <v>0</v>
      </c>
      <c r="T37" s="385">
        <f>T20*INDEX(input_data!$L:$L,MATCH(CBAM!$B$5&amp;".in.enp.stl.drg.lpg",input_data!$A:$A,0))</f>
        <v>0</v>
      </c>
      <c r="U37" s="385">
        <f>U20*INDEX(input_data!$L:$L,MATCH(CBAM!$B$5&amp;".in.enp.stl.drg.lpg",input_data!$A:$A,0))</f>
        <v>0</v>
      </c>
      <c r="V37" s="385">
        <f>V20*INDEX(input_data!$L:$L,MATCH(CBAM!$B$5&amp;".in.enp.stl.drg.lpg",input_data!$A:$A,0))</f>
        <v>0</v>
      </c>
      <c r="W37" s="385">
        <f>W20*INDEX(input_data!$L:$L,MATCH(CBAM!$B$5&amp;".in.enp.stl.drg.lpg",input_data!$A:$A,0))</f>
        <v>0</v>
      </c>
      <c r="X37" s="385">
        <f>X20*INDEX(input_data!$L:$L,MATCH(CBAM!$B$5&amp;".in.enp.stl.drg.lpg",input_data!$A:$A,0))</f>
        <v>0</v>
      </c>
    </row>
    <row r="38" spans="1:24" ht="15" customHeight="1" x14ac:dyDescent="0.25">
      <c r="A38" s="380" t="str">
        <f>CBAM!$B$5&amp;".pj.enp.stl.drg.bio"</f>
        <v>egy.pj.enp.stl.drg.bio</v>
      </c>
      <c r="B38" s="380" t="str">
        <f>CBAM!$B$5</f>
        <v>egy</v>
      </c>
      <c r="C38" s="380" t="s">
        <v>1275</v>
      </c>
      <c r="D38" s="380" t="s">
        <v>1328</v>
      </c>
      <c r="E38" s="380" t="s">
        <v>322</v>
      </c>
      <c r="F38" s="380" t="s">
        <v>1305</v>
      </c>
      <c r="G38" s="380" t="s">
        <v>1299</v>
      </c>
      <c r="H38" s="380" t="s">
        <v>1336</v>
      </c>
      <c r="I38" s="380" t="s">
        <v>1319</v>
      </c>
      <c r="J38" s="380" t="s">
        <v>1330</v>
      </c>
      <c r="K38" s="380"/>
      <c r="L38" s="380"/>
      <c r="M38" s="385">
        <f>M20*INDEX(input_data!$L:$L,MATCH(CBAM!$B$5&amp;".in.enp.stl.drg.bio",input_data!$A:$A,0))</f>
        <v>0</v>
      </c>
      <c r="N38" s="385">
        <f>N20*INDEX(input_data!$L:$L,MATCH(CBAM!$B$5&amp;".in.enp.stl.drg.bio",input_data!$A:$A,0))</f>
        <v>0</v>
      </c>
      <c r="O38" s="385">
        <f>O20*INDEX(input_data!$L:$L,MATCH(CBAM!$B$5&amp;".in.enp.stl.drg.bio",input_data!$A:$A,0))</f>
        <v>0</v>
      </c>
      <c r="P38" s="385">
        <f>P20*INDEX(input_data!$L:$L,MATCH(CBAM!$B$5&amp;".in.enp.stl.drg.bio",input_data!$A:$A,0))</f>
        <v>0</v>
      </c>
      <c r="Q38" s="385">
        <f>Q20*INDEX(input_data!$L:$L,MATCH(CBAM!$B$5&amp;".in.enp.stl.drg.bio",input_data!$A:$A,0))</f>
        <v>0</v>
      </c>
      <c r="R38" s="385">
        <f>R20*INDEX(input_data!$L:$L,MATCH(CBAM!$B$5&amp;".in.enp.stl.drg.bio",input_data!$A:$A,0))</f>
        <v>0</v>
      </c>
      <c r="S38" s="385">
        <f>S20*INDEX(input_data!$L:$L,MATCH(CBAM!$B$5&amp;".in.enp.stl.drg.bio",input_data!$A:$A,0))</f>
        <v>0</v>
      </c>
      <c r="T38" s="385">
        <f>T20*INDEX(input_data!$L:$L,MATCH(CBAM!$B$5&amp;".in.enp.stl.drg.bio",input_data!$A:$A,0))</f>
        <v>0</v>
      </c>
      <c r="U38" s="385">
        <f>U20*INDEX(input_data!$L:$L,MATCH(CBAM!$B$5&amp;".in.enp.stl.drg.bio",input_data!$A:$A,0))</f>
        <v>0</v>
      </c>
      <c r="V38" s="385">
        <f>V20*INDEX(input_data!$L:$L,MATCH(CBAM!$B$5&amp;".in.enp.stl.drg.bio",input_data!$A:$A,0))</f>
        <v>0</v>
      </c>
      <c r="W38" s="385">
        <f>W20*INDEX(input_data!$L:$L,MATCH(CBAM!$B$5&amp;".in.enp.stl.drg.bio",input_data!$A:$A,0))</f>
        <v>0</v>
      </c>
      <c r="X38" s="385">
        <f>X20*INDEX(input_data!$L:$L,MATCH(CBAM!$B$5&amp;".in.enp.stl.drg.bio",input_data!$A:$A,0))</f>
        <v>0</v>
      </c>
    </row>
    <row r="39" spans="1:24" ht="15" customHeight="1" x14ac:dyDescent="0.25">
      <c r="A39" s="380" t="str">
        <f>CBAM!$B$5&amp;".pj.enp.stl.drg.ren"</f>
        <v>egy.pj.enp.stl.drg.ren</v>
      </c>
      <c r="B39" s="380" t="str">
        <f>CBAM!$B$5</f>
        <v>egy</v>
      </c>
      <c r="C39" s="380" t="s">
        <v>1275</v>
      </c>
      <c r="D39" s="380" t="s">
        <v>1328</v>
      </c>
      <c r="E39" s="380" t="s">
        <v>322</v>
      </c>
      <c r="F39" s="380" t="s">
        <v>1305</v>
      </c>
      <c r="G39" s="380" t="s">
        <v>1301</v>
      </c>
      <c r="H39" s="380" t="s">
        <v>1337</v>
      </c>
      <c r="I39" s="380" t="s">
        <v>1319</v>
      </c>
      <c r="J39" s="380" t="s">
        <v>1330</v>
      </c>
      <c r="K39" s="380"/>
      <c r="L39" s="380"/>
      <c r="M39" s="385">
        <f>M20*INDEX(input_data!$L:$L,MATCH(CBAM!$B$5&amp;".in.enp.stl.drg.ren",input_data!$A:$A,0))</f>
        <v>0</v>
      </c>
      <c r="N39" s="385">
        <f>N20*INDEX(input_data!$L:$L,MATCH(CBAM!$B$5&amp;".in.enp.stl.drg.ren",input_data!$A:$A,0))</f>
        <v>0</v>
      </c>
      <c r="O39" s="385">
        <f>O20*INDEX(input_data!$L:$L,MATCH(CBAM!$B$5&amp;".in.enp.stl.drg.ren",input_data!$A:$A,0))</f>
        <v>0</v>
      </c>
      <c r="P39" s="385">
        <f>P20*INDEX(input_data!$L:$L,MATCH(CBAM!$B$5&amp;".in.enp.stl.drg.ren",input_data!$A:$A,0))</f>
        <v>0</v>
      </c>
      <c r="Q39" s="385">
        <f>Q20*INDEX(input_data!$L:$L,MATCH(CBAM!$B$5&amp;".in.enp.stl.drg.ren",input_data!$A:$A,0))</f>
        <v>0</v>
      </c>
      <c r="R39" s="385">
        <f>R20*INDEX(input_data!$L:$L,MATCH(CBAM!$B$5&amp;".in.enp.stl.drg.ren",input_data!$A:$A,0))</f>
        <v>0</v>
      </c>
      <c r="S39" s="385">
        <f>S20*INDEX(input_data!$L:$L,MATCH(CBAM!$B$5&amp;".in.enp.stl.drg.ren",input_data!$A:$A,0))</f>
        <v>0</v>
      </c>
      <c r="T39" s="385">
        <f>T20*INDEX(input_data!$L:$L,MATCH(CBAM!$B$5&amp;".in.enp.stl.drg.ren",input_data!$A:$A,0))</f>
        <v>0</v>
      </c>
      <c r="U39" s="385">
        <f>U20*INDEX(input_data!$L:$L,MATCH(CBAM!$B$5&amp;".in.enp.stl.drg.ren",input_data!$A:$A,0))</f>
        <v>0</v>
      </c>
      <c r="V39" s="385">
        <f>V20*INDEX(input_data!$L:$L,MATCH(CBAM!$B$5&amp;".in.enp.stl.drg.ren",input_data!$A:$A,0))</f>
        <v>0</v>
      </c>
      <c r="W39" s="385">
        <f>W20*INDEX(input_data!$L:$L,MATCH(CBAM!$B$5&amp;".in.enp.stl.drg.ren",input_data!$A:$A,0))</f>
        <v>0</v>
      </c>
      <c r="X39" s="385">
        <f>X20*INDEX(input_data!$L:$L,MATCH(CBAM!$B$5&amp;".in.enp.stl.drg.ren",input_data!$A:$A,0))</f>
        <v>0</v>
      </c>
    </row>
    <row r="40" spans="1:24" ht="15" customHeight="1" x14ac:dyDescent="0.25">
      <c r="A40" s="380" t="str">
        <f>CBAM!$B$5&amp;".pj.ele.stl.drg.elc"</f>
        <v>egy.pj.ele.stl.drg.elc</v>
      </c>
      <c r="B40" s="380" t="str">
        <f>CBAM!$B$5</f>
        <v>egy</v>
      </c>
      <c r="C40" s="380" t="s">
        <v>1275</v>
      </c>
      <c r="D40" s="380" t="s">
        <v>1338</v>
      </c>
      <c r="E40" s="380" t="s">
        <v>322</v>
      </c>
      <c r="F40" s="380" t="s">
        <v>1305</v>
      </c>
      <c r="G40" s="380" t="s">
        <v>1339</v>
      </c>
      <c r="H40" s="380" t="s">
        <v>1340</v>
      </c>
      <c r="I40" s="380" t="s">
        <v>1319</v>
      </c>
      <c r="J40" s="380" t="s">
        <v>1341</v>
      </c>
      <c r="K40" s="380"/>
      <c r="L40" s="380"/>
      <c r="M40" s="385">
        <f>M20*INDEX(input_data!$L:$L,MATCH(CBAM!$B$5&amp;".in.ele.stl.drg.elc",input_data!$A:$A,0))</f>
        <v>10.199999999999999</v>
      </c>
      <c r="N40" s="385">
        <f>N20*INDEX(input_data!$L:$L,MATCH(CBAM!$B$5&amp;".in.ele.stl.drg.elc",input_data!$A:$A,0))</f>
        <v>10.760999999999999</v>
      </c>
      <c r="O40" s="385">
        <f>O20*INDEX(input_data!$L:$L,MATCH(CBAM!$B$5&amp;".in.ele.stl.drg.elc",input_data!$A:$A,0))</f>
        <v>11.352854999999998</v>
      </c>
      <c r="P40" s="385">
        <f>P20*INDEX(input_data!$L:$L,MATCH(CBAM!$B$5&amp;".in.ele.stl.drg.elc",input_data!$A:$A,0))</f>
        <v>11.977262024999996</v>
      </c>
      <c r="Q40" s="385">
        <f>Q20*INDEX(input_data!$L:$L,MATCH(CBAM!$B$5&amp;".in.ele.stl.drg.elc",input_data!$A:$A,0))</f>
        <v>12.636011436374996</v>
      </c>
      <c r="R40" s="385">
        <f>R20*INDEX(input_data!$L:$L,MATCH(CBAM!$B$5&amp;".in.ele.stl.drg.elc",input_data!$A:$A,0))</f>
        <v>13.330992065375622</v>
      </c>
      <c r="S40" s="385">
        <f>S20*INDEX(input_data!$L:$L,MATCH(CBAM!$B$5&amp;".in.ele.stl.drg.elc",input_data!$A:$A,0))</f>
        <v>14.064196628971279</v>
      </c>
      <c r="T40" s="385">
        <f>T20*INDEX(input_data!$L:$L,MATCH(CBAM!$B$5&amp;".in.ele.stl.drg.elc",input_data!$A:$A,0))</f>
        <v>14.837727443564699</v>
      </c>
      <c r="U40" s="385">
        <f>U20*INDEX(input_data!$L:$L,MATCH(CBAM!$B$5&amp;".in.ele.stl.drg.elc",input_data!$A:$A,0))</f>
        <v>15.653802452960758</v>
      </c>
      <c r="V40" s="385">
        <f>V20*INDEX(input_data!$L:$L,MATCH(CBAM!$B$5&amp;".in.ele.stl.drg.elc",input_data!$A:$A,0))</f>
        <v>16.5147615878736</v>
      </c>
      <c r="W40" s="385">
        <f>W20*INDEX(input_data!$L:$L,MATCH(CBAM!$B$5&amp;".in.ele.stl.drg.elc",input_data!$A:$A,0))</f>
        <v>17.423073475206646</v>
      </c>
      <c r="X40" s="385">
        <f>X20*INDEX(input_data!$L:$L,MATCH(CBAM!$B$5&amp;".in.ele.stl.drg.elc",input_data!$A:$A,0))</f>
        <v>18.381342516343011</v>
      </c>
    </row>
    <row r="41" spans="1:24" ht="15" customHeight="1" x14ac:dyDescent="0.25">
      <c r="A41" s="380" t="str">
        <f>CBAM!$B$5&amp;".em.sfc.stl.drg.---"</f>
        <v>egy.em.sfc.stl.drg.---</v>
      </c>
      <c r="B41" s="380" t="str">
        <f>CBAM!$B$5</f>
        <v>egy</v>
      </c>
      <c r="C41" s="380" t="s">
        <v>1342</v>
      </c>
      <c r="D41" s="380" t="s">
        <v>1343</v>
      </c>
      <c r="E41" s="380" t="s">
        <v>322</v>
      </c>
      <c r="F41" s="380" t="s">
        <v>1305</v>
      </c>
      <c r="G41" s="380" t="s">
        <v>1277</v>
      </c>
      <c r="H41" s="380" t="s">
        <v>1344</v>
      </c>
      <c r="I41" s="380" t="s">
        <v>1345</v>
      </c>
      <c r="J41" s="380" t="s">
        <v>1346</v>
      </c>
      <c r="K41" s="380"/>
      <c r="L41" s="380"/>
      <c r="M41" s="385">
        <f t="shared" ref="M41:X41" si="1">SUMPRODUCT(M24:M31,M10:M17)/1000</f>
        <v>0.658053</v>
      </c>
      <c r="N41" s="385">
        <f t="shared" si="1"/>
        <v>0.69424591499999988</v>
      </c>
      <c r="O41" s="385">
        <f t="shared" si="1"/>
        <v>0.7324294403249999</v>
      </c>
      <c r="P41" s="385">
        <f t="shared" si="1"/>
        <v>0.77271305954287473</v>
      </c>
      <c r="Q41" s="385">
        <f t="shared" si="1"/>
        <v>0.81521227781773287</v>
      </c>
      <c r="R41" s="385">
        <f t="shared" si="1"/>
        <v>0.86004895309770812</v>
      </c>
      <c r="S41" s="385">
        <f t="shared" si="1"/>
        <v>0.90735164551808212</v>
      </c>
      <c r="T41" s="385">
        <f t="shared" si="1"/>
        <v>0.95725598602157647</v>
      </c>
      <c r="U41" s="385">
        <f t="shared" si="1"/>
        <v>1.0099050652527632</v>
      </c>
      <c r="V41" s="385">
        <f t="shared" si="1"/>
        <v>1.0654498438416651</v>
      </c>
      <c r="W41" s="385">
        <f t="shared" si="1"/>
        <v>1.1240495852529566</v>
      </c>
      <c r="X41" s="385">
        <f t="shared" si="1"/>
        <v>1.1858723124418693</v>
      </c>
    </row>
    <row r="42" spans="1:24" ht="15" customHeight="1" x14ac:dyDescent="0.25">
      <c r="A42" s="380" t="str">
        <f>CBAM!$B$5&amp;".em.sfp.stl.drg.---"</f>
        <v>egy.em.sfp.stl.drg.---</v>
      </c>
      <c r="B42" s="380" t="str">
        <f>CBAM!$B$5</f>
        <v>egy</v>
      </c>
      <c r="C42" s="380" t="s">
        <v>1342</v>
      </c>
      <c r="D42" s="380" t="s">
        <v>1347</v>
      </c>
      <c r="E42" s="380" t="s">
        <v>322</v>
      </c>
      <c r="F42" s="380" t="s">
        <v>1305</v>
      </c>
      <c r="G42" s="380" t="s">
        <v>1277</v>
      </c>
      <c r="H42" s="380" t="s">
        <v>1348</v>
      </c>
      <c r="I42" s="380" t="s">
        <v>1345</v>
      </c>
      <c r="J42" s="380" t="s">
        <v>1349</v>
      </c>
      <c r="K42" s="380"/>
      <c r="L42" s="380"/>
      <c r="M42" s="385">
        <f t="shared" ref="M42:X42" si="2">SUMPRODUCT(M32:M39,M10:M17)/1000</f>
        <v>2.8611</v>
      </c>
      <c r="N42" s="385">
        <f t="shared" si="2"/>
        <v>3.0184604999999998</v>
      </c>
      <c r="O42" s="385">
        <f t="shared" si="2"/>
        <v>3.1844758274999996</v>
      </c>
      <c r="P42" s="385">
        <f t="shared" si="2"/>
        <v>3.3596219980124986</v>
      </c>
      <c r="Q42" s="385">
        <f t="shared" si="2"/>
        <v>3.5444012079031868</v>
      </c>
      <c r="R42" s="385">
        <f t="shared" si="2"/>
        <v>3.7393432743378621</v>
      </c>
      <c r="S42" s="385">
        <f t="shared" si="2"/>
        <v>3.9450071544264445</v>
      </c>
      <c r="T42" s="385">
        <f t="shared" si="2"/>
        <v>4.161982547919898</v>
      </c>
      <c r="U42" s="385">
        <f t="shared" si="2"/>
        <v>4.3908915880554931</v>
      </c>
      <c r="V42" s="385">
        <f t="shared" si="2"/>
        <v>4.6323906253985454</v>
      </c>
      <c r="W42" s="385">
        <f t="shared" si="2"/>
        <v>4.8871721097954639</v>
      </c>
      <c r="X42" s="385">
        <f t="shared" si="2"/>
        <v>5.1559665758342144</v>
      </c>
    </row>
    <row r="43" spans="1:24" ht="15" customHeight="1" x14ac:dyDescent="0.25">
      <c r="A43" s="380" t="str">
        <f>CBAM!$B$5&amp;".em.snp.stl.drg.---"</f>
        <v>egy.em.snp.stl.drg.---</v>
      </c>
      <c r="B43" s="380" t="str">
        <f>CBAM!$B$5</f>
        <v>egy</v>
      </c>
      <c r="C43" s="380" t="s">
        <v>1342</v>
      </c>
      <c r="D43" s="380" t="s">
        <v>1350</v>
      </c>
      <c r="E43" s="380" t="s">
        <v>322</v>
      </c>
      <c r="F43" s="380" t="s">
        <v>1305</v>
      </c>
      <c r="G43" s="380" t="s">
        <v>1277</v>
      </c>
      <c r="H43" s="380" t="s">
        <v>1351</v>
      </c>
      <c r="I43" s="380" t="s">
        <v>1345</v>
      </c>
      <c r="J43" s="380" t="s">
        <v>1352</v>
      </c>
      <c r="K43" s="380"/>
      <c r="L43" s="380"/>
      <c r="M43" s="385">
        <f>M20*INDEX(input_data!$L:$L,MATCH(CBAM!$B$5&amp;".in.efn.stl.drg.---",input_data!$A:$A,0))</f>
        <v>0.20399999999999999</v>
      </c>
      <c r="N43" s="385">
        <f>N20*INDEX(input_data!$L:$L,MATCH(CBAM!$B$5&amp;".in.efn.stl.drg.---",input_data!$A:$A,0))</f>
        <v>0.21521999999999999</v>
      </c>
      <c r="O43" s="385">
        <f>O20*INDEX(input_data!$L:$L,MATCH(CBAM!$B$5&amp;".in.efn.stl.drg.---",input_data!$A:$A,0))</f>
        <v>0.22705709999999996</v>
      </c>
      <c r="P43" s="385">
        <f>P20*INDEX(input_data!$L:$L,MATCH(CBAM!$B$5&amp;".in.efn.stl.drg.---",input_data!$A:$A,0))</f>
        <v>0.23954524049999992</v>
      </c>
      <c r="Q43" s="385">
        <f>Q20*INDEX(input_data!$L:$L,MATCH(CBAM!$B$5&amp;".in.efn.stl.drg.---",input_data!$A:$A,0))</f>
        <v>0.25272022872749994</v>
      </c>
      <c r="R43" s="385">
        <f>R20*INDEX(input_data!$L:$L,MATCH(CBAM!$B$5&amp;".in.efn.stl.drg.---",input_data!$A:$A,0))</f>
        <v>0.26661984130751243</v>
      </c>
      <c r="S43" s="385">
        <f>S20*INDEX(input_data!$L:$L,MATCH(CBAM!$B$5&amp;".in.efn.stl.drg.---",input_data!$A:$A,0))</f>
        <v>0.28128393257942558</v>
      </c>
      <c r="T43" s="385">
        <f>T20*INDEX(input_data!$L:$L,MATCH(CBAM!$B$5&amp;".in.efn.stl.drg.---",input_data!$A:$A,0))</f>
        <v>0.29675454887129399</v>
      </c>
      <c r="U43" s="385">
        <f>U20*INDEX(input_data!$L:$L,MATCH(CBAM!$B$5&amp;".in.efn.stl.drg.---",input_data!$A:$A,0))</f>
        <v>0.31307604905921516</v>
      </c>
      <c r="V43" s="385">
        <f>V20*INDEX(input_data!$L:$L,MATCH(CBAM!$B$5&amp;".in.efn.stl.drg.---",input_data!$A:$A,0))</f>
        <v>0.330295231757472</v>
      </c>
      <c r="W43" s="385">
        <f>W20*INDEX(input_data!$L:$L,MATCH(CBAM!$B$5&amp;".in.efn.stl.drg.---",input_data!$A:$A,0))</f>
        <v>0.34846146950413293</v>
      </c>
      <c r="X43" s="385">
        <f>X20*INDEX(input_data!$L:$L,MATCH(CBAM!$B$5&amp;".in.efn.stl.drg.---",input_data!$A:$A,0))</f>
        <v>0.36762685032686021</v>
      </c>
    </row>
    <row r="44" spans="1:24" ht="15" customHeight="1" x14ac:dyDescent="0.25">
      <c r="A44" s="380" t="str">
        <f>CBAM!$B$5&amp;".em.sno.stl.drg.---"</f>
        <v>egy.em.sno.stl.drg.---</v>
      </c>
      <c r="B44" s="380" t="str">
        <f>CBAM!$B$5</f>
        <v>egy</v>
      </c>
      <c r="C44" s="380" t="s">
        <v>1342</v>
      </c>
      <c r="D44" s="380" t="s">
        <v>1353</v>
      </c>
      <c r="E44" s="380" t="s">
        <v>322</v>
      </c>
      <c r="F44" s="380" t="s">
        <v>1305</v>
      </c>
      <c r="G44" s="380" t="s">
        <v>1277</v>
      </c>
      <c r="H44" s="380" t="s">
        <v>1354</v>
      </c>
      <c r="I44" s="380" t="s">
        <v>1355</v>
      </c>
      <c r="J44" s="380" t="s">
        <v>1356</v>
      </c>
      <c r="K44" s="380"/>
      <c r="L44" s="380"/>
      <c r="M44" s="385">
        <f>M20*INDEX(input_data!$L:$L,MATCH(CBAM!$B$5&amp;".in.efo.stl.drg.---",input_data!$A:$A,0))</f>
        <v>0</v>
      </c>
      <c r="N44" s="385">
        <f>N20*INDEX(input_data!$L:$L,MATCH(CBAM!$B$5&amp;".in.efo.stl.drg.---",input_data!$A:$A,0))</f>
        <v>0</v>
      </c>
      <c r="O44" s="385">
        <f>O20*INDEX(input_data!$L:$L,MATCH(CBAM!$B$5&amp;".in.efo.stl.drg.---",input_data!$A:$A,0))</f>
        <v>0</v>
      </c>
      <c r="P44" s="385">
        <f>P20*INDEX(input_data!$L:$L,MATCH(CBAM!$B$5&amp;".in.efo.stl.drg.---",input_data!$A:$A,0))</f>
        <v>0</v>
      </c>
      <c r="Q44" s="385">
        <f>Q20*INDEX(input_data!$L:$L,MATCH(CBAM!$B$5&amp;".in.efo.stl.drg.---",input_data!$A:$A,0))</f>
        <v>0</v>
      </c>
      <c r="R44" s="385">
        <f>R20*INDEX(input_data!$L:$L,MATCH(CBAM!$B$5&amp;".in.efo.stl.drg.---",input_data!$A:$A,0))</f>
        <v>0</v>
      </c>
      <c r="S44" s="385">
        <f>S20*INDEX(input_data!$L:$L,MATCH(CBAM!$B$5&amp;".in.efo.stl.drg.---",input_data!$A:$A,0))</f>
        <v>0</v>
      </c>
      <c r="T44" s="385">
        <f>T20*INDEX(input_data!$L:$L,MATCH(CBAM!$B$5&amp;".in.efo.stl.drg.---",input_data!$A:$A,0))</f>
        <v>0</v>
      </c>
      <c r="U44" s="385">
        <f>U20*INDEX(input_data!$L:$L,MATCH(CBAM!$B$5&amp;".in.efo.stl.drg.---",input_data!$A:$A,0))</f>
        <v>0</v>
      </c>
      <c r="V44" s="385">
        <f>V20*INDEX(input_data!$L:$L,MATCH(CBAM!$B$5&amp;".in.efo.stl.drg.---",input_data!$A:$A,0))</f>
        <v>0</v>
      </c>
      <c r="W44" s="385">
        <f>W20*INDEX(input_data!$L:$L,MATCH(CBAM!$B$5&amp;".in.efo.stl.drg.---",input_data!$A:$A,0))</f>
        <v>0</v>
      </c>
      <c r="X44" s="385">
        <f>X20*INDEX(input_data!$L:$L,MATCH(CBAM!$B$5&amp;".in.efo.stl.drg.---",input_data!$A:$A,0))</f>
        <v>0</v>
      </c>
    </row>
    <row r="45" spans="1:24" ht="15" customHeight="1" x14ac:dyDescent="0.25">
      <c r="A45" s="380" t="str">
        <f>CBAM!$B$5&amp;".em.s2e.stl.drg.elc"</f>
        <v>egy.em.s2e.stl.drg.elc</v>
      </c>
      <c r="B45" s="380" t="str">
        <f>CBAM!$B$5</f>
        <v>egy</v>
      </c>
      <c r="C45" s="380" t="s">
        <v>1342</v>
      </c>
      <c r="D45" s="380" t="s">
        <v>1357</v>
      </c>
      <c r="E45" s="380" t="s">
        <v>322</v>
      </c>
      <c r="F45" s="380" t="s">
        <v>1305</v>
      </c>
      <c r="G45" s="380" t="s">
        <v>1339</v>
      </c>
      <c r="H45" s="380" t="s">
        <v>1358</v>
      </c>
      <c r="I45" s="380" t="s">
        <v>1345</v>
      </c>
      <c r="J45" s="380" t="s">
        <v>1359</v>
      </c>
      <c r="K45" s="380"/>
      <c r="L45" s="380"/>
      <c r="M45" s="385">
        <f>M40*INDEX(input_data!$M:$X,MATCH(CBAM!$B$5&amp;".in.gef.---.---.---",input_data!$A:$A,0),COLUMNS($M:M))/3.6</f>
        <v>1.4450000000000001</v>
      </c>
      <c r="N45" s="385">
        <f>N40*INDEX(input_data!$M:$X,MATCH(CBAM!$B$5&amp;".in.gef.---.---.---",input_data!$A:$A,0),COLUMNS($M:N))/3.6</f>
        <v>1.4945833333333332</v>
      </c>
      <c r="O45" s="385">
        <f>O40*INDEX(input_data!$M:$X,MATCH(CBAM!$B$5&amp;".in.gef.---.---.---",input_data!$A:$A,0),COLUMNS($M:O))/3.6</f>
        <v>1.545249708333333</v>
      </c>
      <c r="P45" s="385">
        <f>P40*INDEX(input_data!$M:$X,MATCH(CBAM!$B$5&amp;".in.gef.---.---.---",input_data!$A:$A,0),COLUMNS($M:P))/3.6</f>
        <v>1.5969682699999994</v>
      </c>
      <c r="Q45" s="385">
        <f>Q40*INDEX(input_data!$M:$X,MATCH(CBAM!$B$5&amp;".in.gef.---.---.---",input_data!$A:$A,0),COLUMNS($M:Q))/3.6</f>
        <v>1.6497014930822909</v>
      </c>
      <c r="R45" s="385">
        <f>R40*INDEX(input_data!$M:$X,MATCH(CBAM!$B$5&amp;".in.gef.---.---.---",input_data!$A:$A,0),COLUMNS($M:R))/3.6</f>
        <v>1.7034045416868848</v>
      </c>
      <c r="S45" s="385">
        <f>S40*INDEX(input_data!$M:$X,MATCH(CBAM!$B$5&amp;".in.gef.---.---.---",input_data!$A:$A,0),COLUMNS($M:S))/3.6</f>
        <v>1.7580245786214099</v>
      </c>
      <c r="T45" s="385">
        <f>T40*INDEX(input_data!$M:$X,MATCH(CBAM!$B$5&amp;".in.gef.---.---.---",input_data!$A:$A,0),COLUMNS($M:T))/3.6</f>
        <v>1.81350002088013</v>
      </c>
      <c r="U45" s="385">
        <f>U40*INDEX(input_data!$M:$X,MATCH(CBAM!$B$5&amp;".in.gef.---.---.---",input_data!$A:$A,0),COLUMNS($M:U))/3.6</f>
        <v>1.8697597374369792</v>
      </c>
      <c r="V45" s="385">
        <f>V40*INDEX(input_data!$M:$X,MATCH(CBAM!$B$5&amp;".in.gef.---.---.---",input_data!$A:$A,0),COLUMNS($M:V))/3.6</f>
        <v>1.9267221852519198</v>
      </c>
      <c r="W45" s="385">
        <f>W40*INDEX(input_data!$M:$X,MATCH(CBAM!$B$5&amp;".in.gef.---.---.---",input_data!$A:$A,0),COLUMNS($M:W))/3.6</f>
        <v>1.9842944791207566</v>
      </c>
      <c r="X45" s="385">
        <f>X40*INDEX(input_data!$M:$X,MATCH(CBAM!$B$5&amp;".in.gef.---.---.---",input_data!$A:$A,0),COLUMNS($M:X))/3.6</f>
        <v>2.0423713907047789</v>
      </c>
    </row>
    <row r="47" spans="1:24" ht="21.75" customHeight="1" x14ac:dyDescent="0.25">
      <c r="A47" s="12" t="s">
        <v>1360</v>
      </c>
      <c r="B47" s="12"/>
      <c r="C47" s="12"/>
      <c r="D47" s="12"/>
      <c r="E47" s="12"/>
      <c r="F47" s="12"/>
      <c r="G47" s="12"/>
      <c r="H47" s="12"/>
      <c r="I47" s="12"/>
      <c r="J47" s="12"/>
      <c r="K47" s="12"/>
      <c r="L47" s="12"/>
      <c r="M47" s="12"/>
      <c r="N47" s="12"/>
      <c r="O47" s="12"/>
      <c r="P47" s="12"/>
      <c r="Q47" s="12"/>
      <c r="R47" s="12"/>
      <c r="S47" s="12"/>
      <c r="T47" s="12"/>
      <c r="U47" s="12"/>
      <c r="V47" s="12"/>
      <c r="W47" s="12"/>
      <c r="X47" s="12"/>
    </row>
    <row r="48" spans="1:24" ht="15" customHeight="1" x14ac:dyDescent="0.25">
      <c r="A48" s="380" t="str">
        <f>CBAM!$B$5&amp;".pj.prd.stl.scr.---"</f>
        <v>egy.pj.prd.stl.scr.---</v>
      </c>
      <c r="B48" s="380" t="str">
        <f>CBAM!$B$5</f>
        <v>egy</v>
      </c>
      <c r="C48" s="380" t="s">
        <v>1275</v>
      </c>
      <c r="D48" s="380" t="s">
        <v>1304</v>
      </c>
      <c r="E48" s="380" t="s">
        <v>322</v>
      </c>
      <c r="F48" s="380" t="s">
        <v>1361</v>
      </c>
      <c r="G48" s="380" t="s">
        <v>1277</v>
      </c>
      <c r="H48" s="380" t="s">
        <v>1362</v>
      </c>
      <c r="I48" s="380" t="s">
        <v>1307</v>
      </c>
      <c r="J48" s="380" t="s">
        <v>1308</v>
      </c>
      <c r="K48" s="380"/>
      <c r="L48" s="380"/>
      <c r="M48" s="385">
        <f>IFERROR(INDEX(input_data!$L:$L,MATCH(CBAM!$B$5&amp;".in.prb.stl.scr.---",input_data!$A:$A,0))*POWER(M7,INDEX(input_data!$L:$L,MATCH(CBAM!$B$5&amp;".in.els.stl.scr.---",input_data!$A:$A,0))),0)</f>
        <v>4.58</v>
      </c>
      <c r="N48" s="385">
        <f>IFERROR(INDEX(input_data!$L:$L,MATCH(CBAM!$B$5&amp;".in.prb.stl.scr.---",input_data!$A:$A,0))*POWER(N7,INDEX(input_data!$L:$L,MATCH(CBAM!$B$5&amp;".in.els.stl.scr.---",input_data!$A:$A,0))),0)</f>
        <v>4.7804353113099776</v>
      </c>
      <c r="O48" s="385">
        <f>IFERROR(INDEX(input_data!$L:$L,MATCH(CBAM!$B$5&amp;".in.prb.stl.scr.---",input_data!$A:$A,0))*POWER(O7,INDEX(input_data!$L:$L,MATCH(CBAM!$B$5&amp;".in.els.stl.scr.---",input_data!$A:$A,0))),0)</f>
        <v>4.9896423069037832</v>
      </c>
      <c r="P48" s="385">
        <f>IFERROR(INDEX(input_data!$L:$L,MATCH(CBAM!$B$5&amp;".in.prb.stl.scr.---",input_data!$A:$A,0))*POWER(P7,INDEX(input_data!$L:$L,MATCH(CBAM!$B$5&amp;".in.els.stl.scr.---",input_data!$A:$A,0))),0)</f>
        <v>5.2080048634779512</v>
      </c>
      <c r="Q48" s="385">
        <f>IFERROR(INDEX(input_data!$L:$L,MATCH(CBAM!$B$5&amp;".in.prb.stl.scr.---",input_data!$A:$A,0))*POWER(Q7,INDEX(input_data!$L:$L,MATCH(CBAM!$B$5&amp;".in.els.stl.scr.---",input_data!$A:$A,0))),0)</f>
        <v>5.4359236573895418</v>
      </c>
      <c r="R48" s="385">
        <f>IFERROR(INDEX(input_data!$L:$L,MATCH(CBAM!$B$5&amp;".in.prb.stl.scr.---",input_data!$A:$A,0))*POWER(R7,INDEX(input_data!$L:$L,MATCH(CBAM!$B$5&amp;".in.els.stl.scr.---",input_data!$A:$A,0))),0)</f>
        <v>5.6738168998624996</v>
      </c>
      <c r="S48" s="385">
        <f>IFERROR(INDEX(input_data!$L:$L,MATCH(CBAM!$B$5&amp;".in.prb.stl.scr.---",input_data!$A:$A,0))*POWER(S7,INDEX(input_data!$L:$L,MATCH(CBAM!$B$5&amp;".in.els.stl.scr.---",input_data!$A:$A,0))),0)</f>
        <v>5.9221211043689959</v>
      </c>
      <c r="T48" s="385">
        <f>IFERROR(INDEX(input_data!$L:$L,MATCH(CBAM!$B$5&amp;".in.prb.stl.scr.---",input_data!$A:$A,0))*POWER(T7,INDEX(input_data!$L:$L,MATCH(CBAM!$B$5&amp;".in.els.stl.scr.---",input_data!$A:$A,0))),0)</f>
        <v>6.1812918875937974</v>
      </c>
      <c r="U48" s="385">
        <f>IFERROR(INDEX(input_data!$L:$L,MATCH(CBAM!$B$5&amp;".in.prb.stl.scr.---",input_data!$A:$A,0))*POWER(U7,INDEX(input_data!$L:$L,MATCH(CBAM!$B$5&amp;".in.els.stl.scr.---",input_data!$A:$A,0))),0)</f>
        <v>6.4518048054513741</v>
      </c>
      <c r="V48" s="385">
        <f>IFERROR(INDEX(input_data!$L:$L,MATCH(CBAM!$B$5&amp;".in.prb.stl.scr.---",input_data!$A:$A,0))*POWER(V7,INDEX(input_data!$L:$L,MATCH(CBAM!$B$5&amp;".in.els.stl.scr.---",input_data!$A:$A,0))),0)</f>
        <v>6.7341562256897705</v>
      </c>
      <c r="W48" s="385">
        <f>IFERROR(INDEX(input_data!$L:$L,MATCH(CBAM!$B$5&amp;".in.prb.stl.scr.---",input_data!$A:$A,0))*POWER(W7,INDEX(input_data!$L:$L,MATCH(CBAM!$B$5&amp;".in.els.stl.scr.---",input_data!$A:$A,0))),0)</f>
        <v>7.0288642386823801</v>
      </c>
      <c r="X48" s="385">
        <f>IFERROR(INDEX(input_data!$L:$L,MATCH(CBAM!$B$5&amp;".in.prb.stl.scr.---",input_data!$A:$A,0))*POWER(X7,INDEX(input_data!$L:$L,MATCH(CBAM!$B$5&amp;".in.els.stl.scr.---",input_data!$A:$A,0))),0)</f>
        <v>7.3364696080788603</v>
      </c>
    </row>
    <row r="49" spans="1:24" ht="15" customHeight="1" x14ac:dyDescent="0.25">
      <c r="A49" s="380" t="str">
        <f>CBAM!$B$5&amp;".pj.eux.stl.scr.---"</f>
        <v>egy.pj.eux.stl.scr.---</v>
      </c>
      <c r="B49" s="380" t="str">
        <f>CBAM!$B$5</f>
        <v>egy</v>
      </c>
      <c r="C49" s="380" t="s">
        <v>1275</v>
      </c>
      <c r="D49" s="380" t="s">
        <v>1309</v>
      </c>
      <c r="E49" s="380" t="s">
        <v>322</v>
      </c>
      <c r="F49" s="380" t="s">
        <v>1361</v>
      </c>
      <c r="G49" s="380" t="s">
        <v>1277</v>
      </c>
      <c r="H49" s="380" t="s">
        <v>1363</v>
      </c>
      <c r="I49" s="380" t="s">
        <v>1307</v>
      </c>
      <c r="J49" s="380" t="s">
        <v>1311</v>
      </c>
      <c r="K49" s="380"/>
      <c r="L49" s="380"/>
      <c r="M49" s="385">
        <f>M48*INDEX(input_data!$L:$L,MATCH(CBAM!$B$5&amp;".in.exe.stl.scr.---",input_data!$A:$A,0))</f>
        <v>0.45800000000000002</v>
      </c>
      <c r="N49" s="385">
        <f>N48*INDEX(input_data!$L:$L,MATCH(CBAM!$B$5&amp;".in.exe.stl.scr.---",input_data!$A:$A,0))</f>
        <v>0.47804353113099779</v>
      </c>
      <c r="O49" s="385">
        <f>O48*INDEX(input_data!$L:$L,MATCH(CBAM!$B$5&amp;".in.exe.stl.scr.---",input_data!$A:$A,0))</f>
        <v>0.49896423069037832</v>
      </c>
      <c r="P49" s="385">
        <f>P48*INDEX(input_data!$L:$L,MATCH(CBAM!$B$5&amp;".in.exe.stl.scr.---",input_data!$A:$A,0))</f>
        <v>0.52080048634779519</v>
      </c>
      <c r="Q49" s="385">
        <f>Q48*INDEX(input_data!$L:$L,MATCH(CBAM!$B$5&amp;".in.exe.stl.scr.---",input_data!$A:$A,0))</f>
        <v>0.5435923657389542</v>
      </c>
      <c r="R49" s="385">
        <f>R48*INDEX(input_data!$L:$L,MATCH(CBAM!$B$5&amp;".in.exe.stl.scr.---",input_data!$A:$A,0))</f>
        <v>0.56738168998624994</v>
      </c>
      <c r="S49" s="385">
        <f>S48*INDEX(input_data!$L:$L,MATCH(CBAM!$B$5&amp;".in.exe.stl.scr.---",input_data!$A:$A,0))</f>
        <v>0.59221211043689959</v>
      </c>
      <c r="T49" s="385">
        <f>T48*INDEX(input_data!$L:$L,MATCH(CBAM!$B$5&amp;".in.exe.stl.scr.---",input_data!$A:$A,0))</f>
        <v>0.61812918875937983</v>
      </c>
      <c r="U49" s="385">
        <f>U48*INDEX(input_data!$L:$L,MATCH(CBAM!$B$5&amp;".in.exe.stl.scr.---",input_data!$A:$A,0))</f>
        <v>0.64518048054513744</v>
      </c>
      <c r="V49" s="385">
        <f>V48*INDEX(input_data!$L:$L,MATCH(CBAM!$B$5&amp;".in.exe.stl.scr.---",input_data!$A:$A,0))</f>
        <v>0.67341562256897713</v>
      </c>
      <c r="W49" s="385">
        <f>W48*INDEX(input_data!$L:$L,MATCH(CBAM!$B$5&amp;".in.exe.stl.scr.---",input_data!$A:$A,0))</f>
        <v>0.70288642386823807</v>
      </c>
      <c r="X49" s="385">
        <f>X48*INDEX(input_data!$L:$L,MATCH(CBAM!$B$5&amp;".in.exe.stl.scr.---",input_data!$A:$A,0))</f>
        <v>0.73364696080788605</v>
      </c>
    </row>
    <row r="50" spans="1:24" ht="15" customHeight="1" x14ac:dyDescent="0.25">
      <c r="A50" s="380" t="str">
        <f>CBAM!$B$5&amp;".pj.nex.stl.scr.---"</f>
        <v>egy.pj.nex.stl.scr.---</v>
      </c>
      <c r="B50" s="380" t="str">
        <f>CBAM!$B$5</f>
        <v>egy</v>
      </c>
      <c r="C50" s="380" t="s">
        <v>1275</v>
      </c>
      <c r="D50" s="380" t="s">
        <v>1312</v>
      </c>
      <c r="E50" s="380" t="s">
        <v>322</v>
      </c>
      <c r="F50" s="380" t="s">
        <v>1361</v>
      </c>
      <c r="G50" s="380" t="s">
        <v>1277</v>
      </c>
      <c r="H50" s="380" t="s">
        <v>1364</v>
      </c>
      <c r="I50" s="380" t="s">
        <v>1307</v>
      </c>
      <c r="J50" s="380" t="s">
        <v>1314</v>
      </c>
      <c r="K50" s="380"/>
      <c r="L50" s="380"/>
      <c r="M50" s="385">
        <f>M48*(INDEX(input_data!$L:$L,MATCH(CBAM!$B$5&amp;".in.ext.stl.scr.---",input_data!$A:$A,0))-INDEX(input_data!$L:$L,MATCH(CBAM!$B$5&amp;".in.exe.stl.scr.---",input_data!$A:$A,0)))</f>
        <v>0.91599999999999993</v>
      </c>
      <c r="N50" s="385">
        <f>N48*(INDEX(input_data!$L:$L,MATCH(CBAM!$B$5&amp;".in.ext.stl.scr.---",input_data!$A:$A,0))-INDEX(input_data!$L:$L,MATCH(CBAM!$B$5&amp;".in.exe.stl.scr.---",input_data!$A:$A,0)))</f>
        <v>0.95608706226199547</v>
      </c>
      <c r="O50" s="385">
        <f>O48*(INDEX(input_data!$L:$L,MATCH(CBAM!$B$5&amp;".in.ext.stl.scr.---",input_data!$A:$A,0))-INDEX(input_data!$L:$L,MATCH(CBAM!$B$5&amp;".in.exe.stl.scr.---",input_data!$A:$A,0)))</f>
        <v>0.99792846138075653</v>
      </c>
      <c r="P50" s="385">
        <f>P48*(INDEX(input_data!$L:$L,MATCH(CBAM!$B$5&amp;".in.ext.stl.scr.---",input_data!$A:$A,0))-INDEX(input_data!$L:$L,MATCH(CBAM!$B$5&amp;".in.exe.stl.scr.---",input_data!$A:$A,0)))</f>
        <v>1.0416009726955902</v>
      </c>
      <c r="Q50" s="385">
        <f>Q48*(INDEX(input_data!$L:$L,MATCH(CBAM!$B$5&amp;".in.ext.stl.scr.---",input_data!$A:$A,0))-INDEX(input_data!$L:$L,MATCH(CBAM!$B$5&amp;".in.exe.stl.scr.---",input_data!$A:$A,0)))</f>
        <v>1.0871847314779082</v>
      </c>
      <c r="R50" s="385">
        <f>R48*(INDEX(input_data!$L:$L,MATCH(CBAM!$B$5&amp;".in.ext.stl.scr.---",input_data!$A:$A,0))-INDEX(input_data!$L:$L,MATCH(CBAM!$B$5&amp;".in.exe.stl.scr.---",input_data!$A:$A,0)))</f>
        <v>1.1347633799724999</v>
      </c>
      <c r="S50" s="385">
        <f>S48*(INDEX(input_data!$L:$L,MATCH(CBAM!$B$5&amp;".in.ext.stl.scr.---",input_data!$A:$A,0))-INDEX(input_data!$L:$L,MATCH(CBAM!$B$5&amp;".in.exe.stl.scr.---",input_data!$A:$A,0)))</f>
        <v>1.1844242208737992</v>
      </c>
      <c r="T50" s="385">
        <f>T48*(INDEX(input_data!$L:$L,MATCH(CBAM!$B$5&amp;".in.ext.stl.scr.---",input_data!$A:$A,0))-INDEX(input_data!$L:$L,MATCH(CBAM!$B$5&amp;".in.exe.stl.scr.---",input_data!$A:$A,0)))</f>
        <v>1.2362583775187594</v>
      </c>
      <c r="U50" s="385">
        <f>U48*(INDEX(input_data!$L:$L,MATCH(CBAM!$B$5&amp;".in.ext.stl.scr.---",input_data!$A:$A,0))-INDEX(input_data!$L:$L,MATCH(CBAM!$B$5&amp;".in.exe.stl.scr.---",input_data!$A:$A,0)))</f>
        <v>1.2903609610902746</v>
      </c>
      <c r="V50" s="385">
        <f>V48*(INDEX(input_data!$L:$L,MATCH(CBAM!$B$5&amp;".in.ext.stl.scr.---",input_data!$A:$A,0))-INDEX(input_data!$L:$L,MATCH(CBAM!$B$5&amp;".in.exe.stl.scr.---",input_data!$A:$A,0)))</f>
        <v>1.346831245137954</v>
      </c>
      <c r="W50" s="385">
        <f>W48*(INDEX(input_data!$L:$L,MATCH(CBAM!$B$5&amp;".in.ext.stl.scr.---",input_data!$A:$A,0))-INDEX(input_data!$L:$L,MATCH(CBAM!$B$5&amp;".in.exe.stl.scr.---",input_data!$A:$A,0)))</f>
        <v>1.4057728477364759</v>
      </c>
      <c r="X50" s="385">
        <f>X48*(INDEX(input_data!$L:$L,MATCH(CBAM!$B$5&amp;".in.ext.stl.scr.---",input_data!$A:$A,0))-INDEX(input_data!$L:$L,MATCH(CBAM!$B$5&amp;".in.exe.stl.scr.---",input_data!$A:$A,0)))</f>
        <v>1.4672939216157719</v>
      </c>
    </row>
    <row r="51" spans="1:24" ht="15" customHeight="1" x14ac:dyDescent="0.25">
      <c r="A51" s="380" t="str">
        <f>CBAM!$B$5&amp;".pj.dom.stl.scr.---"</f>
        <v>egy.pj.dom.stl.scr.---</v>
      </c>
      <c r="B51" s="380" t="str">
        <f>CBAM!$B$5</f>
        <v>egy</v>
      </c>
      <c r="C51" s="380" t="s">
        <v>1275</v>
      </c>
      <c r="D51" s="380" t="s">
        <v>1267</v>
      </c>
      <c r="E51" s="380" t="s">
        <v>322</v>
      </c>
      <c r="F51" s="380" t="s">
        <v>1361</v>
      </c>
      <c r="G51" s="380" t="s">
        <v>1277</v>
      </c>
      <c r="H51" s="380" t="s">
        <v>1365</v>
      </c>
      <c r="I51" s="380" t="s">
        <v>1307</v>
      </c>
      <c r="J51" s="380" t="s">
        <v>1316</v>
      </c>
      <c r="K51" s="380"/>
      <c r="L51" s="380"/>
      <c r="M51" s="385">
        <f>M48*(1-INDEX(input_data!$L:$L,MATCH(CBAM!$B$5&amp;".in.ext.stl.scr.---",input_data!$A:$A,0)))*(1+INDEX(input_data!$L:$L,MATCH(CBAM!$B$5&amp;".in.imp.stl.scr.---",input_data!$A:$A,0)))</f>
        <v>3.5266000000000002</v>
      </c>
      <c r="N51" s="385">
        <f>N48*(1-INDEX(input_data!$L:$L,MATCH(CBAM!$B$5&amp;".in.ext.stl.scr.---",input_data!$A:$A,0)))*(1+INDEX(input_data!$L:$L,MATCH(CBAM!$B$5&amp;".in.imp.stl.scr.---",input_data!$A:$A,0)))</f>
        <v>3.6809351897086828</v>
      </c>
      <c r="O51" s="385">
        <f>O48*(1-INDEX(input_data!$L:$L,MATCH(CBAM!$B$5&amp;".in.ext.stl.scr.---",input_data!$A:$A,0)))*(1+INDEX(input_data!$L:$L,MATCH(CBAM!$B$5&amp;".in.imp.stl.scr.---",input_data!$A:$A,0)))</f>
        <v>3.8420245763159135</v>
      </c>
      <c r="P51" s="385">
        <f>P48*(1-INDEX(input_data!$L:$L,MATCH(CBAM!$B$5&amp;".in.ext.stl.scr.---",input_data!$A:$A,0)))*(1+INDEX(input_data!$L:$L,MATCH(CBAM!$B$5&amp;".in.imp.stl.scr.---",input_data!$A:$A,0)))</f>
        <v>4.0101637448780227</v>
      </c>
      <c r="Q51" s="385">
        <f>Q48*(1-INDEX(input_data!$L:$L,MATCH(CBAM!$B$5&amp;".in.ext.stl.scr.---",input_data!$A:$A,0)))*(1+INDEX(input_data!$L:$L,MATCH(CBAM!$B$5&amp;".in.imp.stl.scr.---",input_data!$A:$A,0)))</f>
        <v>4.1856612161899474</v>
      </c>
      <c r="R51" s="385">
        <f>R48*(1-INDEX(input_data!$L:$L,MATCH(CBAM!$B$5&amp;".in.ext.stl.scr.---",input_data!$A:$A,0)))*(1+INDEX(input_data!$L:$L,MATCH(CBAM!$B$5&amp;".in.imp.stl.scr.---",input_data!$A:$A,0)))</f>
        <v>4.3688390128941244</v>
      </c>
      <c r="S51" s="385">
        <f>S48*(1-INDEX(input_data!$L:$L,MATCH(CBAM!$B$5&amp;".in.ext.stl.scr.---",input_data!$A:$A,0)))*(1+INDEX(input_data!$L:$L,MATCH(CBAM!$B$5&amp;".in.imp.stl.scr.---",input_data!$A:$A,0)))</f>
        <v>4.5600332503641274</v>
      </c>
      <c r="T51" s="385">
        <f>T48*(1-INDEX(input_data!$L:$L,MATCH(CBAM!$B$5&amp;".in.ext.stl.scr.---",input_data!$A:$A,0)))*(1+INDEX(input_data!$L:$L,MATCH(CBAM!$B$5&amp;".in.imp.stl.scr.---",input_data!$A:$A,0)))</f>
        <v>4.7595947534472236</v>
      </c>
      <c r="U51" s="385">
        <f>U48*(1-INDEX(input_data!$L:$L,MATCH(CBAM!$B$5&amp;".in.ext.stl.scr.---",input_data!$A:$A,0)))*(1+INDEX(input_data!$L:$L,MATCH(CBAM!$B$5&amp;".in.imp.stl.scr.---",input_data!$A:$A,0)))</f>
        <v>4.9678897001975582</v>
      </c>
      <c r="V51" s="385">
        <f>V48*(1-INDEX(input_data!$L:$L,MATCH(CBAM!$B$5&amp;".in.ext.stl.scr.---",input_data!$A:$A,0)))*(1+INDEX(input_data!$L:$L,MATCH(CBAM!$B$5&amp;".in.imp.stl.scr.---",input_data!$A:$A,0)))</f>
        <v>5.1853002937811237</v>
      </c>
      <c r="W51" s="385">
        <f>W48*(1-INDEX(input_data!$L:$L,MATCH(CBAM!$B$5&amp;".in.ext.stl.scr.---",input_data!$A:$A,0)))*(1+INDEX(input_data!$L:$L,MATCH(CBAM!$B$5&amp;".in.imp.stl.scr.---",input_data!$A:$A,0)))</f>
        <v>5.4122254637854326</v>
      </c>
      <c r="X51" s="385">
        <f>X48*(1-INDEX(input_data!$L:$L,MATCH(CBAM!$B$5&amp;".in.ext.stl.scr.---",input_data!$A:$A,0)))*(1+INDEX(input_data!$L:$L,MATCH(CBAM!$B$5&amp;".in.imp.stl.scr.---",input_data!$A:$A,0)))</f>
        <v>5.6490815982207225</v>
      </c>
    </row>
    <row r="52" spans="1:24" ht="15" customHeight="1" x14ac:dyDescent="0.25">
      <c r="A52" s="380" t="str">
        <f>CBAM!$B$5&amp;".pj.enc.stl.scr.coa"</f>
        <v>egy.pj.enc.stl.scr.coa</v>
      </c>
      <c r="B52" s="380" t="str">
        <f>CBAM!$B$5</f>
        <v>egy</v>
      </c>
      <c r="C52" s="380" t="s">
        <v>1275</v>
      </c>
      <c r="D52" s="380" t="s">
        <v>1317</v>
      </c>
      <c r="E52" s="380" t="s">
        <v>322</v>
      </c>
      <c r="F52" s="380" t="s">
        <v>1361</v>
      </c>
      <c r="G52" s="380" t="s">
        <v>757</v>
      </c>
      <c r="H52" s="380" t="s">
        <v>1366</v>
      </c>
      <c r="I52" s="380" t="s">
        <v>1319</v>
      </c>
      <c r="J52" s="380" t="s">
        <v>1320</v>
      </c>
      <c r="K52" s="380"/>
      <c r="L52" s="380"/>
      <c r="M52" s="385">
        <f>M48*INDEX(input_data!$L:$L,MATCH(CBAM!$B$5&amp;".in.enc.stl.scr.coa",input_data!$A:$A,0))</f>
        <v>0</v>
      </c>
      <c r="N52" s="385">
        <f>N48*INDEX(input_data!$L:$L,MATCH(CBAM!$B$5&amp;".in.enc.stl.scr.coa",input_data!$A:$A,0))</f>
        <v>0</v>
      </c>
      <c r="O52" s="385">
        <f>O48*INDEX(input_data!$L:$L,MATCH(CBAM!$B$5&amp;".in.enc.stl.scr.coa",input_data!$A:$A,0))</f>
        <v>0</v>
      </c>
      <c r="P52" s="385">
        <f>P48*INDEX(input_data!$L:$L,MATCH(CBAM!$B$5&amp;".in.enc.stl.scr.coa",input_data!$A:$A,0))</f>
        <v>0</v>
      </c>
      <c r="Q52" s="385">
        <f>Q48*INDEX(input_data!$L:$L,MATCH(CBAM!$B$5&amp;".in.enc.stl.scr.coa",input_data!$A:$A,0))</f>
        <v>0</v>
      </c>
      <c r="R52" s="385">
        <f>R48*INDEX(input_data!$L:$L,MATCH(CBAM!$B$5&amp;".in.enc.stl.scr.coa",input_data!$A:$A,0))</f>
        <v>0</v>
      </c>
      <c r="S52" s="385">
        <f>S48*INDEX(input_data!$L:$L,MATCH(CBAM!$B$5&amp;".in.enc.stl.scr.coa",input_data!$A:$A,0))</f>
        <v>0</v>
      </c>
      <c r="T52" s="385">
        <f>T48*INDEX(input_data!$L:$L,MATCH(CBAM!$B$5&amp;".in.enc.stl.scr.coa",input_data!$A:$A,0))</f>
        <v>0</v>
      </c>
      <c r="U52" s="385">
        <f>U48*INDEX(input_data!$L:$L,MATCH(CBAM!$B$5&amp;".in.enc.stl.scr.coa",input_data!$A:$A,0))</f>
        <v>0</v>
      </c>
      <c r="V52" s="385">
        <f>V48*INDEX(input_data!$L:$L,MATCH(CBAM!$B$5&amp;".in.enc.stl.scr.coa",input_data!$A:$A,0))</f>
        <v>0</v>
      </c>
      <c r="W52" s="385">
        <f>W48*INDEX(input_data!$L:$L,MATCH(CBAM!$B$5&amp;".in.enc.stl.scr.coa",input_data!$A:$A,0))</f>
        <v>0</v>
      </c>
      <c r="X52" s="385">
        <f>X48*INDEX(input_data!$L:$L,MATCH(CBAM!$B$5&amp;".in.enc.stl.scr.coa",input_data!$A:$A,0))</f>
        <v>0</v>
      </c>
    </row>
    <row r="53" spans="1:24" ht="15" customHeight="1" x14ac:dyDescent="0.25">
      <c r="A53" s="380" t="str">
        <f>CBAM!$B$5&amp;".pj.enc.stl.scr.nga"</f>
        <v>egy.pj.enc.stl.scr.nga</v>
      </c>
      <c r="B53" s="380" t="str">
        <f>CBAM!$B$5</f>
        <v>egy</v>
      </c>
      <c r="C53" s="380" t="s">
        <v>1275</v>
      </c>
      <c r="D53" s="380" t="s">
        <v>1317</v>
      </c>
      <c r="E53" s="380" t="s">
        <v>322</v>
      </c>
      <c r="F53" s="380" t="s">
        <v>1361</v>
      </c>
      <c r="G53" s="380" t="s">
        <v>754</v>
      </c>
      <c r="H53" s="380" t="s">
        <v>1367</v>
      </c>
      <c r="I53" s="380" t="s">
        <v>1319</v>
      </c>
      <c r="J53" s="380" t="s">
        <v>1320</v>
      </c>
      <c r="K53" s="380"/>
      <c r="L53" s="380"/>
      <c r="M53" s="385">
        <f>M48*INDEX(input_data!$L:$L,MATCH(CBAM!$B$5&amp;".in.enc.stl.scr.nga",input_data!$A:$A,0))</f>
        <v>11.45</v>
      </c>
      <c r="N53" s="385">
        <f>N48*INDEX(input_data!$L:$L,MATCH(CBAM!$B$5&amp;".in.enc.stl.scr.nga",input_data!$A:$A,0))</f>
        <v>11.951088278274945</v>
      </c>
      <c r="O53" s="385">
        <f>O48*INDEX(input_data!$L:$L,MATCH(CBAM!$B$5&amp;".in.enc.stl.scr.nga",input_data!$A:$A,0))</f>
        <v>12.474105767259458</v>
      </c>
      <c r="P53" s="385">
        <f>P48*INDEX(input_data!$L:$L,MATCH(CBAM!$B$5&amp;".in.enc.stl.scr.nga",input_data!$A:$A,0))</f>
        <v>13.020012158694879</v>
      </c>
      <c r="Q53" s="385">
        <f>Q48*INDEX(input_data!$L:$L,MATCH(CBAM!$B$5&amp;".in.enc.stl.scr.nga",input_data!$A:$A,0))</f>
        <v>13.589809143473854</v>
      </c>
      <c r="R53" s="385">
        <f>R48*INDEX(input_data!$L:$L,MATCH(CBAM!$B$5&amp;".in.enc.stl.scr.nga",input_data!$A:$A,0))</f>
        <v>14.18454224965625</v>
      </c>
      <c r="S53" s="385">
        <f>S48*INDEX(input_data!$L:$L,MATCH(CBAM!$B$5&amp;".in.enc.stl.scr.nga",input_data!$A:$A,0))</f>
        <v>14.805302760922491</v>
      </c>
      <c r="T53" s="385">
        <f>T48*INDEX(input_data!$L:$L,MATCH(CBAM!$B$5&amp;".in.enc.stl.scr.nga",input_data!$A:$A,0))</f>
        <v>15.453229718984494</v>
      </c>
      <c r="U53" s="385">
        <f>U48*INDEX(input_data!$L:$L,MATCH(CBAM!$B$5&amp;".in.enc.stl.scr.nga",input_data!$A:$A,0))</f>
        <v>16.129512013628435</v>
      </c>
      <c r="V53" s="385">
        <f>V48*INDEX(input_data!$L:$L,MATCH(CBAM!$B$5&amp;".in.enc.stl.scr.nga",input_data!$A:$A,0))</f>
        <v>16.835390564224426</v>
      </c>
      <c r="W53" s="385">
        <f>W48*INDEX(input_data!$L:$L,MATCH(CBAM!$B$5&amp;".in.enc.stl.scr.nga",input_data!$A:$A,0))</f>
        <v>17.572160596705949</v>
      </c>
      <c r="X53" s="385">
        <f>X48*INDEX(input_data!$L:$L,MATCH(CBAM!$B$5&amp;".in.enc.stl.scr.nga",input_data!$A:$A,0))</f>
        <v>18.341174020197151</v>
      </c>
    </row>
    <row r="54" spans="1:24" ht="15" customHeight="1" x14ac:dyDescent="0.25">
      <c r="A54" s="380" t="str">
        <f>CBAM!$B$5&amp;".pj.enc.stl.scr.gso"</f>
        <v>egy.pj.enc.stl.scr.gso</v>
      </c>
      <c r="B54" s="380" t="str">
        <f>CBAM!$B$5</f>
        <v>egy</v>
      </c>
      <c r="C54" s="380" t="s">
        <v>1275</v>
      </c>
      <c r="D54" s="380" t="s">
        <v>1317</v>
      </c>
      <c r="E54" s="380" t="s">
        <v>322</v>
      </c>
      <c r="F54" s="380" t="s">
        <v>1361</v>
      </c>
      <c r="G54" s="380" t="s">
        <v>1292</v>
      </c>
      <c r="H54" s="380" t="s">
        <v>1368</v>
      </c>
      <c r="I54" s="380" t="s">
        <v>1319</v>
      </c>
      <c r="J54" s="380" t="s">
        <v>1320</v>
      </c>
      <c r="K54" s="380"/>
      <c r="L54" s="380"/>
      <c r="M54" s="385">
        <f>M48*INDEX(input_data!$L:$L,MATCH(CBAM!$B$5&amp;".in.enc.stl.scr.gso",input_data!$A:$A,0))</f>
        <v>0</v>
      </c>
      <c r="N54" s="385">
        <f>N48*INDEX(input_data!$L:$L,MATCH(CBAM!$B$5&amp;".in.enc.stl.scr.gso",input_data!$A:$A,0))</f>
        <v>0</v>
      </c>
      <c r="O54" s="385">
        <f>O48*INDEX(input_data!$L:$L,MATCH(CBAM!$B$5&amp;".in.enc.stl.scr.gso",input_data!$A:$A,0))</f>
        <v>0</v>
      </c>
      <c r="P54" s="385">
        <f>P48*INDEX(input_data!$L:$L,MATCH(CBAM!$B$5&amp;".in.enc.stl.scr.gso",input_data!$A:$A,0))</f>
        <v>0</v>
      </c>
      <c r="Q54" s="385">
        <f>Q48*INDEX(input_data!$L:$L,MATCH(CBAM!$B$5&amp;".in.enc.stl.scr.gso",input_data!$A:$A,0))</f>
        <v>0</v>
      </c>
      <c r="R54" s="385">
        <f>R48*INDEX(input_data!$L:$L,MATCH(CBAM!$B$5&amp;".in.enc.stl.scr.gso",input_data!$A:$A,0))</f>
        <v>0</v>
      </c>
      <c r="S54" s="385">
        <f>S48*INDEX(input_data!$L:$L,MATCH(CBAM!$B$5&amp;".in.enc.stl.scr.gso",input_data!$A:$A,0))</f>
        <v>0</v>
      </c>
      <c r="T54" s="385">
        <f>T48*INDEX(input_data!$L:$L,MATCH(CBAM!$B$5&amp;".in.enc.stl.scr.gso",input_data!$A:$A,0))</f>
        <v>0</v>
      </c>
      <c r="U54" s="385">
        <f>U48*INDEX(input_data!$L:$L,MATCH(CBAM!$B$5&amp;".in.enc.stl.scr.gso",input_data!$A:$A,0))</f>
        <v>0</v>
      </c>
      <c r="V54" s="385">
        <f>V48*INDEX(input_data!$L:$L,MATCH(CBAM!$B$5&amp;".in.enc.stl.scr.gso",input_data!$A:$A,0))</f>
        <v>0</v>
      </c>
      <c r="W54" s="385">
        <f>W48*INDEX(input_data!$L:$L,MATCH(CBAM!$B$5&amp;".in.enc.stl.scr.gso",input_data!$A:$A,0))</f>
        <v>0</v>
      </c>
      <c r="X54" s="385">
        <f>X48*INDEX(input_data!$L:$L,MATCH(CBAM!$B$5&amp;".in.enc.stl.scr.gso",input_data!$A:$A,0))</f>
        <v>0</v>
      </c>
    </row>
    <row r="55" spans="1:24" ht="15" customHeight="1" x14ac:dyDescent="0.25">
      <c r="A55" s="380" t="str">
        <f>CBAM!$B$5&amp;".pj.enc.stl.scr.die"</f>
        <v>egy.pj.enc.stl.scr.die</v>
      </c>
      <c r="B55" s="380" t="str">
        <f>CBAM!$B$5</f>
        <v>egy</v>
      </c>
      <c r="C55" s="380" t="s">
        <v>1275</v>
      </c>
      <c r="D55" s="380" t="s">
        <v>1317</v>
      </c>
      <c r="E55" s="380" t="s">
        <v>322</v>
      </c>
      <c r="F55" s="380" t="s">
        <v>1361</v>
      </c>
      <c r="G55" s="380" t="s">
        <v>762</v>
      </c>
      <c r="H55" s="380" t="s">
        <v>1369</v>
      </c>
      <c r="I55" s="380" t="s">
        <v>1319</v>
      </c>
      <c r="J55" s="380" t="s">
        <v>1320</v>
      </c>
      <c r="K55" s="380"/>
      <c r="L55" s="380"/>
      <c r="M55" s="385">
        <f>M48*INDEX(input_data!$L:$L,MATCH(CBAM!$B$5&amp;".in.enc.stl.scr.die",input_data!$A:$A,0))</f>
        <v>0</v>
      </c>
      <c r="N55" s="385">
        <f>N48*INDEX(input_data!$L:$L,MATCH(CBAM!$B$5&amp;".in.enc.stl.scr.die",input_data!$A:$A,0))</f>
        <v>0</v>
      </c>
      <c r="O55" s="385">
        <f>O48*INDEX(input_data!$L:$L,MATCH(CBAM!$B$5&amp;".in.enc.stl.scr.die",input_data!$A:$A,0))</f>
        <v>0</v>
      </c>
      <c r="P55" s="385">
        <f>P48*INDEX(input_data!$L:$L,MATCH(CBAM!$B$5&amp;".in.enc.stl.scr.die",input_data!$A:$A,0))</f>
        <v>0</v>
      </c>
      <c r="Q55" s="385">
        <f>Q48*INDEX(input_data!$L:$L,MATCH(CBAM!$B$5&amp;".in.enc.stl.scr.die",input_data!$A:$A,0))</f>
        <v>0</v>
      </c>
      <c r="R55" s="385">
        <f>R48*INDEX(input_data!$L:$L,MATCH(CBAM!$B$5&amp;".in.enc.stl.scr.die",input_data!$A:$A,0))</f>
        <v>0</v>
      </c>
      <c r="S55" s="385">
        <f>S48*INDEX(input_data!$L:$L,MATCH(CBAM!$B$5&amp;".in.enc.stl.scr.die",input_data!$A:$A,0))</f>
        <v>0</v>
      </c>
      <c r="T55" s="385">
        <f>T48*INDEX(input_data!$L:$L,MATCH(CBAM!$B$5&amp;".in.enc.stl.scr.die",input_data!$A:$A,0))</f>
        <v>0</v>
      </c>
      <c r="U55" s="385">
        <f>U48*INDEX(input_data!$L:$L,MATCH(CBAM!$B$5&amp;".in.enc.stl.scr.die",input_data!$A:$A,0))</f>
        <v>0</v>
      </c>
      <c r="V55" s="385">
        <f>V48*INDEX(input_data!$L:$L,MATCH(CBAM!$B$5&amp;".in.enc.stl.scr.die",input_data!$A:$A,0))</f>
        <v>0</v>
      </c>
      <c r="W55" s="385">
        <f>W48*INDEX(input_data!$L:$L,MATCH(CBAM!$B$5&amp;".in.enc.stl.scr.die",input_data!$A:$A,0))</f>
        <v>0</v>
      </c>
      <c r="X55" s="385">
        <f>X48*INDEX(input_data!$L:$L,MATCH(CBAM!$B$5&amp;".in.enc.stl.scr.die",input_data!$A:$A,0))</f>
        <v>0</v>
      </c>
    </row>
    <row r="56" spans="1:24" ht="15" customHeight="1" x14ac:dyDescent="0.25">
      <c r="A56" s="380" t="str">
        <f>CBAM!$B$5&amp;".pj.enc.stl.scr.ker"</f>
        <v>egy.pj.enc.stl.scr.ker</v>
      </c>
      <c r="B56" s="380" t="str">
        <f>CBAM!$B$5</f>
        <v>egy</v>
      </c>
      <c r="C56" s="380" t="s">
        <v>1275</v>
      </c>
      <c r="D56" s="380" t="s">
        <v>1317</v>
      </c>
      <c r="E56" s="380" t="s">
        <v>322</v>
      </c>
      <c r="F56" s="380" t="s">
        <v>1361</v>
      </c>
      <c r="G56" s="380" t="s">
        <v>1295</v>
      </c>
      <c r="H56" s="380" t="s">
        <v>1370</v>
      </c>
      <c r="I56" s="380" t="s">
        <v>1319</v>
      </c>
      <c r="J56" s="380" t="s">
        <v>1320</v>
      </c>
      <c r="K56" s="380"/>
      <c r="L56" s="380"/>
      <c r="M56" s="385">
        <f>M48*INDEX(input_data!$L:$L,MATCH(CBAM!$B$5&amp;".in.enc.stl.scr.ker",input_data!$A:$A,0))</f>
        <v>0</v>
      </c>
      <c r="N56" s="385">
        <f>N48*INDEX(input_data!$L:$L,MATCH(CBAM!$B$5&amp;".in.enc.stl.scr.ker",input_data!$A:$A,0))</f>
        <v>0</v>
      </c>
      <c r="O56" s="385">
        <f>O48*INDEX(input_data!$L:$L,MATCH(CBAM!$B$5&amp;".in.enc.stl.scr.ker",input_data!$A:$A,0))</f>
        <v>0</v>
      </c>
      <c r="P56" s="385">
        <f>P48*INDEX(input_data!$L:$L,MATCH(CBAM!$B$5&amp;".in.enc.stl.scr.ker",input_data!$A:$A,0))</f>
        <v>0</v>
      </c>
      <c r="Q56" s="385">
        <f>Q48*INDEX(input_data!$L:$L,MATCH(CBAM!$B$5&amp;".in.enc.stl.scr.ker",input_data!$A:$A,0))</f>
        <v>0</v>
      </c>
      <c r="R56" s="385">
        <f>R48*INDEX(input_data!$L:$L,MATCH(CBAM!$B$5&amp;".in.enc.stl.scr.ker",input_data!$A:$A,0))</f>
        <v>0</v>
      </c>
      <c r="S56" s="385">
        <f>S48*INDEX(input_data!$L:$L,MATCH(CBAM!$B$5&amp;".in.enc.stl.scr.ker",input_data!$A:$A,0))</f>
        <v>0</v>
      </c>
      <c r="T56" s="385">
        <f>T48*INDEX(input_data!$L:$L,MATCH(CBAM!$B$5&amp;".in.enc.stl.scr.ker",input_data!$A:$A,0))</f>
        <v>0</v>
      </c>
      <c r="U56" s="385">
        <f>U48*INDEX(input_data!$L:$L,MATCH(CBAM!$B$5&amp;".in.enc.stl.scr.ker",input_data!$A:$A,0))</f>
        <v>0</v>
      </c>
      <c r="V56" s="385">
        <f>V48*INDEX(input_data!$L:$L,MATCH(CBAM!$B$5&amp;".in.enc.stl.scr.ker",input_data!$A:$A,0))</f>
        <v>0</v>
      </c>
      <c r="W56" s="385">
        <f>W48*INDEX(input_data!$L:$L,MATCH(CBAM!$B$5&amp;".in.enc.stl.scr.ker",input_data!$A:$A,0))</f>
        <v>0</v>
      </c>
      <c r="X56" s="385">
        <f>X48*INDEX(input_data!$L:$L,MATCH(CBAM!$B$5&amp;".in.enc.stl.scr.ker",input_data!$A:$A,0))</f>
        <v>0</v>
      </c>
    </row>
    <row r="57" spans="1:24" ht="15" customHeight="1" x14ac:dyDescent="0.25">
      <c r="A57" s="380" t="str">
        <f>CBAM!$B$5&amp;".pj.enc.stl.scr.lpg"</f>
        <v>egy.pj.enc.stl.scr.lpg</v>
      </c>
      <c r="B57" s="380" t="str">
        <f>CBAM!$B$5</f>
        <v>egy</v>
      </c>
      <c r="C57" s="380" t="s">
        <v>1275</v>
      </c>
      <c r="D57" s="380" t="s">
        <v>1317</v>
      </c>
      <c r="E57" s="380" t="s">
        <v>322</v>
      </c>
      <c r="F57" s="380" t="s">
        <v>1361</v>
      </c>
      <c r="G57" s="380" t="s">
        <v>1297</v>
      </c>
      <c r="H57" s="380" t="s">
        <v>1371</v>
      </c>
      <c r="I57" s="380" t="s">
        <v>1319</v>
      </c>
      <c r="J57" s="380" t="s">
        <v>1320</v>
      </c>
      <c r="K57" s="380"/>
      <c r="L57" s="380"/>
      <c r="M57" s="385">
        <f>M48*INDEX(input_data!$L:$L,MATCH(CBAM!$B$5&amp;".in.enc.stl.scr.lpg",input_data!$A:$A,0))</f>
        <v>0</v>
      </c>
      <c r="N57" s="385">
        <f>N48*INDEX(input_data!$L:$L,MATCH(CBAM!$B$5&amp;".in.enc.stl.scr.lpg",input_data!$A:$A,0))</f>
        <v>0</v>
      </c>
      <c r="O57" s="385">
        <f>O48*INDEX(input_data!$L:$L,MATCH(CBAM!$B$5&amp;".in.enc.stl.scr.lpg",input_data!$A:$A,0))</f>
        <v>0</v>
      </c>
      <c r="P57" s="385">
        <f>P48*INDEX(input_data!$L:$L,MATCH(CBAM!$B$5&amp;".in.enc.stl.scr.lpg",input_data!$A:$A,0))</f>
        <v>0</v>
      </c>
      <c r="Q57" s="385">
        <f>Q48*INDEX(input_data!$L:$L,MATCH(CBAM!$B$5&amp;".in.enc.stl.scr.lpg",input_data!$A:$A,0))</f>
        <v>0</v>
      </c>
      <c r="R57" s="385">
        <f>R48*INDEX(input_data!$L:$L,MATCH(CBAM!$B$5&amp;".in.enc.stl.scr.lpg",input_data!$A:$A,0))</f>
        <v>0</v>
      </c>
      <c r="S57" s="385">
        <f>S48*INDEX(input_data!$L:$L,MATCH(CBAM!$B$5&amp;".in.enc.stl.scr.lpg",input_data!$A:$A,0))</f>
        <v>0</v>
      </c>
      <c r="T57" s="385">
        <f>T48*INDEX(input_data!$L:$L,MATCH(CBAM!$B$5&amp;".in.enc.stl.scr.lpg",input_data!$A:$A,0))</f>
        <v>0</v>
      </c>
      <c r="U57" s="385">
        <f>U48*INDEX(input_data!$L:$L,MATCH(CBAM!$B$5&amp;".in.enc.stl.scr.lpg",input_data!$A:$A,0))</f>
        <v>0</v>
      </c>
      <c r="V57" s="385">
        <f>V48*INDEX(input_data!$L:$L,MATCH(CBAM!$B$5&amp;".in.enc.stl.scr.lpg",input_data!$A:$A,0))</f>
        <v>0</v>
      </c>
      <c r="W57" s="385">
        <f>W48*INDEX(input_data!$L:$L,MATCH(CBAM!$B$5&amp;".in.enc.stl.scr.lpg",input_data!$A:$A,0))</f>
        <v>0</v>
      </c>
      <c r="X57" s="385">
        <f>X48*INDEX(input_data!$L:$L,MATCH(CBAM!$B$5&amp;".in.enc.stl.scr.lpg",input_data!$A:$A,0))</f>
        <v>0</v>
      </c>
    </row>
    <row r="58" spans="1:24" ht="15" customHeight="1" x14ac:dyDescent="0.25">
      <c r="A58" s="380" t="str">
        <f>CBAM!$B$5&amp;".pj.enc.stl.scr.bio"</f>
        <v>egy.pj.enc.stl.scr.bio</v>
      </c>
      <c r="B58" s="380" t="str">
        <f>CBAM!$B$5</f>
        <v>egy</v>
      </c>
      <c r="C58" s="380" t="s">
        <v>1275</v>
      </c>
      <c r="D58" s="380" t="s">
        <v>1317</v>
      </c>
      <c r="E58" s="380" t="s">
        <v>322</v>
      </c>
      <c r="F58" s="380" t="s">
        <v>1361</v>
      </c>
      <c r="G58" s="380" t="s">
        <v>1299</v>
      </c>
      <c r="H58" s="380" t="s">
        <v>1372</v>
      </c>
      <c r="I58" s="380" t="s">
        <v>1319</v>
      </c>
      <c r="J58" s="380" t="s">
        <v>1320</v>
      </c>
      <c r="K58" s="380"/>
      <c r="L58" s="380"/>
      <c r="M58" s="385">
        <f>M48*INDEX(input_data!$L:$L,MATCH(CBAM!$B$5&amp;".in.enc.stl.scr.bio",input_data!$A:$A,0))</f>
        <v>0</v>
      </c>
      <c r="N58" s="385">
        <f>N48*INDEX(input_data!$L:$L,MATCH(CBAM!$B$5&amp;".in.enc.stl.scr.bio",input_data!$A:$A,0))</f>
        <v>0</v>
      </c>
      <c r="O58" s="385">
        <f>O48*INDEX(input_data!$L:$L,MATCH(CBAM!$B$5&amp;".in.enc.stl.scr.bio",input_data!$A:$A,0))</f>
        <v>0</v>
      </c>
      <c r="P58" s="385">
        <f>P48*INDEX(input_data!$L:$L,MATCH(CBAM!$B$5&amp;".in.enc.stl.scr.bio",input_data!$A:$A,0))</f>
        <v>0</v>
      </c>
      <c r="Q58" s="385">
        <f>Q48*INDEX(input_data!$L:$L,MATCH(CBAM!$B$5&amp;".in.enc.stl.scr.bio",input_data!$A:$A,0))</f>
        <v>0</v>
      </c>
      <c r="R58" s="385">
        <f>R48*INDEX(input_data!$L:$L,MATCH(CBAM!$B$5&amp;".in.enc.stl.scr.bio",input_data!$A:$A,0))</f>
        <v>0</v>
      </c>
      <c r="S58" s="385">
        <f>S48*INDEX(input_data!$L:$L,MATCH(CBAM!$B$5&amp;".in.enc.stl.scr.bio",input_data!$A:$A,0))</f>
        <v>0</v>
      </c>
      <c r="T58" s="385">
        <f>T48*INDEX(input_data!$L:$L,MATCH(CBAM!$B$5&amp;".in.enc.stl.scr.bio",input_data!$A:$A,0))</f>
        <v>0</v>
      </c>
      <c r="U58" s="385">
        <f>U48*INDEX(input_data!$L:$L,MATCH(CBAM!$B$5&amp;".in.enc.stl.scr.bio",input_data!$A:$A,0))</f>
        <v>0</v>
      </c>
      <c r="V58" s="385">
        <f>V48*INDEX(input_data!$L:$L,MATCH(CBAM!$B$5&amp;".in.enc.stl.scr.bio",input_data!$A:$A,0))</f>
        <v>0</v>
      </c>
      <c r="W58" s="385">
        <f>W48*INDEX(input_data!$L:$L,MATCH(CBAM!$B$5&amp;".in.enc.stl.scr.bio",input_data!$A:$A,0))</f>
        <v>0</v>
      </c>
      <c r="X58" s="385">
        <f>X48*INDEX(input_data!$L:$L,MATCH(CBAM!$B$5&amp;".in.enc.stl.scr.bio",input_data!$A:$A,0))</f>
        <v>0</v>
      </c>
    </row>
    <row r="59" spans="1:24" ht="15" customHeight="1" x14ac:dyDescent="0.25">
      <c r="A59" s="380" t="str">
        <f>CBAM!$B$5&amp;".pj.enc.stl.scr.ren"</f>
        <v>egy.pj.enc.stl.scr.ren</v>
      </c>
      <c r="B59" s="380" t="str">
        <f>CBAM!$B$5</f>
        <v>egy</v>
      </c>
      <c r="C59" s="380" t="s">
        <v>1275</v>
      </c>
      <c r="D59" s="380" t="s">
        <v>1317</v>
      </c>
      <c r="E59" s="380" t="s">
        <v>322</v>
      </c>
      <c r="F59" s="380" t="s">
        <v>1361</v>
      </c>
      <c r="G59" s="380" t="s">
        <v>1301</v>
      </c>
      <c r="H59" s="380" t="s">
        <v>1373</v>
      </c>
      <c r="I59" s="380" t="s">
        <v>1319</v>
      </c>
      <c r="J59" s="380" t="s">
        <v>1320</v>
      </c>
      <c r="K59" s="380"/>
      <c r="L59" s="380"/>
      <c r="M59" s="385">
        <f>M48*INDEX(input_data!$L:$L,MATCH(CBAM!$B$5&amp;".in.enc.stl.scr.ren",input_data!$A:$A,0))</f>
        <v>0</v>
      </c>
      <c r="N59" s="385">
        <f>N48*INDEX(input_data!$L:$L,MATCH(CBAM!$B$5&amp;".in.enc.stl.scr.ren",input_data!$A:$A,0))</f>
        <v>0</v>
      </c>
      <c r="O59" s="385">
        <f>O48*INDEX(input_data!$L:$L,MATCH(CBAM!$B$5&amp;".in.enc.stl.scr.ren",input_data!$A:$A,0))</f>
        <v>0</v>
      </c>
      <c r="P59" s="385">
        <f>P48*INDEX(input_data!$L:$L,MATCH(CBAM!$B$5&amp;".in.enc.stl.scr.ren",input_data!$A:$A,0))</f>
        <v>0</v>
      </c>
      <c r="Q59" s="385">
        <f>Q48*INDEX(input_data!$L:$L,MATCH(CBAM!$B$5&amp;".in.enc.stl.scr.ren",input_data!$A:$A,0))</f>
        <v>0</v>
      </c>
      <c r="R59" s="385">
        <f>R48*INDEX(input_data!$L:$L,MATCH(CBAM!$B$5&amp;".in.enc.stl.scr.ren",input_data!$A:$A,0))</f>
        <v>0</v>
      </c>
      <c r="S59" s="385">
        <f>S48*INDEX(input_data!$L:$L,MATCH(CBAM!$B$5&amp;".in.enc.stl.scr.ren",input_data!$A:$A,0))</f>
        <v>0</v>
      </c>
      <c r="T59" s="385">
        <f>T48*INDEX(input_data!$L:$L,MATCH(CBAM!$B$5&amp;".in.enc.stl.scr.ren",input_data!$A:$A,0))</f>
        <v>0</v>
      </c>
      <c r="U59" s="385">
        <f>U48*INDEX(input_data!$L:$L,MATCH(CBAM!$B$5&amp;".in.enc.stl.scr.ren",input_data!$A:$A,0))</f>
        <v>0</v>
      </c>
      <c r="V59" s="385">
        <f>V48*INDEX(input_data!$L:$L,MATCH(CBAM!$B$5&amp;".in.enc.stl.scr.ren",input_data!$A:$A,0))</f>
        <v>0</v>
      </c>
      <c r="W59" s="385">
        <f>W48*INDEX(input_data!$L:$L,MATCH(CBAM!$B$5&amp;".in.enc.stl.scr.ren",input_data!$A:$A,0))</f>
        <v>0</v>
      </c>
      <c r="X59" s="385">
        <f>X48*INDEX(input_data!$L:$L,MATCH(CBAM!$B$5&amp;".in.enc.stl.scr.ren",input_data!$A:$A,0))</f>
        <v>0</v>
      </c>
    </row>
    <row r="60" spans="1:24" ht="15" customHeight="1" x14ac:dyDescent="0.25">
      <c r="A60" s="380" t="str">
        <f>CBAM!$B$5&amp;".pj.enp.stl.scr.coa"</f>
        <v>egy.pj.enp.stl.scr.coa</v>
      </c>
      <c r="B60" s="380" t="str">
        <f>CBAM!$B$5</f>
        <v>egy</v>
      </c>
      <c r="C60" s="380" t="s">
        <v>1275</v>
      </c>
      <c r="D60" s="380" t="s">
        <v>1328</v>
      </c>
      <c r="E60" s="380" t="s">
        <v>322</v>
      </c>
      <c r="F60" s="380" t="s">
        <v>1361</v>
      </c>
      <c r="G60" s="380" t="s">
        <v>757</v>
      </c>
      <c r="H60" s="380" t="s">
        <v>1374</v>
      </c>
      <c r="I60" s="380" t="s">
        <v>1319</v>
      </c>
      <c r="J60" s="380" t="s">
        <v>1330</v>
      </c>
      <c r="K60" s="380"/>
      <c r="L60" s="380"/>
      <c r="M60" s="385">
        <f>M48*INDEX(input_data!$L:$L,MATCH(CBAM!$B$5&amp;".in.enp.stl.scr.coa",input_data!$A:$A,0))</f>
        <v>0</v>
      </c>
      <c r="N60" s="385">
        <f>N48*INDEX(input_data!$L:$L,MATCH(CBAM!$B$5&amp;".in.enp.stl.scr.coa",input_data!$A:$A,0))</f>
        <v>0</v>
      </c>
      <c r="O60" s="385">
        <f>O48*INDEX(input_data!$L:$L,MATCH(CBAM!$B$5&amp;".in.enp.stl.scr.coa",input_data!$A:$A,0))</f>
        <v>0</v>
      </c>
      <c r="P60" s="385">
        <f>P48*INDEX(input_data!$L:$L,MATCH(CBAM!$B$5&amp;".in.enp.stl.scr.coa",input_data!$A:$A,0))</f>
        <v>0</v>
      </c>
      <c r="Q60" s="385">
        <f>Q48*INDEX(input_data!$L:$L,MATCH(CBAM!$B$5&amp;".in.enp.stl.scr.coa",input_data!$A:$A,0))</f>
        <v>0</v>
      </c>
      <c r="R60" s="385">
        <f>R48*INDEX(input_data!$L:$L,MATCH(CBAM!$B$5&amp;".in.enp.stl.scr.coa",input_data!$A:$A,0))</f>
        <v>0</v>
      </c>
      <c r="S60" s="385">
        <f>S48*INDEX(input_data!$L:$L,MATCH(CBAM!$B$5&amp;".in.enp.stl.scr.coa",input_data!$A:$A,0))</f>
        <v>0</v>
      </c>
      <c r="T60" s="385">
        <f>T48*INDEX(input_data!$L:$L,MATCH(CBAM!$B$5&amp;".in.enp.stl.scr.coa",input_data!$A:$A,0))</f>
        <v>0</v>
      </c>
      <c r="U60" s="385">
        <f>U48*INDEX(input_data!$L:$L,MATCH(CBAM!$B$5&amp;".in.enp.stl.scr.coa",input_data!$A:$A,0))</f>
        <v>0</v>
      </c>
      <c r="V60" s="385">
        <f>V48*INDEX(input_data!$L:$L,MATCH(CBAM!$B$5&amp;".in.enp.stl.scr.coa",input_data!$A:$A,0))</f>
        <v>0</v>
      </c>
      <c r="W60" s="385">
        <f>W48*INDEX(input_data!$L:$L,MATCH(CBAM!$B$5&amp;".in.enp.stl.scr.coa",input_data!$A:$A,0))</f>
        <v>0</v>
      </c>
      <c r="X60" s="385">
        <f>X48*INDEX(input_data!$L:$L,MATCH(CBAM!$B$5&amp;".in.enp.stl.scr.coa",input_data!$A:$A,0))</f>
        <v>0</v>
      </c>
    </row>
    <row r="61" spans="1:24" ht="15" customHeight="1" x14ac:dyDescent="0.25">
      <c r="A61" s="380" t="str">
        <f>CBAM!$B$5&amp;".pj.enp.stl.scr.nga"</f>
        <v>egy.pj.enp.stl.scr.nga</v>
      </c>
      <c r="B61" s="380" t="str">
        <f>CBAM!$B$5</f>
        <v>egy</v>
      </c>
      <c r="C61" s="380" t="s">
        <v>1275</v>
      </c>
      <c r="D61" s="380" t="s">
        <v>1328</v>
      </c>
      <c r="E61" s="380" t="s">
        <v>322</v>
      </c>
      <c r="F61" s="380" t="s">
        <v>1361</v>
      </c>
      <c r="G61" s="380" t="s">
        <v>754</v>
      </c>
      <c r="H61" s="380" t="s">
        <v>1375</v>
      </c>
      <c r="I61" s="380" t="s">
        <v>1319</v>
      </c>
      <c r="J61" s="380" t="s">
        <v>1330</v>
      </c>
      <c r="K61" s="380"/>
      <c r="L61" s="380"/>
      <c r="M61" s="385">
        <f>M48*INDEX(input_data!$L:$L,MATCH(CBAM!$B$5&amp;".in.enp.stl.scr.nga",input_data!$A:$A,0))</f>
        <v>0</v>
      </c>
      <c r="N61" s="385">
        <f>N48*INDEX(input_data!$L:$L,MATCH(CBAM!$B$5&amp;".in.enp.stl.scr.nga",input_data!$A:$A,0))</f>
        <v>0</v>
      </c>
      <c r="O61" s="385">
        <f>O48*INDEX(input_data!$L:$L,MATCH(CBAM!$B$5&amp;".in.enp.stl.scr.nga",input_data!$A:$A,0))</f>
        <v>0</v>
      </c>
      <c r="P61" s="385">
        <f>P48*INDEX(input_data!$L:$L,MATCH(CBAM!$B$5&amp;".in.enp.stl.scr.nga",input_data!$A:$A,0))</f>
        <v>0</v>
      </c>
      <c r="Q61" s="385">
        <f>Q48*INDEX(input_data!$L:$L,MATCH(CBAM!$B$5&amp;".in.enp.stl.scr.nga",input_data!$A:$A,0))</f>
        <v>0</v>
      </c>
      <c r="R61" s="385">
        <f>R48*INDEX(input_data!$L:$L,MATCH(CBAM!$B$5&amp;".in.enp.stl.scr.nga",input_data!$A:$A,0))</f>
        <v>0</v>
      </c>
      <c r="S61" s="385">
        <f>S48*INDEX(input_data!$L:$L,MATCH(CBAM!$B$5&amp;".in.enp.stl.scr.nga",input_data!$A:$A,0))</f>
        <v>0</v>
      </c>
      <c r="T61" s="385">
        <f>T48*INDEX(input_data!$L:$L,MATCH(CBAM!$B$5&amp;".in.enp.stl.scr.nga",input_data!$A:$A,0))</f>
        <v>0</v>
      </c>
      <c r="U61" s="385">
        <f>U48*INDEX(input_data!$L:$L,MATCH(CBAM!$B$5&amp;".in.enp.stl.scr.nga",input_data!$A:$A,0))</f>
        <v>0</v>
      </c>
      <c r="V61" s="385">
        <f>V48*INDEX(input_data!$L:$L,MATCH(CBAM!$B$5&amp;".in.enp.stl.scr.nga",input_data!$A:$A,0))</f>
        <v>0</v>
      </c>
      <c r="W61" s="385">
        <f>W48*INDEX(input_data!$L:$L,MATCH(CBAM!$B$5&amp;".in.enp.stl.scr.nga",input_data!$A:$A,0))</f>
        <v>0</v>
      </c>
      <c r="X61" s="385">
        <f>X48*INDEX(input_data!$L:$L,MATCH(CBAM!$B$5&amp;".in.enp.stl.scr.nga",input_data!$A:$A,0))</f>
        <v>0</v>
      </c>
    </row>
    <row r="62" spans="1:24" ht="15" customHeight="1" x14ac:dyDescent="0.25">
      <c r="A62" s="380" t="str">
        <f>CBAM!$B$5&amp;".pj.enp.stl.scr.gso"</f>
        <v>egy.pj.enp.stl.scr.gso</v>
      </c>
      <c r="B62" s="380" t="str">
        <f>CBAM!$B$5</f>
        <v>egy</v>
      </c>
      <c r="C62" s="380" t="s">
        <v>1275</v>
      </c>
      <c r="D62" s="380" t="s">
        <v>1328</v>
      </c>
      <c r="E62" s="380" t="s">
        <v>322</v>
      </c>
      <c r="F62" s="380" t="s">
        <v>1361</v>
      </c>
      <c r="G62" s="380" t="s">
        <v>1292</v>
      </c>
      <c r="H62" s="380" t="s">
        <v>1376</v>
      </c>
      <c r="I62" s="380" t="s">
        <v>1319</v>
      </c>
      <c r="J62" s="380" t="s">
        <v>1330</v>
      </c>
      <c r="K62" s="380"/>
      <c r="L62" s="380"/>
      <c r="M62" s="385">
        <f>M48*INDEX(input_data!$L:$L,MATCH(CBAM!$B$5&amp;".in.enp.stl.scr.gso",input_data!$A:$A,0))</f>
        <v>0</v>
      </c>
      <c r="N62" s="385">
        <f>N48*INDEX(input_data!$L:$L,MATCH(CBAM!$B$5&amp;".in.enp.stl.scr.gso",input_data!$A:$A,0))</f>
        <v>0</v>
      </c>
      <c r="O62" s="385">
        <f>O48*INDEX(input_data!$L:$L,MATCH(CBAM!$B$5&amp;".in.enp.stl.scr.gso",input_data!$A:$A,0))</f>
        <v>0</v>
      </c>
      <c r="P62" s="385">
        <f>P48*INDEX(input_data!$L:$L,MATCH(CBAM!$B$5&amp;".in.enp.stl.scr.gso",input_data!$A:$A,0))</f>
        <v>0</v>
      </c>
      <c r="Q62" s="385">
        <f>Q48*INDEX(input_data!$L:$L,MATCH(CBAM!$B$5&amp;".in.enp.stl.scr.gso",input_data!$A:$A,0))</f>
        <v>0</v>
      </c>
      <c r="R62" s="385">
        <f>R48*INDEX(input_data!$L:$L,MATCH(CBAM!$B$5&amp;".in.enp.stl.scr.gso",input_data!$A:$A,0))</f>
        <v>0</v>
      </c>
      <c r="S62" s="385">
        <f>S48*INDEX(input_data!$L:$L,MATCH(CBAM!$B$5&amp;".in.enp.stl.scr.gso",input_data!$A:$A,0))</f>
        <v>0</v>
      </c>
      <c r="T62" s="385">
        <f>T48*INDEX(input_data!$L:$L,MATCH(CBAM!$B$5&amp;".in.enp.stl.scr.gso",input_data!$A:$A,0))</f>
        <v>0</v>
      </c>
      <c r="U62" s="385">
        <f>U48*INDEX(input_data!$L:$L,MATCH(CBAM!$B$5&amp;".in.enp.stl.scr.gso",input_data!$A:$A,0))</f>
        <v>0</v>
      </c>
      <c r="V62" s="385">
        <f>V48*INDEX(input_data!$L:$L,MATCH(CBAM!$B$5&amp;".in.enp.stl.scr.gso",input_data!$A:$A,0))</f>
        <v>0</v>
      </c>
      <c r="W62" s="385">
        <f>W48*INDEX(input_data!$L:$L,MATCH(CBAM!$B$5&amp;".in.enp.stl.scr.gso",input_data!$A:$A,0))</f>
        <v>0</v>
      </c>
      <c r="X62" s="385">
        <f>X48*INDEX(input_data!$L:$L,MATCH(CBAM!$B$5&amp;".in.enp.stl.scr.gso",input_data!$A:$A,0))</f>
        <v>0</v>
      </c>
    </row>
    <row r="63" spans="1:24" ht="15" customHeight="1" x14ac:dyDescent="0.25">
      <c r="A63" s="380" t="str">
        <f>CBAM!$B$5&amp;".pj.enp.stl.scr.die"</f>
        <v>egy.pj.enp.stl.scr.die</v>
      </c>
      <c r="B63" s="380" t="str">
        <f>CBAM!$B$5</f>
        <v>egy</v>
      </c>
      <c r="C63" s="380" t="s">
        <v>1275</v>
      </c>
      <c r="D63" s="380" t="s">
        <v>1328</v>
      </c>
      <c r="E63" s="380" t="s">
        <v>322</v>
      </c>
      <c r="F63" s="380" t="s">
        <v>1361</v>
      </c>
      <c r="G63" s="380" t="s">
        <v>762</v>
      </c>
      <c r="H63" s="380" t="s">
        <v>1377</v>
      </c>
      <c r="I63" s="380" t="s">
        <v>1319</v>
      </c>
      <c r="J63" s="380" t="s">
        <v>1330</v>
      </c>
      <c r="K63" s="380"/>
      <c r="L63" s="380"/>
      <c r="M63" s="385">
        <f>M48*INDEX(input_data!$L:$L,MATCH(CBAM!$B$5&amp;".in.enp.stl.scr.die",input_data!$A:$A,0))</f>
        <v>0</v>
      </c>
      <c r="N63" s="385">
        <f>N48*INDEX(input_data!$L:$L,MATCH(CBAM!$B$5&amp;".in.enp.stl.scr.die",input_data!$A:$A,0))</f>
        <v>0</v>
      </c>
      <c r="O63" s="385">
        <f>O48*INDEX(input_data!$L:$L,MATCH(CBAM!$B$5&amp;".in.enp.stl.scr.die",input_data!$A:$A,0))</f>
        <v>0</v>
      </c>
      <c r="P63" s="385">
        <f>P48*INDEX(input_data!$L:$L,MATCH(CBAM!$B$5&amp;".in.enp.stl.scr.die",input_data!$A:$A,0))</f>
        <v>0</v>
      </c>
      <c r="Q63" s="385">
        <f>Q48*INDEX(input_data!$L:$L,MATCH(CBAM!$B$5&amp;".in.enp.stl.scr.die",input_data!$A:$A,0))</f>
        <v>0</v>
      </c>
      <c r="R63" s="385">
        <f>R48*INDEX(input_data!$L:$L,MATCH(CBAM!$B$5&amp;".in.enp.stl.scr.die",input_data!$A:$A,0))</f>
        <v>0</v>
      </c>
      <c r="S63" s="385">
        <f>S48*INDEX(input_data!$L:$L,MATCH(CBAM!$B$5&amp;".in.enp.stl.scr.die",input_data!$A:$A,0))</f>
        <v>0</v>
      </c>
      <c r="T63" s="385">
        <f>T48*INDEX(input_data!$L:$L,MATCH(CBAM!$B$5&amp;".in.enp.stl.scr.die",input_data!$A:$A,0))</f>
        <v>0</v>
      </c>
      <c r="U63" s="385">
        <f>U48*INDEX(input_data!$L:$L,MATCH(CBAM!$B$5&amp;".in.enp.stl.scr.die",input_data!$A:$A,0))</f>
        <v>0</v>
      </c>
      <c r="V63" s="385">
        <f>V48*INDEX(input_data!$L:$L,MATCH(CBAM!$B$5&amp;".in.enp.stl.scr.die",input_data!$A:$A,0))</f>
        <v>0</v>
      </c>
      <c r="W63" s="385">
        <f>W48*INDEX(input_data!$L:$L,MATCH(CBAM!$B$5&amp;".in.enp.stl.scr.die",input_data!$A:$A,0))</f>
        <v>0</v>
      </c>
      <c r="X63" s="385">
        <f>X48*INDEX(input_data!$L:$L,MATCH(CBAM!$B$5&amp;".in.enp.stl.scr.die",input_data!$A:$A,0))</f>
        <v>0</v>
      </c>
    </row>
    <row r="64" spans="1:24" ht="15" customHeight="1" x14ac:dyDescent="0.25">
      <c r="A64" s="380" t="str">
        <f>CBAM!$B$5&amp;".pj.enp.stl.scr.ker"</f>
        <v>egy.pj.enp.stl.scr.ker</v>
      </c>
      <c r="B64" s="380" t="str">
        <f>CBAM!$B$5</f>
        <v>egy</v>
      </c>
      <c r="C64" s="380" t="s">
        <v>1275</v>
      </c>
      <c r="D64" s="380" t="s">
        <v>1328</v>
      </c>
      <c r="E64" s="380" t="s">
        <v>322</v>
      </c>
      <c r="F64" s="380" t="s">
        <v>1361</v>
      </c>
      <c r="G64" s="380" t="s">
        <v>1295</v>
      </c>
      <c r="H64" s="380" t="s">
        <v>1378</v>
      </c>
      <c r="I64" s="380" t="s">
        <v>1319</v>
      </c>
      <c r="J64" s="380" t="s">
        <v>1330</v>
      </c>
      <c r="K64" s="380"/>
      <c r="L64" s="380"/>
      <c r="M64" s="385">
        <f>M48*INDEX(input_data!$L:$L,MATCH(CBAM!$B$5&amp;".in.enp.stl.scr.ker",input_data!$A:$A,0))</f>
        <v>0</v>
      </c>
      <c r="N64" s="385">
        <f>N48*INDEX(input_data!$L:$L,MATCH(CBAM!$B$5&amp;".in.enp.stl.scr.ker",input_data!$A:$A,0))</f>
        <v>0</v>
      </c>
      <c r="O64" s="385">
        <f>O48*INDEX(input_data!$L:$L,MATCH(CBAM!$B$5&amp;".in.enp.stl.scr.ker",input_data!$A:$A,0))</f>
        <v>0</v>
      </c>
      <c r="P64" s="385">
        <f>P48*INDEX(input_data!$L:$L,MATCH(CBAM!$B$5&amp;".in.enp.stl.scr.ker",input_data!$A:$A,0))</f>
        <v>0</v>
      </c>
      <c r="Q64" s="385">
        <f>Q48*INDEX(input_data!$L:$L,MATCH(CBAM!$B$5&amp;".in.enp.stl.scr.ker",input_data!$A:$A,0))</f>
        <v>0</v>
      </c>
      <c r="R64" s="385">
        <f>R48*INDEX(input_data!$L:$L,MATCH(CBAM!$B$5&amp;".in.enp.stl.scr.ker",input_data!$A:$A,0))</f>
        <v>0</v>
      </c>
      <c r="S64" s="385">
        <f>S48*INDEX(input_data!$L:$L,MATCH(CBAM!$B$5&amp;".in.enp.stl.scr.ker",input_data!$A:$A,0))</f>
        <v>0</v>
      </c>
      <c r="T64" s="385">
        <f>T48*INDEX(input_data!$L:$L,MATCH(CBAM!$B$5&amp;".in.enp.stl.scr.ker",input_data!$A:$A,0))</f>
        <v>0</v>
      </c>
      <c r="U64" s="385">
        <f>U48*INDEX(input_data!$L:$L,MATCH(CBAM!$B$5&amp;".in.enp.stl.scr.ker",input_data!$A:$A,0))</f>
        <v>0</v>
      </c>
      <c r="V64" s="385">
        <f>V48*INDEX(input_data!$L:$L,MATCH(CBAM!$B$5&amp;".in.enp.stl.scr.ker",input_data!$A:$A,0))</f>
        <v>0</v>
      </c>
      <c r="W64" s="385">
        <f>W48*INDEX(input_data!$L:$L,MATCH(CBAM!$B$5&amp;".in.enp.stl.scr.ker",input_data!$A:$A,0))</f>
        <v>0</v>
      </c>
      <c r="X64" s="385">
        <f>X48*INDEX(input_data!$L:$L,MATCH(CBAM!$B$5&amp;".in.enp.stl.scr.ker",input_data!$A:$A,0))</f>
        <v>0</v>
      </c>
    </row>
    <row r="65" spans="1:24" ht="15" customHeight="1" x14ac:dyDescent="0.25">
      <c r="A65" s="380" t="str">
        <f>CBAM!$B$5&amp;".pj.enp.stl.scr.lpg"</f>
        <v>egy.pj.enp.stl.scr.lpg</v>
      </c>
      <c r="B65" s="380" t="str">
        <f>CBAM!$B$5</f>
        <v>egy</v>
      </c>
      <c r="C65" s="380" t="s">
        <v>1275</v>
      </c>
      <c r="D65" s="380" t="s">
        <v>1328</v>
      </c>
      <c r="E65" s="380" t="s">
        <v>322</v>
      </c>
      <c r="F65" s="380" t="s">
        <v>1361</v>
      </c>
      <c r="G65" s="380" t="s">
        <v>1297</v>
      </c>
      <c r="H65" s="380" t="s">
        <v>1379</v>
      </c>
      <c r="I65" s="380" t="s">
        <v>1319</v>
      </c>
      <c r="J65" s="380" t="s">
        <v>1330</v>
      </c>
      <c r="K65" s="380"/>
      <c r="L65" s="380"/>
      <c r="M65" s="385">
        <f>M48*INDEX(input_data!$L:$L,MATCH(CBAM!$B$5&amp;".in.enp.stl.scr.lpg",input_data!$A:$A,0))</f>
        <v>0</v>
      </c>
      <c r="N65" s="385">
        <f>N48*INDEX(input_data!$L:$L,MATCH(CBAM!$B$5&amp;".in.enp.stl.scr.lpg",input_data!$A:$A,0))</f>
        <v>0</v>
      </c>
      <c r="O65" s="385">
        <f>O48*INDEX(input_data!$L:$L,MATCH(CBAM!$B$5&amp;".in.enp.stl.scr.lpg",input_data!$A:$A,0))</f>
        <v>0</v>
      </c>
      <c r="P65" s="385">
        <f>P48*INDEX(input_data!$L:$L,MATCH(CBAM!$B$5&amp;".in.enp.stl.scr.lpg",input_data!$A:$A,0))</f>
        <v>0</v>
      </c>
      <c r="Q65" s="385">
        <f>Q48*INDEX(input_data!$L:$L,MATCH(CBAM!$B$5&amp;".in.enp.stl.scr.lpg",input_data!$A:$A,0))</f>
        <v>0</v>
      </c>
      <c r="R65" s="385">
        <f>R48*INDEX(input_data!$L:$L,MATCH(CBAM!$B$5&amp;".in.enp.stl.scr.lpg",input_data!$A:$A,0))</f>
        <v>0</v>
      </c>
      <c r="S65" s="385">
        <f>S48*INDEX(input_data!$L:$L,MATCH(CBAM!$B$5&amp;".in.enp.stl.scr.lpg",input_data!$A:$A,0))</f>
        <v>0</v>
      </c>
      <c r="T65" s="385">
        <f>T48*INDEX(input_data!$L:$L,MATCH(CBAM!$B$5&amp;".in.enp.stl.scr.lpg",input_data!$A:$A,0))</f>
        <v>0</v>
      </c>
      <c r="U65" s="385">
        <f>U48*INDEX(input_data!$L:$L,MATCH(CBAM!$B$5&amp;".in.enp.stl.scr.lpg",input_data!$A:$A,0))</f>
        <v>0</v>
      </c>
      <c r="V65" s="385">
        <f>V48*INDEX(input_data!$L:$L,MATCH(CBAM!$B$5&amp;".in.enp.stl.scr.lpg",input_data!$A:$A,0))</f>
        <v>0</v>
      </c>
      <c r="W65" s="385">
        <f>W48*INDEX(input_data!$L:$L,MATCH(CBAM!$B$5&amp;".in.enp.stl.scr.lpg",input_data!$A:$A,0))</f>
        <v>0</v>
      </c>
      <c r="X65" s="385">
        <f>X48*INDEX(input_data!$L:$L,MATCH(CBAM!$B$5&amp;".in.enp.stl.scr.lpg",input_data!$A:$A,0))</f>
        <v>0</v>
      </c>
    </row>
    <row r="66" spans="1:24" ht="15" customHeight="1" x14ac:dyDescent="0.25">
      <c r="A66" s="380" t="str">
        <f>CBAM!$B$5&amp;".pj.enp.stl.scr.bio"</f>
        <v>egy.pj.enp.stl.scr.bio</v>
      </c>
      <c r="B66" s="380" t="str">
        <f>CBAM!$B$5</f>
        <v>egy</v>
      </c>
      <c r="C66" s="380" t="s">
        <v>1275</v>
      </c>
      <c r="D66" s="380" t="s">
        <v>1328</v>
      </c>
      <c r="E66" s="380" t="s">
        <v>322</v>
      </c>
      <c r="F66" s="380" t="s">
        <v>1361</v>
      </c>
      <c r="G66" s="380" t="s">
        <v>1299</v>
      </c>
      <c r="H66" s="380" t="s">
        <v>1380</v>
      </c>
      <c r="I66" s="380" t="s">
        <v>1319</v>
      </c>
      <c r="J66" s="380" t="s">
        <v>1330</v>
      </c>
      <c r="K66" s="380"/>
      <c r="L66" s="380"/>
      <c r="M66" s="385">
        <f>M48*INDEX(input_data!$L:$L,MATCH(CBAM!$B$5&amp;".in.enp.stl.scr.bio",input_data!$A:$A,0))</f>
        <v>0</v>
      </c>
      <c r="N66" s="385">
        <f>N48*INDEX(input_data!$L:$L,MATCH(CBAM!$B$5&amp;".in.enp.stl.scr.bio",input_data!$A:$A,0))</f>
        <v>0</v>
      </c>
      <c r="O66" s="385">
        <f>O48*INDEX(input_data!$L:$L,MATCH(CBAM!$B$5&amp;".in.enp.stl.scr.bio",input_data!$A:$A,0))</f>
        <v>0</v>
      </c>
      <c r="P66" s="385">
        <f>P48*INDEX(input_data!$L:$L,MATCH(CBAM!$B$5&amp;".in.enp.stl.scr.bio",input_data!$A:$A,0))</f>
        <v>0</v>
      </c>
      <c r="Q66" s="385">
        <f>Q48*INDEX(input_data!$L:$L,MATCH(CBAM!$B$5&amp;".in.enp.stl.scr.bio",input_data!$A:$A,0))</f>
        <v>0</v>
      </c>
      <c r="R66" s="385">
        <f>R48*INDEX(input_data!$L:$L,MATCH(CBAM!$B$5&amp;".in.enp.stl.scr.bio",input_data!$A:$A,0))</f>
        <v>0</v>
      </c>
      <c r="S66" s="385">
        <f>S48*INDEX(input_data!$L:$L,MATCH(CBAM!$B$5&amp;".in.enp.stl.scr.bio",input_data!$A:$A,0))</f>
        <v>0</v>
      </c>
      <c r="T66" s="385">
        <f>T48*INDEX(input_data!$L:$L,MATCH(CBAM!$B$5&amp;".in.enp.stl.scr.bio",input_data!$A:$A,0))</f>
        <v>0</v>
      </c>
      <c r="U66" s="385">
        <f>U48*INDEX(input_data!$L:$L,MATCH(CBAM!$B$5&amp;".in.enp.stl.scr.bio",input_data!$A:$A,0))</f>
        <v>0</v>
      </c>
      <c r="V66" s="385">
        <f>V48*INDEX(input_data!$L:$L,MATCH(CBAM!$B$5&amp;".in.enp.stl.scr.bio",input_data!$A:$A,0))</f>
        <v>0</v>
      </c>
      <c r="W66" s="385">
        <f>W48*INDEX(input_data!$L:$L,MATCH(CBAM!$B$5&amp;".in.enp.stl.scr.bio",input_data!$A:$A,0))</f>
        <v>0</v>
      </c>
      <c r="X66" s="385">
        <f>X48*INDEX(input_data!$L:$L,MATCH(CBAM!$B$5&amp;".in.enp.stl.scr.bio",input_data!$A:$A,0))</f>
        <v>0</v>
      </c>
    </row>
    <row r="67" spans="1:24" ht="15" customHeight="1" x14ac:dyDescent="0.25">
      <c r="A67" s="380" t="str">
        <f>CBAM!$B$5&amp;".pj.enp.stl.scr.ren"</f>
        <v>egy.pj.enp.stl.scr.ren</v>
      </c>
      <c r="B67" s="380" t="str">
        <f>CBAM!$B$5</f>
        <v>egy</v>
      </c>
      <c r="C67" s="380" t="s">
        <v>1275</v>
      </c>
      <c r="D67" s="380" t="s">
        <v>1328</v>
      </c>
      <c r="E67" s="380" t="s">
        <v>322</v>
      </c>
      <c r="F67" s="380" t="s">
        <v>1361</v>
      </c>
      <c r="G67" s="380" t="s">
        <v>1301</v>
      </c>
      <c r="H67" s="380" t="s">
        <v>1381</v>
      </c>
      <c r="I67" s="380" t="s">
        <v>1319</v>
      </c>
      <c r="J67" s="380" t="s">
        <v>1330</v>
      </c>
      <c r="K67" s="380"/>
      <c r="L67" s="380"/>
      <c r="M67" s="385">
        <f>M48*INDEX(input_data!$L:$L,MATCH(CBAM!$B$5&amp;".in.enp.stl.scr.ren",input_data!$A:$A,0))</f>
        <v>0</v>
      </c>
      <c r="N67" s="385">
        <f>N48*INDEX(input_data!$L:$L,MATCH(CBAM!$B$5&amp;".in.enp.stl.scr.ren",input_data!$A:$A,0))</f>
        <v>0</v>
      </c>
      <c r="O67" s="385">
        <f>O48*INDEX(input_data!$L:$L,MATCH(CBAM!$B$5&amp;".in.enp.stl.scr.ren",input_data!$A:$A,0))</f>
        <v>0</v>
      </c>
      <c r="P67" s="385">
        <f>P48*INDEX(input_data!$L:$L,MATCH(CBAM!$B$5&amp;".in.enp.stl.scr.ren",input_data!$A:$A,0))</f>
        <v>0</v>
      </c>
      <c r="Q67" s="385">
        <f>Q48*INDEX(input_data!$L:$L,MATCH(CBAM!$B$5&amp;".in.enp.stl.scr.ren",input_data!$A:$A,0))</f>
        <v>0</v>
      </c>
      <c r="R67" s="385">
        <f>R48*INDEX(input_data!$L:$L,MATCH(CBAM!$B$5&amp;".in.enp.stl.scr.ren",input_data!$A:$A,0))</f>
        <v>0</v>
      </c>
      <c r="S67" s="385">
        <f>S48*INDEX(input_data!$L:$L,MATCH(CBAM!$B$5&amp;".in.enp.stl.scr.ren",input_data!$A:$A,0))</f>
        <v>0</v>
      </c>
      <c r="T67" s="385">
        <f>T48*INDEX(input_data!$L:$L,MATCH(CBAM!$B$5&amp;".in.enp.stl.scr.ren",input_data!$A:$A,0))</f>
        <v>0</v>
      </c>
      <c r="U67" s="385">
        <f>U48*INDEX(input_data!$L:$L,MATCH(CBAM!$B$5&amp;".in.enp.stl.scr.ren",input_data!$A:$A,0))</f>
        <v>0</v>
      </c>
      <c r="V67" s="385">
        <f>V48*INDEX(input_data!$L:$L,MATCH(CBAM!$B$5&amp;".in.enp.stl.scr.ren",input_data!$A:$A,0))</f>
        <v>0</v>
      </c>
      <c r="W67" s="385">
        <f>W48*INDEX(input_data!$L:$L,MATCH(CBAM!$B$5&amp;".in.enp.stl.scr.ren",input_data!$A:$A,0))</f>
        <v>0</v>
      </c>
      <c r="X67" s="385">
        <f>X48*INDEX(input_data!$L:$L,MATCH(CBAM!$B$5&amp;".in.enp.stl.scr.ren",input_data!$A:$A,0))</f>
        <v>0</v>
      </c>
    </row>
    <row r="68" spans="1:24" ht="15" customHeight="1" x14ac:dyDescent="0.25">
      <c r="A68" s="380" t="str">
        <f>CBAM!$B$5&amp;".pj.ele.stl.scr.elc"</f>
        <v>egy.pj.ele.stl.scr.elc</v>
      </c>
      <c r="B68" s="380" t="str">
        <f>CBAM!$B$5</f>
        <v>egy</v>
      </c>
      <c r="C68" s="380" t="s">
        <v>1275</v>
      </c>
      <c r="D68" s="380" t="s">
        <v>1338</v>
      </c>
      <c r="E68" s="380" t="s">
        <v>322</v>
      </c>
      <c r="F68" s="380" t="s">
        <v>1361</v>
      </c>
      <c r="G68" s="380" t="s">
        <v>1339</v>
      </c>
      <c r="H68" s="380" t="s">
        <v>1382</v>
      </c>
      <c r="I68" s="380" t="s">
        <v>1319</v>
      </c>
      <c r="J68" s="380" t="s">
        <v>1341</v>
      </c>
      <c r="K68" s="380"/>
      <c r="L68" s="380"/>
      <c r="M68" s="385">
        <f>M48*INDEX(input_data!$L:$L,MATCH(CBAM!$B$5&amp;".in.ele.stl.scr.elc",input_data!$A:$A,0))</f>
        <v>9.16</v>
      </c>
      <c r="N68" s="385">
        <f>N48*INDEX(input_data!$L:$L,MATCH(CBAM!$B$5&amp;".in.ele.stl.scr.elc",input_data!$A:$A,0))</f>
        <v>9.5608706226199551</v>
      </c>
      <c r="O68" s="385">
        <f>O48*INDEX(input_data!$L:$L,MATCH(CBAM!$B$5&amp;".in.ele.stl.scr.elc",input_data!$A:$A,0))</f>
        <v>9.9792846138075664</v>
      </c>
      <c r="P68" s="385">
        <f>P48*INDEX(input_data!$L:$L,MATCH(CBAM!$B$5&amp;".in.ele.stl.scr.elc",input_data!$A:$A,0))</f>
        <v>10.416009726955902</v>
      </c>
      <c r="Q68" s="385">
        <f>Q48*INDEX(input_data!$L:$L,MATCH(CBAM!$B$5&amp;".in.ele.stl.scr.elc",input_data!$A:$A,0))</f>
        <v>10.871847314779084</v>
      </c>
      <c r="R68" s="385">
        <f>R48*INDEX(input_data!$L:$L,MATCH(CBAM!$B$5&amp;".in.ele.stl.scr.elc",input_data!$A:$A,0))</f>
        <v>11.347633799724999</v>
      </c>
      <c r="S68" s="385">
        <f>S48*INDEX(input_data!$L:$L,MATCH(CBAM!$B$5&amp;".in.ele.stl.scr.elc",input_data!$A:$A,0))</f>
        <v>11.844242208737992</v>
      </c>
      <c r="T68" s="385">
        <f>T48*INDEX(input_data!$L:$L,MATCH(CBAM!$B$5&amp;".in.ele.stl.scr.elc",input_data!$A:$A,0))</f>
        <v>12.362583775187595</v>
      </c>
      <c r="U68" s="385">
        <f>U48*INDEX(input_data!$L:$L,MATCH(CBAM!$B$5&amp;".in.ele.stl.scr.elc",input_data!$A:$A,0))</f>
        <v>12.903609610902748</v>
      </c>
      <c r="V68" s="385">
        <f>V48*INDEX(input_data!$L:$L,MATCH(CBAM!$B$5&amp;".in.ele.stl.scr.elc",input_data!$A:$A,0))</f>
        <v>13.468312451379541</v>
      </c>
      <c r="W68" s="385">
        <f>W48*INDEX(input_data!$L:$L,MATCH(CBAM!$B$5&amp;".in.ele.stl.scr.elc",input_data!$A:$A,0))</f>
        <v>14.05772847736476</v>
      </c>
      <c r="X68" s="385">
        <f>X48*INDEX(input_data!$L:$L,MATCH(CBAM!$B$5&amp;".in.ele.stl.scr.elc",input_data!$A:$A,0))</f>
        <v>14.672939216157721</v>
      </c>
    </row>
    <row r="69" spans="1:24" ht="15" customHeight="1" x14ac:dyDescent="0.25">
      <c r="A69" s="380" t="str">
        <f>CBAM!$B$5&amp;".em.sfc.stl.scr.---"</f>
        <v>egy.em.sfc.stl.scr.---</v>
      </c>
      <c r="B69" s="380" t="str">
        <f>CBAM!$B$5</f>
        <v>egy</v>
      </c>
      <c r="C69" s="380" t="s">
        <v>1342</v>
      </c>
      <c r="D69" s="380" t="s">
        <v>1343</v>
      </c>
      <c r="E69" s="380" t="s">
        <v>322</v>
      </c>
      <c r="F69" s="380" t="s">
        <v>1361</v>
      </c>
      <c r="G69" s="380" t="s">
        <v>1277</v>
      </c>
      <c r="H69" s="380" t="s">
        <v>1383</v>
      </c>
      <c r="I69" s="380" t="s">
        <v>1345</v>
      </c>
      <c r="J69" s="380" t="s">
        <v>1346</v>
      </c>
      <c r="K69" s="380"/>
      <c r="L69" s="380"/>
      <c r="M69" s="385">
        <f t="shared" ref="M69:X69" si="3">SUMPRODUCT(M52:M59,M10:M17)/1000</f>
        <v>0.64234500000000005</v>
      </c>
      <c r="N69" s="385">
        <f t="shared" si="3"/>
        <v>0.67045605241122441</v>
      </c>
      <c r="O69" s="385">
        <f t="shared" si="3"/>
        <v>0.69979733354325557</v>
      </c>
      <c r="P69" s="385">
        <f t="shared" si="3"/>
        <v>0.73042268210278272</v>
      </c>
      <c r="Q69" s="385">
        <f t="shared" si="3"/>
        <v>0.76238829294888322</v>
      </c>
      <c r="R69" s="385">
        <f t="shared" si="3"/>
        <v>0.79575282020571569</v>
      </c>
      <c r="S69" s="385">
        <f t="shared" si="3"/>
        <v>0.83057748488775174</v>
      </c>
      <c r="T69" s="385">
        <f t="shared" si="3"/>
        <v>0.86692618723503001</v>
      </c>
      <c r="U69" s="385">
        <f t="shared" si="3"/>
        <v>0.90486562396455517</v>
      </c>
      <c r="V69" s="385">
        <f t="shared" si="3"/>
        <v>0.94446541065299028</v>
      </c>
      <c r="W69" s="385">
        <f t="shared" si="3"/>
        <v>0.9857982094752038</v>
      </c>
      <c r="X69" s="385">
        <f t="shared" si="3"/>
        <v>1.0289398625330604</v>
      </c>
    </row>
    <row r="70" spans="1:24" ht="15" customHeight="1" x14ac:dyDescent="0.25">
      <c r="A70" s="380" t="str">
        <f>CBAM!$B$5&amp;".em.sfp.stl.scr.---"</f>
        <v>egy.em.sfp.stl.scr.---</v>
      </c>
      <c r="B70" s="380" t="str">
        <f>CBAM!$B$5</f>
        <v>egy</v>
      </c>
      <c r="C70" s="380" t="s">
        <v>1342</v>
      </c>
      <c r="D70" s="380" t="s">
        <v>1347</v>
      </c>
      <c r="E70" s="380" t="s">
        <v>322</v>
      </c>
      <c r="F70" s="380" t="s">
        <v>1361</v>
      </c>
      <c r="G70" s="380" t="s">
        <v>1277</v>
      </c>
      <c r="H70" s="380" t="s">
        <v>1384</v>
      </c>
      <c r="I70" s="380" t="s">
        <v>1345</v>
      </c>
      <c r="J70" s="380" t="s">
        <v>1349</v>
      </c>
      <c r="K70" s="380"/>
      <c r="L70" s="380"/>
      <c r="M70" s="385">
        <f t="shared" ref="M70:X70" si="4">SUMPRODUCT(M60:M67,M10:M17)/1000</f>
        <v>0</v>
      </c>
      <c r="N70" s="385">
        <f t="shared" si="4"/>
        <v>0</v>
      </c>
      <c r="O70" s="385">
        <f t="shared" si="4"/>
        <v>0</v>
      </c>
      <c r="P70" s="385">
        <f t="shared" si="4"/>
        <v>0</v>
      </c>
      <c r="Q70" s="385">
        <f t="shared" si="4"/>
        <v>0</v>
      </c>
      <c r="R70" s="385">
        <f t="shared" si="4"/>
        <v>0</v>
      </c>
      <c r="S70" s="385">
        <f t="shared" si="4"/>
        <v>0</v>
      </c>
      <c r="T70" s="385">
        <f t="shared" si="4"/>
        <v>0</v>
      </c>
      <c r="U70" s="385">
        <f t="shared" si="4"/>
        <v>0</v>
      </c>
      <c r="V70" s="385">
        <f t="shared" si="4"/>
        <v>0</v>
      </c>
      <c r="W70" s="385">
        <f t="shared" si="4"/>
        <v>0</v>
      </c>
      <c r="X70" s="385">
        <f t="shared" si="4"/>
        <v>0</v>
      </c>
    </row>
    <row r="71" spans="1:24" ht="15" customHeight="1" x14ac:dyDescent="0.25">
      <c r="A71" s="380" t="str">
        <f>CBAM!$B$5&amp;".em.snp.stl.scr.---"</f>
        <v>egy.em.snp.stl.scr.---</v>
      </c>
      <c r="B71" s="380" t="str">
        <f>CBAM!$B$5</f>
        <v>egy</v>
      </c>
      <c r="C71" s="380" t="s">
        <v>1342</v>
      </c>
      <c r="D71" s="380" t="s">
        <v>1350</v>
      </c>
      <c r="E71" s="380" t="s">
        <v>322</v>
      </c>
      <c r="F71" s="380" t="s">
        <v>1361</v>
      </c>
      <c r="G71" s="380" t="s">
        <v>1277</v>
      </c>
      <c r="H71" s="380" t="s">
        <v>1385</v>
      </c>
      <c r="I71" s="380" t="s">
        <v>1345</v>
      </c>
      <c r="J71" s="380" t="s">
        <v>1352</v>
      </c>
      <c r="K71" s="380"/>
      <c r="L71" s="380"/>
      <c r="M71" s="385">
        <f>M48*INDEX(input_data!$L:$L,MATCH(CBAM!$B$5&amp;".in.efn.stl.scr.---",input_data!$A:$A,0))</f>
        <v>6.8699999999999997E-2</v>
      </c>
      <c r="N71" s="385">
        <f>N48*INDEX(input_data!$L:$L,MATCH(CBAM!$B$5&amp;".in.efn.stl.scr.---",input_data!$A:$A,0))</f>
        <v>7.170652966964966E-2</v>
      </c>
      <c r="O71" s="385">
        <f>O48*INDEX(input_data!$L:$L,MATCH(CBAM!$B$5&amp;".in.efn.stl.scr.---",input_data!$A:$A,0))</f>
        <v>7.4844634603556739E-2</v>
      </c>
      <c r="P71" s="385">
        <f>P48*INDEX(input_data!$L:$L,MATCH(CBAM!$B$5&amp;".in.efn.stl.scr.---",input_data!$A:$A,0))</f>
        <v>7.8120072952169259E-2</v>
      </c>
      <c r="Q71" s="385">
        <f>Q48*INDEX(input_data!$L:$L,MATCH(CBAM!$B$5&amp;".in.efn.stl.scr.---",input_data!$A:$A,0))</f>
        <v>8.1538854860843127E-2</v>
      </c>
      <c r="R71" s="385">
        <f>R48*INDEX(input_data!$L:$L,MATCH(CBAM!$B$5&amp;".in.efn.stl.scr.---",input_data!$A:$A,0))</f>
        <v>8.5107253497937491E-2</v>
      </c>
      <c r="S71" s="385">
        <f>S48*INDEX(input_data!$L:$L,MATCH(CBAM!$B$5&amp;".in.efn.stl.scr.---",input_data!$A:$A,0))</f>
        <v>8.8831816565534932E-2</v>
      </c>
      <c r="T71" s="385">
        <f>T48*INDEX(input_data!$L:$L,MATCH(CBAM!$B$5&amp;".in.efn.stl.scr.---",input_data!$A:$A,0))</f>
        <v>9.2719378313906961E-2</v>
      </c>
      <c r="U71" s="385">
        <f>U48*INDEX(input_data!$L:$L,MATCH(CBAM!$B$5&amp;".in.efn.stl.scr.---",input_data!$A:$A,0))</f>
        <v>9.677707208177061E-2</v>
      </c>
      <c r="V71" s="385">
        <f>V48*INDEX(input_data!$L:$L,MATCH(CBAM!$B$5&amp;".in.efn.stl.scr.---",input_data!$A:$A,0))</f>
        <v>0.10101234338534655</v>
      </c>
      <c r="W71" s="385">
        <f>W48*INDEX(input_data!$L:$L,MATCH(CBAM!$B$5&amp;".in.efn.stl.scr.---",input_data!$A:$A,0))</f>
        <v>0.1054329635802357</v>
      </c>
      <c r="X71" s="385">
        <f>X48*INDEX(input_data!$L:$L,MATCH(CBAM!$B$5&amp;".in.efn.stl.scr.---",input_data!$A:$A,0))</f>
        <v>0.11004704412118289</v>
      </c>
    </row>
    <row r="72" spans="1:24" ht="15" customHeight="1" x14ac:dyDescent="0.25">
      <c r="A72" s="380" t="str">
        <f>CBAM!$B$5&amp;".em.sno.stl.scr.---"</f>
        <v>egy.em.sno.stl.scr.---</v>
      </c>
      <c r="B72" s="380" t="str">
        <f>CBAM!$B$5</f>
        <v>egy</v>
      </c>
      <c r="C72" s="380" t="s">
        <v>1342</v>
      </c>
      <c r="D72" s="380" t="s">
        <v>1353</v>
      </c>
      <c r="E72" s="380" t="s">
        <v>322</v>
      </c>
      <c r="F72" s="380" t="s">
        <v>1361</v>
      </c>
      <c r="G72" s="380" t="s">
        <v>1277</v>
      </c>
      <c r="H72" s="380" t="s">
        <v>1386</v>
      </c>
      <c r="I72" s="380" t="s">
        <v>1355</v>
      </c>
      <c r="J72" s="380" t="s">
        <v>1356</v>
      </c>
      <c r="K72" s="380"/>
      <c r="L72" s="380"/>
      <c r="M72" s="385">
        <f>M48*INDEX(input_data!$L:$L,MATCH(CBAM!$B$5&amp;".in.efo.stl.scr.---",input_data!$A:$A,0))</f>
        <v>0</v>
      </c>
      <c r="N72" s="385">
        <f>N48*INDEX(input_data!$L:$L,MATCH(CBAM!$B$5&amp;".in.efo.stl.scr.---",input_data!$A:$A,0))</f>
        <v>0</v>
      </c>
      <c r="O72" s="385">
        <f>O48*INDEX(input_data!$L:$L,MATCH(CBAM!$B$5&amp;".in.efo.stl.scr.---",input_data!$A:$A,0))</f>
        <v>0</v>
      </c>
      <c r="P72" s="385">
        <f>P48*INDEX(input_data!$L:$L,MATCH(CBAM!$B$5&amp;".in.efo.stl.scr.---",input_data!$A:$A,0))</f>
        <v>0</v>
      </c>
      <c r="Q72" s="385">
        <f>Q48*INDEX(input_data!$L:$L,MATCH(CBAM!$B$5&amp;".in.efo.stl.scr.---",input_data!$A:$A,0))</f>
        <v>0</v>
      </c>
      <c r="R72" s="385">
        <f>R48*INDEX(input_data!$L:$L,MATCH(CBAM!$B$5&amp;".in.efo.stl.scr.---",input_data!$A:$A,0))</f>
        <v>0</v>
      </c>
      <c r="S72" s="385">
        <f>S48*INDEX(input_data!$L:$L,MATCH(CBAM!$B$5&amp;".in.efo.stl.scr.---",input_data!$A:$A,0))</f>
        <v>0</v>
      </c>
      <c r="T72" s="385">
        <f>T48*INDEX(input_data!$L:$L,MATCH(CBAM!$B$5&amp;".in.efo.stl.scr.---",input_data!$A:$A,0))</f>
        <v>0</v>
      </c>
      <c r="U72" s="385">
        <f>U48*INDEX(input_data!$L:$L,MATCH(CBAM!$B$5&amp;".in.efo.stl.scr.---",input_data!$A:$A,0))</f>
        <v>0</v>
      </c>
      <c r="V72" s="385">
        <f>V48*INDEX(input_data!$L:$L,MATCH(CBAM!$B$5&amp;".in.efo.stl.scr.---",input_data!$A:$A,0))</f>
        <v>0</v>
      </c>
      <c r="W72" s="385">
        <f>W48*INDEX(input_data!$L:$L,MATCH(CBAM!$B$5&amp;".in.efo.stl.scr.---",input_data!$A:$A,0))</f>
        <v>0</v>
      </c>
      <c r="X72" s="385">
        <f>X48*INDEX(input_data!$L:$L,MATCH(CBAM!$B$5&amp;".in.efo.stl.scr.---",input_data!$A:$A,0))</f>
        <v>0</v>
      </c>
    </row>
    <row r="73" spans="1:24" ht="15" customHeight="1" x14ac:dyDescent="0.25">
      <c r="A73" s="380" t="str">
        <f>CBAM!$B$5&amp;".em.s2e.stl.scr.elc"</f>
        <v>egy.em.s2e.stl.scr.elc</v>
      </c>
      <c r="B73" s="380" t="str">
        <f>CBAM!$B$5</f>
        <v>egy</v>
      </c>
      <c r="C73" s="380" t="s">
        <v>1342</v>
      </c>
      <c r="D73" s="380" t="s">
        <v>1357</v>
      </c>
      <c r="E73" s="380" t="s">
        <v>322</v>
      </c>
      <c r="F73" s="380" t="s">
        <v>1361</v>
      </c>
      <c r="G73" s="380" t="s">
        <v>1339</v>
      </c>
      <c r="H73" s="380" t="s">
        <v>1387</v>
      </c>
      <c r="I73" s="380" t="s">
        <v>1345</v>
      </c>
      <c r="J73" s="380" t="s">
        <v>1359</v>
      </c>
      <c r="K73" s="380"/>
      <c r="L73" s="380"/>
      <c r="M73" s="385">
        <f>M68*INDEX(input_data!$M:$X,MATCH(CBAM!$B$5&amp;".in.gef.---.---.---",input_data!$A:$A,0),COLUMNS($M:M))/3.6</f>
        <v>1.2976666666666665</v>
      </c>
      <c r="N73" s="385">
        <f>N68*INDEX(input_data!$M:$X,MATCH(CBAM!$B$5&amp;".in.gef.---.---.---",input_data!$A:$A,0),COLUMNS($M:N))/3.6</f>
        <v>1.3278986975861049</v>
      </c>
      <c r="O73" s="385">
        <f>O68*INDEX(input_data!$M:$X,MATCH(CBAM!$B$5&amp;".in.gef.---.---.---",input_data!$A:$A,0),COLUMNS($M:O))/3.6</f>
        <v>1.358291516879363</v>
      </c>
      <c r="P73" s="385">
        <f>P68*INDEX(input_data!$M:$X,MATCH(CBAM!$B$5&amp;".in.gef.---.---.---",input_data!$A:$A,0),COLUMNS($M:P))/3.6</f>
        <v>1.3888012969274535</v>
      </c>
      <c r="Q73" s="385">
        <f>Q68*INDEX(input_data!$M:$X,MATCH(CBAM!$B$5&amp;".in.gef.---.---.---",input_data!$A:$A,0),COLUMNS($M:Q))/3.6</f>
        <v>1.4193800660961582</v>
      </c>
      <c r="R73" s="385">
        <f>R68*INDEX(input_data!$M:$X,MATCH(CBAM!$B$5&amp;".in.gef.---.---.---",input_data!$A:$A,0),COLUMNS($M:R))/3.6</f>
        <v>1.4499754299648611</v>
      </c>
      <c r="S73" s="385">
        <f>S68*INDEX(input_data!$M:$X,MATCH(CBAM!$B$5&amp;".in.gef.---.---.---",input_data!$A:$A,0),COLUMNS($M:S))/3.6</f>
        <v>1.480530276092249</v>
      </c>
      <c r="T73" s="385">
        <f>T68*INDEX(input_data!$M:$X,MATCH(CBAM!$B$5&amp;".in.gef.---.---.---",input_data!$A:$A,0),COLUMNS($M:T))/3.6</f>
        <v>1.510982461411817</v>
      </c>
      <c r="U73" s="385">
        <f>U68*INDEX(input_data!$M:$X,MATCH(CBAM!$B$5&amp;".in.gef.---.---.---",input_data!$A:$A,0),COLUMNS($M:U))/3.6</f>
        <v>1.5412644813022724</v>
      </c>
      <c r="V73" s="385">
        <f>V68*INDEX(input_data!$M:$X,MATCH(CBAM!$B$5&amp;".in.gef.---.---.---",input_data!$A:$A,0),COLUMNS($M:V))/3.6</f>
        <v>1.571303119327613</v>
      </c>
      <c r="W73" s="385">
        <f>W68*INDEX(input_data!$M:$X,MATCH(CBAM!$B$5&amp;".in.gef.---.---.---",input_data!$A:$A,0),COLUMNS($M:W))/3.6</f>
        <v>1.6010190765887642</v>
      </c>
      <c r="X73" s="385">
        <f>X68*INDEX(input_data!$M:$X,MATCH(CBAM!$B$5&amp;".in.gef.---.---.---",input_data!$A:$A,0),COLUMNS($M:X))/3.6</f>
        <v>1.6303265795730801</v>
      </c>
    </row>
    <row r="75" spans="1:24" ht="21.75" customHeight="1" x14ac:dyDescent="0.25">
      <c r="A75" s="12" t="s">
        <v>1388</v>
      </c>
      <c r="B75" s="12"/>
      <c r="C75" s="12"/>
      <c r="D75" s="12"/>
      <c r="E75" s="12"/>
      <c r="F75" s="12"/>
      <c r="G75" s="12"/>
      <c r="H75" s="12"/>
      <c r="I75" s="12"/>
      <c r="J75" s="12"/>
      <c r="K75" s="12"/>
      <c r="L75" s="12"/>
      <c r="M75" s="12"/>
      <c r="N75" s="12"/>
      <c r="O75" s="12"/>
      <c r="P75" s="12"/>
      <c r="Q75" s="12"/>
      <c r="R75" s="12"/>
      <c r="S75" s="12"/>
      <c r="T75" s="12"/>
      <c r="U75" s="12"/>
      <c r="V75" s="12"/>
      <c r="W75" s="12"/>
      <c r="X75" s="12"/>
    </row>
    <row r="76" spans="1:24" ht="15" customHeight="1" x14ac:dyDescent="0.25">
      <c r="A76" s="380" t="str">
        <f>CBAM!$B$5&amp;".pj.prd.stl.bof.---"</f>
        <v>egy.pj.prd.stl.bof.---</v>
      </c>
      <c r="B76" s="380" t="str">
        <f>CBAM!$B$5</f>
        <v>egy</v>
      </c>
      <c r="C76" s="380" t="s">
        <v>1275</v>
      </c>
      <c r="D76" s="380" t="s">
        <v>1304</v>
      </c>
      <c r="E76" s="380" t="s">
        <v>322</v>
      </c>
      <c r="F76" s="380" t="s">
        <v>1389</v>
      </c>
      <c r="G76" s="380" t="s">
        <v>1277</v>
      </c>
      <c r="H76" s="380" t="s">
        <v>1390</v>
      </c>
      <c r="I76" s="380" t="s">
        <v>1307</v>
      </c>
      <c r="J76" s="380" t="s">
        <v>1308</v>
      </c>
      <c r="K76" s="380"/>
      <c r="L76" s="380"/>
      <c r="M76" s="385">
        <f>IFERROR(INDEX(input_data!$L:$L,MATCH(CBAM!$B$5&amp;".in.prb.stl.bof.---",input_data!$A:$A,0))*POWER(M7,INDEX(input_data!$L:$L,MATCH(CBAM!$B$5&amp;".in.els.stl.bof.---",input_data!$A:$A,0))),0)</f>
        <v>0</v>
      </c>
      <c r="N76" s="385">
        <f>IFERROR(INDEX(input_data!$L:$L,MATCH(CBAM!$B$5&amp;".in.prb.stl.bof.---",input_data!$A:$A,0))*POWER(N7,INDEX(input_data!$L:$L,MATCH(CBAM!$B$5&amp;".in.els.stl.bof.---",input_data!$A:$A,0))),0)</f>
        <v>0</v>
      </c>
      <c r="O76" s="385">
        <f>IFERROR(INDEX(input_data!$L:$L,MATCH(CBAM!$B$5&amp;".in.prb.stl.bof.---",input_data!$A:$A,0))*POWER(O7,INDEX(input_data!$L:$L,MATCH(CBAM!$B$5&amp;".in.els.stl.bof.---",input_data!$A:$A,0))),0)</f>
        <v>0</v>
      </c>
      <c r="P76" s="385">
        <f>IFERROR(INDEX(input_data!$L:$L,MATCH(CBAM!$B$5&amp;".in.prb.stl.bof.---",input_data!$A:$A,0))*POWER(P7,INDEX(input_data!$L:$L,MATCH(CBAM!$B$5&amp;".in.els.stl.bof.---",input_data!$A:$A,0))),0)</f>
        <v>0</v>
      </c>
      <c r="Q76" s="385">
        <f>IFERROR(INDEX(input_data!$L:$L,MATCH(CBAM!$B$5&amp;".in.prb.stl.bof.---",input_data!$A:$A,0))*POWER(Q7,INDEX(input_data!$L:$L,MATCH(CBAM!$B$5&amp;".in.els.stl.bof.---",input_data!$A:$A,0))),0)</f>
        <v>0</v>
      </c>
      <c r="R76" s="385">
        <f>IFERROR(INDEX(input_data!$L:$L,MATCH(CBAM!$B$5&amp;".in.prb.stl.bof.---",input_data!$A:$A,0))*POWER(R7,INDEX(input_data!$L:$L,MATCH(CBAM!$B$5&amp;".in.els.stl.bof.---",input_data!$A:$A,0))),0)</f>
        <v>0</v>
      </c>
      <c r="S76" s="385">
        <f>IFERROR(INDEX(input_data!$L:$L,MATCH(CBAM!$B$5&amp;".in.prb.stl.bof.---",input_data!$A:$A,0))*POWER(S7,INDEX(input_data!$L:$L,MATCH(CBAM!$B$5&amp;".in.els.stl.bof.---",input_data!$A:$A,0))),0)</f>
        <v>0</v>
      </c>
      <c r="T76" s="385">
        <f>IFERROR(INDEX(input_data!$L:$L,MATCH(CBAM!$B$5&amp;".in.prb.stl.bof.---",input_data!$A:$A,0))*POWER(T7,INDEX(input_data!$L:$L,MATCH(CBAM!$B$5&amp;".in.els.stl.bof.---",input_data!$A:$A,0))),0)</f>
        <v>0</v>
      </c>
      <c r="U76" s="385">
        <f>IFERROR(INDEX(input_data!$L:$L,MATCH(CBAM!$B$5&amp;".in.prb.stl.bof.---",input_data!$A:$A,0))*POWER(U7,INDEX(input_data!$L:$L,MATCH(CBAM!$B$5&amp;".in.els.stl.bof.---",input_data!$A:$A,0))),0)</f>
        <v>0</v>
      </c>
      <c r="V76" s="385">
        <f>IFERROR(INDEX(input_data!$L:$L,MATCH(CBAM!$B$5&amp;".in.prb.stl.bof.---",input_data!$A:$A,0))*POWER(V7,INDEX(input_data!$L:$L,MATCH(CBAM!$B$5&amp;".in.els.stl.bof.---",input_data!$A:$A,0))),0)</f>
        <v>0</v>
      </c>
      <c r="W76" s="385">
        <f>IFERROR(INDEX(input_data!$L:$L,MATCH(CBAM!$B$5&amp;".in.prb.stl.bof.---",input_data!$A:$A,0))*POWER(W7,INDEX(input_data!$L:$L,MATCH(CBAM!$B$5&amp;".in.els.stl.bof.---",input_data!$A:$A,0))),0)</f>
        <v>0</v>
      </c>
      <c r="X76" s="385">
        <f>IFERROR(INDEX(input_data!$L:$L,MATCH(CBAM!$B$5&amp;".in.prb.stl.bof.---",input_data!$A:$A,0))*POWER(X7,INDEX(input_data!$L:$L,MATCH(CBAM!$B$5&amp;".in.els.stl.bof.---",input_data!$A:$A,0))),0)</f>
        <v>0</v>
      </c>
    </row>
    <row r="77" spans="1:24" ht="15" customHeight="1" x14ac:dyDescent="0.25">
      <c r="A77" s="380" t="str">
        <f>CBAM!$B$5&amp;".pj.eux.stl.bof.---"</f>
        <v>egy.pj.eux.stl.bof.---</v>
      </c>
      <c r="B77" s="380" t="str">
        <f>CBAM!$B$5</f>
        <v>egy</v>
      </c>
      <c r="C77" s="380" t="s">
        <v>1275</v>
      </c>
      <c r="D77" s="380" t="s">
        <v>1309</v>
      </c>
      <c r="E77" s="380" t="s">
        <v>322</v>
      </c>
      <c r="F77" s="380" t="s">
        <v>1389</v>
      </c>
      <c r="G77" s="380" t="s">
        <v>1277</v>
      </c>
      <c r="H77" s="380" t="s">
        <v>1391</v>
      </c>
      <c r="I77" s="380" t="s">
        <v>1307</v>
      </c>
      <c r="J77" s="380" t="s">
        <v>1311</v>
      </c>
      <c r="K77" s="380"/>
      <c r="L77" s="380"/>
      <c r="M77" s="385">
        <f>M76*INDEX(input_data!$L:$L,MATCH(CBAM!$B$5&amp;".in.exe.stl.bof.---",input_data!$A:$A,0))</f>
        <v>0</v>
      </c>
      <c r="N77" s="385">
        <f>N76*INDEX(input_data!$L:$L,MATCH(CBAM!$B$5&amp;".in.exe.stl.bof.---",input_data!$A:$A,0))</f>
        <v>0</v>
      </c>
      <c r="O77" s="385">
        <f>O76*INDEX(input_data!$L:$L,MATCH(CBAM!$B$5&amp;".in.exe.stl.bof.---",input_data!$A:$A,0))</f>
        <v>0</v>
      </c>
      <c r="P77" s="385">
        <f>P76*INDEX(input_data!$L:$L,MATCH(CBAM!$B$5&amp;".in.exe.stl.bof.---",input_data!$A:$A,0))</f>
        <v>0</v>
      </c>
      <c r="Q77" s="385">
        <f>Q76*INDEX(input_data!$L:$L,MATCH(CBAM!$B$5&amp;".in.exe.stl.bof.---",input_data!$A:$A,0))</f>
        <v>0</v>
      </c>
      <c r="R77" s="385">
        <f>R76*INDEX(input_data!$L:$L,MATCH(CBAM!$B$5&amp;".in.exe.stl.bof.---",input_data!$A:$A,0))</f>
        <v>0</v>
      </c>
      <c r="S77" s="385">
        <f>S76*INDEX(input_data!$L:$L,MATCH(CBAM!$B$5&amp;".in.exe.stl.bof.---",input_data!$A:$A,0))</f>
        <v>0</v>
      </c>
      <c r="T77" s="385">
        <f>T76*INDEX(input_data!$L:$L,MATCH(CBAM!$B$5&amp;".in.exe.stl.bof.---",input_data!$A:$A,0))</f>
        <v>0</v>
      </c>
      <c r="U77" s="385">
        <f>U76*INDEX(input_data!$L:$L,MATCH(CBAM!$B$5&amp;".in.exe.stl.bof.---",input_data!$A:$A,0))</f>
        <v>0</v>
      </c>
      <c r="V77" s="385">
        <f>V76*INDEX(input_data!$L:$L,MATCH(CBAM!$B$5&amp;".in.exe.stl.bof.---",input_data!$A:$A,0))</f>
        <v>0</v>
      </c>
      <c r="W77" s="385">
        <f>W76*INDEX(input_data!$L:$L,MATCH(CBAM!$B$5&amp;".in.exe.stl.bof.---",input_data!$A:$A,0))</f>
        <v>0</v>
      </c>
      <c r="X77" s="385">
        <f>X76*INDEX(input_data!$L:$L,MATCH(CBAM!$B$5&amp;".in.exe.stl.bof.---",input_data!$A:$A,0))</f>
        <v>0</v>
      </c>
    </row>
    <row r="78" spans="1:24" ht="15" customHeight="1" x14ac:dyDescent="0.25">
      <c r="A78" s="380" t="str">
        <f>CBAM!$B$5&amp;".pj.nex.stl.bof.---"</f>
        <v>egy.pj.nex.stl.bof.---</v>
      </c>
      <c r="B78" s="380" t="str">
        <f>CBAM!$B$5</f>
        <v>egy</v>
      </c>
      <c r="C78" s="380" t="s">
        <v>1275</v>
      </c>
      <c r="D78" s="380" t="s">
        <v>1312</v>
      </c>
      <c r="E78" s="380" t="s">
        <v>322</v>
      </c>
      <c r="F78" s="380" t="s">
        <v>1389</v>
      </c>
      <c r="G78" s="380" t="s">
        <v>1277</v>
      </c>
      <c r="H78" s="380" t="s">
        <v>1392</v>
      </c>
      <c r="I78" s="380" t="s">
        <v>1307</v>
      </c>
      <c r="J78" s="380" t="s">
        <v>1314</v>
      </c>
      <c r="K78" s="380"/>
      <c r="L78" s="380"/>
      <c r="M78" s="385">
        <f>M76*(INDEX(input_data!$L:$L,MATCH(CBAM!$B$5&amp;".in.ext.stl.bof.---",input_data!$A:$A,0))-INDEX(input_data!$L:$L,MATCH(CBAM!$B$5&amp;".in.exe.stl.bof.---",input_data!$A:$A,0)))</f>
        <v>0</v>
      </c>
      <c r="N78" s="385">
        <f>N76*(INDEX(input_data!$L:$L,MATCH(CBAM!$B$5&amp;".in.ext.stl.bof.---",input_data!$A:$A,0))-INDEX(input_data!$L:$L,MATCH(CBAM!$B$5&amp;".in.exe.stl.bof.---",input_data!$A:$A,0)))</f>
        <v>0</v>
      </c>
      <c r="O78" s="385">
        <f>O76*(INDEX(input_data!$L:$L,MATCH(CBAM!$B$5&amp;".in.ext.stl.bof.---",input_data!$A:$A,0))-INDEX(input_data!$L:$L,MATCH(CBAM!$B$5&amp;".in.exe.stl.bof.---",input_data!$A:$A,0)))</f>
        <v>0</v>
      </c>
      <c r="P78" s="385">
        <f>P76*(INDEX(input_data!$L:$L,MATCH(CBAM!$B$5&amp;".in.ext.stl.bof.---",input_data!$A:$A,0))-INDEX(input_data!$L:$L,MATCH(CBAM!$B$5&amp;".in.exe.stl.bof.---",input_data!$A:$A,0)))</f>
        <v>0</v>
      </c>
      <c r="Q78" s="385">
        <f>Q76*(INDEX(input_data!$L:$L,MATCH(CBAM!$B$5&amp;".in.ext.stl.bof.---",input_data!$A:$A,0))-INDEX(input_data!$L:$L,MATCH(CBAM!$B$5&amp;".in.exe.stl.bof.---",input_data!$A:$A,0)))</f>
        <v>0</v>
      </c>
      <c r="R78" s="385">
        <f>R76*(INDEX(input_data!$L:$L,MATCH(CBAM!$B$5&amp;".in.ext.stl.bof.---",input_data!$A:$A,0))-INDEX(input_data!$L:$L,MATCH(CBAM!$B$5&amp;".in.exe.stl.bof.---",input_data!$A:$A,0)))</f>
        <v>0</v>
      </c>
      <c r="S78" s="385">
        <f>S76*(INDEX(input_data!$L:$L,MATCH(CBAM!$B$5&amp;".in.ext.stl.bof.---",input_data!$A:$A,0))-INDEX(input_data!$L:$L,MATCH(CBAM!$B$5&amp;".in.exe.stl.bof.---",input_data!$A:$A,0)))</f>
        <v>0</v>
      </c>
      <c r="T78" s="385">
        <f>T76*(INDEX(input_data!$L:$L,MATCH(CBAM!$B$5&amp;".in.ext.stl.bof.---",input_data!$A:$A,0))-INDEX(input_data!$L:$L,MATCH(CBAM!$B$5&amp;".in.exe.stl.bof.---",input_data!$A:$A,0)))</f>
        <v>0</v>
      </c>
      <c r="U78" s="385">
        <f>U76*(INDEX(input_data!$L:$L,MATCH(CBAM!$B$5&amp;".in.ext.stl.bof.---",input_data!$A:$A,0))-INDEX(input_data!$L:$L,MATCH(CBAM!$B$5&amp;".in.exe.stl.bof.---",input_data!$A:$A,0)))</f>
        <v>0</v>
      </c>
      <c r="V78" s="385">
        <f>V76*(INDEX(input_data!$L:$L,MATCH(CBAM!$B$5&amp;".in.ext.stl.bof.---",input_data!$A:$A,0))-INDEX(input_data!$L:$L,MATCH(CBAM!$B$5&amp;".in.exe.stl.bof.---",input_data!$A:$A,0)))</f>
        <v>0</v>
      </c>
      <c r="W78" s="385">
        <f>W76*(INDEX(input_data!$L:$L,MATCH(CBAM!$B$5&amp;".in.ext.stl.bof.---",input_data!$A:$A,0))-INDEX(input_data!$L:$L,MATCH(CBAM!$B$5&amp;".in.exe.stl.bof.---",input_data!$A:$A,0)))</f>
        <v>0</v>
      </c>
      <c r="X78" s="385">
        <f>X76*(INDEX(input_data!$L:$L,MATCH(CBAM!$B$5&amp;".in.ext.stl.bof.---",input_data!$A:$A,0))-INDEX(input_data!$L:$L,MATCH(CBAM!$B$5&amp;".in.exe.stl.bof.---",input_data!$A:$A,0)))</f>
        <v>0</v>
      </c>
    </row>
    <row r="79" spans="1:24" ht="15" customHeight="1" x14ac:dyDescent="0.25">
      <c r="A79" s="380" t="str">
        <f>CBAM!$B$5&amp;".pj.dom.stl.bof.---"</f>
        <v>egy.pj.dom.stl.bof.---</v>
      </c>
      <c r="B79" s="380" t="str">
        <f>CBAM!$B$5</f>
        <v>egy</v>
      </c>
      <c r="C79" s="380" t="s">
        <v>1275</v>
      </c>
      <c r="D79" s="380" t="s">
        <v>1267</v>
      </c>
      <c r="E79" s="380" t="s">
        <v>322</v>
      </c>
      <c r="F79" s="380" t="s">
        <v>1389</v>
      </c>
      <c r="G79" s="380" t="s">
        <v>1277</v>
      </c>
      <c r="H79" s="380" t="s">
        <v>1393</v>
      </c>
      <c r="I79" s="380" t="s">
        <v>1307</v>
      </c>
      <c r="J79" s="380" t="s">
        <v>1316</v>
      </c>
      <c r="K79" s="380"/>
      <c r="L79" s="380"/>
      <c r="M79" s="385">
        <f>M76*(1-INDEX(input_data!$L:$L,MATCH(CBAM!$B$5&amp;".in.ext.stl.bof.---",input_data!$A:$A,0)))*(1+INDEX(input_data!$L:$L,MATCH(CBAM!$B$5&amp;".in.imp.stl.bof.---",input_data!$A:$A,0)))</f>
        <v>0</v>
      </c>
      <c r="N79" s="385">
        <f>N76*(1-INDEX(input_data!$L:$L,MATCH(CBAM!$B$5&amp;".in.ext.stl.bof.---",input_data!$A:$A,0)))*(1+INDEX(input_data!$L:$L,MATCH(CBAM!$B$5&amp;".in.imp.stl.bof.---",input_data!$A:$A,0)))</f>
        <v>0</v>
      </c>
      <c r="O79" s="385">
        <f>O76*(1-INDEX(input_data!$L:$L,MATCH(CBAM!$B$5&amp;".in.ext.stl.bof.---",input_data!$A:$A,0)))*(1+INDEX(input_data!$L:$L,MATCH(CBAM!$B$5&amp;".in.imp.stl.bof.---",input_data!$A:$A,0)))</f>
        <v>0</v>
      </c>
      <c r="P79" s="385">
        <f>P76*(1-INDEX(input_data!$L:$L,MATCH(CBAM!$B$5&amp;".in.ext.stl.bof.---",input_data!$A:$A,0)))*(1+INDEX(input_data!$L:$L,MATCH(CBAM!$B$5&amp;".in.imp.stl.bof.---",input_data!$A:$A,0)))</f>
        <v>0</v>
      </c>
      <c r="Q79" s="385">
        <f>Q76*(1-INDEX(input_data!$L:$L,MATCH(CBAM!$B$5&amp;".in.ext.stl.bof.---",input_data!$A:$A,0)))*(1+INDEX(input_data!$L:$L,MATCH(CBAM!$B$5&amp;".in.imp.stl.bof.---",input_data!$A:$A,0)))</f>
        <v>0</v>
      </c>
      <c r="R79" s="385">
        <f>R76*(1-INDEX(input_data!$L:$L,MATCH(CBAM!$B$5&amp;".in.ext.stl.bof.---",input_data!$A:$A,0)))*(1+INDEX(input_data!$L:$L,MATCH(CBAM!$B$5&amp;".in.imp.stl.bof.---",input_data!$A:$A,0)))</f>
        <v>0</v>
      </c>
      <c r="S79" s="385">
        <f>S76*(1-INDEX(input_data!$L:$L,MATCH(CBAM!$B$5&amp;".in.ext.stl.bof.---",input_data!$A:$A,0)))*(1+INDEX(input_data!$L:$L,MATCH(CBAM!$B$5&amp;".in.imp.stl.bof.---",input_data!$A:$A,0)))</f>
        <v>0</v>
      </c>
      <c r="T79" s="385">
        <f>T76*(1-INDEX(input_data!$L:$L,MATCH(CBAM!$B$5&amp;".in.ext.stl.bof.---",input_data!$A:$A,0)))*(1+INDEX(input_data!$L:$L,MATCH(CBAM!$B$5&amp;".in.imp.stl.bof.---",input_data!$A:$A,0)))</f>
        <v>0</v>
      </c>
      <c r="U79" s="385">
        <f>U76*(1-INDEX(input_data!$L:$L,MATCH(CBAM!$B$5&amp;".in.ext.stl.bof.---",input_data!$A:$A,0)))*(1+INDEX(input_data!$L:$L,MATCH(CBAM!$B$5&amp;".in.imp.stl.bof.---",input_data!$A:$A,0)))</f>
        <v>0</v>
      </c>
      <c r="V79" s="385">
        <f>V76*(1-INDEX(input_data!$L:$L,MATCH(CBAM!$B$5&amp;".in.ext.stl.bof.---",input_data!$A:$A,0)))*(1+INDEX(input_data!$L:$L,MATCH(CBAM!$B$5&amp;".in.imp.stl.bof.---",input_data!$A:$A,0)))</f>
        <v>0</v>
      </c>
      <c r="W79" s="385">
        <f>W76*(1-INDEX(input_data!$L:$L,MATCH(CBAM!$B$5&amp;".in.ext.stl.bof.---",input_data!$A:$A,0)))*(1+INDEX(input_data!$L:$L,MATCH(CBAM!$B$5&amp;".in.imp.stl.bof.---",input_data!$A:$A,0)))</f>
        <v>0</v>
      </c>
      <c r="X79" s="385">
        <f>X76*(1-INDEX(input_data!$L:$L,MATCH(CBAM!$B$5&amp;".in.ext.stl.bof.---",input_data!$A:$A,0)))*(1+INDEX(input_data!$L:$L,MATCH(CBAM!$B$5&amp;".in.imp.stl.bof.---",input_data!$A:$A,0)))</f>
        <v>0</v>
      </c>
    </row>
    <row r="80" spans="1:24" ht="15" customHeight="1" x14ac:dyDescent="0.25">
      <c r="A80" s="380" t="str">
        <f>CBAM!$B$5&amp;".pj.enc.stl.bof.coa"</f>
        <v>egy.pj.enc.stl.bof.coa</v>
      </c>
      <c r="B80" s="380" t="str">
        <f>CBAM!$B$5</f>
        <v>egy</v>
      </c>
      <c r="C80" s="380" t="s">
        <v>1275</v>
      </c>
      <c r="D80" s="380" t="s">
        <v>1317</v>
      </c>
      <c r="E80" s="380" t="s">
        <v>322</v>
      </c>
      <c r="F80" s="380" t="s">
        <v>1389</v>
      </c>
      <c r="G80" s="380" t="s">
        <v>757</v>
      </c>
      <c r="H80" s="380" t="s">
        <v>1394</v>
      </c>
      <c r="I80" s="380" t="s">
        <v>1319</v>
      </c>
      <c r="J80" s="380" t="s">
        <v>1320</v>
      </c>
      <c r="K80" s="380"/>
      <c r="L80" s="380"/>
      <c r="M80" s="385">
        <f>M76*INDEX(input_data!$L:$L,MATCH(CBAM!$B$5&amp;".in.enc.stl.bof.coa",input_data!$A:$A,0))</f>
        <v>0</v>
      </c>
      <c r="N80" s="385">
        <f>N76*INDEX(input_data!$L:$L,MATCH(CBAM!$B$5&amp;".in.enc.stl.bof.coa",input_data!$A:$A,0))</f>
        <v>0</v>
      </c>
      <c r="O80" s="385">
        <f>O76*INDEX(input_data!$L:$L,MATCH(CBAM!$B$5&amp;".in.enc.stl.bof.coa",input_data!$A:$A,0))</f>
        <v>0</v>
      </c>
      <c r="P80" s="385">
        <f>P76*INDEX(input_data!$L:$L,MATCH(CBAM!$B$5&amp;".in.enc.stl.bof.coa",input_data!$A:$A,0))</f>
        <v>0</v>
      </c>
      <c r="Q80" s="385">
        <f>Q76*INDEX(input_data!$L:$L,MATCH(CBAM!$B$5&amp;".in.enc.stl.bof.coa",input_data!$A:$A,0))</f>
        <v>0</v>
      </c>
      <c r="R80" s="385">
        <f>R76*INDEX(input_data!$L:$L,MATCH(CBAM!$B$5&amp;".in.enc.stl.bof.coa",input_data!$A:$A,0))</f>
        <v>0</v>
      </c>
      <c r="S80" s="385">
        <f>S76*INDEX(input_data!$L:$L,MATCH(CBAM!$B$5&amp;".in.enc.stl.bof.coa",input_data!$A:$A,0))</f>
        <v>0</v>
      </c>
      <c r="T80" s="385">
        <f>T76*INDEX(input_data!$L:$L,MATCH(CBAM!$B$5&amp;".in.enc.stl.bof.coa",input_data!$A:$A,0))</f>
        <v>0</v>
      </c>
      <c r="U80" s="385">
        <f>U76*INDEX(input_data!$L:$L,MATCH(CBAM!$B$5&amp;".in.enc.stl.bof.coa",input_data!$A:$A,0))</f>
        <v>0</v>
      </c>
      <c r="V80" s="385">
        <f>V76*INDEX(input_data!$L:$L,MATCH(CBAM!$B$5&amp;".in.enc.stl.bof.coa",input_data!$A:$A,0))</f>
        <v>0</v>
      </c>
      <c r="W80" s="385">
        <f>W76*INDEX(input_data!$L:$L,MATCH(CBAM!$B$5&amp;".in.enc.stl.bof.coa",input_data!$A:$A,0))</f>
        <v>0</v>
      </c>
      <c r="X80" s="385">
        <f>X76*INDEX(input_data!$L:$L,MATCH(CBAM!$B$5&amp;".in.enc.stl.bof.coa",input_data!$A:$A,0))</f>
        <v>0</v>
      </c>
    </row>
    <row r="81" spans="1:24" ht="15" customHeight="1" x14ac:dyDescent="0.25">
      <c r="A81" s="380" t="str">
        <f>CBAM!$B$5&amp;".pj.enc.stl.bof.nga"</f>
        <v>egy.pj.enc.stl.bof.nga</v>
      </c>
      <c r="B81" s="380" t="str">
        <f>CBAM!$B$5</f>
        <v>egy</v>
      </c>
      <c r="C81" s="380" t="s">
        <v>1275</v>
      </c>
      <c r="D81" s="380" t="s">
        <v>1317</v>
      </c>
      <c r="E81" s="380" t="s">
        <v>322</v>
      </c>
      <c r="F81" s="380" t="s">
        <v>1389</v>
      </c>
      <c r="G81" s="380" t="s">
        <v>754</v>
      </c>
      <c r="H81" s="380" t="s">
        <v>1395</v>
      </c>
      <c r="I81" s="380" t="s">
        <v>1319</v>
      </c>
      <c r="J81" s="380" t="s">
        <v>1320</v>
      </c>
      <c r="K81" s="380"/>
      <c r="L81" s="380"/>
      <c r="M81" s="385">
        <f>M76*INDEX(input_data!$L:$L,MATCH(CBAM!$B$5&amp;".in.enc.stl.bof.nga",input_data!$A:$A,0))</f>
        <v>0</v>
      </c>
      <c r="N81" s="385">
        <f>N76*INDEX(input_data!$L:$L,MATCH(CBAM!$B$5&amp;".in.enc.stl.bof.nga",input_data!$A:$A,0))</f>
        <v>0</v>
      </c>
      <c r="O81" s="385">
        <f>O76*INDEX(input_data!$L:$L,MATCH(CBAM!$B$5&amp;".in.enc.stl.bof.nga",input_data!$A:$A,0))</f>
        <v>0</v>
      </c>
      <c r="P81" s="385">
        <f>P76*INDEX(input_data!$L:$L,MATCH(CBAM!$B$5&amp;".in.enc.stl.bof.nga",input_data!$A:$A,0))</f>
        <v>0</v>
      </c>
      <c r="Q81" s="385">
        <f>Q76*INDEX(input_data!$L:$L,MATCH(CBAM!$B$5&amp;".in.enc.stl.bof.nga",input_data!$A:$A,0))</f>
        <v>0</v>
      </c>
      <c r="R81" s="385">
        <f>R76*INDEX(input_data!$L:$L,MATCH(CBAM!$B$5&amp;".in.enc.stl.bof.nga",input_data!$A:$A,0))</f>
        <v>0</v>
      </c>
      <c r="S81" s="385">
        <f>S76*INDEX(input_data!$L:$L,MATCH(CBAM!$B$5&amp;".in.enc.stl.bof.nga",input_data!$A:$A,0))</f>
        <v>0</v>
      </c>
      <c r="T81" s="385">
        <f>T76*INDEX(input_data!$L:$L,MATCH(CBAM!$B$5&amp;".in.enc.stl.bof.nga",input_data!$A:$A,0))</f>
        <v>0</v>
      </c>
      <c r="U81" s="385">
        <f>U76*INDEX(input_data!$L:$L,MATCH(CBAM!$B$5&amp;".in.enc.stl.bof.nga",input_data!$A:$A,0))</f>
        <v>0</v>
      </c>
      <c r="V81" s="385">
        <f>V76*INDEX(input_data!$L:$L,MATCH(CBAM!$B$5&amp;".in.enc.stl.bof.nga",input_data!$A:$A,0))</f>
        <v>0</v>
      </c>
      <c r="W81" s="385">
        <f>W76*INDEX(input_data!$L:$L,MATCH(CBAM!$B$5&amp;".in.enc.stl.bof.nga",input_data!$A:$A,0))</f>
        <v>0</v>
      </c>
      <c r="X81" s="385">
        <f>X76*INDEX(input_data!$L:$L,MATCH(CBAM!$B$5&amp;".in.enc.stl.bof.nga",input_data!$A:$A,0))</f>
        <v>0</v>
      </c>
    </row>
    <row r="82" spans="1:24" ht="15" customHeight="1" x14ac:dyDescent="0.25">
      <c r="A82" s="380" t="str">
        <f>CBAM!$B$5&amp;".pj.enc.stl.bof.gso"</f>
        <v>egy.pj.enc.stl.bof.gso</v>
      </c>
      <c r="B82" s="380" t="str">
        <f>CBAM!$B$5</f>
        <v>egy</v>
      </c>
      <c r="C82" s="380" t="s">
        <v>1275</v>
      </c>
      <c r="D82" s="380" t="s">
        <v>1317</v>
      </c>
      <c r="E82" s="380" t="s">
        <v>322</v>
      </c>
      <c r="F82" s="380" t="s">
        <v>1389</v>
      </c>
      <c r="G82" s="380" t="s">
        <v>1292</v>
      </c>
      <c r="H82" s="380" t="s">
        <v>1396</v>
      </c>
      <c r="I82" s="380" t="s">
        <v>1319</v>
      </c>
      <c r="J82" s="380" t="s">
        <v>1320</v>
      </c>
      <c r="K82" s="380"/>
      <c r="L82" s="380"/>
      <c r="M82" s="385">
        <f>M76*INDEX(input_data!$L:$L,MATCH(CBAM!$B$5&amp;".in.enc.stl.bof.gso",input_data!$A:$A,0))</f>
        <v>0</v>
      </c>
      <c r="N82" s="385">
        <f>N76*INDEX(input_data!$L:$L,MATCH(CBAM!$B$5&amp;".in.enc.stl.bof.gso",input_data!$A:$A,0))</f>
        <v>0</v>
      </c>
      <c r="O82" s="385">
        <f>O76*INDEX(input_data!$L:$L,MATCH(CBAM!$B$5&amp;".in.enc.stl.bof.gso",input_data!$A:$A,0))</f>
        <v>0</v>
      </c>
      <c r="P82" s="385">
        <f>P76*INDEX(input_data!$L:$L,MATCH(CBAM!$B$5&amp;".in.enc.stl.bof.gso",input_data!$A:$A,0))</f>
        <v>0</v>
      </c>
      <c r="Q82" s="385">
        <f>Q76*INDEX(input_data!$L:$L,MATCH(CBAM!$B$5&amp;".in.enc.stl.bof.gso",input_data!$A:$A,0))</f>
        <v>0</v>
      </c>
      <c r="R82" s="385">
        <f>R76*INDEX(input_data!$L:$L,MATCH(CBAM!$B$5&amp;".in.enc.stl.bof.gso",input_data!$A:$A,0))</f>
        <v>0</v>
      </c>
      <c r="S82" s="385">
        <f>S76*INDEX(input_data!$L:$L,MATCH(CBAM!$B$5&amp;".in.enc.stl.bof.gso",input_data!$A:$A,0))</f>
        <v>0</v>
      </c>
      <c r="T82" s="385">
        <f>T76*INDEX(input_data!$L:$L,MATCH(CBAM!$B$5&amp;".in.enc.stl.bof.gso",input_data!$A:$A,0))</f>
        <v>0</v>
      </c>
      <c r="U82" s="385">
        <f>U76*INDEX(input_data!$L:$L,MATCH(CBAM!$B$5&amp;".in.enc.stl.bof.gso",input_data!$A:$A,0))</f>
        <v>0</v>
      </c>
      <c r="V82" s="385">
        <f>V76*INDEX(input_data!$L:$L,MATCH(CBAM!$B$5&amp;".in.enc.stl.bof.gso",input_data!$A:$A,0))</f>
        <v>0</v>
      </c>
      <c r="W82" s="385">
        <f>W76*INDEX(input_data!$L:$L,MATCH(CBAM!$B$5&amp;".in.enc.stl.bof.gso",input_data!$A:$A,0))</f>
        <v>0</v>
      </c>
      <c r="X82" s="385">
        <f>X76*INDEX(input_data!$L:$L,MATCH(CBAM!$B$5&amp;".in.enc.stl.bof.gso",input_data!$A:$A,0))</f>
        <v>0</v>
      </c>
    </row>
    <row r="83" spans="1:24" ht="15" customHeight="1" x14ac:dyDescent="0.25">
      <c r="A83" s="380" t="str">
        <f>CBAM!$B$5&amp;".pj.enc.stl.bof.die"</f>
        <v>egy.pj.enc.stl.bof.die</v>
      </c>
      <c r="B83" s="380" t="str">
        <f>CBAM!$B$5</f>
        <v>egy</v>
      </c>
      <c r="C83" s="380" t="s">
        <v>1275</v>
      </c>
      <c r="D83" s="380" t="s">
        <v>1317</v>
      </c>
      <c r="E83" s="380" t="s">
        <v>322</v>
      </c>
      <c r="F83" s="380" t="s">
        <v>1389</v>
      </c>
      <c r="G83" s="380" t="s">
        <v>762</v>
      </c>
      <c r="H83" s="380" t="s">
        <v>1397</v>
      </c>
      <c r="I83" s="380" t="s">
        <v>1319</v>
      </c>
      <c r="J83" s="380" t="s">
        <v>1320</v>
      </c>
      <c r="K83" s="380"/>
      <c r="L83" s="380"/>
      <c r="M83" s="385">
        <f>M76*INDEX(input_data!$L:$L,MATCH(CBAM!$B$5&amp;".in.enc.stl.bof.die",input_data!$A:$A,0))</f>
        <v>0</v>
      </c>
      <c r="N83" s="385">
        <f>N76*INDEX(input_data!$L:$L,MATCH(CBAM!$B$5&amp;".in.enc.stl.bof.die",input_data!$A:$A,0))</f>
        <v>0</v>
      </c>
      <c r="O83" s="385">
        <f>O76*INDEX(input_data!$L:$L,MATCH(CBAM!$B$5&amp;".in.enc.stl.bof.die",input_data!$A:$A,0))</f>
        <v>0</v>
      </c>
      <c r="P83" s="385">
        <f>P76*INDEX(input_data!$L:$L,MATCH(CBAM!$B$5&amp;".in.enc.stl.bof.die",input_data!$A:$A,0))</f>
        <v>0</v>
      </c>
      <c r="Q83" s="385">
        <f>Q76*INDEX(input_data!$L:$L,MATCH(CBAM!$B$5&amp;".in.enc.stl.bof.die",input_data!$A:$A,0))</f>
        <v>0</v>
      </c>
      <c r="R83" s="385">
        <f>R76*INDEX(input_data!$L:$L,MATCH(CBAM!$B$5&amp;".in.enc.stl.bof.die",input_data!$A:$A,0))</f>
        <v>0</v>
      </c>
      <c r="S83" s="385">
        <f>S76*INDEX(input_data!$L:$L,MATCH(CBAM!$B$5&amp;".in.enc.stl.bof.die",input_data!$A:$A,0))</f>
        <v>0</v>
      </c>
      <c r="T83" s="385">
        <f>T76*INDEX(input_data!$L:$L,MATCH(CBAM!$B$5&amp;".in.enc.stl.bof.die",input_data!$A:$A,0))</f>
        <v>0</v>
      </c>
      <c r="U83" s="385">
        <f>U76*INDEX(input_data!$L:$L,MATCH(CBAM!$B$5&amp;".in.enc.stl.bof.die",input_data!$A:$A,0))</f>
        <v>0</v>
      </c>
      <c r="V83" s="385">
        <f>V76*INDEX(input_data!$L:$L,MATCH(CBAM!$B$5&amp;".in.enc.stl.bof.die",input_data!$A:$A,0))</f>
        <v>0</v>
      </c>
      <c r="W83" s="385">
        <f>W76*INDEX(input_data!$L:$L,MATCH(CBAM!$B$5&amp;".in.enc.stl.bof.die",input_data!$A:$A,0))</f>
        <v>0</v>
      </c>
      <c r="X83" s="385">
        <f>X76*INDEX(input_data!$L:$L,MATCH(CBAM!$B$5&amp;".in.enc.stl.bof.die",input_data!$A:$A,0))</f>
        <v>0</v>
      </c>
    </row>
    <row r="84" spans="1:24" ht="15" customHeight="1" x14ac:dyDescent="0.25">
      <c r="A84" s="380" t="str">
        <f>CBAM!$B$5&amp;".pj.enc.stl.bof.ker"</f>
        <v>egy.pj.enc.stl.bof.ker</v>
      </c>
      <c r="B84" s="380" t="str">
        <f>CBAM!$B$5</f>
        <v>egy</v>
      </c>
      <c r="C84" s="380" t="s">
        <v>1275</v>
      </c>
      <c r="D84" s="380" t="s">
        <v>1317</v>
      </c>
      <c r="E84" s="380" t="s">
        <v>322</v>
      </c>
      <c r="F84" s="380" t="s">
        <v>1389</v>
      </c>
      <c r="G84" s="380" t="s">
        <v>1295</v>
      </c>
      <c r="H84" s="380" t="s">
        <v>1398</v>
      </c>
      <c r="I84" s="380" t="s">
        <v>1319</v>
      </c>
      <c r="J84" s="380" t="s">
        <v>1320</v>
      </c>
      <c r="K84" s="380"/>
      <c r="L84" s="380"/>
      <c r="M84" s="385">
        <f>M76*INDEX(input_data!$L:$L,MATCH(CBAM!$B$5&amp;".in.enc.stl.bof.ker",input_data!$A:$A,0))</f>
        <v>0</v>
      </c>
      <c r="N84" s="385">
        <f>N76*INDEX(input_data!$L:$L,MATCH(CBAM!$B$5&amp;".in.enc.stl.bof.ker",input_data!$A:$A,0))</f>
        <v>0</v>
      </c>
      <c r="O84" s="385">
        <f>O76*INDEX(input_data!$L:$L,MATCH(CBAM!$B$5&amp;".in.enc.stl.bof.ker",input_data!$A:$A,0))</f>
        <v>0</v>
      </c>
      <c r="P84" s="385">
        <f>P76*INDEX(input_data!$L:$L,MATCH(CBAM!$B$5&amp;".in.enc.stl.bof.ker",input_data!$A:$A,0))</f>
        <v>0</v>
      </c>
      <c r="Q84" s="385">
        <f>Q76*INDEX(input_data!$L:$L,MATCH(CBAM!$B$5&amp;".in.enc.stl.bof.ker",input_data!$A:$A,0))</f>
        <v>0</v>
      </c>
      <c r="R84" s="385">
        <f>R76*INDEX(input_data!$L:$L,MATCH(CBAM!$B$5&amp;".in.enc.stl.bof.ker",input_data!$A:$A,0))</f>
        <v>0</v>
      </c>
      <c r="S84" s="385">
        <f>S76*INDEX(input_data!$L:$L,MATCH(CBAM!$B$5&amp;".in.enc.stl.bof.ker",input_data!$A:$A,0))</f>
        <v>0</v>
      </c>
      <c r="T84" s="385">
        <f>T76*INDEX(input_data!$L:$L,MATCH(CBAM!$B$5&amp;".in.enc.stl.bof.ker",input_data!$A:$A,0))</f>
        <v>0</v>
      </c>
      <c r="U84" s="385">
        <f>U76*INDEX(input_data!$L:$L,MATCH(CBAM!$B$5&amp;".in.enc.stl.bof.ker",input_data!$A:$A,0))</f>
        <v>0</v>
      </c>
      <c r="V84" s="385">
        <f>V76*INDEX(input_data!$L:$L,MATCH(CBAM!$B$5&amp;".in.enc.stl.bof.ker",input_data!$A:$A,0))</f>
        <v>0</v>
      </c>
      <c r="W84" s="385">
        <f>W76*INDEX(input_data!$L:$L,MATCH(CBAM!$B$5&amp;".in.enc.stl.bof.ker",input_data!$A:$A,0))</f>
        <v>0</v>
      </c>
      <c r="X84" s="385">
        <f>X76*INDEX(input_data!$L:$L,MATCH(CBAM!$B$5&amp;".in.enc.stl.bof.ker",input_data!$A:$A,0))</f>
        <v>0</v>
      </c>
    </row>
    <row r="85" spans="1:24" ht="15" customHeight="1" x14ac:dyDescent="0.25">
      <c r="A85" s="380" t="str">
        <f>CBAM!$B$5&amp;".pj.enc.stl.bof.lpg"</f>
        <v>egy.pj.enc.stl.bof.lpg</v>
      </c>
      <c r="B85" s="380" t="str">
        <f>CBAM!$B$5</f>
        <v>egy</v>
      </c>
      <c r="C85" s="380" t="s">
        <v>1275</v>
      </c>
      <c r="D85" s="380" t="s">
        <v>1317</v>
      </c>
      <c r="E85" s="380" t="s">
        <v>322</v>
      </c>
      <c r="F85" s="380" t="s">
        <v>1389</v>
      </c>
      <c r="G85" s="380" t="s">
        <v>1297</v>
      </c>
      <c r="H85" s="380" t="s">
        <v>1399</v>
      </c>
      <c r="I85" s="380" t="s">
        <v>1319</v>
      </c>
      <c r="J85" s="380" t="s">
        <v>1320</v>
      </c>
      <c r="K85" s="380"/>
      <c r="L85" s="380"/>
      <c r="M85" s="385">
        <f>M76*INDEX(input_data!$L:$L,MATCH(CBAM!$B$5&amp;".in.enc.stl.bof.lpg",input_data!$A:$A,0))</f>
        <v>0</v>
      </c>
      <c r="N85" s="385">
        <f>N76*INDEX(input_data!$L:$L,MATCH(CBAM!$B$5&amp;".in.enc.stl.bof.lpg",input_data!$A:$A,0))</f>
        <v>0</v>
      </c>
      <c r="O85" s="385">
        <f>O76*INDEX(input_data!$L:$L,MATCH(CBAM!$B$5&amp;".in.enc.stl.bof.lpg",input_data!$A:$A,0))</f>
        <v>0</v>
      </c>
      <c r="P85" s="385">
        <f>P76*INDEX(input_data!$L:$L,MATCH(CBAM!$B$5&amp;".in.enc.stl.bof.lpg",input_data!$A:$A,0))</f>
        <v>0</v>
      </c>
      <c r="Q85" s="385">
        <f>Q76*INDEX(input_data!$L:$L,MATCH(CBAM!$B$5&amp;".in.enc.stl.bof.lpg",input_data!$A:$A,0))</f>
        <v>0</v>
      </c>
      <c r="R85" s="385">
        <f>R76*INDEX(input_data!$L:$L,MATCH(CBAM!$B$5&amp;".in.enc.stl.bof.lpg",input_data!$A:$A,0))</f>
        <v>0</v>
      </c>
      <c r="S85" s="385">
        <f>S76*INDEX(input_data!$L:$L,MATCH(CBAM!$B$5&amp;".in.enc.stl.bof.lpg",input_data!$A:$A,0))</f>
        <v>0</v>
      </c>
      <c r="T85" s="385">
        <f>T76*INDEX(input_data!$L:$L,MATCH(CBAM!$B$5&amp;".in.enc.stl.bof.lpg",input_data!$A:$A,0))</f>
        <v>0</v>
      </c>
      <c r="U85" s="385">
        <f>U76*INDEX(input_data!$L:$L,MATCH(CBAM!$B$5&amp;".in.enc.stl.bof.lpg",input_data!$A:$A,0))</f>
        <v>0</v>
      </c>
      <c r="V85" s="385">
        <f>V76*INDEX(input_data!$L:$L,MATCH(CBAM!$B$5&amp;".in.enc.stl.bof.lpg",input_data!$A:$A,0))</f>
        <v>0</v>
      </c>
      <c r="W85" s="385">
        <f>W76*INDEX(input_data!$L:$L,MATCH(CBAM!$B$5&amp;".in.enc.stl.bof.lpg",input_data!$A:$A,0))</f>
        <v>0</v>
      </c>
      <c r="X85" s="385">
        <f>X76*INDEX(input_data!$L:$L,MATCH(CBAM!$B$5&amp;".in.enc.stl.bof.lpg",input_data!$A:$A,0))</f>
        <v>0</v>
      </c>
    </row>
    <row r="86" spans="1:24" ht="15" customHeight="1" x14ac:dyDescent="0.25">
      <c r="A86" s="380" t="str">
        <f>CBAM!$B$5&amp;".pj.enc.stl.bof.bio"</f>
        <v>egy.pj.enc.stl.bof.bio</v>
      </c>
      <c r="B86" s="380" t="str">
        <f>CBAM!$B$5</f>
        <v>egy</v>
      </c>
      <c r="C86" s="380" t="s">
        <v>1275</v>
      </c>
      <c r="D86" s="380" t="s">
        <v>1317</v>
      </c>
      <c r="E86" s="380" t="s">
        <v>322</v>
      </c>
      <c r="F86" s="380" t="s">
        <v>1389</v>
      </c>
      <c r="G86" s="380" t="s">
        <v>1299</v>
      </c>
      <c r="H86" s="380" t="s">
        <v>1400</v>
      </c>
      <c r="I86" s="380" t="s">
        <v>1319</v>
      </c>
      <c r="J86" s="380" t="s">
        <v>1320</v>
      </c>
      <c r="K86" s="380"/>
      <c r="L86" s="380"/>
      <c r="M86" s="385">
        <f>M76*INDEX(input_data!$L:$L,MATCH(CBAM!$B$5&amp;".in.enc.stl.bof.bio",input_data!$A:$A,0))</f>
        <v>0</v>
      </c>
      <c r="N86" s="385">
        <f>N76*INDEX(input_data!$L:$L,MATCH(CBAM!$B$5&amp;".in.enc.stl.bof.bio",input_data!$A:$A,0))</f>
        <v>0</v>
      </c>
      <c r="O86" s="385">
        <f>O76*INDEX(input_data!$L:$L,MATCH(CBAM!$B$5&amp;".in.enc.stl.bof.bio",input_data!$A:$A,0))</f>
        <v>0</v>
      </c>
      <c r="P86" s="385">
        <f>P76*INDEX(input_data!$L:$L,MATCH(CBAM!$B$5&amp;".in.enc.stl.bof.bio",input_data!$A:$A,0))</f>
        <v>0</v>
      </c>
      <c r="Q86" s="385">
        <f>Q76*INDEX(input_data!$L:$L,MATCH(CBAM!$B$5&amp;".in.enc.stl.bof.bio",input_data!$A:$A,0))</f>
        <v>0</v>
      </c>
      <c r="R86" s="385">
        <f>R76*INDEX(input_data!$L:$L,MATCH(CBAM!$B$5&amp;".in.enc.stl.bof.bio",input_data!$A:$A,0))</f>
        <v>0</v>
      </c>
      <c r="S86" s="385">
        <f>S76*INDEX(input_data!$L:$L,MATCH(CBAM!$B$5&amp;".in.enc.stl.bof.bio",input_data!$A:$A,0))</f>
        <v>0</v>
      </c>
      <c r="T86" s="385">
        <f>T76*INDEX(input_data!$L:$L,MATCH(CBAM!$B$5&amp;".in.enc.stl.bof.bio",input_data!$A:$A,0))</f>
        <v>0</v>
      </c>
      <c r="U86" s="385">
        <f>U76*INDEX(input_data!$L:$L,MATCH(CBAM!$B$5&amp;".in.enc.stl.bof.bio",input_data!$A:$A,0))</f>
        <v>0</v>
      </c>
      <c r="V86" s="385">
        <f>V76*INDEX(input_data!$L:$L,MATCH(CBAM!$B$5&amp;".in.enc.stl.bof.bio",input_data!$A:$A,0))</f>
        <v>0</v>
      </c>
      <c r="W86" s="385">
        <f>W76*INDEX(input_data!$L:$L,MATCH(CBAM!$B$5&amp;".in.enc.stl.bof.bio",input_data!$A:$A,0))</f>
        <v>0</v>
      </c>
      <c r="X86" s="385">
        <f>X76*INDEX(input_data!$L:$L,MATCH(CBAM!$B$5&amp;".in.enc.stl.bof.bio",input_data!$A:$A,0))</f>
        <v>0</v>
      </c>
    </row>
    <row r="87" spans="1:24" ht="15" customHeight="1" x14ac:dyDescent="0.25">
      <c r="A87" s="380" t="str">
        <f>CBAM!$B$5&amp;".pj.enc.stl.bof.ren"</f>
        <v>egy.pj.enc.stl.bof.ren</v>
      </c>
      <c r="B87" s="380" t="str">
        <f>CBAM!$B$5</f>
        <v>egy</v>
      </c>
      <c r="C87" s="380" t="s">
        <v>1275</v>
      </c>
      <c r="D87" s="380" t="s">
        <v>1317</v>
      </c>
      <c r="E87" s="380" t="s">
        <v>322</v>
      </c>
      <c r="F87" s="380" t="s">
        <v>1389</v>
      </c>
      <c r="G87" s="380" t="s">
        <v>1301</v>
      </c>
      <c r="H87" s="380" t="s">
        <v>1401</v>
      </c>
      <c r="I87" s="380" t="s">
        <v>1319</v>
      </c>
      <c r="J87" s="380" t="s">
        <v>1320</v>
      </c>
      <c r="K87" s="380"/>
      <c r="L87" s="380"/>
      <c r="M87" s="385">
        <f>M76*INDEX(input_data!$L:$L,MATCH(CBAM!$B$5&amp;".in.enc.stl.bof.ren",input_data!$A:$A,0))</f>
        <v>0</v>
      </c>
      <c r="N87" s="385">
        <f>N76*INDEX(input_data!$L:$L,MATCH(CBAM!$B$5&amp;".in.enc.stl.bof.ren",input_data!$A:$A,0))</f>
        <v>0</v>
      </c>
      <c r="O87" s="385">
        <f>O76*INDEX(input_data!$L:$L,MATCH(CBAM!$B$5&amp;".in.enc.stl.bof.ren",input_data!$A:$A,0))</f>
        <v>0</v>
      </c>
      <c r="P87" s="385">
        <f>P76*INDEX(input_data!$L:$L,MATCH(CBAM!$B$5&amp;".in.enc.stl.bof.ren",input_data!$A:$A,0))</f>
        <v>0</v>
      </c>
      <c r="Q87" s="385">
        <f>Q76*INDEX(input_data!$L:$L,MATCH(CBAM!$B$5&amp;".in.enc.stl.bof.ren",input_data!$A:$A,0))</f>
        <v>0</v>
      </c>
      <c r="R87" s="385">
        <f>R76*INDEX(input_data!$L:$L,MATCH(CBAM!$B$5&amp;".in.enc.stl.bof.ren",input_data!$A:$A,0))</f>
        <v>0</v>
      </c>
      <c r="S87" s="385">
        <f>S76*INDEX(input_data!$L:$L,MATCH(CBAM!$B$5&amp;".in.enc.stl.bof.ren",input_data!$A:$A,0))</f>
        <v>0</v>
      </c>
      <c r="T87" s="385">
        <f>T76*INDEX(input_data!$L:$L,MATCH(CBAM!$B$5&amp;".in.enc.stl.bof.ren",input_data!$A:$A,0))</f>
        <v>0</v>
      </c>
      <c r="U87" s="385">
        <f>U76*INDEX(input_data!$L:$L,MATCH(CBAM!$B$5&amp;".in.enc.stl.bof.ren",input_data!$A:$A,0))</f>
        <v>0</v>
      </c>
      <c r="V87" s="385">
        <f>V76*INDEX(input_data!$L:$L,MATCH(CBAM!$B$5&amp;".in.enc.stl.bof.ren",input_data!$A:$A,0))</f>
        <v>0</v>
      </c>
      <c r="W87" s="385">
        <f>W76*INDEX(input_data!$L:$L,MATCH(CBAM!$B$5&amp;".in.enc.stl.bof.ren",input_data!$A:$A,0))</f>
        <v>0</v>
      </c>
      <c r="X87" s="385">
        <f>X76*INDEX(input_data!$L:$L,MATCH(CBAM!$B$5&amp;".in.enc.stl.bof.ren",input_data!$A:$A,0))</f>
        <v>0</v>
      </c>
    </row>
    <row r="88" spans="1:24" ht="15" customHeight="1" x14ac:dyDescent="0.25">
      <c r="A88" s="380" t="str">
        <f>CBAM!$B$5&amp;".pj.enp.stl.bof.coa"</f>
        <v>egy.pj.enp.stl.bof.coa</v>
      </c>
      <c r="B88" s="380" t="str">
        <f>CBAM!$B$5</f>
        <v>egy</v>
      </c>
      <c r="C88" s="380" t="s">
        <v>1275</v>
      </c>
      <c r="D88" s="380" t="s">
        <v>1328</v>
      </c>
      <c r="E88" s="380" t="s">
        <v>322</v>
      </c>
      <c r="F88" s="380" t="s">
        <v>1389</v>
      </c>
      <c r="G88" s="380" t="s">
        <v>757</v>
      </c>
      <c r="H88" s="380" t="s">
        <v>1402</v>
      </c>
      <c r="I88" s="380" t="s">
        <v>1319</v>
      </c>
      <c r="J88" s="380" t="s">
        <v>1330</v>
      </c>
      <c r="K88" s="380"/>
      <c r="L88" s="380"/>
      <c r="M88" s="385">
        <f>M76*INDEX(input_data!$L:$L,MATCH(CBAM!$B$5&amp;".in.enp.stl.bof.coa",input_data!$A:$A,0))</f>
        <v>0</v>
      </c>
      <c r="N88" s="385">
        <f>N76*INDEX(input_data!$L:$L,MATCH(CBAM!$B$5&amp;".in.enp.stl.bof.coa",input_data!$A:$A,0))</f>
        <v>0</v>
      </c>
      <c r="O88" s="385">
        <f>O76*INDEX(input_data!$L:$L,MATCH(CBAM!$B$5&amp;".in.enp.stl.bof.coa",input_data!$A:$A,0))</f>
        <v>0</v>
      </c>
      <c r="P88" s="385">
        <f>P76*INDEX(input_data!$L:$L,MATCH(CBAM!$B$5&amp;".in.enp.stl.bof.coa",input_data!$A:$A,0))</f>
        <v>0</v>
      </c>
      <c r="Q88" s="385">
        <f>Q76*INDEX(input_data!$L:$L,MATCH(CBAM!$B$5&amp;".in.enp.stl.bof.coa",input_data!$A:$A,0))</f>
        <v>0</v>
      </c>
      <c r="R88" s="385">
        <f>R76*INDEX(input_data!$L:$L,MATCH(CBAM!$B$5&amp;".in.enp.stl.bof.coa",input_data!$A:$A,0))</f>
        <v>0</v>
      </c>
      <c r="S88" s="385">
        <f>S76*INDEX(input_data!$L:$L,MATCH(CBAM!$B$5&amp;".in.enp.stl.bof.coa",input_data!$A:$A,0))</f>
        <v>0</v>
      </c>
      <c r="T88" s="385">
        <f>T76*INDEX(input_data!$L:$L,MATCH(CBAM!$B$5&amp;".in.enp.stl.bof.coa",input_data!$A:$A,0))</f>
        <v>0</v>
      </c>
      <c r="U88" s="385">
        <f>U76*INDEX(input_data!$L:$L,MATCH(CBAM!$B$5&amp;".in.enp.stl.bof.coa",input_data!$A:$A,0))</f>
        <v>0</v>
      </c>
      <c r="V88" s="385">
        <f>V76*INDEX(input_data!$L:$L,MATCH(CBAM!$B$5&amp;".in.enp.stl.bof.coa",input_data!$A:$A,0))</f>
        <v>0</v>
      </c>
      <c r="W88" s="385">
        <f>W76*INDEX(input_data!$L:$L,MATCH(CBAM!$B$5&amp;".in.enp.stl.bof.coa",input_data!$A:$A,0))</f>
        <v>0</v>
      </c>
      <c r="X88" s="385">
        <f>X76*INDEX(input_data!$L:$L,MATCH(CBAM!$B$5&amp;".in.enp.stl.bof.coa",input_data!$A:$A,0))</f>
        <v>0</v>
      </c>
    </row>
    <row r="89" spans="1:24" ht="15" customHeight="1" x14ac:dyDescent="0.25">
      <c r="A89" s="380" t="str">
        <f>CBAM!$B$5&amp;".pj.enp.stl.bof.nga"</f>
        <v>egy.pj.enp.stl.bof.nga</v>
      </c>
      <c r="B89" s="380" t="str">
        <f>CBAM!$B$5</f>
        <v>egy</v>
      </c>
      <c r="C89" s="380" t="s">
        <v>1275</v>
      </c>
      <c r="D89" s="380" t="s">
        <v>1328</v>
      </c>
      <c r="E89" s="380" t="s">
        <v>322</v>
      </c>
      <c r="F89" s="380" t="s">
        <v>1389</v>
      </c>
      <c r="G89" s="380" t="s">
        <v>754</v>
      </c>
      <c r="H89" s="380" t="s">
        <v>1403</v>
      </c>
      <c r="I89" s="380" t="s">
        <v>1319</v>
      </c>
      <c r="J89" s="380" t="s">
        <v>1330</v>
      </c>
      <c r="K89" s="380"/>
      <c r="L89" s="380"/>
      <c r="M89" s="385">
        <f>M76*INDEX(input_data!$L:$L,MATCH(CBAM!$B$5&amp;".in.enp.stl.bof.nga",input_data!$A:$A,0))</f>
        <v>0</v>
      </c>
      <c r="N89" s="385">
        <f>N76*INDEX(input_data!$L:$L,MATCH(CBAM!$B$5&amp;".in.enp.stl.bof.nga",input_data!$A:$A,0))</f>
        <v>0</v>
      </c>
      <c r="O89" s="385">
        <f>O76*INDEX(input_data!$L:$L,MATCH(CBAM!$B$5&amp;".in.enp.stl.bof.nga",input_data!$A:$A,0))</f>
        <v>0</v>
      </c>
      <c r="P89" s="385">
        <f>P76*INDEX(input_data!$L:$L,MATCH(CBAM!$B$5&amp;".in.enp.stl.bof.nga",input_data!$A:$A,0))</f>
        <v>0</v>
      </c>
      <c r="Q89" s="385">
        <f>Q76*INDEX(input_data!$L:$L,MATCH(CBAM!$B$5&amp;".in.enp.stl.bof.nga",input_data!$A:$A,0))</f>
        <v>0</v>
      </c>
      <c r="R89" s="385">
        <f>R76*INDEX(input_data!$L:$L,MATCH(CBAM!$B$5&amp;".in.enp.stl.bof.nga",input_data!$A:$A,0))</f>
        <v>0</v>
      </c>
      <c r="S89" s="385">
        <f>S76*INDEX(input_data!$L:$L,MATCH(CBAM!$B$5&amp;".in.enp.stl.bof.nga",input_data!$A:$A,0))</f>
        <v>0</v>
      </c>
      <c r="T89" s="385">
        <f>T76*INDEX(input_data!$L:$L,MATCH(CBAM!$B$5&amp;".in.enp.stl.bof.nga",input_data!$A:$A,0))</f>
        <v>0</v>
      </c>
      <c r="U89" s="385">
        <f>U76*INDEX(input_data!$L:$L,MATCH(CBAM!$B$5&amp;".in.enp.stl.bof.nga",input_data!$A:$A,0))</f>
        <v>0</v>
      </c>
      <c r="V89" s="385">
        <f>V76*INDEX(input_data!$L:$L,MATCH(CBAM!$B$5&amp;".in.enp.stl.bof.nga",input_data!$A:$A,0))</f>
        <v>0</v>
      </c>
      <c r="W89" s="385">
        <f>W76*INDEX(input_data!$L:$L,MATCH(CBAM!$B$5&amp;".in.enp.stl.bof.nga",input_data!$A:$A,0))</f>
        <v>0</v>
      </c>
      <c r="X89" s="385">
        <f>X76*INDEX(input_data!$L:$L,MATCH(CBAM!$B$5&amp;".in.enp.stl.bof.nga",input_data!$A:$A,0))</f>
        <v>0</v>
      </c>
    </row>
    <row r="90" spans="1:24" ht="15" customHeight="1" x14ac:dyDescent="0.25">
      <c r="A90" s="380" t="str">
        <f>CBAM!$B$5&amp;".pj.enp.stl.bof.gso"</f>
        <v>egy.pj.enp.stl.bof.gso</v>
      </c>
      <c r="B90" s="380" t="str">
        <f>CBAM!$B$5</f>
        <v>egy</v>
      </c>
      <c r="C90" s="380" t="s">
        <v>1275</v>
      </c>
      <c r="D90" s="380" t="s">
        <v>1328</v>
      </c>
      <c r="E90" s="380" t="s">
        <v>322</v>
      </c>
      <c r="F90" s="380" t="s">
        <v>1389</v>
      </c>
      <c r="G90" s="380" t="s">
        <v>1292</v>
      </c>
      <c r="H90" s="380" t="s">
        <v>1404</v>
      </c>
      <c r="I90" s="380" t="s">
        <v>1319</v>
      </c>
      <c r="J90" s="380" t="s">
        <v>1330</v>
      </c>
      <c r="K90" s="380"/>
      <c r="L90" s="380"/>
      <c r="M90" s="385">
        <f>M76*INDEX(input_data!$L:$L,MATCH(CBAM!$B$5&amp;".in.enp.stl.bof.gso",input_data!$A:$A,0))</f>
        <v>0</v>
      </c>
      <c r="N90" s="385">
        <f>N76*INDEX(input_data!$L:$L,MATCH(CBAM!$B$5&amp;".in.enp.stl.bof.gso",input_data!$A:$A,0))</f>
        <v>0</v>
      </c>
      <c r="O90" s="385">
        <f>O76*INDEX(input_data!$L:$L,MATCH(CBAM!$B$5&amp;".in.enp.stl.bof.gso",input_data!$A:$A,0))</f>
        <v>0</v>
      </c>
      <c r="P90" s="385">
        <f>P76*INDEX(input_data!$L:$L,MATCH(CBAM!$B$5&amp;".in.enp.stl.bof.gso",input_data!$A:$A,0))</f>
        <v>0</v>
      </c>
      <c r="Q90" s="385">
        <f>Q76*INDEX(input_data!$L:$L,MATCH(CBAM!$B$5&amp;".in.enp.stl.bof.gso",input_data!$A:$A,0))</f>
        <v>0</v>
      </c>
      <c r="R90" s="385">
        <f>R76*INDEX(input_data!$L:$L,MATCH(CBAM!$B$5&amp;".in.enp.stl.bof.gso",input_data!$A:$A,0))</f>
        <v>0</v>
      </c>
      <c r="S90" s="385">
        <f>S76*INDEX(input_data!$L:$L,MATCH(CBAM!$B$5&amp;".in.enp.stl.bof.gso",input_data!$A:$A,0))</f>
        <v>0</v>
      </c>
      <c r="T90" s="385">
        <f>T76*INDEX(input_data!$L:$L,MATCH(CBAM!$B$5&amp;".in.enp.stl.bof.gso",input_data!$A:$A,0))</f>
        <v>0</v>
      </c>
      <c r="U90" s="385">
        <f>U76*INDEX(input_data!$L:$L,MATCH(CBAM!$B$5&amp;".in.enp.stl.bof.gso",input_data!$A:$A,0))</f>
        <v>0</v>
      </c>
      <c r="V90" s="385">
        <f>V76*INDEX(input_data!$L:$L,MATCH(CBAM!$B$5&amp;".in.enp.stl.bof.gso",input_data!$A:$A,0))</f>
        <v>0</v>
      </c>
      <c r="W90" s="385">
        <f>W76*INDEX(input_data!$L:$L,MATCH(CBAM!$B$5&amp;".in.enp.stl.bof.gso",input_data!$A:$A,0))</f>
        <v>0</v>
      </c>
      <c r="X90" s="385">
        <f>X76*INDEX(input_data!$L:$L,MATCH(CBAM!$B$5&amp;".in.enp.stl.bof.gso",input_data!$A:$A,0))</f>
        <v>0</v>
      </c>
    </row>
    <row r="91" spans="1:24" ht="15" customHeight="1" x14ac:dyDescent="0.25">
      <c r="A91" s="380" t="str">
        <f>CBAM!$B$5&amp;".pj.enp.stl.bof.die"</f>
        <v>egy.pj.enp.stl.bof.die</v>
      </c>
      <c r="B91" s="380" t="str">
        <f>CBAM!$B$5</f>
        <v>egy</v>
      </c>
      <c r="C91" s="380" t="s">
        <v>1275</v>
      </c>
      <c r="D91" s="380" t="s">
        <v>1328</v>
      </c>
      <c r="E91" s="380" t="s">
        <v>322</v>
      </c>
      <c r="F91" s="380" t="s">
        <v>1389</v>
      </c>
      <c r="G91" s="380" t="s">
        <v>762</v>
      </c>
      <c r="H91" s="380" t="s">
        <v>1405</v>
      </c>
      <c r="I91" s="380" t="s">
        <v>1319</v>
      </c>
      <c r="J91" s="380" t="s">
        <v>1330</v>
      </c>
      <c r="K91" s="380"/>
      <c r="L91" s="380"/>
      <c r="M91" s="385">
        <f>M76*INDEX(input_data!$L:$L,MATCH(CBAM!$B$5&amp;".in.enp.stl.bof.die",input_data!$A:$A,0))</f>
        <v>0</v>
      </c>
      <c r="N91" s="385">
        <f>N76*INDEX(input_data!$L:$L,MATCH(CBAM!$B$5&amp;".in.enp.stl.bof.die",input_data!$A:$A,0))</f>
        <v>0</v>
      </c>
      <c r="O91" s="385">
        <f>O76*INDEX(input_data!$L:$L,MATCH(CBAM!$B$5&amp;".in.enp.stl.bof.die",input_data!$A:$A,0))</f>
        <v>0</v>
      </c>
      <c r="P91" s="385">
        <f>P76*INDEX(input_data!$L:$L,MATCH(CBAM!$B$5&amp;".in.enp.stl.bof.die",input_data!$A:$A,0))</f>
        <v>0</v>
      </c>
      <c r="Q91" s="385">
        <f>Q76*INDEX(input_data!$L:$L,MATCH(CBAM!$B$5&amp;".in.enp.stl.bof.die",input_data!$A:$A,0))</f>
        <v>0</v>
      </c>
      <c r="R91" s="385">
        <f>R76*INDEX(input_data!$L:$L,MATCH(CBAM!$B$5&amp;".in.enp.stl.bof.die",input_data!$A:$A,0))</f>
        <v>0</v>
      </c>
      <c r="S91" s="385">
        <f>S76*INDEX(input_data!$L:$L,MATCH(CBAM!$B$5&amp;".in.enp.stl.bof.die",input_data!$A:$A,0))</f>
        <v>0</v>
      </c>
      <c r="T91" s="385">
        <f>T76*INDEX(input_data!$L:$L,MATCH(CBAM!$B$5&amp;".in.enp.stl.bof.die",input_data!$A:$A,0))</f>
        <v>0</v>
      </c>
      <c r="U91" s="385">
        <f>U76*INDEX(input_data!$L:$L,MATCH(CBAM!$B$5&amp;".in.enp.stl.bof.die",input_data!$A:$A,0))</f>
        <v>0</v>
      </c>
      <c r="V91" s="385">
        <f>V76*INDEX(input_data!$L:$L,MATCH(CBAM!$B$5&amp;".in.enp.stl.bof.die",input_data!$A:$A,0))</f>
        <v>0</v>
      </c>
      <c r="W91" s="385">
        <f>W76*INDEX(input_data!$L:$L,MATCH(CBAM!$B$5&amp;".in.enp.stl.bof.die",input_data!$A:$A,0))</f>
        <v>0</v>
      </c>
      <c r="X91" s="385">
        <f>X76*INDEX(input_data!$L:$L,MATCH(CBAM!$B$5&amp;".in.enp.stl.bof.die",input_data!$A:$A,0))</f>
        <v>0</v>
      </c>
    </row>
    <row r="92" spans="1:24" ht="15" customHeight="1" x14ac:dyDescent="0.25">
      <c r="A92" s="380" t="str">
        <f>CBAM!$B$5&amp;".pj.enp.stl.bof.ker"</f>
        <v>egy.pj.enp.stl.bof.ker</v>
      </c>
      <c r="B92" s="380" t="str">
        <f>CBAM!$B$5</f>
        <v>egy</v>
      </c>
      <c r="C92" s="380" t="s">
        <v>1275</v>
      </c>
      <c r="D92" s="380" t="s">
        <v>1328</v>
      </c>
      <c r="E92" s="380" t="s">
        <v>322</v>
      </c>
      <c r="F92" s="380" t="s">
        <v>1389</v>
      </c>
      <c r="G92" s="380" t="s">
        <v>1295</v>
      </c>
      <c r="H92" s="380" t="s">
        <v>1406</v>
      </c>
      <c r="I92" s="380" t="s">
        <v>1319</v>
      </c>
      <c r="J92" s="380" t="s">
        <v>1330</v>
      </c>
      <c r="K92" s="380"/>
      <c r="L92" s="380"/>
      <c r="M92" s="385">
        <f>M76*INDEX(input_data!$L:$L,MATCH(CBAM!$B$5&amp;".in.enp.stl.bof.ker",input_data!$A:$A,0))</f>
        <v>0</v>
      </c>
      <c r="N92" s="385">
        <f>N76*INDEX(input_data!$L:$L,MATCH(CBAM!$B$5&amp;".in.enp.stl.bof.ker",input_data!$A:$A,0))</f>
        <v>0</v>
      </c>
      <c r="O92" s="385">
        <f>O76*INDEX(input_data!$L:$L,MATCH(CBAM!$B$5&amp;".in.enp.stl.bof.ker",input_data!$A:$A,0))</f>
        <v>0</v>
      </c>
      <c r="P92" s="385">
        <f>P76*INDEX(input_data!$L:$L,MATCH(CBAM!$B$5&amp;".in.enp.stl.bof.ker",input_data!$A:$A,0))</f>
        <v>0</v>
      </c>
      <c r="Q92" s="385">
        <f>Q76*INDEX(input_data!$L:$L,MATCH(CBAM!$B$5&amp;".in.enp.stl.bof.ker",input_data!$A:$A,0))</f>
        <v>0</v>
      </c>
      <c r="R92" s="385">
        <f>R76*INDEX(input_data!$L:$L,MATCH(CBAM!$B$5&amp;".in.enp.stl.bof.ker",input_data!$A:$A,0))</f>
        <v>0</v>
      </c>
      <c r="S92" s="385">
        <f>S76*INDEX(input_data!$L:$L,MATCH(CBAM!$B$5&amp;".in.enp.stl.bof.ker",input_data!$A:$A,0))</f>
        <v>0</v>
      </c>
      <c r="T92" s="385">
        <f>T76*INDEX(input_data!$L:$L,MATCH(CBAM!$B$5&amp;".in.enp.stl.bof.ker",input_data!$A:$A,0))</f>
        <v>0</v>
      </c>
      <c r="U92" s="385">
        <f>U76*INDEX(input_data!$L:$L,MATCH(CBAM!$B$5&amp;".in.enp.stl.bof.ker",input_data!$A:$A,0))</f>
        <v>0</v>
      </c>
      <c r="V92" s="385">
        <f>V76*INDEX(input_data!$L:$L,MATCH(CBAM!$B$5&amp;".in.enp.stl.bof.ker",input_data!$A:$A,0))</f>
        <v>0</v>
      </c>
      <c r="W92" s="385">
        <f>W76*INDEX(input_data!$L:$L,MATCH(CBAM!$B$5&amp;".in.enp.stl.bof.ker",input_data!$A:$A,0))</f>
        <v>0</v>
      </c>
      <c r="X92" s="385">
        <f>X76*INDEX(input_data!$L:$L,MATCH(CBAM!$B$5&amp;".in.enp.stl.bof.ker",input_data!$A:$A,0))</f>
        <v>0</v>
      </c>
    </row>
    <row r="93" spans="1:24" ht="15" customHeight="1" x14ac:dyDescent="0.25">
      <c r="A93" s="380" t="str">
        <f>CBAM!$B$5&amp;".pj.enp.stl.bof.lpg"</f>
        <v>egy.pj.enp.stl.bof.lpg</v>
      </c>
      <c r="B93" s="380" t="str">
        <f>CBAM!$B$5</f>
        <v>egy</v>
      </c>
      <c r="C93" s="380" t="s">
        <v>1275</v>
      </c>
      <c r="D93" s="380" t="s">
        <v>1328</v>
      </c>
      <c r="E93" s="380" t="s">
        <v>322</v>
      </c>
      <c r="F93" s="380" t="s">
        <v>1389</v>
      </c>
      <c r="G93" s="380" t="s">
        <v>1297</v>
      </c>
      <c r="H93" s="380" t="s">
        <v>1407</v>
      </c>
      <c r="I93" s="380" t="s">
        <v>1319</v>
      </c>
      <c r="J93" s="380" t="s">
        <v>1330</v>
      </c>
      <c r="K93" s="380"/>
      <c r="L93" s="380"/>
      <c r="M93" s="385">
        <f>M76*INDEX(input_data!$L:$L,MATCH(CBAM!$B$5&amp;".in.enp.stl.bof.lpg",input_data!$A:$A,0))</f>
        <v>0</v>
      </c>
      <c r="N93" s="385">
        <f>N76*INDEX(input_data!$L:$L,MATCH(CBAM!$B$5&amp;".in.enp.stl.bof.lpg",input_data!$A:$A,0))</f>
        <v>0</v>
      </c>
      <c r="O93" s="385">
        <f>O76*INDEX(input_data!$L:$L,MATCH(CBAM!$B$5&amp;".in.enp.stl.bof.lpg",input_data!$A:$A,0))</f>
        <v>0</v>
      </c>
      <c r="P93" s="385">
        <f>P76*INDEX(input_data!$L:$L,MATCH(CBAM!$B$5&amp;".in.enp.stl.bof.lpg",input_data!$A:$A,0))</f>
        <v>0</v>
      </c>
      <c r="Q93" s="385">
        <f>Q76*INDEX(input_data!$L:$L,MATCH(CBAM!$B$5&amp;".in.enp.stl.bof.lpg",input_data!$A:$A,0))</f>
        <v>0</v>
      </c>
      <c r="R93" s="385">
        <f>R76*INDEX(input_data!$L:$L,MATCH(CBAM!$B$5&amp;".in.enp.stl.bof.lpg",input_data!$A:$A,0))</f>
        <v>0</v>
      </c>
      <c r="S93" s="385">
        <f>S76*INDEX(input_data!$L:$L,MATCH(CBAM!$B$5&amp;".in.enp.stl.bof.lpg",input_data!$A:$A,0))</f>
        <v>0</v>
      </c>
      <c r="T93" s="385">
        <f>T76*INDEX(input_data!$L:$L,MATCH(CBAM!$B$5&amp;".in.enp.stl.bof.lpg",input_data!$A:$A,0))</f>
        <v>0</v>
      </c>
      <c r="U93" s="385">
        <f>U76*INDEX(input_data!$L:$L,MATCH(CBAM!$B$5&amp;".in.enp.stl.bof.lpg",input_data!$A:$A,0))</f>
        <v>0</v>
      </c>
      <c r="V93" s="385">
        <f>V76*INDEX(input_data!$L:$L,MATCH(CBAM!$B$5&amp;".in.enp.stl.bof.lpg",input_data!$A:$A,0))</f>
        <v>0</v>
      </c>
      <c r="W93" s="385">
        <f>W76*INDEX(input_data!$L:$L,MATCH(CBAM!$B$5&amp;".in.enp.stl.bof.lpg",input_data!$A:$A,0))</f>
        <v>0</v>
      </c>
      <c r="X93" s="385">
        <f>X76*INDEX(input_data!$L:$L,MATCH(CBAM!$B$5&amp;".in.enp.stl.bof.lpg",input_data!$A:$A,0))</f>
        <v>0</v>
      </c>
    </row>
    <row r="94" spans="1:24" ht="15" customHeight="1" x14ac:dyDescent="0.25">
      <c r="A94" s="380" t="str">
        <f>CBAM!$B$5&amp;".pj.enp.stl.bof.bio"</f>
        <v>egy.pj.enp.stl.bof.bio</v>
      </c>
      <c r="B94" s="380" t="str">
        <f>CBAM!$B$5</f>
        <v>egy</v>
      </c>
      <c r="C94" s="380" t="s">
        <v>1275</v>
      </c>
      <c r="D94" s="380" t="s">
        <v>1328</v>
      </c>
      <c r="E94" s="380" t="s">
        <v>322</v>
      </c>
      <c r="F94" s="380" t="s">
        <v>1389</v>
      </c>
      <c r="G94" s="380" t="s">
        <v>1299</v>
      </c>
      <c r="H94" s="380" t="s">
        <v>1408</v>
      </c>
      <c r="I94" s="380" t="s">
        <v>1319</v>
      </c>
      <c r="J94" s="380" t="s">
        <v>1330</v>
      </c>
      <c r="K94" s="380"/>
      <c r="L94" s="380"/>
      <c r="M94" s="385">
        <f>M76*INDEX(input_data!$L:$L,MATCH(CBAM!$B$5&amp;".in.enp.stl.bof.bio",input_data!$A:$A,0))</f>
        <v>0</v>
      </c>
      <c r="N94" s="385">
        <f>N76*INDEX(input_data!$L:$L,MATCH(CBAM!$B$5&amp;".in.enp.stl.bof.bio",input_data!$A:$A,0))</f>
        <v>0</v>
      </c>
      <c r="O94" s="385">
        <f>O76*INDEX(input_data!$L:$L,MATCH(CBAM!$B$5&amp;".in.enp.stl.bof.bio",input_data!$A:$A,0))</f>
        <v>0</v>
      </c>
      <c r="P94" s="385">
        <f>P76*INDEX(input_data!$L:$L,MATCH(CBAM!$B$5&amp;".in.enp.stl.bof.bio",input_data!$A:$A,0))</f>
        <v>0</v>
      </c>
      <c r="Q94" s="385">
        <f>Q76*INDEX(input_data!$L:$L,MATCH(CBAM!$B$5&amp;".in.enp.stl.bof.bio",input_data!$A:$A,0))</f>
        <v>0</v>
      </c>
      <c r="R94" s="385">
        <f>R76*INDEX(input_data!$L:$L,MATCH(CBAM!$B$5&amp;".in.enp.stl.bof.bio",input_data!$A:$A,0))</f>
        <v>0</v>
      </c>
      <c r="S94" s="385">
        <f>S76*INDEX(input_data!$L:$L,MATCH(CBAM!$B$5&amp;".in.enp.stl.bof.bio",input_data!$A:$A,0))</f>
        <v>0</v>
      </c>
      <c r="T94" s="385">
        <f>T76*INDEX(input_data!$L:$L,MATCH(CBAM!$B$5&amp;".in.enp.stl.bof.bio",input_data!$A:$A,0))</f>
        <v>0</v>
      </c>
      <c r="U94" s="385">
        <f>U76*INDEX(input_data!$L:$L,MATCH(CBAM!$B$5&amp;".in.enp.stl.bof.bio",input_data!$A:$A,0))</f>
        <v>0</v>
      </c>
      <c r="V94" s="385">
        <f>V76*INDEX(input_data!$L:$L,MATCH(CBAM!$B$5&amp;".in.enp.stl.bof.bio",input_data!$A:$A,0))</f>
        <v>0</v>
      </c>
      <c r="W94" s="385">
        <f>W76*INDEX(input_data!$L:$L,MATCH(CBAM!$B$5&amp;".in.enp.stl.bof.bio",input_data!$A:$A,0))</f>
        <v>0</v>
      </c>
      <c r="X94" s="385">
        <f>X76*INDEX(input_data!$L:$L,MATCH(CBAM!$B$5&amp;".in.enp.stl.bof.bio",input_data!$A:$A,0))</f>
        <v>0</v>
      </c>
    </row>
    <row r="95" spans="1:24" ht="15" customHeight="1" x14ac:dyDescent="0.25">
      <c r="A95" s="380" t="str">
        <f>CBAM!$B$5&amp;".pj.enp.stl.bof.ren"</f>
        <v>egy.pj.enp.stl.bof.ren</v>
      </c>
      <c r="B95" s="380" t="str">
        <f>CBAM!$B$5</f>
        <v>egy</v>
      </c>
      <c r="C95" s="380" t="s">
        <v>1275</v>
      </c>
      <c r="D95" s="380" t="s">
        <v>1328</v>
      </c>
      <c r="E95" s="380" t="s">
        <v>322</v>
      </c>
      <c r="F95" s="380" t="s">
        <v>1389</v>
      </c>
      <c r="G95" s="380" t="s">
        <v>1301</v>
      </c>
      <c r="H95" s="380" t="s">
        <v>1409</v>
      </c>
      <c r="I95" s="380" t="s">
        <v>1319</v>
      </c>
      <c r="J95" s="380" t="s">
        <v>1330</v>
      </c>
      <c r="K95" s="380"/>
      <c r="L95" s="380"/>
      <c r="M95" s="385">
        <f>M76*INDEX(input_data!$L:$L,MATCH(CBAM!$B$5&amp;".in.enp.stl.bof.ren",input_data!$A:$A,0))</f>
        <v>0</v>
      </c>
      <c r="N95" s="385">
        <f>N76*INDEX(input_data!$L:$L,MATCH(CBAM!$B$5&amp;".in.enp.stl.bof.ren",input_data!$A:$A,0))</f>
        <v>0</v>
      </c>
      <c r="O95" s="385">
        <f>O76*INDEX(input_data!$L:$L,MATCH(CBAM!$B$5&amp;".in.enp.stl.bof.ren",input_data!$A:$A,0))</f>
        <v>0</v>
      </c>
      <c r="P95" s="385">
        <f>P76*INDEX(input_data!$L:$L,MATCH(CBAM!$B$5&amp;".in.enp.stl.bof.ren",input_data!$A:$A,0))</f>
        <v>0</v>
      </c>
      <c r="Q95" s="385">
        <f>Q76*INDEX(input_data!$L:$L,MATCH(CBAM!$B$5&amp;".in.enp.stl.bof.ren",input_data!$A:$A,0))</f>
        <v>0</v>
      </c>
      <c r="R95" s="385">
        <f>R76*INDEX(input_data!$L:$L,MATCH(CBAM!$B$5&amp;".in.enp.stl.bof.ren",input_data!$A:$A,0))</f>
        <v>0</v>
      </c>
      <c r="S95" s="385">
        <f>S76*INDEX(input_data!$L:$L,MATCH(CBAM!$B$5&amp;".in.enp.stl.bof.ren",input_data!$A:$A,0))</f>
        <v>0</v>
      </c>
      <c r="T95" s="385">
        <f>T76*INDEX(input_data!$L:$L,MATCH(CBAM!$B$5&amp;".in.enp.stl.bof.ren",input_data!$A:$A,0))</f>
        <v>0</v>
      </c>
      <c r="U95" s="385">
        <f>U76*INDEX(input_data!$L:$L,MATCH(CBAM!$B$5&amp;".in.enp.stl.bof.ren",input_data!$A:$A,0))</f>
        <v>0</v>
      </c>
      <c r="V95" s="385">
        <f>V76*INDEX(input_data!$L:$L,MATCH(CBAM!$B$5&amp;".in.enp.stl.bof.ren",input_data!$A:$A,0))</f>
        <v>0</v>
      </c>
      <c r="W95" s="385">
        <f>W76*INDEX(input_data!$L:$L,MATCH(CBAM!$B$5&amp;".in.enp.stl.bof.ren",input_data!$A:$A,0))</f>
        <v>0</v>
      </c>
      <c r="X95" s="385">
        <f>X76*INDEX(input_data!$L:$L,MATCH(CBAM!$B$5&amp;".in.enp.stl.bof.ren",input_data!$A:$A,0))</f>
        <v>0</v>
      </c>
    </row>
    <row r="96" spans="1:24" ht="15" customHeight="1" x14ac:dyDescent="0.25">
      <c r="A96" s="380" t="str">
        <f>CBAM!$B$5&amp;".pj.ele.stl.bof.elc"</f>
        <v>egy.pj.ele.stl.bof.elc</v>
      </c>
      <c r="B96" s="380" t="str">
        <f>CBAM!$B$5</f>
        <v>egy</v>
      </c>
      <c r="C96" s="380" t="s">
        <v>1275</v>
      </c>
      <c r="D96" s="380" t="s">
        <v>1338</v>
      </c>
      <c r="E96" s="380" t="s">
        <v>322</v>
      </c>
      <c r="F96" s="380" t="s">
        <v>1389</v>
      </c>
      <c r="G96" s="380" t="s">
        <v>1339</v>
      </c>
      <c r="H96" s="380" t="s">
        <v>1410</v>
      </c>
      <c r="I96" s="380" t="s">
        <v>1319</v>
      </c>
      <c r="J96" s="380" t="s">
        <v>1341</v>
      </c>
      <c r="K96" s="380"/>
      <c r="L96" s="380"/>
      <c r="M96" s="385">
        <f>M76*INDEX(input_data!$L:$L,MATCH(CBAM!$B$5&amp;".in.ele.stl.bof.elc",input_data!$A:$A,0))</f>
        <v>0</v>
      </c>
      <c r="N96" s="385">
        <f>N76*INDEX(input_data!$L:$L,MATCH(CBAM!$B$5&amp;".in.ele.stl.bof.elc",input_data!$A:$A,0))</f>
        <v>0</v>
      </c>
      <c r="O96" s="385">
        <f>O76*INDEX(input_data!$L:$L,MATCH(CBAM!$B$5&amp;".in.ele.stl.bof.elc",input_data!$A:$A,0))</f>
        <v>0</v>
      </c>
      <c r="P96" s="385">
        <f>P76*INDEX(input_data!$L:$L,MATCH(CBAM!$B$5&amp;".in.ele.stl.bof.elc",input_data!$A:$A,0))</f>
        <v>0</v>
      </c>
      <c r="Q96" s="385">
        <f>Q76*INDEX(input_data!$L:$L,MATCH(CBAM!$B$5&amp;".in.ele.stl.bof.elc",input_data!$A:$A,0))</f>
        <v>0</v>
      </c>
      <c r="R96" s="385">
        <f>R76*INDEX(input_data!$L:$L,MATCH(CBAM!$B$5&amp;".in.ele.stl.bof.elc",input_data!$A:$A,0))</f>
        <v>0</v>
      </c>
      <c r="S96" s="385">
        <f>S76*INDEX(input_data!$L:$L,MATCH(CBAM!$B$5&amp;".in.ele.stl.bof.elc",input_data!$A:$A,0))</f>
        <v>0</v>
      </c>
      <c r="T96" s="385">
        <f>T76*INDEX(input_data!$L:$L,MATCH(CBAM!$B$5&amp;".in.ele.stl.bof.elc",input_data!$A:$A,0))</f>
        <v>0</v>
      </c>
      <c r="U96" s="385">
        <f>U76*INDEX(input_data!$L:$L,MATCH(CBAM!$B$5&amp;".in.ele.stl.bof.elc",input_data!$A:$A,0))</f>
        <v>0</v>
      </c>
      <c r="V96" s="385">
        <f>V76*INDEX(input_data!$L:$L,MATCH(CBAM!$B$5&amp;".in.ele.stl.bof.elc",input_data!$A:$A,0))</f>
        <v>0</v>
      </c>
      <c r="W96" s="385">
        <f>W76*INDEX(input_data!$L:$L,MATCH(CBAM!$B$5&amp;".in.ele.stl.bof.elc",input_data!$A:$A,0))</f>
        <v>0</v>
      </c>
      <c r="X96" s="385">
        <f>X76*INDEX(input_data!$L:$L,MATCH(CBAM!$B$5&amp;".in.ele.stl.bof.elc",input_data!$A:$A,0))</f>
        <v>0</v>
      </c>
    </row>
    <row r="97" spans="1:24" ht="15" customHeight="1" x14ac:dyDescent="0.25">
      <c r="A97" s="380" t="str">
        <f>CBAM!$B$5&amp;".em.sfc.stl.bof.---"</f>
        <v>egy.em.sfc.stl.bof.---</v>
      </c>
      <c r="B97" s="380" t="str">
        <f>CBAM!$B$5</f>
        <v>egy</v>
      </c>
      <c r="C97" s="380" t="s">
        <v>1342</v>
      </c>
      <c r="D97" s="380" t="s">
        <v>1343</v>
      </c>
      <c r="E97" s="380" t="s">
        <v>322</v>
      </c>
      <c r="F97" s="380" t="s">
        <v>1389</v>
      </c>
      <c r="G97" s="380" t="s">
        <v>1277</v>
      </c>
      <c r="H97" s="380" t="s">
        <v>1411</v>
      </c>
      <c r="I97" s="380" t="s">
        <v>1345</v>
      </c>
      <c r="J97" s="380" t="s">
        <v>1346</v>
      </c>
      <c r="K97" s="380"/>
      <c r="L97" s="380"/>
      <c r="M97" s="385">
        <f t="shared" ref="M97:X97" si="5">SUMPRODUCT(M80:M87,M10:M17)/1000</f>
        <v>0</v>
      </c>
      <c r="N97" s="385">
        <f t="shared" si="5"/>
        <v>0</v>
      </c>
      <c r="O97" s="385">
        <f t="shared" si="5"/>
        <v>0</v>
      </c>
      <c r="P97" s="385">
        <f t="shared" si="5"/>
        <v>0</v>
      </c>
      <c r="Q97" s="385">
        <f t="shared" si="5"/>
        <v>0</v>
      </c>
      <c r="R97" s="385">
        <f t="shared" si="5"/>
        <v>0</v>
      </c>
      <c r="S97" s="385">
        <f t="shared" si="5"/>
        <v>0</v>
      </c>
      <c r="T97" s="385">
        <f t="shared" si="5"/>
        <v>0</v>
      </c>
      <c r="U97" s="385">
        <f t="shared" si="5"/>
        <v>0</v>
      </c>
      <c r="V97" s="385">
        <f t="shared" si="5"/>
        <v>0</v>
      </c>
      <c r="W97" s="385">
        <f t="shared" si="5"/>
        <v>0</v>
      </c>
      <c r="X97" s="385">
        <f t="shared" si="5"/>
        <v>0</v>
      </c>
    </row>
    <row r="98" spans="1:24" ht="15" customHeight="1" x14ac:dyDescent="0.25">
      <c r="A98" s="380" t="str">
        <f>CBAM!$B$5&amp;".em.sfp.stl.bof.---"</f>
        <v>egy.em.sfp.stl.bof.---</v>
      </c>
      <c r="B98" s="380" t="str">
        <f>CBAM!$B$5</f>
        <v>egy</v>
      </c>
      <c r="C98" s="380" t="s">
        <v>1342</v>
      </c>
      <c r="D98" s="380" t="s">
        <v>1347</v>
      </c>
      <c r="E98" s="380" t="s">
        <v>322</v>
      </c>
      <c r="F98" s="380" t="s">
        <v>1389</v>
      </c>
      <c r="G98" s="380" t="s">
        <v>1277</v>
      </c>
      <c r="H98" s="380" t="s">
        <v>1412</v>
      </c>
      <c r="I98" s="380" t="s">
        <v>1345</v>
      </c>
      <c r="J98" s="380" t="s">
        <v>1349</v>
      </c>
      <c r="K98" s="380"/>
      <c r="L98" s="380"/>
      <c r="M98" s="385">
        <f t="shared" ref="M98:X98" si="6">SUMPRODUCT(M88:M95,M10:M17)/1000</f>
        <v>0</v>
      </c>
      <c r="N98" s="385">
        <f t="shared" si="6"/>
        <v>0</v>
      </c>
      <c r="O98" s="385">
        <f t="shared" si="6"/>
        <v>0</v>
      </c>
      <c r="P98" s="385">
        <f t="shared" si="6"/>
        <v>0</v>
      </c>
      <c r="Q98" s="385">
        <f t="shared" si="6"/>
        <v>0</v>
      </c>
      <c r="R98" s="385">
        <f t="shared" si="6"/>
        <v>0</v>
      </c>
      <c r="S98" s="385">
        <f t="shared" si="6"/>
        <v>0</v>
      </c>
      <c r="T98" s="385">
        <f t="shared" si="6"/>
        <v>0</v>
      </c>
      <c r="U98" s="385">
        <f t="shared" si="6"/>
        <v>0</v>
      </c>
      <c r="V98" s="385">
        <f t="shared" si="6"/>
        <v>0</v>
      </c>
      <c r="W98" s="385">
        <f t="shared" si="6"/>
        <v>0</v>
      </c>
      <c r="X98" s="385">
        <f t="shared" si="6"/>
        <v>0</v>
      </c>
    </row>
    <row r="99" spans="1:24" ht="15" customHeight="1" x14ac:dyDescent="0.25">
      <c r="A99" s="380" t="str">
        <f>CBAM!$B$5&amp;".em.snp.stl.bof.---"</f>
        <v>egy.em.snp.stl.bof.---</v>
      </c>
      <c r="B99" s="380" t="str">
        <f>CBAM!$B$5</f>
        <v>egy</v>
      </c>
      <c r="C99" s="380" t="s">
        <v>1342</v>
      </c>
      <c r="D99" s="380" t="s">
        <v>1350</v>
      </c>
      <c r="E99" s="380" t="s">
        <v>322</v>
      </c>
      <c r="F99" s="380" t="s">
        <v>1389</v>
      </c>
      <c r="G99" s="380" t="s">
        <v>1277</v>
      </c>
      <c r="H99" s="380" t="s">
        <v>1413</v>
      </c>
      <c r="I99" s="380" t="s">
        <v>1345</v>
      </c>
      <c r="J99" s="380" t="s">
        <v>1352</v>
      </c>
      <c r="K99" s="380"/>
      <c r="L99" s="380"/>
      <c r="M99" s="385">
        <f>M76*INDEX(input_data!$L:$L,MATCH(CBAM!$B$5&amp;".in.efn.stl.bof.---",input_data!$A:$A,0))</f>
        <v>0</v>
      </c>
      <c r="N99" s="385">
        <f>N76*INDEX(input_data!$L:$L,MATCH(CBAM!$B$5&amp;".in.efn.stl.bof.---",input_data!$A:$A,0))</f>
        <v>0</v>
      </c>
      <c r="O99" s="385">
        <f>O76*INDEX(input_data!$L:$L,MATCH(CBAM!$B$5&amp;".in.efn.stl.bof.---",input_data!$A:$A,0))</f>
        <v>0</v>
      </c>
      <c r="P99" s="385">
        <f>P76*INDEX(input_data!$L:$L,MATCH(CBAM!$B$5&amp;".in.efn.stl.bof.---",input_data!$A:$A,0))</f>
        <v>0</v>
      </c>
      <c r="Q99" s="385">
        <f>Q76*INDEX(input_data!$L:$L,MATCH(CBAM!$B$5&amp;".in.efn.stl.bof.---",input_data!$A:$A,0))</f>
        <v>0</v>
      </c>
      <c r="R99" s="385">
        <f>R76*INDEX(input_data!$L:$L,MATCH(CBAM!$B$5&amp;".in.efn.stl.bof.---",input_data!$A:$A,0))</f>
        <v>0</v>
      </c>
      <c r="S99" s="385">
        <f>S76*INDEX(input_data!$L:$L,MATCH(CBAM!$B$5&amp;".in.efn.stl.bof.---",input_data!$A:$A,0))</f>
        <v>0</v>
      </c>
      <c r="T99" s="385">
        <f>T76*INDEX(input_data!$L:$L,MATCH(CBAM!$B$5&amp;".in.efn.stl.bof.---",input_data!$A:$A,0))</f>
        <v>0</v>
      </c>
      <c r="U99" s="385">
        <f>U76*INDEX(input_data!$L:$L,MATCH(CBAM!$B$5&amp;".in.efn.stl.bof.---",input_data!$A:$A,0))</f>
        <v>0</v>
      </c>
      <c r="V99" s="385">
        <f>V76*INDEX(input_data!$L:$L,MATCH(CBAM!$B$5&amp;".in.efn.stl.bof.---",input_data!$A:$A,0))</f>
        <v>0</v>
      </c>
      <c r="W99" s="385">
        <f>W76*INDEX(input_data!$L:$L,MATCH(CBAM!$B$5&amp;".in.efn.stl.bof.---",input_data!$A:$A,0))</f>
        <v>0</v>
      </c>
      <c r="X99" s="385">
        <f>X76*INDEX(input_data!$L:$L,MATCH(CBAM!$B$5&amp;".in.efn.stl.bof.---",input_data!$A:$A,0))</f>
        <v>0</v>
      </c>
    </row>
    <row r="100" spans="1:24" ht="15" customHeight="1" x14ac:dyDescent="0.25">
      <c r="A100" s="380" t="str">
        <f>CBAM!$B$5&amp;".em.sno.stl.bof.---"</f>
        <v>egy.em.sno.stl.bof.---</v>
      </c>
      <c r="B100" s="380" t="str">
        <f>CBAM!$B$5</f>
        <v>egy</v>
      </c>
      <c r="C100" s="380" t="s">
        <v>1342</v>
      </c>
      <c r="D100" s="380" t="s">
        <v>1353</v>
      </c>
      <c r="E100" s="380" t="s">
        <v>322</v>
      </c>
      <c r="F100" s="380" t="s">
        <v>1389</v>
      </c>
      <c r="G100" s="380" t="s">
        <v>1277</v>
      </c>
      <c r="H100" s="380" t="s">
        <v>1414</v>
      </c>
      <c r="I100" s="380" t="s">
        <v>1355</v>
      </c>
      <c r="J100" s="380" t="s">
        <v>1356</v>
      </c>
      <c r="K100" s="380"/>
      <c r="L100" s="380"/>
      <c r="M100" s="385">
        <f>M76*INDEX(input_data!$L:$L,MATCH(CBAM!$B$5&amp;".in.efo.stl.bof.---",input_data!$A:$A,0))</f>
        <v>0</v>
      </c>
      <c r="N100" s="385">
        <f>N76*INDEX(input_data!$L:$L,MATCH(CBAM!$B$5&amp;".in.efo.stl.bof.---",input_data!$A:$A,0))</f>
        <v>0</v>
      </c>
      <c r="O100" s="385">
        <f>O76*INDEX(input_data!$L:$L,MATCH(CBAM!$B$5&amp;".in.efo.stl.bof.---",input_data!$A:$A,0))</f>
        <v>0</v>
      </c>
      <c r="P100" s="385">
        <f>P76*INDEX(input_data!$L:$L,MATCH(CBAM!$B$5&amp;".in.efo.stl.bof.---",input_data!$A:$A,0))</f>
        <v>0</v>
      </c>
      <c r="Q100" s="385">
        <f>Q76*INDEX(input_data!$L:$L,MATCH(CBAM!$B$5&amp;".in.efo.stl.bof.---",input_data!$A:$A,0))</f>
        <v>0</v>
      </c>
      <c r="R100" s="385">
        <f>R76*INDEX(input_data!$L:$L,MATCH(CBAM!$B$5&amp;".in.efo.stl.bof.---",input_data!$A:$A,0))</f>
        <v>0</v>
      </c>
      <c r="S100" s="385">
        <f>S76*INDEX(input_data!$L:$L,MATCH(CBAM!$B$5&amp;".in.efo.stl.bof.---",input_data!$A:$A,0))</f>
        <v>0</v>
      </c>
      <c r="T100" s="385">
        <f>T76*INDEX(input_data!$L:$L,MATCH(CBAM!$B$5&amp;".in.efo.stl.bof.---",input_data!$A:$A,0))</f>
        <v>0</v>
      </c>
      <c r="U100" s="385">
        <f>U76*INDEX(input_data!$L:$L,MATCH(CBAM!$B$5&amp;".in.efo.stl.bof.---",input_data!$A:$A,0))</f>
        <v>0</v>
      </c>
      <c r="V100" s="385">
        <f>V76*INDEX(input_data!$L:$L,MATCH(CBAM!$B$5&amp;".in.efo.stl.bof.---",input_data!$A:$A,0))</f>
        <v>0</v>
      </c>
      <c r="W100" s="385">
        <f>W76*INDEX(input_data!$L:$L,MATCH(CBAM!$B$5&amp;".in.efo.stl.bof.---",input_data!$A:$A,0))</f>
        <v>0</v>
      </c>
      <c r="X100" s="385">
        <f>X76*INDEX(input_data!$L:$L,MATCH(CBAM!$B$5&amp;".in.efo.stl.bof.---",input_data!$A:$A,0))</f>
        <v>0</v>
      </c>
    </row>
    <row r="101" spans="1:24" ht="15" customHeight="1" x14ac:dyDescent="0.25">
      <c r="A101" s="380" t="str">
        <f>CBAM!$B$5&amp;".em.s2e.stl.bof.elc"</f>
        <v>egy.em.s2e.stl.bof.elc</v>
      </c>
      <c r="B101" s="380" t="str">
        <f>CBAM!$B$5</f>
        <v>egy</v>
      </c>
      <c r="C101" s="380" t="s">
        <v>1342</v>
      </c>
      <c r="D101" s="380" t="s">
        <v>1357</v>
      </c>
      <c r="E101" s="380" t="s">
        <v>322</v>
      </c>
      <c r="F101" s="380" t="s">
        <v>1389</v>
      </c>
      <c r="G101" s="380" t="s">
        <v>1339</v>
      </c>
      <c r="H101" s="380" t="s">
        <v>1415</v>
      </c>
      <c r="I101" s="380" t="s">
        <v>1345</v>
      </c>
      <c r="J101" s="380" t="s">
        <v>1359</v>
      </c>
      <c r="K101" s="380"/>
      <c r="L101" s="380"/>
      <c r="M101" s="385">
        <f>M96*INDEX(input_data!$M:$X,MATCH(CBAM!$B$5&amp;".in.gef.---.---.---",input_data!$A:$A,0),COLUMNS($M:M))/3.6</f>
        <v>0</v>
      </c>
      <c r="N101" s="385">
        <f>N96*INDEX(input_data!$M:$X,MATCH(CBAM!$B$5&amp;".in.gef.---.---.---",input_data!$A:$A,0),COLUMNS($M:N))/3.6</f>
        <v>0</v>
      </c>
      <c r="O101" s="385">
        <f>O96*INDEX(input_data!$M:$X,MATCH(CBAM!$B$5&amp;".in.gef.---.---.---",input_data!$A:$A,0),COLUMNS($M:O))/3.6</f>
        <v>0</v>
      </c>
      <c r="P101" s="385">
        <f>P96*INDEX(input_data!$M:$X,MATCH(CBAM!$B$5&amp;".in.gef.---.---.---",input_data!$A:$A,0),COLUMNS($M:P))/3.6</f>
        <v>0</v>
      </c>
      <c r="Q101" s="385">
        <f>Q96*INDEX(input_data!$M:$X,MATCH(CBAM!$B$5&amp;".in.gef.---.---.---",input_data!$A:$A,0),COLUMNS($M:Q))/3.6</f>
        <v>0</v>
      </c>
      <c r="R101" s="385">
        <f>R96*INDEX(input_data!$M:$X,MATCH(CBAM!$B$5&amp;".in.gef.---.---.---",input_data!$A:$A,0),COLUMNS($M:R))/3.6</f>
        <v>0</v>
      </c>
      <c r="S101" s="385">
        <f>S96*INDEX(input_data!$M:$X,MATCH(CBAM!$B$5&amp;".in.gef.---.---.---",input_data!$A:$A,0),COLUMNS($M:S))/3.6</f>
        <v>0</v>
      </c>
      <c r="T101" s="385">
        <f>T96*INDEX(input_data!$M:$X,MATCH(CBAM!$B$5&amp;".in.gef.---.---.---",input_data!$A:$A,0),COLUMNS($M:T))/3.6</f>
        <v>0</v>
      </c>
      <c r="U101" s="385">
        <f>U96*INDEX(input_data!$M:$X,MATCH(CBAM!$B$5&amp;".in.gef.---.---.---",input_data!$A:$A,0),COLUMNS($M:U))/3.6</f>
        <v>0</v>
      </c>
      <c r="V101" s="385">
        <f>V96*INDEX(input_data!$M:$X,MATCH(CBAM!$B$5&amp;".in.gef.---.---.---",input_data!$A:$A,0),COLUMNS($M:V))/3.6</f>
        <v>0</v>
      </c>
      <c r="W101" s="385">
        <f>W96*INDEX(input_data!$M:$X,MATCH(CBAM!$B$5&amp;".in.gef.---.---.---",input_data!$A:$A,0),COLUMNS($M:W))/3.6</f>
        <v>0</v>
      </c>
      <c r="X101" s="385">
        <f>X96*INDEX(input_data!$M:$X,MATCH(CBAM!$B$5&amp;".in.gef.---.---.---",input_data!$A:$A,0),COLUMNS($M:X))/3.6</f>
        <v>0</v>
      </c>
    </row>
    <row r="103" spans="1:24" ht="21.75" customHeight="1" x14ac:dyDescent="0.25">
      <c r="A103" s="12" t="s">
        <v>1416</v>
      </c>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spans="1:24" ht="15" customHeight="1" x14ac:dyDescent="0.25">
      <c r="A104" s="380" t="str">
        <f>CBAM!$B$5&amp;".pj.prd.cmt.dry.---"</f>
        <v>egy.pj.prd.cmt.dry.---</v>
      </c>
      <c r="B104" s="380" t="str">
        <f>CBAM!$B$5</f>
        <v>egy</v>
      </c>
      <c r="C104" s="380" t="s">
        <v>1275</v>
      </c>
      <c r="D104" s="380" t="s">
        <v>1304</v>
      </c>
      <c r="E104" s="380" t="s">
        <v>327</v>
      </c>
      <c r="F104" s="380" t="s">
        <v>1417</v>
      </c>
      <c r="G104" s="380" t="s">
        <v>1277</v>
      </c>
      <c r="H104" s="380" t="s">
        <v>1418</v>
      </c>
      <c r="I104" s="380" t="s">
        <v>1307</v>
      </c>
      <c r="J104" s="380" t="s">
        <v>1308</v>
      </c>
      <c r="K104" s="380"/>
      <c r="L104" s="380"/>
      <c r="M104" s="385">
        <f>IFERROR(INDEX(input_data!$L:$L,MATCH(CBAM!$B$5&amp;".in.prb.cmt.dry.---",input_data!$A:$A,0))*POWER(M7,INDEX(input_data!$L:$L,MATCH(CBAM!$B$5&amp;".in.els.cmt.dry.---",input_data!$A:$A,0))),0)</f>
        <v>50</v>
      </c>
      <c r="N104" s="385">
        <f>IFERROR(INDEX(input_data!$L:$L,MATCH(CBAM!$B$5&amp;".in.prb.cmt.dry.---",input_data!$A:$A,0))*POWER(N7,INDEX(input_data!$L:$L,MATCH(CBAM!$B$5&amp;".in.els.cmt.dry.---",input_data!$A:$A,0))),0)</f>
        <v>52.468327176277221</v>
      </c>
      <c r="O104" s="385">
        <f>IFERROR(INDEX(input_data!$L:$L,MATCH(CBAM!$B$5&amp;".in.prb.cmt.dry.---",input_data!$A:$A,0))*POWER(O7,INDEX(input_data!$L:$L,MATCH(CBAM!$B$5&amp;".in.els.cmt.dry.---",input_data!$A:$A,0))),0)</f>
        <v>55.058507133537404</v>
      </c>
      <c r="P104" s="385">
        <f>IFERROR(INDEX(input_data!$L:$L,MATCH(CBAM!$B$5&amp;".in.prb.cmt.dry.---",input_data!$A:$A,0))*POWER(P7,INDEX(input_data!$L:$L,MATCH(CBAM!$B$5&amp;".in.els.cmt.dry.---",input_data!$A:$A,0))),0)</f>
        <v>57.776555322396675</v>
      </c>
      <c r="Q104" s="385">
        <f>IFERROR(INDEX(input_data!$L:$L,MATCH(CBAM!$B$5&amp;".in.prb.cmt.dry.---",input_data!$A:$A,0))*POWER(Q7,INDEX(input_data!$L:$L,MATCH(CBAM!$B$5&amp;".in.els.cmt.dry.---",input_data!$A:$A,0))),0)</f>
        <v>60.628784155475792</v>
      </c>
      <c r="R104" s="385">
        <f>IFERROR(INDEX(input_data!$L:$L,MATCH(CBAM!$B$5&amp;".in.prb.cmt.dry.---",input_data!$A:$A,0))*POWER(R7,INDEX(input_data!$L:$L,MATCH(CBAM!$B$5&amp;".in.els.cmt.dry.---",input_data!$A:$A,0))),0)</f>
        <v>63.621817667387916</v>
      </c>
      <c r="S104" s="385">
        <f>IFERROR(INDEX(input_data!$L:$L,MATCH(CBAM!$B$5&amp;".in.prb.cmt.dry.---",input_data!$A:$A,0))*POWER(S7,INDEX(input_data!$L:$L,MATCH(CBAM!$B$5&amp;".in.els.cmt.dry.---",input_data!$A:$A,0))),0)</f>
        <v>66.762606898439273</v>
      </c>
      <c r="T104" s="385">
        <f>IFERROR(INDEX(input_data!$L:$L,MATCH(CBAM!$B$5&amp;".in.prb.cmt.dry.---",input_data!$A:$A,0))*POWER(T7,INDEX(input_data!$L:$L,MATCH(CBAM!$B$5&amp;".in.els.cmt.dry.---",input_data!$A:$A,0))),0)</f>
        <v>70.058446037769869</v>
      </c>
      <c r="U104" s="385">
        <f>IFERROR(INDEX(input_data!$L:$L,MATCH(CBAM!$B$5&amp;".in.prb.cmt.dry.---",input_data!$A:$A,0))*POWER(U7,INDEX(input_data!$L:$L,MATCH(CBAM!$B$5&amp;".in.els.cmt.dry.---",input_data!$A:$A,0))),0)</f>
        <v>73.516989363425438</v>
      </c>
      <c r="V104" s="385">
        <f>IFERROR(INDEX(input_data!$L:$L,MATCH(CBAM!$B$5&amp;".in.prb.cmt.dry.---",input_data!$A:$A,0))*POWER(V7,INDEX(input_data!$L:$L,MATCH(CBAM!$B$5&amp;".in.els.cmt.dry.---",input_data!$A:$A,0))),0)</f>
        <v>77.146269018701958</v>
      </c>
      <c r="W104" s="385">
        <f>IFERROR(INDEX(input_data!$L:$L,MATCH(CBAM!$B$5&amp;".in.prb.cmt.dry.---",input_data!$A:$A,0))*POWER(W7,INDEX(input_data!$L:$L,MATCH(CBAM!$B$5&amp;".in.els.cmt.dry.---",input_data!$A:$A,0))),0)</f>
        <v>80.954713666047056</v>
      </c>
      <c r="X104" s="385">
        <f>IFERROR(INDEX(input_data!$L:$L,MATCH(CBAM!$B$5&amp;".in.prb.cmt.dry.---",input_data!$A:$A,0))*POWER(X7,INDEX(input_data!$L:$L,MATCH(CBAM!$B$5&amp;".in.els.cmt.dry.---",input_data!$A:$A,0))),0)</f>
        <v>84.951168061839965</v>
      </c>
    </row>
    <row r="105" spans="1:24" ht="15" customHeight="1" x14ac:dyDescent="0.25">
      <c r="A105" s="380" t="str">
        <f>CBAM!$B$5&amp;".pj.eux.cmt.dry.---"</f>
        <v>egy.pj.eux.cmt.dry.---</v>
      </c>
      <c r="B105" s="380" t="str">
        <f>CBAM!$B$5</f>
        <v>egy</v>
      </c>
      <c r="C105" s="380" t="s">
        <v>1275</v>
      </c>
      <c r="D105" s="380" t="s">
        <v>1309</v>
      </c>
      <c r="E105" s="380" t="s">
        <v>327</v>
      </c>
      <c r="F105" s="380" t="s">
        <v>1417</v>
      </c>
      <c r="G105" s="380" t="s">
        <v>1277</v>
      </c>
      <c r="H105" s="380" t="s">
        <v>1419</v>
      </c>
      <c r="I105" s="380" t="s">
        <v>1307</v>
      </c>
      <c r="J105" s="380" t="s">
        <v>1311</v>
      </c>
      <c r="K105" s="380"/>
      <c r="L105" s="380"/>
      <c r="M105" s="385">
        <f>M104*INDEX(input_data!$L:$L,MATCH(CBAM!$B$5&amp;".in.exe.cmt.dry.---",input_data!$A:$A,0))</f>
        <v>0.5</v>
      </c>
      <c r="N105" s="385">
        <f>N104*INDEX(input_data!$L:$L,MATCH(CBAM!$B$5&amp;".in.exe.cmt.dry.---",input_data!$A:$A,0))</f>
        <v>0.52468327176277219</v>
      </c>
      <c r="O105" s="385">
        <f>O104*INDEX(input_data!$L:$L,MATCH(CBAM!$B$5&amp;".in.exe.cmt.dry.---",input_data!$A:$A,0))</f>
        <v>0.55058507133537404</v>
      </c>
      <c r="P105" s="385">
        <f>P104*INDEX(input_data!$L:$L,MATCH(CBAM!$B$5&amp;".in.exe.cmt.dry.---",input_data!$A:$A,0))</f>
        <v>0.57776555322396672</v>
      </c>
      <c r="Q105" s="385">
        <f>Q104*INDEX(input_data!$L:$L,MATCH(CBAM!$B$5&amp;".in.exe.cmt.dry.---",input_data!$A:$A,0))</f>
        <v>0.6062878415547579</v>
      </c>
      <c r="R105" s="385">
        <f>R104*INDEX(input_data!$L:$L,MATCH(CBAM!$B$5&amp;".in.exe.cmt.dry.---",input_data!$A:$A,0))</f>
        <v>0.63621817667387914</v>
      </c>
      <c r="S105" s="385">
        <f>S104*INDEX(input_data!$L:$L,MATCH(CBAM!$B$5&amp;".in.exe.cmt.dry.---",input_data!$A:$A,0))</f>
        <v>0.6676260689843927</v>
      </c>
      <c r="T105" s="385">
        <f>T104*INDEX(input_data!$L:$L,MATCH(CBAM!$B$5&amp;".in.exe.cmt.dry.---",input_data!$A:$A,0))</f>
        <v>0.70058446037769873</v>
      </c>
      <c r="U105" s="385">
        <f>U104*INDEX(input_data!$L:$L,MATCH(CBAM!$B$5&amp;".in.exe.cmt.dry.---",input_data!$A:$A,0))</f>
        <v>0.73516989363425445</v>
      </c>
      <c r="V105" s="385">
        <f>V104*INDEX(input_data!$L:$L,MATCH(CBAM!$B$5&amp;".in.exe.cmt.dry.---",input_data!$A:$A,0))</f>
        <v>0.77146269018701963</v>
      </c>
      <c r="W105" s="385">
        <f>W104*INDEX(input_data!$L:$L,MATCH(CBAM!$B$5&amp;".in.exe.cmt.dry.---",input_data!$A:$A,0))</f>
        <v>0.80954713666047062</v>
      </c>
      <c r="X105" s="385">
        <f>X104*INDEX(input_data!$L:$L,MATCH(CBAM!$B$5&amp;".in.exe.cmt.dry.---",input_data!$A:$A,0))</f>
        <v>0.84951168061839966</v>
      </c>
    </row>
    <row r="106" spans="1:24" ht="15" customHeight="1" x14ac:dyDescent="0.25">
      <c r="A106" s="380" t="str">
        <f>CBAM!$B$5&amp;".pj.nex.cmt.dry.---"</f>
        <v>egy.pj.nex.cmt.dry.---</v>
      </c>
      <c r="B106" s="380" t="str">
        <f>CBAM!$B$5</f>
        <v>egy</v>
      </c>
      <c r="C106" s="380" t="s">
        <v>1275</v>
      </c>
      <c r="D106" s="380" t="s">
        <v>1312</v>
      </c>
      <c r="E106" s="380" t="s">
        <v>327</v>
      </c>
      <c r="F106" s="380" t="s">
        <v>1417</v>
      </c>
      <c r="G106" s="380" t="s">
        <v>1277</v>
      </c>
      <c r="H106" s="380" t="s">
        <v>1420</v>
      </c>
      <c r="I106" s="380" t="s">
        <v>1307</v>
      </c>
      <c r="J106" s="380" t="s">
        <v>1314</v>
      </c>
      <c r="K106" s="380"/>
      <c r="L106" s="380"/>
      <c r="M106" s="385">
        <f>M104*(INDEX(input_data!$L:$L,MATCH(CBAM!$B$5&amp;".in.ext.cmt.dry.---",input_data!$A:$A,0))-INDEX(input_data!$L:$L,MATCH(CBAM!$B$5&amp;".in.exe.cmt.dry.---",input_data!$A:$A,0)))</f>
        <v>2</v>
      </c>
      <c r="N106" s="385">
        <f>N104*(INDEX(input_data!$L:$L,MATCH(CBAM!$B$5&amp;".in.ext.cmt.dry.---",input_data!$A:$A,0))-INDEX(input_data!$L:$L,MATCH(CBAM!$B$5&amp;".in.exe.cmt.dry.---",input_data!$A:$A,0)))</f>
        <v>2.0987330870510887</v>
      </c>
      <c r="O106" s="385">
        <f>O104*(INDEX(input_data!$L:$L,MATCH(CBAM!$B$5&amp;".in.ext.cmt.dry.---",input_data!$A:$A,0))-INDEX(input_data!$L:$L,MATCH(CBAM!$B$5&amp;".in.exe.cmt.dry.---",input_data!$A:$A,0)))</f>
        <v>2.2023402853414962</v>
      </c>
      <c r="P106" s="385">
        <f>P104*(INDEX(input_data!$L:$L,MATCH(CBAM!$B$5&amp;".in.ext.cmt.dry.---",input_data!$A:$A,0))-INDEX(input_data!$L:$L,MATCH(CBAM!$B$5&amp;".in.exe.cmt.dry.---",input_data!$A:$A,0)))</f>
        <v>2.3110622128958669</v>
      </c>
      <c r="Q106" s="385">
        <f>Q104*(INDEX(input_data!$L:$L,MATCH(CBAM!$B$5&amp;".in.ext.cmt.dry.---",input_data!$A:$A,0))-INDEX(input_data!$L:$L,MATCH(CBAM!$B$5&amp;".in.exe.cmt.dry.---",input_data!$A:$A,0)))</f>
        <v>2.4251513662190316</v>
      </c>
      <c r="R106" s="385">
        <f>R104*(INDEX(input_data!$L:$L,MATCH(CBAM!$B$5&amp;".in.ext.cmt.dry.---",input_data!$A:$A,0))-INDEX(input_data!$L:$L,MATCH(CBAM!$B$5&amp;".in.exe.cmt.dry.---",input_data!$A:$A,0)))</f>
        <v>2.5448727066955166</v>
      </c>
      <c r="S106" s="385">
        <f>S104*(INDEX(input_data!$L:$L,MATCH(CBAM!$B$5&amp;".in.ext.cmt.dry.---",input_data!$A:$A,0))-INDEX(input_data!$L:$L,MATCH(CBAM!$B$5&amp;".in.exe.cmt.dry.---",input_data!$A:$A,0)))</f>
        <v>2.6705042759375708</v>
      </c>
      <c r="T106" s="385">
        <f>T104*(INDEX(input_data!$L:$L,MATCH(CBAM!$B$5&amp;".in.ext.cmt.dry.---",input_data!$A:$A,0))-INDEX(input_data!$L:$L,MATCH(CBAM!$B$5&amp;".in.exe.cmt.dry.---",input_data!$A:$A,0)))</f>
        <v>2.8023378415107949</v>
      </c>
      <c r="U106" s="385">
        <f>U104*(INDEX(input_data!$L:$L,MATCH(CBAM!$B$5&amp;".in.ext.cmt.dry.---",input_data!$A:$A,0))-INDEX(input_data!$L:$L,MATCH(CBAM!$B$5&amp;".in.exe.cmt.dry.---",input_data!$A:$A,0)))</f>
        <v>2.9406795745370178</v>
      </c>
      <c r="V106" s="385">
        <f>V104*(INDEX(input_data!$L:$L,MATCH(CBAM!$B$5&amp;".in.ext.cmt.dry.---",input_data!$A:$A,0))-INDEX(input_data!$L:$L,MATCH(CBAM!$B$5&amp;".in.exe.cmt.dry.---",input_data!$A:$A,0)))</f>
        <v>3.0858507607480785</v>
      </c>
      <c r="W106" s="385">
        <f>W104*(INDEX(input_data!$L:$L,MATCH(CBAM!$B$5&amp;".in.ext.cmt.dry.---",input_data!$A:$A,0))-INDEX(input_data!$L:$L,MATCH(CBAM!$B$5&amp;".in.exe.cmt.dry.---",input_data!$A:$A,0)))</f>
        <v>3.2381885466418825</v>
      </c>
      <c r="X106" s="385">
        <f>X104*(INDEX(input_data!$L:$L,MATCH(CBAM!$B$5&amp;".in.ext.cmt.dry.---",input_data!$A:$A,0))-INDEX(input_data!$L:$L,MATCH(CBAM!$B$5&amp;".in.exe.cmt.dry.---",input_data!$A:$A,0)))</f>
        <v>3.3980467224735986</v>
      </c>
    </row>
    <row r="107" spans="1:24" ht="15" customHeight="1" x14ac:dyDescent="0.25">
      <c r="A107" s="380" t="str">
        <f>CBAM!$B$5&amp;".pj.dom.cmt.dry.---"</f>
        <v>egy.pj.dom.cmt.dry.---</v>
      </c>
      <c r="B107" s="380" t="str">
        <f>CBAM!$B$5</f>
        <v>egy</v>
      </c>
      <c r="C107" s="380" t="s">
        <v>1275</v>
      </c>
      <c r="D107" s="380" t="s">
        <v>1267</v>
      </c>
      <c r="E107" s="380" t="s">
        <v>327</v>
      </c>
      <c r="F107" s="380" t="s">
        <v>1417</v>
      </c>
      <c r="G107" s="380" t="s">
        <v>1277</v>
      </c>
      <c r="H107" s="380" t="s">
        <v>1421</v>
      </c>
      <c r="I107" s="380" t="s">
        <v>1307</v>
      </c>
      <c r="J107" s="380" t="s">
        <v>1316</v>
      </c>
      <c r="K107" s="380"/>
      <c r="L107" s="380"/>
      <c r="M107" s="385">
        <f>M104*(1-INDEX(input_data!$L:$L,MATCH(CBAM!$B$5&amp;".in.ext.cmt.dry.---",input_data!$A:$A,0)))*(1+INDEX(input_data!$L:$L,MATCH(CBAM!$B$5&amp;".in.imp.cmt.dry.---",input_data!$A:$A,0)))</f>
        <v>48.45</v>
      </c>
      <c r="N107" s="385">
        <f>N104*(1-INDEX(input_data!$L:$L,MATCH(CBAM!$B$5&amp;".in.ext.cmt.dry.---",input_data!$A:$A,0)))*(1+INDEX(input_data!$L:$L,MATCH(CBAM!$B$5&amp;".in.imp.cmt.dry.---",input_data!$A:$A,0)))</f>
        <v>50.841809033812623</v>
      </c>
      <c r="O107" s="385">
        <f>O104*(1-INDEX(input_data!$L:$L,MATCH(CBAM!$B$5&amp;".in.ext.cmt.dry.---",input_data!$A:$A,0)))*(1+INDEX(input_data!$L:$L,MATCH(CBAM!$B$5&amp;".in.imp.cmt.dry.---",input_data!$A:$A,0)))</f>
        <v>53.351693412397736</v>
      </c>
      <c r="P107" s="385">
        <f>P104*(1-INDEX(input_data!$L:$L,MATCH(CBAM!$B$5&amp;".in.ext.cmt.dry.---",input_data!$A:$A,0)))*(1+INDEX(input_data!$L:$L,MATCH(CBAM!$B$5&amp;".in.imp.cmt.dry.---",input_data!$A:$A,0)))</f>
        <v>55.985482107402376</v>
      </c>
      <c r="Q107" s="385">
        <f>Q104*(1-INDEX(input_data!$L:$L,MATCH(CBAM!$B$5&amp;".in.ext.cmt.dry.---",input_data!$A:$A,0)))*(1+INDEX(input_data!$L:$L,MATCH(CBAM!$B$5&amp;".in.imp.cmt.dry.---",input_data!$A:$A,0)))</f>
        <v>58.749291846656043</v>
      </c>
      <c r="R107" s="385">
        <f>R104*(1-INDEX(input_data!$L:$L,MATCH(CBAM!$B$5&amp;".in.ext.cmt.dry.---",input_data!$A:$A,0)))*(1+INDEX(input_data!$L:$L,MATCH(CBAM!$B$5&amp;".in.imp.cmt.dry.---",input_data!$A:$A,0)))</f>
        <v>61.649541319698884</v>
      </c>
      <c r="S107" s="385">
        <f>S104*(1-INDEX(input_data!$L:$L,MATCH(CBAM!$B$5&amp;".in.ext.cmt.dry.---",input_data!$A:$A,0)))*(1+INDEX(input_data!$L:$L,MATCH(CBAM!$B$5&amp;".in.imp.cmt.dry.---",input_data!$A:$A,0)))</f>
        <v>64.692966084587653</v>
      </c>
      <c r="T107" s="385">
        <f>T104*(1-INDEX(input_data!$L:$L,MATCH(CBAM!$B$5&amp;".in.ext.cmt.dry.---",input_data!$A:$A,0)))*(1+INDEX(input_data!$L:$L,MATCH(CBAM!$B$5&amp;".in.imp.cmt.dry.---",input_data!$A:$A,0)))</f>
        <v>67.886634210598999</v>
      </c>
      <c r="U107" s="385">
        <f>U104*(1-INDEX(input_data!$L:$L,MATCH(CBAM!$B$5&amp;".in.ext.cmt.dry.---",input_data!$A:$A,0)))*(1+INDEX(input_data!$L:$L,MATCH(CBAM!$B$5&amp;".in.imp.cmt.dry.---",input_data!$A:$A,0)))</f>
        <v>71.237962693159247</v>
      </c>
      <c r="V107" s="385">
        <f>V104*(1-INDEX(input_data!$L:$L,MATCH(CBAM!$B$5&amp;".in.ext.cmt.dry.---",input_data!$A:$A,0)))*(1+INDEX(input_data!$L:$L,MATCH(CBAM!$B$5&amp;".in.imp.cmt.dry.---",input_data!$A:$A,0)))</f>
        <v>74.754734679122194</v>
      </c>
      <c r="W107" s="385">
        <f>W104*(1-INDEX(input_data!$L:$L,MATCH(CBAM!$B$5&amp;".in.ext.cmt.dry.---",input_data!$A:$A,0)))*(1+INDEX(input_data!$L:$L,MATCH(CBAM!$B$5&amp;".in.imp.cmt.dry.---",input_data!$A:$A,0)))</f>
        <v>78.445117542399586</v>
      </c>
      <c r="X107" s="385">
        <f>X104*(1-INDEX(input_data!$L:$L,MATCH(CBAM!$B$5&amp;".in.ext.cmt.dry.---",input_data!$A:$A,0)))*(1+INDEX(input_data!$L:$L,MATCH(CBAM!$B$5&amp;".in.imp.cmt.dry.---",input_data!$A:$A,0)))</f>
        <v>82.317681851922927</v>
      </c>
    </row>
    <row r="108" spans="1:24" ht="15" customHeight="1" x14ac:dyDescent="0.25">
      <c r="A108" s="380" t="str">
        <f>CBAM!$B$5&amp;".pj.enc.cmt.dry.coa"</f>
        <v>egy.pj.enc.cmt.dry.coa</v>
      </c>
      <c r="B108" s="380" t="str">
        <f>CBAM!$B$5</f>
        <v>egy</v>
      </c>
      <c r="C108" s="380" t="s">
        <v>1275</v>
      </c>
      <c r="D108" s="380" t="s">
        <v>1317</v>
      </c>
      <c r="E108" s="380" t="s">
        <v>327</v>
      </c>
      <c r="F108" s="380" t="s">
        <v>1417</v>
      </c>
      <c r="G108" s="380" t="s">
        <v>757</v>
      </c>
      <c r="H108" s="380" t="s">
        <v>1422</v>
      </c>
      <c r="I108" s="380" t="s">
        <v>1319</v>
      </c>
      <c r="J108" s="380" t="s">
        <v>1320</v>
      </c>
      <c r="K108" s="380"/>
      <c r="L108" s="380"/>
      <c r="M108" s="385">
        <f>M104*INDEX(input_data!$L:$L,MATCH(CBAM!$B$5&amp;".in.enc.cmt.dry.coa",input_data!$A:$A,0))</f>
        <v>150</v>
      </c>
      <c r="N108" s="385">
        <f>N104*INDEX(input_data!$L:$L,MATCH(CBAM!$B$5&amp;".in.enc.cmt.dry.coa",input_data!$A:$A,0))</f>
        <v>157.40498152883166</v>
      </c>
      <c r="O108" s="385">
        <f>O104*INDEX(input_data!$L:$L,MATCH(CBAM!$B$5&amp;".in.enc.cmt.dry.coa",input_data!$A:$A,0))</f>
        <v>165.17552140061221</v>
      </c>
      <c r="P108" s="385">
        <f>P104*INDEX(input_data!$L:$L,MATCH(CBAM!$B$5&amp;".in.enc.cmt.dry.coa",input_data!$A:$A,0))</f>
        <v>173.32966596719001</v>
      </c>
      <c r="Q108" s="385">
        <f>Q104*INDEX(input_data!$L:$L,MATCH(CBAM!$B$5&amp;".in.enc.cmt.dry.coa",input_data!$A:$A,0))</f>
        <v>181.88635246642738</v>
      </c>
      <c r="R108" s="385">
        <f>R104*INDEX(input_data!$L:$L,MATCH(CBAM!$B$5&amp;".in.enc.cmt.dry.coa",input_data!$A:$A,0))</f>
        <v>190.86545300216375</v>
      </c>
      <c r="S108" s="385">
        <f>S104*INDEX(input_data!$L:$L,MATCH(CBAM!$B$5&amp;".in.enc.cmt.dry.coa",input_data!$A:$A,0))</f>
        <v>200.28782069531781</v>
      </c>
      <c r="T108" s="385">
        <f>T104*INDEX(input_data!$L:$L,MATCH(CBAM!$B$5&amp;".in.enc.cmt.dry.coa",input_data!$A:$A,0))</f>
        <v>210.17533811330961</v>
      </c>
      <c r="U108" s="385">
        <f>U104*INDEX(input_data!$L:$L,MATCH(CBAM!$B$5&amp;".in.enc.cmt.dry.coa",input_data!$A:$A,0))</f>
        <v>220.55096809027631</v>
      </c>
      <c r="V108" s="385">
        <f>V104*INDEX(input_data!$L:$L,MATCH(CBAM!$B$5&amp;".in.enc.cmt.dry.coa",input_data!$A:$A,0))</f>
        <v>231.43880705610587</v>
      </c>
      <c r="W108" s="385">
        <f>W104*INDEX(input_data!$L:$L,MATCH(CBAM!$B$5&amp;".in.enc.cmt.dry.coa",input_data!$A:$A,0))</f>
        <v>242.86414099814118</v>
      </c>
      <c r="X108" s="385">
        <f>X104*INDEX(input_data!$L:$L,MATCH(CBAM!$B$5&amp;".in.enc.cmt.dry.coa",input_data!$A:$A,0))</f>
        <v>254.85350418551991</v>
      </c>
    </row>
    <row r="109" spans="1:24" ht="15" customHeight="1" x14ac:dyDescent="0.25">
      <c r="A109" s="380" t="str">
        <f>CBAM!$B$5&amp;".pj.enc.cmt.dry.nga"</f>
        <v>egy.pj.enc.cmt.dry.nga</v>
      </c>
      <c r="B109" s="380" t="str">
        <f>CBAM!$B$5</f>
        <v>egy</v>
      </c>
      <c r="C109" s="380" t="s">
        <v>1275</v>
      </c>
      <c r="D109" s="380" t="s">
        <v>1317</v>
      </c>
      <c r="E109" s="380" t="s">
        <v>327</v>
      </c>
      <c r="F109" s="380" t="s">
        <v>1417</v>
      </c>
      <c r="G109" s="380" t="s">
        <v>754</v>
      </c>
      <c r="H109" s="380" t="s">
        <v>1423</v>
      </c>
      <c r="I109" s="380" t="s">
        <v>1319</v>
      </c>
      <c r="J109" s="380" t="s">
        <v>1320</v>
      </c>
      <c r="K109" s="380"/>
      <c r="L109" s="380"/>
      <c r="M109" s="385">
        <f>M104*INDEX(input_data!$L:$L,MATCH(CBAM!$B$5&amp;".in.enc.cmt.dry.nga",input_data!$A:$A,0))</f>
        <v>0</v>
      </c>
      <c r="N109" s="385">
        <f>N104*INDEX(input_data!$L:$L,MATCH(CBAM!$B$5&amp;".in.enc.cmt.dry.nga",input_data!$A:$A,0))</f>
        <v>0</v>
      </c>
      <c r="O109" s="385">
        <f>O104*INDEX(input_data!$L:$L,MATCH(CBAM!$B$5&amp;".in.enc.cmt.dry.nga",input_data!$A:$A,0))</f>
        <v>0</v>
      </c>
      <c r="P109" s="385">
        <f>P104*INDEX(input_data!$L:$L,MATCH(CBAM!$B$5&amp;".in.enc.cmt.dry.nga",input_data!$A:$A,0))</f>
        <v>0</v>
      </c>
      <c r="Q109" s="385">
        <f>Q104*INDEX(input_data!$L:$L,MATCH(CBAM!$B$5&amp;".in.enc.cmt.dry.nga",input_data!$A:$A,0))</f>
        <v>0</v>
      </c>
      <c r="R109" s="385">
        <f>R104*INDEX(input_data!$L:$L,MATCH(CBAM!$B$5&amp;".in.enc.cmt.dry.nga",input_data!$A:$A,0))</f>
        <v>0</v>
      </c>
      <c r="S109" s="385">
        <f>S104*INDEX(input_data!$L:$L,MATCH(CBAM!$B$5&amp;".in.enc.cmt.dry.nga",input_data!$A:$A,0))</f>
        <v>0</v>
      </c>
      <c r="T109" s="385">
        <f>T104*INDEX(input_data!$L:$L,MATCH(CBAM!$B$5&amp;".in.enc.cmt.dry.nga",input_data!$A:$A,0))</f>
        <v>0</v>
      </c>
      <c r="U109" s="385">
        <f>U104*INDEX(input_data!$L:$L,MATCH(CBAM!$B$5&amp;".in.enc.cmt.dry.nga",input_data!$A:$A,0))</f>
        <v>0</v>
      </c>
      <c r="V109" s="385">
        <f>V104*INDEX(input_data!$L:$L,MATCH(CBAM!$B$5&amp;".in.enc.cmt.dry.nga",input_data!$A:$A,0))</f>
        <v>0</v>
      </c>
      <c r="W109" s="385">
        <f>W104*INDEX(input_data!$L:$L,MATCH(CBAM!$B$5&amp;".in.enc.cmt.dry.nga",input_data!$A:$A,0))</f>
        <v>0</v>
      </c>
      <c r="X109" s="385">
        <f>X104*INDEX(input_data!$L:$L,MATCH(CBAM!$B$5&amp;".in.enc.cmt.dry.nga",input_data!$A:$A,0))</f>
        <v>0</v>
      </c>
    </row>
    <row r="110" spans="1:24" ht="15" customHeight="1" x14ac:dyDescent="0.25">
      <c r="A110" s="380" t="str">
        <f>CBAM!$B$5&amp;".pj.enc.cmt.dry.gso"</f>
        <v>egy.pj.enc.cmt.dry.gso</v>
      </c>
      <c r="B110" s="380" t="str">
        <f>CBAM!$B$5</f>
        <v>egy</v>
      </c>
      <c r="C110" s="380" t="s">
        <v>1275</v>
      </c>
      <c r="D110" s="380" t="s">
        <v>1317</v>
      </c>
      <c r="E110" s="380" t="s">
        <v>327</v>
      </c>
      <c r="F110" s="380" t="s">
        <v>1417</v>
      </c>
      <c r="G110" s="380" t="s">
        <v>1292</v>
      </c>
      <c r="H110" s="380" t="s">
        <v>1424</v>
      </c>
      <c r="I110" s="380" t="s">
        <v>1319</v>
      </c>
      <c r="J110" s="380" t="s">
        <v>1320</v>
      </c>
      <c r="K110" s="380"/>
      <c r="L110" s="380"/>
      <c r="M110" s="385">
        <f>M104*INDEX(input_data!$L:$L,MATCH(CBAM!$B$5&amp;".in.enc.cmt.dry.gso",input_data!$A:$A,0))</f>
        <v>0</v>
      </c>
      <c r="N110" s="385">
        <f>N104*INDEX(input_data!$L:$L,MATCH(CBAM!$B$5&amp;".in.enc.cmt.dry.gso",input_data!$A:$A,0))</f>
        <v>0</v>
      </c>
      <c r="O110" s="385">
        <f>O104*INDEX(input_data!$L:$L,MATCH(CBAM!$B$5&amp;".in.enc.cmt.dry.gso",input_data!$A:$A,0))</f>
        <v>0</v>
      </c>
      <c r="P110" s="385">
        <f>P104*INDEX(input_data!$L:$L,MATCH(CBAM!$B$5&amp;".in.enc.cmt.dry.gso",input_data!$A:$A,0))</f>
        <v>0</v>
      </c>
      <c r="Q110" s="385">
        <f>Q104*INDEX(input_data!$L:$L,MATCH(CBAM!$B$5&amp;".in.enc.cmt.dry.gso",input_data!$A:$A,0))</f>
        <v>0</v>
      </c>
      <c r="R110" s="385">
        <f>R104*INDEX(input_data!$L:$L,MATCH(CBAM!$B$5&amp;".in.enc.cmt.dry.gso",input_data!$A:$A,0))</f>
        <v>0</v>
      </c>
      <c r="S110" s="385">
        <f>S104*INDEX(input_data!$L:$L,MATCH(CBAM!$B$5&amp;".in.enc.cmt.dry.gso",input_data!$A:$A,0))</f>
        <v>0</v>
      </c>
      <c r="T110" s="385">
        <f>T104*INDEX(input_data!$L:$L,MATCH(CBAM!$B$5&amp;".in.enc.cmt.dry.gso",input_data!$A:$A,0))</f>
        <v>0</v>
      </c>
      <c r="U110" s="385">
        <f>U104*INDEX(input_data!$L:$L,MATCH(CBAM!$B$5&amp;".in.enc.cmt.dry.gso",input_data!$A:$A,0))</f>
        <v>0</v>
      </c>
      <c r="V110" s="385">
        <f>V104*INDEX(input_data!$L:$L,MATCH(CBAM!$B$5&amp;".in.enc.cmt.dry.gso",input_data!$A:$A,0))</f>
        <v>0</v>
      </c>
      <c r="W110" s="385">
        <f>W104*INDEX(input_data!$L:$L,MATCH(CBAM!$B$5&amp;".in.enc.cmt.dry.gso",input_data!$A:$A,0))</f>
        <v>0</v>
      </c>
      <c r="X110" s="385">
        <f>X104*INDEX(input_data!$L:$L,MATCH(CBAM!$B$5&amp;".in.enc.cmt.dry.gso",input_data!$A:$A,0))</f>
        <v>0</v>
      </c>
    </row>
    <row r="111" spans="1:24" ht="15" customHeight="1" x14ac:dyDescent="0.25">
      <c r="A111" s="380" t="str">
        <f>CBAM!$B$5&amp;".pj.enc.cmt.dry.die"</f>
        <v>egy.pj.enc.cmt.dry.die</v>
      </c>
      <c r="B111" s="380" t="str">
        <f>CBAM!$B$5</f>
        <v>egy</v>
      </c>
      <c r="C111" s="380" t="s">
        <v>1275</v>
      </c>
      <c r="D111" s="380" t="s">
        <v>1317</v>
      </c>
      <c r="E111" s="380" t="s">
        <v>327</v>
      </c>
      <c r="F111" s="380" t="s">
        <v>1417</v>
      </c>
      <c r="G111" s="380" t="s">
        <v>762</v>
      </c>
      <c r="H111" s="380" t="s">
        <v>1425</v>
      </c>
      <c r="I111" s="380" t="s">
        <v>1319</v>
      </c>
      <c r="J111" s="380" t="s">
        <v>1320</v>
      </c>
      <c r="K111" s="380"/>
      <c r="L111" s="380"/>
      <c r="M111" s="385">
        <f>M104*INDEX(input_data!$L:$L,MATCH(CBAM!$B$5&amp;".in.enc.cmt.dry.die",input_data!$A:$A,0))</f>
        <v>0</v>
      </c>
      <c r="N111" s="385">
        <f>N104*INDEX(input_data!$L:$L,MATCH(CBAM!$B$5&amp;".in.enc.cmt.dry.die",input_data!$A:$A,0))</f>
        <v>0</v>
      </c>
      <c r="O111" s="385">
        <f>O104*INDEX(input_data!$L:$L,MATCH(CBAM!$B$5&amp;".in.enc.cmt.dry.die",input_data!$A:$A,0))</f>
        <v>0</v>
      </c>
      <c r="P111" s="385">
        <f>P104*INDEX(input_data!$L:$L,MATCH(CBAM!$B$5&amp;".in.enc.cmt.dry.die",input_data!$A:$A,0))</f>
        <v>0</v>
      </c>
      <c r="Q111" s="385">
        <f>Q104*INDEX(input_data!$L:$L,MATCH(CBAM!$B$5&amp;".in.enc.cmt.dry.die",input_data!$A:$A,0))</f>
        <v>0</v>
      </c>
      <c r="R111" s="385">
        <f>R104*INDEX(input_data!$L:$L,MATCH(CBAM!$B$5&amp;".in.enc.cmt.dry.die",input_data!$A:$A,0))</f>
        <v>0</v>
      </c>
      <c r="S111" s="385">
        <f>S104*INDEX(input_data!$L:$L,MATCH(CBAM!$B$5&amp;".in.enc.cmt.dry.die",input_data!$A:$A,0))</f>
        <v>0</v>
      </c>
      <c r="T111" s="385">
        <f>T104*INDEX(input_data!$L:$L,MATCH(CBAM!$B$5&amp;".in.enc.cmt.dry.die",input_data!$A:$A,0))</f>
        <v>0</v>
      </c>
      <c r="U111" s="385">
        <f>U104*INDEX(input_data!$L:$L,MATCH(CBAM!$B$5&amp;".in.enc.cmt.dry.die",input_data!$A:$A,0))</f>
        <v>0</v>
      </c>
      <c r="V111" s="385">
        <f>V104*INDEX(input_data!$L:$L,MATCH(CBAM!$B$5&amp;".in.enc.cmt.dry.die",input_data!$A:$A,0))</f>
        <v>0</v>
      </c>
      <c r="W111" s="385">
        <f>W104*INDEX(input_data!$L:$L,MATCH(CBAM!$B$5&amp;".in.enc.cmt.dry.die",input_data!$A:$A,0))</f>
        <v>0</v>
      </c>
      <c r="X111" s="385">
        <f>X104*INDEX(input_data!$L:$L,MATCH(CBAM!$B$5&amp;".in.enc.cmt.dry.die",input_data!$A:$A,0))</f>
        <v>0</v>
      </c>
    </row>
    <row r="112" spans="1:24" ht="15" customHeight="1" x14ac:dyDescent="0.25">
      <c r="A112" s="380" t="str">
        <f>CBAM!$B$5&amp;".pj.enc.cmt.dry.ker"</f>
        <v>egy.pj.enc.cmt.dry.ker</v>
      </c>
      <c r="B112" s="380" t="str">
        <f>CBAM!$B$5</f>
        <v>egy</v>
      </c>
      <c r="C112" s="380" t="s">
        <v>1275</v>
      </c>
      <c r="D112" s="380" t="s">
        <v>1317</v>
      </c>
      <c r="E112" s="380" t="s">
        <v>327</v>
      </c>
      <c r="F112" s="380" t="s">
        <v>1417</v>
      </c>
      <c r="G112" s="380" t="s">
        <v>1295</v>
      </c>
      <c r="H112" s="380" t="s">
        <v>1426</v>
      </c>
      <c r="I112" s="380" t="s">
        <v>1319</v>
      </c>
      <c r="J112" s="380" t="s">
        <v>1320</v>
      </c>
      <c r="K112" s="380"/>
      <c r="L112" s="380"/>
      <c r="M112" s="385">
        <f>M104*INDEX(input_data!$L:$L,MATCH(CBAM!$B$5&amp;".in.enc.cmt.dry.ker",input_data!$A:$A,0))</f>
        <v>0</v>
      </c>
      <c r="N112" s="385">
        <f>N104*INDEX(input_data!$L:$L,MATCH(CBAM!$B$5&amp;".in.enc.cmt.dry.ker",input_data!$A:$A,0))</f>
        <v>0</v>
      </c>
      <c r="O112" s="385">
        <f>O104*INDEX(input_data!$L:$L,MATCH(CBAM!$B$5&amp;".in.enc.cmt.dry.ker",input_data!$A:$A,0))</f>
        <v>0</v>
      </c>
      <c r="P112" s="385">
        <f>P104*INDEX(input_data!$L:$L,MATCH(CBAM!$B$5&amp;".in.enc.cmt.dry.ker",input_data!$A:$A,0))</f>
        <v>0</v>
      </c>
      <c r="Q112" s="385">
        <f>Q104*INDEX(input_data!$L:$L,MATCH(CBAM!$B$5&amp;".in.enc.cmt.dry.ker",input_data!$A:$A,0))</f>
        <v>0</v>
      </c>
      <c r="R112" s="385">
        <f>R104*INDEX(input_data!$L:$L,MATCH(CBAM!$B$5&amp;".in.enc.cmt.dry.ker",input_data!$A:$A,0))</f>
        <v>0</v>
      </c>
      <c r="S112" s="385">
        <f>S104*INDEX(input_data!$L:$L,MATCH(CBAM!$B$5&amp;".in.enc.cmt.dry.ker",input_data!$A:$A,0))</f>
        <v>0</v>
      </c>
      <c r="T112" s="385">
        <f>T104*INDEX(input_data!$L:$L,MATCH(CBAM!$B$5&amp;".in.enc.cmt.dry.ker",input_data!$A:$A,0))</f>
        <v>0</v>
      </c>
      <c r="U112" s="385">
        <f>U104*INDEX(input_data!$L:$L,MATCH(CBAM!$B$5&amp;".in.enc.cmt.dry.ker",input_data!$A:$A,0))</f>
        <v>0</v>
      </c>
      <c r="V112" s="385">
        <f>V104*INDEX(input_data!$L:$L,MATCH(CBAM!$B$5&amp;".in.enc.cmt.dry.ker",input_data!$A:$A,0))</f>
        <v>0</v>
      </c>
      <c r="W112" s="385">
        <f>W104*INDEX(input_data!$L:$L,MATCH(CBAM!$B$5&amp;".in.enc.cmt.dry.ker",input_data!$A:$A,0))</f>
        <v>0</v>
      </c>
      <c r="X112" s="385">
        <f>X104*INDEX(input_data!$L:$L,MATCH(CBAM!$B$5&amp;".in.enc.cmt.dry.ker",input_data!$A:$A,0))</f>
        <v>0</v>
      </c>
    </row>
    <row r="113" spans="1:24" ht="15" customHeight="1" x14ac:dyDescent="0.25">
      <c r="A113" s="380" t="str">
        <f>CBAM!$B$5&amp;".pj.enc.cmt.dry.lpg"</f>
        <v>egy.pj.enc.cmt.dry.lpg</v>
      </c>
      <c r="B113" s="380" t="str">
        <f>CBAM!$B$5</f>
        <v>egy</v>
      </c>
      <c r="C113" s="380" t="s">
        <v>1275</v>
      </c>
      <c r="D113" s="380" t="s">
        <v>1317</v>
      </c>
      <c r="E113" s="380" t="s">
        <v>327</v>
      </c>
      <c r="F113" s="380" t="s">
        <v>1417</v>
      </c>
      <c r="G113" s="380" t="s">
        <v>1297</v>
      </c>
      <c r="H113" s="380" t="s">
        <v>1427</v>
      </c>
      <c r="I113" s="380" t="s">
        <v>1319</v>
      </c>
      <c r="J113" s="380" t="s">
        <v>1320</v>
      </c>
      <c r="K113" s="380"/>
      <c r="L113" s="380"/>
      <c r="M113" s="385">
        <f>M104*INDEX(input_data!$L:$L,MATCH(CBAM!$B$5&amp;".in.enc.cmt.dry.lpg",input_data!$A:$A,0))</f>
        <v>0</v>
      </c>
      <c r="N113" s="385">
        <f>N104*INDEX(input_data!$L:$L,MATCH(CBAM!$B$5&amp;".in.enc.cmt.dry.lpg",input_data!$A:$A,0))</f>
        <v>0</v>
      </c>
      <c r="O113" s="385">
        <f>O104*INDEX(input_data!$L:$L,MATCH(CBAM!$B$5&amp;".in.enc.cmt.dry.lpg",input_data!$A:$A,0))</f>
        <v>0</v>
      </c>
      <c r="P113" s="385">
        <f>P104*INDEX(input_data!$L:$L,MATCH(CBAM!$B$5&amp;".in.enc.cmt.dry.lpg",input_data!$A:$A,0))</f>
        <v>0</v>
      </c>
      <c r="Q113" s="385">
        <f>Q104*INDEX(input_data!$L:$L,MATCH(CBAM!$B$5&amp;".in.enc.cmt.dry.lpg",input_data!$A:$A,0))</f>
        <v>0</v>
      </c>
      <c r="R113" s="385">
        <f>R104*INDEX(input_data!$L:$L,MATCH(CBAM!$B$5&amp;".in.enc.cmt.dry.lpg",input_data!$A:$A,0))</f>
        <v>0</v>
      </c>
      <c r="S113" s="385">
        <f>S104*INDEX(input_data!$L:$L,MATCH(CBAM!$B$5&amp;".in.enc.cmt.dry.lpg",input_data!$A:$A,0))</f>
        <v>0</v>
      </c>
      <c r="T113" s="385">
        <f>T104*INDEX(input_data!$L:$L,MATCH(CBAM!$B$5&amp;".in.enc.cmt.dry.lpg",input_data!$A:$A,0))</f>
        <v>0</v>
      </c>
      <c r="U113" s="385">
        <f>U104*INDEX(input_data!$L:$L,MATCH(CBAM!$B$5&amp;".in.enc.cmt.dry.lpg",input_data!$A:$A,0))</f>
        <v>0</v>
      </c>
      <c r="V113" s="385">
        <f>V104*INDEX(input_data!$L:$L,MATCH(CBAM!$B$5&amp;".in.enc.cmt.dry.lpg",input_data!$A:$A,0))</f>
        <v>0</v>
      </c>
      <c r="W113" s="385">
        <f>W104*INDEX(input_data!$L:$L,MATCH(CBAM!$B$5&amp;".in.enc.cmt.dry.lpg",input_data!$A:$A,0))</f>
        <v>0</v>
      </c>
      <c r="X113" s="385">
        <f>X104*INDEX(input_data!$L:$L,MATCH(CBAM!$B$5&amp;".in.enc.cmt.dry.lpg",input_data!$A:$A,0))</f>
        <v>0</v>
      </c>
    </row>
    <row r="114" spans="1:24" ht="15" customHeight="1" x14ac:dyDescent="0.25">
      <c r="A114" s="380" t="str">
        <f>CBAM!$B$5&amp;".pj.enc.cmt.dry.bio"</f>
        <v>egy.pj.enc.cmt.dry.bio</v>
      </c>
      <c r="B114" s="380" t="str">
        <f>CBAM!$B$5</f>
        <v>egy</v>
      </c>
      <c r="C114" s="380" t="s">
        <v>1275</v>
      </c>
      <c r="D114" s="380" t="s">
        <v>1317</v>
      </c>
      <c r="E114" s="380" t="s">
        <v>327</v>
      </c>
      <c r="F114" s="380" t="s">
        <v>1417</v>
      </c>
      <c r="G114" s="380" t="s">
        <v>1299</v>
      </c>
      <c r="H114" s="380" t="s">
        <v>1428</v>
      </c>
      <c r="I114" s="380" t="s">
        <v>1319</v>
      </c>
      <c r="J114" s="380" t="s">
        <v>1320</v>
      </c>
      <c r="K114" s="380"/>
      <c r="L114" s="380"/>
      <c r="M114" s="385">
        <f>M104*INDEX(input_data!$L:$L,MATCH(CBAM!$B$5&amp;".in.enc.cmt.dry.bio",input_data!$A:$A,0))</f>
        <v>0</v>
      </c>
      <c r="N114" s="385">
        <f>N104*INDEX(input_data!$L:$L,MATCH(CBAM!$B$5&amp;".in.enc.cmt.dry.bio",input_data!$A:$A,0))</f>
        <v>0</v>
      </c>
      <c r="O114" s="385">
        <f>O104*INDEX(input_data!$L:$L,MATCH(CBAM!$B$5&amp;".in.enc.cmt.dry.bio",input_data!$A:$A,0))</f>
        <v>0</v>
      </c>
      <c r="P114" s="385">
        <f>P104*INDEX(input_data!$L:$L,MATCH(CBAM!$B$5&amp;".in.enc.cmt.dry.bio",input_data!$A:$A,0))</f>
        <v>0</v>
      </c>
      <c r="Q114" s="385">
        <f>Q104*INDEX(input_data!$L:$L,MATCH(CBAM!$B$5&amp;".in.enc.cmt.dry.bio",input_data!$A:$A,0))</f>
        <v>0</v>
      </c>
      <c r="R114" s="385">
        <f>R104*INDEX(input_data!$L:$L,MATCH(CBAM!$B$5&amp;".in.enc.cmt.dry.bio",input_data!$A:$A,0))</f>
        <v>0</v>
      </c>
      <c r="S114" s="385">
        <f>S104*INDEX(input_data!$L:$L,MATCH(CBAM!$B$5&amp;".in.enc.cmt.dry.bio",input_data!$A:$A,0))</f>
        <v>0</v>
      </c>
      <c r="T114" s="385">
        <f>T104*INDEX(input_data!$L:$L,MATCH(CBAM!$B$5&amp;".in.enc.cmt.dry.bio",input_data!$A:$A,0))</f>
        <v>0</v>
      </c>
      <c r="U114" s="385">
        <f>U104*INDEX(input_data!$L:$L,MATCH(CBAM!$B$5&amp;".in.enc.cmt.dry.bio",input_data!$A:$A,0))</f>
        <v>0</v>
      </c>
      <c r="V114" s="385">
        <f>V104*INDEX(input_data!$L:$L,MATCH(CBAM!$B$5&amp;".in.enc.cmt.dry.bio",input_data!$A:$A,0))</f>
        <v>0</v>
      </c>
      <c r="W114" s="385">
        <f>W104*INDEX(input_data!$L:$L,MATCH(CBAM!$B$5&amp;".in.enc.cmt.dry.bio",input_data!$A:$A,0))</f>
        <v>0</v>
      </c>
      <c r="X114" s="385">
        <f>X104*INDEX(input_data!$L:$L,MATCH(CBAM!$B$5&amp;".in.enc.cmt.dry.bio",input_data!$A:$A,0))</f>
        <v>0</v>
      </c>
    </row>
    <row r="115" spans="1:24" ht="15" customHeight="1" x14ac:dyDescent="0.25">
      <c r="A115" s="380" t="str">
        <f>CBAM!$B$5&amp;".pj.enc.cmt.dry.ren"</f>
        <v>egy.pj.enc.cmt.dry.ren</v>
      </c>
      <c r="B115" s="380" t="str">
        <f>CBAM!$B$5</f>
        <v>egy</v>
      </c>
      <c r="C115" s="380" t="s">
        <v>1275</v>
      </c>
      <c r="D115" s="380" t="s">
        <v>1317</v>
      </c>
      <c r="E115" s="380" t="s">
        <v>327</v>
      </c>
      <c r="F115" s="380" t="s">
        <v>1417</v>
      </c>
      <c r="G115" s="380" t="s">
        <v>1301</v>
      </c>
      <c r="H115" s="380" t="s">
        <v>1429</v>
      </c>
      <c r="I115" s="380" t="s">
        <v>1319</v>
      </c>
      <c r="J115" s="380" t="s">
        <v>1320</v>
      </c>
      <c r="K115" s="380"/>
      <c r="L115" s="380"/>
      <c r="M115" s="385">
        <f>M104*INDEX(input_data!$L:$L,MATCH(CBAM!$B$5&amp;".in.enc.cmt.dry.ren",input_data!$A:$A,0))</f>
        <v>0</v>
      </c>
      <c r="N115" s="385">
        <f>N104*INDEX(input_data!$L:$L,MATCH(CBAM!$B$5&amp;".in.enc.cmt.dry.ren",input_data!$A:$A,0))</f>
        <v>0</v>
      </c>
      <c r="O115" s="385">
        <f>O104*INDEX(input_data!$L:$L,MATCH(CBAM!$B$5&amp;".in.enc.cmt.dry.ren",input_data!$A:$A,0))</f>
        <v>0</v>
      </c>
      <c r="P115" s="385">
        <f>P104*INDEX(input_data!$L:$L,MATCH(CBAM!$B$5&amp;".in.enc.cmt.dry.ren",input_data!$A:$A,0))</f>
        <v>0</v>
      </c>
      <c r="Q115" s="385">
        <f>Q104*INDEX(input_data!$L:$L,MATCH(CBAM!$B$5&amp;".in.enc.cmt.dry.ren",input_data!$A:$A,0))</f>
        <v>0</v>
      </c>
      <c r="R115" s="385">
        <f>R104*INDEX(input_data!$L:$L,MATCH(CBAM!$B$5&amp;".in.enc.cmt.dry.ren",input_data!$A:$A,0))</f>
        <v>0</v>
      </c>
      <c r="S115" s="385">
        <f>S104*INDEX(input_data!$L:$L,MATCH(CBAM!$B$5&amp;".in.enc.cmt.dry.ren",input_data!$A:$A,0))</f>
        <v>0</v>
      </c>
      <c r="T115" s="385">
        <f>T104*INDEX(input_data!$L:$L,MATCH(CBAM!$B$5&amp;".in.enc.cmt.dry.ren",input_data!$A:$A,0))</f>
        <v>0</v>
      </c>
      <c r="U115" s="385">
        <f>U104*INDEX(input_data!$L:$L,MATCH(CBAM!$B$5&amp;".in.enc.cmt.dry.ren",input_data!$A:$A,0))</f>
        <v>0</v>
      </c>
      <c r="V115" s="385">
        <f>V104*INDEX(input_data!$L:$L,MATCH(CBAM!$B$5&amp;".in.enc.cmt.dry.ren",input_data!$A:$A,0))</f>
        <v>0</v>
      </c>
      <c r="W115" s="385">
        <f>W104*INDEX(input_data!$L:$L,MATCH(CBAM!$B$5&amp;".in.enc.cmt.dry.ren",input_data!$A:$A,0))</f>
        <v>0</v>
      </c>
      <c r="X115" s="385">
        <f>X104*INDEX(input_data!$L:$L,MATCH(CBAM!$B$5&amp;".in.enc.cmt.dry.ren",input_data!$A:$A,0))</f>
        <v>0</v>
      </c>
    </row>
    <row r="116" spans="1:24" ht="15" customHeight="1" x14ac:dyDescent="0.25">
      <c r="A116" s="380" t="str">
        <f>CBAM!$B$5&amp;".pj.enp.cmt.dry.coa"</f>
        <v>egy.pj.enp.cmt.dry.coa</v>
      </c>
      <c r="B116" s="380" t="str">
        <f>CBAM!$B$5</f>
        <v>egy</v>
      </c>
      <c r="C116" s="380" t="s">
        <v>1275</v>
      </c>
      <c r="D116" s="380" t="s">
        <v>1328</v>
      </c>
      <c r="E116" s="380" t="s">
        <v>327</v>
      </c>
      <c r="F116" s="380" t="s">
        <v>1417</v>
      </c>
      <c r="G116" s="380" t="s">
        <v>757</v>
      </c>
      <c r="H116" s="380" t="s">
        <v>1430</v>
      </c>
      <c r="I116" s="380" t="s">
        <v>1319</v>
      </c>
      <c r="J116" s="380" t="s">
        <v>1330</v>
      </c>
      <c r="K116" s="380"/>
      <c r="L116" s="380"/>
      <c r="M116" s="385">
        <f>M104*INDEX(input_data!$L:$L,MATCH(CBAM!$B$5&amp;".in.enp.cmt.dry.coa",input_data!$A:$A,0))</f>
        <v>0</v>
      </c>
      <c r="N116" s="385">
        <f>N104*INDEX(input_data!$L:$L,MATCH(CBAM!$B$5&amp;".in.enp.cmt.dry.coa",input_data!$A:$A,0))</f>
        <v>0</v>
      </c>
      <c r="O116" s="385">
        <f>O104*INDEX(input_data!$L:$L,MATCH(CBAM!$B$5&amp;".in.enp.cmt.dry.coa",input_data!$A:$A,0))</f>
        <v>0</v>
      </c>
      <c r="P116" s="385">
        <f>P104*INDEX(input_data!$L:$L,MATCH(CBAM!$B$5&amp;".in.enp.cmt.dry.coa",input_data!$A:$A,0))</f>
        <v>0</v>
      </c>
      <c r="Q116" s="385">
        <f>Q104*INDEX(input_data!$L:$L,MATCH(CBAM!$B$5&amp;".in.enp.cmt.dry.coa",input_data!$A:$A,0))</f>
        <v>0</v>
      </c>
      <c r="R116" s="385">
        <f>R104*INDEX(input_data!$L:$L,MATCH(CBAM!$B$5&amp;".in.enp.cmt.dry.coa",input_data!$A:$A,0))</f>
        <v>0</v>
      </c>
      <c r="S116" s="385">
        <f>S104*INDEX(input_data!$L:$L,MATCH(CBAM!$B$5&amp;".in.enp.cmt.dry.coa",input_data!$A:$A,0))</f>
        <v>0</v>
      </c>
      <c r="T116" s="385">
        <f>T104*INDEX(input_data!$L:$L,MATCH(CBAM!$B$5&amp;".in.enp.cmt.dry.coa",input_data!$A:$A,0))</f>
        <v>0</v>
      </c>
      <c r="U116" s="385">
        <f>U104*INDEX(input_data!$L:$L,MATCH(CBAM!$B$5&amp;".in.enp.cmt.dry.coa",input_data!$A:$A,0))</f>
        <v>0</v>
      </c>
      <c r="V116" s="385">
        <f>V104*INDEX(input_data!$L:$L,MATCH(CBAM!$B$5&amp;".in.enp.cmt.dry.coa",input_data!$A:$A,0))</f>
        <v>0</v>
      </c>
      <c r="W116" s="385">
        <f>W104*INDEX(input_data!$L:$L,MATCH(CBAM!$B$5&amp;".in.enp.cmt.dry.coa",input_data!$A:$A,0))</f>
        <v>0</v>
      </c>
      <c r="X116" s="385">
        <f>X104*INDEX(input_data!$L:$L,MATCH(CBAM!$B$5&amp;".in.enp.cmt.dry.coa",input_data!$A:$A,0))</f>
        <v>0</v>
      </c>
    </row>
    <row r="117" spans="1:24" ht="15" customHeight="1" x14ac:dyDescent="0.25">
      <c r="A117" s="380" t="str">
        <f>CBAM!$B$5&amp;".pj.enp.cmt.dry.nga"</f>
        <v>egy.pj.enp.cmt.dry.nga</v>
      </c>
      <c r="B117" s="380" t="str">
        <f>CBAM!$B$5</f>
        <v>egy</v>
      </c>
      <c r="C117" s="380" t="s">
        <v>1275</v>
      </c>
      <c r="D117" s="380" t="s">
        <v>1328</v>
      </c>
      <c r="E117" s="380" t="s">
        <v>327</v>
      </c>
      <c r="F117" s="380" t="s">
        <v>1417</v>
      </c>
      <c r="G117" s="380" t="s">
        <v>754</v>
      </c>
      <c r="H117" s="380" t="s">
        <v>1431</v>
      </c>
      <c r="I117" s="380" t="s">
        <v>1319</v>
      </c>
      <c r="J117" s="380" t="s">
        <v>1330</v>
      </c>
      <c r="K117" s="380"/>
      <c r="L117" s="380"/>
      <c r="M117" s="385">
        <f>M104*INDEX(input_data!$L:$L,MATCH(CBAM!$B$5&amp;".in.enp.cmt.dry.nga",input_data!$A:$A,0))</f>
        <v>0</v>
      </c>
      <c r="N117" s="385">
        <f>N104*INDEX(input_data!$L:$L,MATCH(CBAM!$B$5&amp;".in.enp.cmt.dry.nga",input_data!$A:$A,0))</f>
        <v>0</v>
      </c>
      <c r="O117" s="385">
        <f>O104*INDEX(input_data!$L:$L,MATCH(CBAM!$B$5&amp;".in.enp.cmt.dry.nga",input_data!$A:$A,0))</f>
        <v>0</v>
      </c>
      <c r="P117" s="385">
        <f>P104*INDEX(input_data!$L:$L,MATCH(CBAM!$B$5&amp;".in.enp.cmt.dry.nga",input_data!$A:$A,0))</f>
        <v>0</v>
      </c>
      <c r="Q117" s="385">
        <f>Q104*INDEX(input_data!$L:$L,MATCH(CBAM!$B$5&amp;".in.enp.cmt.dry.nga",input_data!$A:$A,0))</f>
        <v>0</v>
      </c>
      <c r="R117" s="385">
        <f>R104*INDEX(input_data!$L:$L,MATCH(CBAM!$B$5&amp;".in.enp.cmt.dry.nga",input_data!$A:$A,0))</f>
        <v>0</v>
      </c>
      <c r="S117" s="385">
        <f>S104*INDEX(input_data!$L:$L,MATCH(CBAM!$B$5&amp;".in.enp.cmt.dry.nga",input_data!$A:$A,0))</f>
        <v>0</v>
      </c>
      <c r="T117" s="385">
        <f>T104*INDEX(input_data!$L:$L,MATCH(CBAM!$B$5&amp;".in.enp.cmt.dry.nga",input_data!$A:$A,0))</f>
        <v>0</v>
      </c>
      <c r="U117" s="385">
        <f>U104*INDEX(input_data!$L:$L,MATCH(CBAM!$B$5&amp;".in.enp.cmt.dry.nga",input_data!$A:$A,0))</f>
        <v>0</v>
      </c>
      <c r="V117" s="385">
        <f>V104*INDEX(input_data!$L:$L,MATCH(CBAM!$B$5&amp;".in.enp.cmt.dry.nga",input_data!$A:$A,0))</f>
        <v>0</v>
      </c>
      <c r="W117" s="385">
        <f>W104*INDEX(input_data!$L:$L,MATCH(CBAM!$B$5&amp;".in.enp.cmt.dry.nga",input_data!$A:$A,0))</f>
        <v>0</v>
      </c>
      <c r="X117" s="385">
        <f>X104*INDEX(input_data!$L:$L,MATCH(CBAM!$B$5&amp;".in.enp.cmt.dry.nga",input_data!$A:$A,0))</f>
        <v>0</v>
      </c>
    </row>
    <row r="118" spans="1:24" ht="15" customHeight="1" x14ac:dyDescent="0.25">
      <c r="A118" s="380" t="str">
        <f>CBAM!$B$5&amp;".pj.enp.cmt.dry.gso"</f>
        <v>egy.pj.enp.cmt.dry.gso</v>
      </c>
      <c r="B118" s="380" t="str">
        <f>CBAM!$B$5</f>
        <v>egy</v>
      </c>
      <c r="C118" s="380" t="s">
        <v>1275</v>
      </c>
      <c r="D118" s="380" t="s">
        <v>1328</v>
      </c>
      <c r="E118" s="380" t="s">
        <v>327</v>
      </c>
      <c r="F118" s="380" t="s">
        <v>1417</v>
      </c>
      <c r="G118" s="380" t="s">
        <v>1292</v>
      </c>
      <c r="H118" s="380" t="s">
        <v>1432</v>
      </c>
      <c r="I118" s="380" t="s">
        <v>1319</v>
      </c>
      <c r="J118" s="380" t="s">
        <v>1330</v>
      </c>
      <c r="K118" s="380"/>
      <c r="L118" s="380"/>
      <c r="M118" s="385">
        <f>M104*INDEX(input_data!$L:$L,MATCH(CBAM!$B$5&amp;".in.enp.cmt.dry.gso",input_data!$A:$A,0))</f>
        <v>0</v>
      </c>
      <c r="N118" s="385">
        <f>N104*INDEX(input_data!$L:$L,MATCH(CBAM!$B$5&amp;".in.enp.cmt.dry.gso",input_data!$A:$A,0))</f>
        <v>0</v>
      </c>
      <c r="O118" s="385">
        <f>O104*INDEX(input_data!$L:$L,MATCH(CBAM!$B$5&amp;".in.enp.cmt.dry.gso",input_data!$A:$A,0))</f>
        <v>0</v>
      </c>
      <c r="P118" s="385">
        <f>P104*INDEX(input_data!$L:$L,MATCH(CBAM!$B$5&amp;".in.enp.cmt.dry.gso",input_data!$A:$A,0))</f>
        <v>0</v>
      </c>
      <c r="Q118" s="385">
        <f>Q104*INDEX(input_data!$L:$L,MATCH(CBAM!$B$5&amp;".in.enp.cmt.dry.gso",input_data!$A:$A,0))</f>
        <v>0</v>
      </c>
      <c r="R118" s="385">
        <f>R104*INDEX(input_data!$L:$L,MATCH(CBAM!$B$5&amp;".in.enp.cmt.dry.gso",input_data!$A:$A,0))</f>
        <v>0</v>
      </c>
      <c r="S118" s="385">
        <f>S104*INDEX(input_data!$L:$L,MATCH(CBAM!$B$5&amp;".in.enp.cmt.dry.gso",input_data!$A:$A,0))</f>
        <v>0</v>
      </c>
      <c r="T118" s="385">
        <f>T104*INDEX(input_data!$L:$L,MATCH(CBAM!$B$5&amp;".in.enp.cmt.dry.gso",input_data!$A:$A,0))</f>
        <v>0</v>
      </c>
      <c r="U118" s="385">
        <f>U104*INDEX(input_data!$L:$L,MATCH(CBAM!$B$5&amp;".in.enp.cmt.dry.gso",input_data!$A:$A,0))</f>
        <v>0</v>
      </c>
      <c r="V118" s="385">
        <f>V104*INDEX(input_data!$L:$L,MATCH(CBAM!$B$5&amp;".in.enp.cmt.dry.gso",input_data!$A:$A,0))</f>
        <v>0</v>
      </c>
      <c r="W118" s="385">
        <f>W104*INDEX(input_data!$L:$L,MATCH(CBAM!$B$5&amp;".in.enp.cmt.dry.gso",input_data!$A:$A,0))</f>
        <v>0</v>
      </c>
      <c r="X118" s="385">
        <f>X104*INDEX(input_data!$L:$L,MATCH(CBAM!$B$5&amp;".in.enp.cmt.dry.gso",input_data!$A:$A,0))</f>
        <v>0</v>
      </c>
    </row>
    <row r="119" spans="1:24" ht="15" customHeight="1" x14ac:dyDescent="0.25">
      <c r="A119" s="380" t="str">
        <f>CBAM!$B$5&amp;".pj.enp.cmt.dry.die"</f>
        <v>egy.pj.enp.cmt.dry.die</v>
      </c>
      <c r="B119" s="380" t="str">
        <f>CBAM!$B$5</f>
        <v>egy</v>
      </c>
      <c r="C119" s="380" t="s">
        <v>1275</v>
      </c>
      <c r="D119" s="380" t="s">
        <v>1328</v>
      </c>
      <c r="E119" s="380" t="s">
        <v>327</v>
      </c>
      <c r="F119" s="380" t="s">
        <v>1417</v>
      </c>
      <c r="G119" s="380" t="s">
        <v>762</v>
      </c>
      <c r="H119" s="380" t="s">
        <v>1433</v>
      </c>
      <c r="I119" s="380" t="s">
        <v>1319</v>
      </c>
      <c r="J119" s="380" t="s">
        <v>1330</v>
      </c>
      <c r="K119" s="380"/>
      <c r="L119" s="380"/>
      <c r="M119" s="385">
        <f>M104*INDEX(input_data!$L:$L,MATCH(CBAM!$B$5&amp;".in.enp.cmt.dry.die",input_data!$A:$A,0))</f>
        <v>0</v>
      </c>
      <c r="N119" s="385">
        <f>N104*INDEX(input_data!$L:$L,MATCH(CBAM!$B$5&amp;".in.enp.cmt.dry.die",input_data!$A:$A,0))</f>
        <v>0</v>
      </c>
      <c r="O119" s="385">
        <f>O104*INDEX(input_data!$L:$L,MATCH(CBAM!$B$5&amp;".in.enp.cmt.dry.die",input_data!$A:$A,0))</f>
        <v>0</v>
      </c>
      <c r="P119" s="385">
        <f>P104*INDEX(input_data!$L:$L,MATCH(CBAM!$B$5&amp;".in.enp.cmt.dry.die",input_data!$A:$A,0))</f>
        <v>0</v>
      </c>
      <c r="Q119" s="385">
        <f>Q104*INDEX(input_data!$L:$L,MATCH(CBAM!$B$5&amp;".in.enp.cmt.dry.die",input_data!$A:$A,0))</f>
        <v>0</v>
      </c>
      <c r="R119" s="385">
        <f>R104*INDEX(input_data!$L:$L,MATCH(CBAM!$B$5&amp;".in.enp.cmt.dry.die",input_data!$A:$A,0))</f>
        <v>0</v>
      </c>
      <c r="S119" s="385">
        <f>S104*INDEX(input_data!$L:$L,MATCH(CBAM!$B$5&amp;".in.enp.cmt.dry.die",input_data!$A:$A,0))</f>
        <v>0</v>
      </c>
      <c r="T119" s="385">
        <f>T104*INDEX(input_data!$L:$L,MATCH(CBAM!$B$5&amp;".in.enp.cmt.dry.die",input_data!$A:$A,0))</f>
        <v>0</v>
      </c>
      <c r="U119" s="385">
        <f>U104*INDEX(input_data!$L:$L,MATCH(CBAM!$B$5&amp;".in.enp.cmt.dry.die",input_data!$A:$A,0))</f>
        <v>0</v>
      </c>
      <c r="V119" s="385">
        <f>V104*INDEX(input_data!$L:$L,MATCH(CBAM!$B$5&amp;".in.enp.cmt.dry.die",input_data!$A:$A,0))</f>
        <v>0</v>
      </c>
      <c r="W119" s="385">
        <f>W104*INDEX(input_data!$L:$L,MATCH(CBAM!$B$5&amp;".in.enp.cmt.dry.die",input_data!$A:$A,0))</f>
        <v>0</v>
      </c>
      <c r="X119" s="385">
        <f>X104*INDEX(input_data!$L:$L,MATCH(CBAM!$B$5&amp;".in.enp.cmt.dry.die",input_data!$A:$A,0))</f>
        <v>0</v>
      </c>
    </row>
    <row r="120" spans="1:24" ht="15" customHeight="1" x14ac:dyDescent="0.25">
      <c r="A120" s="380" t="str">
        <f>CBAM!$B$5&amp;".pj.enp.cmt.dry.ker"</f>
        <v>egy.pj.enp.cmt.dry.ker</v>
      </c>
      <c r="B120" s="380" t="str">
        <f>CBAM!$B$5</f>
        <v>egy</v>
      </c>
      <c r="C120" s="380" t="s">
        <v>1275</v>
      </c>
      <c r="D120" s="380" t="s">
        <v>1328</v>
      </c>
      <c r="E120" s="380" t="s">
        <v>327</v>
      </c>
      <c r="F120" s="380" t="s">
        <v>1417</v>
      </c>
      <c r="G120" s="380" t="s">
        <v>1295</v>
      </c>
      <c r="H120" s="380" t="s">
        <v>1434</v>
      </c>
      <c r="I120" s="380" t="s">
        <v>1319</v>
      </c>
      <c r="J120" s="380" t="s">
        <v>1330</v>
      </c>
      <c r="K120" s="380"/>
      <c r="L120" s="380"/>
      <c r="M120" s="385">
        <f>M104*INDEX(input_data!$L:$L,MATCH(CBAM!$B$5&amp;".in.enp.cmt.dry.ker",input_data!$A:$A,0))</f>
        <v>0</v>
      </c>
      <c r="N120" s="385">
        <f>N104*INDEX(input_data!$L:$L,MATCH(CBAM!$B$5&amp;".in.enp.cmt.dry.ker",input_data!$A:$A,0))</f>
        <v>0</v>
      </c>
      <c r="O120" s="385">
        <f>O104*INDEX(input_data!$L:$L,MATCH(CBAM!$B$5&amp;".in.enp.cmt.dry.ker",input_data!$A:$A,0))</f>
        <v>0</v>
      </c>
      <c r="P120" s="385">
        <f>P104*INDEX(input_data!$L:$L,MATCH(CBAM!$B$5&amp;".in.enp.cmt.dry.ker",input_data!$A:$A,0))</f>
        <v>0</v>
      </c>
      <c r="Q120" s="385">
        <f>Q104*INDEX(input_data!$L:$L,MATCH(CBAM!$B$5&amp;".in.enp.cmt.dry.ker",input_data!$A:$A,0))</f>
        <v>0</v>
      </c>
      <c r="R120" s="385">
        <f>R104*INDEX(input_data!$L:$L,MATCH(CBAM!$B$5&amp;".in.enp.cmt.dry.ker",input_data!$A:$A,0))</f>
        <v>0</v>
      </c>
      <c r="S120" s="385">
        <f>S104*INDEX(input_data!$L:$L,MATCH(CBAM!$B$5&amp;".in.enp.cmt.dry.ker",input_data!$A:$A,0))</f>
        <v>0</v>
      </c>
      <c r="T120" s="385">
        <f>T104*INDEX(input_data!$L:$L,MATCH(CBAM!$B$5&amp;".in.enp.cmt.dry.ker",input_data!$A:$A,0))</f>
        <v>0</v>
      </c>
      <c r="U120" s="385">
        <f>U104*INDEX(input_data!$L:$L,MATCH(CBAM!$B$5&amp;".in.enp.cmt.dry.ker",input_data!$A:$A,0))</f>
        <v>0</v>
      </c>
      <c r="V120" s="385">
        <f>V104*INDEX(input_data!$L:$L,MATCH(CBAM!$B$5&amp;".in.enp.cmt.dry.ker",input_data!$A:$A,0))</f>
        <v>0</v>
      </c>
      <c r="W120" s="385">
        <f>W104*INDEX(input_data!$L:$L,MATCH(CBAM!$B$5&amp;".in.enp.cmt.dry.ker",input_data!$A:$A,0))</f>
        <v>0</v>
      </c>
      <c r="X120" s="385">
        <f>X104*INDEX(input_data!$L:$L,MATCH(CBAM!$B$5&amp;".in.enp.cmt.dry.ker",input_data!$A:$A,0))</f>
        <v>0</v>
      </c>
    </row>
    <row r="121" spans="1:24" ht="15" customHeight="1" x14ac:dyDescent="0.25">
      <c r="A121" s="380" t="str">
        <f>CBAM!$B$5&amp;".pj.enp.cmt.dry.lpg"</f>
        <v>egy.pj.enp.cmt.dry.lpg</v>
      </c>
      <c r="B121" s="380" t="str">
        <f>CBAM!$B$5</f>
        <v>egy</v>
      </c>
      <c r="C121" s="380" t="s">
        <v>1275</v>
      </c>
      <c r="D121" s="380" t="s">
        <v>1328</v>
      </c>
      <c r="E121" s="380" t="s">
        <v>327</v>
      </c>
      <c r="F121" s="380" t="s">
        <v>1417</v>
      </c>
      <c r="G121" s="380" t="s">
        <v>1297</v>
      </c>
      <c r="H121" s="380" t="s">
        <v>1435</v>
      </c>
      <c r="I121" s="380" t="s">
        <v>1319</v>
      </c>
      <c r="J121" s="380" t="s">
        <v>1330</v>
      </c>
      <c r="K121" s="380"/>
      <c r="L121" s="380"/>
      <c r="M121" s="385">
        <f>M104*INDEX(input_data!$L:$L,MATCH(CBAM!$B$5&amp;".in.enp.cmt.dry.lpg",input_data!$A:$A,0))</f>
        <v>0</v>
      </c>
      <c r="N121" s="385">
        <f>N104*INDEX(input_data!$L:$L,MATCH(CBAM!$B$5&amp;".in.enp.cmt.dry.lpg",input_data!$A:$A,0))</f>
        <v>0</v>
      </c>
      <c r="O121" s="385">
        <f>O104*INDEX(input_data!$L:$L,MATCH(CBAM!$B$5&amp;".in.enp.cmt.dry.lpg",input_data!$A:$A,0))</f>
        <v>0</v>
      </c>
      <c r="P121" s="385">
        <f>P104*INDEX(input_data!$L:$L,MATCH(CBAM!$B$5&amp;".in.enp.cmt.dry.lpg",input_data!$A:$A,0))</f>
        <v>0</v>
      </c>
      <c r="Q121" s="385">
        <f>Q104*INDEX(input_data!$L:$L,MATCH(CBAM!$B$5&amp;".in.enp.cmt.dry.lpg",input_data!$A:$A,0))</f>
        <v>0</v>
      </c>
      <c r="R121" s="385">
        <f>R104*INDEX(input_data!$L:$L,MATCH(CBAM!$B$5&amp;".in.enp.cmt.dry.lpg",input_data!$A:$A,0))</f>
        <v>0</v>
      </c>
      <c r="S121" s="385">
        <f>S104*INDEX(input_data!$L:$L,MATCH(CBAM!$B$5&amp;".in.enp.cmt.dry.lpg",input_data!$A:$A,0))</f>
        <v>0</v>
      </c>
      <c r="T121" s="385">
        <f>T104*INDEX(input_data!$L:$L,MATCH(CBAM!$B$5&amp;".in.enp.cmt.dry.lpg",input_data!$A:$A,0))</f>
        <v>0</v>
      </c>
      <c r="U121" s="385">
        <f>U104*INDEX(input_data!$L:$L,MATCH(CBAM!$B$5&amp;".in.enp.cmt.dry.lpg",input_data!$A:$A,0))</f>
        <v>0</v>
      </c>
      <c r="V121" s="385">
        <f>V104*INDEX(input_data!$L:$L,MATCH(CBAM!$B$5&amp;".in.enp.cmt.dry.lpg",input_data!$A:$A,0))</f>
        <v>0</v>
      </c>
      <c r="W121" s="385">
        <f>W104*INDEX(input_data!$L:$L,MATCH(CBAM!$B$5&amp;".in.enp.cmt.dry.lpg",input_data!$A:$A,0))</f>
        <v>0</v>
      </c>
      <c r="X121" s="385">
        <f>X104*INDEX(input_data!$L:$L,MATCH(CBAM!$B$5&amp;".in.enp.cmt.dry.lpg",input_data!$A:$A,0))</f>
        <v>0</v>
      </c>
    </row>
    <row r="122" spans="1:24" ht="15" customHeight="1" x14ac:dyDescent="0.25">
      <c r="A122" s="380" t="str">
        <f>CBAM!$B$5&amp;".pj.enp.cmt.dry.bio"</f>
        <v>egy.pj.enp.cmt.dry.bio</v>
      </c>
      <c r="B122" s="380" t="str">
        <f>CBAM!$B$5</f>
        <v>egy</v>
      </c>
      <c r="C122" s="380" t="s">
        <v>1275</v>
      </c>
      <c r="D122" s="380" t="s">
        <v>1328</v>
      </c>
      <c r="E122" s="380" t="s">
        <v>327</v>
      </c>
      <c r="F122" s="380" t="s">
        <v>1417</v>
      </c>
      <c r="G122" s="380" t="s">
        <v>1299</v>
      </c>
      <c r="H122" s="380" t="s">
        <v>1436</v>
      </c>
      <c r="I122" s="380" t="s">
        <v>1319</v>
      </c>
      <c r="J122" s="380" t="s">
        <v>1330</v>
      </c>
      <c r="K122" s="380"/>
      <c r="L122" s="380"/>
      <c r="M122" s="385">
        <f>M104*INDEX(input_data!$L:$L,MATCH(CBAM!$B$5&amp;".in.enp.cmt.dry.bio",input_data!$A:$A,0))</f>
        <v>0</v>
      </c>
      <c r="N122" s="385">
        <f>N104*INDEX(input_data!$L:$L,MATCH(CBAM!$B$5&amp;".in.enp.cmt.dry.bio",input_data!$A:$A,0))</f>
        <v>0</v>
      </c>
      <c r="O122" s="385">
        <f>O104*INDEX(input_data!$L:$L,MATCH(CBAM!$B$5&amp;".in.enp.cmt.dry.bio",input_data!$A:$A,0))</f>
        <v>0</v>
      </c>
      <c r="P122" s="385">
        <f>P104*INDEX(input_data!$L:$L,MATCH(CBAM!$B$5&amp;".in.enp.cmt.dry.bio",input_data!$A:$A,0))</f>
        <v>0</v>
      </c>
      <c r="Q122" s="385">
        <f>Q104*INDEX(input_data!$L:$L,MATCH(CBAM!$B$5&amp;".in.enp.cmt.dry.bio",input_data!$A:$A,0))</f>
        <v>0</v>
      </c>
      <c r="R122" s="385">
        <f>R104*INDEX(input_data!$L:$L,MATCH(CBAM!$B$5&amp;".in.enp.cmt.dry.bio",input_data!$A:$A,0))</f>
        <v>0</v>
      </c>
      <c r="S122" s="385">
        <f>S104*INDEX(input_data!$L:$L,MATCH(CBAM!$B$5&amp;".in.enp.cmt.dry.bio",input_data!$A:$A,0))</f>
        <v>0</v>
      </c>
      <c r="T122" s="385">
        <f>T104*INDEX(input_data!$L:$L,MATCH(CBAM!$B$5&amp;".in.enp.cmt.dry.bio",input_data!$A:$A,0))</f>
        <v>0</v>
      </c>
      <c r="U122" s="385">
        <f>U104*INDEX(input_data!$L:$L,MATCH(CBAM!$B$5&amp;".in.enp.cmt.dry.bio",input_data!$A:$A,0))</f>
        <v>0</v>
      </c>
      <c r="V122" s="385">
        <f>V104*INDEX(input_data!$L:$L,MATCH(CBAM!$B$5&amp;".in.enp.cmt.dry.bio",input_data!$A:$A,0))</f>
        <v>0</v>
      </c>
      <c r="W122" s="385">
        <f>W104*INDEX(input_data!$L:$L,MATCH(CBAM!$B$5&amp;".in.enp.cmt.dry.bio",input_data!$A:$A,0))</f>
        <v>0</v>
      </c>
      <c r="X122" s="385">
        <f>X104*INDEX(input_data!$L:$L,MATCH(CBAM!$B$5&amp;".in.enp.cmt.dry.bio",input_data!$A:$A,0))</f>
        <v>0</v>
      </c>
    </row>
    <row r="123" spans="1:24" ht="15" customHeight="1" x14ac:dyDescent="0.25">
      <c r="A123" s="380" t="str">
        <f>CBAM!$B$5&amp;".pj.enp.cmt.dry.ren"</f>
        <v>egy.pj.enp.cmt.dry.ren</v>
      </c>
      <c r="B123" s="380" t="str">
        <f>CBAM!$B$5</f>
        <v>egy</v>
      </c>
      <c r="C123" s="380" t="s">
        <v>1275</v>
      </c>
      <c r="D123" s="380" t="s">
        <v>1328</v>
      </c>
      <c r="E123" s="380" t="s">
        <v>327</v>
      </c>
      <c r="F123" s="380" t="s">
        <v>1417</v>
      </c>
      <c r="G123" s="380" t="s">
        <v>1301</v>
      </c>
      <c r="H123" s="380" t="s">
        <v>1437</v>
      </c>
      <c r="I123" s="380" t="s">
        <v>1319</v>
      </c>
      <c r="J123" s="380" t="s">
        <v>1330</v>
      </c>
      <c r="K123" s="380"/>
      <c r="L123" s="380"/>
      <c r="M123" s="385">
        <f>M104*INDEX(input_data!$L:$L,MATCH(CBAM!$B$5&amp;".in.enp.cmt.dry.ren",input_data!$A:$A,0))</f>
        <v>0</v>
      </c>
      <c r="N123" s="385">
        <f>N104*INDEX(input_data!$L:$L,MATCH(CBAM!$B$5&amp;".in.enp.cmt.dry.ren",input_data!$A:$A,0))</f>
        <v>0</v>
      </c>
      <c r="O123" s="385">
        <f>O104*INDEX(input_data!$L:$L,MATCH(CBAM!$B$5&amp;".in.enp.cmt.dry.ren",input_data!$A:$A,0))</f>
        <v>0</v>
      </c>
      <c r="P123" s="385">
        <f>P104*INDEX(input_data!$L:$L,MATCH(CBAM!$B$5&amp;".in.enp.cmt.dry.ren",input_data!$A:$A,0))</f>
        <v>0</v>
      </c>
      <c r="Q123" s="385">
        <f>Q104*INDEX(input_data!$L:$L,MATCH(CBAM!$B$5&amp;".in.enp.cmt.dry.ren",input_data!$A:$A,0))</f>
        <v>0</v>
      </c>
      <c r="R123" s="385">
        <f>R104*INDEX(input_data!$L:$L,MATCH(CBAM!$B$5&amp;".in.enp.cmt.dry.ren",input_data!$A:$A,0))</f>
        <v>0</v>
      </c>
      <c r="S123" s="385">
        <f>S104*INDEX(input_data!$L:$L,MATCH(CBAM!$B$5&amp;".in.enp.cmt.dry.ren",input_data!$A:$A,0))</f>
        <v>0</v>
      </c>
      <c r="T123" s="385">
        <f>T104*INDEX(input_data!$L:$L,MATCH(CBAM!$B$5&amp;".in.enp.cmt.dry.ren",input_data!$A:$A,0))</f>
        <v>0</v>
      </c>
      <c r="U123" s="385">
        <f>U104*INDEX(input_data!$L:$L,MATCH(CBAM!$B$5&amp;".in.enp.cmt.dry.ren",input_data!$A:$A,0))</f>
        <v>0</v>
      </c>
      <c r="V123" s="385">
        <f>V104*INDEX(input_data!$L:$L,MATCH(CBAM!$B$5&amp;".in.enp.cmt.dry.ren",input_data!$A:$A,0))</f>
        <v>0</v>
      </c>
      <c r="W123" s="385">
        <f>W104*INDEX(input_data!$L:$L,MATCH(CBAM!$B$5&amp;".in.enp.cmt.dry.ren",input_data!$A:$A,0))</f>
        <v>0</v>
      </c>
      <c r="X123" s="385">
        <f>X104*INDEX(input_data!$L:$L,MATCH(CBAM!$B$5&amp;".in.enp.cmt.dry.ren",input_data!$A:$A,0))</f>
        <v>0</v>
      </c>
    </row>
    <row r="124" spans="1:24" ht="15" customHeight="1" x14ac:dyDescent="0.25">
      <c r="A124" s="380" t="str">
        <f>CBAM!$B$5&amp;".pj.ele.cmt.dry.elc"</f>
        <v>egy.pj.ele.cmt.dry.elc</v>
      </c>
      <c r="B124" s="380" t="str">
        <f>CBAM!$B$5</f>
        <v>egy</v>
      </c>
      <c r="C124" s="380" t="s">
        <v>1275</v>
      </c>
      <c r="D124" s="380" t="s">
        <v>1338</v>
      </c>
      <c r="E124" s="380" t="s">
        <v>327</v>
      </c>
      <c r="F124" s="380" t="s">
        <v>1417</v>
      </c>
      <c r="G124" s="380" t="s">
        <v>1339</v>
      </c>
      <c r="H124" s="380" t="s">
        <v>1438</v>
      </c>
      <c r="I124" s="380" t="s">
        <v>1319</v>
      </c>
      <c r="J124" s="380" t="s">
        <v>1341</v>
      </c>
      <c r="K124" s="380"/>
      <c r="L124" s="380"/>
      <c r="M124" s="385">
        <f>M104*INDEX(input_data!$L:$L,MATCH(CBAM!$B$5&amp;".in.ele.cmt.dry.elc",input_data!$A:$A,0))</f>
        <v>22.5</v>
      </c>
      <c r="N124" s="385">
        <f>N104*INDEX(input_data!$L:$L,MATCH(CBAM!$B$5&amp;".in.ele.cmt.dry.elc",input_data!$A:$A,0))</f>
        <v>23.610747229324751</v>
      </c>
      <c r="O124" s="385">
        <f>O104*INDEX(input_data!$L:$L,MATCH(CBAM!$B$5&amp;".in.ele.cmt.dry.elc",input_data!$A:$A,0))</f>
        <v>24.776328210091833</v>
      </c>
      <c r="P124" s="385">
        <f>P104*INDEX(input_data!$L:$L,MATCH(CBAM!$B$5&amp;".in.ele.cmt.dry.elc",input_data!$A:$A,0))</f>
        <v>25.999449895078506</v>
      </c>
      <c r="Q124" s="385">
        <f>Q104*INDEX(input_data!$L:$L,MATCH(CBAM!$B$5&amp;".in.ele.cmt.dry.elc",input_data!$A:$A,0))</f>
        <v>27.282952869964106</v>
      </c>
      <c r="R124" s="385">
        <f>R104*INDEX(input_data!$L:$L,MATCH(CBAM!$B$5&amp;".in.ele.cmt.dry.elc",input_data!$A:$A,0))</f>
        <v>28.629817950324561</v>
      </c>
      <c r="S124" s="385">
        <f>S104*INDEX(input_data!$L:$L,MATCH(CBAM!$B$5&amp;".in.ele.cmt.dry.elc",input_data!$A:$A,0))</f>
        <v>30.043173104297672</v>
      </c>
      <c r="T124" s="385">
        <f>T104*INDEX(input_data!$L:$L,MATCH(CBAM!$B$5&amp;".in.ele.cmt.dry.elc",input_data!$A:$A,0))</f>
        <v>31.526300716996442</v>
      </c>
      <c r="U124" s="385">
        <f>U104*INDEX(input_data!$L:$L,MATCH(CBAM!$B$5&amp;".in.ele.cmt.dry.elc",input_data!$A:$A,0))</f>
        <v>33.082645213541447</v>
      </c>
      <c r="V124" s="385">
        <f>V104*INDEX(input_data!$L:$L,MATCH(CBAM!$B$5&amp;".in.ele.cmt.dry.elc",input_data!$A:$A,0))</f>
        <v>34.715821058415884</v>
      </c>
      <c r="W124" s="385">
        <f>W104*INDEX(input_data!$L:$L,MATCH(CBAM!$B$5&amp;".in.ele.cmt.dry.elc",input_data!$A:$A,0))</f>
        <v>36.429621149721179</v>
      </c>
      <c r="X124" s="385">
        <f>X104*INDEX(input_data!$L:$L,MATCH(CBAM!$B$5&amp;".in.ele.cmt.dry.elc",input_data!$A:$A,0))</f>
        <v>38.228025627827982</v>
      </c>
    </row>
    <row r="125" spans="1:24" ht="15" customHeight="1" x14ac:dyDescent="0.25">
      <c r="A125" s="380" t="str">
        <f>CBAM!$B$5&amp;".em.sfc.cmt.dry.---"</f>
        <v>egy.em.sfc.cmt.dry.---</v>
      </c>
      <c r="B125" s="380" t="str">
        <f>CBAM!$B$5</f>
        <v>egy</v>
      </c>
      <c r="C125" s="380" t="s">
        <v>1342</v>
      </c>
      <c r="D125" s="380" t="s">
        <v>1343</v>
      </c>
      <c r="E125" s="380" t="s">
        <v>327</v>
      </c>
      <c r="F125" s="380" t="s">
        <v>1417</v>
      </c>
      <c r="G125" s="380" t="s">
        <v>1277</v>
      </c>
      <c r="H125" s="380" t="s">
        <v>1439</v>
      </c>
      <c r="I125" s="380" t="s">
        <v>1345</v>
      </c>
      <c r="J125" s="380" t="s">
        <v>1346</v>
      </c>
      <c r="K125" s="380"/>
      <c r="L125" s="380"/>
      <c r="M125" s="385">
        <f t="shared" ref="M125:X125" si="7">SUMPRODUCT(M108:M115,M10:M17)/1000</f>
        <v>14.414999999999999</v>
      </c>
      <c r="N125" s="385">
        <f t="shared" si="7"/>
        <v>15.126618724920721</v>
      </c>
      <c r="O125" s="385">
        <f t="shared" si="7"/>
        <v>15.873367606598833</v>
      </c>
      <c r="P125" s="385">
        <f t="shared" si="7"/>
        <v>16.65698089944696</v>
      </c>
      <c r="Q125" s="385">
        <f t="shared" si="7"/>
        <v>17.479278472023669</v>
      </c>
      <c r="R125" s="385">
        <f t="shared" si="7"/>
        <v>18.342170033507937</v>
      </c>
      <c r="S125" s="385">
        <f t="shared" si="7"/>
        <v>19.24765956882004</v>
      </c>
      <c r="T125" s="385">
        <f t="shared" si="7"/>
        <v>20.197849992689051</v>
      </c>
      <c r="U125" s="385">
        <f t="shared" si="7"/>
        <v>21.194948033475555</v>
      </c>
      <c r="V125" s="385">
        <f t="shared" si="7"/>
        <v>22.241269358091774</v>
      </c>
      <c r="W125" s="385">
        <f t="shared" si="7"/>
        <v>23.339243949921364</v>
      </c>
      <c r="X125" s="385">
        <f t="shared" si="7"/>
        <v>24.491421752228465</v>
      </c>
    </row>
    <row r="126" spans="1:24" ht="15" customHeight="1" x14ac:dyDescent="0.25">
      <c r="A126" s="380" t="str">
        <f>CBAM!$B$5&amp;".em.sfp.cmt.dry.---"</f>
        <v>egy.em.sfp.cmt.dry.---</v>
      </c>
      <c r="B126" s="380" t="str">
        <f>CBAM!$B$5</f>
        <v>egy</v>
      </c>
      <c r="C126" s="380" t="s">
        <v>1342</v>
      </c>
      <c r="D126" s="380" t="s">
        <v>1347</v>
      </c>
      <c r="E126" s="380" t="s">
        <v>327</v>
      </c>
      <c r="F126" s="380" t="s">
        <v>1417</v>
      </c>
      <c r="G126" s="380" t="s">
        <v>1277</v>
      </c>
      <c r="H126" s="380" t="s">
        <v>1440</v>
      </c>
      <c r="I126" s="380" t="s">
        <v>1345</v>
      </c>
      <c r="J126" s="380" t="s">
        <v>1349</v>
      </c>
      <c r="K126" s="380"/>
      <c r="L126" s="380"/>
      <c r="M126" s="385">
        <f t="shared" ref="M126:X126" si="8">SUMPRODUCT(M116:M123,M10:M17)/1000</f>
        <v>0</v>
      </c>
      <c r="N126" s="385">
        <f t="shared" si="8"/>
        <v>0</v>
      </c>
      <c r="O126" s="385">
        <f t="shared" si="8"/>
        <v>0</v>
      </c>
      <c r="P126" s="385">
        <f t="shared" si="8"/>
        <v>0</v>
      </c>
      <c r="Q126" s="385">
        <f t="shared" si="8"/>
        <v>0</v>
      </c>
      <c r="R126" s="385">
        <f t="shared" si="8"/>
        <v>0</v>
      </c>
      <c r="S126" s="385">
        <f t="shared" si="8"/>
        <v>0</v>
      </c>
      <c r="T126" s="385">
        <f t="shared" si="8"/>
        <v>0</v>
      </c>
      <c r="U126" s="385">
        <f t="shared" si="8"/>
        <v>0</v>
      </c>
      <c r="V126" s="385">
        <f t="shared" si="8"/>
        <v>0</v>
      </c>
      <c r="W126" s="385">
        <f t="shared" si="8"/>
        <v>0</v>
      </c>
      <c r="X126" s="385">
        <f t="shared" si="8"/>
        <v>0</v>
      </c>
    </row>
    <row r="127" spans="1:24" ht="15" customHeight="1" x14ac:dyDescent="0.25">
      <c r="A127" s="380" t="str">
        <f>CBAM!$B$5&amp;".em.snp.cmt.dry.---"</f>
        <v>egy.em.snp.cmt.dry.---</v>
      </c>
      <c r="B127" s="380" t="str">
        <f>CBAM!$B$5</f>
        <v>egy</v>
      </c>
      <c r="C127" s="380" t="s">
        <v>1342</v>
      </c>
      <c r="D127" s="380" t="s">
        <v>1350</v>
      </c>
      <c r="E127" s="380" t="s">
        <v>327</v>
      </c>
      <c r="F127" s="380" t="s">
        <v>1417</v>
      </c>
      <c r="G127" s="380" t="s">
        <v>1277</v>
      </c>
      <c r="H127" s="380" t="s">
        <v>1441</v>
      </c>
      <c r="I127" s="380" t="s">
        <v>1345</v>
      </c>
      <c r="J127" s="380" t="s">
        <v>1352</v>
      </c>
      <c r="K127" s="380"/>
      <c r="L127" s="380"/>
      <c r="M127" s="385">
        <f>M104*INDEX(input_data!$L:$L,MATCH(CBAM!$B$5&amp;".in.efn.cmt.dry.---",input_data!$A:$A,0))</f>
        <v>26.3</v>
      </c>
      <c r="N127" s="385">
        <f>N104*INDEX(input_data!$L:$L,MATCH(CBAM!$B$5&amp;".in.efn.cmt.dry.---",input_data!$A:$A,0))</f>
        <v>27.59834009472182</v>
      </c>
      <c r="O127" s="385">
        <f>O104*INDEX(input_data!$L:$L,MATCH(CBAM!$B$5&amp;".in.efn.cmt.dry.---",input_data!$A:$A,0))</f>
        <v>28.960774752240674</v>
      </c>
      <c r="P127" s="385">
        <f>P104*INDEX(input_data!$L:$L,MATCH(CBAM!$B$5&amp;".in.efn.cmt.dry.---",input_data!$A:$A,0))</f>
        <v>30.390468099580652</v>
      </c>
      <c r="Q127" s="385">
        <f>Q104*INDEX(input_data!$L:$L,MATCH(CBAM!$B$5&amp;".in.efn.cmt.dry.---",input_data!$A:$A,0))</f>
        <v>31.890740465780269</v>
      </c>
      <c r="R127" s="385">
        <f>R104*INDEX(input_data!$L:$L,MATCH(CBAM!$B$5&amp;".in.efn.cmt.dry.---",input_data!$A:$A,0))</f>
        <v>33.465076093046044</v>
      </c>
      <c r="S127" s="385">
        <f>S104*INDEX(input_data!$L:$L,MATCH(CBAM!$B$5&amp;".in.efn.cmt.dry.---",input_data!$A:$A,0))</f>
        <v>35.117131228579062</v>
      </c>
      <c r="T127" s="385">
        <f>T104*INDEX(input_data!$L:$L,MATCH(CBAM!$B$5&amp;".in.efn.cmt.dry.---",input_data!$A:$A,0))</f>
        <v>36.850742615866956</v>
      </c>
      <c r="U127" s="385">
        <f>U104*INDEX(input_data!$L:$L,MATCH(CBAM!$B$5&amp;".in.efn.cmt.dry.---",input_data!$A:$A,0))</f>
        <v>38.669936405161785</v>
      </c>
      <c r="V127" s="385">
        <f>V104*INDEX(input_data!$L:$L,MATCH(CBAM!$B$5&amp;".in.efn.cmt.dry.---",input_data!$A:$A,0))</f>
        <v>40.578937503837231</v>
      </c>
      <c r="W127" s="385">
        <f>W104*INDEX(input_data!$L:$L,MATCH(CBAM!$B$5&amp;".in.efn.cmt.dry.---",input_data!$A:$A,0))</f>
        <v>42.582179388340755</v>
      </c>
      <c r="X127" s="385">
        <f>X104*INDEX(input_data!$L:$L,MATCH(CBAM!$B$5&amp;".in.efn.cmt.dry.---",input_data!$A:$A,0))</f>
        <v>44.684314400527825</v>
      </c>
    </row>
    <row r="128" spans="1:24" ht="15" customHeight="1" x14ac:dyDescent="0.25">
      <c r="A128" s="380" t="str">
        <f>CBAM!$B$5&amp;".em.sno.cmt.dry.---"</f>
        <v>egy.em.sno.cmt.dry.---</v>
      </c>
      <c r="B128" s="380" t="str">
        <f>CBAM!$B$5</f>
        <v>egy</v>
      </c>
      <c r="C128" s="380" t="s">
        <v>1342</v>
      </c>
      <c r="D128" s="380" t="s">
        <v>1353</v>
      </c>
      <c r="E128" s="380" t="s">
        <v>327</v>
      </c>
      <c r="F128" s="380" t="s">
        <v>1417</v>
      </c>
      <c r="G128" s="380" t="s">
        <v>1277</v>
      </c>
      <c r="H128" s="380" t="s">
        <v>1442</v>
      </c>
      <c r="I128" s="380" t="s">
        <v>1355</v>
      </c>
      <c r="J128" s="380" t="s">
        <v>1356</v>
      </c>
      <c r="K128" s="380"/>
      <c r="L128" s="380"/>
      <c r="M128" s="385">
        <f>M104*INDEX(input_data!$L:$L,MATCH(CBAM!$B$5&amp;".in.efo.cmt.dry.---",input_data!$A:$A,0))</f>
        <v>0</v>
      </c>
      <c r="N128" s="385">
        <f>N104*INDEX(input_data!$L:$L,MATCH(CBAM!$B$5&amp;".in.efo.cmt.dry.---",input_data!$A:$A,0))</f>
        <v>0</v>
      </c>
      <c r="O128" s="385">
        <f>O104*INDEX(input_data!$L:$L,MATCH(CBAM!$B$5&amp;".in.efo.cmt.dry.---",input_data!$A:$A,0))</f>
        <v>0</v>
      </c>
      <c r="P128" s="385">
        <f>P104*INDEX(input_data!$L:$L,MATCH(CBAM!$B$5&amp;".in.efo.cmt.dry.---",input_data!$A:$A,0))</f>
        <v>0</v>
      </c>
      <c r="Q128" s="385">
        <f>Q104*INDEX(input_data!$L:$L,MATCH(CBAM!$B$5&amp;".in.efo.cmt.dry.---",input_data!$A:$A,0))</f>
        <v>0</v>
      </c>
      <c r="R128" s="385">
        <f>R104*INDEX(input_data!$L:$L,MATCH(CBAM!$B$5&amp;".in.efo.cmt.dry.---",input_data!$A:$A,0))</f>
        <v>0</v>
      </c>
      <c r="S128" s="385">
        <f>S104*INDEX(input_data!$L:$L,MATCH(CBAM!$B$5&amp;".in.efo.cmt.dry.---",input_data!$A:$A,0))</f>
        <v>0</v>
      </c>
      <c r="T128" s="385">
        <f>T104*INDEX(input_data!$L:$L,MATCH(CBAM!$B$5&amp;".in.efo.cmt.dry.---",input_data!$A:$A,0))</f>
        <v>0</v>
      </c>
      <c r="U128" s="385">
        <f>U104*INDEX(input_data!$L:$L,MATCH(CBAM!$B$5&amp;".in.efo.cmt.dry.---",input_data!$A:$A,0))</f>
        <v>0</v>
      </c>
      <c r="V128" s="385">
        <f>V104*INDEX(input_data!$L:$L,MATCH(CBAM!$B$5&amp;".in.efo.cmt.dry.---",input_data!$A:$A,0))</f>
        <v>0</v>
      </c>
      <c r="W128" s="385">
        <f>W104*INDEX(input_data!$L:$L,MATCH(CBAM!$B$5&amp;".in.efo.cmt.dry.---",input_data!$A:$A,0))</f>
        <v>0</v>
      </c>
      <c r="X128" s="385">
        <f>X104*INDEX(input_data!$L:$L,MATCH(CBAM!$B$5&amp;".in.efo.cmt.dry.---",input_data!$A:$A,0))</f>
        <v>0</v>
      </c>
    </row>
    <row r="129" spans="1:24" ht="15" customHeight="1" x14ac:dyDescent="0.25">
      <c r="A129" s="380" t="str">
        <f>CBAM!$B$5&amp;".em.s2e.cmt.dry.elc"</f>
        <v>egy.em.s2e.cmt.dry.elc</v>
      </c>
      <c r="B129" s="380" t="str">
        <f>CBAM!$B$5</f>
        <v>egy</v>
      </c>
      <c r="C129" s="380" t="s">
        <v>1342</v>
      </c>
      <c r="D129" s="380" t="s">
        <v>1357</v>
      </c>
      <c r="E129" s="380" t="s">
        <v>327</v>
      </c>
      <c r="F129" s="380" t="s">
        <v>1417</v>
      </c>
      <c r="G129" s="380" t="s">
        <v>1339</v>
      </c>
      <c r="H129" s="380" t="s">
        <v>1443</v>
      </c>
      <c r="I129" s="380" t="s">
        <v>1345</v>
      </c>
      <c r="J129" s="380" t="s">
        <v>1359</v>
      </c>
      <c r="K129" s="380"/>
      <c r="L129" s="380"/>
      <c r="M129" s="385">
        <f>M124*INDEX(input_data!$M:$X,MATCH(CBAM!$B$5&amp;".in.gef.---.---.---",input_data!$A:$A,0),COLUMNS($M:M))/3.6</f>
        <v>3.1875</v>
      </c>
      <c r="N129" s="385">
        <f>N124*INDEX(input_data!$M:$X,MATCH(CBAM!$B$5&amp;".in.gef.---.---.---",input_data!$A:$A,0),COLUMNS($M:N))/3.6</f>
        <v>3.2792704485173263</v>
      </c>
      <c r="O129" s="385">
        <f>O124*INDEX(input_data!$M:$X,MATCH(CBAM!$B$5&amp;".in.gef.---.---.---",input_data!$A:$A,0),COLUMNS($M:O))/3.6</f>
        <v>3.3723335619291661</v>
      </c>
      <c r="P129" s="385">
        <f>P124*INDEX(input_data!$M:$X,MATCH(CBAM!$B$5&amp;".in.gef.---.---.---",input_data!$A:$A,0),COLUMNS($M:P))/3.6</f>
        <v>3.4665933193438003</v>
      </c>
      <c r="Q129" s="385">
        <f>Q124*INDEX(input_data!$M:$X,MATCH(CBAM!$B$5&amp;".in.gef.---.---.---",input_data!$A:$A,0),COLUMNS($M:Q))/3.6</f>
        <v>3.5619410691342024</v>
      </c>
      <c r="R129" s="385">
        <f>R124*INDEX(input_data!$M:$X,MATCH(CBAM!$B$5&amp;".in.gef.---.---.---",input_data!$A:$A,0),COLUMNS($M:R))/3.6</f>
        <v>3.658254515874805</v>
      </c>
      <c r="S129" s="385">
        <f>S124*INDEX(input_data!$M:$X,MATCH(CBAM!$B$5&amp;".in.gef.---.---.---",input_data!$A:$A,0),COLUMNS($M:S))/3.6</f>
        <v>3.755396638037209</v>
      </c>
      <c r="T129" s="385">
        <f>T124*INDEX(input_data!$M:$X,MATCH(CBAM!$B$5&amp;".in.gef.---.---.---",input_data!$A:$A,0),COLUMNS($M:T))/3.6</f>
        <v>3.853214532077343</v>
      </c>
      <c r="U129" s="385">
        <f>U124*INDEX(input_data!$M:$X,MATCH(CBAM!$B$5&amp;".in.gef.---.---.---",input_data!$A:$A,0),COLUMNS($M:U))/3.6</f>
        <v>3.9515381782841175</v>
      </c>
      <c r="V129" s="385">
        <f>V124*INDEX(input_data!$M:$X,MATCH(CBAM!$B$5&amp;".in.gef.---.---.---",input_data!$A:$A,0),COLUMNS($M:V))/3.6</f>
        <v>4.0501791234818532</v>
      </c>
      <c r="W129" s="385">
        <f>W124*INDEX(input_data!$M:$X,MATCH(CBAM!$B$5&amp;".in.gef.---.---.---",input_data!$A:$A,0),COLUMNS($M:W))/3.6</f>
        <v>4.1489290753849115</v>
      </c>
      <c r="X129" s="385">
        <f>X124*INDEX(input_data!$M:$X,MATCH(CBAM!$B$5&amp;".in.gef.---.---.---",input_data!$A:$A,0),COLUMNS($M:X))/3.6</f>
        <v>4.2475584030919977</v>
      </c>
    </row>
    <row r="131" spans="1:24" ht="21.75" customHeight="1" x14ac:dyDescent="0.25">
      <c r="A131" s="12" t="s">
        <v>1444</v>
      </c>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spans="1:24" ht="15" customHeight="1" x14ac:dyDescent="0.25">
      <c r="A132" s="380" t="str">
        <f>CBAM!$B$5&amp;".pj.prd.frt.amc.---"</f>
        <v>egy.pj.prd.frt.amc.---</v>
      </c>
      <c r="B132" s="380" t="str">
        <f>CBAM!$B$5</f>
        <v>egy</v>
      </c>
      <c r="C132" s="380" t="s">
        <v>1275</v>
      </c>
      <c r="D132" s="380" t="s">
        <v>1304</v>
      </c>
      <c r="E132" s="380" t="s">
        <v>330</v>
      </c>
      <c r="F132" s="380" t="s">
        <v>1445</v>
      </c>
      <c r="G132" s="380" t="s">
        <v>1277</v>
      </c>
      <c r="H132" s="380" t="s">
        <v>1446</v>
      </c>
      <c r="I132" s="380" t="s">
        <v>1307</v>
      </c>
      <c r="J132" s="380" t="s">
        <v>1308</v>
      </c>
      <c r="K132" s="380"/>
      <c r="L132" s="380"/>
      <c r="M132" s="385">
        <f>IFERROR(INDEX(input_data!$L:$L,MATCH(CBAM!$B$5&amp;".in.prb.frt.amc.---",input_data!$A:$A,0))*POWER(M7,INDEX(input_data!$L:$L,MATCH(CBAM!$B$5&amp;".in.els.frt.amc.---",input_data!$A:$A,0))),0)</f>
        <v>1.2</v>
      </c>
      <c r="N132" s="385">
        <f>IFERROR(INDEX(input_data!$L:$L,MATCH(CBAM!$B$5&amp;".in.prb.frt.amc.---",input_data!$A:$A,0))*POWER(N7,INDEX(input_data!$L:$L,MATCH(CBAM!$B$5&amp;".in.els.frt.amc.---",input_data!$A:$A,0))),0)</f>
        <v>1.2325583150504482</v>
      </c>
      <c r="O132" s="385">
        <f>IFERROR(INDEX(input_data!$L:$L,MATCH(CBAM!$B$5&amp;".in.prb.frt.amc.---",input_data!$A:$A,0))*POWER(O7,INDEX(input_data!$L:$L,MATCH(CBAM!$B$5&amp;".in.els.frt.amc.---",input_data!$A:$A,0))),0)</f>
        <v>1.2659999999999998</v>
      </c>
      <c r="P132" s="385">
        <f>IFERROR(INDEX(input_data!$L:$L,MATCH(CBAM!$B$5&amp;".in.prb.frt.amc.---",input_data!$A:$A,0))*POWER(P7,INDEX(input_data!$L:$L,MATCH(CBAM!$B$5&amp;".in.els.frt.amc.---",input_data!$A:$A,0))),0)</f>
        <v>1.3003490223782226</v>
      </c>
      <c r="Q132" s="385">
        <f>IFERROR(INDEX(input_data!$L:$L,MATCH(CBAM!$B$5&amp;".in.prb.frt.amc.---",input_data!$A:$A,0))*POWER(Q7,INDEX(input_data!$L:$L,MATCH(CBAM!$B$5&amp;".in.els.frt.amc.---",input_data!$A:$A,0))),0)</f>
        <v>1.3356299999999999</v>
      </c>
      <c r="R132" s="385">
        <f>IFERROR(INDEX(input_data!$L:$L,MATCH(CBAM!$B$5&amp;".in.prb.frt.amc.---",input_data!$A:$A,0))*POWER(R7,INDEX(input_data!$L:$L,MATCH(CBAM!$B$5&amp;".in.els.frt.amc.---",input_data!$A:$A,0))),0)</f>
        <v>1.371868218609025</v>
      </c>
      <c r="S132" s="385">
        <f>IFERROR(INDEX(input_data!$L:$L,MATCH(CBAM!$B$5&amp;".in.prb.frt.amc.---",input_data!$A:$A,0))*POWER(S7,INDEX(input_data!$L:$L,MATCH(CBAM!$B$5&amp;".in.els.frt.amc.---",input_data!$A:$A,0))),0)</f>
        <v>1.4090896499999996</v>
      </c>
      <c r="T132" s="385">
        <f>IFERROR(INDEX(input_data!$L:$L,MATCH(CBAM!$B$5&amp;".in.prb.frt.amc.---",input_data!$A:$A,0))*POWER(T7,INDEX(input_data!$L:$L,MATCH(CBAM!$B$5&amp;".in.els.frt.amc.---",input_data!$A:$A,0))),0)</f>
        <v>1.4473209706325212</v>
      </c>
      <c r="U132" s="385">
        <f>IFERROR(INDEX(input_data!$L:$L,MATCH(CBAM!$B$5&amp;".in.prb.frt.amc.---",input_data!$A:$A,0))*POWER(U7,INDEX(input_data!$L:$L,MATCH(CBAM!$B$5&amp;".in.els.frt.amc.---",input_data!$A:$A,0))),0)</f>
        <v>1.4865895807499998</v>
      </c>
      <c r="V132" s="385">
        <f>IFERROR(INDEX(input_data!$L:$L,MATCH(CBAM!$B$5&amp;".in.prb.frt.amc.---",input_data!$A:$A,0))*POWER(V7,INDEX(input_data!$L:$L,MATCH(CBAM!$B$5&amp;".in.els.frt.amc.---",input_data!$A:$A,0))),0)</f>
        <v>1.5269236240173099</v>
      </c>
      <c r="W132" s="385">
        <f>IFERROR(INDEX(input_data!$L:$L,MATCH(CBAM!$B$5&amp;".in.prb.frt.amc.---",input_data!$A:$A,0))*POWER(W7,INDEX(input_data!$L:$L,MATCH(CBAM!$B$5&amp;".in.els.frt.amc.---",input_data!$A:$A,0))),0)</f>
        <v>1.5683520076912496</v>
      </c>
      <c r="X132" s="385">
        <f>IFERROR(INDEX(input_data!$L:$L,MATCH(CBAM!$B$5&amp;".in.prb.frt.amc.---",input_data!$A:$A,0))*POWER(X7,INDEX(input_data!$L:$L,MATCH(CBAM!$B$5&amp;".in.els.frt.amc.---",input_data!$A:$A,0))),0)</f>
        <v>1.6109044233382619</v>
      </c>
    </row>
    <row r="133" spans="1:24" ht="15" customHeight="1" x14ac:dyDescent="0.25">
      <c r="A133" s="380" t="str">
        <f>CBAM!$B$5&amp;".pj.eux.frt.amc.---"</f>
        <v>egy.pj.eux.frt.amc.---</v>
      </c>
      <c r="B133" s="380" t="str">
        <f>CBAM!$B$5</f>
        <v>egy</v>
      </c>
      <c r="C133" s="380" t="s">
        <v>1275</v>
      </c>
      <c r="D133" s="380" t="s">
        <v>1309</v>
      </c>
      <c r="E133" s="380" t="s">
        <v>330</v>
      </c>
      <c r="F133" s="380" t="s">
        <v>1445</v>
      </c>
      <c r="G133" s="380" t="s">
        <v>1277</v>
      </c>
      <c r="H133" s="380" t="s">
        <v>1447</v>
      </c>
      <c r="I133" s="380" t="s">
        <v>1307</v>
      </c>
      <c r="J133" s="380" t="s">
        <v>1311</v>
      </c>
      <c r="K133" s="380"/>
      <c r="L133" s="380"/>
      <c r="M133" s="385">
        <f>M132*INDEX(input_data!$L:$L,MATCH(CBAM!$B$5&amp;".in.exe.frt.amc.---",input_data!$A:$A,0))</f>
        <v>0.24</v>
      </c>
      <c r="N133" s="385">
        <f>N132*INDEX(input_data!$L:$L,MATCH(CBAM!$B$5&amp;".in.exe.frt.amc.---",input_data!$A:$A,0))</f>
        <v>0.24651166301008964</v>
      </c>
      <c r="O133" s="385">
        <f>O132*INDEX(input_data!$L:$L,MATCH(CBAM!$B$5&amp;".in.exe.frt.amc.---",input_data!$A:$A,0))</f>
        <v>0.25319999999999998</v>
      </c>
      <c r="P133" s="385">
        <f>P132*INDEX(input_data!$L:$L,MATCH(CBAM!$B$5&amp;".in.exe.frt.amc.---",input_data!$A:$A,0))</f>
        <v>0.26006980447564454</v>
      </c>
      <c r="Q133" s="385">
        <f>Q132*INDEX(input_data!$L:$L,MATCH(CBAM!$B$5&amp;".in.exe.frt.amc.---",input_data!$A:$A,0))</f>
        <v>0.26712599999999997</v>
      </c>
      <c r="R133" s="385">
        <f>R132*INDEX(input_data!$L:$L,MATCH(CBAM!$B$5&amp;".in.exe.frt.amc.---",input_data!$A:$A,0))</f>
        <v>0.27437364372180501</v>
      </c>
      <c r="S133" s="385">
        <f>S132*INDEX(input_data!$L:$L,MATCH(CBAM!$B$5&amp;".in.exe.frt.amc.---",input_data!$A:$A,0))</f>
        <v>0.28181792999999994</v>
      </c>
      <c r="T133" s="385">
        <f>T132*INDEX(input_data!$L:$L,MATCH(CBAM!$B$5&amp;".in.exe.frt.amc.---",input_data!$A:$A,0))</f>
        <v>0.28946419412650426</v>
      </c>
      <c r="U133" s="385">
        <f>U132*INDEX(input_data!$L:$L,MATCH(CBAM!$B$5&amp;".in.exe.frt.amc.---",input_data!$A:$A,0))</f>
        <v>0.29731791614999997</v>
      </c>
      <c r="V133" s="385">
        <f>V132*INDEX(input_data!$L:$L,MATCH(CBAM!$B$5&amp;".in.exe.frt.amc.---",input_data!$A:$A,0))</f>
        <v>0.30538472480346202</v>
      </c>
      <c r="W133" s="385">
        <f>W132*INDEX(input_data!$L:$L,MATCH(CBAM!$B$5&amp;".in.exe.frt.amc.---",input_data!$A:$A,0))</f>
        <v>0.31367040153824993</v>
      </c>
      <c r="X133" s="385">
        <f>X132*INDEX(input_data!$L:$L,MATCH(CBAM!$B$5&amp;".in.exe.frt.amc.---",input_data!$A:$A,0))</f>
        <v>0.32218088466765238</v>
      </c>
    </row>
    <row r="134" spans="1:24" ht="15" customHeight="1" x14ac:dyDescent="0.25">
      <c r="A134" s="380" t="str">
        <f>CBAM!$B$5&amp;".pj.nex.frt.amc.---"</f>
        <v>egy.pj.nex.frt.amc.---</v>
      </c>
      <c r="B134" s="380" t="str">
        <f>CBAM!$B$5</f>
        <v>egy</v>
      </c>
      <c r="C134" s="380" t="s">
        <v>1275</v>
      </c>
      <c r="D134" s="380" t="s">
        <v>1312</v>
      </c>
      <c r="E134" s="380" t="s">
        <v>330</v>
      </c>
      <c r="F134" s="380" t="s">
        <v>1445</v>
      </c>
      <c r="G134" s="380" t="s">
        <v>1277</v>
      </c>
      <c r="H134" s="380" t="s">
        <v>1448</v>
      </c>
      <c r="I134" s="380" t="s">
        <v>1307</v>
      </c>
      <c r="J134" s="380" t="s">
        <v>1314</v>
      </c>
      <c r="K134" s="380"/>
      <c r="L134" s="380"/>
      <c r="M134" s="385">
        <f>M132*(INDEX(input_data!$L:$L,MATCH(CBAM!$B$5&amp;".in.ext.frt.amc.---",input_data!$A:$A,0))-INDEX(input_data!$L:$L,MATCH(CBAM!$B$5&amp;".in.exe.frt.amc.---",input_data!$A:$A,0)))</f>
        <v>0.24</v>
      </c>
      <c r="N134" s="385">
        <f>N132*(INDEX(input_data!$L:$L,MATCH(CBAM!$B$5&amp;".in.ext.frt.amc.---",input_data!$A:$A,0))-INDEX(input_data!$L:$L,MATCH(CBAM!$B$5&amp;".in.exe.frt.amc.---",input_data!$A:$A,0)))</f>
        <v>0.24651166301008964</v>
      </c>
      <c r="O134" s="385">
        <f>O132*(INDEX(input_data!$L:$L,MATCH(CBAM!$B$5&amp;".in.ext.frt.amc.---",input_data!$A:$A,0))-INDEX(input_data!$L:$L,MATCH(CBAM!$B$5&amp;".in.exe.frt.amc.---",input_data!$A:$A,0)))</f>
        <v>0.25319999999999998</v>
      </c>
      <c r="P134" s="385">
        <f>P132*(INDEX(input_data!$L:$L,MATCH(CBAM!$B$5&amp;".in.ext.frt.amc.---",input_data!$A:$A,0))-INDEX(input_data!$L:$L,MATCH(CBAM!$B$5&amp;".in.exe.frt.amc.---",input_data!$A:$A,0)))</f>
        <v>0.26006980447564454</v>
      </c>
      <c r="Q134" s="385">
        <f>Q132*(INDEX(input_data!$L:$L,MATCH(CBAM!$B$5&amp;".in.ext.frt.amc.---",input_data!$A:$A,0))-INDEX(input_data!$L:$L,MATCH(CBAM!$B$5&amp;".in.exe.frt.amc.---",input_data!$A:$A,0)))</f>
        <v>0.26712599999999997</v>
      </c>
      <c r="R134" s="385">
        <f>R132*(INDEX(input_data!$L:$L,MATCH(CBAM!$B$5&amp;".in.ext.frt.amc.---",input_data!$A:$A,0))-INDEX(input_data!$L:$L,MATCH(CBAM!$B$5&amp;".in.exe.frt.amc.---",input_data!$A:$A,0)))</f>
        <v>0.27437364372180501</v>
      </c>
      <c r="S134" s="385">
        <f>S132*(INDEX(input_data!$L:$L,MATCH(CBAM!$B$5&amp;".in.ext.frt.amc.---",input_data!$A:$A,0))-INDEX(input_data!$L:$L,MATCH(CBAM!$B$5&amp;".in.exe.frt.amc.---",input_data!$A:$A,0)))</f>
        <v>0.28181792999999994</v>
      </c>
      <c r="T134" s="385">
        <f>T132*(INDEX(input_data!$L:$L,MATCH(CBAM!$B$5&amp;".in.ext.frt.amc.---",input_data!$A:$A,0))-INDEX(input_data!$L:$L,MATCH(CBAM!$B$5&amp;".in.exe.frt.amc.---",input_data!$A:$A,0)))</f>
        <v>0.28946419412650426</v>
      </c>
      <c r="U134" s="385">
        <f>U132*(INDEX(input_data!$L:$L,MATCH(CBAM!$B$5&amp;".in.ext.frt.amc.---",input_data!$A:$A,0))-INDEX(input_data!$L:$L,MATCH(CBAM!$B$5&amp;".in.exe.frt.amc.---",input_data!$A:$A,0)))</f>
        <v>0.29731791614999997</v>
      </c>
      <c r="V134" s="385">
        <f>V132*(INDEX(input_data!$L:$L,MATCH(CBAM!$B$5&amp;".in.ext.frt.amc.---",input_data!$A:$A,0))-INDEX(input_data!$L:$L,MATCH(CBAM!$B$5&amp;".in.exe.frt.amc.---",input_data!$A:$A,0)))</f>
        <v>0.30538472480346202</v>
      </c>
      <c r="W134" s="385">
        <f>W132*(INDEX(input_data!$L:$L,MATCH(CBAM!$B$5&amp;".in.ext.frt.amc.---",input_data!$A:$A,0))-INDEX(input_data!$L:$L,MATCH(CBAM!$B$5&amp;".in.exe.frt.amc.---",input_data!$A:$A,0)))</f>
        <v>0.31367040153824993</v>
      </c>
      <c r="X134" s="385">
        <f>X132*(INDEX(input_data!$L:$L,MATCH(CBAM!$B$5&amp;".in.ext.frt.amc.---",input_data!$A:$A,0))-INDEX(input_data!$L:$L,MATCH(CBAM!$B$5&amp;".in.exe.frt.amc.---",input_data!$A:$A,0)))</f>
        <v>0.32218088466765238</v>
      </c>
    </row>
    <row r="135" spans="1:24" ht="15" customHeight="1" x14ac:dyDescent="0.25">
      <c r="A135" s="380" t="str">
        <f>CBAM!$B$5&amp;".pj.dom.frt.amc.---"</f>
        <v>egy.pj.dom.frt.amc.---</v>
      </c>
      <c r="B135" s="380" t="str">
        <f>CBAM!$B$5</f>
        <v>egy</v>
      </c>
      <c r="C135" s="380" t="s">
        <v>1275</v>
      </c>
      <c r="D135" s="380" t="s">
        <v>1267</v>
      </c>
      <c r="E135" s="380" t="s">
        <v>330</v>
      </c>
      <c r="F135" s="380" t="s">
        <v>1445</v>
      </c>
      <c r="G135" s="380" t="s">
        <v>1277</v>
      </c>
      <c r="H135" s="380" t="s">
        <v>1449</v>
      </c>
      <c r="I135" s="380" t="s">
        <v>1307</v>
      </c>
      <c r="J135" s="380" t="s">
        <v>1316</v>
      </c>
      <c r="K135" s="380"/>
      <c r="L135" s="380"/>
      <c r="M135" s="385">
        <f>M132*(1-INDEX(input_data!$L:$L,MATCH(CBAM!$B$5&amp;".in.ext.frt.amc.---",input_data!$A:$A,0)))*(1+INDEX(input_data!$L:$L,MATCH(CBAM!$B$5&amp;".in.imp.frt.amc.---",input_data!$A:$A,0)))</f>
        <v>0.75600000000000001</v>
      </c>
      <c r="N135" s="385">
        <f>N132*(1-INDEX(input_data!$L:$L,MATCH(CBAM!$B$5&amp;".in.ext.frt.amc.---",input_data!$A:$A,0)))*(1+INDEX(input_data!$L:$L,MATCH(CBAM!$B$5&amp;".in.imp.frt.amc.---",input_data!$A:$A,0)))</f>
        <v>0.77651173848178245</v>
      </c>
      <c r="O135" s="385">
        <f>O132*(1-INDEX(input_data!$L:$L,MATCH(CBAM!$B$5&amp;".in.ext.frt.amc.---",input_data!$A:$A,0)))*(1+INDEX(input_data!$L:$L,MATCH(CBAM!$B$5&amp;".in.imp.frt.amc.---",input_data!$A:$A,0)))</f>
        <v>0.79757999999999984</v>
      </c>
      <c r="P135" s="385">
        <f>P132*(1-INDEX(input_data!$L:$L,MATCH(CBAM!$B$5&amp;".in.ext.frt.amc.---",input_data!$A:$A,0)))*(1+INDEX(input_data!$L:$L,MATCH(CBAM!$B$5&amp;".in.imp.frt.amc.---",input_data!$A:$A,0)))</f>
        <v>0.81921988409828017</v>
      </c>
      <c r="Q135" s="385">
        <f>Q132*(1-INDEX(input_data!$L:$L,MATCH(CBAM!$B$5&amp;".in.ext.frt.amc.---",input_data!$A:$A,0)))*(1+INDEX(input_data!$L:$L,MATCH(CBAM!$B$5&amp;".in.imp.frt.amc.---",input_data!$A:$A,0)))</f>
        <v>0.8414469</v>
      </c>
      <c r="R135" s="385">
        <f>R132*(1-INDEX(input_data!$L:$L,MATCH(CBAM!$B$5&amp;".in.ext.frt.amc.---",input_data!$A:$A,0)))*(1+INDEX(input_data!$L:$L,MATCH(CBAM!$B$5&amp;".in.imp.frt.amc.---",input_data!$A:$A,0)))</f>
        <v>0.86427697772368572</v>
      </c>
      <c r="S135" s="385">
        <f>S132*(1-INDEX(input_data!$L:$L,MATCH(CBAM!$B$5&amp;".in.ext.frt.amc.---",input_data!$A:$A,0)))*(1+INDEX(input_data!$L:$L,MATCH(CBAM!$B$5&amp;".in.imp.frt.amc.---",input_data!$A:$A,0)))</f>
        <v>0.88772647949999983</v>
      </c>
      <c r="T135" s="385">
        <f>T132*(1-INDEX(input_data!$L:$L,MATCH(CBAM!$B$5&amp;".in.ext.frt.amc.---",input_data!$A:$A,0)))*(1+INDEX(input_data!$L:$L,MATCH(CBAM!$B$5&amp;".in.imp.frt.amc.---",input_data!$A:$A,0)))</f>
        <v>0.91181221149848835</v>
      </c>
      <c r="U135" s="385">
        <f>U132*(1-INDEX(input_data!$L:$L,MATCH(CBAM!$B$5&amp;".in.ext.frt.amc.---",input_data!$A:$A,0)))*(1+INDEX(input_data!$L:$L,MATCH(CBAM!$B$5&amp;".in.imp.frt.amc.---",input_data!$A:$A,0)))</f>
        <v>0.93655143587249989</v>
      </c>
      <c r="V135" s="385">
        <f>V132*(1-INDEX(input_data!$L:$L,MATCH(CBAM!$B$5&amp;".in.ext.frt.amc.---",input_data!$A:$A,0)))*(1+INDEX(input_data!$L:$L,MATCH(CBAM!$B$5&amp;".in.imp.frt.amc.---",input_data!$A:$A,0)))</f>
        <v>0.96196188313090514</v>
      </c>
      <c r="W135" s="385">
        <f>W132*(1-INDEX(input_data!$L:$L,MATCH(CBAM!$B$5&amp;".in.ext.frt.amc.---",input_data!$A:$A,0)))*(1+INDEX(input_data!$L:$L,MATCH(CBAM!$B$5&amp;".in.imp.frt.amc.---",input_data!$A:$A,0)))</f>
        <v>0.98806176484548724</v>
      </c>
      <c r="X135" s="385">
        <f>X132*(1-INDEX(input_data!$L:$L,MATCH(CBAM!$B$5&amp;".in.ext.frt.amc.---",input_data!$A:$A,0)))*(1+INDEX(input_data!$L:$L,MATCH(CBAM!$B$5&amp;".in.imp.frt.amc.---",input_data!$A:$A,0)))</f>
        <v>1.0148697867031051</v>
      </c>
    </row>
    <row r="136" spans="1:24" ht="15" customHeight="1" x14ac:dyDescent="0.25">
      <c r="A136" s="380" t="str">
        <f>CBAM!$B$5&amp;".pj.enc.frt.amc.coa"</f>
        <v>egy.pj.enc.frt.amc.coa</v>
      </c>
      <c r="B136" s="380" t="str">
        <f>CBAM!$B$5</f>
        <v>egy</v>
      </c>
      <c r="C136" s="380" t="s">
        <v>1275</v>
      </c>
      <c r="D136" s="380" t="s">
        <v>1317</v>
      </c>
      <c r="E136" s="380" t="s">
        <v>330</v>
      </c>
      <c r="F136" s="380" t="s">
        <v>1445</v>
      </c>
      <c r="G136" s="380" t="s">
        <v>757</v>
      </c>
      <c r="H136" s="380" t="s">
        <v>1450</v>
      </c>
      <c r="I136" s="380" t="s">
        <v>1319</v>
      </c>
      <c r="J136" s="380" t="s">
        <v>1320</v>
      </c>
      <c r="K136" s="380"/>
      <c r="L136" s="380"/>
      <c r="M136" s="385">
        <f>M132*INDEX(input_data!$L:$L,MATCH(CBAM!$B$5&amp;".in.enc.frt.amc.coa",input_data!$A:$A,0))</f>
        <v>0</v>
      </c>
      <c r="N136" s="385">
        <f>N132*INDEX(input_data!$L:$L,MATCH(CBAM!$B$5&amp;".in.enc.frt.amc.coa",input_data!$A:$A,0))</f>
        <v>0</v>
      </c>
      <c r="O136" s="385">
        <f>O132*INDEX(input_data!$L:$L,MATCH(CBAM!$B$5&amp;".in.enc.frt.amc.coa",input_data!$A:$A,0))</f>
        <v>0</v>
      </c>
      <c r="P136" s="385">
        <f>P132*INDEX(input_data!$L:$L,MATCH(CBAM!$B$5&amp;".in.enc.frt.amc.coa",input_data!$A:$A,0))</f>
        <v>0</v>
      </c>
      <c r="Q136" s="385">
        <f>Q132*INDEX(input_data!$L:$L,MATCH(CBAM!$B$5&amp;".in.enc.frt.amc.coa",input_data!$A:$A,0))</f>
        <v>0</v>
      </c>
      <c r="R136" s="385">
        <f>R132*INDEX(input_data!$L:$L,MATCH(CBAM!$B$5&amp;".in.enc.frt.amc.coa",input_data!$A:$A,0))</f>
        <v>0</v>
      </c>
      <c r="S136" s="385">
        <f>S132*INDEX(input_data!$L:$L,MATCH(CBAM!$B$5&amp;".in.enc.frt.amc.coa",input_data!$A:$A,0))</f>
        <v>0</v>
      </c>
      <c r="T136" s="385">
        <f>T132*INDEX(input_data!$L:$L,MATCH(CBAM!$B$5&amp;".in.enc.frt.amc.coa",input_data!$A:$A,0))</f>
        <v>0</v>
      </c>
      <c r="U136" s="385">
        <f>U132*INDEX(input_data!$L:$L,MATCH(CBAM!$B$5&amp;".in.enc.frt.amc.coa",input_data!$A:$A,0))</f>
        <v>0</v>
      </c>
      <c r="V136" s="385">
        <f>V132*INDEX(input_data!$L:$L,MATCH(CBAM!$B$5&amp;".in.enc.frt.amc.coa",input_data!$A:$A,0))</f>
        <v>0</v>
      </c>
      <c r="W136" s="385">
        <f>W132*INDEX(input_data!$L:$L,MATCH(CBAM!$B$5&amp;".in.enc.frt.amc.coa",input_data!$A:$A,0))</f>
        <v>0</v>
      </c>
      <c r="X136" s="385">
        <f>X132*INDEX(input_data!$L:$L,MATCH(CBAM!$B$5&amp;".in.enc.frt.amc.coa",input_data!$A:$A,0))</f>
        <v>0</v>
      </c>
    </row>
    <row r="137" spans="1:24" ht="15" customHeight="1" x14ac:dyDescent="0.25">
      <c r="A137" s="380" t="str">
        <f>CBAM!$B$5&amp;".pj.enc.frt.amc.nga"</f>
        <v>egy.pj.enc.frt.amc.nga</v>
      </c>
      <c r="B137" s="380" t="str">
        <f>CBAM!$B$5</f>
        <v>egy</v>
      </c>
      <c r="C137" s="380" t="s">
        <v>1275</v>
      </c>
      <c r="D137" s="380" t="s">
        <v>1317</v>
      </c>
      <c r="E137" s="380" t="s">
        <v>330</v>
      </c>
      <c r="F137" s="380" t="s">
        <v>1445</v>
      </c>
      <c r="G137" s="380" t="s">
        <v>754</v>
      </c>
      <c r="H137" s="380" t="s">
        <v>1451</v>
      </c>
      <c r="I137" s="380" t="s">
        <v>1319</v>
      </c>
      <c r="J137" s="380" t="s">
        <v>1320</v>
      </c>
      <c r="K137" s="380"/>
      <c r="L137" s="380"/>
      <c r="M137" s="385">
        <f>M132*INDEX(input_data!$L:$L,MATCH(CBAM!$B$5&amp;".in.enc.frt.amc.nga",input_data!$A:$A,0))</f>
        <v>8.4</v>
      </c>
      <c r="N137" s="385">
        <f>N132*INDEX(input_data!$L:$L,MATCH(CBAM!$B$5&amp;".in.enc.frt.amc.nga",input_data!$A:$A,0))</f>
        <v>8.6279082053531369</v>
      </c>
      <c r="O137" s="385">
        <f>O132*INDEX(input_data!$L:$L,MATCH(CBAM!$B$5&amp;".in.enc.frt.amc.nga",input_data!$A:$A,0))</f>
        <v>8.8619999999999983</v>
      </c>
      <c r="P137" s="385">
        <f>P132*INDEX(input_data!$L:$L,MATCH(CBAM!$B$5&amp;".in.enc.frt.amc.nga",input_data!$A:$A,0))</f>
        <v>9.1024431566475581</v>
      </c>
      <c r="Q137" s="385">
        <f>Q132*INDEX(input_data!$L:$L,MATCH(CBAM!$B$5&amp;".in.enc.frt.amc.nga",input_data!$A:$A,0))</f>
        <v>9.3494099999999989</v>
      </c>
      <c r="R137" s="385">
        <f>R132*INDEX(input_data!$L:$L,MATCH(CBAM!$B$5&amp;".in.enc.frt.amc.nga",input_data!$A:$A,0))</f>
        <v>9.6030775302631746</v>
      </c>
      <c r="S137" s="385">
        <f>S132*INDEX(input_data!$L:$L,MATCH(CBAM!$B$5&amp;".in.enc.frt.amc.nga",input_data!$A:$A,0))</f>
        <v>9.8636275499999968</v>
      </c>
      <c r="T137" s="385">
        <f>T132*INDEX(input_data!$L:$L,MATCH(CBAM!$B$5&amp;".in.enc.frt.amc.nga",input_data!$A:$A,0))</f>
        <v>10.131246794427648</v>
      </c>
      <c r="U137" s="385">
        <f>U132*INDEX(input_data!$L:$L,MATCH(CBAM!$B$5&amp;".in.enc.frt.amc.nga",input_data!$A:$A,0))</f>
        <v>10.406127065249999</v>
      </c>
      <c r="V137" s="385">
        <f>V132*INDEX(input_data!$L:$L,MATCH(CBAM!$B$5&amp;".in.enc.frt.amc.nga",input_data!$A:$A,0))</f>
        <v>10.688465368121168</v>
      </c>
      <c r="W137" s="385">
        <f>W132*INDEX(input_data!$L:$L,MATCH(CBAM!$B$5&amp;".in.enc.frt.amc.nga",input_data!$A:$A,0))</f>
        <v>10.978464053838747</v>
      </c>
      <c r="X137" s="385">
        <f>X132*INDEX(input_data!$L:$L,MATCH(CBAM!$B$5&amp;".in.enc.frt.amc.nga",input_data!$A:$A,0))</f>
        <v>11.276330963367833</v>
      </c>
    </row>
    <row r="138" spans="1:24" ht="15" customHeight="1" x14ac:dyDescent="0.25">
      <c r="A138" s="380" t="str">
        <f>CBAM!$B$5&amp;".pj.enc.frt.amc.gso"</f>
        <v>egy.pj.enc.frt.amc.gso</v>
      </c>
      <c r="B138" s="380" t="str">
        <f>CBAM!$B$5</f>
        <v>egy</v>
      </c>
      <c r="C138" s="380" t="s">
        <v>1275</v>
      </c>
      <c r="D138" s="380" t="s">
        <v>1317</v>
      </c>
      <c r="E138" s="380" t="s">
        <v>330</v>
      </c>
      <c r="F138" s="380" t="s">
        <v>1445</v>
      </c>
      <c r="G138" s="380" t="s">
        <v>1292</v>
      </c>
      <c r="H138" s="380" t="s">
        <v>1452</v>
      </c>
      <c r="I138" s="380" t="s">
        <v>1319</v>
      </c>
      <c r="J138" s="380" t="s">
        <v>1320</v>
      </c>
      <c r="K138" s="380"/>
      <c r="L138" s="380"/>
      <c r="M138" s="385">
        <f>M132*INDEX(input_data!$L:$L,MATCH(CBAM!$B$5&amp;".in.enc.frt.amc.gso",input_data!$A:$A,0))</f>
        <v>0</v>
      </c>
      <c r="N138" s="385">
        <f>N132*INDEX(input_data!$L:$L,MATCH(CBAM!$B$5&amp;".in.enc.frt.amc.gso",input_data!$A:$A,0))</f>
        <v>0</v>
      </c>
      <c r="O138" s="385">
        <f>O132*INDEX(input_data!$L:$L,MATCH(CBAM!$B$5&amp;".in.enc.frt.amc.gso",input_data!$A:$A,0))</f>
        <v>0</v>
      </c>
      <c r="P138" s="385">
        <f>P132*INDEX(input_data!$L:$L,MATCH(CBAM!$B$5&amp;".in.enc.frt.amc.gso",input_data!$A:$A,0))</f>
        <v>0</v>
      </c>
      <c r="Q138" s="385">
        <f>Q132*INDEX(input_data!$L:$L,MATCH(CBAM!$B$5&amp;".in.enc.frt.amc.gso",input_data!$A:$A,0))</f>
        <v>0</v>
      </c>
      <c r="R138" s="385">
        <f>R132*INDEX(input_data!$L:$L,MATCH(CBAM!$B$5&amp;".in.enc.frt.amc.gso",input_data!$A:$A,0))</f>
        <v>0</v>
      </c>
      <c r="S138" s="385">
        <f>S132*INDEX(input_data!$L:$L,MATCH(CBAM!$B$5&amp;".in.enc.frt.amc.gso",input_data!$A:$A,0))</f>
        <v>0</v>
      </c>
      <c r="T138" s="385">
        <f>T132*INDEX(input_data!$L:$L,MATCH(CBAM!$B$5&amp;".in.enc.frt.amc.gso",input_data!$A:$A,0))</f>
        <v>0</v>
      </c>
      <c r="U138" s="385">
        <f>U132*INDEX(input_data!$L:$L,MATCH(CBAM!$B$5&amp;".in.enc.frt.amc.gso",input_data!$A:$A,0))</f>
        <v>0</v>
      </c>
      <c r="V138" s="385">
        <f>V132*INDEX(input_data!$L:$L,MATCH(CBAM!$B$5&amp;".in.enc.frt.amc.gso",input_data!$A:$A,0))</f>
        <v>0</v>
      </c>
      <c r="W138" s="385">
        <f>W132*INDEX(input_data!$L:$L,MATCH(CBAM!$B$5&amp;".in.enc.frt.amc.gso",input_data!$A:$A,0))</f>
        <v>0</v>
      </c>
      <c r="X138" s="385">
        <f>X132*INDEX(input_data!$L:$L,MATCH(CBAM!$B$5&amp;".in.enc.frt.amc.gso",input_data!$A:$A,0))</f>
        <v>0</v>
      </c>
    </row>
    <row r="139" spans="1:24" ht="15" customHeight="1" x14ac:dyDescent="0.25">
      <c r="A139" s="380" t="str">
        <f>CBAM!$B$5&amp;".pj.enc.frt.amc.die"</f>
        <v>egy.pj.enc.frt.amc.die</v>
      </c>
      <c r="B139" s="380" t="str">
        <f>CBAM!$B$5</f>
        <v>egy</v>
      </c>
      <c r="C139" s="380" t="s">
        <v>1275</v>
      </c>
      <c r="D139" s="380" t="s">
        <v>1317</v>
      </c>
      <c r="E139" s="380" t="s">
        <v>330</v>
      </c>
      <c r="F139" s="380" t="s">
        <v>1445</v>
      </c>
      <c r="G139" s="380" t="s">
        <v>762</v>
      </c>
      <c r="H139" s="380" t="s">
        <v>1453</v>
      </c>
      <c r="I139" s="380" t="s">
        <v>1319</v>
      </c>
      <c r="J139" s="380" t="s">
        <v>1320</v>
      </c>
      <c r="K139" s="380"/>
      <c r="L139" s="380"/>
      <c r="M139" s="385">
        <f>M132*INDEX(input_data!$L:$L,MATCH(CBAM!$B$5&amp;".in.enc.frt.amc.die",input_data!$A:$A,0))</f>
        <v>0</v>
      </c>
      <c r="N139" s="385">
        <f>N132*INDEX(input_data!$L:$L,MATCH(CBAM!$B$5&amp;".in.enc.frt.amc.die",input_data!$A:$A,0))</f>
        <v>0</v>
      </c>
      <c r="O139" s="385">
        <f>O132*INDEX(input_data!$L:$L,MATCH(CBAM!$B$5&amp;".in.enc.frt.amc.die",input_data!$A:$A,0))</f>
        <v>0</v>
      </c>
      <c r="P139" s="385">
        <f>P132*INDEX(input_data!$L:$L,MATCH(CBAM!$B$5&amp;".in.enc.frt.amc.die",input_data!$A:$A,0))</f>
        <v>0</v>
      </c>
      <c r="Q139" s="385">
        <f>Q132*INDEX(input_data!$L:$L,MATCH(CBAM!$B$5&amp;".in.enc.frt.amc.die",input_data!$A:$A,0))</f>
        <v>0</v>
      </c>
      <c r="R139" s="385">
        <f>R132*INDEX(input_data!$L:$L,MATCH(CBAM!$B$5&amp;".in.enc.frt.amc.die",input_data!$A:$A,0))</f>
        <v>0</v>
      </c>
      <c r="S139" s="385">
        <f>S132*INDEX(input_data!$L:$L,MATCH(CBAM!$B$5&amp;".in.enc.frt.amc.die",input_data!$A:$A,0))</f>
        <v>0</v>
      </c>
      <c r="T139" s="385">
        <f>T132*INDEX(input_data!$L:$L,MATCH(CBAM!$B$5&amp;".in.enc.frt.amc.die",input_data!$A:$A,0))</f>
        <v>0</v>
      </c>
      <c r="U139" s="385">
        <f>U132*INDEX(input_data!$L:$L,MATCH(CBAM!$B$5&amp;".in.enc.frt.amc.die",input_data!$A:$A,0))</f>
        <v>0</v>
      </c>
      <c r="V139" s="385">
        <f>V132*INDEX(input_data!$L:$L,MATCH(CBAM!$B$5&amp;".in.enc.frt.amc.die",input_data!$A:$A,0))</f>
        <v>0</v>
      </c>
      <c r="W139" s="385">
        <f>W132*INDEX(input_data!$L:$L,MATCH(CBAM!$B$5&amp;".in.enc.frt.amc.die",input_data!$A:$A,0))</f>
        <v>0</v>
      </c>
      <c r="X139" s="385">
        <f>X132*INDEX(input_data!$L:$L,MATCH(CBAM!$B$5&amp;".in.enc.frt.amc.die",input_data!$A:$A,0))</f>
        <v>0</v>
      </c>
    </row>
    <row r="140" spans="1:24" ht="15" customHeight="1" x14ac:dyDescent="0.25">
      <c r="A140" s="380" t="str">
        <f>CBAM!$B$5&amp;".pj.enc.frt.amc.ker"</f>
        <v>egy.pj.enc.frt.amc.ker</v>
      </c>
      <c r="B140" s="380" t="str">
        <f>CBAM!$B$5</f>
        <v>egy</v>
      </c>
      <c r="C140" s="380" t="s">
        <v>1275</v>
      </c>
      <c r="D140" s="380" t="s">
        <v>1317</v>
      </c>
      <c r="E140" s="380" t="s">
        <v>330</v>
      </c>
      <c r="F140" s="380" t="s">
        <v>1445</v>
      </c>
      <c r="G140" s="380" t="s">
        <v>1295</v>
      </c>
      <c r="H140" s="380" t="s">
        <v>1454</v>
      </c>
      <c r="I140" s="380" t="s">
        <v>1319</v>
      </c>
      <c r="J140" s="380" t="s">
        <v>1320</v>
      </c>
      <c r="K140" s="380"/>
      <c r="L140" s="380"/>
      <c r="M140" s="385">
        <f>M132*INDEX(input_data!$L:$L,MATCH(CBAM!$B$5&amp;".in.enc.frt.amc.ker",input_data!$A:$A,0))</f>
        <v>0</v>
      </c>
      <c r="N140" s="385">
        <f>N132*INDEX(input_data!$L:$L,MATCH(CBAM!$B$5&amp;".in.enc.frt.amc.ker",input_data!$A:$A,0))</f>
        <v>0</v>
      </c>
      <c r="O140" s="385">
        <f>O132*INDEX(input_data!$L:$L,MATCH(CBAM!$B$5&amp;".in.enc.frt.amc.ker",input_data!$A:$A,0))</f>
        <v>0</v>
      </c>
      <c r="P140" s="385">
        <f>P132*INDEX(input_data!$L:$L,MATCH(CBAM!$B$5&amp;".in.enc.frt.amc.ker",input_data!$A:$A,0))</f>
        <v>0</v>
      </c>
      <c r="Q140" s="385">
        <f>Q132*INDEX(input_data!$L:$L,MATCH(CBAM!$B$5&amp;".in.enc.frt.amc.ker",input_data!$A:$A,0))</f>
        <v>0</v>
      </c>
      <c r="R140" s="385">
        <f>R132*INDEX(input_data!$L:$L,MATCH(CBAM!$B$5&amp;".in.enc.frt.amc.ker",input_data!$A:$A,0))</f>
        <v>0</v>
      </c>
      <c r="S140" s="385">
        <f>S132*INDEX(input_data!$L:$L,MATCH(CBAM!$B$5&amp;".in.enc.frt.amc.ker",input_data!$A:$A,0))</f>
        <v>0</v>
      </c>
      <c r="T140" s="385">
        <f>T132*INDEX(input_data!$L:$L,MATCH(CBAM!$B$5&amp;".in.enc.frt.amc.ker",input_data!$A:$A,0))</f>
        <v>0</v>
      </c>
      <c r="U140" s="385">
        <f>U132*INDEX(input_data!$L:$L,MATCH(CBAM!$B$5&amp;".in.enc.frt.amc.ker",input_data!$A:$A,0))</f>
        <v>0</v>
      </c>
      <c r="V140" s="385">
        <f>V132*INDEX(input_data!$L:$L,MATCH(CBAM!$B$5&amp;".in.enc.frt.amc.ker",input_data!$A:$A,0))</f>
        <v>0</v>
      </c>
      <c r="W140" s="385">
        <f>W132*INDEX(input_data!$L:$L,MATCH(CBAM!$B$5&amp;".in.enc.frt.amc.ker",input_data!$A:$A,0))</f>
        <v>0</v>
      </c>
      <c r="X140" s="385">
        <f>X132*INDEX(input_data!$L:$L,MATCH(CBAM!$B$5&amp;".in.enc.frt.amc.ker",input_data!$A:$A,0))</f>
        <v>0</v>
      </c>
    </row>
    <row r="141" spans="1:24" ht="15" customHeight="1" x14ac:dyDescent="0.25">
      <c r="A141" s="380" t="str">
        <f>CBAM!$B$5&amp;".pj.enc.frt.amc.lpg"</f>
        <v>egy.pj.enc.frt.amc.lpg</v>
      </c>
      <c r="B141" s="380" t="str">
        <f>CBAM!$B$5</f>
        <v>egy</v>
      </c>
      <c r="C141" s="380" t="s">
        <v>1275</v>
      </c>
      <c r="D141" s="380" t="s">
        <v>1317</v>
      </c>
      <c r="E141" s="380" t="s">
        <v>330</v>
      </c>
      <c r="F141" s="380" t="s">
        <v>1445</v>
      </c>
      <c r="G141" s="380" t="s">
        <v>1297</v>
      </c>
      <c r="H141" s="380" t="s">
        <v>1455</v>
      </c>
      <c r="I141" s="380" t="s">
        <v>1319</v>
      </c>
      <c r="J141" s="380" t="s">
        <v>1320</v>
      </c>
      <c r="K141" s="380"/>
      <c r="L141" s="380"/>
      <c r="M141" s="385">
        <f>M132*INDEX(input_data!$L:$L,MATCH(CBAM!$B$5&amp;".in.enc.frt.amc.lpg",input_data!$A:$A,0))</f>
        <v>0</v>
      </c>
      <c r="N141" s="385">
        <f>N132*INDEX(input_data!$L:$L,MATCH(CBAM!$B$5&amp;".in.enc.frt.amc.lpg",input_data!$A:$A,0))</f>
        <v>0</v>
      </c>
      <c r="O141" s="385">
        <f>O132*INDEX(input_data!$L:$L,MATCH(CBAM!$B$5&amp;".in.enc.frt.amc.lpg",input_data!$A:$A,0))</f>
        <v>0</v>
      </c>
      <c r="P141" s="385">
        <f>P132*INDEX(input_data!$L:$L,MATCH(CBAM!$B$5&amp;".in.enc.frt.amc.lpg",input_data!$A:$A,0))</f>
        <v>0</v>
      </c>
      <c r="Q141" s="385">
        <f>Q132*INDEX(input_data!$L:$L,MATCH(CBAM!$B$5&amp;".in.enc.frt.amc.lpg",input_data!$A:$A,0))</f>
        <v>0</v>
      </c>
      <c r="R141" s="385">
        <f>R132*INDEX(input_data!$L:$L,MATCH(CBAM!$B$5&amp;".in.enc.frt.amc.lpg",input_data!$A:$A,0))</f>
        <v>0</v>
      </c>
      <c r="S141" s="385">
        <f>S132*INDEX(input_data!$L:$L,MATCH(CBAM!$B$5&amp;".in.enc.frt.amc.lpg",input_data!$A:$A,0))</f>
        <v>0</v>
      </c>
      <c r="T141" s="385">
        <f>T132*INDEX(input_data!$L:$L,MATCH(CBAM!$B$5&amp;".in.enc.frt.amc.lpg",input_data!$A:$A,0))</f>
        <v>0</v>
      </c>
      <c r="U141" s="385">
        <f>U132*INDEX(input_data!$L:$L,MATCH(CBAM!$B$5&amp;".in.enc.frt.amc.lpg",input_data!$A:$A,0))</f>
        <v>0</v>
      </c>
      <c r="V141" s="385">
        <f>V132*INDEX(input_data!$L:$L,MATCH(CBAM!$B$5&amp;".in.enc.frt.amc.lpg",input_data!$A:$A,0))</f>
        <v>0</v>
      </c>
      <c r="W141" s="385">
        <f>W132*INDEX(input_data!$L:$L,MATCH(CBAM!$B$5&amp;".in.enc.frt.amc.lpg",input_data!$A:$A,0))</f>
        <v>0</v>
      </c>
      <c r="X141" s="385">
        <f>X132*INDEX(input_data!$L:$L,MATCH(CBAM!$B$5&amp;".in.enc.frt.amc.lpg",input_data!$A:$A,0))</f>
        <v>0</v>
      </c>
    </row>
    <row r="142" spans="1:24" ht="15" customHeight="1" x14ac:dyDescent="0.25">
      <c r="A142" s="380" t="str">
        <f>CBAM!$B$5&amp;".pj.enc.frt.amc.bio"</f>
        <v>egy.pj.enc.frt.amc.bio</v>
      </c>
      <c r="B142" s="380" t="str">
        <f>CBAM!$B$5</f>
        <v>egy</v>
      </c>
      <c r="C142" s="380" t="s">
        <v>1275</v>
      </c>
      <c r="D142" s="380" t="s">
        <v>1317</v>
      </c>
      <c r="E142" s="380" t="s">
        <v>330</v>
      </c>
      <c r="F142" s="380" t="s">
        <v>1445</v>
      </c>
      <c r="G142" s="380" t="s">
        <v>1299</v>
      </c>
      <c r="H142" s="380" t="s">
        <v>1456</v>
      </c>
      <c r="I142" s="380" t="s">
        <v>1319</v>
      </c>
      <c r="J142" s="380" t="s">
        <v>1320</v>
      </c>
      <c r="K142" s="380"/>
      <c r="L142" s="380"/>
      <c r="M142" s="385">
        <f>M132*INDEX(input_data!$L:$L,MATCH(CBAM!$B$5&amp;".in.enc.frt.amc.bio",input_data!$A:$A,0))</f>
        <v>0</v>
      </c>
      <c r="N142" s="385">
        <f>N132*INDEX(input_data!$L:$L,MATCH(CBAM!$B$5&amp;".in.enc.frt.amc.bio",input_data!$A:$A,0))</f>
        <v>0</v>
      </c>
      <c r="O142" s="385">
        <f>O132*INDEX(input_data!$L:$L,MATCH(CBAM!$B$5&amp;".in.enc.frt.amc.bio",input_data!$A:$A,0))</f>
        <v>0</v>
      </c>
      <c r="P142" s="385">
        <f>P132*INDEX(input_data!$L:$L,MATCH(CBAM!$B$5&amp;".in.enc.frt.amc.bio",input_data!$A:$A,0))</f>
        <v>0</v>
      </c>
      <c r="Q142" s="385">
        <f>Q132*INDEX(input_data!$L:$L,MATCH(CBAM!$B$5&amp;".in.enc.frt.amc.bio",input_data!$A:$A,0))</f>
        <v>0</v>
      </c>
      <c r="R142" s="385">
        <f>R132*INDEX(input_data!$L:$L,MATCH(CBAM!$B$5&amp;".in.enc.frt.amc.bio",input_data!$A:$A,0))</f>
        <v>0</v>
      </c>
      <c r="S142" s="385">
        <f>S132*INDEX(input_data!$L:$L,MATCH(CBAM!$B$5&amp;".in.enc.frt.amc.bio",input_data!$A:$A,0))</f>
        <v>0</v>
      </c>
      <c r="T142" s="385">
        <f>T132*INDEX(input_data!$L:$L,MATCH(CBAM!$B$5&amp;".in.enc.frt.amc.bio",input_data!$A:$A,0))</f>
        <v>0</v>
      </c>
      <c r="U142" s="385">
        <f>U132*INDEX(input_data!$L:$L,MATCH(CBAM!$B$5&amp;".in.enc.frt.amc.bio",input_data!$A:$A,0))</f>
        <v>0</v>
      </c>
      <c r="V142" s="385">
        <f>V132*INDEX(input_data!$L:$L,MATCH(CBAM!$B$5&amp;".in.enc.frt.amc.bio",input_data!$A:$A,0))</f>
        <v>0</v>
      </c>
      <c r="W142" s="385">
        <f>W132*INDEX(input_data!$L:$L,MATCH(CBAM!$B$5&amp;".in.enc.frt.amc.bio",input_data!$A:$A,0))</f>
        <v>0</v>
      </c>
      <c r="X142" s="385">
        <f>X132*INDEX(input_data!$L:$L,MATCH(CBAM!$B$5&amp;".in.enc.frt.amc.bio",input_data!$A:$A,0))</f>
        <v>0</v>
      </c>
    </row>
    <row r="143" spans="1:24" ht="15" customHeight="1" x14ac:dyDescent="0.25">
      <c r="A143" s="380" t="str">
        <f>CBAM!$B$5&amp;".pj.enc.frt.amc.ren"</f>
        <v>egy.pj.enc.frt.amc.ren</v>
      </c>
      <c r="B143" s="380" t="str">
        <f>CBAM!$B$5</f>
        <v>egy</v>
      </c>
      <c r="C143" s="380" t="s">
        <v>1275</v>
      </c>
      <c r="D143" s="380" t="s">
        <v>1317</v>
      </c>
      <c r="E143" s="380" t="s">
        <v>330</v>
      </c>
      <c r="F143" s="380" t="s">
        <v>1445</v>
      </c>
      <c r="G143" s="380" t="s">
        <v>1301</v>
      </c>
      <c r="H143" s="380" t="s">
        <v>1457</v>
      </c>
      <c r="I143" s="380" t="s">
        <v>1319</v>
      </c>
      <c r="J143" s="380" t="s">
        <v>1320</v>
      </c>
      <c r="K143" s="380"/>
      <c r="L143" s="380"/>
      <c r="M143" s="385">
        <f>M132*INDEX(input_data!$L:$L,MATCH(CBAM!$B$5&amp;".in.enc.frt.amc.ren",input_data!$A:$A,0))</f>
        <v>0</v>
      </c>
      <c r="N143" s="385">
        <f>N132*INDEX(input_data!$L:$L,MATCH(CBAM!$B$5&amp;".in.enc.frt.amc.ren",input_data!$A:$A,0))</f>
        <v>0</v>
      </c>
      <c r="O143" s="385">
        <f>O132*INDEX(input_data!$L:$L,MATCH(CBAM!$B$5&amp;".in.enc.frt.amc.ren",input_data!$A:$A,0))</f>
        <v>0</v>
      </c>
      <c r="P143" s="385">
        <f>P132*INDEX(input_data!$L:$L,MATCH(CBAM!$B$5&amp;".in.enc.frt.amc.ren",input_data!$A:$A,0))</f>
        <v>0</v>
      </c>
      <c r="Q143" s="385">
        <f>Q132*INDEX(input_data!$L:$L,MATCH(CBAM!$B$5&amp;".in.enc.frt.amc.ren",input_data!$A:$A,0))</f>
        <v>0</v>
      </c>
      <c r="R143" s="385">
        <f>R132*INDEX(input_data!$L:$L,MATCH(CBAM!$B$5&amp;".in.enc.frt.amc.ren",input_data!$A:$A,0))</f>
        <v>0</v>
      </c>
      <c r="S143" s="385">
        <f>S132*INDEX(input_data!$L:$L,MATCH(CBAM!$B$5&amp;".in.enc.frt.amc.ren",input_data!$A:$A,0))</f>
        <v>0</v>
      </c>
      <c r="T143" s="385">
        <f>T132*INDEX(input_data!$L:$L,MATCH(CBAM!$B$5&amp;".in.enc.frt.amc.ren",input_data!$A:$A,0))</f>
        <v>0</v>
      </c>
      <c r="U143" s="385">
        <f>U132*INDEX(input_data!$L:$L,MATCH(CBAM!$B$5&amp;".in.enc.frt.amc.ren",input_data!$A:$A,0))</f>
        <v>0</v>
      </c>
      <c r="V143" s="385">
        <f>V132*INDEX(input_data!$L:$L,MATCH(CBAM!$B$5&amp;".in.enc.frt.amc.ren",input_data!$A:$A,0))</f>
        <v>0</v>
      </c>
      <c r="W143" s="385">
        <f>W132*INDEX(input_data!$L:$L,MATCH(CBAM!$B$5&amp;".in.enc.frt.amc.ren",input_data!$A:$A,0))</f>
        <v>0</v>
      </c>
      <c r="X143" s="385">
        <f>X132*INDEX(input_data!$L:$L,MATCH(CBAM!$B$5&amp;".in.enc.frt.amc.ren",input_data!$A:$A,0))</f>
        <v>0</v>
      </c>
    </row>
    <row r="144" spans="1:24" ht="15" customHeight="1" x14ac:dyDescent="0.25">
      <c r="A144" s="380" t="str">
        <f>CBAM!$B$5&amp;".pj.enp.frt.amc.coa"</f>
        <v>egy.pj.enp.frt.amc.coa</v>
      </c>
      <c r="B144" s="380" t="str">
        <f>CBAM!$B$5</f>
        <v>egy</v>
      </c>
      <c r="C144" s="380" t="s">
        <v>1275</v>
      </c>
      <c r="D144" s="380" t="s">
        <v>1328</v>
      </c>
      <c r="E144" s="380" t="s">
        <v>330</v>
      </c>
      <c r="F144" s="380" t="s">
        <v>1445</v>
      </c>
      <c r="G144" s="380" t="s">
        <v>757</v>
      </c>
      <c r="H144" s="380" t="s">
        <v>1458</v>
      </c>
      <c r="I144" s="380" t="s">
        <v>1319</v>
      </c>
      <c r="J144" s="380" t="s">
        <v>1330</v>
      </c>
      <c r="K144" s="380"/>
      <c r="L144" s="380"/>
      <c r="M144" s="385">
        <f>M132*INDEX(input_data!$L:$L,MATCH(CBAM!$B$5&amp;".in.enp.frt.amc.coa",input_data!$A:$A,0))</f>
        <v>0</v>
      </c>
      <c r="N144" s="385">
        <f>N132*INDEX(input_data!$L:$L,MATCH(CBAM!$B$5&amp;".in.enp.frt.amc.coa",input_data!$A:$A,0))</f>
        <v>0</v>
      </c>
      <c r="O144" s="385">
        <f>O132*INDEX(input_data!$L:$L,MATCH(CBAM!$B$5&amp;".in.enp.frt.amc.coa",input_data!$A:$A,0))</f>
        <v>0</v>
      </c>
      <c r="P144" s="385">
        <f>P132*INDEX(input_data!$L:$L,MATCH(CBAM!$B$5&amp;".in.enp.frt.amc.coa",input_data!$A:$A,0))</f>
        <v>0</v>
      </c>
      <c r="Q144" s="385">
        <f>Q132*INDEX(input_data!$L:$L,MATCH(CBAM!$B$5&amp;".in.enp.frt.amc.coa",input_data!$A:$A,0))</f>
        <v>0</v>
      </c>
      <c r="R144" s="385">
        <f>R132*INDEX(input_data!$L:$L,MATCH(CBAM!$B$5&amp;".in.enp.frt.amc.coa",input_data!$A:$A,0))</f>
        <v>0</v>
      </c>
      <c r="S144" s="385">
        <f>S132*INDEX(input_data!$L:$L,MATCH(CBAM!$B$5&amp;".in.enp.frt.amc.coa",input_data!$A:$A,0))</f>
        <v>0</v>
      </c>
      <c r="T144" s="385">
        <f>T132*INDEX(input_data!$L:$L,MATCH(CBAM!$B$5&amp;".in.enp.frt.amc.coa",input_data!$A:$A,0))</f>
        <v>0</v>
      </c>
      <c r="U144" s="385">
        <f>U132*INDEX(input_data!$L:$L,MATCH(CBAM!$B$5&amp;".in.enp.frt.amc.coa",input_data!$A:$A,0))</f>
        <v>0</v>
      </c>
      <c r="V144" s="385">
        <f>V132*INDEX(input_data!$L:$L,MATCH(CBAM!$B$5&amp;".in.enp.frt.amc.coa",input_data!$A:$A,0))</f>
        <v>0</v>
      </c>
      <c r="W144" s="385">
        <f>W132*INDEX(input_data!$L:$L,MATCH(CBAM!$B$5&amp;".in.enp.frt.amc.coa",input_data!$A:$A,0))</f>
        <v>0</v>
      </c>
      <c r="X144" s="385">
        <f>X132*INDEX(input_data!$L:$L,MATCH(CBAM!$B$5&amp;".in.enp.frt.amc.coa",input_data!$A:$A,0))</f>
        <v>0</v>
      </c>
    </row>
    <row r="145" spans="1:24" ht="15" customHeight="1" x14ac:dyDescent="0.25">
      <c r="A145" s="380" t="str">
        <f>CBAM!$B$5&amp;".pj.enp.frt.amc.nga"</f>
        <v>egy.pj.enp.frt.amc.nga</v>
      </c>
      <c r="B145" s="380" t="str">
        <f>CBAM!$B$5</f>
        <v>egy</v>
      </c>
      <c r="C145" s="380" t="s">
        <v>1275</v>
      </c>
      <c r="D145" s="380" t="s">
        <v>1328</v>
      </c>
      <c r="E145" s="380" t="s">
        <v>330</v>
      </c>
      <c r="F145" s="380" t="s">
        <v>1445</v>
      </c>
      <c r="G145" s="380" t="s">
        <v>754</v>
      </c>
      <c r="H145" s="380" t="s">
        <v>1459</v>
      </c>
      <c r="I145" s="380" t="s">
        <v>1319</v>
      </c>
      <c r="J145" s="380" t="s">
        <v>1330</v>
      </c>
      <c r="K145" s="380"/>
      <c r="L145" s="380"/>
      <c r="M145" s="385">
        <f>M132*INDEX(input_data!$L:$L,MATCH(CBAM!$B$5&amp;".in.enp.frt.amc.nga",input_data!$A:$A,0))</f>
        <v>31.2</v>
      </c>
      <c r="N145" s="385">
        <f>N132*INDEX(input_data!$L:$L,MATCH(CBAM!$B$5&amp;".in.enp.frt.amc.nga",input_data!$A:$A,0))</f>
        <v>32.046516191311653</v>
      </c>
      <c r="O145" s="385">
        <f>O132*INDEX(input_data!$L:$L,MATCH(CBAM!$B$5&amp;".in.enp.frt.amc.nga",input_data!$A:$A,0))</f>
        <v>32.915999999999997</v>
      </c>
      <c r="P145" s="385">
        <f>P132*INDEX(input_data!$L:$L,MATCH(CBAM!$B$5&amp;".in.enp.frt.amc.nga",input_data!$A:$A,0))</f>
        <v>33.809074581833784</v>
      </c>
      <c r="Q145" s="385">
        <f>Q132*INDEX(input_data!$L:$L,MATCH(CBAM!$B$5&amp;".in.enp.frt.amc.nga",input_data!$A:$A,0))</f>
        <v>34.726379999999999</v>
      </c>
      <c r="R145" s="385">
        <f>R132*INDEX(input_data!$L:$L,MATCH(CBAM!$B$5&amp;".in.enp.frt.amc.nga",input_data!$A:$A,0))</f>
        <v>35.668573683834651</v>
      </c>
      <c r="S145" s="385">
        <f>S132*INDEX(input_data!$L:$L,MATCH(CBAM!$B$5&amp;".in.enp.frt.amc.nga",input_data!$A:$A,0))</f>
        <v>36.63633089999999</v>
      </c>
      <c r="T145" s="385">
        <f>T132*INDEX(input_data!$L:$L,MATCH(CBAM!$B$5&amp;".in.enp.frt.amc.nga",input_data!$A:$A,0))</f>
        <v>37.63034523644555</v>
      </c>
      <c r="U145" s="385">
        <f>U132*INDEX(input_data!$L:$L,MATCH(CBAM!$B$5&amp;".in.enp.frt.amc.nga",input_data!$A:$A,0))</f>
        <v>38.651329099499996</v>
      </c>
      <c r="V145" s="385">
        <f>V132*INDEX(input_data!$L:$L,MATCH(CBAM!$B$5&amp;".in.enp.frt.amc.nga",input_data!$A:$A,0))</f>
        <v>39.700014224450058</v>
      </c>
      <c r="W145" s="385">
        <f>W132*INDEX(input_data!$L:$L,MATCH(CBAM!$B$5&amp;".in.enp.frt.amc.nga",input_data!$A:$A,0))</f>
        <v>40.777152199972491</v>
      </c>
      <c r="X145" s="385">
        <f>X132*INDEX(input_data!$L:$L,MATCH(CBAM!$B$5&amp;".in.enp.frt.amc.nga",input_data!$A:$A,0))</f>
        <v>41.883515006794809</v>
      </c>
    </row>
    <row r="146" spans="1:24" ht="15" customHeight="1" x14ac:dyDescent="0.25">
      <c r="A146" s="380" t="str">
        <f>CBAM!$B$5&amp;".pj.enp.frt.amc.gso"</f>
        <v>egy.pj.enp.frt.amc.gso</v>
      </c>
      <c r="B146" s="380" t="str">
        <f>CBAM!$B$5</f>
        <v>egy</v>
      </c>
      <c r="C146" s="380" t="s">
        <v>1275</v>
      </c>
      <c r="D146" s="380" t="s">
        <v>1328</v>
      </c>
      <c r="E146" s="380" t="s">
        <v>330</v>
      </c>
      <c r="F146" s="380" t="s">
        <v>1445</v>
      </c>
      <c r="G146" s="380" t="s">
        <v>1292</v>
      </c>
      <c r="H146" s="380" t="s">
        <v>1460</v>
      </c>
      <c r="I146" s="380" t="s">
        <v>1319</v>
      </c>
      <c r="J146" s="380" t="s">
        <v>1330</v>
      </c>
      <c r="K146" s="380"/>
      <c r="L146" s="380"/>
      <c r="M146" s="385">
        <f>M132*INDEX(input_data!$L:$L,MATCH(CBAM!$B$5&amp;".in.enp.frt.amc.gso",input_data!$A:$A,0))</f>
        <v>0</v>
      </c>
      <c r="N146" s="385">
        <f>N132*INDEX(input_data!$L:$L,MATCH(CBAM!$B$5&amp;".in.enp.frt.amc.gso",input_data!$A:$A,0))</f>
        <v>0</v>
      </c>
      <c r="O146" s="385">
        <f>O132*INDEX(input_data!$L:$L,MATCH(CBAM!$B$5&amp;".in.enp.frt.amc.gso",input_data!$A:$A,0))</f>
        <v>0</v>
      </c>
      <c r="P146" s="385">
        <f>P132*INDEX(input_data!$L:$L,MATCH(CBAM!$B$5&amp;".in.enp.frt.amc.gso",input_data!$A:$A,0))</f>
        <v>0</v>
      </c>
      <c r="Q146" s="385">
        <f>Q132*INDEX(input_data!$L:$L,MATCH(CBAM!$B$5&amp;".in.enp.frt.amc.gso",input_data!$A:$A,0))</f>
        <v>0</v>
      </c>
      <c r="R146" s="385">
        <f>R132*INDEX(input_data!$L:$L,MATCH(CBAM!$B$5&amp;".in.enp.frt.amc.gso",input_data!$A:$A,0))</f>
        <v>0</v>
      </c>
      <c r="S146" s="385">
        <f>S132*INDEX(input_data!$L:$L,MATCH(CBAM!$B$5&amp;".in.enp.frt.amc.gso",input_data!$A:$A,0))</f>
        <v>0</v>
      </c>
      <c r="T146" s="385">
        <f>T132*INDEX(input_data!$L:$L,MATCH(CBAM!$B$5&amp;".in.enp.frt.amc.gso",input_data!$A:$A,0))</f>
        <v>0</v>
      </c>
      <c r="U146" s="385">
        <f>U132*INDEX(input_data!$L:$L,MATCH(CBAM!$B$5&amp;".in.enp.frt.amc.gso",input_data!$A:$A,0))</f>
        <v>0</v>
      </c>
      <c r="V146" s="385">
        <f>V132*INDEX(input_data!$L:$L,MATCH(CBAM!$B$5&amp;".in.enp.frt.amc.gso",input_data!$A:$A,0))</f>
        <v>0</v>
      </c>
      <c r="W146" s="385">
        <f>W132*INDEX(input_data!$L:$L,MATCH(CBAM!$B$5&amp;".in.enp.frt.amc.gso",input_data!$A:$A,0))</f>
        <v>0</v>
      </c>
      <c r="X146" s="385">
        <f>X132*INDEX(input_data!$L:$L,MATCH(CBAM!$B$5&amp;".in.enp.frt.amc.gso",input_data!$A:$A,0))</f>
        <v>0</v>
      </c>
    </row>
    <row r="147" spans="1:24" ht="15" customHeight="1" x14ac:dyDescent="0.25">
      <c r="A147" s="380" t="str">
        <f>CBAM!$B$5&amp;".pj.enp.frt.amc.die"</f>
        <v>egy.pj.enp.frt.amc.die</v>
      </c>
      <c r="B147" s="380" t="str">
        <f>CBAM!$B$5</f>
        <v>egy</v>
      </c>
      <c r="C147" s="380" t="s">
        <v>1275</v>
      </c>
      <c r="D147" s="380" t="s">
        <v>1328</v>
      </c>
      <c r="E147" s="380" t="s">
        <v>330</v>
      </c>
      <c r="F147" s="380" t="s">
        <v>1445</v>
      </c>
      <c r="G147" s="380" t="s">
        <v>762</v>
      </c>
      <c r="H147" s="380" t="s">
        <v>1461</v>
      </c>
      <c r="I147" s="380" t="s">
        <v>1319</v>
      </c>
      <c r="J147" s="380" t="s">
        <v>1330</v>
      </c>
      <c r="K147" s="380"/>
      <c r="L147" s="380"/>
      <c r="M147" s="385">
        <f>M132*INDEX(input_data!$L:$L,MATCH(CBAM!$B$5&amp;".in.enp.frt.amc.die",input_data!$A:$A,0))</f>
        <v>0</v>
      </c>
      <c r="N147" s="385">
        <f>N132*INDEX(input_data!$L:$L,MATCH(CBAM!$B$5&amp;".in.enp.frt.amc.die",input_data!$A:$A,0))</f>
        <v>0</v>
      </c>
      <c r="O147" s="385">
        <f>O132*INDEX(input_data!$L:$L,MATCH(CBAM!$B$5&amp;".in.enp.frt.amc.die",input_data!$A:$A,0))</f>
        <v>0</v>
      </c>
      <c r="P147" s="385">
        <f>P132*INDEX(input_data!$L:$L,MATCH(CBAM!$B$5&amp;".in.enp.frt.amc.die",input_data!$A:$A,0))</f>
        <v>0</v>
      </c>
      <c r="Q147" s="385">
        <f>Q132*INDEX(input_data!$L:$L,MATCH(CBAM!$B$5&amp;".in.enp.frt.amc.die",input_data!$A:$A,0))</f>
        <v>0</v>
      </c>
      <c r="R147" s="385">
        <f>R132*INDEX(input_data!$L:$L,MATCH(CBAM!$B$5&amp;".in.enp.frt.amc.die",input_data!$A:$A,0))</f>
        <v>0</v>
      </c>
      <c r="S147" s="385">
        <f>S132*INDEX(input_data!$L:$L,MATCH(CBAM!$B$5&amp;".in.enp.frt.amc.die",input_data!$A:$A,0))</f>
        <v>0</v>
      </c>
      <c r="T147" s="385">
        <f>T132*INDEX(input_data!$L:$L,MATCH(CBAM!$B$5&amp;".in.enp.frt.amc.die",input_data!$A:$A,0))</f>
        <v>0</v>
      </c>
      <c r="U147" s="385">
        <f>U132*INDEX(input_data!$L:$L,MATCH(CBAM!$B$5&amp;".in.enp.frt.amc.die",input_data!$A:$A,0))</f>
        <v>0</v>
      </c>
      <c r="V147" s="385">
        <f>V132*INDEX(input_data!$L:$L,MATCH(CBAM!$B$5&amp;".in.enp.frt.amc.die",input_data!$A:$A,0))</f>
        <v>0</v>
      </c>
      <c r="W147" s="385">
        <f>W132*INDEX(input_data!$L:$L,MATCH(CBAM!$B$5&amp;".in.enp.frt.amc.die",input_data!$A:$A,0))</f>
        <v>0</v>
      </c>
      <c r="X147" s="385">
        <f>X132*INDEX(input_data!$L:$L,MATCH(CBAM!$B$5&amp;".in.enp.frt.amc.die",input_data!$A:$A,0))</f>
        <v>0</v>
      </c>
    </row>
    <row r="148" spans="1:24" ht="15" customHeight="1" x14ac:dyDescent="0.25">
      <c r="A148" s="380" t="str">
        <f>CBAM!$B$5&amp;".pj.enp.frt.amc.ker"</f>
        <v>egy.pj.enp.frt.amc.ker</v>
      </c>
      <c r="B148" s="380" t="str">
        <f>CBAM!$B$5</f>
        <v>egy</v>
      </c>
      <c r="C148" s="380" t="s">
        <v>1275</v>
      </c>
      <c r="D148" s="380" t="s">
        <v>1328</v>
      </c>
      <c r="E148" s="380" t="s">
        <v>330</v>
      </c>
      <c r="F148" s="380" t="s">
        <v>1445</v>
      </c>
      <c r="G148" s="380" t="s">
        <v>1295</v>
      </c>
      <c r="H148" s="380" t="s">
        <v>1462</v>
      </c>
      <c r="I148" s="380" t="s">
        <v>1319</v>
      </c>
      <c r="J148" s="380" t="s">
        <v>1330</v>
      </c>
      <c r="K148" s="380"/>
      <c r="L148" s="380"/>
      <c r="M148" s="385">
        <f>M132*INDEX(input_data!$L:$L,MATCH(CBAM!$B$5&amp;".in.enp.frt.amc.ker",input_data!$A:$A,0))</f>
        <v>0</v>
      </c>
      <c r="N148" s="385">
        <f>N132*INDEX(input_data!$L:$L,MATCH(CBAM!$B$5&amp;".in.enp.frt.amc.ker",input_data!$A:$A,0))</f>
        <v>0</v>
      </c>
      <c r="O148" s="385">
        <f>O132*INDEX(input_data!$L:$L,MATCH(CBAM!$B$5&amp;".in.enp.frt.amc.ker",input_data!$A:$A,0))</f>
        <v>0</v>
      </c>
      <c r="P148" s="385">
        <f>P132*INDEX(input_data!$L:$L,MATCH(CBAM!$B$5&amp;".in.enp.frt.amc.ker",input_data!$A:$A,0))</f>
        <v>0</v>
      </c>
      <c r="Q148" s="385">
        <f>Q132*INDEX(input_data!$L:$L,MATCH(CBAM!$B$5&amp;".in.enp.frt.amc.ker",input_data!$A:$A,0))</f>
        <v>0</v>
      </c>
      <c r="R148" s="385">
        <f>R132*INDEX(input_data!$L:$L,MATCH(CBAM!$B$5&amp;".in.enp.frt.amc.ker",input_data!$A:$A,0))</f>
        <v>0</v>
      </c>
      <c r="S148" s="385">
        <f>S132*INDEX(input_data!$L:$L,MATCH(CBAM!$B$5&amp;".in.enp.frt.amc.ker",input_data!$A:$A,0))</f>
        <v>0</v>
      </c>
      <c r="T148" s="385">
        <f>T132*INDEX(input_data!$L:$L,MATCH(CBAM!$B$5&amp;".in.enp.frt.amc.ker",input_data!$A:$A,0))</f>
        <v>0</v>
      </c>
      <c r="U148" s="385">
        <f>U132*INDEX(input_data!$L:$L,MATCH(CBAM!$B$5&amp;".in.enp.frt.amc.ker",input_data!$A:$A,0))</f>
        <v>0</v>
      </c>
      <c r="V148" s="385">
        <f>V132*INDEX(input_data!$L:$L,MATCH(CBAM!$B$5&amp;".in.enp.frt.amc.ker",input_data!$A:$A,0))</f>
        <v>0</v>
      </c>
      <c r="W148" s="385">
        <f>W132*INDEX(input_data!$L:$L,MATCH(CBAM!$B$5&amp;".in.enp.frt.amc.ker",input_data!$A:$A,0))</f>
        <v>0</v>
      </c>
      <c r="X148" s="385">
        <f>X132*INDEX(input_data!$L:$L,MATCH(CBAM!$B$5&amp;".in.enp.frt.amc.ker",input_data!$A:$A,0))</f>
        <v>0</v>
      </c>
    </row>
    <row r="149" spans="1:24" ht="15" customHeight="1" x14ac:dyDescent="0.25">
      <c r="A149" s="380" t="str">
        <f>CBAM!$B$5&amp;".pj.enp.frt.amc.lpg"</f>
        <v>egy.pj.enp.frt.amc.lpg</v>
      </c>
      <c r="B149" s="380" t="str">
        <f>CBAM!$B$5</f>
        <v>egy</v>
      </c>
      <c r="C149" s="380" t="s">
        <v>1275</v>
      </c>
      <c r="D149" s="380" t="s">
        <v>1328</v>
      </c>
      <c r="E149" s="380" t="s">
        <v>330</v>
      </c>
      <c r="F149" s="380" t="s">
        <v>1445</v>
      </c>
      <c r="G149" s="380" t="s">
        <v>1297</v>
      </c>
      <c r="H149" s="380" t="s">
        <v>1463</v>
      </c>
      <c r="I149" s="380" t="s">
        <v>1319</v>
      </c>
      <c r="J149" s="380" t="s">
        <v>1330</v>
      </c>
      <c r="K149" s="380"/>
      <c r="L149" s="380"/>
      <c r="M149" s="385">
        <f>M132*INDEX(input_data!$L:$L,MATCH(CBAM!$B$5&amp;".in.enp.frt.amc.lpg",input_data!$A:$A,0))</f>
        <v>0</v>
      </c>
      <c r="N149" s="385">
        <f>N132*INDEX(input_data!$L:$L,MATCH(CBAM!$B$5&amp;".in.enp.frt.amc.lpg",input_data!$A:$A,0))</f>
        <v>0</v>
      </c>
      <c r="O149" s="385">
        <f>O132*INDEX(input_data!$L:$L,MATCH(CBAM!$B$5&amp;".in.enp.frt.amc.lpg",input_data!$A:$A,0))</f>
        <v>0</v>
      </c>
      <c r="P149" s="385">
        <f>P132*INDEX(input_data!$L:$L,MATCH(CBAM!$B$5&amp;".in.enp.frt.amc.lpg",input_data!$A:$A,0))</f>
        <v>0</v>
      </c>
      <c r="Q149" s="385">
        <f>Q132*INDEX(input_data!$L:$L,MATCH(CBAM!$B$5&amp;".in.enp.frt.amc.lpg",input_data!$A:$A,0))</f>
        <v>0</v>
      </c>
      <c r="R149" s="385">
        <f>R132*INDEX(input_data!$L:$L,MATCH(CBAM!$B$5&amp;".in.enp.frt.amc.lpg",input_data!$A:$A,0))</f>
        <v>0</v>
      </c>
      <c r="S149" s="385">
        <f>S132*INDEX(input_data!$L:$L,MATCH(CBAM!$B$5&amp;".in.enp.frt.amc.lpg",input_data!$A:$A,0))</f>
        <v>0</v>
      </c>
      <c r="T149" s="385">
        <f>T132*INDEX(input_data!$L:$L,MATCH(CBAM!$B$5&amp;".in.enp.frt.amc.lpg",input_data!$A:$A,0))</f>
        <v>0</v>
      </c>
      <c r="U149" s="385">
        <f>U132*INDEX(input_data!$L:$L,MATCH(CBAM!$B$5&amp;".in.enp.frt.amc.lpg",input_data!$A:$A,0))</f>
        <v>0</v>
      </c>
      <c r="V149" s="385">
        <f>V132*INDEX(input_data!$L:$L,MATCH(CBAM!$B$5&amp;".in.enp.frt.amc.lpg",input_data!$A:$A,0))</f>
        <v>0</v>
      </c>
      <c r="W149" s="385">
        <f>W132*INDEX(input_data!$L:$L,MATCH(CBAM!$B$5&amp;".in.enp.frt.amc.lpg",input_data!$A:$A,0))</f>
        <v>0</v>
      </c>
      <c r="X149" s="385">
        <f>X132*INDEX(input_data!$L:$L,MATCH(CBAM!$B$5&amp;".in.enp.frt.amc.lpg",input_data!$A:$A,0))</f>
        <v>0</v>
      </c>
    </row>
    <row r="150" spans="1:24" ht="15" customHeight="1" x14ac:dyDescent="0.25">
      <c r="A150" s="380" t="str">
        <f>CBAM!$B$5&amp;".pj.enp.frt.amc.bio"</f>
        <v>egy.pj.enp.frt.amc.bio</v>
      </c>
      <c r="B150" s="380" t="str">
        <f>CBAM!$B$5</f>
        <v>egy</v>
      </c>
      <c r="C150" s="380" t="s">
        <v>1275</v>
      </c>
      <c r="D150" s="380" t="s">
        <v>1328</v>
      </c>
      <c r="E150" s="380" t="s">
        <v>330</v>
      </c>
      <c r="F150" s="380" t="s">
        <v>1445</v>
      </c>
      <c r="G150" s="380" t="s">
        <v>1299</v>
      </c>
      <c r="H150" s="380" t="s">
        <v>1464</v>
      </c>
      <c r="I150" s="380" t="s">
        <v>1319</v>
      </c>
      <c r="J150" s="380" t="s">
        <v>1330</v>
      </c>
      <c r="K150" s="380"/>
      <c r="L150" s="380"/>
      <c r="M150" s="385">
        <f>M132*INDEX(input_data!$L:$L,MATCH(CBAM!$B$5&amp;".in.enp.frt.amc.bio",input_data!$A:$A,0))</f>
        <v>0</v>
      </c>
      <c r="N150" s="385">
        <f>N132*INDEX(input_data!$L:$L,MATCH(CBAM!$B$5&amp;".in.enp.frt.amc.bio",input_data!$A:$A,0))</f>
        <v>0</v>
      </c>
      <c r="O150" s="385">
        <f>O132*INDEX(input_data!$L:$L,MATCH(CBAM!$B$5&amp;".in.enp.frt.amc.bio",input_data!$A:$A,0))</f>
        <v>0</v>
      </c>
      <c r="P150" s="385">
        <f>P132*INDEX(input_data!$L:$L,MATCH(CBAM!$B$5&amp;".in.enp.frt.amc.bio",input_data!$A:$A,0))</f>
        <v>0</v>
      </c>
      <c r="Q150" s="385">
        <f>Q132*INDEX(input_data!$L:$L,MATCH(CBAM!$B$5&amp;".in.enp.frt.amc.bio",input_data!$A:$A,0))</f>
        <v>0</v>
      </c>
      <c r="R150" s="385">
        <f>R132*INDEX(input_data!$L:$L,MATCH(CBAM!$B$5&amp;".in.enp.frt.amc.bio",input_data!$A:$A,0))</f>
        <v>0</v>
      </c>
      <c r="S150" s="385">
        <f>S132*INDEX(input_data!$L:$L,MATCH(CBAM!$B$5&amp;".in.enp.frt.amc.bio",input_data!$A:$A,0))</f>
        <v>0</v>
      </c>
      <c r="T150" s="385">
        <f>T132*INDEX(input_data!$L:$L,MATCH(CBAM!$B$5&amp;".in.enp.frt.amc.bio",input_data!$A:$A,0))</f>
        <v>0</v>
      </c>
      <c r="U150" s="385">
        <f>U132*INDEX(input_data!$L:$L,MATCH(CBAM!$B$5&amp;".in.enp.frt.amc.bio",input_data!$A:$A,0))</f>
        <v>0</v>
      </c>
      <c r="V150" s="385">
        <f>V132*INDEX(input_data!$L:$L,MATCH(CBAM!$B$5&amp;".in.enp.frt.amc.bio",input_data!$A:$A,0))</f>
        <v>0</v>
      </c>
      <c r="W150" s="385">
        <f>W132*INDEX(input_data!$L:$L,MATCH(CBAM!$B$5&amp;".in.enp.frt.amc.bio",input_data!$A:$A,0))</f>
        <v>0</v>
      </c>
      <c r="X150" s="385">
        <f>X132*INDEX(input_data!$L:$L,MATCH(CBAM!$B$5&amp;".in.enp.frt.amc.bio",input_data!$A:$A,0))</f>
        <v>0</v>
      </c>
    </row>
    <row r="151" spans="1:24" ht="15" customHeight="1" x14ac:dyDescent="0.25">
      <c r="A151" s="380" t="str">
        <f>CBAM!$B$5&amp;".pj.enp.frt.amc.ren"</f>
        <v>egy.pj.enp.frt.amc.ren</v>
      </c>
      <c r="B151" s="380" t="str">
        <f>CBAM!$B$5</f>
        <v>egy</v>
      </c>
      <c r="C151" s="380" t="s">
        <v>1275</v>
      </c>
      <c r="D151" s="380" t="s">
        <v>1328</v>
      </c>
      <c r="E151" s="380" t="s">
        <v>330</v>
      </c>
      <c r="F151" s="380" t="s">
        <v>1445</v>
      </c>
      <c r="G151" s="380" t="s">
        <v>1301</v>
      </c>
      <c r="H151" s="380" t="s">
        <v>1465</v>
      </c>
      <c r="I151" s="380" t="s">
        <v>1319</v>
      </c>
      <c r="J151" s="380" t="s">
        <v>1330</v>
      </c>
      <c r="K151" s="380"/>
      <c r="L151" s="380"/>
      <c r="M151" s="385">
        <f>M132*INDEX(input_data!$L:$L,MATCH(CBAM!$B$5&amp;".in.enp.frt.amc.ren",input_data!$A:$A,0))</f>
        <v>0</v>
      </c>
      <c r="N151" s="385">
        <f>N132*INDEX(input_data!$L:$L,MATCH(CBAM!$B$5&amp;".in.enp.frt.amc.ren",input_data!$A:$A,0))</f>
        <v>0</v>
      </c>
      <c r="O151" s="385">
        <f>O132*INDEX(input_data!$L:$L,MATCH(CBAM!$B$5&amp;".in.enp.frt.amc.ren",input_data!$A:$A,0))</f>
        <v>0</v>
      </c>
      <c r="P151" s="385">
        <f>P132*INDEX(input_data!$L:$L,MATCH(CBAM!$B$5&amp;".in.enp.frt.amc.ren",input_data!$A:$A,0))</f>
        <v>0</v>
      </c>
      <c r="Q151" s="385">
        <f>Q132*INDEX(input_data!$L:$L,MATCH(CBAM!$B$5&amp;".in.enp.frt.amc.ren",input_data!$A:$A,0))</f>
        <v>0</v>
      </c>
      <c r="R151" s="385">
        <f>R132*INDEX(input_data!$L:$L,MATCH(CBAM!$B$5&amp;".in.enp.frt.amc.ren",input_data!$A:$A,0))</f>
        <v>0</v>
      </c>
      <c r="S151" s="385">
        <f>S132*INDEX(input_data!$L:$L,MATCH(CBAM!$B$5&amp;".in.enp.frt.amc.ren",input_data!$A:$A,0))</f>
        <v>0</v>
      </c>
      <c r="T151" s="385">
        <f>T132*INDEX(input_data!$L:$L,MATCH(CBAM!$B$5&amp;".in.enp.frt.amc.ren",input_data!$A:$A,0))</f>
        <v>0</v>
      </c>
      <c r="U151" s="385">
        <f>U132*INDEX(input_data!$L:$L,MATCH(CBAM!$B$5&amp;".in.enp.frt.amc.ren",input_data!$A:$A,0))</f>
        <v>0</v>
      </c>
      <c r="V151" s="385">
        <f>V132*INDEX(input_data!$L:$L,MATCH(CBAM!$B$5&amp;".in.enp.frt.amc.ren",input_data!$A:$A,0))</f>
        <v>0</v>
      </c>
      <c r="W151" s="385">
        <f>W132*INDEX(input_data!$L:$L,MATCH(CBAM!$B$5&amp;".in.enp.frt.amc.ren",input_data!$A:$A,0))</f>
        <v>0</v>
      </c>
      <c r="X151" s="385">
        <f>X132*INDEX(input_data!$L:$L,MATCH(CBAM!$B$5&amp;".in.enp.frt.amc.ren",input_data!$A:$A,0))</f>
        <v>0</v>
      </c>
    </row>
    <row r="152" spans="1:24" ht="15" customHeight="1" x14ac:dyDescent="0.25">
      <c r="A152" s="380" t="str">
        <f>CBAM!$B$5&amp;".pj.ele.frt.amc.elc"</f>
        <v>egy.pj.ele.frt.amc.elc</v>
      </c>
      <c r="B152" s="380" t="str">
        <f>CBAM!$B$5</f>
        <v>egy</v>
      </c>
      <c r="C152" s="380" t="s">
        <v>1275</v>
      </c>
      <c r="D152" s="380" t="s">
        <v>1338</v>
      </c>
      <c r="E152" s="380" t="s">
        <v>330</v>
      </c>
      <c r="F152" s="380" t="s">
        <v>1445</v>
      </c>
      <c r="G152" s="380" t="s">
        <v>1339</v>
      </c>
      <c r="H152" s="380" t="s">
        <v>1466</v>
      </c>
      <c r="I152" s="380" t="s">
        <v>1319</v>
      </c>
      <c r="J152" s="380" t="s">
        <v>1341</v>
      </c>
      <c r="K152" s="380"/>
      <c r="L152" s="380"/>
      <c r="M152" s="385">
        <f>M132*INDEX(input_data!$L:$L,MATCH(CBAM!$B$5&amp;".in.ele.frt.amc.elc",input_data!$A:$A,0))</f>
        <v>0.36</v>
      </c>
      <c r="N152" s="385">
        <f>N132*INDEX(input_data!$L:$L,MATCH(CBAM!$B$5&amp;".in.ele.frt.amc.elc",input_data!$A:$A,0))</f>
        <v>0.36976749451513446</v>
      </c>
      <c r="O152" s="385">
        <f>O132*INDEX(input_data!$L:$L,MATCH(CBAM!$B$5&amp;".in.ele.frt.amc.elc",input_data!$A:$A,0))</f>
        <v>0.37979999999999992</v>
      </c>
      <c r="P152" s="385">
        <f>P132*INDEX(input_data!$L:$L,MATCH(CBAM!$B$5&amp;".in.ele.frt.amc.elc",input_data!$A:$A,0))</f>
        <v>0.39010470671346675</v>
      </c>
      <c r="Q152" s="385">
        <f>Q132*INDEX(input_data!$L:$L,MATCH(CBAM!$B$5&amp;".in.ele.frt.amc.elc",input_data!$A:$A,0))</f>
        <v>0.40068899999999996</v>
      </c>
      <c r="R152" s="385">
        <f>R132*INDEX(input_data!$L:$L,MATCH(CBAM!$B$5&amp;".in.ele.frt.amc.elc",input_data!$A:$A,0))</f>
        <v>0.41156046558270748</v>
      </c>
      <c r="S152" s="385">
        <f>S132*INDEX(input_data!$L:$L,MATCH(CBAM!$B$5&amp;".in.ele.frt.amc.elc",input_data!$A:$A,0))</f>
        <v>0.42272689499999988</v>
      </c>
      <c r="T152" s="385">
        <f>T132*INDEX(input_data!$L:$L,MATCH(CBAM!$B$5&amp;".in.ele.frt.amc.elc",input_data!$A:$A,0))</f>
        <v>0.43419629118975633</v>
      </c>
      <c r="U152" s="385">
        <f>U132*INDEX(input_data!$L:$L,MATCH(CBAM!$B$5&amp;".in.ele.frt.amc.elc",input_data!$A:$A,0))</f>
        <v>0.44597687422499993</v>
      </c>
      <c r="V152" s="385">
        <f>V132*INDEX(input_data!$L:$L,MATCH(CBAM!$B$5&amp;".in.ele.frt.amc.elc",input_data!$A:$A,0))</f>
        <v>0.45807708720519291</v>
      </c>
      <c r="W152" s="385">
        <f>W132*INDEX(input_data!$L:$L,MATCH(CBAM!$B$5&amp;".in.ele.frt.amc.elc",input_data!$A:$A,0))</f>
        <v>0.47050560230737487</v>
      </c>
      <c r="X152" s="385">
        <f>X132*INDEX(input_data!$L:$L,MATCH(CBAM!$B$5&amp;".in.ele.frt.amc.elc",input_data!$A:$A,0))</f>
        <v>0.48327132700147857</v>
      </c>
    </row>
    <row r="153" spans="1:24" ht="15" customHeight="1" x14ac:dyDescent="0.25">
      <c r="A153" s="380" t="str">
        <f>CBAM!$B$5&amp;".em.sfc.frt.amc.---"</f>
        <v>egy.em.sfc.frt.amc.---</v>
      </c>
      <c r="B153" s="380" t="str">
        <f>CBAM!$B$5</f>
        <v>egy</v>
      </c>
      <c r="C153" s="380" t="s">
        <v>1342</v>
      </c>
      <c r="D153" s="380" t="s">
        <v>1343</v>
      </c>
      <c r="E153" s="380" t="s">
        <v>330</v>
      </c>
      <c r="F153" s="380" t="s">
        <v>1445</v>
      </c>
      <c r="G153" s="380" t="s">
        <v>1277</v>
      </c>
      <c r="H153" s="380" t="s">
        <v>1467</v>
      </c>
      <c r="I153" s="380" t="s">
        <v>1345</v>
      </c>
      <c r="J153" s="380" t="s">
        <v>1346</v>
      </c>
      <c r="K153" s="380"/>
      <c r="L153" s="380"/>
      <c r="M153" s="385">
        <f t="shared" ref="M153:X153" si="9">SUMPRODUCT(M136:M143,M10:M17)/1000</f>
        <v>0.47123999999999999</v>
      </c>
      <c r="N153" s="385">
        <f t="shared" si="9"/>
        <v>0.48402565032031097</v>
      </c>
      <c r="O153" s="385">
        <f t="shared" si="9"/>
        <v>0.49715819999999988</v>
      </c>
      <c r="P153" s="385">
        <f t="shared" si="9"/>
        <v>0.51064706108792801</v>
      </c>
      <c r="Q153" s="385">
        <f t="shared" si="9"/>
        <v>0.52450190099999994</v>
      </c>
      <c r="R153" s="385">
        <f t="shared" si="9"/>
        <v>0.53873264944776411</v>
      </c>
      <c r="S153" s="385">
        <f t="shared" si="9"/>
        <v>0.55334950555499984</v>
      </c>
      <c r="T153" s="385">
        <f t="shared" si="9"/>
        <v>0.56836294516739105</v>
      </c>
      <c r="U153" s="385">
        <f t="shared" si="9"/>
        <v>0.58378372836052494</v>
      </c>
      <c r="V153" s="385">
        <f t="shared" si="9"/>
        <v>0.59962290715159761</v>
      </c>
      <c r="W153" s="385">
        <f t="shared" si="9"/>
        <v>0.6158918334203537</v>
      </c>
      <c r="X153" s="385">
        <f t="shared" si="9"/>
        <v>0.63260216704493544</v>
      </c>
    </row>
    <row r="154" spans="1:24" ht="15" customHeight="1" x14ac:dyDescent="0.25">
      <c r="A154" s="380" t="str">
        <f>CBAM!$B$5&amp;".em.sfp.frt.amc.---"</f>
        <v>egy.em.sfp.frt.amc.---</v>
      </c>
      <c r="B154" s="380" t="str">
        <f>CBAM!$B$5</f>
        <v>egy</v>
      </c>
      <c r="C154" s="380" t="s">
        <v>1342</v>
      </c>
      <c r="D154" s="380" t="s">
        <v>1347</v>
      </c>
      <c r="E154" s="380" t="s">
        <v>330</v>
      </c>
      <c r="F154" s="380" t="s">
        <v>1445</v>
      </c>
      <c r="G154" s="380" t="s">
        <v>1277</v>
      </c>
      <c r="H154" s="380" t="s">
        <v>1468</v>
      </c>
      <c r="I154" s="380" t="s">
        <v>1345</v>
      </c>
      <c r="J154" s="380" t="s">
        <v>1349</v>
      </c>
      <c r="K154" s="380"/>
      <c r="L154" s="380"/>
      <c r="M154" s="385">
        <f t="shared" ref="M154:X154" si="10">SUMPRODUCT(M144:M151,M10:M17)/1000</f>
        <v>1.7503199999999999</v>
      </c>
      <c r="N154" s="385">
        <f t="shared" si="10"/>
        <v>1.7978095583325837</v>
      </c>
      <c r="O154" s="385">
        <f t="shared" si="10"/>
        <v>1.8465875999999999</v>
      </c>
      <c r="P154" s="385">
        <f t="shared" si="10"/>
        <v>1.8966890840408752</v>
      </c>
      <c r="Q154" s="385">
        <f t="shared" si="10"/>
        <v>1.9481499180000001</v>
      </c>
      <c r="R154" s="385">
        <f t="shared" si="10"/>
        <v>2.0010069836631241</v>
      </c>
      <c r="S154" s="385">
        <f t="shared" si="10"/>
        <v>2.0552981634899994</v>
      </c>
      <c r="T154" s="385">
        <f t="shared" si="10"/>
        <v>2.1110623677645952</v>
      </c>
      <c r="U154" s="385">
        <f t="shared" si="10"/>
        <v>2.1683395624819499</v>
      </c>
      <c r="V154" s="385">
        <f t="shared" si="10"/>
        <v>2.2271707979916484</v>
      </c>
      <c r="W154" s="385">
        <f t="shared" si="10"/>
        <v>2.2875982384184566</v>
      </c>
      <c r="X154" s="385">
        <f t="shared" si="10"/>
        <v>2.3496651918811891</v>
      </c>
    </row>
    <row r="155" spans="1:24" ht="15" customHeight="1" x14ac:dyDescent="0.25">
      <c r="A155" s="380" t="str">
        <f>CBAM!$B$5&amp;".em.snp.frt.amc.---"</f>
        <v>egy.em.snp.frt.amc.---</v>
      </c>
      <c r="B155" s="380" t="str">
        <f>CBAM!$B$5</f>
        <v>egy</v>
      </c>
      <c r="C155" s="380" t="s">
        <v>1342</v>
      </c>
      <c r="D155" s="380" t="s">
        <v>1350</v>
      </c>
      <c r="E155" s="380" t="s">
        <v>330</v>
      </c>
      <c r="F155" s="380" t="s">
        <v>1445</v>
      </c>
      <c r="G155" s="380" t="s">
        <v>1277</v>
      </c>
      <c r="H155" s="380" t="s">
        <v>1469</v>
      </c>
      <c r="I155" s="380" t="s">
        <v>1345</v>
      </c>
      <c r="J155" s="380" t="s">
        <v>1352</v>
      </c>
      <c r="K155" s="380"/>
      <c r="L155" s="380"/>
      <c r="M155" s="385">
        <f>M132*INDEX(input_data!$L:$L,MATCH(CBAM!$B$5&amp;".in.efn.frt.amc.---",input_data!$A:$A,0))</f>
        <v>0</v>
      </c>
      <c r="N155" s="385">
        <f>N132*INDEX(input_data!$L:$L,MATCH(CBAM!$B$5&amp;".in.efn.frt.amc.---",input_data!$A:$A,0))</f>
        <v>0</v>
      </c>
      <c r="O155" s="385">
        <f>O132*INDEX(input_data!$L:$L,MATCH(CBAM!$B$5&amp;".in.efn.frt.amc.---",input_data!$A:$A,0))</f>
        <v>0</v>
      </c>
      <c r="P155" s="385">
        <f>P132*INDEX(input_data!$L:$L,MATCH(CBAM!$B$5&amp;".in.efn.frt.amc.---",input_data!$A:$A,0))</f>
        <v>0</v>
      </c>
      <c r="Q155" s="385">
        <f>Q132*INDEX(input_data!$L:$L,MATCH(CBAM!$B$5&amp;".in.efn.frt.amc.---",input_data!$A:$A,0))</f>
        <v>0</v>
      </c>
      <c r="R155" s="385">
        <f>R132*INDEX(input_data!$L:$L,MATCH(CBAM!$B$5&amp;".in.efn.frt.amc.---",input_data!$A:$A,0))</f>
        <v>0</v>
      </c>
      <c r="S155" s="385">
        <f>S132*INDEX(input_data!$L:$L,MATCH(CBAM!$B$5&amp;".in.efn.frt.amc.---",input_data!$A:$A,0))</f>
        <v>0</v>
      </c>
      <c r="T155" s="385">
        <f>T132*INDEX(input_data!$L:$L,MATCH(CBAM!$B$5&amp;".in.efn.frt.amc.---",input_data!$A:$A,0))</f>
        <v>0</v>
      </c>
      <c r="U155" s="385">
        <f>U132*INDEX(input_data!$L:$L,MATCH(CBAM!$B$5&amp;".in.efn.frt.amc.---",input_data!$A:$A,0))</f>
        <v>0</v>
      </c>
      <c r="V155" s="385">
        <f>V132*INDEX(input_data!$L:$L,MATCH(CBAM!$B$5&amp;".in.efn.frt.amc.---",input_data!$A:$A,0))</f>
        <v>0</v>
      </c>
      <c r="W155" s="385">
        <f>W132*INDEX(input_data!$L:$L,MATCH(CBAM!$B$5&amp;".in.efn.frt.amc.---",input_data!$A:$A,0))</f>
        <v>0</v>
      </c>
      <c r="X155" s="385">
        <f>X132*INDEX(input_data!$L:$L,MATCH(CBAM!$B$5&amp;".in.efn.frt.amc.---",input_data!$A:$A,0))</f>
        <v>0</v>
      </c>
    </row>
    <row r="156" spans="1:24" ht="15" customHeight="1" x14ac:dyDescent="0.25">
      <c r="A156" s="380" t="str">
        <f>CBAM!$B$5&amp;".em.sno.frt.amc.---"</f>
        <v>egy.em.sno.frt.amc.---</v>
      </c>
      <c r="B156" s="380" t="str">
        <f>CBAM!$B$5</f>
        <v>egy</v>
      </c>
      <c r="C156" s="380" t="s">
        <v>1342</v>
      </c>
      <c r="D156" s="380" t="s">
        <v>1353</v>
      </c>
      <c r="E156" s="380" t="s">
        <v>330</v>
      </c>
      <c r="F156" s="380" t="s">
        <v>1445</v>
      </c>
      <c r="G156" s="380" t="s">
        <v>1277</v>
      </c>
      <c r="H156" s="380" t="s">
        <v>1470</v>
      </c>
      <c r="I156" s="380" t="s">
        <v>1355</v>
      </c>
      <c r="J156" s="380" t="s">
        <v>1356</v>
      </c>
      <c r="K156" s="380"/>
      <c r="L156" s="380"/>
      <c r="M156" s="385">
        <f>M132*INDEX(input_data!$L:$L,MATCH(CBAM!$B$5&amp;".in.efo.frt.amc.---",input_data!$A:$A,0))</f>
        <v>0</v>
      </c>
      <c r="N156" s="385">
        <f>N132*INDEX(input_data!$L:$L,MATCH(CBAM!$B$5&amp;".in.efo.frt.amc.---",input_data!$A:$A,0))</f>
        <v>0</v>
      </c>
      <c r="O156" s="385">
        <f>O132*INDEX(input_data!$L:$L,MATCH(CBAM!$B$5&amp;".in.efo.frt.amc.---",input_data!$A:$A,0))</f>
        <v>0</v>
      </c>
      <c r="P156" s="385">
        <f>P132*INDEX(input_data!$L:$L,MATCH(CBAM!$B$5&amp;".in.efo.frt.amc.---",input_data!$A:$A,0))</f>
        <v>0</v>
      </c>
      <c r="Q156" s="385">
        <f>Q132*INDEX(input_data!$L:$L,MATCH(CBAM!$B$5&amp;".in.efo.frt.amc.---",input_data!$A:$A,0))</f>
        <v>0</v>
      </c>
      <c r="R156" s="385">
        <f>R132*INDEX(input_data!$L:$L,MATCH(CBAM!$B$5&amp;".in.efo.frt.amc.---",input_data!$A:$A,0))</f>
        <v>0</v>
      </c>
      <c r="S156" s="385">
        <f>S132*INDEX(input_data!$L:$L,MATCH(CBAM!$B$5&amp;".in.efo.frt.amc.---",input_data!$A:$A,0))</f>
        <v>0</v>
      </c>
      <c r="T156" s="385">
        <f>T132*INDEX(input_data!$L:$L,MATCH(CBAM!$B$5&amp;".in.efo.frt.amc.---",input_data!$A:$A,0))</f>
        <v>0</v>
      </c>
      <c r="U156" s="385">
        <f>U132*INDEX(input_data!$L:$L,MATCH(CBAM!$B$5&amp;".in.efo.frt.amc.---",input_data!$A:$A,0))</f>
        <v>0</v>
      </c>
      <c r="V156" s="385">
        <f>V132*INDEX(input_data!$L:$L,MATCH(CBAM!$B$5&amp;".in.efo.frt.amc.---",input_data!$A:$A,0))</f>
        <v>0</v>
      </c>
      <c r="W156" s="385">
        <f>W132*INDEX(input_data!$L:$L,MATCH(CBAM!$B$5&amp;".in.efo.frt.amc.---",input_data!$A:$A,0))</f>
        <v>0</v>
      </c>
      <c r="X156" s="385">
        <f>X132*INDEX(input_data!$L:$L,MATCH(CBAM!$B$5&amp;".in.efo.frt.amc.---",input_data!$A:$A,0))</f>
        <v>0</v>
      </c>
    </row>
    <row r="157" spans="1:24" ht="15" customHeight="1" x14ac:dyDescent="0.25">
      <c r="A157" s="380" t="str">
        <f>CBAM!$B$5&amp;".em.s2e.frt.amc.elc"</f>
        <v>egy.em.s2e.frt.amc.elc</v>
      </c>
      <c r="B157" s="380" t="str">
        <f>CBAM!$B$5</f>
        <v>egy</v>
      </c>
      <c r="C157" s="380" t="s">
        <v>1342</v>
      </c>
      <c r="D157" s="380" t="s">
        <v>1357</v>
      </c>
      <c r="E157" s="380" t="s">
        <v>330</v>
      </c>
      <c r="F157" s="380" t="s">
        <v>1445</v>
      </c>
      <c r="G157" s="380" t="s">
        <v>1339</v>
      </c>
      <c r="H157" s="380" t="s">
        <v>1471</v>
      </c>
      <c r="I157" s="380" t="s">
        <v>1345</v>
      </c>
      <c r="J157" s="380" t="s">
        <v>1359</v>
      </c>
      <c r="K157" s="380"/>
      <c r="L157" s="380"/>
      <c r="M157" s="385">
        <f>M152*INDEX(input_data!$M:$X,MATCH(CBAM!$B$5&amp;".in.gef.---.---.---",input_data!$A:$A,0),COLUMNS($M:M))/3.6</f>
        <v>5.0999999999999997E-2</v>
      </c>
      <c r="N157" s="385">
        <f>N152*INDEX(input_data!$M:$X,MATCH(CBAM!$B$5&amp;".in.gef.---.---.---",input_data!$A:$A,0),COLUMNS($M:N))/3.6</f>
        <v>5.135659646043534E-2</v>
      </c>
      <c r="O157" s="385">
        <f>O152*INDEX(input_data!$M:$X,MATCH(CBAM!$B$5&amp;".in.gef.---.---.---",input_data!$A:$A,0),COLUMNS($M:O))/3.6</f>
        <v>5.1694999999999991E-2</v>
      </c>
      <c r="P157" s="385">
        <f>P152*INDEX(input_data!$M:$X,MATCH(CBAM!$B$5&amp;".in.gef.---.---.---",input_data!$A:$A,0),COLUMNS($M:P))/3.6</f>
        <v>5.2013960895128893E-2</v>
      </c>
      <c r="Q157" s="385">
        <f>Q152*INDEX(input_data!$M:$X,MATCH(CBAM!$B$5&amp;".in.gef.---.---.---",input_data!$A:$A,0),COLUMNS($M:Q))/3.6</f>
        <v>5.2312174999999989E-2</v>
      </c>
      <c r="R157" s="385">
        <f>R152*INDEX(input_data!$M:$X,MATCH(CBAM!$B$5&amp;".in.gef.---.---.---",input_data!$A:$A,0),COLUMNS($M:R))/3.6</f>
        <v>5.2588281713345952E-2</v>
      </c>
      <c r="S157" s="385">
        <f>S152*INDEX(input_data!$M:$X,MATCH(CBAM!$B$5&amp;".in.gef.---.---.---",input_data!$A:$A,0),COLUMNS($M:S))/3.6</f>
        <v>5.2840861874999985E-2</v>
      </c>
      <c r="T157" s="385">
        <f>T152*INDEX(input_data!$M:$X,MATCH(CBAM!$B$5&amp;".in.gef.---.---.---",input_data!$A:$A,0),COLUMNS($M:T))/3.6</f>
        <v>5.306843558985911E-2</v>
      </c>
      <c r="U157" s="385">
        <f>U152*INDEX(input_data!$M:$X,MATCH(CBAM!$B$5&amp;".in.gef.---.---.---",input_data!$A:$A,0),COLUMNS($M:U))/3.6</f>
        <v>5.3269459976874989E-2</v>
      </c>
      <c r="V157" s="385">
        <f>V152*INDEX(input_data!$M:$X,MATCH(CBAM!$B$5&amp;".in.gef.---.---.---",input_data!$A:$A,0),COLUMNS($M:V))/3.6</f>
        <v>5.344232684060584E-2</v>
      </c>
      <c r="W157" s="385">
        <f>W152*INDEX(input_data!$M:$X,MATCH(CBAM!$B$5&amp;".in.gef.---.---.---",input_data!$A:$A,0),COLUMNS($M:W))/3.6</f>
        <v>5.3585360262784355E-2</v>
      </c>
      <c r="X157" s="385">
        <f>X152*INDEX(input_data!$M:$X,MATCH(CBAM!$B$5&amp;".in.gef.---.---.---",input_data!$A:$A,0),COLUMNS($M:X))/3.6</f>
        <v>5.3696814111275394E-2</v>
      </c>
    </row>
    <row r="159" spans="1:24" ht="21.75" customHeight="1" x14ac:dyDescent="0.25">
      <c r="A159" s="12" t="s">
        <v>1472</v>
      </c>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spans="1:24" ht="15" customHeight="1" x14ac:dyDescent="0.25">
      <c r="A160" s="380" t="str">
        <f>CBAM!$B$5&amp;".pj.prd.frt.ure.---"</f>
        <v>egy.pj.prd.frt.ure.---</v>
      </c>
      <c r="B160" s="380" t="str">
        <f>CBAM!$B$5</f>
        <v>egy</v>
      </c>
      <c r="C160" s="380" t="s">
        <v>1275</v>
      </c>
      <c r="D160" s="380" t="s">
        <v>1304</v>
      </c>
      <c r="E160" s="380" t="s">
        <v>330</v>
      </c>
      <c r="F160" s="380" t="s">
        <v>1473</v>
      </c>
      <c r="G160" s="380" t="s">
        <v>1277</v>
      </c>
      <c r="H160" s="380" t="s">
        <v>1474</v>
      </c>
      <c r="I160" s="380" t="s">
        <v>1307</v>
      </c>
      <c r="J160" s="380" t="s">
        <v>1308</v>
      </c>
      <c r="K160" s="380"/>
      <c r="L160" s="380"/>
      <c r="M160" s="385">
        <f>IFERROR(INDEX(input_data!$L:$L,MATCH(CBAM!$B$5&amp;".in.prb.frt.ure.---",input_data!$A:$A,0))*POWER(M7,INDEX(input_data!$L:$L,MATCH(CBAM!$B$5&amp;".in.els.frt.ure.---",input_data!$A:$A,0))),0)</f>
        <v>1.4</v>
      </c>
      <c r="N160" s="385">
        <f>IFERROR(INDEX(input_data!$L:$L,MATCH(CBAM!$B$5&amp;".in.prb.frt.ure.---",input_data!$A:$A,0))*POWER(N7,INDEX(input_data!$L:$L,MATCH(CBAM!$B$5&amp;".in.els.frt.ure.---",input_data!$A:$A,0))),0)</f>
        <v>1.4379847008921895</v>
      </c>
      <c r="O160" s="385">
        <f>IFERROR(INDEX(input_data!$L:$L,MATCH(CBAM!$B$5&amp;".in.prb.frt.ure.---",input_data!$A:$A,0))*POWER(O7,INDEX(input_data!$L:$L,MATCH(CBAM!$B$5&amp;".in.els.frt.ure.---",input_data!$A:$A,0))),0)</f>
        <v>1.4769999999999999</v>
      </c>
      <c r="P160" s="385">
        <f>IFERROR(INDEX(input_data!$L:$L,MATCH(CBAM!$B$5&amp;".in.prb.frt.ure.---",input_data!$A:$A,0))*POWER(P7,INDEX(input_data!$L:$L,MATCH(CBAM!$B$5&amp;".in.els.frt.ure.---",input_data!$A:$A,0))),0)</f>
        <v>1.5170738594412596</v>
      </c>
      <c r="Q160" s="385">
        <f>IFERROR(INDEX(input_data!$L:$L,MATCH(CBAM!$B$5&amp;".in.prb.frt.ure.---",input_data!$A:$A,0))*POWER(Q7,INDEX(input_data!$L:$L,MATCH(CBAM!$B$5&amp;".in.els.frt.ure.---",input_data!$A:$A,0))),0)</f>
        <v>1.5582349999999998</v>
      </c>
      <c r="R160" s="385">
        <f>IFERROR(INDEX(input_data!$L:$L,MATCH(CBAM!$B$5&amp;".in.prb.frt.ure.---",input_data!$A:$A,0))*POWER(R7,INDEX(input_data!$L:$L,MATCH(CBAM!$B$5&amp;".in.els.frt.ure.---",input_data!$A:$A,0))),0)</f>
        <v>1.6005129217105289</v>
      </c>
      <c r="S160" s="385">
        <f>IFERROR(INDEX(input_data!$L:$L,MATCH(CBAM!$B$5&amp;".in.prb.frt.ure.---",input_data!$A:$A,0))*POWER(S7,INDEX(input_data!$L:$L,MATCH(CBAM!$B$5&amp;".in.els.frt.ure.---",input_data!$A:$A,0))),0)</f>
        <v>1.6439379249999997</v>
      </c>
      <c r="T160" s="385">
        <f>IFERROR(INDEX(input_data!$L:$L,MATCH(CBAM!$B$5&amp;".in.prb.frt.ure.---",input_data!$A:$A,0))*POWER(T7,INDEX(input_data!$L:$L,MATCH(CBAM!$B$5&amp;".in.els.frt.ure.---",input_data!$A:$A,0))),0)</f>
        <v>1.688541132404608</v>
      </c>
      <c r="U160" s="385">
        <f>IFERROR(INDEX(input_data!$L:$L,MATCH(CBAM!$B$5&amp;".in.prb.frt.ure.---",input_data!$A:$A,0))*POWER(U7,INDEX(input_data!$L:$L,MATCH(CBAM!$B$5&amp;".in.els.frt.ure.---",input_data!$A:$A,0))),0)</f>
        <v>1.7343545108749996</v>
      </c>
      <c r="V160" s="385">
        <f>IFERROR(INDEX(input_data!$L:$L,MATCH(CBAM!$B$5&amp;".in.prb.frt.ure.---",input_data!$A:$A,0))*POWER(V7,INDEX(input_data!$L:$L,MATCH(CBAM!$B$5&amp;".in.els.frt.ure.---",input_data!$A:$A,0))),0)</f>
        <v>1.7814108946868614</v>
      </c>
      <c r="W160" s="385">
        <f>IFERROR(INDEX(input_data!$L:$L,MATCH(CBAM!$B$5&amp;".in.prb.frt.ure.---",input_data!$A:$A,0))*POWER(W7,INDEX(input_data!$L:$L,MATCH(CBAM!$B$5&amp;".in.els.frt.ure.---",input_data!$A:$A,0))),0)</f>
        <v>1.8297440089731245</v>
      </c>
      <c r="X160" s="385">
        <f>IFERROR(INDEX(input_data!$L:$L,MATCH(CBAM!$B$5&amp;".in.prb.frt.ure.---",input_data!$A:$A,0))*POWER(X7,INDEX(input_data!$L:$L,MATCH(CBAM!$B$5&amp;".in.els.frt.ure.---",input_data!$A:$A,0))),0)</f>
        <v>1.8793884938946388</v>
      </c>
    </row>
    <row r="161" spans="1:24" ht="15" customHeight="1" x14ac:dyDescent="0.25">
      <c r="A161" s="380" t="str">
        <f>CBAM!$B$5&amp;".pj.eux.frt.ure.---"</f>
        <v>egy.pj.eux.frt.ure.---</v>
      </c>
      <c r="B161" s="380" t="str">
        <f>CBAM!$B$5</f>
        <v>egy</v>
      </c>
      <c r="C161" s="380" t="s">
        <v>1275</v>
      </c>
      <c r="D161" s="380" t="s">
        <v>1309</v>
      </c>
      <c r="E161" s="380" t="s">
        <v>330</v>
      </c>
      <c r="F161" s="380" t="s">
        <v>1473</v>
      </c>
      <c r="G161" s="380" t="s">
        <v>1277</v>
      </c>
      <c r="H161" s="380" t="s">
        <v>1475</v>
      </c>
      <c r="I161" s="380" t="s">
        <v>1307</v>
      </c>
      <c r="J161" s="380" t="s">
        <v>1311</v>
      </c>
      <c r="K161" s="380"/>
      <c r="L161" s="380"/>
      <c r="M161" s="385">
        <f>M160*INDEX(input_data!$L:$L,MATCH(CBAM!$B$5&amp;".in.exe.frt.ure.---",input_data!$A:$A,0))</f>
        <v>0.308</v>
      </c>
      <c r="N161" s="385">
        <f>N160*INDEX(input_data!$L:$L,MATCH(CBAM!$B$5&amp;".in.exe.frt.ure.---",input_data!$A:$A,0))</f>
        <v>0.31635663419628168</v>
      </c>
      <c r="O161" s="385">
        <f>O160*INDEX(input_data!$L:$L,MATCH(CBAM!$B$5&amp;".in.exe.frt.ure.---",input_data!$A:$A,0))</f>
        <v>0.32493999999999995</v>
      </c>
      <c r="P161" s="385">
        <f>P160*INDEX(input_data!$L:$L,MATCH(CBAM!$B$5&amp;".in.exe.frt.ure.---",input_data!$A:$A,0))</f>
        <v>0.33375624907707713</v>
      </c>
      <c r="Q161" s="385">
        <f>Q160*INDEX(input_data!$L:$L,MATCH(CBAM!$B$5&amp;".in.exe.frt.ure.---",input_data!$A:$A,0))</f>
        <v>0.34281169999999994</v>
      </c>
      <c r="R161" s="385">
        <f>R160*INDEX(input_data!$L:$L,MATCH(CBAM!$B$5&amp;".in.exe.frt.ure.---",input_data!$A:$A,0))</f>
        <v>0.35211284277631638</v>
      </c>
      <c r="S161" s="385">
        <f>S160*INDEX(input_data!$L:$L,MATCH(CBAM!$B$5&amp;".in.exe.frt.ure.---",input_data!$A:$A,0))</f>
        <v>0.36166634349999993</v>
      </c>
      <c r="T161" s="385">
        <f>T160*INDEX(input_data!$L:$L,MATCH(CBAM!$B$5&amp;".in.exe.frt.ure.---",input_data!$A:$A,0))</f>
        <v>0.37147904912901375</v>
      </c>
      <c r="U161" s="385">
        <f>U160*INDEX(input_data!$L:$L,MATCH(CBAM!$B$5&amp;".in.exe.frt.ure.---",input_data!$A:$A,0))</f>
        <v>0.38155799239249993</v>
      </c>
      <c r="V161" s="385">
        <f>V160*INDEX(input_data!$L:$L,MATCH(CBAM!$B$5&amp;".in.exe.frt.ure.---",input_data!$A:$A,0))</f>
        <v>0.39191039683110951</v>
      </c>
      <c r="W161" s="385">
        <f>W160*INDEX(input_data!$L:$L,MATCH(CBAM!$B$5&amp;".in.exe.frt.ure.---",input_data!$A:$A,0))</f>
        <v>0.40254368197408741</v>
      </c>
      <c r="X161" s="385">
        <f>X160*INDEX(input_data!$L:$L,MATCH(CBAM!$B$5&amp;".in.exe.frt.ure.---",input_data!$A:$A,0))</f>
        <v>0.41346546865682055</v>
      </c>
    </row>
    <row r="162" spans="1:24" ht="15" customHeight="1" x14ac:dyDescent="0.25">
      <c r="A162" s="380" t="str">
        <f>CBAM!$B$5&amp;".pj.nex.frt.ure.---"</f>
        <v>egy.pj.nex.frt.ure.---</v>
      </c>
      <c r="B162" s="380" t="str">
        <f>CBAM!$B$5</f>
        <v>egy</v>
      </c>
      <c r="C162" s="380" t="s">
        <v>1275</v>
      </c>
      <c r="D162" s="380" t="s">
        <v>1312</v>
      </c>
      <c r="E162" s="380" t="s">
        <v>330</v>
      </c>
      <c r="F162" s="380" t="s">
        <v>1473</v>
      </c>
      <c r="G162" s="380" t="s">
        <v>1277</v>
      </c>
      <c r="H162" s="380" t="s">
        <v>1476</v>
      </c>
      <c r="I162" s="380" t="s">
        <v>1307</v>
      </c>
      <c r="J162" s="380" t="s">
        <v>1314</v>
      </c>
      <c r="K162" s="380"/>
      <c r="L162" s="380"/>
      <c r="M162" s="385">
        <f>M160*(INDEX(input_data!$L:$L,MATCH(CBAM!$B$5&amp;".in.ext.frt.ure.---",input_data!$A:$A,0))-INDEX(input_data!$L:$L,MATCH(CBAM!$B$5&amp;".in.exe.frt.ure.---",input_data!$A:$A,0)))</f>
        <v>0.252</v>
      </c>
      <c r="N162" s="385">
        <f>N160*(INDEX(input_data!$L:$L,MATCH(CBAM!$B$5&amp;".in.ext.frt.ure.---",input_data!$A:$A,0))-INDEX(input_data!$L:$L,MATCH(CBAM!$B$5&amp;".in.exe.frt.ure.---",input_data!$A:$A,0)))</f>
        <v>0.25883724616059417</v>
      </c>
      <c r="O162" s="385">
        <f>O160*(INDEX(input_data!$L:$L,MATCH(CBAM!$B$5&amp;".in.ext.frt.ure.---",input_data!$A:$A,0))-INDEX(input_data!$L:$L,MATCH(CBAM!$B$5&amp;".in.exe.frt.ure.---",input_data!$A:$A,0)))</f>
        <v>0.26585999999999999</v>
      </c>
      <c r="P162" s="385">
        <f>P160*(INDEX(input_data!$L:$L,MATCH(CBAM!$B$5&amp;".in.ext.frt.ure.---",input_data!$A:$A,0))-INDEX(input_data!$L:$L,MATCH(CBAM!$B$5&amp;".in.exe.frt.ure.---",input_data!$A:$A,0)))</f>
        <v>0.27307329469942676</v>
      </c>
      <c r="Q162" s="385">
        <f>Q160*(INDEX(input_data!$L:$L,MATCH(CBAM!$B$5&amp;".in.ext.frt.ure.---",input_data!$A:$A,0))-INDEX(input_data!$L:$L,MATCH(CBAM!$B$5&amp;".in.exe.frt.ure.---",input_data!$A:$A,0)))</f>
        <v>0.28048230000000002</v>
      </c>
      <c r="R162" s="385">
        <f>R160*(INDEX(input_data!$L:$L,MATCH(CBAM!$B$5&amp;".in.ext.frt.ure.---",input_data!$A:$A,0))-INDEX(input_data!$L:$L,MATCH(CBAM!$B$5&amp;".in.exe.frt.ure.---",input_data!$A:$A,0)))</f>
        <v>0.28809232590789524</v>
      </c>
      <c r="S162" s="385">
        <f>S160*(INDEX(input_data!$L:$L,MATCH(CBAM!$B$5&amp;".in.ext.frt.ure.---",input_data!$A:$A,0))-INDEX(input_data!$L:$L,MATCH(CBAM!$B$5&amp;".in.exe.frt.ure.---",input_data!$A:$A,0)))</f>
        <v>0.2959088265</v>
      </c>
      <c r="T162" s="385">
        <f>T160*(INDEX(input_data!$L:$L,MATCH(CBAM!$B$5&amp;".in.ext.frt.ure.---",input_data!$A:$A,0))-INDEX(input_data!$L:$L,MATCH(CBAM!$B$5&amp;".in.exe.frt.ure.---",input_data!$A:$A,0)))</f>
        <v>0.30393740383282947</v>
      </c>
      <c r="U162" s="385">
        <f>U160*(INDEX(input_data!$L:$L,MATCH(CBAM!$B$5&amp;".in.ext.frt.ure.---",input_data!$A:$A,0))-INDEX(input_data!$L:$L,MATCH(CBAM!$B$5&amp;".in.exe.frt.ure.---",input_data!$A:$A,0)))</f>
        <v>0.31218381195749995</v>
      </c>
      <c r="V162" s="385">
        <f>V160*(INDEX(input_data!$L:$L,MATCH(CBAM!$B$5&amp;".in.ext.frt.ure.---",input_data!$A:$A,0))-INDEX(input_data!$L:$L,MATCH(CBAM!$B$5&amp;".in.exe.frt.ure.---",input_data!$A:$A,0)))</f>
        <v>0.32065396104363508</v>
      </c>
      <c r="W162" s="385">
        <f>W160*(INDEX(input_data!$L:$L,MATCH(CBAM!$B$5&amp;".in.ext.frt.ure.---",input_data!$A:$A,0))-INDEX(input_data!$L:$L,MATCH(CBAM!$B$5&amp;".in.exe.frt.ure.---",input_data!$A:$A,0)))</f>
        <v>0.32935392161516247</v>
      </c>
      <c r="X162" s="385">
        <f>X160*(INDEX(input_data!$L:$L,MATCH(CBAM!$B$5&amp;".in.ext.frt.ure.---",input_data!$A:$A,0))-INDEX(input_data!$L:$L,MATCH(CBAM!$B$5&amp;".in.exe.frt.ure.---",input_data!$A:$A,0)))</f>
        <v>0.33828992890103504</v>
      </c>
    </row>
    <row r="163" spans="1:24" ht="15" customHeight="1" x14ac:dyDescent="0.25">
      <c r="A163" s="380" t="str">
        <f>CBAM!$B$5&amp;".pj.dom.frt.ure.---"</f>
        <v>egy.pj.dom.frt.ure.---</v>
      </c>
      <c r="B163" s="380" t="str">
        <f>CBAM!$B$5</f>
        <v>egy</v>
      </c>
      <c r="C163" s="380" t="s">
        <v>1275</v>
      </c>
      <c r="D163" s="380" t="s">
        <v>1267</v>
      </c>
      <c r="E163" s="380" t="s">
        <v>330</v>
      </c>
      <c r="F163" s="380" t="s">
        <v>1473</v>
      </c>
      <c r="G163" s="380" t="s">
        <v>1277</v>
      </c>
      <c r="H163" s="380" t="s">
        <v>1477</v>
      </c>
      <c r="I163" s="380" t="s">
        <v>1307</v>
      </c>
      <c r="J163" s="380" t="s">
        <v>1316</v>
      </c>
      <c r="K163" s="380"/>
      <c r="L163" s="380"/>
      <c r="M163" s="385">
        <f>M160*(1-INDEX(input_data!$L:$L,MATCH(CBAM!$B$5&amp;".in.ext.frt.ure.---",input_data!$A:$A,0)))*(1+INDEX(input_data!$L:$L,MATCH(CBAM!$B$5&amp;".in.imp.frt.ure.---",input_data!$A:$A,0)))</f>
        <v>0.88200000000000001</v>
      </c>
      <c r="N163" s="385">
        <f>N160*(1-INDEX(input_data!$L:$L,MATCH(CBAM!$B$5&amp;".in.ext.frt.ure.---",input_data!$A:$A,0)))*(1+INDEX(input_data!$L:$L,MATCH(CBAM!$B$5&amp;".in.imp.frt.ure.---",input_data!$A:$A,0)))</f>
        <v>0.90593036156207951</v>
      </c>
      <c r="O163" s="385">
        <f>O160*(1-INDEX(input_data!$L:$L,MATCH(CBAM!$B$5&amp;".in.ext.frt.ure.---",input_data!$A:$A,0)))*(1+INDEX(input_data!$L:$L,MATCH(CBAM!$B$5&amp;".in.imp.frt.ure.---",input_data!$A:$A,0)))</f>
        <v>0.93050999999999995</v>
      </c>
      <c r="P163" s="385">
        <f>P160*(1-INDEX(input_data!$L:$L,MATCH(CBAM!$B$5&amp;".in.ext.frt.ure.---",input_data!$A:$A,0)))*(1+INDEX(input_data!$L:$L,MATCH(CBAM!$B$5&amp;".in.imp.frt.ure.---",input_data!$A:$A,0)))</f>
        <v>0.95575653144799355</v>
      </c>
      <c r="Q163" s="385">
        <f>Q160*(1-INDEX(input_data!$L:$L,MATCH(CBAM!$B$5&amp;".in.ext.frt.ure.---",input_data!$A:$A,0)))*(1+INDEX(input_data!$L:$L,MATCH(CBAM!$B$5&amp;".in.imp.frt.ure.---",input_data!$A:$A,0)))</f>
        <v>0.98168804999999981</v>
      </c>
      <c r="R163" s="385">
        <f>R160*(1-INDEX(input_data!$L:$L,MATCH(CBAM!$B$5&amp;".in.ext.frt.ure.---",input_data!$A:$A,0)))*(1+INDEX(input_data!$L:$L,MATCH(CBAM!$B$5&amp;".in.imp.frt.ure.---",input_data!$A:$A,0)))</f>
        <v>1.0083231406776332</v>
      </c>
      <c r="S163" s="385">
        <f>S160*(1-INDEX(input_data!$L:$L,MATCH(CBAM!$B$5&amp;".in.ext.frt.ure.---",input_data!$A:$A,0)))*(1+INDEX(input_data!$L:$L,MATCH(CBAM!$B$5&amp;".in.imp.frt.ure.---",input_data!$A:$A,0)))</f>
        <v>1.0356808927499999</v>
      </c>
      <c r="T163" s="385">
        <f>T160*(1-INDEX(input_data!$L:$L,MATCH(CBAM!$B$5&amp;".in.ext.frt.ure.---",input_data!$A:$A,0)))*(1+INDEX(input_data!$L:$L,MATCH(CBAM!$B$5&amp;".in.imp.frt.ure.---",input_data!$A:$A,0)))</f>
        <v>1.0637809134149032</v>
      </c>
      <c r="U163" s="385">
        <f>U160*(1-INDEX(input_data!$L:$L,MATCH(CBAM!$B$5&amp;".in.ext.frt.ure.---",input_data!$A:$A,0)))*(1+INDEX(input_data!$L:$L,MATCH(CBAM!$B$5&amp;".in.imp.frt.ure.---",input_data!$A:$A,0)))</f>
        <v>1.0926433418512498</v>
      </c>
      <c r="V163" s="385">
        <f>V160*(1-INDEX(input_data!$L:$L,MATCH(CBAM!$B$5&amp;".in.ext.frt.ure.---",input_data!$A:$A,0)))*(1+INDEX(input_data!$L:$L,MATCH(CBAM!$B$5&amp;".in.imp.frt.ure.---",input_data!$A:$A,0)))</f>
        <v>1.1222888636527226</v>
      </c>
      <c r="W163" s="385">
        <f>W160*(1-INDEX(input_data!$L:$L,MATCH(CBAM!$B$5&amp;".in.ext.frt.ure.---",input_data!$A:$A,0)))*(1+INDEX(input_data!$L:$L,MATCH(CBAM!$B$5&amp;".in.imp.frt.ure.---",input_data!$A:$A,0)))</f>
        <v>1.1527387256530683</v>
      </c>
      <c r="X163" s="385">
        <f>X160*(1-INDEX(input_data!$L:$L,MATCH(CBAM!$B$5&amp;".in.ext.frt.ure.---",input_data!$A:$A,0)))*(1+INDEX(input_data!$L:$L,MATCH(CBAM!$B$5&amp;".in.imp.frt.ure.---",input_data!$A:$A,0)))</f>
        <v>1.1840147511536225</v>
      </c>
    </row>
    <row r="164" spans="1:24" ht="15" customHeight="1" x14ac:dyDescent="0.25">
      <c r="A164" s="380" t="str">
        <f>CBAM!$B$5&amp;".pj.enc.frt.ure.coa"</f>
        <v>egy.pj.enc.frt.ure.coa</v>
      </c>
      <c r="B164" s="380" t="str">
        <f>CBAM!$B$5</f>
        <v>egy</v>
      </c>
      <c r="C164" s="380" t="s">
        <v>1275</v>
      </c>
      <c r="D164" s="380" t="s">
        <v>1317</v>
      </c>
      <c r="E164" s="380" t="s">
        <v>330</v>
      </c>
      <c r="F164" s="380" t="s">
        <v>1473</v>
      </c>
      <c r="G164" s="380" t="s">
        <v>757</v>
      </c>
      <c r="H164" s="380" t="s">
        <v>1478</v>
      </c>
      <c r="I164" s="380" t="s">
        <v>1319</v>
      </c>
      <c r="J164" s="380" t="s">
        <v>1320</v>
      </c>
      <c r="K164" s="380"/>
      <c r="L164" s="380"/>
      <c r="M164" s="385">
        <f>M160*INDEX(input_data!$L:$L,MATCH(CBAM!$B$5&amp;".in.enc.frt.ure.coa",input_data!$A:$A,0))</f>
        <v>0</v>
      </c>
      <c r="N164" s="385">
        <f>N160*INDEX(input_data!$L:$L,MATCH(CBAM!$B$5&amp;".in.enc.frt.ure.coa",input_data!$A:$A,0))</f>
        <v>0</v>
      </c>
      <c r="O164" s="385">
        <f>O160*INDEX(input_data!$L:$L,MATCH(CBAM!$B$5&amp;".in.enc.frt.ure.coa",input_data!$A:$A,0))</f>
        <v>0</v>
      </c>
      <c r="P164" s="385">
        <f>P160*INDEX(input_data!$L:$L,MATCH(CBAM!$B$5&amp;".in.enc.frt.ure.coa",input_data!$A:$A,0))</f>
        <v>0</v>
      </c>
      <c r="Q164" s="385">
        <f>Q160*INDEX(input_data!$L:$L,MATCH(CBAM!$B$5&amp;".in.enc.frt.ure.coa",input_data!$A:$A,0))</f>
        <v>0</v>
      </c>
      <c r="R164" s="385">
        <f>R160*INDEX(input_data!$L:$L,MATCH(CBAM!$B$5&amp;".in.enc.frt.ure.coa",input_data!$A:$A,0))</f>
        <v>0</v>
      </c>
      <c r="S164" s="385">
        <f>S160*INDEX(input_data!$L:$L,MATCH(CBAM!$B$5&amp;".in.enc.frt.ure.coa",input_data!$A:$A,0))</f>
        <v>0</v>
      </c>
      <c r="T164" s="385">
        <f>T160*INDEX(input_data!$L:$L,MATCH(CBAM!$B$5&amp;".in.enc.frt.ure.coa",input_data!$A:$A,0))</f>
        <v>0</v>
      </c>
      <c r="U164" s="385">
        <f>U160*INDEX(input_data!$L:$L,MATCH(CBAM!$B$5&amp;".in.enc.frt.ure.coa",input_data!$A:$A,0))</f>
        <v>0</v>
      </c>
      <c r="V164" s="385">
        <f>V160*INDEX(input_data!$L:$L,MATCH(CBAM!$B$5&amp;".in.enc.frt.ure.coa",input_data!$A:$A,0))</f>
        <v>0</v>
      </c>
      <c r="W164" s="385">
        <f>W160*INDEX(input_data!$L:$L,MATCH(CBAM!$B$5&amp;".in.enc.frt.ure.coa",input_data!$A:$A,0))</f>
        <v>0</v>
      </c>
      <c r="X164" s="385">
        <f>X160*INDEX(input_data!$L:$L,MATCH(CBAM!$B$5&amp;".in.enc.frt.ure.coa",input_data!$A:$A,0))</f>
        <v>0</v>
      </c>
    </row>
    <row r="165" spans="1:24" ht="15" customHeight="1" x14ac:dyDescent="0.25">
      <c r="A165" s="380" t="str">
        <f>CBAM!$B$5&amp;".pj.enc.frt.ure.nga"</f>
        <v>egy.pj.enc.frt.ure.nga</v>
      </c>
      <c r="B165" s="380" t="str">
        <f>CBAM!$B$5</f>
        <v>egy</v>
      </c>
      <c r="C165" s="380" t="s">
        <v>1275</v>
      </c>
      <c r="D165" s="380" t="s">
        <v>1317</v>
      </c>
      <c r="E165" s="380" t="s">
        <v>330</v>
      </c>
      <c r="F165" s="380" t="s">
        <v>1473</v>
      </c>
      <c r="G165" s="380" t="s">
        <v>754</v>
      </c>
      <c r="H165" s="380" t="s">
        <v>1479</v>
      </c>
      <c r="I165" s="380" t="s">
        <v>1319</v>
      </c>
      <c r="J165" s="380" t="s">
        <v>1320</v>
      </c>
      <c r="K165" s="380"/>
      <c r="L165" s="380"/>
      <c r="M165" s="385">
        <f>M160*INDEX(input_data!$L:$L,MATCH(CBAM!$B$5&amp;".in.enc.frt.ure.nga",input_data!$A:$A,0))</f>
        <v>2.8</v>
      </c>
      <c r="N165" s="385">
        <f>N160*INDEX(input_data!$L:$L,MATCH(CBAM!$B$5&amp;".in.enc.frt.ure.nga",input_data!$A:$A,0))</f>
        <v>2.8759694017843791</v>
      </c>
      <c r="O165" s="385">
        <f>O160*INDEX(input_data!$L:$L,MATCH(CBAM!$B$5&amp;".in.enc.frt.ure.nga",input_data!$A:$A,0))</f>
        <v>2.9539999999999997</v>
      </c>
      <c r="P165" s="385">
        <f>P160*INDEX(input_data!$L:$L,MATCH(CBAM!$B$5&amp;".in.enc.frt.ure.nga",input_data!$A:$A,0))</f>
        <v>3.0341477188825192</v>
      </c>
      <c r="Q165" s="385">
        <f>Q160*INDEX(input_data!$L:$L,MATCH(CBAM!$B$5&amp;".in.enc.frt.ure.nga",input_data!$A:$A,0))</f>
        <v>3.1164699999999996</v>
      </c>
      <c r="R165" s="385">
        <f>R160*INDEX(input_data!$L:$L,MATCH(CBAM!$B$5&amp;".in.enc.frt.ure.nga",input_data!$A:$A,0))</f>
        <v>3.2010258434210579</v>
      </c>
      <c r="S165" s="385">
        <f>S160*INDEX(input_data!$L:$L,MATCH(CBAM!$B$5&amp;".in.enc.frt.ure.nga",input_data!$A:$A,0))</f>
        <v>3.2878758499999994</v>
      </c>
      <c r="T165" s="385">
        <f>T160*INDEX(input_data!$L:$L,MATCH(CBAM!$B$5&amp;".in.enc.frt.ure.nga",input_data!$A:$A,0))</f>
        <v>3.377082264809216</v>
      </c>
      <c r="U165" s="385">
        <f>U160*INDEX(input_data!$L:$L,MATCH(CBAM!$B$5&amp;".in.enc.frt.ure.nga",input_data!$A:$A,0))</f>
        <v>3.4687090217499992</v>
      </c>
      <c r="V165" s="385">
        <f>V160*INDEX(input_data!$L:$L,MATCH(CBAM!$B$5&amp;".in.enc.frt.ure.nga",input_data!$A:$A,0))</f>
        <v>3.5628217893737228</v>
      </c>
      <c r="W165" s="385">
        <f>W160*INDEX(input_data!$L:$L,MATCH(CBAM!$B$5&amp;".in.enc.frt.ure.nga",input_data!$A:$A,0))</f>
        <v>3.659488017946249</v>
      </c>
      <c r="X165" s="385">
        <f>X160*INDEX(input_data!$L:$L,MATCH(CBAM!$B$5&amp;".in.enc.frt.ure.nga",input_data!$A:$A,0))</f>
        <v>3.7587769877892776</v>
      </c>
    </row>
    <row r="166" spans="1:24" ht="15" customHeight="1" x14ac:dyDescent="0.25">
      <c r="A166" s="380" t="str">
        <f>CBAM!$B$5&amp;".pj.enc.frt.ure.gso"</f>
        <v>egy.pj.enc.frt.ure.gso</v>
      </c>
      <c r="B166" s="380" t="str">
        <f>CBAM!$B$5</f>
        <v>egy</v>
      </c>
      <c r="C166" s="380" t="s">
        <v>1275</v>
      </c>
      <c r="D166" s="380" t="s">
        <v>1317</v>
      </c>
      <c r="E166" s="380" t="s">
        <v>330</v>
      </c>
      <c r="F166" s="380" t="s">
        <v>1473</v>
      </c>
      <c r="G166" s="380" t="s">
        <v>1292</v>
      </c>
      <c r="H166" s="380" t="s">
        <v>1480</v>
      </c>
      <c r="I166" s="380" t="s">
        <v>1319</v>
      </c>
      <c r="J166" s="380" t="s">
        <v>1320</v>
      </c>
      <c r="K166" s="380"/>
      <c r="L166" s="380"/>
      <c r="M166" s="385">
        <f>M160*INDEX(input_data!$L:$L,MATCH(CBAM!$B$5&amp;".in.enc.frt.ure.gso",input_data!$A:$A,0))</f>
        <v>0</v>
      </c>
      <c r="N166" s="385">
        <f>N160*INDEX(input_data!$L:$L,MATCH(CBAM!$B$5&amp;".in.enc.frt.ure.gso",input_data!$A:$A,0))</f>
        <v>0</v>
      </c>
      <c r="O166" s="385">
        <f>O160*INDEX(input_data!$L:$L,MATCH(CBAM!$B$5&amp;".in.enc.frt.ure.gso",input_data!$A:$A,0))</f>
        <v>0</v>
      </c>
      <c r="P166" s="385">
        <f>P160*INDEX(input_data!$L:$L,MATCH(CBAM!$B$5&amp;".in.enc.frt.ure.gso",input_data!$A:$A,0))</f>
        <v>0</v>
      </c>
      <c r="Q166" s="385">
        <f>Q160*INDEX(input_data!$L:$L,MATCH(CBAM!$B$5&amp;".in.enc.frt.ure.gso",input_data!$A:$A,0))</f>
        <v>0</v>
      </c>
      <c r="R166" s="385">
        <f>R160*INDEX(input_data!$L:$L,MATCH(CBAM!$B$5&amp;".in.enc.frt.ure.gso",input_data!$A:$A,0))</f>
        <v>0</v>
      </c>
      <c r="S166" s="385">
        <f>S160*INDEX(input_data!$L:$L,MATCH(CBAM!$B$5&amp;".in.enc.frt.ure.gso",input_data!$A:$A,0))</f>
        <v>0</v>
      </c>
      <c r="T166" s="385">
        <f>T160*INDEX(input_data!$L:$L,MATCH(CBAM!$B$5&amp;".in.enc.frt.ure.gso",input_data!$A:$A,0))</f>
        <v>0</v>
      </c>
      <c r="U166" s="385">
        <f>U160*INDEX(input_data!$L:$L,MATCH(CBAM!$B$5&amp;".in.enc.frt.ure.gso",input_data!$A:$A,0))</f>
        <v>0</v>
      </c>
      <c r="V166" s="385">
        <f>V160*INDEX(input_data!$L:$L,MATCH(CBAM!$B$5&amp;".in.enc.frt.ure.gso",input_data!$A:$A,0))</f>
        <v>0</v>
      </c>
      <c r="W166" s="385">
        <f>W160*INDEX(input_data!$L:$L,MATCH(CBAM!$B$5&amp;".in.enc.frt.ure.gso",input_data!$A:$A,0))</f>
        <v>0</v>
      </c>
      <c r="X166" s="385">
        <f>X160*INDEX(input_data!$L:$L,MATCH(CBAM!$B$5&amp;".in.enc.frt.ure.gso",input_data!$A:$A,0))</f>
        <v>0</v>
      </c>
    </row>
    <row r="167" spans="1:24" ht="15" customHeight="1" x14ac:dyDescent="0.25">
      <c r="A167" s="380" t="str">
        <f>CBAM!$B$5&amp;".pj.enc.frt.ure.die"</f>
        <v>egy.pj.enc.frt.ure.die</v>
      </c>
      <c r="B167" s="380" t="str">
        <f>CBAM!$B$5</f>
        <v>egy</v>
      </c>
      <c r="C167" s="380" t="s">
        <v>1275</v>
      </c>
      <c r="D167" s="380" t="s">
        <v>1317</v>
      </c>
      <c r="E167" s="380" t="s">
        <v>330</v>
      </c>
      <c r="F167" s="380" t="s">
        <v>1473</v>
      </c>
      <c r="G167" s="380" t="s">
        <v>762</v>
      </c>
      <c r="H167" s="380" t="s">
        <v>1481</v>
      </c>
      <c r="I167" s="380" t="s">
        <v>1319</v>
      </c>
      <c r="J167" s="380" t="s">
        <v>1320</v>
      </c>
      <c r="K167" s="380"/>
      <c r="L167" s="380"/>
      <c r="M167" s="385">
        <f>M160*INDEX(input_data!$L:$L,MATCH(CBAM!$B$5&amp;".in.enc.frt.ure.die",input_data!$A:$A,0))</f>
        <v>0</v>
      </c>
      <c r="N167" s="385">
        <f>N160*INDEX(input_data!$L:$L,MATCH(CBAM!$B$5&amp;".in.enc.frt.ure.die",input_data!$A:$A,0))</f>
        <v>0</v>
      </c>
      <c r="O167" s="385">
        <f>O160*INDEX(input_data!$L:$L,MATCH(CBAM!$B$5&amp;".in.enc.frt.ure.die",input_data!$A:$A,0))</f>
        <v>0</v>
      </c>
      <c r="P167" s="385">
        <f>P160*INDEX(input_data!$L:$L,MATCH(CBAM!$B$5&amp;".in.enc.frt.ure.die",input_data!$A:$A,0))</f>
        <v>0</v>
      </c>
      <c r="Q167" s="385">
        <f>Q160*INDEX(input_data!$L:$L,MATCH(CBAM!$B$5&amp;".in.enc.frt.ure.die",input_data!$A:$A,0))</f>
        <v>0</v>
      </c>
      <c r="R167" s="385">
        <f>R160*INDEX(input_data!$L:$L,MATCH(CBAM!$B$5&amp;".in.enc.frt.ure.die",input_data!$A:$A,0))</f>
        <v>0</v>
      </c>
      <c r="S167" s="385">
        <f>S160*INDEX(input_data!$L:$L,MATCH(CBAM!$B$5&amp;".in.enc.frt.ure.die",input_data!$A:$A,0))</f>
        <v>0</v>
      </c>
      <c r="T167" s="385">
        <f>T160*INDEX(input_data!$L:$L,MATCH(CBAM!$B$5&amp;".in.enc.frt.ure.die",input_data!$A:$A,0))</f>
        <v>0</v>
      </c>
      <c r="U167" s="385">
        <f>U160*INDEX(input_data!$L:$L,MATCH(CBAM!$B$5&amp;".in.enc.frt.ure.die",input_data!$A:$A,0))</f>
        <v>0</v>
      </c>
      <c r="V167" s="385">
        <f>V160*INDEX(input_data!$L:$L,MATCH(CBAM!$B$5&amp;".in.enc.frt.ure.die",input_data!$A:$A,0))</f>
        <v>0</v>
      </c>
      <c r="W167" s="385">
        <f>W160*INDEX(input_data!$L:$L,MATCH(CBAM!$B$5&amp;".in.enc.frt.ure.die",input_data!$A:$A,0))</f>
        <v>0</v>
      </c>
      <c r="X167" s="385">
        <f>X160*INDEX(input_data!$L:$L,MATCH(CBAM!$B$5&amp;".in.enc.frt.ure.die",input_data!$A:$A,0))</f>
        <v>0</v>
      </c>
    </row>
    <row r="168" spans="1:24" ht="15" customHeight="1" x14ac:dyDescent="0.25">
      <c r="A168" s="380" t="str">
        <f>CBAM!$B$5&amp;".pj.enc.frt.ure.ker"</f>
        <v>egy.pj.enc.frt.ure.ker</v>
      </c>
      <c r="B168" s="380" t="str">
        <f>CBAM!$B$5</f>
        <v>egy</v>
      </c>
      <c r="C168" s="380" t="s">
        <v>1275</v>
      </c>
      <c r="D168" s="380" t="s">
        <v>1317</v>
      </c>
      <c r="E168" s="380" t="s">
        <v>330</v>
      </c>
      <c r="F168" s="380" t="s">
        <v>1473</v>
      </c>
      <c r="G168" s="380" t="s">
        <v>1295</v>
      </c>
      <c r="H168" s="380" t="s">
        <v>1482</v>
      </c>
      <c r="I168" s="380" t="s">
        <v>1319</v>
      </c>
      <c r="J168" s="380" t="s">
        <v>1320</v>
      </c>
      <c r="K168" s="380"/>
      <c r="L168" s="380"/>
      <c r="M168" s="385">
        <f>M160*INDEX(input_data!$L:$L,MATCH(CBAM!$B$5&amp;".in.enc.frt.ure.ker",input_data!$A:$A,0))</f>
        <v>0</v>
      </c>
      <c r="N168" s="385">
        <f>N160*INDEX(input_data!$L:$L,MATCH(CBAM!$B$5&amp;".in.enc.frt.ure.ker",input_data!$A:$A,0))</f>
        <v>0</v>
      </c>
      <c r="O168" s="385">
        <f>O160*INDEX(input_data!$L:$L,MATCH(CBAM!$B$5&amp;".in.enc.frt.ure.ker",input_data!$A:$A,0))</f>
        <v>0</v>
      </c>
      <c r="P168" s="385">
        <f>P160*INDEX(input_data!$L:$L,MATCH(CBAM!$B$5&amp;".in.enc.frt.ure.ker",input_data!$A:$A,0))</f>
        <v>0</v>
      </c>
      <c r="Q168" s="385">
        <f>Q160*INDEX(input_data!$L:$L,MATCH(CBAM!$B$5&amp;".in.enc.frt.ure.ker",input_data!$A:$A,0))</f>
        <v>0</v>
      </c>
      <c r="R168" s="385">
        <f>R160*INDEX(input_data!$L:$L,MATCH(CBAM!$B$5&amp;".in.enc.frt.ure.ker",input_data!$A:$A,0))</f>
        <v>0</v>
      </c>
      <c r="S168" s="385">
        <f>S160*INDEX(input_data!$L:$L,MATCH(CBAM!$B$5&amp;".in.enc.frt.ure.ker",input_data!$A:$A,0))</f>
        <v>0</v>
      </c>
      <c r="T168" s="385">
        <f>T160*INDEX(input_data!$L:$L,MATCH(CBAM!$B$5&amp;".in.enc.frt.ure.ker",input_data!$A:$A,0))</f>
        <v>0</v>
      </c>
      <c r="U168" s="385">
        <f>U160*INDEX(input_data!$L:$L,MATCH(CBAM!$B$5&amp;".in.enc.frt.ure.ker",input_data!$A:$A,0))</f>
        <v>0</v>
      </c>
      <c r="V168" s="385">
        <f>V160*INDEX(input_data!$L:$L,MATCH(CBAM!$B$5&amp;".in.enc.frt.ure.ker",input_data!$A:$A,0))</f>
        <v>0</v>
      </c>
      <c r="W168" s="385">
        <f>W160*INDEX(input_data!$L:$L,MATCH(CBAM!$B$5&amp;".in.enc.frt.ure.ker",input_data!$A:$A,0))</f>
        <v>0</v>
      </c>
      <c r="X168" s="385">
        <f>X160*INDEX(input_data!$L:$L,MATCH(CBAM!$B$5&amp;".in.enc.frt.ure.ker",input_data!$A:$A,0))</f>
        <v>0</v>
      </c>
    </row>
    <row r="169" spans="1:24" ht="15" customHeight="1" x14ac:dyDescent="0.25">
      <c r="A169" s="380" t="str">
        <f>CBAM!$B$5&amp;".pj.enc.frt.ure.lpg"</f>
        <v>egy.pj.enc.frt.ure.lpg</v>
      </c>
      <c r="B169" s="380" t="str">
        <f>CBAM!$B$5</f>
        <v>egy</v>
      </c>
      <c r="C169" s="380" t="s">
        <v>1275</v>
      </c>
      <c r="D169" s="380" t="s">
        <v>1317</v>
      </c>
      <c r="E169" s="380" t="s">
        <v>330</v>
      </c>
      <c r="F169" s="380" t="s">
        <v>1473</v>
      </c>
      <c r="G169" s="380" t="s">
        <v>1297</v>
      </c>
      <c r="H169" s="380" t="s">
        <v>1483</v>
      </c>
      <c r="I169" s="380" t="s">
        <v>1319</v>
      </c>
      <c r="J169" s="380" t="s">
        <v>1320</v>
      </c>
      <c r="K169" s="380"/>
      <c r="L169" s="380"/>
      <c r="M169" s="385">
        <f>M160*INDEX(input_data!$L:$L,MATCH(CBAM!$B$5&amp;".in.enc.frt.ure.lpg",input_data!$A:$A,0))</f>
        <v>0</v>
      </c>
      <c r="N169" s="385">
        <f>N160*INDEX(input_data!$L:$L,MATCH(CBAM!$B$5&amp;".in.enc.frt.ure.lpg",input_data!$A:$A,0))</f>
        <v>0</v>
      </c>
      <c r="O169" s="385">
        <f>O160*INDEX(input_data!$L:$L,MATCH(CBAM!$B$5&amp;".in.enc.frt.ure.lpg",input_data!$A:$A,0))</f>
        <v>0</v>
      </c>
      <c r="P169" s="385">
        <f>P160*INDEX(input_data!$L:$L,MATCH(CBAM!$B$5&amp;".in.enc.frt.ure.lpg",input_data!$A:$A,0))</f>
        <v>0</v>
      </c>
      <c r="Q169" s="385">
        <f>Q160*INDEX(input_data!$L:$L,MATCH(CBAM!$B$5&amp;".in.enc.frt.ure.lpg",input_data!$A:$A,0))</f>
        <v>0</v>
      </c>
      <c r="R169" s="385">
        <f>R160*INDEX(input_data!$L:$L,MATCH(CBAM!$B$5&amp;".in.enc.frt.ure.lpg",input_data!$A:$A,0))</f>
        <v>0</v>
      </c>
      <c r="S169" s="385">
        <f>S160*INDEX(input_data!$L:$L,MATCH(CBAM!$B$5&amp;".in.enc.frt.ure.lpg",input_data!$A:$A,0))</f>
        <v>0</v>
      </c>
      <c r="T169" s="385">
        <f>T160*INDEX(input_data!$L:$L,MATCH(CBAM!$B$5&amp;".in.enc.frt.ure.lpg",input_data!$A:$A,0))</f>
        <v>0</v>
      </c>
      <c r="U169" s="385">
        <f>U160*INDEX(input_data!$L:$L,MATCH(CBAM!$B$5&amp;".in.enc.frt.ure.lpg",input_data!$A:$A,0))</f>
        <v>0</v>
      </c>
      <c r="V169" s="385">
        <f>V160*INDEX(input_data!$L:$L,MATCH(CBAM!$B$5&amp;".in.enc.frt.ure.lpg",input_data!$A:$A,0))</f>
        <v>0</v>
      </c>
      <c r="W169" s="385">
        <f>W160*INDEX(input_data!$L:$L,MATCH(CBAM!$B$5&amp;".in.enc.frt.ure.lpg",input_data!$A:$A,0))</f>
        <v>0</v>
      </c>
      <c r="X169" s="385">
        <f>X160*INDEX(input_data!$L:$L,MATCH(CBAM!$B$5&amp;".in.enc.frt.ure.lpg",input_data!$A:$A,0))</f>
        <v>0</v>
      </c>
    </row>
    <row r="170" spans="1:24" ht="15" customHeight="1" x14ac:dyDescent="0.25">
      <c r="A170" s="380" t="str">
        <f>CBAM!$B$5&amp;".pj.enc.frt.ure.bio"</f>
        <v>egy.pj.enc.frt.ure.bio</v>
      </c>
      <c r="B170" s="380" t="str">
        <f>CBAM!$B$5</f>
        <v>egy</v>
      </c>
      <c r="C170" s="380" t="s">
        <v>1275</v>
      </c>
      <c r="D170" s="380" t="s">
        <v>1317</v>
      </c>
      <c r="E170" s="380" t="s">
        <v>330</v>
      </c>
      <c r="F170" s="380" t="s">
        <v>1473</v>
      </c>
      <c r="G170" s="380" t="s">
        <v>1299</v>
      </c>
      <c r="H170" s="380" t="s">
        <v>1484</v>
      </c>
      <c r="I170" s="380" t="s">
        <v>1319</v>
      </c>
      <c r="J170" s="380" t="s">
        <v>1320</v>
      </c>
      <c r="K170" s="380"/>
      <c r="L170" s="380"/>
      <c r="M170" s="385">
        <f>M160*INDEX(input_data!$L:$L,MATCH(CBAM!$B$5&amp;".in.enc.frt.ure.bio",input_data!$A:$A,0))</f>
        <v>0</v>
      </c>
      <c r="N170" s="385">
        <f>N160*INDEX(input_data!$L:$L,MATCH(CBAM!$B$5&amp;".in.enc.frt.ure.bio",input_data!$A:$A,0))</f>
        <v>0</v>
      </c>
      <c r="O170" s="385">
        <f>O160*INDEX(input_data!$L:$L,MATCH(CBAM!$B$5&amp;".in.enc.frt.ure.bio",input_data!$A:$A,0))</f>
        <v>0</v>
      </c>
      <c r="P170" s="385">
        <f>P160*INDEX(input_data!$L:$L,MATCH(CBAM!$B$5&amp;".in.enc.frt.ure.bio",input_data!$A:$A,0))</f>
        <v>0</v>
      </c>
      <c r="Q170" s="385">
        <f>Q160*INDEX(input_data!$L:$L,MATCH(CBAM!$B$5&amp;".in.enc.frt.ure.bio",input_data!$A:$A,0))</f>
        <v>0</v>
      </c>
      <c r="R170" s="385">
        <f>R160*INDEX(input_data!$L:$L,MATCH(CBAM!$B$5&amp;".in.enc.frt.ure.bio",input_data!$A:$A,0))</f>
        <v>0</v>
      </c>
      <c r="S170" s="385">
        <f>S160*INDEX(input_data!$L:$L,MATCH(CBAM!$B$5&amp;".in.enc.frt.ure.bio",input_data!$A:$A,0))</f>
        <v>0</v>
      </c>
      <c r="T170" s="385">
        <f>T160*INDEX(input_data!$L:$L,MATCH(CBAM!$B$5&amp;".in.enc.frt.ure.bio",input_data!$A:$A,0))</f>
        <v>0</v>
      </c>
      <c r="U170" s="385">
        <f>U160*INDEX(input_data!$L:$L,MATCH(CBAM!$B$5&amp;".in.enc.frt.ure.bio",input_data!$A:$A,0))</f>
        <v>0</v>
      </c>
      <c r="V170" s="385">
        <f>V160*INDEX(input_data!$L:$L,MATCH(CBAM!$B$5&amp;".in.enc.frt.ure.bio",input_data!$A:$A,0))</f>
        <v>0</v>
      </c>
      <c r="W170" s="385">
        <f>W160*INDEX(input_data!$L:$L,MATCH(CBAM!$B$5&amp;".in.enc.frt.ure.bio",input_data!$A:$A,0))</f>
        <v>0</v>
      </c>
      <c r="X170" s="385">
        <f>X160*INDEX(input_data!$L:$L,MATCH(CBAM!$B$5&amp;".in.enc.frt.ure.bio",input_data!$A:$A,0))</f>
        <v>0</v>
      </c>
    </row>
    <row r="171" spans="1:24" ht="15" customHeight="1" x14ac:dyDescent="0.25">
      <c r="A171" s="380" t="str">
        <f>CBAM!$B$5&amp;".pj.enc.frt.ure.ren"</f>
        <v>egy.pj.enc.frt.ure.ren</v>
      </c>
      <c r="B171" s="380" t="str">
        <f>CBAM!$B$5</f>
        <v>egy</v>
      </c>
      <c r="C171" s="380" t="s">
        <v>1275</v>
      </c>
      <c r="D171" s="380" t="s">
        <v>1317</v>
      </c>
      <c r="E171" s="380" t="s">
        <v>330</v>
      </c>
      <c r="F171" s="380" t="s">
        <v>1473</v>
      </c>
      <c r="G171" s="380" t="s">
        <v>1301</v>
      </c>
      <c r="H171" s="380" t="s">
        <v>1485</v>
      </c>
      <c r="I171" s="380" t="s">
        <v>1319</v>
      </c>
      <c r="J171" s="380" t="s">
        <v>1320</v>
      </c>
      <c r="K171" s="380"/>
      <c r="L171" s="380"/>
      <c r="M171" s="385">
        <f>M160*INDEX(input_data!$L:$L,MATCH(CBAM!$B$5&amp;".in.enc.frt.ure.ren",input_data!$A:$A,0))</f>
        <v>0</v>
      </c>
      <c r="N171" s="385">
        <f>N160*INDEX(input_data!$L:$L,MATCH(CBAM!$B$5&amp;".in.enc.frt.ure.ren",input_data!$A:$A,0))</f>
        <v>0</v>
      </c>
      <c r="O171" s="385">
        <f>O160*INDEX(input_data!$L:$L,MATCH(CBAM!$B$5&amp;".in.enc.frt.ure.ren",input_data!$A:$A,0))</f>
        <v>0</v>
      </c>
      <c r="P171" s="385">
        <f>P160*INDEX(input_data!$L:$L,MATCH(CBAM!$B$5&amp;".in.enc.frt.ure.ren",input_data!$A:$A,0))</f>
        <v>0</v>
      </c>
      <c r="Q171" s="385">
        <f>Q160*INDEX(input_data!$L:$L,MATCH(CBAM!$B$5&amp;".in.enc.frt.ure.ren",input_data!$A:$A,0))</f>
        <v>0</v>
      </c>
      <c r="R171" s="385">
        <f>R160*INDEX(input_data!$L:$L,MATCH(CBAM!$B$5&amp;".in.enc.frt.ure.ren",input_data!$A:$A,0))</f>
        <v>0</v>
      </c>
      <c r="S171" s="385">
        <f>S160*INDEX(input_data!$L:$L,MATCH(CBAM!$B$5&amp;".in.enc.frt.ure.ren",input_data!$A:$A,0))</f>
        <v>0</v>
      </c>
      <c r="T171" s="385">
        <f>T160*INDEX(input_data!$L:$L,MATCH(CBAM!$B$5&amp;".in.enc.frt.ure.ren",input_data!$A:$A,0))</f>
        <v>0</v>
      </c>
      <c r="U171" s="385">
        <f>U160*INDEX(input_data!$L:$L,MATCH(CBAM!$B$5&amp;".in.enc.frt.ure.ren",input_data!$A:$A,0))</f>
        <v>0</v>
      </c>
      <c r="V171" s="385">
        <f>V160*INDEX(input_data!$L:$L,MATCH(CBAM!$B$5&amp;".in.enc.frt.ure.ren",input_data!$A:$A,0))</f>
        <v>0</v>
      </c>
      <c r="W171" s="385">
        <f>W160*INDEX(input_data!$L:$L,MATCH(CBAM!$B$5&amp;".in.enc.frt.ure.ren",input_data!$A:$A,0))</f>
        <v>0</v>
      </c>
      <c r="X171" s="385">
        <f>X160*INDEX(input_data!$L:$L,MATCH(CBAM!$B$5&amp;".in.enc.frt.ure.ren",input_data!$A:$A,0))</f>
        <v>0</v>
      </c>
    </row>
    <row r="172" spans="1:24" ht="15" customHeight="1" x14ac:dyDescent="0.25">
      <c r="A172" s="380" t="str">
        <f>CBAM!$B$5&amp;".pj.enp.frt.ure.coa"</f>
        <v>egy.pj.enp.frt.ure.coa</v>
      </c>
      <c r="B172" s="380" t="str">
        <f>CBAM!$B$5</f>
        <v>egy</v>
      </c>
      <c r="C172" s="380" t="s">
        <v>1275</v>
      </c>
      <c r="D172" s="380" t="s">
        <v>1328</v>
      </c>
      <c r="E172" s="380" t="s">
        <v>330</v>
      </c>
      <c r="F172" s="380" t="s">
        <v>1473</v>
      </c>
      <c r="G172" s="380" t="s">
        <v>757</v>
      </c>
      <c r="H172" s="380" t="s">
        <v>1486</v>
      </c>
      <c r="I172" s="380" t="s">
        <v>1319</v>
      </c>
      <c r="J172" s="380" t="s">
        <v>1330</v>
      </c>
      <c r="K172" s="380"/>
      <c r="L172" s="380"/>
      <c r="M172" s="385">
        <f>M160*INDEX(input_data!$L:$L,MATCH(CBAM!$B$5&amp;".in.enp.frt.ure.coa",input_data!$A:$A,0))</f>
        <v>0</v>
      </c>
      <c r="N172" s="385">
        <f>N160*INDEX(input_data!$L:$L,MATCH(CBAM!$B$5&amp;".in.enp.frt.ure.coa",input_data!$A:$A,0))</f>
        <v>0</v>
      </c>
      <c r="O172" s="385">
        <f>O160*INDEX(input_data!$L:$L,MATCH(CBAM!$B$5&amp;".in.enp.frt.ure.coa",input_data!$A:$A,0))</f>
        <v>0</v>
      </c>
      <c r="P172" s="385">
        <f>P160*INDEX(input_data!$L:$L,MATCH(CBAM!$B$5&amp;".in.enp.frt.ure.coa",input_data!$A:$A,0))</f>
        <v>0</v>
      </c>
      <c r="Q172" s="385">
        <f>Q160*INDEX(input_data!$L:$L,MATCH(CBAM!$B$5&amp;".in.enp.frt.ure.coa",input_data!$A:$A,0))</f>
        <v>0</v>
      </c>
      <c r="R172" s="385">
        <f>R160*INDEX(input_data!$L:$L,MATCH(CBAM!$B$5&amp;".in.enp.frt.ure.coa",input_data!$A:$A,0))</f>
        <v>0</v>
      </c>
      <c r="S172" s="385">
        <f>S160*INDEX(input_data!$L:$L,MATCH(CBAM!$B$5&amp;".in.enp.frt.ure.coa",input_data!$A:$A,0))</f>
        <v>0</v>
      </c>
      <c r="T172" s="385">
        <f>T160*INDEX(input_data!$L:$L,MATCH(CBAM!$B$5&amp;".in.enp.frt.ure.coa",input_data!$A:$A,0))</f>
        <v>0</v>
      </c>
      <c r="U172" s="385">
        <f>U160*INDEX(input_data!$L:$L,MATCH(CBAM!$B$5&amp;".in.enp.frt.ure.coa",input_data!$A:$A,0))</f>
        <v>0</v>
      </c>
      <c r="V172" s="385">
        <f>V160*INDEX(input_data!$L:$L,MATCH(CBAM!$B$5&amp;".in.enp.frt.ure.coa",input_data!$A:$A,0))</f>
        <v>0</v>
      </c>
      <c r="W172" s="385">
        <f>W160*INDEX(input_data!$L:$L,MATCH(CBAM!$B$5&amp;".in.enp.frt.ure.coa",input_data!$A:$A,0))</f>
        <v>0</v>
      </c>
      <c r="X172" s="385">
        <f>X160*INDEX(input_data!$L:$L,MATCH(CBAM!$B$5&amp;".in.enp.frt.ure.coa",input_data!$A:$A,0))</f>
        <v>0</v>
      </c>
    </row>
    <row r="173" spans="1:24" ht="15" customHeight="1" x14ac:dyDescent="0.25">
      <c r="A173" s="380" t="str">
        <f>CBAM!$B$5&amp;".pj.enp.frt.ure.nga"</f>
        <v>egy.pj.enp.frt.ure.nga</v>
      </c>
      <c r="B173" s="380" t="str">
        <f>CBAM!$B$5</f>
        <v>egy</v>
      </c>
      <c r="C173" s="380" t="s">
        <v>1275</v>
      </c>
      <c r="D173" s="380" t="s">
        <v>1328</v>
      </c>
      <c r="E173" s="380" t="s">
        <v>330</v>
      </c>
      <c r="F173" s="380" t="s">
        <v>1473</v>
      </c>
      <c r="G173" s="380" t="s">
        <v>754</v>
      </c>
      <c r="H173" s="380" t="s">
        <v>1487</v>
      </c>
      <c r="I173" s="380" t="s">
        <v>1319</v>
      </c>
      <c r="J173" s="380" t="s">
        <v>1330</v>
      </c>
      <c r="K173" s="380"/>
      <c r="L173" s="380"/>
      <c r="M173" s="385">
        <f>M160*INDEX(input_data!$L:$L,MATCH(CBAM!$B$5&amp;".in.enp.frt.ure.nga",input_data!$A:$A,0))</f>
        <v>0</v>
      </c>
      <c r="N173" s="385">
        <f>N160*INDEX(input_data!$L:$L,MATCH(CBAM!$B$5&amp;".in.enp.frt.ure.nga",input_data!$A:$A,0))</f>
        <v>0</v>
      </c>
      <c r="O173" s="385">
        <f>O160*INDEX(input_data!$L:$L,MATCH(CBAM!$B$5&amp;".in.enp.frt.ure.nga",input_data!$A:$A,0))</f>
        <v>0</v>
      </c>
      <c r="P173" s="385">
        <f>P160*INDEX(input_data!$L:$L,MATCH(CBAM!$B$5&amp;".in.enp.frt.ure.nga",input_data!$A:$A,0))</f>
        <v>0</v>
      </c>
      <c r="Q173" s="385">
        <f>Q160*INDEX(input_data!$L:$L,MATCH(CBAM!$B$5&amp;".in.enp.frt.ure.nga",input_data!$A:$A,0))</f>
        <v>0</v>
      </c>
      <c r="R173" s="385">
        <f>R160*INDEX(input_data!$L:$L,MATCH(CBAM!$B$5&amp;".in.enp.frt.ure.nga",input_data!$A:$A,0))</f>
        <v>0</v>
      </c>
      <c r="S173" s="385">
        <f>S160*INDEX(input_data!$L:$L,MATCH(CBAM!$B$5&amp;".in.enp.frt.ure.nga",input_data!$A:$A,0))</f>
        <v>0</v>
      </c>
      <c r="T173" s="385">
        <f>T160*INDEX(input_data!$L:$L,MATCH(CBAM!$B$5&amp;".in.enp.frt.ure.nga",input_data!$A:$A,0))</f>
        <v>0</v>
      </c>
      <c r="U173" s="385">
        <f>U160*INDEX(input_data!$L:$L,MATCH(CBAM!$B$5&amp;".in.enp.frt.ure.nga",input_data!$A:$A,0))</f>
        <v>0</v>
      </c>
      <c r="V173" s="385">
        <f>V160*INDEX(input_data!$L:$L,MATCH(CBAM!$B$5&amp;".in.enp.frt.ure.nga",input_data!$A:$A,0))</f>
        <v>0</v>
      </c>
      <c r="W173" s="385">
        <f>W160*INDEX(input_data!$L:$L,MATCH(CBAM!$B$5&amp;".in.enp.frt.ure.nga",input_data!$A:$A,0))</f>
        <v>0</v>
      </c>
      <c r="X173" s="385">
        <f>X160*INDEX(input_data!$L:$L,MATCH(CBAM!$B$5&amp;".in.enp.frt.ure.nga",input_data!$A:$A,0))</f>
        <v>0</v>
      </c>
    </row>
    <row r="174" spans="1:24" ht="15" customHeight="1" x14ac:dyDescent="0.25">
      <c r="A174" s="380" t="str">
        <f>CBAM!$B$5&amp;".pj.enp.frt.ure.gso"</f>
        <v>egy.pj.enp.frt.ure.gso</v>
      </c>
      <c r="B174" s="380" t="str">
        <f>CBAM!$B$5</f>
        <v>egy</v>
      </c>
      <c r="C174" s="380" t="s">
        <v>1275</v>
      </c>
      <c r="D174" s="380" t="s">
        <v>1328</v>
      </c>
      <c r="E174" s="380" t="s">
        <v>330</v>
      </c>
      <c r="F174" s="380" t="s">
        <v>1473</v>
      </c>
      <c r="G174" s="380" t="s">
        <v>1292</v>
      </c>
      <c r="H174" s="380" t="s">
        <v>1488</v>
      </c>
      <c r="I174" s="380" t="s">
        <v>1319</v>
      </c>
      <c r="J174" s="380" t="s">
        <v>1330</v>
      </c>
      <c r="K174" s="380"/>
      <c r="L174" s="380"/>
      <c r="M174" s="385">
        <f>M160*INDEX(input_data!$L:$L,MATCH(CBAM!$B$5&amp;".in.enp.frt.ure.gso",input_data!$A:$A,0))</f>
        <v>0</v>
      </c>
      <c r="N174" s="385">
        <f>N160*INDEX(input_data!$L:$L,MATCH(CBAM!$B$5&amp;".in.enp.frt.ure.gso",input_data!$A:$A,0))</f>
        <v>0</v>
      </c>
      <c r="O174" s="385">
        <f>O160*INDEX(input_data!$L:$L,MATCH(CBAM!$B$5&amp;".in.enp.frt.ure.gso",input_data!$A:$A,0))</f>
        <v>0</v>
      </c>
      <c r="P174" s="385">
        <f>P160*INDEX(input_data!$L:$L,MATCH(CBAM!$B$5&amp;".in.enp.frt.ure.gso",input_data!$A:$A,0))</f>
        <v>0</v>
      </c>
      <c r="Q174" s="385">
        <f>Q160*INDEX(input_data!$L:$L,MATCH(CBAM!$B$5&amp;".in.enp.frt.ure.gso",input_data!$A:$A,0))</f>
        <v>0</v>
      </c>
      <c r="R174" s="385">
        <f>R160*INDEX(input_data!$L:$L,MATCH(CBAM!$B$5&amp;".in.enp.frt.ure.gso",input_data!$A:$A,0))</f>
        <v>0</v>
      </c>
      <c r="S174" s="385">
        <f>S160*INDEX(input_data!$L:$L,MATCH(CBAM!$B$5&amp;".in.enp.frt.ure.gso",input_data!$A:$A,0))</f>
        <v>0</v>
      </c>
      <c r="T174" s="385">
        <f>T160*INDEX(input_data!$L:$L,MATCH(CBAM!$B$5&amp;".in.enp.frt.ure.gso",input_data!$A:$A,0))</f>
        <v>0</v>
      </c>
      <c r="U174" s="385">
        <f>U160*INDEX(input_data!$L:$L,MATCH(CBAM!$B$5&amp;".in.enp.frt.ure.gso",input_data!$A:$A,0))</f>
        <v>0</v>
      </c>
      <c r="V174" s="385">
        <f>V160*INDEX(input_data!$L:$L,MATCH(CBAM!$B$5&amp;".in.enp.frt.ure.gso",input_data!$A:$A,0))</f>
        <v>0</v>
      </c>
      <c r="W174" s="385">
        <f>W160*INDEX(input_data!$L:$L,MATCH(CBAM!$B$5&amp;".in.enp.frt.ure.gso",input_data!$A:$A,0))</f>
        <v>0</v>
      </c>
      <c r="X174" s="385">
        <f>X160*INDEX(input_data!$L:$L,MATCH(CBAM!$B$5&amp;".in.enp.frt.ure.gso",input_data!$A:$A,0))</f>
        <v>0</v>
      </c>
    </row>
    <row r="175" spans="1:24" ht="15" customHeight="1" x14ac:dyDescent="0.25">
      <c r="A175" s="380" t="str">
        <f>CBAM!$B$5&amp;".pj.enp.frt.ure.die"</f>
        <v>egy.pj.enp.frt.ure.die</v>
      </c>
      <c r="B175" s="380" t="str">
        <f>CBAM!$B$5</f>
        <v>egy</v>
      </c>
      <c r="C175" s="380" t="s">
        <v>1275</v>
      </c>
      <c r="D175" s="380" t="s">
        <v>1328</v>
      </c>
      <c r="E175" s="380" t="s">
        <v>330</v>
      </c>
      <c r="F175" s="380" t="s">
        <v>1473</v>
      </c>
      <c r="G175" s="380" t="s">
        <v>762</v>
      </c>
      <c r="H175" s="380" t="s">
        <v>1489</v>
      </c>
      <c r="I175" s="380" t="s">
        <v>1319</v>
      </c>
      <c r="J175" s="380" t="s">
        <v>1330</v>
      </c>
      <c r="K175" s="380"/>
      <c r="L175" s="380"/>
      <c r="M175" s="385">
        <f>M160*INDEX(input_data!$L:$L,MATCH(CBAM!$B$5&amp;".in.enp.frt.ure.die",input_data!$A:$A,0))</f>
        <v>0</v>
      </c>
      <c r="N175" s="385">
        <f>N160*INDEX(input_data!$L:$L,MATCH(CBAM!$B$5&amp;".in.enp.frt.ure.die",input_data!$A:$A,0))</f>
        <v>0</v>
      </c>
      <c r="O175" s="385">
        <f>O160*INDEX(input_data!$L:$L,MATCH(CBAM!$B$5&amp;".in.enp.frt.ure.die",input_data!$A:$A,0))</f>
        <v>0</v>
      </c>
      <c r="P175" s="385">
        <f>P160*INDEX(input_data!$L:$L,MATCH(CBAM!$B$5&amp;".in.enp.frt.ure.die",input_data!$A:$A,0))</f>
        <v>0</v>
      </c>
      <c r="Q175" s="385">
        <f>Q160*INDEX(input_data!$L:$L,MATCH(CBAM!$B$5&amp;".in.enp.frt.ure.die",input_data!$A:$A,0))</f>
        <v>0</v>
      </c>
      <c r="R175" s="385">
        <f>R160*INDEX(input_data!$L:$L,MATCH(CBAM!$B$5&amp;".in.enp.frt.ure.die",input_data!$A:$A,0))</f>
        <v>0</v>
      </c>
      <c r="S175" s="385">
        <f>S160*INDEX(input_data!$L:$L,MATCH(CBAM!$B$5&amp;".in.enp.frt.ure.die",input_data!$A:$A,0))</f>
        <v>0</v>
      </c>
      <c r="T175" s="385">
        <f>T160*INDEX(input_data!$L:$L,MATCH(CBAM!$B$5&amp;".in.enp.frt.ure.die",input_data!$A:$A,0))</f>
        <v>0</v>
      </c>
      <c r="U175" s="385">
        <f>U160*INDEX(input_data!$L:$L,MATCH(CBAM!$B$5&amp;".in.enp.frt.ure.die",input_data!$A:$A,0))</f>
        <v>0</v>
      </c>
      <c r="V175" s="385">
        <f>V160*INDEX(input_data!$L:$L,MATCH(CBAM!$B$5&amp;".in.enp.frt.ure.die",input_data!$A:$A,0))</f>
        <v>0</v>
      </c>
      <c r="W175" s="385">
        <f>W160*INDEX(input_data!$L:$L,MATCH(CBAM!$B$5&amp;".in.enp.frt.ure.die",input_data!$A:$A,0))</f>
        <v>0</v>
      </c>
      <c r="X175" s="385">
        <f>X160*INDEX(input_data!$L:$L,MATCH(CBAM!$B$5&amp;".in.enp.frt.ure.die",input_data!$A:$A,0))</f>
        <v>0</v>
      </c>
    </row>
    <row r="176" spans="1:24" ht="15" customHeight="1" x14ac:dyDescent="0.25">
      <c r="A176" s="380" t="str">
        <f>CBAM!$B$5&amp;".pj.enp.frt.ure.ker"</f>
        <v>egy.pj.enp.frt.ure.ker</v>
      </c>
      <c r="B176" s="380" t="str">
        <f>CBAM!$B$5</f>
        <v>egy</v>
      </c>
      <c r="C176" s="380" t="s">
        <v>1275</v>
      </c>
      <c r="D176" s="380" t="s">
        <v>1328</v>
      </c>
      <c r="E176" s="380" t="s">
        <v>330</v>
      </c>
      <c r="F176" s="380" t="s">
        <v>1473</v>
      </c>
      <c r="G176" s="380" t="s">
        <v>1295</v>
      </c>
      <c r="H176" s="380" t="s">
        <v>1490</v>
      </c>
      <c r="I176" s="380" t="s">
        <v>1319</v>
      </c>
      <c r="J176" s="380" t="s">
        <v>1330</v>
      </c>
      <c r="K176" s="380"/>
      <c r="L176" s="380"/>
      <c r="M176" s="385">
        <f>M160*INDEX(input_data!$L:$L,MATCH(CBAM!$B$5&amp;".in.enp.frt.ure.ker",input_data!$A:$A,0))</f>
        <v>0</v>
      </c>
      <c r="N176" s="385">
        <f>N160*INDEX(input_data!$L:$L,MATCH(CBAM!$B$5&amp;".in.enp.frt.ure.ker",input_data!$A:$A,0))</f>
        <v>0</v>
      </c>
      <c r="O176" s="385">
        <f>O160*INDEX(input_data!$L:$L,MATCH(CBAM!$B$5&amp;".in.enp.frt.ure.ker",input_data!$A:$A,0))</f>
        <v>0</v>
      </c>
      <c r="P176" s="385">
        <f>P160*INDEX(input_data!$L:$L,MATCH(CBAM!$B$5&amp;".in.enp.frt.ure.ker",input_data!$A:$A,0))</f>
        <v>0</v>
      </c>
      <c r="Q176" s="385">
        <f>Q160*INDEX(input_data!$L:$L,MATCH(CBAM!$B$5&amp;".in.enp.frt.ure.ker",input_data!$A:$A,0))</f>
        <v>0</v>
      </c>
      <c r="R176" s="385">
        <f>R160*INDEX(input_data!$L:$L,MATCH(CBAM!$B$5&amp;".in.enp.frt.ure.ker",input_data!$A:$A,0))</f>
        <v>0</v>
      </c>
      <c r="S176" s="385">
        <f>S160*INDEX(input_data!$L:$L,MATCH(CBAM!$B$5&amp;".in.enp.frt.ure.ker",input_data!$A:$A,0))</f>
        <v>0</v>
      </c>
      <c r="T176" s="385">
        <f>T160*INDEX(input_data!$L:$L,MATCH(CBAM!$B$5&amp;".in.enp.frt.ure.ker",input_data!$A:$A,0))</f>
        <v>0</v>
      </c>
      <c r="U176" s="385">
        <f>U160*INDEX(input_data!$L:$L,MATCH(CBAM!$B$5&amp;".in.enp.frt.ure.ker",input_data!$A:$A,0))</f>
        <v>0</v>
      </c>
      <c r="V176" s="385">
        <f>V160*INDEX(input_data!$L:$L,MATCH(CBAM!$B$5&amp;".in.enp.frt.ure.ker",input_data!$A:$A,0))</f>
        <v>0</v>
      </c>
      <c r="W176" s="385">
        <f>W160*INDEX(input_data!$L:$L,MATCH(CBAM!$B$5&amp;".in.enp.frt.ure.ker",input_data!$A:$A,0))</f>
        <v>0</v>
      </c>
      <c r="X176" s="385">
        <f>X160*INDEX(input_data!$L:$L,MATCH(CBAM!$B$5&amp;".in.enp.frt.ure.ker",input_data!$A:$A,0))</f>
        <v>0</v>
      </c>
    </row>
    <row r="177" spans="1:24" ht="15" customHeight="1" x14ac:dyDescent="0.25">
      <c r="A177" s="380" t="str">
        <f>CBAM!$B$5&amp;".pj.enp.frt.ure.lpg"</f>
        <v>egy.pj.enp.frt.ure.lpg</v>
      </c>
      <c r="B177" s="380" t="str">
        <f>CBAM!$B$5</f>
        <v>egy</v>
      </c>
      <c r="C177" s="380" t="s">
        <v>1275</v>
      </c>
      <c r="D177" s="380" t="s">
        <v>1328</v>
      </c>
      <c r="E177" s="380" t="s">
        <v>330</v>
      </c>
      <c r="F177" s="380" t="s">
        <v>1473</v>
      </c>
      <c r="G177" s="380" t="s">
        <v>1297</v>
      </c>
      <c r="H177" s="380" t="s">
        <v>1491</v>
      </c>
      <c r="I177" s="380" t="s">
        <v>1319</v>
      </c>
      <c r="J177" s="380" t="s">
        <v>1330</v>
      </c>
      <c r="K177" s="380"/>
      <c r="L177" s="380"/>
      <c r="M177" s="385">
        <f>M160*INDEX(input_data!$L:$L,MATCH(CBAM!$B$5&amp;".in.enp.frt.ure.lpg",input_data!$A:$A,0))</f>
        <v>0</v>
      </c>
      <c r="N177" s="385">
        <f>N160*INDEX(input_data!$L:$L,MATCH(CBAM!$B$5&amp;".in.enp.frt.ure.lpg",input_data!$A:$A,0))</f>
        <v>0</v>
      </c>
      <c r="O177" s="385">
        <f>O160*INDEX(input_data!$L:$L,MATCH(CBAM!$B$5&amp;".in.enp.frt.ure.lpg",input_data!$A:$A,0))</f>
        <v>0</v>
      </c>
      <c r="P177" s="385">
        <f>P160*INDEX(input_data!$L:$L,MATCH(CBAM!$B$5&amp;".in.enp.frt.ure.lpg",input_data!$A:$A,0))</f>
        <v>0</v>
      </c>
      <c r="Q177" s="385">
        <f>Q160*INDEX(input_data!$L:$L,MATCH(CBAM!$B$5&amp;".in.enp.frt.ure.lpg",input_data!$A:$A,0))</f>
        <v>0</v>
      </c>
      <c r="R177" s="385">
        <f>R160*INDEX(input_data!$L:$L,MATCH(CBAM!$B$5&amp;".in.enp.frt.ure.lpg",input_data!$A:$A,0))</f>
        <v>0</v>
      </c>
      <c r="S177" s="385">
        <f>S160*INDEX(input_data!$L:$L,MATCH(CBAM!$B$5&amp;".in.enp.frt.ure.lpg",input_data!$A:$A,0))</f>
        <v>0</v>
      </c>
      <c r="T177" s="385">
        <f>T160*INDEX(input_data!$L:$L,MATCH(CBAM!$B$5&amp;".in.enp.frt.ure.lpg",input_data!$A:$A,0))</f>
        <v>0</v>
      </c>
      <c r="U177" s="385">
        <f>U160*INDEX(input_data!$L:$L,MATCH(CBAM!$B$5&amp;".in.enp.frt.ure.lpg",input_data!$A:$A,0))</f>
        <v>0</v>
      </c>
      <c r="V177" s="385">
        <f>V160*INDEX(input_data!$L:$L,MATCH(CBAM!$B$5&amp;".in.enp.frt.ure.lpg",input_data!$A:$A,0))</f>
        <v>0</v>
      </c>
      <c r="W177" s="385">
        <f>W160*INDEX(input_data!$L:$L,MATCH(CBAM!$B$5&amp;".in.enp.frt.ure.lpg",input_data!$A:$A,0))</f>
        <v>0</v>
      </c>
      <c r="X177" s="385">
        <f>X160*INDEX(input_data!$L:$L,MATCH(CBAM!$B$5&amp;".in.enp.frt.ure.lpg",input_data!$A:$A,0))</f>
        <v>0</v>
      </c>
    </row>
    <row r="178" spans="1:24" ht="15" customHeight="1" x14ac:dyDescent="0.25">
      <c r="A178" s="380" t="str">
        <f>CBAM!$B$5&amp;".pj.enp.frt.ure.bio"</f>
        <v>egy.pj.enp.frt.ure.bio</v>
      </c>
      <c r="B178" s="380" t="str">
        <f>CBAM!$B$5</f>
        <v>egy</v>
      </c>
      <c r="C178" s="380" t="s">
        <v>1275</v>
      </c>
      <c r="D178" s="380" t="s">
        <v>1328</v>
      </c>
      <c r="E178" s="380" t="s">
        <v>330</v>
      </c>
      <c r="F178" s="380" t="s">
        <v>1473</v>
      </c>
      <c r="G178" s="380" t="s">
        <v>1299</v>
      </c>
      <c r="H178" s="380" t="s">
        <v>1492</v>
      </c>
      <c r="I178" s="380" t="s">
        <v>1319</v>
      </c>
      <c r="J178" s="380" t="s">
        <v>1330</v>
      </c>
      <c r="K178" s="380"/>
      <c r="L178" s="380"/>
      <c r="M178" s="385">
        <f>M160*INDEX(input_data!$L:$L,MATCH(CBAM!$B$5&amp;".in.enp.frt.ure.bio",input_data!$A:$A,0))</f>
        <v>0</v>
      </c>
      <c r="N178" s="385">
        <f>N160*INDEX(input_data!$L:$L,MATCH(CBAM!$B$5&amp;".in.enp.frt.ure.bio",input_data!$A:$A,0))</f>
        <v>0</v>
      </c>
      <c r="O178" s="385">
        <f>O160*INDEX(input_data!$L:$L,MATCH(CBAM!$B$5&amp;".in.enp.frt.ure.bio",input_data!$A:$A,0))</f>
        <v>0</v>
      </c>
      <c r="P178" s="385">
        <f>P160*INDEX(input_data!$L:$L,MATCH(CBAM!$B$5&amp;".in.enp.frt.ure.bio",input_data!$A:$A,0))</f>
        <v>0</v>
      </c>
      <c r="Q178" s="385">
        <f>Q160*INDEX(input_data!$L:$L,MATCH(CBAM!$B$5&amp;".in.enp.frt.ure.bio",input_data!$A:$A,0))</f>
        <v>0</v>
      </c>
      <c r="R178" s="385">
        <f>R160*INDEX(input_data!$L:$L,MATCH(CBAM!$B$5&amp;".in.enp.frt.ure.bio",input_data!$A:$A,0))</f>
        <v>0</v>
      </c>
      <c r="S178" s="385">
        <f>S160*INDEX(input_data!$L:$L,MATCH(CBAM!$B$5&amp;".in.enp.frt.ure.bio",input_data!$A:$A,0))</f>
        <v>0</v>
      </c>
      <c r="T178" s="385">
        <f>T160*INDEX(input_data!$L:$L,MATCH(CBAM!$B$5&amp;".in.enp.frt.ure.bio",input_data!$A:$A,0))</f>
        <v>0</v>
      </c>
      <c r="U178" s="385">
        <f>U160*INDEX(input_data!$L:$L,MATCH(CBAM!$B$5&amp;".in.enp.frt.ure.bio",input_data!$A:$A,0))</f>
        <v>0</v>
      </c>
      <c r="V178" s="385">
        <f>V160*INDEX(input_data!$L:$L,MATCH(CBAM!$B$5&amp;".in.enp.frt.ure.bio",input_data!$A:$A,0))</f>
        <v>0</v>
      </c>
      <c r="W178" s="385">
        <f>W160*INDEX(input_data!$L:$L,MATCH(CBAM!$B$5&amp;".in.enp.frt.ure.bio",input_data!$A:$A,0))</f>
        <v>0</v>
      </c>
      <c r="X178" s="385">
        <f>X160*INDEX(input_data!$L:$L,MATCH(CBAM!$B$5&amp;".in.enp.frt.ure.bio",input_data!$A:$A,0))</f>
        <v>0</v>
      </c>
    </row>
    <row r="179" spans="1:24" ht="15" customHeight="1" x14ac:dyDescent="0.25">
      <c r="A179" s="380" t="str">
        <f>CBAM!$B$5&amp;".pj.enp.frt.ure.ren"</f>
        <v>egy.pj.enp.frt.ure.ren</v>
      </c>
      <c r="B179" s="380" t="str">
        <f>CBAM!$B$5</f>
        <v>egy</v>
      </c>
      <c r="C179" s="380" t="s">
        <v>1275</v>
      </c>
      <c r="D179" s="380" t="s">
        <v>1328</v>
      </c>
      <c r="E179" s="380" t="s">
        <v>330</v>
      </c>
      <c r="F179" s="380" t="s">
        <v>1473</v>
      </c>
      <c r="G179" s="380" t="s">
        <v>1301</v>
      </c>
      <c r="H179" s="380" t="s">
        <v>1493</v>
      </c>
      <c r="I179" s="380" t="s">
        <v>1319</v>
      </c>
      <c r="J179" s="380" t="s">
        <v>1330</v>
      </c>
      <c r="K179" s="380"/>
      <c r="L179" s="380"/>
      <c r="M179" s="385">
        <f>M160*INDEX(input_data!$L:$L,MATCH(CBAM!$B$5&amp;".in.enp.frt.ure.ren",input_data!$A:$A,0))</f>
        <v>0</v>
      </c>
      <c r="N179" s="385">
        <f>N160*INDEX(input_data!$L:$L,MATCH(CBAM!$B$5&amp;".in.enp.frt.ure.ren",input_data!$A:$A,0))</f>
        <v>0</v>
      </c>
      <c r="O179" s="385">
        <f>O160*INDEX(input_data!$L:$L,MATCH(CBAM!$B$5&amp;".in.enp.frt.ure.ren",input_data!$A:$A,0))</f>
        <v>0</v>
      </c>
      <c r="P179" s="385">
        <f>P160*INDEX(input_data!$L:$L,MATCH(CBAM!$B$5&amp;".in.enp.frt.ure.ren",input_data!$A:$A,0))</f>
        <v>0</v>
      </c>
      <c r="Q179" s="385">
        <f>Q160*INDEX(input_data!$L:$L,MATCH(CBAM!$B$5&amp;".in.enp.frt.ure.ren",input_data!$A:$A,0))</f>
        <v>0</v>
      </c>
      <c r="R179" s="385">
        <f>R160*INDEX(input_data!$L:$L,MATCH(CBAM!$B$5&amp;".in.enp.frt.ure.ren",input_data!$A:$A,0))</f>
        <v>0</v>
      </c>
      <c r="S179" s="385">
        <f>S160*INDEX(input_data!$L:$L,MATCH(CBAM!$B$5&amp;".in.enp.frt.ure.ren",input_data!$A:$A,0))</f>
        <v>0</v>
      </c>
      <c r="T179" s="385">
        <f>T160*INDEX(input_data!$L:$L,MATCH(CBAM!$B$5&amp;".in.enp.frt.ure.ren",input_data!$A:$A,0))</f>
        <v>0</v>
      </c>
      <c r="U179" s="385">
        <f>U160*INDEX(input_data!$L:$L,MATCH(CBAM!$B$5&amp;".in.enp.frt.ure.ren",input_data!$A:$A,0))</f>
        <v>0</v>
      </c>
      <c r="V179" s="385">
        <f>V160*INDEX(input_data!$L:$L,MATCH(CBAM!$B$5&amp;".in.enp.frt.ure.ren",input_data!$A:$A,0))</f>
        <v>0</v>
      </c>
      <c r="W179" s="385">
        <f>W160*INDEX(input_data!$L:$L,MATCH(CBAM!$B$5&amp;".in.enp.frt.ure.ren",input_data!$A:$A,0))</f>
        <v>0</v>
      </c>
      <c r="X179" s="385">
        <f>X160*INDEX(input_data!$L:$L,MATCH(CBAM!$B$5&amp;".in.enp.frt.ure.ren",input_data!$A:$A,0))</f>
        <v>0</v>
      </c>
    </row>
    <row r="180" spans="1:24" ht="15" customHeight="1" x14ac:dyDescent="0.25">
      <c r="A180" s="380" t="str">
        <f>CBAM!$B$5&amp;".pj.ele.frt.ure.elc"</f>
        <v>egy.pj.ele.frt.ure.elc</v>
      </c>
      <c r="B180" s="380" t="str">
        <f>CBAM!$B$5</f>
        <v>egy</v>
      </c>
      <c r="C180" s="380" t="s">
        <v>1275</v>
      </c>
      <c r="D180" s="380" t="s">
        <v>1338</v>
      </c>
      <c r="E180" s="380" t="s">
        <v>330</v>
      </c>
      <c r="F180" s="380" t="s">
        <v>1473</v>
      </c>
      <c r="G180" s="380" t="s">
        <v>1339</v>
      </c>
      <c r="H180" s="380" t="s">
        <v>1494</v>
      </c>
      <c r="I180" s="380" t="s">
        <v>1319</v>
      </c>
      <c r="J180" s="380" t="s">
        <v>1341</v>
      </c>
      <c r="K180" s="380"/>
      <c r="L180" s="380"/>
      <c r="M180" s="385">
        <f>M160*INDEX(input_data!$L:$L,MATCH(CBAM!$B$5&amp;".in.ele.frt.ure.elc",input_data!$A:$A,0))</f>
        <v>0.42</v>
      </c>
      <c r="N180" s="385">
        <f>N160*INDEX(input_data!$L:$L,MATCH(CBAM!$B$5&amp;".in.ele.frt.ure.elc",input_data!$A:$A,0))</f>
        <v>0.43139541026765688</v>
      </c>
      <c r="O180" s="385">
        <f>O160*INDEX(input_data!$L:$L,MATCH(CBAM!$B$5&amp;".in.ele.frt.ure.elc",input_data!$A:$A,0))</f>
        <v>0.44309999999999994</v>
      </c>
      <c r="P180" s="385">
        <f>P160*INDEX(input_data!$L:$L,MATCH(CBAM!$B$5&amp;".in.ele.frt.ure.elc",input_data!$A:$A,0))</f>
        <v>0.45512215783237786</v>
      </c>
      <c r="Q180" s="385">
        <f>Q160*INDEX(input_data!$L:$L,MATCH(CBAM!$B$5&amp;".in.ele.frt.ure.elc",input_data!$A:$A,0))</f>
        <v>0.4674704999999999</v>
      </c>
      <c r="R180" s="385">
        <f>R160*INDEX(input_data!$L:$L,MATCH(CBAM!$B$5&amp;".in.ele.frt.ure.elc",input_data!$A:$A,0))</f>
        <v>0.48015387651315866</v>
      </c>
      <c r="S180" s="385">
        <f>S160*INDEX(input_data!$L:$L,MATCH(CBAM!$B$5&amp;".in.ele.frt.ure.elc",input_data!$A:$A,0))</f>
        <v>0.49318137749999991</v>
      </c>
      <c r="T180" s="385">
        <f>T160*INDEX(input_data!$L:$L,MATCH(CBAM!$B$5&amp;".in.ele.frt.ure.elc",input_data!$A:$A,0))</f>
        <v>0.50656233972138243</v>
      </c>
      <c r="U180" s="385">
        <f>U160*INDEX(input_data!$L:$L,MATCH(CBAM!$B$5&amp;".in.ele.frt.ure.elc",input_data!$A:$A,0))</f>
        <v>0.52030635326249985</v>
      </c>
      <c r="V180" s="385">
        <f>V160*INDEX(input_data!$L:$L,MATCH(CBAM!$B$5&amp;".in.ele.frt.ure.elc",input_data!$A:$A,0))</f>
        <v>0.53442326840605836</v>
      </c>
      <c r="W180" s="385">
        <f>W160*INDEX(input_data!$L:$L,MATCH(CBAM!$B$5&amp;".in.ele.frt.ure.elc",input_data!$A:$A,0))</f>
        <v>0.54892320269193728</v>
      </c>
      <c r="X180" s="385">
        <f>X160*INDEX(input_data!$L:$L,MATCH(CBAM!$B$5&amp;".in.ele.frt.ure.elc",input_data!$A:$A,0))</f>
        <v>0.56381654816839166</v>
      </c>
    </row>
    <row r="181" spans="1:24" ht="15" customHeight="1" x14ac:dyDescent="0.25">
      <c r="A181" s="380" t="str">
        <f>CBAM!$B$5&amp;".em.sfc.frt.ure.---"</f>
        <v>egy.em.sfc.frt.ure.---</v>
      </c>
      <c r="B181" s="380" t="str">
        <f>CBAM!$B$5</f>
        <v>egy</v>
      </c>
      <c r="C181" s="380" t="s">
        <v>1342</v>
      </c>
      <c r="D181" s="380" t="s">
        <v>1343</v>
      </c>
      <c r="E181" s="380" t="s">
        <v>330</v>
      </c>
      <c r="F181" s="380" t="s">
        <v>1473</v>
      </c>
      <c r="G181" s="380" t="s">
        <v>1277</v>
      </c>
      <c r="H181" s="380" t="s">
        <v>1495</v>
      </c>
      <c r="I181" s="380" t="s">
        <v>1345</v>
      </c>
      <c r="J181" s="380" t="s">
        <v>1346</v>
      </c>
      <c r="K181" s="380"/>
      <c r="L181" s="380"/>
      <c r="M181" s="385">
        <f t="shared" ref="M181:X181" si="11">SUMPRODUCT(M164:M171,M10:M17)/1000</f>
        <v>0.15708</v>
      </c>
      <c r="N181" s="385">
        <f t="shared" si="11"/>
        <v>0.16134188344010367</v>
      </c>
      <c r="O181" s="385">
        <f t="shared" si="11"/>
        <v>0.16571939999999999</v>
      </c>
      <c r="P181" s="385">
        <f t="shared" si="11"/>
        <v>0.17021568702930931</v>
      </c>
      <c r="Q181" s="385">
        <f t="shared" si="11"/>
        <v>0.17483396699999998</v>
      </c>
      <c r="R181" s="385">
        <f t="shared" si="11"/>
        <v>0.17957754981592133</v>
      </c>
      <c r="S181" s="385">
        <f t="shared" si="11"/>
        <v>0.18444983518499999</v>
      </c>
      <c r="T181" s="385">
        <f t="shared" si="11"/>
        <v>0.18945431505579702</v>
      </c>
      <c r="U181" s="385">
        <f t="shared" si="11"/>
        <v>0.19459457612017497</v>
      </c>
      <c r="V181" s="385">
        <f t="shared" si="11"/>
        <v>0.19987430238386586</v>
      </c>
      <c r="W181" s="385">
        <f t="shared" si="11"/>
        <v>0.20529727780678456</v>
      </c>
      <c r="X181" s="385">
        <f t="shared" si="11"/>
        <v>0.21086738901497848</v>
      </c>
    </row>
    <row r="182" spans="1:24" ht="15" customHeight="1" x14ac:dyDescent="0.25">
      <c r="A182" s="380" t="str">
        <f>CBAM!$B$5&amp;".em.sfp.frt.ure.---"</f>
        <v>egy.em.sfp.frt.ure.---</v>
      </c>
      <c r="B182" s="380" t="str">
        <f>CBAM!$B$5</f>
        <v>egy</v>
      </c>
      <c r="C182" s="380" t="s">
        <v>1342</v>
      </c>
      <c r="D182" s="380" t="s">
        <v>1347</v>
      </c>
      <c r="E182" s="380" t="s">
        <v>330</v>
      </c>
      <c r="F182" s="380" t="s">
        <v>1473</v>
      </c>
      <c r="G182" s="380" t="s">
        <v>1277</v>
      </c>
      <c r="H182" s="380" t="s">
        <v>1496</v>
      </c>
      <c r="I182" s="380" t="s">
        <v>1345</v>
      </c>
      <c r="J182" s="380" t="s">
        <v>1349</v>
      </c>
      <c r="K182" s="380"/>
      <c r="L182" s="380"/>
      <c r="M182" s="385">
        <f t="shared" ref="M182:X182" si="12">SUMPRODUCT(M172:M179,M10:M17)/1000</f>
        <v>0</v>
      </c>
      <c r="N182" s="385">
        <f t="shared" si="12"/>
        <v>0</v>
      </c>
      <c r="O182" s="385">
        <f t="shared" si="12"/>
        <v>0</v>
      </c>
      <c r="P182" s="385">
        <f t="shared" si="12"/>
        <v>0</v>
      </c>
      <c r="Q182" s="385">
        <f t="shared" si="12"/>
        <v>0</v>
      </c>
      <c r="R182" s="385">
        <f t="shared" si="12"/>
        <v>0</v>
      </c>
      <c r="S182" s="385">
        <f t="shared" si="12"/>
        <v>0</v>
      </c>
      <c r="T182" s="385">
        <f t="shared" si="12"/>
        <v>0</v>
      </c>
      <c r="U182" s="385">
        <f t="shared" si="12"/>
        <v>0</v>
      </c>
      <c r="V182" s="385">
        <f t="shared" si="12"/>
        <v>0</v>
      </c>
      <c r="W182" s="385">
        <f t="shared" si="12"/>
        <v>0</v>
      </c>
      <c r="X182" s="385">
        <f t="shared" si="12"/>
        <v>0</v>
      </c>
    </row>
    <row r="183" spans="1:24" ht="15" customHeight="1" x14ac:dyDescent="0.25">
      <c r="A183" s="380" t="str">
        <f>CBAM!$B$5&amp;".em.snp.frt.ure.---"</f>
        <v>egy.em.snp.frt.ure.---</v>
      </c>
      <c r="B183" s="380" t="str">
        <f>CBAM!$B$5</f>
        <v>egy</v>
      </c>
      <c r="C183" s="380" t="s">
        <v>1342</v>
      </c>
      <c r="D183" s="380" t="s">
        <v>1350</v>
      </c>
      <c r="E183" s="380" t="s">
        <v>330</v>
      </c>
      <c r="F183" s="380" t="s">
        <v>1473</v>
      </c>
      <c r="G183" s="380" t="s">
        <v>1277</v>
      </c>
      <c r="H183" s="380" t="s">
        <v>1497</v>
      </c>
      <c r="I183" s="380" t="s">
        <v>1345</v>
      </c>
      <c r="J183" s="380" t="s">
        <v>1352</v>
      </c>
      <c r="K183" s="380"/>
      <c r="L183" s="380"/>
      <c r="M183" s="385">
        <f>M160*INDEX(input_data!$L:$L,MATCH(CBAM!$B$5&amp;".in.efn.frt.ure.---",input_data!$A:$A,0))</f>
        <v>-1.0262</v>
      </c>
      <c r="N183" s="385">
        <f>N160*INDEX(input_data!$L:$L,MATCH(CBAM!$B$5&amp;".in.efn.frt.ure.---",input_data!$A:$A,0))</f>
        <v>-1.0540427857539749</v>
      </c>
      <c r="O183" s="385">
        <f>O160*INDEX(input_data!$L:$L,MATCH(CBAM!$B$5&amp;".in.efn.frt.ure.---",input_data!$A:$A,0))</f>
        <v>-1.082641</v>
      </c>
      <c r="P183" s="385">
        <f>P160*INDEX(input_data!$L:$L,MATCH(CBAM!$B$5&amp;".in.efn.frt.ure.---",input_data!$A:$A,0))</f>
        <v>-1.1120151389704434</v>
      </c>
      <c r="Q183" s="385">
        <f>Q160*INDEX(input_data!$L:$L,MATCH(CBAM!$B$5&amp;".in.efn.frt.ure.---",input_data!$A:$A,0))</f>
        <v>-1.1421862549999999</v>
      </c>
      <c r="R183" s="385">
        <f>R160*INDEX(input_data!$L:$L,MATCH(CBAM!$B$5&amp;".in.efn.frt.ure.---",input_data!$A:$A,0))</f>
        <v>-1.1731759716138177</v>
      </c>
      <c r="S183" s="385">
        <f>S160*INDEX(input_data!$L:$L,MATCH(CBAM!$B$5&amp;".in.efn.frt.ure.---",input_data!$A:$A,0))</f>
        <v>-1.2050064990249998</v>
      </c>
      <c r="T183" s="385">
        <f>T160*INDEX(input_data!$L:$L,MATCH(CBAM!$B$5&amp;".in.efn.frt.ure.---",input_data!$A:$A,0))</f>
        <v>-1.2377006500525776</v>
      </c>
      <c r="U183" s="385">
        <f>U160*INDEX(input_data!$L:$L,MATCH(CBAM!$B$5&amp;".in.efn.frt.ure.---",input_data!$A:$A,0))</f>
        <v>-1.2712818564713746</v>
      </c>
      <c r="V183" s="385">
        <f>V160*INDEX(input_data!$L:$L,MATCH(CBAM!$B$5&amp;".in.efn.frt.ure.---",input_data!$A:$A,0))</f>
        <v>-1.3057741858054694</v>
      </c>
      <c r="W183" s="385">
        <f>W160*INDEX(input_data!$L:$L,MATCH(CBAM!$B$5&amp;".in.efn.frt.ure.---",input_data!$A:$A,0))</f>
        <v>-1.3412023585773003</v>
      </c>
      <c r="X183" s="385">
        <f>X160*INDEX(input_data!$L:$L,MATCH(CBAM!$B$5&amp;".in.efn.frt.ure.---",input_data!$A:$A,0))</f>
        <v>-1.3775917660247703</v>
      </c>
    </row>
    <row r="184" spans="1:24" ht="15" customHeight="1" x14ac:dyDescent="0.25">
      <c r="A184" s="380" t="str">
        <f>CBAM!$B$5&amp;".em.sno.frt.ure.---"</f>
        <v>egy.em.sno.frt.ure.---</v>
      </c>
      <c r="B184" s="380" t="str">
        <f>CBAM!$B$5</f>
        <v>egy</v>
      </c>
      <c r="C184" s="380" t="s">
        <v>1342</v>
      </c>
      <c r="D184" s="380" t="s">
        <v>1353</v>
      </c>
      <c r="E184" s="380" t="s">
        <v>330</v>
      </c>
      <c r="F184" s="380" t="s">
        <v>1473</v>
      </c>
      <c r="G184" s="380" t="s">
        <v>1277</v>
      </c>
      <c r="H184" s="380" t="s">
        <v>1498</v>
      </c>
      <c r="I184" s="380" t="s">
        <v>1355</v>
      </c>
      <c r="J184" s="380" t="s">
        <v>1356</v>
      </c>
      <c r="K184" s="380"/>
      <c r="L184" s="380"/>
      <c r="M184" s="385">
        <f>M160*INDEX(input_data!$L:$L,MATCH(CBAM!$B$5&amp;".in.efo.frt.ure.---",input_data!$A:$A,0))</f>
        <v>0</v>
      </c>
      <c r="N184" s="385">
        <f>N160*INDEX(input_data!$L:$L,MATCH(CBAM!$B$5&amp;".in.efo.frt.ure.---",input_data!$A:$A,0))</f>
        <v>0</v>
      </c>
      <c r="O184" s="385">
        <f>O160*INDEX(input_data!$L:$L,MATCH(CBAM!$B$5&amp;".in.efo.frt.ure.---",input_data!$A:$A,0))</f>
        <v>0</v>
      </c>
      <c r="P184" s="385">
        <f>P160*INDEX(input_data!$L:$L,MATCH(CBAM!$B$5&amp;".in.efo.frt.ure.---",input_data!$A:$A,0))</f>
        <v>0</v>
      </c>
      <c r="Q184" s="385">
        <f>Q160*INDEX(input_data!$L:$L,MATCH(CBAM!$B$5&amp;".in.efo.frt.ure.---",input_data!$A:$A,0))</f>
        <v>0</v>
      </c>
      <c r="R184" s="385">
        <f>R160*INDEX(input_data!$L:$L,MATCH(CBAM!$B$5&amp;".in.efo.frt.ure.---",input_data!$A:$A,0))</f>
        <v>0</v>
      </c>
      <c r="S184" s="385">
        <f>S160*INDEX(input_data!$L:$L,MATCH(CBAM!$B$5&amp;".in.efo.frt.ure.---",input_data!$A:$A,0))</f>
        <v>0</v>
      </c>
      <c r="T184" s="385">
        <f>T160*INDEX(input_data!$L:$L,MATCH(CBAM!$B$5&amp;".in.efo.frt.ure.---",input_data!$A:$A,0))</f>
        <v>0</v>
      </c>
      <c r="U184" s="385">
        <f>U160*INDEX(input_data!$L:$L,MATCH(CBAM!$B$5&amp;".in.efo.frt.ure.---",input_data!$A:$A,0))</f>
        <v>0</v>
      </c>
      <c r="V184" s="385">
        <f>V160*INDEX(input_data!$L:$L,MATCH(CBAM!$B$5&amp;".in.efo.frt.ure.---",input_data!$A:$A,0))</f>
        <v>0</v>
      </c>
      <c r="W184" s="385">
        <f>W160*INDEX(input_data!$L:$L,MATCH(CBAM!$B$5&amp;".in.efo.frt.ure.---",input_data!$A:$A,0))</f>
        <v>0</v>
      </c>
      <c r="X184" s="385">
        <f>X160*INDEX(input_data!$L:$L,MATCH(CBAM!$B$5&amp;".in.efo.frt.ure.---",input_data!$A:$A,0))</f>
        <v>0</v>
      </c>
    </row>
    <row r="185" spans="1:24" ht="15" customHeight="1" x14ac:dyDescent="0.25">
      <c r="A185" s="380" t="str">
        <f>CBAM!$B$5&amp;".em.s2e.frt.ure.elc"</f>
        <v>egy.em.s2e.frt.ure.elc</v>
      </c>
      <c r="B185" s="380" t="str">
        <f>CBAM!$B$5</f>
        <v>egy</v>
      </c>
      <c r="C185" s="380" t="s">
        <v>1342</v>
      </c>
      <c r="D185" s="380" t="s">
        <v>1357</v>
      </c>
      <c r="E185" s="380" t="s">
        <v>330</v>
      </c>
      <c r="F185" s="380" t="s">
        <v>1473</v>
      </c>
      <c r="G185" s="380" t="s">
        <v>1339</v>
      </c>
      <c r="H185" s="380" t="s">
        <v>1499</v>
      </c>
      <c r="I185" s="380" t="s">
        <v>1345</v>
      </c>
      <c r="J185" s="380" t="s">
        <v>1359</v>
      </c>
      <c r="K185" s="380"/>
      <c r="L185" s="380"/>
      <c r="M185" s="385">
        <f>M180*INDEX(input_data!$M:$X,MATCH(CBAM!$B$5&amp;".in.gef.---.---.---",input_data!$A:$A,0),COLUMNS($M:M))/3.6</f>
        <v>5.9499999999999997E-2</v>
      </c>
      <c r="N185" s="385">
        <f>N180*INDEX(input_data!$M:$X,MATCH(CBAM!$B$5&amp;".in.gef.---.---.---",input_data!$A:$A,0),COLUMNS($M:N))/3.6</f>
        <v>5.9916029203841231E-2</v>
      </c>
      <c r="O185" s="385">
        <f>O180*INDEX(input_data!$M:$X,MATCH(CBAM!$B$5&amp;".in.gef.---.---.---",input_data!$A:$A,0),COLUMNS($M:O))/3.6</f>
        <v>6.0310833333333327E-2</v>
      </c>
      <c r="P185" s="385">
        <f>P180*INDEX(input_data!$M:$X,MATCH(CBAM!$B$5&amp;".in.gef.---.---.---",input_data!$A:$A,0),COLUMNS($M:P))/3.6</f>
        <v>6.0682954377650374E-2</v>
      </c>
      <c r="Q185" s="385">
        <f>Q180*INDEX(input_data!$M:$X,MATCH(CBAM!$B$5&amp;".in.gef.---.---.---",input_data!$A:$A,0),COLUMNS($M:Q))/3.6</f>
        <v>6.103087083333332E-2</v>
      </c>
      <c r="R185" s="385">
        <f>R180*INDEX(input_data!$M:$X,MATCH(CBAM!$B$5&amp;".in.gef.---.---.---",input_data!$A:$A,0),COLUMNS($M:R))/3.6</f>
        <v>6.135299533223694E-2</v>
      </c>
      <c r="S185" s="385">
        <f>S180*INDEX(input_data!$M:$X,MATCH(CBAM!$B$5&amp;".in.gef.---.---.---",input_data!$A:$A,0),COLUMNS($M:S))/3.6</f>
        <v>6.1647672187499988E-2</v>
      </c>
      <c r="T185" s="385">
        <f>T180*INDEX(input_data!$M:$X,MATCH(CBAM!$B$5&amp;".in.gef.---.---.---",input_data!$A:$A,0),COLUMNS($M:T))/3.6</f>
        <v>6.1913174854835634E-2</v>
      </c>
      <c r="U185" s="385">
        <f>U180*INDEX(input_data!$M:$X,MATCH(CBAM!$B$5&amp;".in.gef.---.---.---",input_data!$A:$A,0),COLUMNS($M:U))/3.6</f>
        <v>6.2147703306354149E-2</v>
      </c>
      <c r="V185" s="385">
        <f>V180*INDEX(input_data!$M:$X,MATCH(CBAM!$B$5&amp;".in.gef.---.---.---",input_data!$A:$A,0),COLUMNS($M:V))/3.6</f>
        <v>6.2349381314040143E-2</v>
      </c>
      <c r="W185" s="385">
        <f>W180*INDEX(input_data!$M:$X,MATCH(CBAM!$B$5&amp;".in.gef.---.---.---",input_data!$A:$A,0),COLUMNS($M:W))/3.6</f>
        <v>6.2516253639915073E-2</v>
      </c>
      <c r="X185" s="385">
        <f>X180*INDEX(input_data!$M:$X,MATCH(CBAM!$B$5&amp;".in.gef.---.---.---",input_data!$A:$A,0),COLUMNS($M:X))/3.6</f>
        <v>6.2646283129821304E-2</v>
      </c>
    </row>
    <row r="187" spans="1:24" ht="21.75" customHeight="1" x14ac:dyDescent="0.25">
      <c r="A187" s="12" t="s">
        <v>1500</v>
      </c>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spans="1:24" ht="15" customHeight="1" x14ac:dyDescent="0.25">
      <c r="A188" s="380" t="str">
        <f>CBAM!$B$5&amp;".pj.prd.frt.nit.---"</f>
        <v>egy.pj.prd.frt.nit.---</v>
      </c>
      <c r="B188" s="380" t="str">
        <f>CBAM!$B$5</f>
        <v>egy</v>
      </c>
      <c r="C188" s="380" t="s">
        <v>1275</v>
      </c>
      <c r="D188" s="380" t="s">
        <v>1304</v>
      </c>
      <c r="E188" s="380" t="s">
        <v>330</v>
      </c>
      <c r="F188" s="380" t="s">
        <v>1501</v>
      </c>
      <c r="G188" s="380" t="s">
        <v>1277</v>
      </c>
      <c r="H188" s="380" t="s">
        <v>1502</v>
      </c>
      <c r="I188" s="380" t="s">
        <v>1307</v>
      </c>
      <c r="J188" s="380" t="s">
        <v>1308</v>
      </c>
      <c r="K188" s="380"/>
      <c r="L188" s="380"/>
      <c r="M188" s="385">
        <f>IFERROR(INDEX(input_data!$L:$L,MATCH(CBAM!$B$5&amp;".in.prb.frt.nit.---",input_data!$A:$A,0))*POWER(M7,INDEX(input_data!$L:$L,MATCH(CBAM!$B$5&amp;".in.els.frt.nit.---",input_data!$A:$A,0))),0)</f>
        <v>0.5</v>
      </c>
      <c r="N188" s="385">
        <f>IFERROR(INDEX(input_data!$L:$L,MATCH(CBAM!$B$5&amp;".in.prb.frt.nit.---",input_data!$A:$A,0))*POWER(N7,INDEX(input_data!$L:$L,MATCH(CBAM!$B$5&amp;".in.els.frt.nit.---",input_data!$A:$A,0))),0)</f>
        <v>0.5108236408997463</v>
      </c>
      <c r="O188" s="385">
        <f>IFERROR(INDEX(input_data!$L:$L,MATCH(CBAM!$B$5&amp;".in.prb.frt.nit.---",input_data!$A:$A,0))*POWER(O7,INDEX(input_data!$L:$L,MATCH(CBAM!$B$5&amp;".in.els.frt.nit.---",input_data!$A:$A,0))),0)</f>
        <v>0.5218815842041461</v>
      </c>
      <c r="P188" s="385">
        <f>IFERROR(INDEX(input_data!$L:$L,MATCH(CBAM!$B$5&amp;".in.prb.frt.nit.---",input_data!$A:$A,0))*POWER(P7,INDEX(input_data!$L:$L,MATCH(CBAM!$B$5&amp;".in.els.frt.nit.---",input_data!$A:$A,0))),0)</f>
        <v>0.53317890192337891</v>
      </c>
      <c r="Q188" s="385">
        <f>IFERROR(INDEX(input_data!$L:$L,MATCH(CBAM!$B$5&amp;".in.prb.frt.nit.---",input_data!$A:$A,0))*POWER(Q7,INDEX(input_data!$L:$L,MATCH(CBAM!$B$5&amp;".in.els.frt.nit.---",input_data!$A:$A,0))),0)</f>
        <v>0.54472077586285839</v>
      </c>
      <c r="R188" s="385">
        <f>IFERROR(INDEX(input_data!$L:$L,MATCH(CBAM!$B$5&amp;".in.prb.frt.nit.---",input_data!$A:$A,0))*POWER(R7,INDEX(input_data!$L:$L,MATCH(CBAM!$B$5&amp;".in.els.frt.nit.---",input_data!$A:$A,0))),0)</f>
        <v>0.55651249999999997</v>
      </c>
      <c r="S188" s="385">
        <f>IFERROR(INDEX(input_data!$L:$L,MATCH(CBAM!$B$5&amp;".in.prb.frt.nit.---",input_data!$A:$A,0))*POWER(S7,INDEX(input_data!$L:$L,MATCH(CBAM!$B$5&amp;".in.els.frt.nit.---",input_data!$A:$A,0))),0)</f>
        <v>0.56855948291244018</v>
      </c>
      <c r="T188" s="385">
        <f>IFERROR(INDEX(input_data!$L:$L,MATCH(CBAM!$B$5&amp;".in.prb.frt.nit.---",input_data!$A:$A,0))*POWER(T7,INDEX(input_data!$L:$L,MATCH(CBAM!$B$5&amp;".in.els.frt.nit.---",input_data!$A:$A,0))),0)</f>
        <v>0.58086725025881958</v>
      </c>
      <c r="U188" s="385">
        <f>IFERROR(INDEX(input_data!$L:$L,MATCH(CBAM!$B$5&amp;".in.prb.frt.nit.---",input_data!$A:$A,0))*POWER(U7,INDEX(input_data!$L:$L,MATCH(CBAM!$B$5&amp;".in.els.frt.nit.---",input_data!$A:$A,0))),0)</f>
        <v>0.59344144731326876</v>
      </c>
      <c r="V188" s="385">
        <f>IFERROR(INDEX(input_data!$L:$L,MATCH(CBAM!$B$5&amp;".in.prb.frt.nit.---",input_data!$A:$A,0))*POWER(V7,INDEX(input_data!$L:$L,MATCH(CBAM!$B$5&amp;".in.els.frt.nit.---",input_data!$A:$A,0))),0)</f>
        <v>0.6062878415547579</v>
      </c>
      <c r="W188" s="385">
        <f>IFERROR(INDEX(input_data!$L:$L,MATCH(CBAM!$B$5&amp;".in.prb.frt.nit.---",input_data!$A:$A,0))*POWER(W7,INDEX(input_data!$L:$L,MATCH(CBAM!$B$5&amp;".in.els.frt.nit.---",input_data!$A:$A,0))),0)</f>
        <v>0.6194123253124999</v>
      </c>
      <c r="X188" s="385">
        <f>IFERROR(INDEX(input_data!$L:$L,MATCH(CBAM!$B$5&amp;".in.prb.frt.nit.---",input_data!$A:$A,0))*POWER(X7,INDEX(input_data!$L:$L,MATCH(CBAM!$B$5&amp;".in.els.frt.nit.---",input_data!$A:$A,0))),0)</f>
        <v>0.63282091846861865</v>
      </c>
    </row>
    <row r="189" spans="1:24" ht="15" customHeight="1" x14ac:dyDescent="0.25">
      <c r="A189" s="380" t="str">
        <f>CBAM!$B$5&amp;".pj.eux.frt.nit.---"</f>
        <v>egy.pj.eux.frt.nit.---</v>
      </c>
      <c r="B189" s="380" t="str">
        <f>CBAM!$B$5</f>
        <v>egy</v>
      </c>
      <c r="C189" s="380" t="s">
        <v>1275</v>
      </c>
      <c r="D189" s="380" t="s">
        <v>1309</v>
      </c>
      <c r="E189" s="380" t="s">
        <v>330</v>
      </c>
      <c r="F189" s="380" t="s">
        <v>1501</v>
      </c>
      <c r="G189" s="380" t="s">
        <v>1277</v>
      </c>
      <c r="H189" s="380" t="s">
        <v>1503</v>
      </c>
      <c r="I189" s="380" t="s">
        <v>1307</v>
      </c>
      <c r="J189" s="380" t="s">
        <v>1311</v>
      </c>
      <c r="K189" s="380"/>
      <c r="L189" s="380"/>
      <c r="M189" s="385">
        <f>M188*INDEX(input_data!$L:$L,MATCH(CBAM!$B$5&amp;".in.exe.frt.nit.---",input_data!$A:$A,0))</f>
        <v>7.4999999999999997E-2</v>
      </c>
      <c r="N189" s="385">
        <f>N188*INDEX(input_data!$L:$L,MATCH(CBAM!$B$5&amp;".in.exe.frt.nit.---",input_data!$A:$A,0))</f>
        <v>7.6623546134961945E-2</v>
      </c>
      <c r="O189" s="385">
        <f>O188*INDEX(input_data!$L:$L,MATCH(CBAM!$B$5&amp;".in.exe.frt.nit.---",input_data!$A:$A,0))</f>
        <v>7.8282237630621906E-2</v>
      </c>
      <c r="P189" s="385">
        <f>P188*INDEX(input_data!$L:$L,MATCH(CBAM!$B$5&amp;".in.exe.frt.nit.---",input_data!$A:$A,0))</f>
        <v>7.997683528850684E-2</v>
      </c>
      <c r="Q189" s="385">
        <f>Q188*INDEX(input_data!$L:$L,MATCH(CBAM!$B$5&amp;".in.exe.frt.nit.---",input_data!$A:$A,0))</f>
        <v>8.170811637942875E-2</v>
      </c>
      <c r="R189" s="385">
        <f>R188*INDEX(input_data!$L:$L,MATCH(CBAM!$B$5&amp;".in.exe.frt.nit.---",input_data!$A:$A,0))</f>
        <v>8.3476874999999992E-2</v>
      </c>
      <c r="S189" s="385">
        <f>S188*INDEX(input_data!$L:$L,MATCH(CBAM!$B$5&amp;".in.exe.frt.nit.---",input_data!$A:$A,0))</f>
        <v>8.5283922436866028E-2</v>
      </c>
      <c r="T189" s="385">
        <f>T188*INDEX(input_data!$L:$L,MATCH(CBAM!$B$5&amp;".in.exe.frt.nit.---",input_data!$A:$A,0))</f>
        <v>8.713008753882294E-2</v>
      </c>
      <c r="U189" s="385">
        <f>U188*INDEX(input_data!$L:$L,MATCH(CBAM!$B$5&amp;".in.exe.frt.nit.---",input_data!$A:$A,0))</f>
        <v>8.9016217096990313E-2</v>
      </c>
      <c r="V189" s="385">
        <f>V188*INDEX(input_data!$L:$L,MATCH(CBAM!$B$5&amp;".in.exe.frt.nit.---",input_data!$A:$A,0))</f>
        <v>9.0943176233213685E-2</v>
      </c>
      <c r="W189" s="385">
        <f>W188*INDEX(input_data!$L:$L,MATCH(CBAM!$B$5&amp;".in.exe.frt.nit.---",input_data!$A:$A,0))</f>
        <v>9.2911848796874988E-2</v>
      </c>
      <c r="X189" s="385">
        <f>X188*INDEX(input_data!$L:$L,MATCH(CBAM!$B$5&amp;".in.exe.frt.nit.---",input_data!$A:$A,0))</f>
        <v>9.4923137770292793E-2</v>
      </c>
    </row>
    <row r="190" spans="1:24" ht="15" customHeight="1" x14ac:dyDescent="0.25">
      <c r="A190" s="380" t="str">
        <f>CBAM!$B$5&amp;".pj.nex.frt.nit.---"</f>
        <v>egy.pj.nex.frt.nit.---</v>
      </c>
      <c r="B190" s="380" t="str">
        <f>CBAM!$B$5</f>
        <v>egy</v>
      </c>
      <c r="C190" s="380" t="s">
        <v>1275</v>
      </c>
      <c r="D190" s="380" t="s">
        <v>1312</v>
      </c>
      <c r="E190" s="380" t="s">
        <v>330</v>
      </c>
      <c r="F190" s="380" t="s">
        <v>1501</v>
      </c>
      <c r="G190" s="380" t="s">
        <v>1277</v>
      </c>
      <c r="H190" s="380" t="s">
        <v>1504</v>
      </c>
      <c r="I190" s="380" t="s">
        <v>1307</v>
      </c>
      <c r="J190" s="380" t="s">
        <v>1314</v>
      </c>
      <c r="K190" s="380"/>
      <c r="L190" s="380"/>
      <c r="M190" s="385">
        <f>M188*(INDEX(input_data!$L:$L,MATCH(CBAM!$B$5&amp;".in.ext.frt.nit.---",input_data!$A:$A,0))-INDEX(input_data!$L:$L,MATCH(CBAM!$B$5&amp;".in.exe.frt.nit.---",input_data!$A:$A,0)))</f>
        <v>7.4999999999999997E-2</v>
      </c>
      <c r="N190" s="385">
        <f>N188*(INDEX(input_data!$L:$L,MATCH(CBAM!$B$5&amp;".in.ext.frt.nit.---",input_data!$A:$A,0))-INDEX(input_data!$L:$L,MATCH(CBAM!$B$5&amp;".in.exe.frt.nit.---",input_data!$A:$A,0)))</f>
        <v>7.6623546134961945E-2</v>
      </c>
      <c r="O190" s="385">
        <f>O188*(INDEX(input_data!$L:$L,MATCH(CBAM!$B$5&amp;".in.ext.frt.nit.---",input_data!$A:$A,0))-INDEX(input_data!$L:$L,MATCH(CBAM!$B$5&amp;".in.exe.frt.nit.---",input_data!$A:$A,0)))</f>
        <v>7.8282237630621906E-2</v>
      </c>
      <c r="P190" s="385">
        <f>P188*(INDEX(input_data!$L:$L,MATCH(CBAM!$B$5&amp;".in.ext.frt.nit.---",input_data!$A:$A,0))-INDEX(input_data!$L:$L,MATCH(CBAM!$B$5&amp;".in.exe.frt.nit.---",input_data!$A:$A,0)))</f>
        <v>7.997683528850684E-2</v>
      </c>
      <c r="Q190" s="385">
        <f>Q188*(INDEX(input_data!$L:$L,MATCH(CBAM!$B$5&amp;".in.ext.frt.nit.---",input_data!$A:$A,0))-INDEX(input_data!$L:$L,MATCH(CBAM!$B$5&amp;".in.exe.frt.nit.---",input_data!$A:$A,0)))</f>
        <v>8.170811637942875E-2</v>
      </c>
      <c r="R190" s="385">
        <f>R188*(INDEX(input_data!$L:$L,MATCH(CBAM!$B$5&amp;".in.ext.frt.nit.---",input_data!$A:$A,0))-INDEX(input_data!$L:$L,MATCH(CBAM!$B$5&amp;".in.exe.frt.nit.---",input_data!$A:$A,0)))</f>
        <v>8.3476874999999992E-2</v>
      </c>
      <c r="S190" s="385">
        <f>S188*(INDEX(input_data!$L:$L,MATCH(CBAM!$B$5&amp;".in.ext.frt.nit.---",input_data!$A:$A,0))-INDEX(input_data!$L:$L,MATCH(CBAM!$B$5&amp;".in.exe.frt.nit.---",input_data!$A:$A,0)))</f>
        <v>8.5283922436866028E-2</v>
      </c>
      <c r="T190" s="385">
        <f>T188*(INDEX(input_data!$L:$L,MATCH(CBAM!$B$5&amp;".in.ext.frt.nit.---",input_data!$A:$A,0))-INDEX(input_data!$L:$L,MATCH(CBAM!$B$5&amp;".in.exe.frt.nit.---",input_data!$A:$A,0)))</f>
        <v>8.713008753882294E-2</v>
      </c>
      <c r="U190" s="385">
        <f>U188*(INDEX(input_data!$L:$L,MATCH(CBAM!$B$5&amp;".in.ext.frt.nit.---",input_data!$A:$A,0))-INDEX(input_data!$L:$L,MATCH(CBAM!$B$5&amp;".in.exe.frt.nit.---",input_data!$A:$A,0)))</f>
        <v>8.9016217096990313E-2</v>
      </c>
      <c r="V190" s="385">
        <f>V188*(INDEX(input_data!$L:$L,MATCH(CBAM!$B$5&amp;".in.ext.frt.nit.---",input_data!$A:$A,0))-INDEX(input_data!$L:$L,MATCH(CBAM!$B$5&amp;".in.exe.frt.nit.---",input_data!$A:$A,0)))</f>
        <v>9.0943176233213685E-2</v>
      </c>
      <c r="W190" s="385">
        <f>W188*(INDEX(input_data!$L:$L,MATCH(CBAM!$B$5&amp;".in.ext.frt.nit.---",input_data!$A:$A,0))-INDEX(input_data!$L:$L,MATCH(CBAM!$B$5&amp;".in.exe.frt.nit.---",input_data!$A:$A,0)))</f>
        <v>9.2911848796874988E-2</v>
      </c>
      <c r="X190" s="385">
        <f>X188*(INDEX(input_data!$L:$L,MATCH(CBAM!$B$5&amp;".in.ext.frt.nit.---",input_data!$A:$A,0))-INDEX(input_data!$L:$L,MATCH(CBAM!$B$5&amp;".in.exe.frt.nit.---",input_data!$A:$A,0)))</f>
        <v>9.4923137770292793E-2</v>
      </c>
    </row>
    <row r="191" spans="1:24" ht="15" customHeight="1" x14ac:dyDescent="0.25">
      <c r="A191" s="380" t="str">
        <f>CBAM!$B$5&amp;".pj.dom.frt.nit.---"</f>
        <v>egy.pj.dom.frt.nit.---</v>
      </c>
      <c r="B191" s="380" t="str">
        <f>CBAM!$B$5</f>
        <v>egy</v>
      </c>
      <c r="C191" s="380" t="s">
        <v>1275</v>
      </c>
      <c r="D191" s="380" t="s">
        <v>1267</v>
      </c>
      <c r="E191" s="380" t="s">
        <v>330</v>
      </c>
      <c r="F191" s="380" t="s">
        <v>1501</v>
      </c>
      <c r="G191" s="380" t="s">
        <v>1277</v>
      </c>
      <c r="H191" s="380" t="s">
        <v>1505</v>
      </c>
      <c r="I191" s="380" t="s">
        <v>1307</v>
      </c>
      <c r="J191" s="380" t="s">
        <v>1316</v>
      </c>
      <c r="K191" s="380"/>
      <c r="L191" s="380"/>
      <c r="M191" s="385">
        <f>M188*(1-INDEX(input_data!$L:$L,MATCH(CBAM!$B$5&amp;".in.ext.frt.nit.---",input_data!$A:$A,0)))*(1+INDEX(input_data!$L:$L,MATCH(CBAM!$B$5&amp;".in.imp.frt.nit.---",input_data!$A:$A,0)))</f>
        <v>0.36749999999999999</v>
      </c>
      <c r="N191" s="385">
        <f>N188*(1-INDEX(input_data!$L:$L,MATCH(CBAM!$B$5&amp;".in.ext.frt.nit.---",input_data!$A:$A,0)))*(1+INDEX(input_data!$L:$L,MATCH(CBAM!$B$5&amp;".in.imp.frt.nit.---",input_data!$A:$A,0)))</f>
        <v>0.37545537606131357</v>
      </c>
      <c r="O191" s="385">
        <f>O188*(1-INDEX(input_data!$L:$L,MATCH(CBAM!$B$5&amp;".in.ext.frt.nit.---",input_data!$A:$A,0)))*(1+INDEX(input_data!$L:$L,MATCH(CBAM!$B$5&amp;".in.imp.frt.nit.---",input_data!$A:$A,0)))</f>
        <v>0.38358296439004741</v>
      </c>
      <c r="P191" s="385">
        <f>P188*(1-INDEX(input_data!$L:$L,MATCH(CBAM!$B$5&amp;".in.ext.frt.nit.---",input_data!$A:$A,0)))*(1+INDEX(input_data!$L:$L,MATCH(CBAM!$B$5&amp;".in.imp.frt.nit.---",input_data!$A:$A,0)))</f>
        <v>0.39188649291368349</v>
      </c>
      <c r="Q191" s="385">
        <f>Q188*(1-INDEX(input_data!$L:$L,MATCH(CBAM!$B$5&amp;".in.ext.frt.nit.---",input_data!$A:$A,0)))*(1+INDEX(input_data!$L:$L,MATCH(CBAM!$B$5&amp;".in.imp.frt.nit.---",input_data!$A:$A,0)))</f>
        <v>0.4003697702592009</v>
      </c>
      <c r="R191" s="385">
        <f>R188*(1-INDEX(input_data!$L:$L,MATCH(CBAM!$B$5&amp;".in.ext.frt.nit.---",input_data!$A:$A,0)))*(1+INDEX(input_data!$L:$L,MATCH(CBAM!$B$5&amp;".in.imp.frt.nit.---",input_data!$A:$A,0)))</f>
        <v>0.4090366875</v>
      </c>
      <c r="S191" s="385">
        <f>S188*(1-INDEX(input_data!$L:$L,MATCH(CBAM!$B$5&amp;".in.ext.frt.nit.---",input_data!$A:$A,0)))*(1+INDEX(input_data!$L:$L,MATCH(CBAM!$B$5&amp;".in.imp.frt.nit.---",input_data!$A:$A,0)))</f>
        <v>0.41789121994064354</v>
      </c>
      <c r="T191" s="385">
        <f>T188*(1-INDEX(input_data!$L:$L,MATCH(CBAM!$B$5&amp;".in.ext.frt.nit.---",input_data!$A:$A,0)))*(1+INDEX(input_data!$L:$L,MATCH(CBAM!$B$5&amp;".in.imp.frt.nit.---",input_data!$A:$A,0)))</f>
        <v>0.4269374289402324</v>
      </c>
      <c r="U191" s="385">
        <f>U188*(1-INDEX(input_data!$L:$L,MATCH(CBAM!$B$5&amp;".in.ext.frt.nit.---",input_data!$A:$A,0)))*(1+INDEX(input_data!$L:$L,MATCH(CBAM!$B$5&amp;".in.imp.frt.nit.---",input_data!$A:$A,0)))</f>
        <v>0.43617946377525257</v>
      </c>
      <c r="V191" s="385">
        <f>V188*(1-INDEX(input_data!$L:$L,MATCH(CBAM!$B$5&amp;".in.ext.frt.nit.---",input_data!$A:$A,0)))*(1+INDEX(input_data!$L:$L,MATCH(CBAM!$B$5&amp;".in.imp.frt.nit.---",input_data!$A:$A,0)))</f>
        <v>0.44562156354274707</v>
      </c>
      <c r="W191" s="385">
        <f>W188*(1-INDEX(input_data!$L:$L,MATCH(CBAM!$B$5&amp;".in.ext.frt.nit.---",input_data!$A:$A,0)))*(1+INDEX(input_data!$L:$L,MATCH(CBAM!$B$5&amp;".in.imp.frt.nit.---",input_data!$A:$A,0)))</f>
        <v>0.45526805910468743</v>
      </c>
      <c r="X191" s="385">
        <f>X188*(1-INDEX(input_data!$L:$L,MATCH(CBAM!$B$5&amp;".in.ext.frt.nit.---",input_data!$A:$A,0)))*(1+INDEX(input_data!$L:$L,MATCH(CBAM!$B$5&amp;".in.imp.frt.nit.---",input_data!$A:$A,0)))</f>
        <v>0.46512337507443469</v>
      </c>
    </row>
    <row r="192" spans="1:24" ht="15" customHeight="1" x14ac:dyDescent="0.25">
      <c r="A192" s="380" t="str">
        <f>CBAM!$B$5&amp;".pj.enc.frt.nit.coa"</f>
        <v>egy.pj.enc.frt.nit.coa</v>
      </c>
      <c r="B192" s="380" t="str">
        <f>CBAM!$B$5</f>
        <v>egy</v>
      </c>
      <c r="C192" s="380" t="s">
        <v>1275</v>
      </c>
      <c r="D192" s="380" t="s">
        <v>1317</v>
      </c>
      <c r="E192" s="380" t="s">
        <v>330</v>
      </c>
      <c r="F192" s="380" t="s">
        <v>1501</v>
      </c>
      <c r="G192" s="380" t="s">
        <v>757</v>
      </c>
      <c r="H192" s="380" t="s">
        <v>1506</v>
      </c>
      <c r="I192" s="380" t="s">
        <v>1319</v>
      </c>
      <c r="J192" s="380" t="s">
        <v>1320</v>
      </c>
      <c r="K192" s="380"/>
      <c r="L192" s="380"/>
      <c r="M192" s="385">
        <f>M188*INDEX(input_data!$L:$L,MATCH(CBAM!$B$5&amp;".in.enc.frt.nit.coa",input_data!$A:$A,0))</f>
        <v>0</v>
      </c>
      <c r="N192" s="385">
        <f>N188*INDEX(input_data!$L:$L,MATCH(CBAM!$B$5&amp;".in.enc.frt.nit.coa",input_data!$A:$A,0))</f>
        <v>0</v>
      </c>
      <c r="O192" s="385">
        <f>O188*INDEX(input_data!$L:$L,MATCH(CBAM!$B$5&amp;".in.enc.frt.nit.coa",input_data!$A:$A,0))</f>
        <v>0</v>
      </c>
      <c r="P192" s="385">
        <f>P188*INDEX(input_data!$L:$L,MATCH(CBAM!$B$5&amp;".in.enc.frt.nit.coa",input_data!$A:$A,0))</f>
        <v>0</v>
      </c>
      <c r="Q192" s="385">
        <f>Q188*INDEX(input_data!$L:$L,MATCH(CBAM!$B$5&amp;".in.enc.frt.nit.coa",input_data!$A:$A,0))</f>
        <v>0</v>
      </c>
      <c r="R192" s="385">
        <f>R188*INDEX(input_data!$L:$L,MATCH(CBAM!$B$5&amp;".in.enc.frt.nit.coa",input_data!$A:$A,0))</f>
        <v>0</v>
      </c>
      <c r="S192" s="385">
        <f>S188*INDEX(input_data!$L:$L,MATCH(CBAM!$B$5&amp;".in.enc.frt.nit.coa",input_data!$A:$A,0))</f>
        <v>0</v>
      </c>
      <c r="T192" s="385">
        <f>T188*INDEX(input_data!$L:$L,MATCH(CBAM!$B$5&amp;".in.enc.frt.nit.coa",input_data!$A:$A,0))</f>
        <v>0</v>
      </c>
      <c r="U192" s="385">
        <f>U188*INDEX(input_data!$L:$L,MATCH(CBAM!$B$5&amp;".in.enc.frt.nit.coa",input_data!$A:$A,0))</f>
        <v>0</v>
      </c>
      <c r="V192" s="385">
        <f>V188*INDEX(input_data!$L:$L,MATCH(CBAM!$B$5&amp;".in.enc.frt.nit.coa",input_data!$A:$A,0))</f>
        <v>0</v>
      </c>
      <c r="W192" s="385">
        <f>W188*INDEX(input_data!$L:$L,MATCH(CBAM!$B$5&amp;".in.enc.frt.nit.coa",input_data!$A:$A,0))</f>
        <v>0</v>
      </c>
      <c r="X192" s="385">
        <f>X188*INDEX(input_data!$L:$L,MATCH(CBAM!$B$5&amp;".in.enc.frt.nit.coa",input_data!$A:$A,0))</f>
        <v>0</v>
      </c>
    </row>
    <row r="193" spans="1:24" ht="15" customHeight="1" x14ac:dyDescent="0.25">
      <c r="A193" s="380" t="str">
        <f>CBAM!$B$5&amp;".pj.enc.frt.nit.nga"</f>
        <v>egy.pj.enc.frt.nit.nga</v>
      </c>
      <c r="B193" s="380" t="str">
        <f>CBAM!$B$5</f>
        <v>egy</v>
      </c>
      <c r="C193" s="380" t="s">
        <v>1275</v>
      </c>
      <c r="D193" s="380" t="s">
        <v>1317</v>
      </c>
      <c r="E193" s="380" t="s">
        <v>330</v>
      </c>
      <c r="F193" s="380" t="s">
        <v>1501</v>
      </c>
      <c r="G193" s="380" t="s">
        <v>754</v>
      </c>
      <c r="H193" s="380" t="s">
        <v>1507</v>
      </c>
      <c r="I193" s="380" t="s">
        <v>1319</v>
      </c>
      <c r="J193" s="380" t="s">
        <v>1320</v>
      </c>
      <c r="K193" s="380"/>
      <c r="L193" s="380"/>
      <c r="M193" s="385">
        <f>M188*INDEX(input_data!$L:$L,MATCH(CBAM!$B$5&amp;".in.enc.frt.nit.nga",input_data!$A:$A,0))</f>
        <v>1</v>
      </c>
      <c r="N193" s="385">
        <f>N188*INDEX(input_data!$L:$L,MATCH(CBAM!$B$5&amp;".in.enc.frt.nit.nga",input_data!$A:$A,0))</f>
        <v>1.0216472817994926</v>
      </c>
      <c r="O193" s="385">
        <f>O188*INDEX(input_data!$L:$L,MATCH(CBAM!$B$5&amp;".in.enc.frt.nit.nga",input_data!$A:$A,0))</f>
        <v>1.0437631684082922</v>
      </c>
      <c r="P193" s="385">
        <f>P188*INDEX(input_data!$L:$L,MATCH(CBAM!$B$5&amp;".in.enc.frt.nit.nga",input_data!$A:$A,0))</f>
        <v>1.0663578038467578</v>
      </c>
      <c r="Q193" s="385">
        <f>Q188*INDEX(input_data!$L:$L,MATCH(CBAM!$B$5&amp;".in.enc.frt.nit.nga",input_data!$A:$A,0))</f>
        <v>1.0894415517257168</v>
      </c>
      <c r="R193" s="385">
        <f>R188*INDEX(input_data!$L:$L,MATCH(CBAM!$B$5&amp;".in.enc.frt.nit.nga",input_data!$A:$A,0))</f>
        <v>1.1130249999999999</v>
      </c>
      <c r="S193" s="385">
        <f>S188*INDEX(input_data!$L:$L,MATCH(CBAM!$B$5&amp;".in.enc.frt.nit.nga",input_data!$A:$A,0))</f>
        <v>1.1371189658248804</v>
      </c>
      <c r="T193" s="385">
        <f>T188*INDEX(input_data!$L:$L,MATCH(CBAM!$B$5&amp;".in.enc.frt.nit.nga",input_data!$A:$A,0))</f>
        <v>1.1617345005176392</v>
      </c>
      <c r="U193" s="385">
        <f>U188*INDEX(input_data!$L:$L,MATCH(CBAM!$B$5&amp;".in.enc.frt.nit.nga",input_data!$A:$A,0))</f>
        <v>1.1868828946265375</v>
      </c>
      <c r="V193" s="385">
        <f>V188*INDEX(input_data!$L:$L,MATCH(CBAM!$B$5&amp;".in.enc.frt.nit.nga",input_data!$A:$A,0))</f>
        <v>1.2125756831095158</v>
      </c>
      <c r="W193" s="385">
        <f>W188*INDEX(input_data!$L:$L,MATCH(CBAM!$B$5&amp;".in.enc.frt.nit.nga",input_data!$A:$A,0))</f>
        <v>1.2388246506249998</v>
      </c>
      <c r="X193" s="385">
        <f>X188*INDEX(input_data!$L:$L,MATCH(CBAM!$B$5&amp;".in.enc.frt.nit.nga",input_data!$A:$A,0))</f>
        <v>1.2656418369372373</v>
      </c>
    </row>
    <row r="194" spans="1:24" ht="15" customHeight="1" x14ac:dyDescent="0.25">
      <c r="A194" s="380" t="str">
        <f>CBAM!$B$5&amp;".pj.enc.frt.nit.gso"</f>
        <v>egy.pj.enc.frt.nit.gso</v>
      </c>
      <c r="B194" s="380" t="str">
        <f>CBAM!$B$5</f>
        <v>egy</v>
      </c>
      <c r="C194" s="380" t="s">
        <v>1275</v>
      </c>
      <c r="D194" s="380" t="s">
        <v>1317</v>
      </c>
      <c r="E194" s="380" t="s">
        <v>330</v>
      </c>
      <c r="F194" s="380" t="s">
        <v>1501</v>
      </c>
      <c r="G194" s="380" t="s">
        <v>1292</v>
      </c>
      <c r="H194" s="380" t="s">
        <v>1508</v>
      </c>
      <c r="I194" s="380" t="s">
        <v>1319</v>
      </c>
      <c r="J194" s="380" t="s">
        <v>1320</v>
      </c>
      <c r="K194" s="380"/>
      <c r="L194" s="380"/>
      <c r="M194" s="385">
        <f>M188*INDEX(input_data!$L:$L,MATCH(CBAM!$B$5&amp;".in.enc.frt.nit.gso",input_data!$A:$A,0))</f>
        <v>0</v>
      </c>
      <c r="N194" s="385">
        <f>N188*INDEX(input_data!$L:$L,MATCH(CBAM!$B$5&amp;".in.enc.frt.nit.gso",input_data!$A:$A,0))</f>
        <v>0</v>
      </c>
      <c r="O194" s="385">
        <f>O188*INDEX(input_data!$L:$L,MATCH(CBAM!$B$5&amp;".in.enc.frt.nit.gso",input_data!$A:$A,0))</f>
        <v>0</v>
      </c>
      <c r="P194" s="385">
        <f>P188*INDEX(input_data!$L:$L,MATCH(CBAM!$B$5&amp;".in.enc.frt.nit.gso",input_data!$A:$A,0))</f>
        <v>0</v>
      </c>
      <c r="Q194" s="385">
        <f>Q188*INDEX(input_data!$L:$L,MATCH(CBAM!$B$5&amp;".in.enc.frt.nit.gso",input_data!$A:$A,0))</f>
        <v>0</v>
      </c>
      <c r="R194" s="385">
        <f>R188*INDEX(input_data!$L:$L,MATCH(CBAM!$B$5&amp;".in.enc.frt.nit.gso",input_data!$A:$A,0))</f>
        <v>0</v>
      </c>
      <c r="S194" s="385">
        <f>S188*INDEX(input_data!$L:$L,MATCH(CBAM!$B$5&amp;".in.enc.frt.nit.gso",input_data!$A:$A,0))</f>
        <v>0</v>
      </c>
      <c r="T194" s="385">
        <f>T188*INDEX(input_data!$L:$L,MATCH(CBAM!$B$5&amp;".in.enc.frt.nit.gso",input_data!$A:$A,0))</f>
        <v>0</v>
      </c>
      <c r="U194" s="385">
        <f>U188*INDEX(input_data!$L:$L,MATCH(CBAM!$B$5&amp;".in.enc.frt.nit.gso",input_data!$A:$A,0))</f>
        <v>0</v>
      </c>
      <c r="V194" s="385">
        <f>V188*INDEX(input_data!$L:$L,MATCH(CBAM!$B$5&amp;".in.enc.frt.nit.gso",input_data!$A:$A,0))</f>
        <v>0</v>
      </c>
      <c r="W194" s="385">
        <f>W188*INDEX(input_data!$L:$L,MATCH(CBAM!$B$5&amp;".in.enc.frt.nit.gso",input_data!$A:$A,0))</f>
        <v>0</v>
      </c>
      <c r="X194" s="385">
        <f>X188*INDEX(input_data!$L:$L,MATCH(CBAM!$B$5&amp;".in.enc.frt.nit.gso",input_data!$A:$A,0))</f>
        <v>0</v>
      </c>
    </row>
    <row r="195" spans="1:24" ht="15" customHeight="1" x14ac:dyDescent="0.25">
      <c r="A195" s="380" t="str">
        <f>CBAM!$B$5&amp;".pj.enc.frt.nit.die"</f>
        <v>egy.pj.enc.frt.nit.die</v>
      </c>
      <c r="B195" s="380" t="str">
        <f>CBAM!$B$5</f>
        <v>egy</v>
      </c>
      <c r="C195" s="380" t="s">
        <v>1275</v>
      </c>
      <c r="D195" s="380" t="s">
        <v>1317</v>
      </c>
      <c r="E195" s="380" t="s">
        <v>330</v>
      </c>
      <c r="F195" s="380" t="s">
        <v>1501</v>
      </c>
      <c r="G195" s="380" t="s">
        <v>762</v>
      </c>
      <c r="H195" s="380" t="s">
        <v>1509</v>
      </c>
      <c r="I195" s="380" t="s">
        <v>1319</v>
      </c>
      <c r="J195" s="380" t="s">
        <v>1320</v>
      </c>
      <c r="K195" s="380"/>
      <c r="L195" s="380"/>
      <c r="M195" s="385">
        <f>M188*INDEX(input_data!$L:$L,MATCH(CBAM!$B$5&amp;".in.enc.frt.nit.die",input_data!$A:$A,0))</f>
        <v>0</v>
      </c>
      <c r="N195" s="385">
        <f>N188*INDEX(input_data!$L:$L,MATCH(CBAM!$B$5&amp;".in.enc.frt.nit.die",input_data!$A:$A,0))</f>
        <v>0</v>
      </c>
      <c r="O195" s="385">
        <f>O188*INDEX(input_data!$L:$L,MATCH(CBAM!$B$5&amp;".in.enc.frt.nit.die",input_data!$A:$A,0))</f>
        <v>0</v>
      </c>
      <c r="P195" s="385">
        <f>P188*INDEX(input_data!$L:$L,MATCH(CBAM!$B$5&amp;".in.enc.frt.nit.die",input_data!$A:$A,0))</f>
        <v>0</v>
      </c>
      <c r="Q195" s="385">
        <f>Q188*INDEX(input_data!$L:$L,MATCH(CBAM!$B$5&amp;".in.enc.frt.nit.die",input_data!$A:$A,0))</f>
        <v>0</v>
      </c>
      <c r="R195" s="385">
        <f>R188*INDEX(input_data!$L:$L,MATCH(CBAM!$B$5&amp;".in.enc.frt.nit.die",input_data!$A:$A,0))</f>
        <v>0</v>
      </c>
      <c r="S195" s="385">
        <f>S188*INDEX(input_data!$L:$L,MATCH(CBAM!$B$5&amp;".in.enc.frt.nit.die",input_data!$A:$A,0))</f>
        <v>0</v>
      </c>
      <c r="T195" s="385">
        <f>T188*INDEX(input_data!$L:$L,MATCH(CBAM!$B$5&amp;".in.enc.frt.nit.die",input_data!$A:$A,0))</f>
        <v>0</v>
      </c>
      <c r="U195" s="385">
        <f>U188*INDEX(input_data!$L:$L,MATCH(CBAM!$B$5&amp;".in.enc.frt.nit.die",input_data!$A:$A,0))</f>
        <v>0</v>
      </c>
      <c r="V195" s="385">
        <f>V188*INDEX(input_data!$L:$L,MATCH(CBAM!$B$5&amp;".in.enc.frt.nit.die",input_data!$A:$A,0))</f>
        <v>0</v>
      </c>
      <c r="W195" s="385">
        <f>W188*INDEX(input_data!$L:$L,MATCH(CBAM!$B$5&amp;".in.enc.frt.nit.die",input_data!$A:$A,0))</f>
        <v>0</v>
      </c>
      <c r="X195" s="385">
        <f>X188*INDEX(input_data!$L:$L,MATCH(CBAM!$B$5&amp;".in.enc.frt.nit.die",input_data!$A:$A,0))</f>
        <v>0</v>
      </c>
    </row>
    <row r="196" spans="1:24" ht="15" customHeight="1" x14ac:dyDescent="0.25">
      <c r="A196" s="380" t="str">
        <f>CBAM!$B$5&amp;".pj.enc.frt.nit.ker"</f>
        <v>egy.pj.enc.frt.nit.ker</v>
      </c>
      <c r="B196" s="380" t="str">
        <f>CBAM!$B$5</f>
        <v>egy</v>
      </c>
      <c r="C196" s="380" t="s">
        <v>1275</v>
      </c>
      <c r="D196" s="380" t="s">
        <v>1317</v>
      </c>
      <c r="E196" s="380" t="s">
        <v>330</v>
      </c>
      <c r="F196" s="380" t="s">
        <v>1501</v>
      </c>
      <c r="G196" s="380" t="s">
        <v>1295</v>
      </c>
      <c r="H196" s="380" t="s">
        <v>1510</v>
      </c>
      <c r="I196" s="380" t="s">
        <v>1319</v>
      </c>
      <c r="J196" s="380" t="s">
        <v>1320</v>
      </c>
      <c r="K196" s="380"/>
      <c r="L196" s="380"/>
      <c r="M196" s="385">
        <f>M188*INDEX(input_data!$L:$L,MATCH(CBAM!$B$5&amp;".in.enc.frt.nit.ker",input_data!$A:$A,0))</f>
        <v>0</v>
      </c>
      <c r="N196" s="385">
        <f>N188*INDEX(input_data!$L:$L,MATCH(CBAM!$B$5&amp;".in.enc.frt.nit.ker",input_data!$A:$A,0))</f>
        <v>0</v>
      </c>
      <c r="O196" s="385">
        <f>O188*INDEX(input_data!$L:$L,MATCH(CBAM!$B$5&amp;".in.enc.frt.nit.ker",input_data!$A:$A,0))</f>
        <v>0</v>
      </c>
      <c r="P196" s="385">
        <f>P188*INDEX(input_data!$L:$L,MATCH(CBAM!$B$5&amp;".in.enc.frt.nit.ker",input_data!$A:$A,0))</f>
        <v>0</v>
      </c>
      <c r="Q196" s="385">
        <f>Q188*INDEX(input_data!$L:$L,MATCH(CBAM!$B$5&amp;".in.enc.frt.nit.ker",input_data!$A:$A,0))</f>
        <v>0</v>
      </c>
      <c r="R196" s="385">
        <f>R188*INDEX(input_data!$L:$L,MATCH(CBAM!$B$5&amp;".in.enc.frt.nit.ker",input_data!$A:$A,0))</f>
        <v>0</v>
      </c>
      <c r="S196" s="385">
        <f>S188*INDEX(input_data!$L:$L,MATCH(CBAM!$B$5&amp;".in.enc.frt.nit.ker",input_data!$A:$A,0))</f>
        <v>0</v>
      </c>
      <c r="T196" s="385">
        <f>T188*INDEX(input_data!$L:$L,MATCH(CBAM!$B$5&amp;".in.enc.frt.nit.ker",input_data!$A:$A,0))</f>
        <v>0</v>
      </c>
      <c r="U196" s="385">
        <f>U188*INDEX(input_data!$L:$L,MATCH(CBAM!$B$5&amp;".in.enc.frt.nit.ker",input_data!$A:$A,0))</f>
        <v>0</v>
      </c>
      <c r="V196" s="385">
        <f>V188*INDEX(input_data!$L:$L,MATCH(CBAM!$B$5&amp;".in.enc.frt.nit.ker",input_data!$A:$A,0))</f>
        <v>0</v>
      </c>
      <c r="W196" s="385">
        <f>W188*INDEX(input_data!$L:$L,MATCH(CBAM!$B$5&amp;".in.enc.frt.nit.ker",input_data!$A:$A,0))</f>
        <v>0</v>
      </c>
      <c r="X196" s="385">
        <f>X188*INDEX(input_data!$L:$L,MATCH(CBAM!$B$5&amp;".in.enc.frt.nit.ker",input_data!$A:$A,0))</f>
        <v>0</v>
      </c>
    </row>
    <row r="197" spans="1:24" ht="15" customHeight="1" x14ac:dyDescent="0.25">
      <c r="A197" s="380" t="str">
        <f>CBAM!$B$5&amp;".pj.enc.frt.nit.lpg"</f>
        <v>egy.pj.enc.frt.nit.lpg</v>
      </c>
      <c r="B197" s="380" t="str">
        <f>CBAM!$B$5</f>
        <v>egy</v>
      </c>
      <c r="C197" s="380" t="s">
        <v>1275</v>
      </c>
      <c r="D197" s="380" t="s">
        <v>1317</v>
      </c>
      <c r="E197" s="380" t="s">
        <v>330</v>
      </c>
      <c r="F197" s="380" t="s">
        <v>1501</v>
      </c>
      <c r="G197" s="380" t="s">
        <v>1297</v>
      </c>
      <c r="H197" s="380" t="s">
        <v>1511</v>
      </c>
      <c r="I197" s="380" t="s">
        <v>1319</v>
      </c>
      <c r="J197" s="380" t="s">
        <v>1320</v>
      </c>
      <c r="K197" s="380"/>
      <c r="L197" s="380"/>
      <c r="M197" s="385">
        <f>M188*INDEX(input_data!$L:$L,MATCH(CBAM!$B$5&amp;".in.enc.frt.nit.lpg",input_data!$A:$A,0))</f>
        <v>0</v>
      </c>
      <c r="N197" s="385">
        <f>N188*INDEX(input_data!$L:$L,MATCH(CBAM!$B$5&amp;".in.enc.frt.nit.lpg",input_data!$A:$A,0))</f>
        <v>0</v>
      </c>
      <c r="O197" s="385">
        <f>O188*INDEX(input_data!$L:$L,MATCH(CBAM!$B$5&amp;".in.enc.frt.nit.lpg",input_data!$A:$A,0))</f>
        <v>0</v>
      </c>
      <c r="P197" s="385">
        <f>P188*INDEX(input_data!$L:$L,MATCH(CBAM!$B$5&amp;".in.enc.frt.nit.lpg",input_data!$A:$A,0))</f>
        <v>0</v>
      </c>
      <c r="Q197" s="385">
        <f>Q188*INDEX(input_data!$L:$L,MATCH(CBAM!$B$5&amp;".in.enc.frt.nit.lpg",input_data!$A:$A,0))</f>
        <v>0</v>
      </c>
      <c r="R197" s="385">
        <f>R188*INDEX(input_data!$L:$L,MATCH(CBAM!$B$5&amp;".in.enc.frt.nit.lpg",input_data!$A:$A,0))</f>
        <v>0</v>
      </c>
      <c r="S197" s="385">
        <f>S188*INDEX(input_data!$L:$L,MATCH(CBAM!$B$5&amp;".in.enc.frt.nit.lpg",input_data!$A:$A,0))</f>
        <v>0</v>
      </c>
      <c r="T197" s="385">
        <f>T188*INDEX(input_data!$L:$L,MATCH(CBAM!$B$5&amp;".in.enc.frt.nit.lpg",input_data!$A:$A,0))</f>
        <v>0</v>
      </c>
      <c r="U197" s="385">
        <f>U188*INDEX(input_data!$L:$L,MATCH(CBAM!$B$5&amp;".in.enc.frt.nit.lpg",input_data!$A:$A,0))</f>
        <v>0</v>
      </c>
      <c r="V197" s="385">
        <f>V188*INDEX(input_data!$L:$L,MATCH(CBAM!$B$5&amp;".in.enc.frt.nit.lpg",input_data!$A:$A,0))</f>
        <v>0</v>
      </c>
      <c r="W197" s="385">
        <f>W188*INDEX(input_data!$L:$L,MATCH(CBAM!$B$5&amp;".in.enc.frt.nit.lpg",input_data!$A:$A,0))</f>
        <v>0</v>
      </c>
      <c r="X197" s="385">
        <f>X188*INDEX(input_data!$L:$L,MATCH(CBAM!$B$5&amp;".in.enc.frt.nit.lpg",input_data!$A:$A,0))</f>
        <v>0</v>
      </c>
    </row>
    <row r="198" spans="1:24" ht="15" customHeight="1" x14ac:dyDescent="0.25">
      <c r="A198" s="380" t="str">
        <f>CBAM!$B$5&amp;".pj.enc.frt.nit.bio"</f>
        <v>egy.pj.enc.frt.nit.bio</v>
      </c>
      <c r="B198" s="380" t="str">
        <f>CBAM!$B$5</f>
        <v>egy</v>
      </c>
      <c r="C198" s="380" t="s">
        <v>1275</v>
      </c>
      <c r="D198" s="380" t="s">
        <v>1317</v>
      </c>
      <c r="E198" s="380" t="s">
        <v>330</v>
      </c>
      <c r="F198" s="380" t="s">
        <v>1501</v>
      </c>
      <c r="G198" s="380" t="s">
        <v>1299</v>
      </c>
      <c r="H198" s="380" t="s">
        <v>1512</v>
      </c>
      <c r="I198" s="380" t="s">
        <v>1319</v>
      </c>
      <c r="J198" s="380" t="s">
        <v>1320</v>
      </c>
      <c r="K198" s="380"/>
      <c r="L198" s="380"/>
      <c r="M198" s="385">
        <f>M188*INDEX(input_data!$L:$L,MATCH(CBAM!$B$5&amp;".in.enc.frt.nit.bio",input_data!$A:$A,0))</f>
        <v>0</v>
      </c>
      <c r="N198" s="385">
        <f>N188*INDEX(input_data!$L:$L,MATCH(CBAM!$B$5&amp;".in.enc.frt.nit.bio",input_data!$A:$A,0))</f>
        <v>0</v>
      </c>
      <c r="O198" s="385">
        <f>O188*INDEX(input_data!$L:$L,MATCH(CBAM!$B$5&amp;".in.enc.frt.nit.bio",input_data!$A:$A,0))</f>
        <v>0</v>
      </c>
      <c r="P198" s="385">
        <f>P188*INDEX(input_data!$L:$L,MATCH(CBAM!$B$5&amp;".in.enc.frt.nit.bio",input_data!$A:$A,0))</f>
        <v>0</v>
      </c>
      <c r="Q198" s="385">
        <f>Q188*INDEX(input_data!$L:$L,MATCH(CBAM!$B$5&amp;".in.enc.frt.nit.bio",input_data!$A:$A,0))</f>
        <v>0</v>
      </c>
      <c r="R198" s="385">
        <f>R188*INDEX(input_data!$L:$L,MATCH(CBAM!$B$5&amp;".in.enc.frt.nit.bio",input_data!$A:$A,0))</f>
        <v>0</v>
      </c>
      <c r="S198" s="385">
        <f>S188*INDEX(input_data!$L:$L,MATCH(CBAM!$B$5&amp;".in.enc.frt.nit.bio",input_data!$A:$A,0))</f>
        <v>0</v>
      </c>
      <c r="T198" s="385">
        <f>T188*INDEX(input_data!$L:$L,MATCH(CBAM!$B$5&amp;".in.enc.frt.nit.bio",input_data!$A:$A,0))</f>
        <v>0</v>
      </c>
      <c r="U198" s="385">
        <f>U188*INDEX(input_data!$L:$L,MATCH(CBAM!$B$5&amp;".in.enc.frt.nit.bio",input_data!$A:$A,0))</f>
        <v>0</v>
      </c>
      <c r="V198" s="385">
        <f>V188*INDEX(input_data!$L:$L,MATCH(CBAM!$B$5&amp;".in.enc.frt.nit.bio",input_data!$A:$A,0))</f>
        <v>0</v>
      </c>
      <c r="W198" s="385">
        <f>W188*INDEX(input_data!$L:$L,MATCH(CBAM!$B$5&amp;".in.enc.frt.nit.bio",input_data!$A:$A,0))</f>
        <v>0</v>
      </c>
      <c r="X198" s="385">
        <f>X188*INDEX(input_data!$L:$L,MATCH(CBAM!$B$5&amp;".in.enc.frt.nit.bio",input_data!$A:$A,0))</f>
        <v>0</v>
      </c>
    </row>
    <row r="199" spans="1:24" ht="15" customHeight="1" x14ac:dyDescent="0.25">
      <c r="A199" s="380" t="str">
        <f>CBAM!$B$5&amp;".pj.enc.frt.nit.ren"</f>
        <v>egy.pj.enc.frt.nit.ren</v>
      </c>
      <c r="B199" s="380" t="str">
        <f>CBAM!$B$5</f>
        <v>egy</v>
      </c>
      <c r="C199" s="380" t="s">
        <v>1275</v>
      </c>
      <c r="D199" s="380" t="s">
        <v>1317</v>
      </c>
      <c r="E199" s="380" t="s">
        <v>330</v>
      </c>
      <c r="F199" s="380" t="s">
        <v>1501</v>
      </c>
      <c r="G199" s="380" t="s">
        <v>1301</v>
      </c>
      <c r="H199" s="380" t="s">
        <v>1513</v>
      </c>
      <c r="I199" s="380" t="s">
        <v>1319</v>
      </c>
      <c r="J199" s="380" t="s">
        <v>1320</v>
      </c>
      <c r="K199" s="380"/>
      <c r="L199" s="380"/>
      <c r="M199" s="385">
        <f>M188*INDEX(input_data!$L:$L,MATCH(CBAM!$B$5&amp;".in.enc.frt.nit.ren",input_data!$A:$A,0))</f>
        <v>0</v>
      </c>
      <c r="N199" s="385">
        <f>N188*INDEX(input_data!$L:$L,MATCH(CBAM!$B$5&amp;".in.enc.frt.nit.ren",input_data!$A:$A,0))</f>
        <v>0</v>
      </c>
      <c r="O199" s="385">
        <f>O188*INDEX(input_data!$L:$L,MATCH(CBAM!$B$5&amp;".in.enc.frt.nit.ren",input_data!$A:$A,0))</f>
        <v>0</v>
      </c>
      <c r="P199" s="385">
        <f>P188*INDEX(input_data!$L:$L,MATCH(CBAM!$B$5&amp;".in.enc.frt.nit.ren",input_data!$A:$A,0))</f>
        <v>0</v>
      </c>
      <c r="Q199" s="385">
        <f>Q188*INDEX(input_data!$L:$L,MATCH(CBAM!$B$5&amp;".in.enc.frt.nit.ren",input_data!$A:$A,0))</f>
        <v>0</v>
      </c>
      <c r="R199" s="385">
        <f>R188*INDEX(input_data!$L:$L,MATCH(CBAM!$B$5&amp;".in.enc.frt.nit.ren",input_data!$A:$A,0))</f>
        <v>0</v>
      </c>
      <c r="S199" s="385">
        <f>S188*INDEX(input_data!$L:$L,MATCH(CBAM!$B$5&amp;".in.enc.frt.nit.ren",input_data!$A:$A,0))</f>
        <v>0</v>
      </c>
      <c r="T199" s="385">
        <f>T188*INDEX(input_data!$L:$L,MATCH(CBAM!$B$5&amp;".in.enc.frt.nit.ren",input_data!$A:$A,0))</f>
        <v>0</v>
      </c>
      <c r="U199" s="385">
        <f>U188*INDEX(input_data!$L:$L,MATCH(CBAM!$B$5&amp;".in.enc.frt.nit.ren",input_data!$A:$A,0))</f>
        <v>0</v>
      </c>
      <c r="V199" s="385">
        <f>V188*INDEX(input_data!$L:$L,MATCH(CBAM!$B$5&amp;".in.enc.frt.nit.ren",input_data!$A:$A,0))</f>
        <v>0</v>
      </c>
      <c r="W199" s="385">
        <f>W188*INDEX(input_data!$L:$L,MATCH(CBAM!$B$5&amp;".in.enc.frt.nit.ren",input_data!$A:$A,0))</f>
        <v>0</v>
      </c>
      <c r="X199" s="385">
        <f>X188*INDEX(input_data!$L:$L,MATCH(CBAM!$B$5&amp;".in.enc.frt.nit.ren",input_data!$A:$A,0))</f>
        <v>0</v>
      </c>
    </row>
    <row r="200" spans="1:24" ht="15" customHeight="1" x14ac:dyDescent="0.25">
      <c r="A200" s="380" t="str">
        <f>CBAM!$B$5&amp;".pj.enp.frt.nit.coa"</f>
        <v>egy.pj.enp.frt.nit.coa</v>
      </c>
      <c r="B200" s="380" t="str">
        <f>CBAM!$B$5</f>
        <v>egy</v>
      </c>
      <c r="C200" s="380" t="s">
        <v>1275</v>
      </c>
      <c r="D200" s="380" t="s">
        <v>1328</v>
      </c>
      <c r="E200" s="380" t="s">
        <v>330</v>
      </c>
      <c r="F200" s="380" t="s">
        <v>1501</v>
      </c>
      <c r="G200" s="380" t="s">
        <v>757</v>
      </c>
      <c r="H200" s="380" t="s">
        <v>1514</v>
      </c>
      <c r="I200" s="380" t="s">
        <v>1319</v>
      </c>
      <c r="J200" s="380" t="s">
        <v>1330</v>
      </c>
      <c r="K200" s="380"/>
      <c r="L200" s="380"/>
      <c r="M200" s="385">
        <f>M188*INDEX(input_data!$L:$L,MATCH(CBAM!$B$5&amp;".in.enp.frt.nit.coa",input_data!$A:$A,0))</f>
        <v>0</v>
      </c>
      <c r="N200" s="385">
        <f>N188*INDEX(input_data!$L:$L,MATCH(CBAM!$B$5&amp;".in.enp.frt.nit.coa",input_data!$A:$A,0))</f>
        <v>0</v>
      </c>
      <c r="O200" s="385">
        <f>O188*INDEX(input_data!$L:$L,MATCH(CBAM!$B$5&amp;".in.enp.frt.nit.coa",input_data!$A:$A,0))</f>
        <v>0</v>
      </c>
      <c r="P200" s="385">
        <f>P188*INDEX(input_data!$L:$L,MATCH(CBAM!$B$5&amp;".in.enp.frt.nit.coa",input_data!$A:$A,0))</f>
        <v>0</v>
      </c>
      <c r="Q200" s="385">
        <f>Q188*INDEX(input_data!$L:$L,MATCH(CBAM!$B$5&amp;".in.enp.frt.nit.coa",input_data!$A:$A,0))</f>
        <v>0</v>
      </c>
      <c r="R200" s="385">
        <f>R188*INDEX(input_data!$L:$L,MATCH(CBAM!$B$5&amp;".in.enp.frt.nit.coa",input_data!$A:$A,0))</f>
        <v>0</v>
      </c>
      <c r="S200" s="385">
        <f>S188*INDEX(input_data!$L:$L,MATCH(CBAM!$B$5&amp;".in.enp.frt.nit.coa",input_data!$A:$A,0))</f>
        <v>0</v>
      </c>
      <c r="T200" s="385">
        <f>T188*INDEX(input_data!$L:$L,MATCH(CBAM!$B$5&amp;".in.enp.frt.nit.coa",input_data!$A:$A,0))</f>
        <v>0</v>
      </c>
      <c r="U200" s="385">
        <f>U188*INDEX(input_data!$L:$L,MATCH(CBAM!$B$5&amp;".in.enp.frt.nit.coa",input_data!$A:$A,0))</f>
        <v>0</v>
      </c>
      <c r="V200" s="385">
        <f>V188*INDEX(input_data!$L:$L,MATCH(CBAM!$B$5&amp;".in.enp.frt.nit.coa",input_data!$A:$A,0))</f>
        <v>0</v>
      </c>
      <c r="W200" s="385">
        <f>W188*INDEX(input_data!$L:$L,MATCH(CBAM!$B$5&amp;".in.enp.frt.nit.coa",input_data!$A:$A,0))</f>
        <v>0</v>
      </c>
      <c r="X200" s="385">
        <f>X188*INDEX(input_data!$L:$L,MATCH(CBAM!$B$5&amp;".in.enp.frt.nit.coa",input_data!$A:$A,0))</f>
        <v>0</v>
      </c>
    </row>
    <row r="201" spans="1:24" ht="15" customHeight="1" x14ac:dyDescent="0.25">
      <c r="A201" s="380" t="str">
        <f>CBAM!$B$5&amp;".pj.enp.frt.nit.nga"</f>
        <v>egy.pj.enp.frt.nit.nga</v>
      </c>
      <c r="B201" s="380" t="str">
        <f>CBAM!$B$5</f>
        <v>egy</v>
      </c>
      <c r="C201" s="380" t="s">
        <v>1275</v>
      </c>
      <c r="D201" s="380" t="s">
        <v>1328</v>
      </c>
      <c r="E201" s="380" t="s">
        <v>330</v>
      </c>
      <c r="F201" s="380" t="s">
        <v>1501</v>
      </c>
      <c r="G201" s="380" t="s">
        <v>754</v>
      </c>
      <c r="H201" s="380" t="s">
        <v>1515</v>
      </c>
      <c r="I201" s="380" t="s">
        <v>1319</v>
      </c>
      <c r="J201" s="380" t="s">
        <v>1330</v>
      </c>
      <c r="K201" s="380"/>
      <c r="L201" s="380"/>
      <c r="M201" s="385">
        <f>M188*INDEX(input_data!$L:$L,MATCH(CBAM!$B$5&amp;".in.enp.frt.nit.nga",input_data!$A:$A,0))</f>
        <v>0</v>
      </c>
      <c r="N201" s="385">
        <f>N188*INDEX(input_data!$L:$L,MATCH(CBAM!$B$5&amp;".in.enp.frt.nit.nga",input_data!$A:$A,0))</f>
        <v>0</v>
      </c>
      <c r="O201" s="385">
        <f>O188*INDEX(input_data!$L:$L,MATCH(CBAM!$B$5&amp;".in.enp.frt.nit.nga",input_data!$A:$A,0))</f>
        <v>0</v>
      </c>
      <c r="P201" s="385">
        <f>P188*INDEX(input_data!$L:$L,MATCH(CBAM!$B$5&amp;".in.enp.frt.nit.nga",input_data!$A:$A,0))</f>
        <v>0</v>
      </c>
      <c r="Q201" s="385">
        <f>Q188*INDEX(input_data!$L:$L,MATCH(CBAM!$B$5&amp;".in.enp.frt.nit.nga",input_data!$A:$A,0))</f>
        <v>0</v>
      </c>
      <c r="R201" s="385">
        <f>R188*INDEX(input_data!$L:$L,MATCH(CBAM!$B$5&amp;".in.enp.frt.nit.nga",input_data!$A:$A,0))</f>
        <v>0</v>
      </c>
      <c r="S201" s="385">
        <f>S188*INDEX(input_data!$L:$L,MATCH(CBAM!$B$5&amp;".in.enp.frt.nit.nga",input_data!$A:$A,0))</f>
        <v>0</v>
      </c>
      <c r="T201" s="385">
        <f>T188*INDEX(input_data!$L:$L,MATCH(CBAM!$B$5&amp;".in.enp.frt.nit.nga",input_data!$A:$A,0))</f>
        <v>0</v>
      </c>
      <c r="U201" s="385">
        <f>U188*INDEX(input_data!$L:$L,MATCH(CBAM!$B$5&amp;".in.enp.frt.nit.nga",input_data!$A:$A,0))</f>
        <v>0</v>
      </c>
      <c r="V201" s="385">
        <f>V188*INDEX(input_data!$L:$L,MATCH(CBAM!$B$5&amp;".in.enp.frt.nit.nga",input_data!$A:$A,0))</f>
        <v>0</v>
      </c>
      <c r="W201" s="385">
        <f>W188*INDEX(input_data!$L:$L,MATCH(CBAM!$B$5&amp;".in.enp.frt.nit.nga",input_data!$A:$A,0))</f>
        <v>0</v>
      </c>
      <c r="X201" s="385">
        <f>X188*INDEX(input_data!$L:$L,MATCH(CBAM!$B$5&amp;".in.enp.frt.nit.nga",input_data!$A:$A,0))</f>
        <v>0</v>
      </c>
    </row>
    <row r="202" spans="1:24" ht="15" customHeight="1" x14ac:dyDescent="0.25">
      <c r="A202" s="380" t="str">
        <f>CBAM!$B$5&amp;".pj.enp.frt.nit.gso"</f>
        <v>egy.pj.enp.frt.nit.gso</v>
      </c>
      <c r="B202" s="380" t="str">
        <f>CBAM!$B$5</f>
        <v>egy</v>
      </c>
      <c r="C202" s="380" t="s">
        <v>1275</v>
      </c>
      <c r="D202" s="380" t="s">
        <v>1328</v>
      </c>
      <c r="E202" s="380" t="s">
        <v>330</v>
      </c>
      <c r="F202" s="380" t="s">
        <v>1501</v>
      </c>
      <c r="G202" s="380" t="s">
        <v>1292</v>
      </c>
      <c r="H202" s="380" t="s">
        <v>1516</v>
      </c>
      <c r="I202" s="380" t="s">
        <v>1319</v>
      </c>
      <c r="J202" s="380" t="s">
        <v>1330</v>
      </c>
      <c r="K202" s="380"/>
      <c r="L202" s="380"/>
      <c r="M202" s="385">
        <f>M188*INDEX(input_data!$L:$L,MATCH(CBAM!$B$5&amp;".in.enp.frt.nit.gso",input_data!$A:$A,0))</f>
        <v>0</v>
      </c>
      <c r="N202" s="385">
        <f>N188*INDEX(input_data!$L:$L,MATCH(CBAM!$B$5&amp;".in.enp.frt.nit.gso",input_data!$A:$A,0))</f>
        <v>0</v>
      </c>
      <c r="O202" s="385">
        <f>O188*INDEX(input_data!$L:$L,MATCH(CBAM!$B$5&amp;".in.enp.frt.nit.gso",input_data!$A:$A,0))</f>
        <v>0</v>
      </c>
      <c r="P202" s="385">
        <f>P188*INDEX(input_data!$L:$L,MATCH(CBAM!$B$5&amp;".in.enp.frt.nit.gso",input_data!$A:$A,0))</f>
        <v>0</v>
      </c>
      <c r="Q202" s="385">
        <f>Q188*INDEX(input_data!$L:$L,MATCH(CBAM!$B$5&amp;".in.enp.frt.nit.gso",input_data!$A:$A,0))</f>
        <v>0</v>
      </c>
      <c r="R202" s="385">
        <f>R188*INDEX(input_data!$L:$L,MATCH(CBAM!$B$5&amp;".in.enp.frt.nit.gso",input_data!$A:$A,0))</f>
        <v>0</v>
      </c>
      <c r="S202" s="385">
        <f>S188*INDEX(input_data!$L:$L,MATCH(CBAM!$B$5&amp;".in.enp.frt.nit.gso",input_data!$A:$A,0))</f>
        <v>0</v>
      </c>
      <c r="T202" s="385">
        <f>T188*INDEX(input_data!$L:$L,MATCH(CBAM!$B$5&amp;".in.enp.frt.nit.gso",input_data!$A:$A,0))</f>
        <v>0</v>
      </c>
      <c r="U202" s="385">
        <f>U188*INDEX(input_data!$L:$L,MATCH(CBAM!$B$5&amp;".in.enp.frt.nit.gso",input_data!$A:$A,0))</f>
        <v>0</v>
      </c>
      <c r="V202" s="385">
        <f>V188*INDEX(input_data!$L:$L,MATCH(CBAM!$B$5&amp;".in.enp.frt.nit.gso",input_data!$A:$A,0))</f>
        <v>0</v>
      </c>
      <c r="W202" s="385">
        <f>W188*INDEX(input_data!$L:$L,MATCH(CBAM!$B$5&amp;".in.enp.frt.nit.gso",input_data!$A:$A,0))</f>
        <v>0</v>
      </c>
      <c r="X202" s="385">
        <f>X188*INDEX(input_data!$L:$L,MATCH(CBAM!$B$5&amp;".in.enp.frt.nit.gso",input_data!$A:$A,0))</f>
        <v>0</v>
      </c>
    </row>
    <row r="203" spans="1:24" ht="15" customHeight="1" x14ac:dyDescent="0.25">
      <c r="A203" s="380" t="str">
        <f>CBAM!$B$5&amp;".pj.enp.frt.nit.die"</f>
        <v>egy.pj.enp.frt.nit.die</v>
      </c>
      <c r="B203" s="380" t="str">
        <f>CBAM!$B$5</f>
        <v>egy</v>
      </c>
      <c r="C203" s="380" t="s">
        <v>1275</v>
      </c>
      <c r="D203" s="380" t="s">
        <v>1328</v>
      </c>
      <c r="E203" s="380" t="s">
        <v>330</v>
      </c>
      <c r="F203" s="380" t="s">
        <v>1501</v>
      </c>
      <c r="G203" s="380" t="s">
        <v>762</v>
      </c>
      <c r="H203" s="380" t="s">
        <v>1517</v>
      </c>
      <c r="I203" s="380" t="s">
        <v>1319</v>
      </c>
      <c r="J203" s="380" t="s">
        <v>1330</v>
      </c>
      <c r="K203" s="380"/>
      <c r="L203" s="380"/>
      <c r="M203" s="385">
        <f>M188*INDEX(input_data!$L:$L,MATCH(CBAM!$B$5&amp;".in.enp.frt.nit.die",input_data!$A:$A,0))</f>
        <v>0</v>
      </c>
      <c r="N203" s="385">
        <f>N188*INDEX(input_data!$L:$L,MATCH(CBAM!$B$5&amp;".in.enp.frt.nit.die",input_data!$A:$A,0))</f>
        <v>0</v>
      </c>
      <c r="O203" s="385">
        <f>O188*INDEX(input_data!$L:$L,MATCH(CBAM!$B$5&amp;".in.enp.frt.nit.die",input_data!$A:$A,0))</f>
        <v>0</v>
      </c>
      <c r="P203" s="385">
        <f>P188*INDEX(input_data!$L:$L,MATCH(CBAM!$B$5&amp;".in.enp.frt.nit.die",input_data!$A:$A,0))</f>
        <v>0</v>
      </c>
      <c r="Q203" s="385">
        <f>Q188*INDEX(input_data!$L:$L,MATCH(CBAM!$B$5&amp;".in.enp.frt.nit.die",input_data!$A:$A,0))</f>
        <v>0</v>
      </c>
      <c r="R203" s="385">
        <f>R188*INDEX(input_data!$L:$L,MATCH(CBAM!$B$5&amp;".in.enp.frt.nit.die",input_data!$A:$A,0))</f>
        <v>0</v>
      </c>
      <c r="S203" s="385">
        <f>S188*INDEX(input_data!$L:$L,MATCH(CBAM!$B$5&amp;".in.enp.frt.nit.die",input_data!$A:$A,0))</f>
        <v>0</v>
      </c>
      <c r="T203" s="385">
        <f>T188*INDEX(input_data!$L:$L,MATCH(CBAM!$B$5&amp;".in.enp.frt.nit.die",input_data!$A:$A,0))</f>
        <v>0</v>
      </c>
      <c r="U203" s="385">
        <f>U188*INDEX(input_data!$L:$L,MATCH(CBAM!$B$5&amp;".in.enp.frt.nit.die",input_data!$A:$A,0))</f>
        <v>0</v>
      </c>
      <c r="V203" s="385">
        <f>V188*INDEX(input_data!$L:$L,MATCH(CBAM!$B$5&amp;".in.enp.frt.nit.die",input_data!$A:$A,0))</f>
        <v>0</v>
      </c>
      <c r="W203" s="385">
        <f>W188*INDEX(input_data!$L:$L,MATCH(CBAM!$B$5&amp;".in.enp.frt.nit.die",input_data!$A:$A,0))</f>
        <v>0</v>
      </c>
      <c r="X203" s="385">
        <f>X188*INDEX(input_data!$L:$L,MATCH(CBAM!$B$5&amp;".in.enp.frt.nit.die",input_data!$A:$A,0))</f>
        <v>0</v>
      </c>
    </row>
    <row r="204" spans="1:24" ht="15" customHeight="1" x14ac:dyDescent="0.25">
      <c r="A204" s="380" t="str">
        <f>CBAM!$B$5&amp;".pj.enp.frt.nit.ker"</f>
        <v>egy.pj.enp.frt.nit.ker</v>
      </c>
      <c r="B204" s="380" t="str">
        <f>CBAM!$B$5</f>
        <v>egy</v>
      </c>
      <c r="C204" s="380" t="s">
        <v>1275</v>
      </c>
      <c r="D204" s="380" t="s">
        <v>1328</v>
      </c>
      <c r="E204" s="380" t="s">
        <v>330</v>
      </c>
      <c r="F204" s="380" t="s">
        <v>1501</v>
      </c>
      <c r="G204" s="380" t="s">
        <v>1295</v>
      </c>
      <c r="H204" s="380" t="s">
        <v>1518</v>
      </c>
      <c r="I204" s="380" t="s">
        <v>1319</v>
      </c>
      <c r="J204" s="380" t="s">
        <v>1330</v>
      </c>
      <c r="K204" s="380"/>
      <c r="L204" s="380"/>
      <c r="M204" s="385">
        <f>M188*INDEX(input_data!$L:$L,MATCH(CBAM!$B$5&amp;".in.enp.frt.nit.ker",input_data!$A:$A,0))</f>
        <v>0</v>
      </c>
      <c r="N204" s="385">
        <f>N188*INDEX(input_data!$L:$L,MATCH(CBAM!$B$5&amp;".in.enp.frt.nit.ker",input_data!$A:$A,0))</f>
        <v>0</v>
      </c>
      <c r="O204" s="385">
        <f>O188*INDEX(input_data!$L:$L,MATCH(CBAM!$B$5&amp;".in.enp.frt.nit.ker",input_data!$A:$A,0))</f>
        <v>0</v>
      </c>
      <c r="P204" s="385">
        <f>P188*INDEX(input_data!$L:$L,MATCH(CBAM!$B$5&amp;".in.enp.frt.nit.ker",input_data!$A:$A,0))</f>
        <v>0</v>
      </c>
      <c r="Q204" s="385">
        <f>Q188*INDEX(input_data!$L:$L,MATCH(CBAM!$B$5&amp;".in.enp.frt.nit.ker",input_data!$A:$A,0))</f>
        <v>0</v>
      </c>
      <c r="R204" s="385">
        <f>R188*INDEX(input_data!$L:$L,MATCH(CBAM!$B$5&amp;".in.enp.frt.nit.ker",input_data!$A:$A,0))</f>
        <v>0</v>
      </c>
      <c r="S204" s="385">
        <f>S188*INDEX(input_data!$L:$L,MATCH(CBAM!$B$5&amp;".in.enp.frt.nit.ker",input_data!$A:$A,0))</f>
        <v>0</v>
      </c>
      <c r="T204" s="385">
        <f>T188*INDEX(input_data!$L:$L,MATCH(CBAM!$B$5&amp;".in.enp.frt.nit.ker",input_data!$A:$A,0))</f>
        <v>0</v>
      </c>
      <c r="U204" s="385">
        <f>U188*INDEX(input_data!$L:$L,MATCH(CBAM!$B$5&amp;".in.enp.frt.nit.ker",input_data!$A:$A,0))</f>
        <v>0</v>
      </c>
      <c r="V204" s="385">
        <f>V188*INDEX(input_data!$L:$L,MATCH(CBAM!$B$5&amp;".in.enp.frt.nit.ker",input_data!$A:$A,0))</f>
        <v>0</v>
      </c>
      <c r="W204" s="385">
        <f>W188*INDEX(input_data!$L:$L,MATCH(CBAM!$B$5&amp;".in.enp.frt.nit.ker",input_data!$A:$A,0))</f>
        <v>0</v>
      </c>
      <c r="X204" s="385">
        <f>X188*INDEX(input_data!$L:$L,MATCH(CBAM!$B$5&amp;".in.enp.frt.nit.ker",input_data!$A:$A,0))</f>
        <v>0</v>
      </c>
    </row>
    <row r="205" spans="1:24" ht="15" customHeight="1" x14ac:dyDescent="0.25">
      <c r="A205" s="380" t="str">
        <f>CBAM!$B$5&amp;".pj.enp.frt.nit.lpg"</f>
        <v>egy.pj.enp.frt.nit.lpg</v>
      </c>
      <c r="B205" s="380" t="str">
        <f>CBAM!$B$5</f>
        <v>egy</v>
      </c>
      <c r="C205" s="380" t="s">
        <v>1275</v>
      </c>
      <c r="D205" s="380" t="s">
        <v>1328</v>
      </c>
      <c r="E205" s="380" t="s">
        <v>330</v>
      </c>
      <c r="F205" s="380" t="s">
        <v>1501</v>
      </c>
      <c r="G205" s="380" t="s">
        <v>1297</v>
      </c>
      <c r="H205" s="380" t="s">
        <v>1519</v>
      </c>
      <c r="I205" s="380" t="s">
        <v>1319</v>
      </c>
      <c r="J205" s="380" t="s">
        <v>1330</v>
      </c>
      <c r="K205" s="380"/>
      <c r="L205" s="380"/>
      <c r="M205" s="385">
        <f>M188*INDEX(input_data!$L:$L,MATCH(CBAM!$B$5&amp;".in.enp.frt.nit.lpg",input_data!$A:$A,0))</f>
        <v>0</v>
      </c>
      <c r="N205" s="385">
        <f>N188*INDEX(input_data!$L:$L,MATCH(CBAM!$B$5&amp;".in.enp.frt.nit.lpg",input_data!$A:$A,0))</f>
        <v>0</v>
      </c>
      <c r="O205" s="385">
        <f>O188*INDEX(input_data!$L:$L,MATCH(CBAM!$B$5&amp;".in.enp.frt.nit.lpg",input_data!$A:$A,0))</f>
        <v>0</v>
      </c>
      <c r="P205" s="385">
        <f>P188*INDEX(input_data!$L:$L,MATCH(CBAM!$B$5&amp;".in.enp.frt.nit.lpg",input_data!$A:$A,0))</f>
        <v>0</v>
      </c>
      <c r="Q205" s="385">
        <f>Q188*INDEX(input_data!$L:$L,MATCH(CBAM!$B$5&amp;".in.enp.frt.nit.lpg",input_data!$A:$A,0))</f>
        <v>0</v>
      </c>
      <c r="R205" s="385">
        <f>R188*INDEX(input_data!$L:$L,MATCH(CBAM!$B$5&amp;".in.enp.frt.nit.lpg",input_data!$A:$A,0))</f>
        <v>0</v>
      </c>
      <c r="S205" s="385">
        <f>S188*INDEX(input_data!$L:$L,MATCH(CBAM!$B$5&amp;".in.enp.frt.nit.lpg",input_data!$A:$A,0))</f>
        <v>0</v>
      </c>
      <c r="T205" s="385">
        <f>T188*INDEX(input_data!$L:$L,MATCH(CBAM!$B$5&amp;".in.enp.frt.nit.lpg",input_data!$A:$A,0))</f>
        <v>0</v>
      </c>
      <c r="U205" s="385">
        <f>U188*INDEX(input_data!$L:$L,MATCH(CBAM!$B$5&amp;".in.enp.frt.nit.lpg",input_data!$A:$A,0))</f>
        <v>0</v>
      </c>
      <c r="V205" s="385">
        <f>V188*INDEX(input_data!$L:$L,MATCH(CBAM!$B$5&amp;".in.enp.frt.nit.lpg",input_data!$A:$A,0))</f>
        <v>0</v>
      </c>
      <c r="W205" s="385">
        <f>W188*INDEX(input_data!$L:$L,MATCH(CBAM!$B$5&amp;".in.enp.frt.nit.lpg",input_data!$A:$A,0))</f>
        <v>0</v>
      </c>
      <c r="X205" s="385">
        <f>X188*INDEX(input_data!$L:$L,MATCH(CBAM!$B$5&amp;".in.enp.frt.nit.lpg",input_data!$A:$A,0))</f>
        <v>0</v>
      </c>
    </row>
    <row r="206" spans="1:24" ht="15" customHeight="1" x14ac:dyDescent="0.25">
      <c r="A206" s="380" t="str">
        <f>CBAM!$B$5&amp;".pj.enp.frt.nit.bio"</f>
        <v>egy.pj.enp.frt.nit.bio</v>
      </c>
      <c r="B206" s="380" t="str">
        <f>CBAM!$B$5</f>
        <v>egy</v>
      </c>
      <c r="C206" s="380" t="s">
        <v>1275</v>
      </c>
      <c r="D206" s="380" t="s">
        <v>1328</v>
      </c>
      <c r="E206" s="380" t="s">
        <v>330</v>
      </c>
      <c r="F206" s="380" t="s">
        <v>1501</v>
      </c>
      <c r="G206" s="380" t="s">
        <v>1299</v>
      </c>
      <c r="H206" s="380" t="s">
        <v>1520</v>
      </c>
      <c r="I206" s="380" t="s">
        <v>1319</v>
      </c>
      <c r="J206" s="380" t="s">
        <v>1330</v>
      </c>
      <c r="K206" s="380"/>
      <c r="L206" s="380"/>
      <c r="M206" s="385">
        <f>M188*INDEX(input_data!$L:$L,MATCH(CBAM!$B$5&amp;".in.enp.frt.nit.bio",input_data!$A:$A,0))</f>
        <v>0</v>
      </c>
      <c r="N206" s="385">
        <f>N188*INDEX(input_data!$L:$L,MATCH(CBAM!$B$5&amp;".in.enp.frt.nit.bio",input_data!$A:$A,0))</f>
        <v>0</v>
      </c>
      <c r="O206" s="385">
        <f>O188*INDEX(input_data!$L:$L,MATCH(CBAM!$B$5&amp;".in.enp.frt.nit.bio",input_data!$A:$A,0))</f>
        <v>0</v>
      </c>
      <c r="P206" s="385">
        <f>P188*INDEX(input_data!$L:$L,MATCH(CBAM!$B$5&amp;".in.enp.frt.nit.bio",input_data!$A:$A,0))</f>
        <v>0</v>
      </c>
      <c r="Q206" s="385">
        <f>Q188*INDEX(input_data!$L:$L,MATCH(CBAM!$B$5&amp;".in.enp.frt.nit.bio",input_data!$A:$A,0))</f>
        <v>0</v>
      </c>
      <c r="R206" s="385">
        <f>R188*INDEX(input_data!$L:$L,MATCH(CBAM!$B$5&amp;".in.enp.frt.nit.bio",input_data!$A:$A,0))</f>
        <v>0</v>
      </c>
      <c r="S206" s="385">
        <f>S188*INDEX(input_data!$L:$L,MATCH(CBAM!$B$5&amp;".in.enp.frt.nit.bio",input_data!$A:$A,0))</f>
        <v>0</v>
      </c>
      <c r="T206" s="385">
        <f>T188*INDEX(input_data!$L:$L,MATCH(CBAM!$B$5&amp;".in.enp.frt.nit.bio",input_data!$A:$A,0))</f>
        <v>0</v>
      </c>
      <c r="U206" s="385">
        <f>U188*INDEX(input_data!$L:$L,MATCH(CBAM!$B$5&amp;".in.enp.frt.nit.bio",input_data!$A:$A,0))</f>
        <v>0</v>
      </c>
      <c r="V206" s="385">
        <f>V188*INDEX(input_data!$L:$L,MATCH(CBAM!$B$5&amp;".in.enp.frt.nit.bio",input_data!$A:$A,0))</f>
        <v>0</v>
      </c>
      <c r="W206" s="385">
        <f>W188*INDEX(input_data!$L:$L,MATCH(CBAM!$B$5&amp;".in.enp.frt.nit.bio",input_data!$A:$A,0))</f>
        <v>0</v>
      </c>
      <c r="X206" s="385">
        <f>X188*INDEX(input_data!$L:$L,MATCH(CBAM!$B$5&amp;".in.enp.frt.nit.bio",input_data!$A:$A,0))</f>
        <v>0</v>
      </c>
    </row>
    <row r="207" spans="1:24" ht="15" customHeight="1" x14ac:dyDescent="0.25">
      <c r="A207" s="380" t="str">
        <f>CBAM!$B$5&amp;".pj.enp.frt.nit.ren"</f>
        <v>egy.pj.enp.frt.nit.ren</v>
      </c>
      <c r="B207" s="380" t="str">
        <f>CBAM!$B$5</f>
        <v>egy</v>
      </c>
      <c r="C207" s="380" t="s">
        <v>1275</v>
      </c>
      <c r="D207" s="380" t="s">
        <v>1328</v>
      </c>
      <c r="E207" s="380" t="s">
        <v>330</v>
      </c>
      <c r="F207" s="380" t="s">
        <v>1501</v>
      </c>
      <c r="G207" s="380" t="s">
        <v>1301</v>
      </c>
      <c r="H207" s="380" t="s">
        <v>1521</v>
      </c>
      <c r="I207" s="380" t="s">
        <v>1319</v>
      </c>
      <c r="J207" s="380" t="s">
        <v>1330</v>
      </c>
      <c r="K207" s="380"/>
      <c r="L207" s="380"/>
      <c r="M207" s="385">
        <f>M188*INDEX(input_data!$L:$L,MATCH(CBAM!$B$5&amp;".in.enp.frt.nit.ren",input_data!$A:$A,0))</f>
        <v>0</v>
      </c>
      <c r="N207" s="385">
        <f>N188*INDEX(input_data!$L:$L,MATCH(CBAM!$B$5&amp;".in.enp.frt.nit.ren",input_data!$A:$A,0))</f>
        <v>0</v>
      </c>
      <c r="O207" s="385">
        <f>O188*INDEX(input_data!$L:$L,MATCH(CBAM!$B$5&amp;".in.enp.frt.nit.ren",input_data!$A:$A,0))</f>
        <v>0</v>
      </c>
      <c r="P207" s="385">
        <f>P188*INDEX(input_data!$L:$L,MATCH(CBAM!$B$5&amp;".in.enp.frt.nit.ren",input_data!$A:$A,0))</f>
        <v>0</v>
      </c>
      <c r="Q207" s="385">
        <f>Q188*INDEX(input_data!$L:$L,MATCH(CBAM!$B$5&amp;".in.enp.frt.nit.ren",input_data!$A:$A,0))</f>
        <v>0</v>
      </c>
      <c r="R207" s="385">
        <f>R188*INDEX(input_data!$L:$L,MATCH(CBAM!$B$5&amp;".in.enp.frt.nit.ren",input_data!$A:$A,0))</f>
        <v>0</v>
      </c>
      <c r="S207" s="385">
        <f>S188*INDEX(input_data!$L:$L,MATCH(CBAM!$B$5&amp;".in.enp.frt.nit.ren",input_data!$A:$A,0))</f>
        <v>0</v>
      </c>
      <c r="T207" s="385">
        <f>T188*INDEX(input_data!$L:$L,MATCH(CBAM!$B$5&amp;".in.enp.frt.nit.ren",input_data!$A:$A,0))</f>
        <v>0</v>
      </c>
      <c r="U207" s="385">
        <f>U188*INDEX(input_data!$L:$L,MATCH(CBAM!$B$5&amp;".in.enp.frt.nit.ren",input_data!$A:$A,0))</f>
        <v>0</v>
      </c>
      <c r="V207" s="385">
        <f>V188*INDEX(input_data!$L:$L,MATCH(CBAM!$B$5&amp;".in.enp.frt.nit.ren",input_data!$A:$A,0))</f>
        <v>0</v>
      </c>
      <c r="W207" s="385">
        <f>W188*INDEX(input_data!$L:$L,MATCH(CBAM!$B$5&amp;".in.enp.frt.nit.ren",input_data!$A:$A,0))</f>
        <v>0</v>
      </c>
      <c r="X207" s="385">
        <f>X188*INDEX(input_data!$L:$L,MATCH(CBAM!$B$5&amp;".in.enp.frt.nit.ren",input_data!$A:$A,0))</f>
        <v>0</v>
      </c>
    </row>
    <row r="208" spans="1:24" ht="15" customHeight="1" x14ac:dyDescent="0.25">
      <c r="A208" s="380" t="str">
        <f>CBAM!$B$5&amp;".pj.ele.frt.nit.elc"</f>
        <v>egy.pj.ele.frt.nit.elc</v>
      </c>
      <c r="B208" s="380" t="str">
        <f>CBAM!$B$5</f>
        <v>egy</v>
      </c>
      <c r="C208" s="380" t="s">
        <v>1275</v>
      </c>
      <c r="D208" s="380" t="s">
        <v>1338</v>
      </c>
      <c r="E208" s="380" t="s">
        <v>330</v>
      </c>
      <c r="F208" s="380" t="s">
        <v>1501</v>
      </c>
      <c r="G208" s="380" t="s">
        <v>1339</v>
      </c>
      <c r="H208" s="380" t="s">
        <v>1522</v>
      </c>
      <c r="I208" s="380" t="s">
        <v>1319</v>
      </c>
      <c r="J208" s="380" t="s">
        <v>1341</v>
      </c>
      <c r="K208" s="380"/>
      <c r="L208" s="380"/>
      <c r="M208" s="385">
        <f>M188*INDEX(input_data!$L:$L,MATCH(CBAM!$B$5&amp;".in.ele.frt.nit.elc",input_data!$A:$A,0))</f>
        <v>0.17499999999999999</v>
      </c>
      <c r="N208" s="385">
        <f>N188*INDEX(input_data!$L:$L,MATCH(CBAM!$B$5&amp;".in.ele.frt.nit.elc",input_data!$A:$A,0))</f>
        <v>0.17878827431491121</v>
      </c>
      <c r="O208" s="385">
        <f>O188*INDEX(input_data!$L:$L,MATCH(CBAM!$B$5&amp;".in.ele.frt.nit.elc",input_data!$A:$A,0))</f>
        <v>0.18265855447145113</v>
      </c>
      <c r="P208" s="385">
        <f>P188*INDEX(input_data!$L:$L,MATCH(CBAM!$B$5&amp;".in.ele.frt.nit.elc",input_data!$A:$A,0))</f>
        <v>0.1866126156731826</v>
      </c>
      <c r="Q208" s="385">
        <f>Q188*INDEX(input_data!$L:$L,MATCH(CBAM!$B$5&amp;".in.ele.frt.nit.elc",input_data!$A:$A,0))</f>
        <v>0.19065227155200043</v>
      </c>
      <c r="R208" s="385">
        <f>R188*INDEX(input_data!$L:$L,MATCH(CBAM!$B$5&amp;".in.ele.frt.nit.elc",input_data!$A:$A,0))</f>
        <v>0.19477937499999998</v>
      </c>
      <c r="S208" s="385">
        <f>S188*INDEX(input_data!$L:$L,MATCH(CBAM!$B$5&amp;".in.ele.frt.nit.elc",input_data!$A:$A,0))</f>
        <v>0.19899581901935406</v>
      </c>
      <c r="T208" s="385">
        <f>T188*INDEX(input_data!$L:$L,MATCH(CBAM!$B$5&amp;".in.ele.frt.nit.elc",input_data!$A:$A,0))</f>
        <v>0.20330353759058684</v>
      </c>
      <c r="U208" s="385">
        <f>U188*INDEX(input_data!$L:$L,MATCH(CBAM!$B$5&amp;".in.ele.frt.nit.elc",input_data!$A:$A,0))</f>
        <v>0.20770450655964406</v>
      </c>
      <c r="V208" s="385">
        <f>V188*INDEX(input_data!$L:$L,MATCH(CBAM!$B$5&amp;".in.ele.frt.nit.elc",input_data!$A:$A,0))</f>
        <v>0.21220074454416527</v>
      </c>
      <c r="W208" s="385">
        <f>W188*INDEX(input_data!$L:$L,MATCH(CBAM!$B$5&amp;".in.ele.frt.nit.elc",input_data!$A:$A,0))</f>
        <v>0.21679431385937495</v>
      </c>
      <c r="X208" s="385">
        <f>X188*INDEX(input_data!$L:$L,MATCH(CBAM!$B$5&amp;".in.ele.frt.nit.elc",input_data!$A:$A,0))</f>
        <v>0.22148732146401651</v>
      </c>
    </row>
    <row r="209" spans="1:24" ht="15" customHeight="1" x14ac:dyDescent="0.25">
      <c r="A209" s="380" t="str">
        <f>CBAM!$B$5&amp;".em.sfc.frt.nit.---"</f>
        <v>egy.em.sfc.frt.nit.---</v>
      </c>
      <c r="B209" s="380" t="str">
        <f>CBAM!$B$5</f>
        <v>egy</v>
      </c>
      <c r="C209" s="380" t="s">
        <v>1342</v>
      </c>
      <c r="D209" s="380" t="s">
        <v>1343</v>
      </c>
      <c r="E209" s="380" t="s">
        <v>330</v>
      </c>
      <c r="F209" s="380" t="s">
        <v>1501</v>
      </c>
      <c r="G209" s="380" t="s">
        <v>1277</v>
      </c>
      <c r="H209" s="380" t="s">
        <v>1523</v>
      </c>
      <c r="I209" s="380" t="s">
        <v>1345</v>
      </c>
      <c r="J209" s="380" t="s">
        <v>1346</v>
      </c>
      <c r="K209" s="380"/>
      <c r="L209" s="380"/>
      <c r="M209" s="385">
        <f t="shared" ref="M209:X209" si="13">SUMPRODUCT(M192:M199,M10:M17)/1000</f>
        <v>5.6100000000000004E-2</v>
      </c>
      <c r="N209" s="385">
        <f t="shared" si="13"/>
        <v>5.7314412508951536E-2</v>
      </c>
      <c r="O209" s="385">
        <f t="shared" si="13"/>
        <v>5.8555113747705195E-2</v>
      </c>
      <c r="P209" s="385">
        <f t="shared" si="13"/>
        <v>5.9822672795803118E-2</v>
      </c>
      <c r="Q209" s="385">
        <f t="shared" si="13"/>
        <v>6.1117671051812712E-2</v>
      </c>
      <c r="R209" s="385">
        <f t="shared" si="13"/>
        <v>6.24407025E-2</v>
      </c>
      <c r="S209" s="385">
        <f t="shared" si="13"/>
        <v>6.3792373982775791E-2</v>
      </c>
      <c r="T209" s="385">
        <f t="shared" si="13"/>
        <v>6.5173305479039559E-2</v>
      </c>
      <c r="U209" s="385">
        <f t="shared" si="13"/>
        <v>6.6584130388548754E-2</v>
      </c>
      <c r="V209" s="385">
        <f t="shared" si="13"/>
        <v>6.8025495822443841E-2</v>
      </c>
      <c r="W209" s="385">
        <f t="shared" si="13"/>
        <v>6.9498062900062496E-2</v>
      </c>
      <c r="X209" s="385">
        <f t="shared" si="13"/>
        <v>7.1002507052179017E-2</v>
      </c>
    </row>
    <row r="210" spans="1:24" ht="15" customHeight="1" x14ac:dyDescent="0.25">
      <c r="A210" s="380" t="str">
        <f>CBAM!$B$5&amp;".em.sfp.frt.nit.---"</f>
        <v>egy.em.sfp.frt.nit.---</v>
      </c>
      <c r="B210" s="380" t="str">
        <f>CBAM!$B$5</f>
        <v>egy</v>
      </c>
      <c r="C210" s="380" t="s">
        <v>1342</v>
      </c>
      <c r="D210" s="380" t="s">
        <v>1347</v>
      </c>
      <c r="E210" s="380" t="s">
        <v>330</v>
      </c>
      <c r="F210" s="380" t="s">
        <v>1501</v>
      </c>
      <c r="G210" s="380" t="s">
        <v>1277</v>
      </c>
      <c r="H210" s="380" t="s">
        <v>1524</v>
      </c>
      <c r="I210" s="380" t="s">
        <v>1345</v>
      </c>
      <c r="J210" s="380" t="s">
        <v>1349</v>
      </c>
      <c r="K210" s="380"/>
      <c r="L210" s="380"/>
      <c r="M210" s="385">
        <f t="shared" ref="M210:X210" si="14">SUMPRODUCT(M200:M207,M10:M17)/1000</f>
        <v>0</v>
      </c>
      <c r="N210" s="385">
        <f t="shared" si="14"/>
        <v>0</v>
      </c>
      <c r="O210" s="385">
        <f t="shared" si="14"/>
        <v>0</v>
      </c>
      <c r="P210" s="385">
        <f t="shared" si="14"/>
        <v>0</v>
      </c>
      <c r="Q210" s="385">
        <f t="shared" si="14"/>
        <v>0</v>
      </c>
      <c r="R210" s="385">
        <f t="shared" si="14"/>
        <v>0</v>
      </c>
      <c r="S210" s="385">
        <f t="shared" si="14"/>
        <v>0</v>
      </c>
      <c r="T210" s="385">
        <f t="shared" si="14"/>
        <v>0</v>
      </c>
      <c r="U210" s="385">
        <f t="shared" si="14"/>
        <v>0</v>
      </c>
      <c r="V210" s="385">
        <f t="shared" si="14"/>
        <v>0</v>
      </c>
      <c r="W210" s="385">
        <f t="shared" si="14"/>
        <v>0</v>
      </c>
      <c r="X210" s="385">
        <f t="shared" si="14"/>
        <v>0</v>
      </c>
    </row>
    <row r="211" spans="1:24" ht="15" customHeight="1" x14ac:dyDescent="0.25">
      <c r="A211" s="380" t="str">
        <f>CBAM!$B$5&amp;".em.snp.frt.nit.---"</f>
        <v>egy.em.snp.frt.nit.---</v>
      </c>
      <c r="B211" s="380" t="str">
        <f>CBAM!$B$5</f>
        <v>egy</v>
      </c>
      <c r="C211" s="380" t="s">
        <v>1342</v>
      </c>
      <c r="D211" s="380" t="s">
        <v>1350</v>
      </c>
      <c r="E211" s="380" t="s">
        <v>330</v>
      </c>
      <c r="F211" s="380" t="s">
        <v>1501</v>
      </c>
      <c r="G211" s="380" t="s">
        <v>1277</v>
      </c>
      <c r="H211" s="380" t="s">
        <v>1525</v>
      </c>
      <c r="I211" s="380" t="s">
        <v>1345</v>
      </c>
      <c r="J211" s="380" t="s">
        <v>1352</v>
      </c>
      <c r="K211" s="380"/>
      <c r="L211" s="380"/>
      <c r="M211" s="385">
        <f>M188*INDEX(input_data!$L:$L,MATCH(CBAM!$B$5&amp;".in.efn.frt.nit.---",input_data!$A:$A,0))</f>
        <v>0</v>
      </c>
      <c r="N211" s="385">
        <f>N188*INDEX(input_data!$L:$L,MATCH(CBAM!$B$5&amp;".in.efn.frt.nit.---",input_data!$A:$A,0))</f>
        <v>0</v>
      </c>
      <c r="O211" s="385">
        <f>O188*INDEX(input_data!$L:$L,MATCH(CBAM!$B$5&amp;".in.efn.frt.nit.---",input_data!$A:$A,0))</f>
        <v>0</v>
      </c>
      <c r="P211" s="385">
        <f>P188*INDEX(input_data!$L:$L,MATCH(CBAM!$B$5&amp;".in.efn.frt.nit.---",input_data!$A:$A,0))</f>
        <v>0</v>
      </c>
      <c r="Q211" s="385">
        <f>Q188*INDEX(input_data!$L:$L,MATCH(CBAM!$B$5&amp;".in.efn.frt.nit.---",input_data!$A:$A,0))</f>
        <v>0</v>
      </c>
      <c r="R211" s="385">
        <f>R188*INDEX(input_data!$L:$L,MATCH(CBAM!$B$5&amp;".in.efn.frt.nit.---",input_data!$A:$A,0))</f>
        <v>0</v>
      </c>
      <c r="S211" s="385">
        <f>S188*INDEX(input_data!$L:$L,MATCH(CBAM!$B$5&amp;".in.efn.frt.nit.---",input_data!$A:$A,0))</f>
        <v>0</v>
      </c>
      <c r="T211" s="385">
        <f>T188*INDEX(input_data!$L:$L,MATCH(CBAM!$B$5&amp;".in.efn.frt.nit.---",input_data!$A:$A,0))</f>
        <v>0</v>
      </c>
      <c r="U211" s="385">
        <f>U188*INDEX(input_data!$L:$L,MATCH(CBAM!$B$5&amp;".in.efn.frt.nit.---",input_data!$A:$A,0))</f>
        <v>0</v>
      </c>
      <c r="V211" s="385">
        <f>V188*INDEX(input_data!$L:$L,MATCH(CBAM!$B$5&amp;".in.efn.frt.nit.---",input_data!$A:$A,0))</f>
        <v>0</v>
      </c>
      <c r="W211" s="385">
        <f>W188*INDEX(input_data!$L:$L,MATCH(CBAM!$B$5&amp;".in.efn.frt.nit.---",input_data!$A:$A,0))</f>
        <v>0</v>
      </c>
      <c r="X211" s="385">
        <f>X188*INDEX(input_data!$L:$L,MATCH(CBAM!$B$5&amp;".in.efn.frt.nit.---",input_data!$A:$A,0))</f>
        <v>0</v>
      </c>
    </row>
    <row r="212" spans="1:24" ht="15" customHeight="1" x14ac:dyDescent="0.25">
      <c r="A212" s="380" t="str">
        <f>CBAM!$B$5&amp;".em.sno.frt.nit.---"</f>
        <v>egy.em.sno.frt.nit.---</v>
      </c>
      <c r="B212" s="380" t="str">
        <f>CBAM!$B$5</f>
        <v>egy</v>
      </c>
      <c r="C212" s="380" t="s">
        <v>1342</v>
      </c>
      <c r="D212" s="380" t="s">
        <v>1353</v>
      </c>
      <c r="E212" s="380" t="s">
        <v>330</v>
      </c>
      <c r="F212" s="380" t="s">
        <v>1501</v>
      </c>
      <c r="G212" s="380" t="s">
        <v>1277</v>
      </c>
      <c r="H212" s="380" t="s">
        <v>1526</v>
      </c>
      <c r="I212" s="380" t="s">
        <v>1355</v>
      </c>
      <c r="J212" s="380" t="s">
        <v>1356</v>
      </c>
      <c r="K212" s="380"/>
      <c r="L212" s="380"/>
      <c r="M212" s="385">
        <f>M188*INDEX(input_data!$L:$L,MATCH(CBAM!$B$5&amp;".in.efo.frt.nit.---",input_data!$A:$A,0))</f>
        <v>0.48499999999999999</v>
      </c>
      <c r="N212" s="385">
        <f>N188*INDEX(input_data!$L:$L,MATCH(CBAM!$B$5&amp;".in.efo.frt.nit.---",input_data!$A:$A,0))</f>
        <v>0.49549893167275388</v>
      </c>
      <c r="O212" s="385">
        <f>O188*INDEX(input_data!$L:$L,MATCH(CBAM!$B$5&amp;".in.efo.frt.nit.---",input_data!$A:$A,0))</f>
        <v>0.50622513667802171</v>
      </c>
      <c r="P212" s="385">
        <f>P188*INDEX(input_data!$L:$L,MATCH(CBAM!$B$5&amp;".in.efo.frt.nit.---",input_data!$A:$A,0))</f>
        <v>0.51718353486567759</v>
      </c>
      <c r="Q212" s="385">
        <f>Q188*INDEX(input_data!$L:$L,MATCH(CBAM!$B$5&amp;".in.efo.frt.nit.---",input_data!$A:$A,0))</f>
        <v>0.52837915258697266</v>
      </c>
      <c r="R212" s="385">
        <f>R188*INDEX(input_data!$L:$L,MATCH(CBAM!$B$5&amp;".in.efo.frt.nit.---",input_data!$A:$A,0))</f>
        <v>0.5398171249999999</v>
      </c>
      <c r="S212" s="385">
        <f>S188*INDEX(input_data!$L:$L,MATCH(CBAM!$B$5&amp;".in.efo.frt.nit.---",input_data!$A:$A,0))</f>
        <v>0.55150269842506694</v>
      </c>
      <c r="T212" s="385">
        <f>T188*INDEX(input_data!$L:$L,MATCH(CBAM!$B$5&amp;".in.efo.frt.nit.---",input_data!$A:$A,0))</f>
        <v>0.56344123275105495</v>
      </c>
      <c r="U212" s="385">
        <f>U188*INDEX(input_data!$L:$L,MATCH(CBAM!$B$5&amp;".in.efo.frt.nit.---",input_data!$A:$A,0))</f>
        <v>0.57563820389387066</v>
      </c>
      <c r="V212" s="385">
        <f>V188*INDEX(input_data!$L:$L,MATCH(CBAM!$B$5&amp;".in.efo.frt.nit.---",input_data!$A:$A,0))</f>
        <v>0.58809920630811519</v>
      </c>
      <c r="W212" s="385">
        <f>W188*INDEX(input_data!$L:$L,MATCH(CBAM!$B$5&amp;".in.efo.frt.nit.---",input_data!$A:$A,0))</f>
        <v>0.60082995555312491</v>
      </c>
      <c r="X212" s="385">
        <f>X188*INDEX(input_data!$L:$L,MATCH(CBAM!$B$5&amp;".in.efo.frt.nit.---",input_data!$A:$A,0))</f>
        <v>0.61383629091456005</v>
      </c>
    </row>
    <row r="213" spans="1:24" ht="15" customHeight="1" x14ac:dyDescent="0.25">
      <c r="A213" s="380" t="str">
        <f>CBAM!$B$5&amp;".em.s2e.frt.nit.elc"</f>
        <v>egy.em.s2e.frt.nit.elc</v>
      </c>
      <c r="B213" s="380" t="str">
        <f>CBAM!$B$5</f>
        <v>egy</v>
      </c>
      <c r="C213" s="380" t="s">
        <v>1342</v>
      </c>
      <c r="D213" s="380" t="s">
        <v>1357</v>
      </c>
      <c r="E213" s="380" t="s">
        <v>330</v>
      </c>
      <c r="F213" s="380" t="s">
        <v>1501</v>
      </c>
      <c r="G213" s="380" t="s">
        <v>1339</v>
      </c>
      <c r="H213" s="380" t="s">
        <v>1527</v>
      </c>
      <c r="I213" s="380" t="s">
        <v>1345</v>
      </c>
      <c r="J213" s="380" t="s">
        <v>1359</v>
      </c>
      <c r="K213" s="380"/>
      <c r="L213" s="380"/>
      <c r="M213" s="385">
        <f>M208*INDEX(input_data!$M:$X,MATCH(CBAM!$B$5&amp;".in.gef.---.---.---",input_data!$A:$A,0),COLUMNS($M:M))/3.6</f>
        <v>2.4791666666666663E-2</v>
      </c>
      <c r="N213" s="385">
        <f>N208*INDEX(input_data!$M:$X,MATCH(CBAM!$B$5&amp;".in.gef.---.---.---",input_data!$A:$A,0),COLUMNS($M:N))/3.6</f>
        <v>2.4831704765959889E-2</v>
      </c>
      <c r="O213" s="385">
        <f>O208*INDEX(input_data!$M:$X,MATCH(CBAM!$B$5&amp;".in.gef.---.---.---",input_data!$A:$A,0),COLUMNS($M:O))/3.6</f>
        <v>2.4861858803058624E-2</v>
      </c>
      <c r="P213" s="385">
        <f>P208*INDEX(input_data!$M:$X,MATCH(CBAM!$B$5&amp;".in.gef.---.---.---",input_data!$A:$A,0),COLUMNS($M:P))/3.6</f>
        <v>2.4881682089757679E-2</v>
      </c>
      <c r="Q213" s="385">
        <f>Q208*INDEX(input_data!$M:$X,MATCH(CBAM!$B$5&amp;".in.gef.---.---.---",input_data!$A:$A,0),COLUMNS($M:Q))/3.6</f>
        <v>2.4890713230400052E-2</v>
      </c>
      <c r="R213" s="385">
        <f>R208*INDEX(input_data!$M:$X,MATCH(CBAM!$B$5&amp;".in.gef.---.---.---",input_data!$A:$A,0),COLUMNS($M:R))/3.6</f>
        <v>2.488847569444444E-2</v>
      </c>
      <c r="S213" s="385">
        <f>S208*INDEX(input_data!$M:$X,MATCH(CBAM!$B$5&amp;".in.gef.---.---.---",input_data!$A:$A,0),COLUMNS($M:S))/3.6</f>
        <v>2.4874477377419255E-2</v>
      </c>
      <c r="T213" s="385">
        <f>T208*INDEX(input_data!$M:$X,MATCH(CBAM!$B$5&amp;".in.gef.---.---.---",input_data!$A:$A,0),COLUMNS($M:T))/3.6</f>
        <v>2.4848210149960612E-2</v>
      </c>
      <c r="U213" s="385">
        <f>U208*INDEX(input_data!$M:$X,MATCH(CBAM!$B$5&amp;".in.gef.---.---.---",input_data!$A:$A,0),COLUMNS($M:U))/3.6</f>
        <v>2.4809149394624152E-2</v>
      </c>
      <c r="V213" s="385">
        <f>V208*INDEX(input_data!$M:$X,MATCH(CBAM!$B$5&amp;".in.gef.---.---.---",input_data!$A:$A,0),COLUMNS($M:V))/3.6</f>
        <v>2.4756753530152612E-2</v>
      </c>
      <c r="W213" s="385">
        <f>W208*INDEX(input_data!$M:$X,MATCH(CBAM!$B$5&amp;".in.gef.---.---.---",input_data!$A:$A,0),COLUMNS($M:W))/3.6</f>
        <v>2.4690463522873254E-2</v>
      </c>
      <c r="X213" s="385">
        <f>X208*INDEX(input_data!$M:$X,MATCH(CBAM!$B$5&amp;".in.gef.---.---.---",input_data!$A:$A,0),COLUMNS($M:X))/3.6</f>
        <v>2.4609702384890724E-2</v>
      </c>
    </row>
    <row r="215" spans="1:24" ht="21.75" customHeight="1" x14ac:dyDescent="0.25">
      <c r="A215" s="12" t="s">
        <v>1528</v>
      </c>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spans="1:24" ht="15" customHeight="1" x14ac:dyDescent="0.25">
      <c r="A216" s="380" t="str">
        <f>CBAM!$B$5&amp;".pj.prd.alu.prp.---"</f>
        <v>egy.pj.prd.alu.prp.---</v>
      </c>
      <c r="B216" s="380" t="str">
        <f>CBAM!$B$5</f>
        <v>egy</v>
      </c>
      <c r="C216" s="380" t="s">
        <v>1275</v>
      </c>
      <c r="D216" s="380" t="s">
        <v>1304</v>
      </c>
      <c r="E216" s="380" t="s">
        <v>334</v>
      </c>
      <c r="F216" s="380" t="s">
        <v>1529</v>
      </c>
      <c r="G216" s="380" t="s">
        <v>1277</v>
      </c>
      <c r="H216" s="380" t="s">
        <v>1530</v>
      </c>
      <c r="I216" s="380" t="s">
        <v>1307</v>
      </c>
      <c r="J216" s="380" t="s">
        <v>1308</v>
      </c>
      <c r="K216" s="380"/>
      <c r="L216" s="380"/>
      <c r="M216" s="385">
        <f>IFERROR(INDEX(input_data!$L:$L,MATCH(CBAM!$B$5&amp;".in.prb.alu.prp.---",input_data!$A:$A,0))*POWER(M7,INDEX(input_data!$L:$L,MATCH(CBAM!$B$5&amp;".in.els.alu.prp.---",input_data!$A:$A,0))),0)</f>
        <v>0.28999999999999998</v>
      </c>
      <c r="N216" s="385">
        <f>IFERROR(INDEX(input_data!$L:$L,MATCH(CBAM!$B$5&amp;".in.prb.alu.prp.---",input_data!$A:$A,0))*POWER(N7,INDEX(input_data!$L:$L,MATCH(CBAM!$B$5&amp;".in.els.alu.prp.---",input_data!$A:$A,0))),0)</f>
        <v>0.30269131883840467</v>
      </c>
      <c r="O216" s="385">
        <f>IFERROR(INDEX(input_data!$L:$L,MATCH(CBAM!$B$5&amp;".in.prb.alu.prp.---",input_data!$A:$A,0))*POWER(O7,INDEX(input_data!$L:$L,MATCH(CBAM!$B$5&amp;".in.els.alu.prp.---",input_data!$A:$A,0))),0)</f>
        <v>0.31593805000045783</v>
      </c>
      <c r="P216" s="385">
        <f>IFERROR(INDEX(input_data!$L:$L,MATCH(CBAM!$B$5&amp;".in.prb.alu.prp.---",input_data!$A:$A,0))*POWER(P7,INDEX(input_data!$L:$L,MATCH(CBAM!$B$5&amp;".in.els.alu.prp.---",input_data!$A:$A,0))),0)</f>
        <v>0.32976450008921521</v>
      </c>
      <c r="Q216" s="385">
        <f>IFERROR(INDEX(input_data!$L:$L,MATCH(CBAM!$B$5&amp;".in.prb.alu.prp.---",input_data!$A:$A,0))*POWER(Q7,INDEX(input_data!$L:$L,MATCH(CBAM!$B$5&amp;".in.els.alu.prp.---",input_data!$A:$A,0))),0)</f>
        <v>0.34419603944169586</v>
      </c>
      <c r="R216" s="385">
        <f>IFERROR(INDEX(input_data!$L:$L,MATCH(CBAM!$B$5&amp;".in.prb.alu.prp.---",input_data!$A:$A,0))*POWER(R7,INDEX(input_data!$L:$L,MATCH(CBAM!$B$5&amp;".in.els.alu.prp.---",input_data!$A:$A,0))),0)</f>
        <v>0.35925914868124992</v>
      </c>
      <c r="S216" s="385">
        <f>IFERROR(INDEX(input_data!$L:$L,MATCH(CBAM!$B$5&amp;".in.prb.alu.prp.---",input_data!$A:$A,0))*POWER(S7,INDEX(input_data!$L:$L,MATCH(CBAM!$B$5&amp;".in.els.alu.prp.---",input_data!$A:$A,0))),0)</f>
        <v>0.37498146730720716</v>
      </c>
      <c r="T216" s="385">
        <f>IFERROR(INDEX(input_data!$L:$L,MATCH(CBAM!$B$5&amp;".in.prb.alu.prp.---",input_data!$A:$A,0))*POWER(T7,INDEX(input_data!$L:$L,MATCH(CBAM!$B$5&amp;".in.els.alu.prp.---",input_data!$A:$A,0))),0)</f>
        <v>0.39139184441096092</v>
      </c>
      <c r="U216" s="385">
        <f>IFERROR(INDEX(input_data!$L:$L,MATCH(CBAM!$B$5&amp;".in.prb.alu.prp.---",input_data!$A:$A,0))*POWER(U7,INDEX(input_data!$L:$L,MATCH(CBAM!$B$5&amp;".in.els.alu.prp.---",input_data!$A:$A,0))),0)</f>
        <v>0.40852039161154985</v>
      </c>
      <c r="V216" s="385">
        <f>IFERROR(INDEX(input_data!$L:$L,MATCH(CBAM!$B$5&amp;".in.prb.alu.prp.---",input_data!$A:$A,0))*POWER(V7,INDEX(input_data!$L:$L,MATCH(CBAM!$B$5&amp;".in.els.alu.prp.---",input_data!$A:$A,0))),0)</f>
        <v>0.42639853830786756</v>
      </c>
      <c r="W216" s="385">
        <f>IFERROR(INDEX(input_data!$L:$L,MATCH(CBAM!$B$5&amp;".in.prb.alu.prp.---",input_data!$A:$A,0))*POWER(W7,INDEX(input_data!$L:$L,MATCH(CBAM!$B$5&amp;".in.els.alu.prp.---",input_data!$A:$A,0))),0)</f>
        <v>0.44505908934888427</v>
      </c>
      <c r="X216" s="385">
        <f>IFERROR(INDEX(input_data!$L:$L,MATCH(CBAM!$B$5&amp;".in.prb.alu.prp.---",input_data!$A:$A,0))*POWER(X7,INDEX(input_data!$L:$L,MATCH(CBAM!$B$5&amp;".in.els.alu.prp.---",input_data!$A:$A,0))),0)</f>
        <v>0.46453628522770074</v>
      </c>
    </row>
    <row r="217" spans="1:24" ht="15" customHeight="1" x14ac:dyDescent="0.25">
      <c r="A217" s="380" t="str">
        <f>CBAM!$B$5&amp;".pj.eux.alu.prp.---"</f>
        <v>egy.pj.eux.alu.prp.---</v>
      </c>
      <c r="B217" s="380" t="str">
        <f>CBAM!$B$5</f>
        <v>egy</v>
      </c>
      <c r="C217" s="380" t="s">
        <v>1275</v>
      </c>
      <c r="D217" s="380" t="s">
        <v>1309</v>
      </c>
      <c r="E217" s="380" t="s">
        <v>334</v>
      </c>
      <c r="F217" s="380" t="s">
        <v>1529</v>
      </c>
      <c r="G217" s="380" t="s">
        <v>1277</v>
      </c>
      <c r="H217" s="380" t="s">
        <v>1531</v>
      </c>
      <c r="I217" s="380" t="s">
        <v>1307</v>
      </c>
      <c r="J217" s="380" t="s">
        <v>1311</v>
      </c>
      <c r="K217" s="380"/>
      <c r="L217" s="380"/>
      <c r="M217" s="385">
        <f>M216*INDEX(input_data!$L:$L,MATCH(CBAM!$B$5&amp;".in.exe.alu.prp.---",input_data!$A:$A,0))</f>
        <v>5.2199999999999996E-2</v>
      </c>
      <c r="N217" s="385">
        <f>N216*INDEX(input_data!$L:$L,MATCH(CBAM!$B$5&amp;".in.exe.alu.prp.---",input_data!$A:$A,0))</f>
        <v>5.448443739091284E-2</v>
      </c>
      <c r="O217" s="385">
        <f>O216*INDEX(input_data!$L:$L,MATCH(CBAM!$B$5&amp;".in.exe.alu.prp.---",input_data!$A:$A,0))</f>
        <v>5.6868849000082405E-2</v>
      </c>
      <c r="P217" s="385">
        <f>P216*INDEX(input_data!$L:$L,MATCH(CBAM!$B$5&amp;".in.exe.alu.prp.---",input_data!$A:$A,0))</f>
        <v>5.9357610016058736E-2</v>
      </c>
      <c r="Q217" s="385">
        <f>Q216*INDEX(input_data!$L:$L,MATCH(CBAM!$B$5&amp;".in.exe.alu.prp.---",input_data!$A:$A,0))</f>
        <v>6.1955287099505249E-2</v>
      </c>
      <c r="R217" s="385">
        <f>R216*INDEX(input_data!$L:$L,MATCH(CBAM!$B$5&amp;".in.exe.alu.prp.---",input_data!$A:$A,0))</f>
        <v>6.4666646762624985E-2</v>
      </c>
      <c r="S217" s="385">
        <f>S216*INDEX(input_data!$L:$L,MATCH(CBAM!$B$5&amp;".in.exe.alu.prp.---",input_data!$A:$A,0))</f>
        <v>6.7496664115297283E-2</v>
      </c>
      <c r="T217" s="385">
        <f>T216*INDEX(input_data!$L:$L,MATCH(CBAM!$B$5&amp;".in.exe.alu.prp.---",input_data!$A:$A,0))</f>
        <v>7.0450531993972956E-2</v>
      </c>
      <c r="U217" s="385">
        <f>U216*INDEX(input_data!$L:$L,MATCH(CBAM!$B$5&amp;".in.exe.alu.prp.---",input_data!$A:$A,0))</f>
        <v>7.3533670490078973E-2</v>
      </c>
      <c r="V217" s="385">
        <f>V216*INDEX(input_data!$L:$L,MATCH(CBAM!$B$5&amp;".in.exe.alu.prp.---",input_data!$A:$A,0))</f>
        <v>7.6751736895416159E-2</v>
      </c>
      <c r="W217" s="385">
        <f>W216*INDEX(input_data!$L:$L,MATCH(CBAM!$B$5&amp;".in.exe.alu.prp.---",input_data!$A:$A,0))</f>
        <v>8.0110636082799169E-2</v>
      </c>
      <c r="X217" s="385">
        <f>X216*INDEX(input_data!$L:$L,MATCH(CBAM!$B$5&amp;".in.exe.alu.prp.---",input_data!$A:$A,0))</f>
        <v>8.3616531340986136E-2</v>
      </c>
    </row>
    <row r="218" spans="1:24" ht="15" customHeight="1" x14ac:dyDescent="0.25">
      <c r="A218" s="380" t="str">
        <f>CBAM!$B$5&amp;".pj.nex.alu.prp.---"</f>
        <v>egy.pj.nex.alu.prp.---</v>
      </c>
      <c r="B218" s="380" t="str">
        <f>CBAM!$B$5</f>
        <v>egy</v>
      </c>
      <c r="C218" s="380" t="s">
        <v>1275</v>
      </c>
      <c r="D218" s="380" t="s">
        <v>1312</v>
      </c>
      <c r="E218" s="380" t="s">
        <v>334</v>
      </c>
      <c r="F218" s="380" t="s">
        <v>1529</v>
      </c>
      <c r="G218" s="380" t="s">
        <v>1277</v>
      </c>
      <c r="H218" s="380" t="s">
        <v>1532</v>
      </c>
      <c r="I218" s="380" t="s">
        <v>1307</v>
      </c>
      <c r="J218" s="380" t="s">
        <v>1314</v>
      </c>
      <c r="K218" s="380"/>
      <c r="L218" s="380"/>
      <c r="M218" s="385">
        <f>M216*(INDEX(input_data!$L:$L,MATCH(CBAM!$B$5&amp;".in.ext.alu.prp.---",input_data!$A:$A,0))-INDEX(input_data!$L:$L,MATCH(CBAM!$B$5&amp;".in.exe.alu.prp.---",input_data!$A:$A,0)))</f>
        <v>4.929999999999999E-2</v>
      </c>
      <c r="N218" s="385">
        <f>N216*(INDEX(input_data!$L:$L,MATCH(CBAM!$B$5&amp;".in.ext.alu.prp.---",input_data!$A:$A,0))-INDEX(input_data!$L:$L,MATCH(CBAM!$B$5&amp;".in.exe.alu.prp.---",input_data!$A:$A,0)))</f>
        <v>5.145752420252879E-2</v>
      </c>
      <c r="O218" s="385">
        <f>O216*(INDEX(input_data!$L:$L,MATCH(CBAM!$B$5&amp;".in.ext.alu.prp.---",input_data!$A:$A,0))-INDEX(input_data!$L:$L,MATCH(CBAM!$B$5&amp;".in.exe.alu.prp.---",input_data!$A:$A,0)))</f>
        <v>5.3709468500077823E-2</v>
      </c>
      <c r="P218" s="385">
        <f>P216*(INDEX(input_data!$L:$L,MATCH(CBAM!$B$5&amp;".in.ext.alu.prp.---",input_data!$A:$A,0))-INDEX(input_data!$L:$L,MATCH(CBAM!$B$5&amp;".in.exe.alu.prp.---",input_data!$A:$A,0)))</f>
        <v>5.605996501516658E-2</v>
      </c>
      <c r="Q218" s="385">
        <f>Q216*(INDEX(input_data!$L:$L,MATCH(CBAM!$B$5&amp;".in.ext.alu.prp.---",input_data!$A:$A,0))-INDEX(input_data!$L:$L,MATCH(CBAM!$B$5&amp;".in.exe.alu.prp.---",input_data!$A:$A,0)))</f>
        <v>5.8513326705088291E-2</v>
      </c>
      <c r="R218" s="385">
        <f>R216*(INDEX(input_data!$L:$L,MATCH(CBAM!$B$5&amp;".in.ext.alu.prp.---",input_data!$A:$A,0))-INDEX(input_data!$L:$L,MATCH(CBAM!$B$5&amp;".in.exe.alu.prp.---",input_data!$A:$A,0)))</f>
        <v>6.1074055275812479E-2</v>
      </c>
      <c r="S218" s="385">
        <f>S216*(INDEX(input_data!$L:$L,MATCH(CBAM!$B$5&amp;".in.ext.alu.prp.---",input_data!$A:$A,0))-INDEX(input_data!$L:$L,MATCH(CBAM!$B$5&amp;".in.exe.alu.prp.---",input_data!$A:$A,0)))</f>
        <v>6.3746849442225209E-2</v>
      </c>
      <c r="T218" s="385">
        <f>T216*(INDEX(input_data!$L:$L,MATCH(CBAM!$B$5&amp;".in.ext.alu.prp.---",input_data!$A:$A,0))-INDEX(input_data!$L:$L,MATCH(CBAM!$B$5&amp;".in.exe.alu.prp.---",input_data!$A:$A,0)))</f>
        <v>6.6536613549863344E-2</v>
      </c>
      <c r="U218" s="385">
        <f>U216*(INDEX(input_data!$L:$L,MATCH(CBAM!$B$5&amp;".in.ext.alu.prp.---",input_data!$A:$A,0))-INDEX(input_data!$L:$L,MATCH(CBAM!$B$5&amp;".in.exe.alu.prp.---",input_data!$A:$A,0)))</f>
        <v>6.9448466573963474E-2</v>
      </c>
      <c r="V218" s="385">
        <f>V216*(INDEX(input_data!$L:$L,MATCH(CBAM!$B$5&amp;".in.ext.alu.prp.---",input_data!$A:$A,0))-INDEX(input_data!$L:$L,MATCH(CBAM!$B$5&amp;".in.exe.alu.prp.---",input_data!$A:$A,0)))</f>
        <v>7.2487751512337481E-2</v>
      </c>
      <c r="W218" s="385">
        <f>W216*(INDEX(input_data!$L:$L,MATCH(CBAM!$B$5&amp;".in.ext.alu.prp.---",input_data!$A:$A,0))-INDEX(input_data!$L:$L,MATCH(CBAM!$B$5&amp;".in.exe.alu.prp.---",input_data!$A:$A,0)))</f>
        <v>7.5660045189310327E-2</v>
      </c>
      <c r="X218" s="385">
        <f>X216*(INDEX(input_data!$L:$L,MATCH(CBAM!$B$5&amp;".in.ext.alu.prp.---",input_data!$A:$A,0))-INDEX(input_data!$L:$L,MATCH(CBAM!$B$5&amp;".in.exe.alu.prp.---",input_data!$A:$A,0)))</f>
        <v>7.8971168488709123E-2</v>
      </c>
    </row>
    <row r="219" spans="1:24" ht="15" customHeight="1" x14ac:dyDescent="0.25">
      <c r="A219" s="380" t="str">
        <f>CBAM!$B$5&amp;".pj.dom.alu.prp.---"</f>
        <v>egy.pj.dom.alu.prp.---</v>
      </c>
      <c r="B219" s="380" t="str">
        <f>CBAM!$B$5</f>
        <v>egy</v>
      </c>
      <c r="C219" s="380" t="s">
        <v>1275</v>
      </c>
      <c r="D219" s="380" t="s">
        <v>1267</v>
      </c>
      <c r="E219" s="380" t="s">
        <v>334</v>
      </c>
      <c r="F219" s="380" t="s">
        <v>1529</v>
      </c>
      <c r="G219" s="380" t="s">
        <v>1277</v>
      </c>
      <c r="H219" s="380" t="s">
        <v>1533</v>
      </c>
      <c r="I219" s="380" t="s">
        <v>1307</v>
      </c>
      <c r="J219" s="380" t="s">
        <v>1316</v>
      </c>
      <c r="K219" s="380"/>
      <c r="L219" s="380"/>
      <c r="M219" s="385">
        <f>M216*(1-INDEX(input_data!$L:$L,MATCH(CBAM!$B$5&amp;".in.ext.alu.prp.---",input_data!$A:$A,0)))*(1+INDEX(input_data!$L:$L,MATCH(CBAM!$B$5&amp;".in.imp.alu.prp.---",input_data!$A:$A,0)))</f>
        <v>0.20735000000000001</v>
      </c>
      <c r="N219" s="385">
        <f>N216*(1-INDEX(input_data!$L:$L,MATCH(CBAM!$B$5&amp;".in.ext.alu.prp.---",input_data!$A:$A,0)))*(1+INDEX(input_data!$L:$L,MATCH(CBAM!$B$5&amp;".in.imp.alu.prp.---",input_data!$A:$A,0)))</f>
        <v>0.21642429296945936</v>
      </c>
      <c r="O219" s="385">
        <f>O216*(1-INDEX(input_data!$L:$L,MATCH(CBAM!$B$5&amp;".in.ext.alu.prp.---",input_data!$A:$A,0)))*(1+INDEX(input_data!$L:$L,MATCH(CBAM!$B$5&amp;".in.imp.alu.prp.---",input_data!$A:$A,0)))</f>
        <v>0.22589570575032739</v>
      </c>
      <c r="P219" s="385">
        <f>P216*(1-INDEX(input_data!$L:$L,MATCH(CBAM!$B$5&amp;".in.ext.alu.prp.---",input_data!$A:$A,0)))*(1+INDEX(input_data!$L:$L,MATCH(CBAM!$B$5&amp;".in.imp.alu.prp.---",input_data!$A:$A,0)))</f>
        <v>0.2357816175637889</v>
      </c>
      <c r="Q219" s="385">
        <f>Q216*(1-INDEX(input_data!$L:$L,MATCH(CBAM!$B$5&amp;".in.ext.alu.prp.---",input_data!$A:$A,0)))*(1+INDEX(input_data!$L:$L,MATCH(CBAM!$B$5&amp;".in.imp.alu.prp.---",input_data!$A:$A,0)))</f>
        <v>0.24610016820081257</v>
      </c>
      <c r="R219" s="385">
        <f>R216*(1-INDEX(input_data!$L:$L,MATCH(CBAM!$B$5&amp;".in.ext.alu.prp.---",input_data!$A:$A,0)))*(1+INDEX(input_data!$L:$L,MATCH(CBAM!$B$5&amp;".in.imp.alu.prp.---",input_data!$A:$A,0)))</f>
        <v>0.25687029130709371</v>
      </c>
      <c r="S219" s="385">
        <f>S216*(1-INDEX(input_data!$L:$L,MATCH(CBAM!$B$5&amp;".in.ext.alu.prp.---",input_data!$A:$A,0)))*(1+INDEX(input_data!$L:$L,MATCH(CBAM!$B$5&amp;".in.imp.alu.prp.---",input_data!$A:$A,0)))</f>
        <v>0.26811174912465313</v>
      </c>
      <c r="T219" s="385">
        <f>T216*(1-INDEX(input_data!$L:$L,MATCH(CBAM!$B$5&amp;".in.ext.alu.prp.---",input_data!$A:$A,0)))*(1+INDEX(input_data!$L:$L,MATCH(CBAM!$B$5&amp;".in.imp.alu.prp.---",input_data!$A:$A,0)))</f>
        <v>0.27984516875383714</v>
      </c>
      <c r="U219" s="385">
        <f>U216*(1-INDEX(input_data!$L:$L,MATCH(CBAM!$B$5&amp;".in.ext.alu.prp.---",input_data!$A:$A,0)))*(1+INDEX(input_data!$L:$L,MATCH(CBAM!$B$5&amp;".in.imp.alu.prp.---",input_data!$A:$A,0)))</f>
        <v>0.29209208000225817</v>
      </c>
      <c r="V219" s="385">
        <f>V216*(1-INDEX(input_data!$L:$L,MATCH(CBAM!$B$5&amp;".in.ext.alu.prp.---",input_data!$A:$A,0)))*(1+INDEX(input_data!$L:$L,MATCH(CBAM!$B$5&amp;".in.imp.alu.prp.---",input_data!$A:$A,0)))</f>
        <v>0.30487495489012534</v>
      </c>
      <c r="W219" s="385">
        <f>W216*(1-INDEX(input_data!$L:$L,MATCH(CBAM!$B$5&amp;".in.ext.alu.prp.---",input_data!$A:$A,0)))*(1+INDEX(input_data!$L:$L,MATCH(CBAM!$B$5&amp;".in.imp.alu.prp.---",input_data!$A:$A,0)))</f>
        <v>0.3182172488844523</v>
      </c>
      <c r="X219" s="385">
        <f>X216*(1-INDEX(input_data!$L:$L,MATCH(CBAM!$B$5&amp;".in.ext.alu.prp.---",input_data!$A:$A,0)))*(1+INDEX(input_data!$L:$L,MATCH(CBAM!$B$5&amp;".in.imp.alu.prp.---",input_data!$A:$A,0)))</f>
        <v>0.33214344393780609</v>
      </c>
    </row>
    <row r="220" spans="1:24" ht="15" customHeight="1" x14ac:dyDescent="0.25">
      <c r="A220" s="380" t="str">
        <f>CBAM!$B$5&amp;".pj.enc.alu.prp.coa"</f>
        <v>egy.pj.enc.alu.prp.coa</v>
      </c>
      <c r="B220" s="380" t="str">
        <f>CBAM!$B$5</f>
        <v>egy</v>
      </c>
      <c r="C220" s="380" t="s">
        <v>1275</v>
      </c>
      <c r="D220" s="380" t="s">
        <v>1317</v>
      </c>
      <c r="E220" s="380" t="s">
        <v>334</v>
      </c>
      <c r="F220" s="380" t="s">
        <v>1529</v>
      </c>
      <c r="G220" s="380" t="s">
        <v>757</v>
      </c>
      <c r="H220" s="380" t="s">
        <v>1534</v>
      </c>
      <c r="I220" s="380" t="s">
        <v>1319</v>
      </c>
      <c r="J220" s="380" t="s">
        <v>1320</v>
      </c>
      <c r="K220" s="380"/>
      <c r="L220" s="380"/>
      <c r="M220" s="385">
        <f>M216*INDEX(input_data!$L:$L,MATCH(CBAM!$B$5&amp;".in.enc.alu.prp.coa",input_data!$A:$A,0))</f>
        <v>0</v>
      </c>
      <c r="N220" s="385">
        <f>N216*INDEX(input_data!$L:$L,MATCH(CBAM!$B$5&amp;".in.enc.alu.prp.coa",input_data!$A:$A,0))</f>
        <v>0</v>
      </c>
      <c r="O220" s="385">
        <f>O216*INDEX(input_data!$L:$L,MATCH(CBAM!$B$5&amp;".in.enc.alu.prp.coa",input_data!$A:$A,0))</f>
        <v>0</v>
      </c>
      <c r="P220" s="385">
        <f>P216*INDEX(input_data!$L:$L,MATCH(CBAM!$B$5&amp;".in.enc.alu.prp.coa",input_data!$A:$A,0))</f>
        <v>0</v>
      </c>
      <c r="Q220" s="385">
        <f>Q216*INDEX(input_data!$L:$L,MATCH(CBAM!$B$5&amp;".in.enc.alu.prp.coa",input_data!$A:$A,0))</f>
        <v>0</v>
      </c>
      <c r="R220" s="385">
        <f>R216*INDEX(input_data!$L:$L,MATCH(CBAM!$B$5&amp;".in.enc.alu.prp.coa",input_data!$A:$A,0))</f>
        <v>0</v>
      </c>
      <c r="S220" s="385">
        <f>S216*INDEX(input_data!$L:$L,MATCH(CBAM!$B$5&amp;".in.enc.alu.prp.coa",input_data!$A:$A,0))</f>
        <v>0</v>
      </c>
      <c r="T220" s="385">
        <f>T216*INDEX(input_data!$L:$L,MATCH(CBAM!$B$5&amp;".in.enc.alu.prp.coa",input_data!$A:$A,0))</f>
        <v>0</v>
      </c>
      <c r="U220" s="385">
        <f>U216*INDEX(input_data!$L:$L,MATCH(CBAM!$B$5&amp;".in.enc.alu.prp.coa",input_data!$A:$A,0))</f>
        <v>0</v>
      </c>
      <c r="V220" s="385">
        <f>V216*INDEX(input_data!$L:$L,MATCH(CBAM!$B$5&amp;".in.enc.alu.prp.coa",input_data!$A:$A,0))</f>
        <v>0</v>
      </c>
      <c r="W220" s="385">
        <f>W216*INDEX(input_data!$L:$L,MATCH(CBAM!$B$5&amp;".in.enc.alu.prp.coa",input_data!$A:$A,0))</f>
        <v>0</v>
      </c>
      <c r="X220" s="385">
        <f>X216*INDEX(input_data!$L:$L,MATCH(CBAM!$B$5&amp;".in.enc.alu.prp.coa",input_data!$A:$A,0))</f>
        <v>0</v>
      </c>
    </row>
    <row r="221" spans="1:24" ht="15" customHeight="1" x14ac:dyDescent="0.25">
      <c r="A221" s="380" t="str">
        <f>CBAM!$B$5&amp;".pj.enc.alu.prp.nga"</f>
        <v>egy.pj.enc.alu.prp.nga</v>
      </c>
      <c r="B221" s="380" t="str">
        <f>CBAM!$B$5</f>
        <v>egy</v>
      </c>
      <c r="C221" s="380" t="s">
        <v>1275</v>
      </c>
      <c r="D221" s="380" t="s">
        <v>1317</v>
      </c>
      <c r="E221" s="380" t="s">
        <v>334</v>
      </c>
      <c r="F221" s="380" t="s">
        <v>1529</v>
      </c>
      <c r="G221" s="380" t="s">
        <v>754</v>
      </c>
      <c r="H221" s="380" t="s">
        <v>1535</v>
      </c>
      <c r="I221" s="380" t="s">
        <v>1319</v>
      </c>
      <c r="J221" s="380" t="s">
        <v>1320</v>
      </c>
      <c r="K221" s="380"/>
      <c r="L221" s="380"/>
      <c r="M221" s="385">
        <f>M216*INDEX(input_data!$L:$L,MATCH(CBAM!$B$5&amp;".in.enc.alu.prp.nga",input_data!$A:$A,0))</f>
        <v>0</v>
      </c>
      <c r="N221" s="385">
        <f>N216*INDEX(input_data!$L:$L,MATCH(CBAM!$B$5&amp;".in.enc.alu.prp.nga",input_data!$A:$A,0))</f>
        <v>0</v>
      </c>
      <c r="O221" s="385">
        <f>O216*INDEX(input_data!$L:$L,MATCH(CBAM!$B$5&amp;".in.enc.alu.prp.nga",input_data!$A:$A,0))</f>
        <v>0</v>
      </c>
      <c r="P221" s="385">
        <f>P216*INDEX(input_data!$L:$L,MATCH(CBAM!$B$5&amp;".in.enc.alu.prp.nga",input_data!$A:$A,0))</f>
        <v>0</v>
      </c>
      <c r="Q221" s="385">
        <f>Q216*INDEX(input_data!$L:$L,MATCH(CBAM!$B$5&amp;".in.enc.alu.prp.nga",input_data!$A:$A,0))</f>
        <v>0</v>
      </c>
      <c r="R221" s="385">
        <f>R216*INDEX(input_data!$L:$L,MATCH(CBAM!$B$5&amp;".in.enc.alu.prp.nga",input_data!$A:$A,0))</f>
        <v>0</v>
      </c>
      <c r="S221" s="385">
        <f>S216*INDEX(input_data!$L:$L,MATCH(CBAM!$B$5&amp;".in.enc.alu.prp.nga",input_data!$A:$A,0))</f>
        <v>0</v>
      </c>
      <c r="T221" s="385">
        <f>T216*INDEX(input_data!$L:$L,MATCH(CBAM!$B$5&amp;".in.enc.alu.prp.nga",input_data!$A:$A,0))</f>
        <v>0</v>
      </c>
      <c r="U221" s="385">
        <f>U216*INDEX(input_data!$L:$L,MATCH(CBAM!$B$5&amp;".in.enc.alu.prp.nga",input_data!$A:$A,0))</f>
        <v>0</v>
      </c>
      <c r="V221" s="385">
        <f>V216*INDEX(input_data!$L:$L,MATCH(CBAM!$B$5&amp;".in.enc.alu.prp.nga",input_data!$A:$A,0))</f>
        <v>0</v>
      </c>
      <c r="W221" s="385">
        <f>W216*INDEX(input_data!$L:$L,MATCH(CBAM!$B$5&amp;".in.enc.alu.prp.nga",input_data!$A:$A,0))</f>
        <v>0</v>
      </c>
      <c r="X221" s="385">
        <f>X216*INDEX(input_data!$L:$L,MATCH(CBAM!$B$5&amp;".in.enc.alu.prp.nga",input_data!$A:$A,0))</f>
        <v>0</v>
      </c>
    </row>
    <row r="222" spans="1:24" ht="15" customHeight="1" x14ac:dyDescent="0.25">
      <c r="A222" s="380" t="str">
        <f>CBAM!$B$5&amp;".pj.enc.alu.prp.gso"</f>
        <v>egy.pj.enc.alu.prp.gso</v>
      </c>
      <c r="B222" s="380" t="str">
        <f>CBAM!$B$5</f>
        <v>egy</v>
      </c>
      <c r="C222" s="380" t="s">
        <v>1275</v>
      </c>
      <c r="D222" s="380" t="s">
        <v>1317</v>
      </c>
      <c r="E222" s="380" t="s">
        <v>334</v>
      </c>
      <c r="F222" s="380" t="s">
        <v>1529</v>
      </c>
      <c r="G222" s="380" t="s">
        <v>1292</v>
      </c>
      <c r="H222" s="380" t="s">
        <v>1536</v>
      </c>
      <c r="I222" s="380" t="s">
        <v>1319</v>
      </c>
      <c r="J222" s="380" t="s">
        <v>1320</v>
      </c>
      <c r="K222" s="380"/>
      <c r="L222" s="380"/>
      <c r="M222" s="385">
        <f>M216*INDEX(input_data!$L:$L,MATCH(CBAM!$B$5&amp;".in.enc.alu.prp.gso",input_data!$A:$A,0))</f>
        <v>0</v>
      </c>
      <c r="N222" s="385">
        <f>N216*INDEX(input_data!$L:$L,MATCH(CBAM!$B$5&amp;".in.enc.alu.prp.gso",input_data!$A:$A,0))</f>
        <v>0</v>
      </c>
      <c r="O222" s="385">
        <f>O216*INDEX(input_data!$L:$L,MATCH(CBAM!$B$5&amp;".in.enc.alu.prp.gso",input_data!$A:$A,0))</f>
        <v>0</v>
      </c>
      <c r="P222" s="385">
        <f>P216*INDEX(input_data!$L:$L,MATCH(CBAM!$B$5&amp;".in.enc.alu.prp.gso",input_data!$A:$A,0))</f>
        <v>0</v>
      </c>
      <c r="Q222" s="385">
        <f>Q216*INDEX(input_data!$L:$L,MATCH(CBAM!$B$5&amp;".in.enc.alu.prp.gso",input_data!$A:$A,0))</f>
        <v>0</v>
      </c>
      <c r="R222" s="385">
        <f>R216*INDEX(input_data!$L:$L,MATCH(CBAM!$B$5&amp;".in.enc.alu.prp.gso",input_data!$A:$A,0))</f>
        <v>0</v>
      </c>
      <c r="S222" s="385">
        <f>S216*INDEX(input_data!$L:$L,MATCH(CBAM!$B$5&amp;".in.enc.alu.prp.gso",input_data!$A:$A,0))</f>
        <v>0</v>
      </c>
      <c r="T222" s="385">
        <f>T216*INDEX(input_data!$L:$L,MATCH(CBAM!$B$5&amp;".in.enc.alu.prp.gso",input_data!$A:$A,0))</f>
        <v>0</v>
      </c>
      <c r="U222" s="385">
        <f>U216*INDEX(input_data!$L:$L,MATCH(CBAM!$B$5&amp;".in.enc.alu.prp.gso",input_data!$A:$A,0))</f>
        <v>0</v>
      </c>
      <c r="V222" s="385">
        <f>V216*INDEX(input_data!$L:$L,MATCH(CBAM!$B$5&amp;".in.enc.alu.prp.gso",input_data!$A:$A,0))</f>
        <v>0</v>
      </c>
      <c r="W222" s="385">
        <f>W216*INDEX(input_data!$L:$L,MATCH(CBAM!$B$5&amp;".in.enc.alu.prp.gso",input_data!$A:$A,0))</f>
        <v>0</v>
      </c>
      <c r="X222" s="385">
        <f>X216*INDEX(input_data!$L:$L,MATCH(CBAM!$B$5&amp;".in.enc.alu.prp.gso",input_data!$A:$A,0))</f>
        <v>0</v>
      </c>
    </row>
    <row r="223" spans="1:24" ht="15" customHeight="1" x14ac:dyDescent="0.25">
      <c r="A223" s="380" t="str">
        <f>CBAM!$B$5&amp;".pj.enc.alu.prp.die"</f>
        <v>egy.pj.enc.alu.prp.die</v>
      </c>
      <c r="B223" s="380" t="str">
        <f>CBAM!$B$5</f>
        <v>egy</v>
      </c>
      <c r="C223" s="380" t="s">
        <v>1275</v>
      </c>
      <c r="D223" s="380" t="s">
        <v>1317</v>
      </c>
      <c r="E223" s="380" t="s">
        <v>334</v>
      </c>
      <c r="F223" s="380" t="s">
        <v>1529</v>
      </c>
      <c r="G223" s="380" t="s">
        <v>762</v>
      </c>
      <c r="H223" s="380" t="s">
        <v>1537</v>
      </c>
      <c r="I223" s="380" t="s">
        <v>1319</v>
      </c>
      <c r="J223" s="380" t="s">
        <v>1320</v>
      </c>
      <c r="K223" s="380"/>
      <c r="L223" s="380"/>
      <c r="M223" s="385">
        <f>M216*INDEX(input_data!$L:$L,MATCH(CBAM!$B$5&amp;".in.enc.alu.prp.die",input_data!$A:$A,0))</f>
        <v>0.57999999999999996</v>
      </c>
      <c r="N223" s="385">
        <f>N216*INDEX(input_data!$L:$L,MATCH(CBAM!$B$5&amp;".in.enc.alu.prp.die",input_data!$A:$A,0))</f>
        <v>0.60538263767680933</v>
      </c>
      <c r="O223" s="385">
        <f>O216*INDEX(input_data!$L:$L,MATCH(CBAM!$B$5&amp;".in.enc.alu.prp.die",input_data!$A:$A,0))</f>
        <v>0.63187610000091565</v>
      </c>
      <c r="P223" s="385">
        <f>P216*INDEX(input_data!$L:$L,MATCH(CBAM!$B$5&amp;".in.enc.alu.prp.die",input_data!$A:$A,0))</f>
        <v>0.65952900017843041</v>
      </c>
      <c r="Q223" s="385">
        <f>Q216*INDEX(input_data!$L:$L,MATCH(CBAM!$B$5&amp;".in.enc.alu.prp.die",input_data!$A:$A,0))</f>
        <v>0.68839207888339171</v>
      </c>
      <c r="R223" s="385">
        <f>R216*INDEX(input_data!$L:$L,MATCH(CBAM!$B$5&amp;".in.enc.alu.prp.die",input_data!$A:$A,0))</f>
        <v>0.71851829736249984</v>
      </c>
      <c r="S223" s="385">
        <f>S216*INDEX(input_data!$L:$L,MATCH(CBAM!$B$5&amp;".in.enc.alu.prp.die",input_data!$A:$A,0))</f>
        <v>0.74996293461441432</v>
      </c>
      <c r="T223" s="385">
        <f>T216*INDEX(input_data!$L:$L,MATCH(CBAM!$B$5&amp;".in.enc.alu.prp.die",input_data!$A:$A,0))</f>
        <v>0.78278368882192184</v>
      </c>
      <c r="U223" s="385">
        <f>U216*INDEX(input_data!$L:$L,MATCH(CBAM!$B$5&amp;".in.enc.alu.prp.die",input_data!$A:$A,0))</f>
        <v>0.8170407832230997</v>
      </c>
      <c r="V223" s="385">
        <f>V216*INDEX(input_data!$L:$L,MATCH(CBAM!$B$5&amp;".in.enc.alu.prp.die",input_data!$A:$A,0))</f>
        <v>0.85279707661573512</v>
      </c>
      <c r="W223" s="385">
        <f>W216*INDEX(input_data!$L:$L,MATCH(CBAM!$B$5&amp;".in.enc.alu.prp.die",input_data!$A:$A,0))</f>
        <v>0.89011817869776855</v>
      </c>
      <c r="X223" s="385">
        <f>X216*INDEX(input_data!$L:$L,MATCH(CBAM!$B$5&amp;".in.enc.alu.prp.die",input_data!$A:$A,0))</f>
        <v>0.92907257045540148</v>
      </c>
    </row>
    <row r="224" spans="1:24" ht="15" customHeight="1" x14ac:dyDescent="0.25">
      <c r="A224" s="380" t="str">
        <f>CBAM!$B$5&amp;".pj.enc.alu.prp.ker"</f>
        <v>egy.pj.enc.alu.prp.ker</v>
      </c>
      <c r="B224" s="380" t="str">
        <f>CBAM!$B$5</f>
        <v>egy</v>
      </c>
      <c r="C224" s="380" t="s">
        <v>1275</v>
      </c>
      <c r="D224" s="380" t="s">
        <v>1317</v>
      </c>
      <c r="E224" s="380" t="s">
        <v>334</v>
      </c>
      <c r="F224" s="380" t="s">
        <v>1529</v>
      </c>
      <c r="G224" s="380" t="s">
        <v>1295</v>
      </c>
      <c r="H224" s="380" t="s">
        <v>1538</v>
      </c>
      <c r="I224" s="380" t="s">
        <v>1319</v>
      </c>
      <c r="J224" s="380" t="s">
        <v>1320</v>
      </c>
      <c r="K224" s="380"/>
      <c r="L224" s="380"/>
      <c r="M224" s="385">
        <f>M216*INDEX(input_data!$L:$L,MATCH(CBAM!$B$5&amp;".in.enc.alu.prp.ker",input_data!$A:$A,0))</f>
        <v>0</v>
      </c>
      <c r="N224" s="385">
        <f>N216*INDEX(input_data!$L:$L,MATCH(CBAM!$B$5&amp;".in.enc.alu.prp.ker",input_data!$A:$A,0))</f>
        <v>0</v>
      </c>
      <c r="O224" s="385">
        <f>O216*INDEX(input_data!$L:$L,MATCH(CBAM!$B$5&amp;".in.enc.alu.prp.ker",input_data!$A:$A,0))</f>
        <v>0</v>
      </c>
      <c r="P224" s="385">
        <f>P216*INDEX(input_data!$L:$L,MATCH(CBAM!$B$5&amp;".in.enc.alu.prp.ker",input_data!$A:$A,0))</f>
        <v>0</v>
      </c>
      <c r="Q224" s="385">
        <f>Q216*INDEX(input_data!$L:$L,MATCH(CBAM!$B$5&amp;".in.enc.alu.prp.ker",input_data!$A:$A,0))</f>
        <v>0</v>
      </c>
      <c r="R224" s="385">
        <f>R216*INDEX(input_data!$L:$L,MATCH(CBAM!$B$5&amp;".in.enc.alu.prp.ker",input_data!$A:$A,0))</f>
        <v>0</v>
      </c>
      <c r="S224" s="385">
        <f>S216*INDEX(input_data!$L:$L,MATCH(CBAM!$B$5&amp;".in.enc.alu.prp.ker",input_data!$A:$A,0))</f>
        <v>0</v>
      </c>
      <c r="T224" s="385">
        <f>T216*INDEX(input_data!$L:$L,MATCH(CBAM!$B$5&amp;".in.enc.alu.prp.ker",input_data!$A:$A,0))</f>
        <v>0</v>
      </c>
      <c r="U224" s="385">
        <f>U216*INDEX(input_data!$L:$L,MATCH(CBAM!$B$5&amp;".in.enc.alu.prp.ker",input_data!$A:$A,0))</f>
        <v>0</v>
      </c>
      <c r="V224" s="385">
        <f>V216*INDEX(input_data!$L:$L,MATCH(CBAM!$B$5&amp;".in.enc.alu.prp.ker",input_data!$A:$A,0))</f>
        <v>0</v>
      </c>
      <c r="W224" s="385">
        <f>W216*INDEX(input_data!$L:$L,MATCH(CBAM!$B$5&amp;".in.enc.alu.prp.ker",input_data!$A:$A,0))</f>
        <v>0</v>
      </c>
      <c r="X224" s="385">
        <f>X216*INDEX(input_data!$L:$L,MATCH(CBAM!$B$5&amp;".in.enc.alu.prp.ker",input_data!$A:$A,0))</f>
        <v>0</v>
      </c>
    </row>
    <row r="225" spans="1:24" ht="15" customHeight="1" x14ac:dyDescent="0.25">
      <c r="A225" s="380" t="str">
        <f>CBAM!$B$5&amp;".pj.enc.alu.prp.lpg"</f>
        <v>egy.pj.enc.alu.prp.lpg</v>
      </c>
      <c r="B225" s="380" t="str">
        <f>CBAM!$B$5</f>
        <v>egy</v>
      </c>
      <c r="C225" s="380" t="s">
        <v>1275</v>
      </c>
      <c r="D225" s="380" t="s">
        <v>1317</v>
      </c>
      <c r="E225" s="380" t="s">
        <v>334</v>
      </c>
      <c r="F225" s="380" t="s">
        <v>1529</v>
      </c>
      <c r="G225" s="380" t="s">
        <v>1297</v>
      </c>
      <c r="H225" s="380" t="s">
        <v>1539</v>
      </c>
      <c r="I225" s="380" t="s">
        <v>1319</v>
      </c>
      <c r="J225" s="380" t="s">
        <v>1320</v>
      </c>
      <c r="K225" s="380"/>
      <c r="L225" s="380"/>
      <c r="M225" s="385">
        <f>M216*INDEX(input_data!$L:$L,MATCH(CBAM!$B$5&amp;".in.enc.alu.prp.lpg",input_data!$A:$A,0))</f>
        <v>0</v>
      </c>
      <c r="N225" s="385">
        <f>N216*INDEX(input_data!$L:$L,MATCH(CBAM!$B$5&amp;".in.enc.alu.prp.lpg",input_data!$A:$A,0))</f>
        <v>0</v>
      </c>
      <c r="O225" s="385">
        <f>O216*INDEX(input_data!$L:$L,MATCH(CBAM!$B$5&amp;".in.enc.alu.prp.lpg",input_data!$A:$A,0))</f>
        <v>0</v>
      </c>
      <c r="P225" s="385">
        <f>P216*INDEX(input_data!$L:$L,MATCH(CBAM!$B$5&amp;".in.enc.alu.prp.lpg",input_data!$A:$A,0))</f>
        <v>0</v>
      </c>
      <c r="Q225" s="385">
        <f>Q216*INDEX(input_data!$L:$L,MATCH(CBAM!$B$5&amp;".in.enc.alu.prp.lpg",input_data!$A:$A,0))</f>
        <v>0</v>
      </c>
      <c r="R225" s="385">
        <f>R216*INDEX(input_data!$L:$L,MATCH(CBAM!$B$5&amp;".in.enc.alu.prp.lpg",input_data!$A:$A,0))</f>
        <v>0</v>
      </c>
      <c r="S225" s="385">
        <f>S216*INDEX(input_data!$L:$L,MATCH(CBAM!$B$5&amp;".in.enc.alu.prp.lpg",input_data!$A:$A,0))</f>
        <v>0</v>
      </c>
      <c r="T225" s="385">
        <f>T216*INDEX(input_data!$L:$L,MATCH(CBAM!$B$5&amp;".in.enc.alu.prp.lpg",input_data!$A:$A,0))</f>
        <v>0</v>
      </c>
      <c r="U225" s="385">
        <f>U216*INDEX(input_data!$L:$L,MATCH(CBAM!$B$5&amp;".in.enc.alu.prp.lpg",input_data!$A:$A,0))</f>
        <v>0</v>
      </c>
      <c r="V225" s="385">
        <f>V216*INDEX(input_data!$L:$L,MATCH(CBAM!$B$5&amp;".in.enc.alu.prp.lpg",input_data!$A:$A,0))</f>
        <v>0</v>
      </c>
      <c r="W225" s="385">
        <f>W216*INDEX(input_data!$L:$L,MATCH(CBAM!$B$5&amp;".in.enc.alu.prp.lpg",input_data!$A:$A,0))</f>
        <v>0</v>
      </c>
      <c r="X225" s="385">
        <f>X216*INDEX(input_data!$L:$L,MATCH(CBAM!$B$5&amp;".in.enc.alu.prp.lpg",input_data!$A:$A,0))</f>
        <v>0</v>
      </c>
    </row>
    <row r="226" spans="1:24" ht="15" customHeight="1" x14ac:dyDescent="0.25">
      <c r="A226" s="380" t="str">
        <f>CBAM!$B$5&amp;".pj.enc.alu.prp.bio"</f>
        <v>egy.pj.enc.alu.prp.bio</v>
      </c>
      <c r="B226" s="380" t="str">
        <f>CBAM!$B$5</f>
        <v>egy</v>
      </c>
      <c r="C226" s="380" t="s">
        <v>1275</v>
      </c>
      <c r="D226" s="380" t="s">
        <v>1317</v>
      </c>
      <c r="E226" s="380" t="s">
        <v>334</v>
      </c>
      <c r="F226" s="380" t="s">
        <v>1529</v>
      </c>
      <c r="G226" s="380" t="s">
        <v>1299</v>
      </c>
      <c r="H226" s="380" t="s">
        <v>1540</v>
      </c>
      <c r="I226" s="380" t="s">
        <v>1319</v>
      </c>
      <c r="J226" s="380" t="s">
        <v>1320</v>
      </c>
      <c r="K226" s="380"/>
      <c r="L226" s="380"/>
      <c r="M226" s="385">
        <f>M216*INDEX(input_data!$L:$L,MATCH(CBAM!$B$5&amp;".in.enc.alu.prp.bio",input_data!$A:$A,0))</f>
        <v>0</v>
      </c>
      <c r="N226" s="385">
        <f>N216*INDEX(input_data!$L:$L,MATCH(CBAM!$B$5&amp;".in.enc.alu.prp.bio",input_data!$A:$A,0))</f>
        <v>0</v>
      </c>
      <c r="O226" s="385">
        <f>O216*INDEX(input_data!$L:$L,MATCH(CBAM!$B$5&amp;".in.enc.alu.prp.bio",input_data!$A:$A,0))</f>
        <v>0</v>
      </c>
      <c r="P226" s="385">
        <f>P216*INDEX(input_data!$L:$L,MATCH(CBAM!$B$5&amp;".in.enc.alu.prp.bio",input_data!$A:$A,0))</f>
        <v>0</v>
      </c>
      <c r="Q226" s="385">
        <f>Q216*INDEX(input_data!$L:$L,MATCH(CBAM!$B$5&amp;".in.enc.alu.prp.bio",input_data!$A:$A,0))</f>
        <v>0</v>
      </c>
      <c r="R226" s="385">
        <f>R216*INDEX(input_data!$L:$L,MATCH(CBAM!$B$5&amp;".in.enc.alu.prp.bio",input_data!$A:$A,0))</f>
        <v>0</v>
      </c>
      <c r="S226" s="385">
        <f>S216*INDEX(input_data!$L:$L,MATCH(CBAM!$B$5&amp;".in.enc.alu.prp.bio",input_data!$A:$A,0))</f>
        <v>0</v>
      </c>
      <c r="T226" s="385">
        <f>T216*INDEX(input_data!$L:$L,MATCH(CBAM!$B$5&amp;".in.enc.alu.prp.bio",input_data!$A:$A,0))</f>
        <v>0</v>
      </c>
      <c r="U226" s="385">
        <f>U216*INDEX(input_data!$L:$L,MATCH(CBAM!$B$5&amp;".in.enc.alu.prp.bio",input_data!$A:$A,0))</f>
        <v>0</v>
      </c>
      <c r="V226" s="385">
        <f>V216*INDEX(input_data!$L:$L,MATCH(CBAM!$B$5&amp;".in.enc.alu.prp.bio",input_data!$A:$A,0))</f>
        <v>0</v>
      </c>
      <c r="W226" s="385">
        <f>W216*INDEX(input_data!$L:$L,MATCH(CBAM!$B$5&amp;".in.enc.alu.prp.bio",input_data!$A:$A,0))</f>
        <v>0</v>
      </c>
      <c r="X226" s="385">
        <f>X216*INDEX(input_data!$L:$L,MATCH(CBAM!$B$5&amp;".in.enc.alu.prp.bio",input_data!$A:$A,0))</f>
        <v>0</v>
      </c>
    </row>
    <row r="227" spans="1:24" ht="15" customHeight="1" x14ac:dyDescent="0.25">
      <c r="A227" s="380" t="str">
        <f>CBAM!$B$5&amp;".pj.enc.alu.prp.ren"</f>
        <v>egy.pj.enc.alu.prp.ren</v>
      </c>
      <c r="B227" s="380" t="str">
        <f>CBAM!$B$5</f>
        <v>egy</v>
      </c>
      <c r="C227" s="380" t="s">
        <v>1275</v>
      </c>
      <c r="D227" s="380" t="s">
        <v>1317</v>
      </c>
      <c r="E227" s="380" t="s">
        <v>334</v>
      </c>
      <c r="F227" s="380" t="s">
        <v>1529</v>
      </c>
      <c r="G227" s="380" t="s">
        <v>1301</v>
      </c>
      <c r="H227" s="380" t="s">
        <v>1541</v>
      </c>
      <c r="I227" s="380" t="s">
        <v>1319</v>
      </c>
      <c r="J227" s="380" t="s">
        <v>1320</v>
      </c>
      <c r="K227" s="380"/>
      <c r="L227" s="380"/>
      <c r="M227" s="385">
        <f>M216*INDEX(input_data!$L:$L,MATCH(CBAM!$B$5&amp;".in.enc.alu.prp.ren",input_data!$A:$A,0))</f>
        <v>0</v>
      </c>
      <c r="N227" s="385">
        <f>N216*INDEX(input_data!$L:$L,MATCH(CBAM!$B$5&amp;".in.enc.alu.prp.ren",input_data!$A:$A,0))</f>
        <v>0</v>
      </c>
      <c r="O227" s="385">
        <f>O216*INDEX(input_data!$L:$L,MATCH(CBAM!$B$5&amp;".in.enc.alu.prp.ren",input_data!$A:$A,0))</f>
        <v>0</v>
      </c>
      <c r="P227" s="385">
        <f>P216*INDEX(input_data!$L:$L,MATCH(CBAM!$B$5&amp;".in.enc.alu.prp.ren",input_data!$A:$A,0))</f>
        <v>0</v>
      </c>
      <c r="Q227" s="385">
        <f>Q216*INDEX(input_data!$L:$L,MATCH(CBAM!$B$5&amp;".in.enc.alu.prp.ren",input_data!$A:$A,0))</f>
        <v>0</v>
      </c>
      <c r="R227" s="385">
        <f>R216*INDEX(input_data!$L:$L,MATCH(CBAM!$B$5&amp;".in.enc.alu.prp.ren",input_data!$A:$A,0))</f>
        <v>0</v>
      </c>
      <c r="S227" s="385">
        <f>S216*INDEX(input_data!$L:$L,MATCH(CBAM!$B$5&amp;".in.enc.alu.prp.ren",input_data!$A:$A,0))</f>
        <v>0</v>
      </c>
      <c r="T227" s="385">
        <f>T216*INDEX(input_data!$L:$L,MATCH(CBAM!$B$5&amp;".in.enc.alu.prp.ren",input_data!$A:$A,0))</f>
        <v>0</v>
      </c>
      <c r="U227" s="385">
        <f>U216*INDEX(input_data!$L:$L,MATCH(CBAM!$B$5&amp;".in.enc.alu.prp.ren",input_data!$A:$A,0))</f>
        <v>0</v>
      </c>
      <c r="V227" s="385">
        <f>V216*INDEX(input_data!$L:$L,MATCH(CBAM!$B$5&amp;".in.enc.alu.prp.ren",input_data!$A:$A,0))</f>
        <v>0</v>
      </c>
      <c r="W227" s="385">
        <f>W216*INDEX(input_data!$L:$L,MATCH(CBAM!$B$5&amp;".in.enc.alu.prp.ren",input_data!$A:$A,0))</f>
        <v>0</v>
      </c>
      <c r="X227" s="385">
        <f>X216*INDEX(input_data!$L:$L,MATCH(CBAM!$B$5&amp;".in.enc.alu.prp.ren",input_data!$A:$A,0))</f>
        <v>0</v>
      </c>
    </row>
    <row r="228" spans="1:24" ht="15" customHeight="1" x14ac:dyDescent="0.25">
      <c r="A228" s="380" t="str">
        <f>CBAM!$B$5&amp;".pj.enp.alu.prp.coa"</f>
        <v>egy.pj.enp.alu.prp.coa</v>
      </c>
      <c r="B228" s="380" t="str">
        <f>CBAM!$B$5</f>
        <v>egy</v>
      </c>
      <c r="C228" s="380" t="s">
        <v>1275</v>
      </c>
      <c r="D228" s="380" t="s">
        <v>1328</v>
      </c>
      <c r="E228" s="380" t="s">
        <v>334</v>
      </c>
      <c r="F228" s="380" t="s">
        <v>1529</v>
      </c>
      <c r="G228" s="380" t="s">
        <v>757</v>
      </c>
      <c r="H228" s="380" t="s">
        <v>1542</v>
      </c>
      <c r="I228" s="380" t="s">
        <v>1319</v>
      </c>
      <c r="J228" s="380" t="s">
        <v>1330</v>
      </c>
      <c r="K228" s="380"/>
      <c r="L228" s="380"/>
      <c r="M228" s="385">
        <f>M216*INDEX(input_data!$L:$L,MATCH(CBAM!$B$5&amp;".in.enp.alu.prp.coa",input_data!$A:$A,0))</f>
        <v>0</v>
      </c>
      <c r="N228" s="385">
        <f>N216*INDEX(input_data!$L:$L,MATCH(CBAM!$B$5&amp;".in.enp.alu.prp.coa",input_data!$A:$A,0))</f>
        <v>0</v>
      </c>
      <c r="O228" s="385">
        <f>O216*INDEX(input_data!$L:$L,MATCH(CBAM!$B$5&amp;".in.enp.alu.prp.coa",input_data!$A:$A,0))</f>
        <v>0</v>
      </c>
      <c r="P228" s="385">
        <f>P216*INDEX(input_data!$L:$L,MATCH(CBAM!$B$5&amp;".in.enp.alu.prp.coa",input_data!$A:$A,0))</f>
        <v>0</v>
      </c>
      <c r="Q228" s="385">
        <f>Q216*INDEX(input_data!$L:$L,MATCH(CBAM!$B$5&amp;".in.enp.alu.prp.coa",input_data!$A:$A,0))</f>
        <v>0</v>
      </c>
      <c r="R228" s="385">
        <f>R216*INDEX(input_data!$L:$L,MATCH(CBAM!$B$5&amp;".in.enp.alu.prp.coa",input_data!$A:$A,0))</f>
        <v>0</v>
      </c>
      <c r="S228" s="385">
        <f>S216*INDEX(input_data!$L:$L,MATCH(CBAM!$B$5&amp;".in.enp.alu.prp.coa",input_data!$A:$A,0))</f>
        <v>0</v>
      </c>
      <c r="T228" s="385">
        <f>T216*INDEX(input_data!$L:$L,MATCH(CBAM!$B$5&amp;".in.enp.alu.prp.coa",input_data!$A:$A,0))</f>
        <v>0</v>
      </c>
      <c r="U228" s="385">
        <f>U216*INDEX(input_data!$L:$L,MATCH(CBAM!$B$5&amp;".in.enp.alu.prp.coa",input_data!$A:$A,0))</f>
        <v>0</v>
      </c>
      <c r="V228" s="385">
        <f>V216*INDEX(input_data!$L:$L,MATCH(CBAM!$B$5&amp;".in.enp.alu.prp.coa",input_data!$A:$A,0))</f>
        <v>0</v>
      </c>
      <c r="W228" s="385">
        <f>W216*INDEX(input_data!$L:$L,MATCH(CBAM!$B$5&amp;".in.enp.alu.prp.coa",input_data!$A:$A,0))</f>
        <v>0</v>
      </c>
      <c r="X228" s="385">
        <f>X216*INDEX(input_data!$L:$L,MATCH(CBAM!$B$5&amp;".in.enp.alu.prp.coa",input_data!$A:$A,0))</f>
        <v>0</v>
      </c>
    </row>
    <row r="229" spans="1:24" ht="15" customHeight="1" x14ac:dyDescent="0.25">
      <c r="A229" s="380" t="str">
        <f>CBAM!$B$5&amp;".pj.enp.alu.prp.nga"</f>
        <v>egy.pj.enp.alu.prp.nga</v>
      </c>
      <c r="B229" s="380" t="str">
        <f>CBAM!$B$5</f>
        <v>egy</v>
      </c>
      <c r="C229" s="380" t="s">
        <v>1275</v>
      </c>
      <c r="D229" s="380" t="s">
        <v>1328</v>
      </c>
      <c r="E229" s="380" t="s">
        <v>334</v>
      </c>
      <c r="F229" s="380" t="s">
        <v>1529</v>
      </c>
      <c r="G229" s="380" t="s">
        <v>754</v>
      </c>
      <c r="H229" s="380" t="s">
        <v>1543</v>
      </c>
      <c r="I229" s="380" t="s">
        <v>1319</v>
      </c>
      <c r="J229" s="380" t="s">
        <v>1330</v>
      </c>
      <c r="K229" s="380"/>
      <c r="L229" s="380"/>
      <c r="M229" s="385">
        <f>M216*INDEX(input_data!$L:$L,MATCH(CBAM!$B$5&amp;".in.enp.alu.prp.nga",input_data!$A:$A,0))</f>
        <v>0</v>
      </c>
      <c r="N229" s="385">
        <f>N216*INDEX(input_data!$L:$L,MATCH(CBAM!$B$5&amp;".in.enp.alu.prp.nga",input_data!$A:$A,0))</f>
        <v>0</v>
      </c>
      <c r="O229" s="385">
        <f>O216*INDEX(input_data!$L:$L,MATCH(CBAM!$B$5&amp;".in.enp.alu.prp.nga",input_data!$A:$A,0))</f>
        <v>0</v>
      </c>
      <c r="P229" s="385">
        <f>P216*INDEX(input_data!$L:$L,MATCH(CBAM!$B$5&amp;".in.enp.alu.prp.nga",input_data!$A:$A,0))</f>
        <v>0</v>
      </c>
      <c r="Q229" s="385">
        <f>Q216*INDEX(input_data!$L:$L,MATCH(CBAM!$B$5&amp;".in.enp.alu.prp.nga",input_data!$A:$A,0))</f>
        <v>0</v>
      </c>
      <c r="R229" s="385">
        <f>R216*INDEX(input_data!$L:$L,MATCH(CBAM!$B$5&amp;".in.enp.alu.prp.nga",input_data!$A:$A,0))</f>
        <v>0</v>
      </c>
      <c r="S229" s="385">
        <f>S216*INDEX(input_data!$L:$L,MATCH(CBAM!$B$5&amp;".in.enp.alu.prp.nga",input_data!$A:$A,0))</f>
        <v>0</v>
      </c>
      <c r="T229" s="385">
        <f>T216*INDEX(input_data!$L:$L,MATCH(CBAM!$B$5&amp;".in.enp.alu.prp.nga",input_data!$A:$A,0))</f>
        <v>0</v>
      </c>
      <c r="U229" s="385">
        <f>U216*INDEX(input_data!$L:$L,MATCH(CBAM!$B$5&amp;".in.enp.alu.prp.nga",input_data!$A:$A,0))</f>
        <v>0</v>
      </c>
      <c r="V229" s="385">
        <f>V216*INDEX(input_data!$L:$L,MATCH(CBAM!$B$5&amp;".in.enp.alu.prp.nga",input_data!$A:$A,0))</f>
        <v>0</v>
      </c>
      <c r="W229" s="385">
        <f>W216*INDEX(input_data!$L:$L,MATCH(CBAM!$B$5&amp;".in.enp.alu.prp.nga",input_data!$A:$A,0))</f>
        <v>0</v>
      </c>
      <c r="X229" s="385">
        <f>X216*INDEX(input_data!$L:$L,MATCH(CBAM!$B$5&amp;".in.enp.alu.prp.nga",input_data!$A:$A,0))</f>
        <v>0</v>
      </c>
    </row>
    <row r="230" spans="1:24" ht="15" customHeight="1" x14ac:dyDescent="0.25">
      <c r="A230" s="380" t="str">
        <f>CBAM!$B$5&amp;".pj.enp.alu.prp.gso"</f>
        <v>egy.pj.enp.alu.prp.gso</v>
      </c>
      <c r="B230" s="380" t="str">
        <f>CBAM!$B$5</f>
        <v>egy</v>
      </c>
      <c r="C230" s="380" t="s">
        <v>1275</v>
      </c>
      <c r="D230" s="380" t="s">
        <v>1328</v>
      </c>
      <c r="E230" s="380" t="s">
        <v>334</v>
      </c>
      <c r="F230" s="380" t="s">
        <v>1529</v>
      </c>
      <c r="G230" s="380" t="s">
        <v>1292</v>
      </c>
      <c r="H230" s="380" t="s">
        <v>1544</v>
      </c>
      <c r="I230" s="380" t="s">
        <v>1319</v>
      </c>
      <c r="J230" s="380" t="s">
        <v>1330</v>
      </c>
      <c r="K230" s="380"/>
      <c r="L230" s="380"/>
      <c r="M230" s="385">
        <f>M216*INDEX(input_data!$L:$L,MATCH(CBAM!$B$5&amp;".in.enp.alu.prp.gso",input_data!$A:$A,0))</f>
        <v>0</v>
      </c>
      <c r="N230" s="385">
        <f>N216*INDEX(input_data!$L:$L,MATCH(CBAM!$B$5&amp;".in.enp.alu.prp.gso",input_data!$A:$A,0))</f>
        <v>0</v>
      </c>
      <c r="O230" s="385">
        <f>O216*INDEX(input_data!$L:$L,MATCH(CBAM!$B$5&amp;".in.enp.alu.prp.gso",input_data!$A:$A,0))</f>
        <v>0</v>
      </c>
      <c r="P230" s="385">
        <f>P216*INDEX(input_data!$L:$L,MATCH(CBAM!$B$5&amp;".in.enp.alu.prp.gso",input_data!$A:$A,0))</f>
        <v>0</v>
      </c>
      <c r="Q230" s="385">
        <f>Q216*INDEX(input_data!$L:$L,MATCH(CBAM!$B$5&amp;".in.enp.alu.prp.gso",input_data!$A:$A,0))</f>
        <v>0</v>
      </c>
      <c r="R230" s="385">
        <f>R216*INDEX(input_data!$L:$L,MATCH(CBAM!$B$5&amp;".in.enp.alu.prp.gso",input_data!$A:$A,0))</f>
        <v>0</v>
      </c>
      <c r="S230" s="385">
        <f>S216*INDEX(input_data!$L:$L,MATCH(CBAM!$B$5&amp;".in.enp.alu.prp.gso",input_data!$A:$A,0))</f>
        <v>0</v>
      </c>
      <c r="T230" s="385">
        <f>T216*INDEX(input_data!$L:$L,MATCH(CBAM!$B$5&amp;".in.enp.alu.prp.gso",input_data!$A:$A,0))</f>
        <v>0</v>
      </c>
      <c r="U230" s="385">
        <f>U216*INDEX(input_data!$L:$L,MATCH(CBAM!$B$5&amp;".in.enp.alu.prp.gso",input_data!$A:$A,0))</f>
        <v>0</v>
      </c>
      <c r="V230" s="385">
        <f>V216*INDEX(input_data!$L:$L,MATCH(CBAM!$B$5&amp;".in.enp.alu.prp.gso",input_data!$A:$A,0))</f>
        <v>0</v>
      </c>
      <c r="W230" s="385">
        <f>W216*INDEX(input_data!$L:$L,MATCH(CBAM!$B$5&amp;".in.enp.alu.prp.gso",input_data!$A:$A,0))</f>
        <v>0</v>
      </c>
      <c r="X230" s="385">
        <f>X216*INDEX(input_data!$L:$L,MATCH(CBAM!$B$5&amp;".in.enp.alu.prp.gso",input_data!$A:$A,0))</f>
        <v>0</v>
      </c>
    </row>
    <row r="231" spans="1:24" ht="15" customHeight="1" x14ac:dyDescent="0.25">
      <c r="A231" s="380" t="str">
        <f>CBAM!$B$5&amp;".pj.enp.alu.prp.die"</f>
        <v>egy.pj.enp.alu.prp.die</v>
      </c>
      <c r="B231" s="380" t="str">
        <f>CBAM!$B$5</f>
        <v>egy</v>
      </c>
      <c r="C231" s="380" t="s">
        <v>1275</v>
      </c>
      <c r="D231" s="380" t="s">
        <v>1328</v>
      </c>
      <c r="E231" s="380" t="s">
        <v>334</v>
      </c>
      <c r="F231" s="380" t="s">
        <v>1529</v>
      </c>
      <c r="G231" s="380" t="s">
        <v>762</v>
      </c>
      <c r="H231" s="380" t="s">
        <v>1545</v>
      </c>
      <c r="I231" s="380" t="s">
        <v>1319</v>
      </c>
      <c r="J231" s="380" t="s">
        <v>1330</v>
      </c>
      <c r="K231" s="380"/>
      <c r="L231" s="380"/>
      <c r="M231" s="385">
        <f>M216*INDEX(input_data!$L:$L,MATCH(CBAM!$B$5&amp;".in.enp.alu.prp.die",input_data!$A:$A,0))</f>
        <v>0</v>
      </c>
      <c r="N231" s="385">
        <f>N216*INDEX(input_data!$L:$L,MATCH(CBAM!$B$5&amp;".in.enp.alu.prp.die",input_data!$A:$A,0))</f>
        <v>0</v>
      </c>
      <c r="O231" s="385">
        <f>O216*INDEX(input_data!$L:$L,MATCH(CBAM!$B$5&amp;".in.enp.alu.prp.die",input_data!$A:$A,0))</f>
        <v>0</v>
      </c>
      <c r="P231" s="385">
        <f>P216*INDEX(input_data!$L:$L,MATCH(CBAM!$B$5&amp;".in.enp.alu.prp.die",input_data!$A:$A,0))</f>
        <v>0</v>
      </c>
      <c r="Q231" s="385">
        <f>Q216*INDEX(input_data!$L:$L,MATCH(CBAM!$B$5&amp;".in.enp.alu.prp.die",input_data!$A:$A,0))</f>
        <v>0</v>
      </c>
      <c r="R231" s="385">
        <f>R216*INDEX(input_data!$L:$L,MATCH(CBAM!$B$5&amp;".in.enp.alu.prp.die",input_data!$A:$A,0))</f>
        <v>0</v>
      </c>
      <c r="S231" s="385">
        <f>S216*INDEX(input_data!$L:$L,MATCH(CBAM!$B$5&amp;".in.enp.alu.prp.die",input_data!$A:$A,0))</f>
        <v>0</v>
      </c>
      <c r="T231" s="385">
        <f>T216*INDEX(input_data!$L:$L,MATCH(CBAM!$B$5&amp;".in.enp.alu.prp.die",input_data!$A:$A,0))</f>
        <v>0</v>
      </c>
      <c r="U231" s="385">
        <f>U216*INDEX(input_data!$L:$L,MATCH(CBAM!$B$5&amp;".in.enp.alu.prp.die",input_data!$A:$A,0))</f>
        <v>0</v>
      </c>
      <c r="V231" s="385">
        <f>V216*INDEX(input_data!$L:$L,MATCH(CBAM!$B$5&amp;".in.enp.alu.prp.die",input_data!$A:$A,0))</f>
        <v>0</v>
      </c>
      <c r="W231" s="385">
        <f>W216*INDEX(input_data!$L:$L,MATCH(CBAM!$B$5&amp;".in.enp.alu.prp.die",input_data!$A:$A,0))</f>
        <v>0</v>
      </c>
      <c r="X231" s="385">
        <f>X216*INDEX(input_data!$L:$L,MATCH(CBAM!$B$5&amp;".in.enp.alu.prp.die",input_data!$A:$A,0))</f>
        <v>0</v>
      </c>
    </row>
    <row r="232" spans="1:24" ht="15" customHeight="1" x14ac:dyDescent="0.25">
      <c r="A232" s="380" t="str">
        <f>CBAM!$B$5&amp;".pj.enp.alu.prp.ker"</f>
        <v>egy.pj.enp.alu.prp.ker</v>
      </c>
      <c r="B232" s="380" t="str">
        <f>CBAM!$B$5</f>
        <v>egy</v>
      </c>
      <c r="C232" s="380" t="s">
        <v>1275</v>
      </c>
      <c r="D232" s="380" t="s">
        <v>1328</v>
      </c>
      <c r="E232" s="380" t="s">
        <v>334</v>
      </c>
      <c r="F232" s="380" t="s">
        <v>1529</v>
      </c>
      <c r="G232" s="380" t="s">
        <v>1295</v>
      </c>
      <c r="H232" s="380" t="s">
        <v>1546</v>
      </c>
      <c r="I232" s="380" t="s">
        <v>1319</v>
      </c>
      <c r="J232" s="380" t="s">
        <v>1330</v>
      </c>
      <c r="K232" s="380"/>
      <c r="L232" s="380"/>
      <c r="M232" s="385">
        <f>M216*INDEX(input_data!$L:$L,MATCH(CBAM!$B$5&amp;".in.enp.alu.prp.ker",input_data!$A:$A,0))</f>
        <v>0</v>
      </c>
      <c r="N232" s="385">
        <f>N216*INDEX(input_data!$L:$L,MATCH(CBAM!$B$5&amp;".in.enp.alu.prp.ker",input_data!$A:$A,0))</f>
        <v>0</v>
      </c>
      <c r="O232" s="385">
        <f>O216*INDEX(input_data!$L:$L,MATCH(CBAM!$B$5&amp;".in.enp.alu.prp.ker",input_data!$A:$A,0))</f>
        <v>0</v>
      </c>
      <c r="P232" s="385">
        <f>P216*INDEX(input_data!$L:$L,MATCH(CBAM!$B$5&amp;".in.enp.alu.prp.ker",input_data!$A:$A,0))</f>
        <v>0</v>
      </c>
      <c r="Q232" s="385">
        <f>Q216*INDEX(input_data!$L:$L,MATCH(CBAM!$B$5&amp;".in.enp.alu.prp.ker",input_data!$A:$A,0))</f>
        <v>0</v>
      </c>
      <c r="R232" s="385">
        <f>R216*INDEX(input_data!$L:$L,MATCH(CBAM!$B$5&amp;".in.enp.alu.prp.ker",input_data!$A:$A,0))</f>
        <v>0</v>
      </c>
      <c r="S232" s="385">
        <f>S216*INDEX(input_data!$L:$L,MATCH(CBAM!$B$5&amp;".in.enp.alu.prp.ker",input_data!$A:$A,0))</f>
        <v>0</v>
      </c>
      <c r="T232" s="385">
        <f>T216*INDEX(input_data!$L:$L,MATCH(CBAM!$B$5&amp;".in.enp.alu.prp.ker",input_data!$A:$A,0))</f>
        <v>0</v>
      </c>
      <c r="U232" s="385">
        <f>U216*INDEX(input_data!$L:$L,MATCH(CBAM!$B$5&amp;".in.enp.alu.prp.ker",input_data!$A:$A,0))</f>
        <v>0</v>
      </c>
      <c r="V232" s="385">
        <f>V216*INDEX(input_data!$L:$L,MATCH(CBAM!$B$5&amp;".in.enp.alu.prp.ker",input_data!$A:$A,0))</f>
        <v>0</v>
      </c>
      <c r="W232" s="385">
        <f>W216*INDEX(input_data!$L:$L,MATCH(CBAM!$B$5&amp;".in.enp.alu.prp.ker",input_data!$A:$A,0))</f>
        <v>0</v>
      </c>
      <c r="X232" s="385">
        <f>X216*INDEX(input_data!$L:$L,MATCH(CBAM!$B$5&amp;".in.enp.alu.prp.ker",input_data!$A:$A,0))</f>
        <v>0</v>
      </c>
    </row>
    <row r="233" spans="1:24" ht="15" customHeight="1" x14ac:dyDescent="0.25">
      <c r="A233" s="380" t="str">
        <f>CBAM!$B$5&amp;".pj.enp.alu.prp.lpg"</f>
        <v>egy.pj.enp.alu.prp.lpg</v>
      </c>
      <c r="B233" s="380" t="str">
        <f>CBAM!$B$5</f>
        <v>egy</v>
      </c>
      <c r="C233" s="380" t="s">
        <v>1275</v>
      </c>
      <c r="D233" s="380" t="s">
        <v>1328</v>
      </c>
      <c r="E233" s="380" t="s">
        <v>334</v>
      </c>
      <c r="F233" s="380" t="s">
        <v>1529</v>
      </c>
      <c r="G233" s="380" t="s">
        <v>1297</v>
      </c>
      <c r="H233" s="380" t="s">
        <v>1547</v>
      </c>
      <c r="I233" s="380" t="s">
        <v>1319</v>
      </c>
      <c r="J233" s="380" t="s">
        <v>1330</v>
      </c>
      <c r="K233" s="380"/>
      <c r="L233" s="380"/>
      <c r="M233" s="385">
        <f>M216*INDEX(input_data!$L:$L,MATCH(CBAM!$B$5&amp;".in.enp.alu.prp.lpg",input_data!$A:$A,0))</f>
        <v>0</v>
      </c>
      <c r="N233" s="385">
        <f>N216*INDEX(input_data!$L:$L,MATCH(CBAM!$B$5&amp;".in.enp.alu.prp.lpg",input_data!$A:$A,0))</f>
        <v>0</v>
      </c>
      <c r="O233" s="385">
        <f>O216*INDEX(input_data!$L:$L,MATCH(CBAM!$B$5&amp;".in.enp.alu.prp.lpg",input_data!$A:$A,0))</f>
        <v>0</v>
      </c>
      <c r="P233" s="385">
        <f>P216*INDEX(input_data!$L:$L,MATCH(CBAM!$B$5&amp;".in.enp.alu.prp.lpg",input_data!$A:$A,0))</f>
        <v>0</v>
      </c>
      <c r="Q233" s="385">
        <f>Q216*INDEX(input_data!$L:$L,MATCH(CBAM!$B$5&amp;".in.enp.alu.prp.lpg",input_data!$A:$A,0))</f>
        <v>0</v>
      </c>
      <c r="R233" s="385">
        <f>R216*INDEX(input_data!$L:$L,MATCH(CBAM!$B$5&amp;".in.enp.alu.prp.lpg",input_data!$A:$A,0))</f>
        <v>0</v>
      </c>
      <c r="S233" s="385">
        <f>S216*INDEX(input_data!$L:$L,MATCH(CBAM!$B$5&amp;".in.enp.alu.prp.lpg",input_data!$A:$A,0))</f>
        <v>0</v>
      </c>
      <c r="T233" s="385">
        <f>T216*INDEX(input_data!$L:$L,MATCH(CBAM!$B$5&amp;".in.enp.alu.prp.lpg",input_data!$A:$A,0))</f>
        <v>0</v>
      </c>
      <c r="U233" s="385">
        <f>U216*INDEX(input_data!$L:$L,MATCH(CBAM!$B$5&amp;".in.enp.alu.prp.lpg",input_data!$A:$A,0))</f>
        <v>0</v>
      </c>
      <c r="V233" s="385">
        <f>V216*INDEX(input_data!$L:$L,MATCH(CBAM!$B$5&amp;".in.enp.alu.prp.lpg",input_data!$A:$A,0))</f>
        <v>0</v>
      </c>
      <c r="W233" s="385">
        <f>W216*INDEX(input_data!$L:$L,MATCH(CBAM!$B$5&amp;".in.enp.alu.prp.lpg",input_data!$A:$A,0))</f>
        <v>0</v>
      </c>
      <c r="X233" s="385">
        <f>X216*INDEX(input_data!$L:$L,MATCH(CBAM!$B$5&amp;".in.enp.alu.prp.lpg",input_data!$A:$A,0))</f>
        <v>0</v>
      </c>
    </row>
    <row r="234" spans="1:24" ht="15" customHeight="1" x14ac:dyDescent="0.25">
      <c r="A234" s="380" t="str">
        <f>CBAM!$B$5&amp;".pj.enp.alu.prp.bio"</f>
        <v>egy.pj.enp.alu.prp.bio</v>
      </c>
      <c r="B234" s="380" t="str">
        <f>CBAM!$B$5</f>
        <v>egy</v>
      </c>
      <c r="C234" s="380" t="s">
        <v>1275</v>
      </c>
      <c r="D234" s="380" t="s">
        <v>1328</v>
      </c>
      <c r="E234" s="380" t="s">
        <v>334</v>
      </c>
      <c r="F234" s="380" t="s">
        <v>1529</v>
      </c>
      <c r="G234" s="380" t="s">
        <v>1299</v>
      </c>
      <c r="H234" s="380" t="s">
        <v>1548</v>
      </c>
      <c r="I234" s="380" t="s">
        <v>1319</v>
      </c>
      <c r="J234" s="380" t="s">
        <v>1330</v>
      </c>
      <c r="K234" s="380"/>
      <c r="L234" s="380"/>
      <c r="M234" s="385">
        <f>M216*INDEX(input_data!$L:$L,MATCH(CBAM!$B$5&amp;".in.enp.alu.prp.bio",input_data!$A:$A,0))</f>
        <v>0</v>
      </c>
      <c r="N234" s="385">
        <f>N216*INDEX(input_data!$L:$L,MATCH(CBAM!$B$5&amp;".in.enp.alu.prp.bio",input_data!$A:$A,0))</f>
        <v>0</v>
      </c>
      <c r="O234" s="385">
        <f>O216*INDEX(input_data!$L:$L,MATCH(CBAM!$B$5&amp;".in.enp.alu.prp.bio",input_data!$A:$A,0))</f>
        <v>0</v>
      </c>
      <c r="P234" s="385">
        <f>P216*INDEX(input_data!$L:$L,MATCH(CBAM!$B$5&amp;".in.enp.alu.prp.bio",input_data!$A:$A,0))</f>
        <v>0</v>
      </c>
      <c r="Q234" s="385">
        <f>Q216*INDEX(input_data!$L:$L,MATCH(CBAM!$B$5&amp;".in.enp.alu.prp.bio",input_data!$A:$A,0))</f>
        <v>0</v>
      </c>
      <c r="R234" s="385">
        <f>R216*INDEX(input_data!$L:$L,MATCH(CBAM!$B$5&amp;".in.enp.alu.prp.bio",input_data!$A:$A,0))</f>
        <v>0</v>
      </c>
      <c r="S234" s="385">
        <f>S216*INDEX(input_data!$L:$L,MATCH(CBAM!$B$5&amp;".in.enp.alu.prp.bio",input_data!$A:$A,0))</f>
        <v>0</v>
      </c>
      <c r="T234" s="385">
        <f>T216*INDEX(input_data!$L:$L,MATCH(CBAM!$B$5&amp;".in.enp.alu.prp.bio",input_data!$A:$A,0))</f>
        <v>0</v>
      </c>
      <c r="U234" s="385">
        <f>U216*INDEX(input_data!$L:$L,MATCH(CBAM!$B$5&amp;".in.enp.alu.prp.bio",input_data!$A:$A,0))</f>
        <v>0</v>
      </c>
      <c r="V234" s="385">
        <f>V216*INDEX(input_data!$L:$L,MATCH(CBAM!$B$5&amp;".in.enp.alu.prp.bio",input_data!$A:$A,0))</f>
        <v>0</v>
      </c>
      <c r="W234" s="385">
        <f>W216*INDEX(input_data!$L:$L,MATCH(CBAM!$B$5&amp;".in.enp.alu.prp.bio",input_data!$A:$A,0))</f>
        <v>0</v>
      </c>
      <c r="X234" s="385">
        <f>X216*INDEX(input_data!$L:$L,MATCH(CBAM!$B$5&amp;".in.enp.alu.prp.bio",input_data!$A:$A,0))</f>
        <v>0</v>
      </c>
    </row>
    <row r="235" spans="1:24" ht="15" customHeight="1" x14ac:dyDescent="0.25">
      <c r="A235" s="380" t="str">
        <f>CBAM!$B$5&amp;".pj.enp.alu.prp.ren"</f>
        <v>egy.pj.enp.alu.prp.ren</v>
      </c>
      <c r="B235" s="380" t="str">
        <f>CBAM!$B$5</f>
        <v>egy</v>
      </c>
      <c r="C235" s="380" t="s">
        <v>1275</v>
      </c>
      <c r="D235" s="380" t="s">
        <v>1328</v>
      </c>
      <c r="E235" s="380" t="s">
        <v>334</v>
      </c>
      <c r="F235" s="380" t="s">
        <v>1529</v>
      </c>
      <c r="G235" s="380" t="s">
        <v>1301</v>
      </c>
      <c r="H235" s="380" t="s">
        <v>1549</v>
      </c>
      <c r="I235" s="380" t="s">
        <v>1319</v>
      </c>
      <c r="J235" s="380" t="s">
        <v>1330</v>
      </c>
      <c r="K235" s="380"/>
      <c r="L235" s="380"/>
      <c r="M235" s="385">
        <f>M216*INDEX(input_data!$L:$L,MATCH(CBAM!$B$5&amp;".in.enp.alu.prp.ren",input_data!$A:$A,0))</f>
        <v>0</v>
      </c>
      <c r="N235" s="385">
        <f>N216*INDEX(input_data!$L:$L,MATCH(CBAM!$B$5&amp;".in.enp.alu.prp.ren",input_data!$A:$A,0))</f>
        <v>0</v>
      </c>
      <c r="O235" s="385">
        <f>O216*INDEX(input_data!$L:$L,MATCH(CBAM!$B$5&amp;".in.enp.alu.prp.ren",input_data!$A:$A,0))</f>
        <v>0</v>
      </c>
      <c r="P235" s="385">
        <f>P216*INDEX(input_data!$L:$L,MATCH(CBAM!$B$5&amp;".in.enp.alu.prp.ren",input_data!$A:$A,0))</f>
        <v>0</v>
      </c>
      <c r="Q235" s="385">
        <f>Q216*INDEX(input_data!$L:$L,MATCH(CBAM!$B$5&amp;".in.enp.alu.prp.ren",input_data!$A:$A,0))</f>
        <v>0</v>
      </c>
      <c r="R235" s="385">
        <f>R216*INDEX(input_data!$L:$L,MATCH(CBAM!$B$5&amp;".in.enp.alu.prp.ren",input_data!$A:$A,0))</f>
        <v>0</v>
      </c>
      <c r="S235" s="385">
        <f>S216*INDEX(input_data!$L:$L,MATCH(CBAM!$B$5&amp;".in.enp.alu.prp.ren",input_data!$A:$A,0))</f>
        <v>0</v>
      </c>
      <c r="T235" s="385">
        <f>T216*INDEX(input_data!$L:$L,MATCH(CBAM!$B$5&amp;".in.enp.alu.prp.ren",input_data!$A:$A,0))</f>
        <v>0</v>
      </c>
      <c r="U235" s="385">
        <f>U216*INDEX(input_data!$L:$L,MATCH(CBAM!$B$5&amp;".in.enp.alu.prp.ren",input_data!$A:$A,0))</f>
        <v>0</v>
      </c>
      <c r="V235" s="385">
        <f>V216*INDEX(input_data!$L:$L,MATCH(CBAM!$B$5&amp;".in.enp.alu.prp.ren",input_data!$A:$A,0))</f>
        <v>0</v>
      </c>
      <c r="W235" s="385">
        <f>W216*INDEX(input_data!$L:$L,MATCH(CBAM!$B$5&amp;".in.enp.alu.prp.ren",input_data!$A:$A,0))</f>
        <v>0</v>
      </c>
      <c r="X235" s="385">
        <f>X216*INDEX(input_data!$L:$L,MATCH(CBAM!$B$5&amp;".in.enp.alu.prp.ren",input_data!$A:$A,0))</f>
        <v>0</v>
      </c>
    </row>
    <row r="236" spans="1:24" ht="15" customHeight="1" x14ac:dyDescent="0.25">
      <c r="A236" s="380" t="str">
        <f>CBAM!$B$5&amp;".pj.ele.alu.prp.elc"</f>
        <v>egy.pj.ele.alu.prp.elc</v>
      </c>
      <c r="B236" s="380" t="str">
        <f>CBAM!$B$5</f>
        <v>egy</v>
      </c>
      <c r="C236" s="380" t="s">
        <v>1275</v>
      </c>
      <c r="D236" s="380" t="s">
        <v>1338</v>
      </c>
      <c r="E236" s="380" t="s">
        <v>334</v>
      </c>
      <c r="F236" s="380" t="s">
        <v>1529</v>
      </c>
      <c r="G236" s="380" t="s">
        <v>1339</v>
      </c>
      <c r="H236" s="380" t="s">
        <v>1550</v>
      </c>
      <c r="I236" s="380" t="s">
        <v>1319</v>
      </c>
      <c r="J236" s="380" t="s">
        <v>1341</v>
      </c>
      <c r="K236" s="380"/>
      <c r="L236" s="380"/>
      <c r="M236" s="385">
        <f>M216*INDEX(input_data!$L:$L,MATCH(CBAM!$B$5&amp;".in.ele.alu.prp.elc",input_data!$A:$A,0))</f>
        <v>15.659999999999998</v>
      </c>
      <c r="N236" s="385">
        <f>N216*INDEX(input_data!$L:$L,MATCH(CBAM!$B$5&amp;".in.ele.alu.prp.elc",input_data!$A:$A,0))</f>
        <v>16.345331217273852</v>
      </c>
      <c r="O236" s="385">
        <f>O216*INDEX(input_data!$L:$L,MATCH(CBAM!$B$5&amp;".in.ele.alu.prp.elc",input_data!$A:$A,0))</f>
        <v>17.060654700024724</v>
      </c>
      <c r="P236" s="385">
        <f>P216*INDEX(input_data!$L:$L,MATCH(CBAM!$B$5&amp;".in.ele.alu.prp.elc",input_data!$A:$A,0))</f>
        <v>17.80728300481762</v>
      </c>
      <c r="Q236" s="385">
        <f>Q216*INDEX(input_data!$L:$L,MATCH(CBAM!$B$5&amp;".in.ele.alu.prp.elc",input_data!$A:$A,0))</f>
        <v>18.586586129851575</v>
      </c>
      <c r="R236" s="385">
        <f>R216*INDEX(input_data!$L:$L,MATCH(CBAM!$B$5&amp;".in.ele.alu.prp.elc",input_data!$A:$A,0))</f>
        <v>19.399994028787496</v>
      </c>
      <c r="S236" s="385">
        <f>S216*INDEX(input_data!$L:$L,MATCH(CBAM!$B$5&amp;".in.ele.alu.prp.elc",input_data!$A:$A,0))</f>
        <v>20.248999234589185</v>
      </c>
      <c r="T236" s="385">
        <f>T216*INDEX(input_data!$L:$L,MATCH(CBAM!$B$5&amp;".in.ele.alu.prp.elc",input_data!$A:$A,0))</f>
        <v>21.13515959819189</v>
      </c>
      <c r="U236" s="385">
        <f>U216*INDEX(input_data!$L:$L,MATCH(CBAM!$B$5&amp;".in.ele.alu.prp.elc",input_data!$A:$A,0))</f>
        <v>22.060101147023691</v>
      </c>
      <c r="V236" s="385">
        <f>V216*INDEX(input_data!$L:$L,MATCH(CBAM!$B$5&amp;".in.ele.alu.prp.elc",input_data!$A:$A,0))</f>
        <v>23.025521068624847</v>
      </c>
      <c r="W236" s="385">
        <f>W216*INDEX(input_data!$L:$L,MATCH(CBAM!$B$5&amp;".in.ele.alu.prp.elc",input_data!$A:$A,0))</f>
        <v>24.03319082483975</v>
      </c>
      <c r="X236" s="385">
        <f>X216*INDEX(input_data!$L:$L,MATCH(CBAM!$B$5&amp;".in.ele.alu.prp.elc",input_data!$A:$A,0))</f>
        <v>25.084959402295841</v>
      </c>
    </row>
    <row r="237" spans="1:24" ht="15" customHeight="1" x14ac:dyDescent="0.25">
      <c r="A237" s="380" t="str">
        <f>CBAM!$B$5&amp;".em.sfc.alu.prp.---"</f>
        <v>egy.em.sfc.alu.prp.---</v>
      </c>
      <c r="B237" s="380" t="str">
        <f>CBAM!$B$5</f>
        <v>egy</v>
      </c>
      <c r="C237" s="380" t="s">
        <v>1342</v>
      </c>
      <c r="D237" s="380" t="s">
        <v>1343</v>
      </c>
      <c r="E237" s="380" t="s">
        <v>334</v>
      </c>
      <c r="F237" s="380" t="s">
        <v>1529</v>
      </c>
      <c r="G237" s="380" t="s">
        <v>1277</v>
      </c>
      <c r="H237" s="380" t="s">
        <v>1551</v>
      </c>
      <c r="I237" s="380" t="s">
        <v>1345</v>
      </c>
      <c r="J237" s="380" t="s">
        <v>1346</v>
      </c>
      <c r="K237" s="380"/>
      <c r="L237" s="380"/>
      <c r="M237" s="385">
        <f t="shared" ref="M237:X237" si="15">SUMPRODUCT(M220:M227,M10:M17)/1000</f>
        <v>4.2977999999999995E-2</v>
      </c>
      <c r="N237" s="385">
        <f t="shared" si="15"/>
        <v>4.4858853451851567E-2</v>
      </c>
      <c r="O237" s="385">
        <f t="shared" si="15"/>
        <v>4.6822019010067849E-2</v>
      </c>
      <c r="P237" s="385">
        <f t="shared" si="15"/>
        <v>4.8871098913221687E-2</v>
      </c>
      <c r="Q237" s="385">
        <f t="shared" si="15"/>
        <v>5.1009853045259318E-2</v>
      </c>
      <c r="R237" s="385">
        <f t="shared" si="15"/>
        <v>5.3242205834561233E-2</v>
      </c>
      <c r="S237" s="385">
        <f t="shared" si="15"/>
        <v>5.5572253454928097E-2</v>
      </c>
      <c r="T237" s="385">
        <f t="shared" si="15"/>
        <v>5.8004271341704404E-2</v>
      </c>
      <c r="U237" s="385">
        <f t="shared" si="15"/>
        <v>6.0542722036831684E-2</v>
      </c>
      <c r="V237" s="385">
        <f t="shared" si="15"/>
        <v>6.3192263377225971E-2</v>
      </c>
      <c r="W237" s="385">
        <f t="shared" si="15"/>
        <v>6.5957757041504653E-2</v>
      </c>
      <c r="X237" s="385">
        <f t="shared" si="15"/>
        <v>6.8844277470745244E-2</v>
      </c>
    </row>
    <row r="238" spans="1:24" ht="15" customHeight="1" x14ac:dyDescent="0.25">
      <c r="A238" s="380" t="str">
        <f>CBAM!$B$5&amp;".em.sfp.alu.prp.---"</f>
        <v>egy.em.sfp.alu.prp.---</v>
      </c>
      <c r="B238" s="380" t="str">
        <f>CBAM!$B$5</f>
        <v>egy</v>
      </c>
      <c r="C238" s="380" t="s">
        <v>1342</v>
      </c>
      <c r="D238" s="380" t="s">
        <v>1347</v>
      </c>
      <c r="E238" s="380" t="s">
        <v>334</v>
      </c>
      <c r="F238" s="380" t="s">
        <v>1529</v>
      </c>
      <c r="G238" s="380" t="s">
        <v>1277</v>
      </c>
      <c r="H238" s="380" t="s">
        <v>1552</v>
      </c>
      <c r="I238" s="380" t="s">
        <v>1345</v>
      </c>
      <c r="J238" s="380" t="s">
        <v>1349</v>
      </c>
      <c r="K238" s="380"/>
      <c r="L238" s="380"/>
      <c r="M238" s="385">
        <f t="shared" ref="M238:X238" si="16">SUMPRODUCT(M228:M235,M10:M17)/1000</f>
        <v>0</v>
      </c>
      <c r="N238" s="385">
        <f t="shared" si="16"/>
        <v>0</v>
      </c>
      <c r="O238" s="385">
        <f t="shared" si="16"/>
        <v>0</v>
      </c>
      <c r="P238" s="385">
        <f t="shared" si="16"/>
        <v>0</v>
      </c>
      <c r="Q238" s="385">
        <f t="shared" si="16"/>
        <v>0</v>
      </c>
      <c r="R238" s="385">
        <f t="shared" si="16"/>
        <v>0</v>
      </c>
      <c r="S238" s="385">
        <f t="shared" si="16"/>
        <v>0</v>
      </c>
      <c r="T238" s="385">
        <f t="shared" si="16"/>
        <v>0</v>
      </c>
      <c r="U238" s="385">
        <f t="shared" si="16"/>
        <v>0</v>
      </c>
      <c r="V238" s="385">
        <f t="shared" si="16"/>
        <v>0</v>
      </c>
      <c r="W238" s="385">
        <f t="shared" si="16"/>
        <v>0</v>
      </c>
      <c r="X238" s="385">
        <f t="shared" si="16"/>
        <v>0</v>
      </c>
    </row>
    <row r="239" spans="1:24" ht="15" customHeight="1" x14ac:dyDescent="0.25">
      <c r="A239" s="380" t="str">
        <f>CBAM!$B$5&amp;".em.snp.alu.prp.---"</f>
        <v>egy.em.snp.alu.prp.---</v>
      </c>
      <c r="B239" s="380" t="str">
        <f>CBAM!$B$5</f>
        <v>egy</v>
      </c>
      <c r="C239" s="380" t="s">
        <v>1342</v>
      </c>
      <c r="D239" s="380" t="s">
        <v>1350</v>
      </c>
      <c r="E239" s="380" t="s">
        <v>334</v>
      </c>
      <c r="F239" s="380" t="s">
        <v>1529</v>
      </c>
      <c r="G239" s="380" t="s">
        <v>1277</v>
      </c>
      <c r="H239" s="380" t="s">
        <v>1553</v>
      </c>
      <c r="I239" s="380" t="s">
        <v>1345</v>
      </c>
      <c r="J239" s="380" t="s">
        <v>1352</v>
      </c>
      <c r="K239" s="380"/>
      <c r="L239" s="380"/>
      <c r="M239" s="385">
        <f>M216*INDEX(input_data!$L:$L,MATCH(CBAM!$B$5&amp;".in.efn.alu.prp.---",input_data!$A:$A,0))</f>
        <v>0.43499999999999994</v>
      </c>
      <c r="N239" s="385">
        <f>N216*INDEX(input_data!$L:$L,MATCH(CBAM!$B$5&amp;".in.efn.alu.prp.---",input_data!$A:$A,0))</f>
        <v>0.45403697825760703</v>
      </c>
      <c r="O239" s="385">
        <f>O216*INDEX(input_data!$L:$L,MATCH(CBAM!$B$5&amp;".in.efn.alu.prp.---",input_data!$A:$A,0))</f>
        <v>0.47390707500068674</v>
      </c>
      <c r="P239" s="385">
        <f>P216*INDEX(input_data!$L:$L,MATCH(CBAM!$B$5&amp;".in.efn.alu.prp.---",input_data!$A:$A,0))</f>
        <v>0.49464675013382281</v>
      </c>
      <c r="Q239" s="385">
        <f>Q216*INDEX(input_data!$L:$L,MATCH(CBAM!$B$5&amp;".in.efn.alu.prp.---",input_data!$A:$A,0))</f>
        <v>0.51629405916254378</v>
      </c>
      <c r="R239" s="385">
        <f>R216*INDEX(input_data!$L:$L,MATCH(CBAM!$B$5&amp;".in.efn.alu.prp.---",input_data!$A:$A,0))</f>
        <v>0.53888872302187485</v>
      </c>
      <c r="S239" s="385">
        <f>S216*INDEX(input_data!$L:$L,MATCH(CBAM!$B$5&amp;".in.efn.alu.prp.---",input_data!$A:$A,0))</f>
        <v>0.56247220096081074</v>
      </c>
      <c r="T239" s="385">
        <f>T216*INDEX(input_data!$L:$L,MATCH(CBAM!$B$5&amp;".in.efn.alu.prp.---",input_data!$A:$A,0))</f>
        <v>0.58708776661644135</v>
      </c>
      <c r="U239" s="385">
        <f>U216*INDEX(input_data!$L:$L,MATCH(CBAM!$B$5&amp;".in.efn.alu.prp.---",input_data!$A:$A,0))</f>
        <v>0.61278058741732477</v>
      </c>
      <c r="V239" s="385">
        <f>V216*INDEX(input_data!$L:$L,MATCH(CBAM!$B$5&amp;".in.efn.alu.prp.---",input_data!$A:$A,0))</f>
        <v>0.63959780746180139</v>
      </c>
      <c r="W239" s="385">
        <f>W216*INDEX(input_data!$L:$L,MATCH(CBAM!$B$5&amp;".in.efn.alu.prp.---",input_data!$A:$A,0))</f>
        <v>0.66758863402332635</v>
      </c>
      <c r="X239" s="385">
        <f>X216*INDEX(input_data!$L:$L,MATCH(CBAM!$B$5&amp;".in.efn.alu.prp.---",input_data!$A:$A,0))</f>
        <v>0.69680442784155106</v>
      </c>
    </row>
    <row r="240" spans="1:24" ht="15" customHeight="1" x14ac:dyDescent="0.25">
      <c r="A240" s="380" t="str">
        <f>CBAM!$B$5&amp;".em.sno.alu.prp.---"</f>
        <v>egy.em.sno.alu.prp.---</v>
      </c>
      <c r="B240" s="380" t="str">
        <f>CBAM!$B$5</f>
        <v>egy</v>
      </c>
      <c r="C240" s="380" t="s">
        <v>1342</v>
      </c>
      <c r="D240" s="380" t="s">
        <v>1353</v>
      </c>
      <c r="E240" s="380" t="s">
        <v>334</v>
      </c>
      <c r="F240" s="380" t="s">
        <v>1529</v>
      </c>
      <c r="G240" s="380" t="s">
        <v>1277</v>
      </c>
      <c r="H240" s="380" t="s">
        <v>1554</v>
      </c>
      <c r="I240" s="380" t="s">
        <v>1355</v>
      </c>
      <c r="J240" s="380" t="s">
        <v>1356</v>
      </c>
      <c r="K240" s="380"/>
      <c r="L240" s="380"/>
      <c r="M240" s="385">
        <f>M216*INDEX(input_data!$L:$L,MATCH(CBAM!$B$5&amp;".in.efo.alu.prp.---",input_data!$A:$A,0))</f>
        <v>0.24649999999999997</v>
      </c>
      <c r="N240" s="385">
        <f>N216*INDEX(input_data!$L:$L,MATCH(CBAM!$B$5&amp;".in.efo.alu.prp.---",input_data!$A:$A,0))</f>
        <v>0.25728762101264396</v>
      </c>
      <c r="O240" s="385">
        <f>O216*INDEX(input_data!$L:$L,MATCH(CBAM!$B$5&amp;".in.efo.alu.prp.---",input_data!$A:$A,0))</f>
        <v>0.26854734250038914</v>
      </c>
      <c r="P240" s="385">
        <f>P216*INDEX(input_data!$L:$L,MATCH(CBAM!$B$5&amp;".in.efo.alu.prp.---",input_data!$A:$A,0))</f>
        <v>0.2802998250758329</v>
      </c>
      <c r="Q240" s="385">
        <f>Q216*INDEX(input_data!$L:$L,MATCH(CBAM!$B$5&amp;".in.efo.alu.prp.---",input_data!$A:$A,0))</f>
        <v>0.29256663352544149</v>
      </c>
      <c r="R240" s="385">
        <f>R216*INDEX(input_data!$L:$L,MATCH(CBAM!$B$5&amp;".in.efo.alu.prp.---",input_data!$A:$A,0))</f>
        <v>0.30537027637906244</v>
      </c>
      <c r="S240" s="385">
        <f>S216*INDEX(input_data!$L:$L,MATCH(CBAM!$B$5&amp;".in.efo.alu.prp.---",input_data!$A:$A,0))</f>
        <v>0.31873424721112609</v>
      </c>
      <c r="T240" s="385">
        <f>T216*INDEX(input_data!$L:$L,MATCH(CBAM!$B$5&amp;".in.efo.alu.prp.---",input_data!$A:$A,0))</f>
        <v>0.33268306774931677</v>
      </c>
      <c r="U240" s="385">
        <f>U216*INDEX(input_data!$L:$L,MATCH(CBAM!$B$5&amp;".in.efo.alu.prp.---",input_data!$A:$A,0))</f>
        <v>0.34724233286981737</v>
      </c>
      <c r="V240" s="385">
        <f>V216*INDEX(input_data!$L:$L,MATCH(CBAM!$B$5&amp;".in.efo.alu.prp.---",input_data!$A:$A,0))</f>
        <v>0.36243875756168742</v>
      </c>
      <c r="W240" s="385">
        <f>W216*INDEX(input_data!$L:$L,MATCH(CBAM!$B$5&amp;".in.efo.alu.prp.---",input_data!$A:$A,0))</f>
        <v>0.3783002259465516</v>
      </c>
      <c r="X240" s="385">
        <f>X216*INDEX(input_data!$L:$L,MATCH(CBAM!$B$5&amp;".in.efo.alu.prp.---",input_data!$A:$A,0))</f>
        <v>0.3948558424435456</v>
      </c>
    </row>
    <row r="241" spans="1:24" ht="15" customHeight="1" x14ac:dyDescent="0.25">
      <c r="A241" s="380" t="str">
        <f>CBAM!$B$5&amp;".em.s2e.alu.prp.elc"</f>
        <v>egy.em.s2e.alu.prp.elc</v>
      </c>
      <c r="B241" s="380" t="str">
        <f>CBAM!$B$5</f>
        <v>egy</v>
      </c>
      <c r="C241" s="380" t="s">
        <v>1342</v>
      </c>
      <c r="D241" s="380" t="s">
        <v>1357</v>
      </c>
      <c r="E241" s="380" t="s">
        <v>334</v>
      </c>
      <c r="F241" s="380" t="s">
        <v>1529</v>
      </c>
      <c r="G241" s="380" t="s">
        <v>1339</v>
      </c>
      <c r="H241" s="380" t="s">
        <v>1555</v>
      </c>
      <c r="I241" s="380" t="s">
        <v>1345</v>
      </c>
      <c r="J241" s="380" t="s">
        <v>1359</v>
      </c>
      <c r="K241" s="380"/>
      <c r="L241" s="380"/>
      <c r="M241" s="385">
        <f>M236*INDEX(input_data!$M:$X,MATCH(CBAM!$B$5&amp;".in.gef.---.---.---",input_data!$A:$A,0),COLUMNS($M:M))/3.6</f>
        <v>2.2184999999999997</v>
      </c>
      <c r="N241" s="385">
        <f>N236*INDEX(input_data!$M:$X,MATCH(CBAM!$B$5&amp;".in.gef.---.---.---",input_data!$A:$A,0),COLUMNS($M:N))/3.6</f>
        <v>2.2701848912880349</v>
      </c>
      <c r="O241" s="385">
        <f>O236*INDEX(input_data!$M:$X,MATCH(CBAM!$B$5&amp;".in.gef.---.---.---",input_data!$A:$A,0),COLUMNS($M:O))/3.6</f>
        <v>2.3221446675033652</v>
      </c>
      <c r="P241" s="385">
        <f>P236*INDEX(input_data!$M:$X,MATCH(CBAM!$B$5&amp;".in.gef.---.---.---",input_data!$A:$A,0),COLUMNS($M:P))/3.6</f>
        <v>2.3743044006423495</v>
      </c>
      <c r="Q241" s="385">
        <f>Q236*INDEX(input_data!$M:$X,MATCH(CBAM!$B$5&amp;".in.gef.---.---.---",input_data!$A:$A,0),COLUMNS($M:Q))/3.6</f>
        <v>2.4265820780639555</v>
      </c>
      <c r="R241" s="385">
        <f>R236*INDEX(input_data!$M:$X,MATCH(CBAM!$B$5&amp;".in.gef.---.---.---",input_data!$A:$A,0),COLUMNS($M:R))/3.6</f>
        <v>2.4788881259006246</v>
      </c>
      <c r="S241" s="385">
        <f>S236*INDEX(input_data!$M:$X,MATCH(CBAM!$B$5&amp;".in.gef.---.---.---",input_data!$A:$A,0),COLUMNS($M:S))/3.6</f>
        <v>2.5311249043236481</v>
      </c>
      <c r="T241" s="385">
        <f>T236*INDEX(input_data!$M:$X,MATCH(CBAM!$B$5&amp;".in.gef.---.---.---",input_data!$A:$A,0),COLUMNS($M:T))/3.6</f>
        <v>2.5831861731123422</v>
      </c>
      <c r="U241" s="385">
        <f>U236*INDEX(input_data!$M:$X,MATCH(CBAM!$B$5&amp;".in.gef.---.---.---",input_data!$A:$A,0),COLUMNS($M:U))/3.6</f>
        <v>2.6349565258944962</v>
      </c>
      <c r="V241" s="385">
        <f>V236*INDEX(input_data!$M:$X,MATCH(CBAM!$B$5&amp;".in.gef.---.---.---",input_data!$A:$A,0),COLUMNS($M:V))/3.6</f>
        <v>2.6863107913395652</v>
      </c>
      <c r="W241" s="385">
        <f>W236*INDEX(input_data!$M:$X,MATCH(CBAM!$B$5&amp;".in.gef.---.---.---",input_data!$A:$A,0),COLUMNS($M:W))/3.6</f>
        <v>2.7371133994956378</v>
      </c>
      <c r="X241" s="385">
        <f>X236*INDEX(input_data!$M:$X,MATCH(CBAM!$B$5&amp;".in.gef.---.---.---",input_data!$A:$A,0),COLUMNS($M:X))/3.6</f>
        <v>2.7872177113662047</v>
      </c>
    </row>
    <row r="243" spans="1:24" ht="21.75" customHeight="1" x14ac:dyDescent="0.25">
      <c r="A243" s="12" t="s">
        <v>1556</v>
      </c>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spans="1:24" ht="15" customHeight="1" x14ac:dyDescent="0.25">
      <c r="A244" s="380" t="str">
        <f>CBAM!$B$5&amp;".em.nh3.stl.drg.---"</f>
        <v>egy.em.nh3.stl.drg.---</v>
      </c>
      <c r="B244" s="380" t="str">
        <f>CBAM!$B$5</f>
        <v>egy</v>
      </c>
      <c r="C244" s="380" t="s">
        <v>1342</v>
      </c>
      <c r="D244" s="380" t="s">
        <v>1557</v>
      </c>
      <c r="E244" s="380" t="s">
        <v>322</v>
      </c>
      <c r="F244" s="380" t="s">
        <v>1305</v>
      </c>
      <c r="G244" s="380" t="s">
        <v>1277</v>
      </c>
      <c r="H244" s="380" t="s">
        <v>1558</v>
      </c>
      <c r="I244" s="380" t="s">
        <v>1355</v>
      </c>
      <c r="J244" s="380" t="s">
        <v>1559</v>
      </c>
      <c r="K244" s="380"/>
      <c r="L244" s="380"/>
      <c r="M244" s="385">
        <f>INDEX(input_data!$L:$L,MATCH("all.in.nh3.stl.drg.---",input_data!$A:$A,0))*IFERROR((M153+M154+M155+M156)/M132,0)*M20</f>
        <v>0</v>
      </c>
      <c r="N244" s="385">
        <f>INDEX(input_data!$L:$L,MATCH("all.in.nh3.stl.drg.---",input_data!$A:$A,0))*IFERROR((N153+N154+N155+N156)/N132,0)*N20</f>
        <v>0</v>
      </c>
      <c r="O244" s="385">
        <f>INDEX(input_data!$L:$L,MATCH("all.in.nh3.stl.drg.---",input_data!$A:$A,0))*IFERROR((O153+O154+O155+O156)/O132,0)*O20</f>
        <v>0</v>
      </c>
      <c r="P244" s="385">
        <f>INDEX(input_data!$L:$L,MATCH("all.in.nh3.stl.drg.---",input_data!$A:$A,0))*IFERROR((P153+P154+P155+P156)/P132,0)*P20</f>
        <v>0</v>
      </c>
      <c r="Q244" s="385">
        <f>INDEX(input_data!$L:$L,MATCH("all.in.nh3.stl.drg.---",input_data!$A:$A,0))*IFERROR((Q153+Q154+Q155+Q156)/Q132,0)*Q20</f>
        <v>0</v>
      </c>
      <c r="R244" s="385">
        <f>INDEX(input_data!$L:$L,MATCH("all.in.nh3.stl.drg.---",input_data!$A:$A,0))*IFERROR((R153+R154+R155+R156)/R132,0)*R20</f>
        <v>0</v>
      </c>
      <c r="S244" s="385">
        <f>INDEX(input_data!$L:$L,MATCH("all.in.nh3.stl.drg.---",input_data!$A:$A,0))*IFERROR((S153+S154+S155+S156)/S132,0)*S20</f>
        <v>0</v>
      </c>
      <c r="T244" s="385">
        <f>INDEX(input_data!$L:$L,MATCH("all.in.nh3.stl.drg.---",input_data!$A:$A,0))*IFERROR((T153+T154+T155+T156)/T132,0)*T20</f>
        <v>0</v>
      </c>
      <c r="U244" s="385">
        <f>INDEX(input_data!$L:$L,MATCH("all.in.nh3.stl.drg.---",input_data!$A:$A,0))*IFERROR((U153+U154+U155+U156)/U132,0)*U20</f>
        <v>0</v>
      </c>
      <c r="V244" s="385">
        <f>INDEX(input_data!$L:$L,MATCH("all.in.nh3.stl.drg.---",input_data!$A:$A,0))*IFERROR((V153+V154+V155+V156)/V132,0)*V20</f>
        <v>0</v>
      </c>
      <c r="W244" s="385">
        <f>INDEX(input_data!$L:$L,MATCH("all.in.nh3.stl.drg.---",input_data!$A:$A,0))*IFERROR((W153+W154+W155+W156)/W132,0)*W20</f>
        <v>0</v>
      </c>
      <c r="X244" s="385">
        <f>INDEX(input_data!$L:$L,MATCH("all.in.nh3.stl.drg.---",input_data!$A:$A,0))*IFERROR((X153+X154+X155+X156)/X132,0)*X20</f>
        <v>0</v>
      </c>
    </row>
    <row r="245" spans="1:24" ht="15" customHeight="1" x14ac:dyDescent="0.25">
      <c r="A245" s="380" t="str">
        <f>CBAM!$B$5&amp;".em.tot.stl.drg.---"</f>
        <v>egy.em.tot.stl.drg.---</v>
      </c>
      <c r="B245" s="380" t="str">
        <f>CBAM!$B$5</f>
        <v>egy</v>
      </c>
      <c r="C245" s="380" t="s">
        <v>1342</v>
      </c>
      <c r="D245" s="380" t="s">
        <v>1560</v>
      </c>
      <c r="E245" s="380" t="s">
        <v>322</v>
      </c>
      <c r="F245" s="380" t="s">
        <v>1305</v>
      </c>
      <c r="G245" s="380" t="s">
        <v>1277</v>
      </c>
      <c r="H245" s="380" t="s">
        <v>1561</v>
      </c>
      <c r="I245" s="380" t="s">
        <v>1355</v>
      </c>
      <c r="J245" s="380" t="s">
        <v>1562</v>
      </c>
      <c r="K245" s="380"/>
      <c r="L245" s="380"/>
      <c r="M245" s="386">
        <f t="shared" ref="M245:X245" si="17">M41+M42+M43+M44+M45+M244</f>
        <v>5.1681530000000002</v>
      </c>
      <c r="N245" s="386">
        <f t="shared" si="17"/>
        <v>5.4225097483333329</v>
      </c>
      <c r="O245" s="386">
        <f t="shared" si="17"/>
        <v>5.6892120761583325</v>
      </c>
      <c r="P245" s="386">
        <f t="shared" si="17"/>
        <v>5.9688485680553729</v>
      </c>
      <c r="Q245" s="386">
        <f t="shared" si="17"/>
        <v>6.2620352075307109</v>
      </c>
      <c r="R245" s="386">
        <f t="shared" si="17"/>
        <v>6.5694166104299665</v>
      </c>
      <c r="S245" s="386">
        <f t="shared" si="17"/>
        <v>6.8916673111453619</v>
      </c>
      <c r="T245" s="386">
        <f t="shared" si="17"/>
        <v>7.2294931036928984</v>
      </c>
      <c r="U245" s="386">
        <f t="shared" si="17"/>
        <v>7.5836324398044503</v>
      </c>
      <c r="V245" s="386">
        <f t="shared" si="17"/>
        <v>7.9548578862496022</v>
      </c>
      <c r="W245" s="386">
        <f t="shared" si="17"/>
        <v>8.3439776436733091</v>
      </c>
      <c r="X245" s="386">
        <f t="shared" si="17"/>
        <v>8.7518371293077237</v>
      </c>
    </row>
    <row r="246" spans="1:24" ht="15" customHeight="1" x14ac:dyDescent="0.25">
      <c r="A246" s="380" t="str">
        <f>CBAM!$B$5&amp;".cb.int.stl.drg.---"</f>
        <v>egy.cb.int.stl.drg.---</v>
      </c>
      <c r="B246" s="380" t="str">
        <f>CBAM!$B$5</f>
        <v>egy</v>
      </c>
      <c r="C246" s="380" t="s">
        <v>1563</v>
      </c>
      <c r="D246" s="380" t="s">
        <v>1564</v>
      </c>
      <c r="E246" s="380" t="s">
        <v>322</v>
      </c>
      <c r="F246" s="380" t="s">
        <v>1305</v>
      </c>
      <c r="G246" s="380" t="s">
        <v>1277</v>
      </c>
      <c r="H246" s="380" t="s">
        <v>1565</v>
      </c>
      <c r="I246" s="380" t="s">
        <v>1566</v>
      </c>
      <c r="J246" s="380" t="s">
        <v>1567</v>
      </c>
      <c r="K246" s="380"/>
      <c r="L246" s="380"/>
      <c r="M246" s="387">
        <f t="shared" ref="M246:X246" si="18">IF(M20&gt;0,IFERROR(M245/M20,0),M350)</f>
        <v>1.0133633333333334</v>
      </c>
      <c r="N246" s="387">
        <f t="shared" si="18"/>
        <v>1.0078077777777779</v>
      </c>
      <c r="O246" s="387">
        <f t="shared" si="18"/>
        <v>1.0022522222222223</v>
      </c>
      <c r="P246" s="387">
        <f t="shared" si="18"/>
        <v>0.99669666666666656</v>
      </c>
      <c r="Q246" s="387">
        <f t="shared" si="18"/>
        <v>0.99114111111111114</v>
      </c>
      <c r="R246" s="387">
        <f t="shared" si="18"/>
        <v>0.98558555555555538</v>
      </c>
      <c r="S246" s="387">
        <f t="shared" si="18"/>
        <v>0.98003000000000007</v>
      </c>
      <c r="T246" s="387">
        <f t="shared" si="18"/>
        <v>0.97447444444444442</v>
      </c>
      <c r="U246" s="387">
        <f t="shared" si="18"/>
        <v>0.96891888888888889</v>
      </c>
      <c r="V246" s="387">
        <f t="shared" si="18"/>
        <v>0.96336333333333335</v>
      </c>
      <c r="W246" s="387">
        <f t="shared" si="18"/>
        <v>0.95780777777777759</v>
      </c>
      <c r="X246" s="387">
        <f t="shared" si="18"/>
        <v>0.95225222222222228</v>
      </c>
    </row>
    <row r="247" spans="1:24" ht="15" customHeight="1" x14ac:dyDescent="0.25">
      <c r="A247" s="380" t="str">
        <f>CBAM!$B$5&amp;".cb.mrv.stl.drg.---"</f>
        <v>egy.cb.mrv.stl.drg.---</v>
      </c>
      <c r="B247" s="380" t="str">
        <f>CBAM!$B$5</f>
        <v>egy</v>
      </c>
      <c r="C247" s="380" t="s">
        <v>1563</v>
      </c>
      <c r="D247" s="380" t="s">
        <v>1568</v>
      </c>
      <c r="E247" s="380" t="s">
        <v>322</v>
      </c>
      <c r="F247" s="380" t="s">
        <v>1305</v>
      </c>
      <c r="G247" s="380" t="s">
        <v>1277</v>
      </c>
      <c r="H247" s="380" t="s">
        <v>1569</v>
      </c>
      <c r="I247" s="380" t="s">
        <v>1566</v>
      </c>
      <c r="J247" s="380" t="s">
        <v>1570</v>
      </c>
      <c r="K247" s="380"/>
      <c r="L247" s="380"/>
      <c r="M247" s="388">
        <f>IF(M20&gt;0,IFERROR(IF(INDEX(input_data!$L:$L,MATCH("all.in.mrv.stl.drg.---",input_data!$A:$A,0))=1,((M245-M45*(1-INDEX(input_data!$L:$L,MATCH("all.in.cs2.stl.drg.---",input_data!$A:$A,0))))/M20),INDEX(input_data!$L:$L,MATCH("all.in.dfv.stl.drg.---",input_data!$A:$A,0))),0),M351)</f>
        <v>0.73003000000000007</v>
      </c>
      <c r="N247" s="388">
        <f>IF(N20&gt;0,IFERROR(IF(INDEX(input_data!$L:$L,MATCH("all.in.mrv.stl.drg.---",input_data!$A:$A,0))=1,((N245-N45*(1-INDEX(input_data!$L:$L,MATCH("all.in.cs2.stl.drg.---",input_data!$A:$A,0))))/N20),INDEX(input_data!$L:$L,MATCH("all.in.dfv.stl.drg.---",input_data!$A:$A,0))),0),N351)</f>
        <v>0.73003000000000007</v>
      </c>
      <c r="O247" s="388">
        <f>IF(O20&gt;0,IFERROR(IF(INDEX(input_data!$L:$L,MATCH("all.in.mrv.stl.drg.---",input_data!$A:$A,0))=1,((O245-O45*(1-INDEX(input_data!$L:$L,MATCH("all.in.cs2.stl.drg.---",input_data!$A:$A,0))))/O20),INDEX(input_data!$L:$L,MATCH("all.in.dfv.stl.drg.---",input_data!$A:$A,0))),0),O351)</f>
        <v>0.73002999999999996</v>
      </c>
      <c r="P247" s="388">
        <f>IF(P20&gt;0,IFERROR(IF(INDEX(input_data!$L:$L,MATCH("all.in.mrv.stl.drg.---",input_data!$A:$A,0))=1,((P245-P45*(1-INDEX(input_data!$L:$L,MATCH("all.in.cs2.stl.drg.---",input_data!$A:$A,0))))/P20),INDEX(input_data!$L:$L,MATCH("all.in.dfv.stl.drg.---",input_data!$A:$A,0))),0),P351)</f>
        <v>0.73002999999999996</v>
      </c>
      <c r="Q247" s="388">
        <f>IF(Q20&gt;0,IFERROR(IF(INDEX(input_data!$L:$L,MATCH("all.in.mrv.stl.drg.---",input_data!$A:$A,0))=1,((Q245-Q45*(1-INDEX(input_data!$L:$L,MATCH("all.in.cs2.stl.drg.---",input_data!$A:$A,0))))/Q20),INDEX(input_data!$L:$L,MATCH("all.in.dfv.stl.drg.---",input_data!$A:$A,0))),0),Q351)</f>
        <v>0.73003000000000007</v>
      </c>
      <c r="R247" s="388">
        <f>IF(R20&gt;0,IFERROR(IF(INDEX(input_data!$L:$L,MATCH("all.in.mrv.stl.drg.---",input_data!$A:$A,0))=1,((R245-R45*(1-INDEX(input_data!$L:$L,MATCH("all.in.cs2.stl.drg.---",input_data!$A:$A,0))))/R20),INDEX(input_data!$L:$L,MATCH("all.in.dfv.stl.drg.---",input_data!$A:$A,0))),0),R351)</f>
        <v>0.73002999999999996</v>
      </c>
      <c r="S247" s="388">
        <f>IF(S20&gt;0,IFERROR(IF(INDEX(input_data!$L:$L,MATCH("all.in.mrv.stl.drg.---",input_data!$A:$A,0))=1,((S245-S45*(1-INDEX(input_data!$L:$L,MATCH("all.in.cs2.stl.drg.---",input_data!$A:$A,0))))/S20),INDEX(input_data!$L:$L,MATCH("all.in.dfv.stl.drg.---",input_data!$A:$A,0))),0),S351)</f>
        <v>0.73003000000000007</v>
      </c>
      <c r="T247" s="388">
        <f>IF(T20&gt;0,IFERROR(IF(INDEX(input_data!$L:$L,MATCH("all.in.mrv.stl.drg.---",input_data!$A:$A,0))=1,((T245-T45*(1-INDEX(input_data!$L:$L,MATCH("all.in.cs2.stl.drg.---",input_data!$A:$A,0))))/T20),INDEX(input_data!$L:$L,MATCH("all.in.dfv.stl.drg.---",input_data!$A:$A,0))),0),T351)</f>
        <v>0.73002999999999996</v>
      </c>
      <c r="U247" s="388">
        <f>IF(U20&gt;0,IFERROR(IF(INDEX(input_data!$L:$L,MATCH("all.in.mrv.stl.drg.---",input_data!$A:$A,0))=1,((U245-U45*(1-INDEX(input_data!$L:$L,MATCH("all.in.cs2.stl.drg.---",input_data!$A:$A,0))))/U20),INDEX(input_data!$L:$L,MATCH("all.in.dfv.stl.drg.---",input_data!$A:$A,0))),0),U351)</f>
        <v>0.73003000000000007</v>
      </c>
      <c r="V247" s="388">
        <f>IF(V20&gt;0,IFERROR(IF(INDEX(input_data!$L:$L,MATCH("all.in.mrv.stl.drg.---",input_data!$A:$A,0))=1,((V245-V45*(1-INDEX(input_data!$L:$L,MATCH("all.in.cs2.stl.drg.---",input_data!$A:$A,0))))/V20),INDEX(input_data!$L:$L,MATCH("all.in.dfv.stl.drg.---",input_data!$A:$A,0))),0),V351)</f>
        <v>0.73002999999999996</v>
      </c>
      <c r="W247" s="388">
        <f>IF(W20&gt;0,IFERROR(IF(INDEX(input_data!$L:$L,MATCH("all.in.mrv.stl.drg.---",input_data!$A:$A,0))=1,((W245-W45*(1-INDEX(input_data!$L:$L,MATCH("all.in.cs2.stl.drg.---",input_data!$A:$A,0))))/W20),INDEX(input_data!$L:$L,MATCH("all.in.dfv.stl.drg.---",input_data!$A:$A,0))),0),W351)</f>
        <v>0.73002999999999985</v>
      </c>
      <c r="X247" s="388">
        <f>IF(X20&gt;0,IFERROR(IF(INDEX(input_data!$L:$L,MATCH("all.in.mrv.stl.drg.---",input_data!$A:$A,0))=1,((X245-X45*(1-INDEX(input_data!$L:$L,MATCH("all.in.cs2.stl.drg.---",input_data!$A:$A,0))))/X20),INDEX(input_data!$L:$L,MATCH("all.in.dfv.stl.drg.---",input_data!$A:$A,0))),0),X351)</f>
        <v>0.73003000000000007</v>
      </c>
    </row>
    <row r="248" spans="1:24" ht="15" customHeight="1" x14ac:dyDescent="0.25">
      <c r="A248" s="380" t="str">
        <f>CBAM!$B$5&amp;".cb.obl.stl.drg.---"</f>
        <v>egy.cb.obl.stl.drg.---</v>
      </c>
      <c r="B248" s="380" t="str">
        <f>CBAM!$B$5</f>
        <v>egy</v>
      </c>
      <c r="C248" s="380" t="s">
        <v>1563</v>
      </c>
      <c r="D248" s="380" t="s">
        <v>1571</v>
      </c>
      <c r="E248" s="380" t="s">
        <v>322</v>
      </c>
      <c r="F248" s="380" t="s">
        <v>1305</v>
      </c>
      <c r="G248" s="380" t="s">
        <v>1277</v>
      </c>
      <c r="H248" s="380" t="s">
        <v>1572</v>
      </c>
      <c r="I248" s="380" t="s">
        <v>1573</v>
      </c>
      <c r="J248" s="380" t="s">
        <v>1574</v>
      </c>
      <c r="K248" s="380"/>
      <c r="L248" s="380"/>
      <c r="M248" s="389">
        <f>MAX(M247-INDEX(input_data!$L:$L,MATCH("all.in.bnk.stl.drg.---",input_data!$A:$A,0))*(1-INDEX(input_data!$M:$X,MATCH("all.in.cbf.---.---.---",input_data!$A:$A,0),1)),0)*INDEX(input_data!$M:$X,MATCH("all.in.ets.---.---.---",input_data!$A:$A,0),1)*INDEX(input_data!$M:$X,MATCH("all.in.act.---.---.---",input_data!$A:$A,0),1)*INDEX(input_data!$M:$X,MATCH("all.in.fxr.---.---.---",input_data!$A:$A,0),1)</f>
        <v>0</v>
      </c>
      <c r="N248" s="389">
        <f>MAX(N247-INDEX(input_data!$L:$L,MATCH("all.in.bnk.stl.drg.---",input_data!$A:$A,0))*(1-INDEX(input_data!$M:$X,MATCH("all.in.cbf.---.---.---",input_data!$A:$A,0),2)),0)*INDEX(input_data!$M:$X,MATCH("all.in.ets.---.---.---",input_data!$A:$A,0),2)*INDEX(input_data!$M:$X,MATCH("all.in.act.---.---.---",input_data!$A:$A,0),2)*INDEX(input_data!$M:$X,MATCH("all.in.fxr.---.---.---",input_data!$A:$A,0),2)</f>
        <v>0</v>
      </c>
      <c r="O248" s="389">
        <f>MAX(O247-INDEX(input_data!$L:$L,MATCH("all.in.bnk.stl.drg.---",input_data!$A:$A,0))*(1-INDEX(input_data!$M:$X,MATCH("all.in.cbf.---.---.---",input_data!$A:$A,0),3)),0)*INDEX(input_data!$M:$X,MATCH("all.in.ets.---.---.---",input_data!$A:$A,0),3)*INDEX(input_data!$M:$X,MATCH("all.in.act.---.---.---",input_data!$A:$A,0),3)*INDEX(input_data!$M:$X,MATCH("all.in.fxr.---.---.---",input_data!$A:$A,0),3)</f>
        <v>28.716050000000003</v>
      </c>
      <c r="P248" s="389">
        <f>MAX(P247-INDEX(input_data!$L:$L,MATCH("all.in.bnk.stl.drg.---",input_data!$A:$A,0))*(1-INDEX(input_data!$M:$X,MATCH("all.in.cbf.---.---.---",input_data!$A:$A,0),4)),0)*INDEX(input_data!$M:$X,MATCH("all.in.ets.---.---.---",input_data!$A:$A,0),4)*INDEX(input_data!$M:$X,MATCH("all.in.act.---.---.---",input_data!$A:$A,0),4)*INDEX(input_data!$M:$X,MATCH("all.in.fxr.---.---.---",input_data!$A:$A,0),4)</f>
        <v>31.54074</v>
      </c>
      <c r="Q248" s="389">
        <f>MAX(Q247-INDEX(input_data!$L:$L,MATCH("all.in.bnk.stl.drg.---",input_data!$A:$A,0))*(1-INDEX(input_data!$M:$X,MATCH("all.in.cbf.---.---.---",input_data!$A:$A,0),5)),0)*INDEX(input_data!$M:$X,MATCH("all.in.ets.---.---.---",input_data!$A:$A,0),5)*INDEX(input_data!$M:$X,MATCH("all.in.act.---.---.---",input_data!$A:$A,0),5)*INDEX(input_data!$M:$X,MATCH("all.in.fxr.---.---.---",input_data!$A:$A,0),5)</f>
        <v>35.95273000000001</v>
      </c>
      <c r="R248" s="389">
        <f>MAX(R247-INDEX(input_data!$L:$L,MATCH("all.in.bnk.stl.drg.---",input_data!$A:$A,0))*(1-INDEX(input_data!$M:$X,MATCH("all.in.cbf.---.---.---",input_data!$A:$A,0),6)),0)*INDEX(input_data!$M:$X,MATCH("all.in.ets.---.---.---",input_data!$A:$A,0),6)*INDEX(input_data!$M:$X,MATCH("all.in.act.---.---.---",input_data!$A:$A,0),6)*INDEX(input_data!$M:$X,MATCH("all.in.fxr.---.---.---",input_data!$A:$A,0),6)</f>
        <v>43.227854999999991</v>
      </c>
      <c r="S248" s="389">
        <f>MAX(S247-INDEX(input_data!$L:$L,MATCH("all.in.bnk.stl.drg.---",input_data!$A:$A,0))*(1-INDEX(input_data!$M:$X,MATCH("all.in.cbf.---.---.---",input_data!$A:$A,0),7)),0)*INDEX(input_data!$M:$X,MATCH("all.in.ets.---.---.---",input_data!$A:$A,0),7)*INDEX(input_data!$M:$X,MATCH("all.in.act.---.---.---",input_data!$A:$A,0),7)*INDEX(input_data!$M:$X,MATCH("all.in.fxr.---.---.---",input_data!$A:$A,0),7)</f>
        <v>61.012847500000014</v>
      </c>
      <c r="T248" s="389">
        <f>MAX(T247-INDEX(input_data!$L:$L,MATCH("all.in.bnk.stl.drg.---",input_data!$A:$A,0))*(1-INDEX(input_data!$M:$X,MATCH("all.in.cbf.---.---.---",input_data!$A:$A,0),8)),0)*INDEX(input_data!$M:$X,MATCH("all.in.ets.---.---.---",input_data!$A:$A,0),8)*INDEX(input_data!$M:$X,MATCH("all.in.act.---.---.---",input_data!$A:$A,0),8)*INDEX(input_data!$M:$X,MATCH("all.in.fxr.---.---.---",input_data!$A:$A,0),8)</f>
        <v>71.602080000000001</v>
      </c>
      <c r="U248" s="389">
        <f>MAX(U247-INDEX(input_data!$L:$L,MATCH("all.in.bnk.stl.drg.---",input_data!$A:$A,0))*(1-INDEX(input_data!$M:$X,MATCH("all.in.cbf.---.---.---",input_data!$A:$A,0),9)),0)*INDEX(input_data!$M:$X,MATCH("all.in.ets.---.---.---",input_data!$A:$A,0),9)*INDEX(input_data!$M:$X,MATCH("all.in.act.---.---.---",input_data!$A:$A,0),9)*INDEX(input_data!$M:$X,MATCH("all.in.fxr.---.---.---",input_data!$A:$A,0),9)</f>
        <v>82.852687500000016</v>
      </c>
      <c r="V248" s="389">
        <f>MAX(V247-INDEX(input_data!$L:$L,MATCH("all.in.bnk.stl.drg.---",input_data!$A:$A,0))*(1-INDEX(input_data!$M:$X,MATCH("all.in.cbf.---.---.---",input_data!$A:$A,0),10)),0)*INDEX(input_data!$M:$X,MATCH("all.in.ets.---.---.---",input_data!$A:$A,0),10)*INDEX(input_data!$M:$X,MATCH("all.in.act.---.---.---",input_data!$A:$A,0),10)*INDEX(input_data!$M:$X,MATCH("all.in.fxr.---.---.---",input_data!$A:$A,0),10)</f>
        <v>94.76467000000001</v>
      </c>
      <c r="W248" s="389">
        <f>MAX(W247-INDEX(input_data!$L:$L,MATCH("all.in.bnk.stl.drg.---",input_data!$A:$A,0))*(1-INDEX(input_data!$M:$X,MATCH("all.in.cbf.---.---.---",input_data!$A:$A,0),11)),0)*INDEX(input_data!$M:$X,MATCH("all.in.ets.---.---.---",input_data!$A:$A,0),11)*INDEX(input_data!$M:$X,MATCH("all.in.act.---.---.---",input_data!$A:$A,0),11)*INDEX(input_data!$M:$X,MATCH("all.in.fxr.---.---.---",input_data!$A:$A,0),11)</f>
        <v>108.40945499999998</v>
      </c>
      <c r="X248" s="389">
        <f>MAX(X247-INDEX(input_data!$L:$L,MATCH("all.in.bnk.stl.drg.---",input_data!$A:$A,0))*(1-INDEX(input_data!$M:$X,MATCH("all.in.cbf.---.---.---",input_data!$A:$A,0),12)),0)*INDEX(input_data!$M:$X,MATCH("all.in.ets.---.---.---",input_data!$A:$A,0),12)*INDEX(input_data!$M:$X,MATCH("all.in.act.---.---.---",input_data!$A:$A,0),12)*INDEX(input_data!$M:$X,MATCH("all.in.fxr.---.---.---",input_data!$A:$A,0),12)</f>
        <v>112.42462000000002</v>
      </c>
    </row>
    <row r="249" spans="1:24" ht="15" customHeight="1" x14ac:dyDescent="0.25">
      <c r="A249" s="380" t="str">
        <f>CBAM!$B$5&amp;".em.nh3.stl.scr.---"</f>
        <v>egy.em.nh3.stl.scr.---</v>
      </c>
      <c r="B249" s="380" t="str">
        <f>CBAM!$B$5</f>
        <v>egy</v>
      </c>
      <c r="C249" s="380" t="s">
        <v>1342</v>
      </c>
      <c r="D249" s="380" t="s">
        <v>1557</v>
      </c>
      <c r="E249" s="380" t="s">
        <v>322</v>
      </c>
      <c r="F249" s="380" t="s">
        <v>1361</v>
      </c>
      <c r="G249" s="380" t="s">
        <v>1277</v>
      </c>
      <c r="H249" s="380" t="s">
        <v>1575</v>
      </c>
      <c r="I249" s="380" t="s">
        <v>1355</v>
      </c>
      <c r="J249" s="380" t="s">
        <v>1559</v>
      </c>
      <c r="K249" s="380"/>
      <c r="L249" s="380"/>
      <c r="M249" s="385">
        <f>INDEX(input_data!$L:$L,MATCH("all.in.nh3.stl.scr.---",input_data!$A:$A,0))*IFERROR((M153+M154+M155+M156)/M132,0)*M48</f>
        <v>0</v>
      </c>
      <c r="N249" s="385">
        <f>INDEX(input_data!$L:$L,MATCH("all.in.nh3.stl.scr.---",input_data!$A:$A,0))*IFERROR((N153+N154+N155+N156)/N132,0)*N48</f>
        <v>0</v>
      </c>
      <c r="O249" s="385">
        <f>INDEX(input_data!$L:$L,MATCH("all.in.nh3.stl.scr.---",input_data!$A:$A,0))*IFERROR((O153+O154+O155+O156)/O132,0)*O48</f>
        <v>0</v>
      </c>
      <c r="P249" s="385">
        <f>INDEX(input_data!$L:$L,MATCH("all.in.nh3.stl.scr.---",input_data!$A:$A,0))*IFERROR((P153+P154+P155+P156)/P132,0)*P48</f>
        <v>0</v>
      </c>
      <c r="Q249" s="385">
        <f>INDEX(input_data!$L:$L,MATCH("all.in.nh3.stl.scr.---",input_data!$A:$A,0))*IFERROR((Q153+Q154+Q155+Q156)/Q132,0)*Q48</f>
        <v>0</v>
      </c>
      <c r="R249" s="385">
        <f>INDEX(input_data!$L:$L,MATCH("all.in.nh3.stl.scr.---",input_data!$A:$A,0))*IFERROR((R153+R154+R155+R156)/R132,0)*R48</f>
        <v>0</v>
      </c>
      <c r="S249" s="385">
        <f>INDEX(input_data!$L:$L,MATCH("all.in.nh3.stl.scr.---",input_data!$A:$A,0))*IFERROR((S153+S154+S155+S156)/S132,0)*S48</f>
        <v>0</v>
      </c>
      <c r="T249" s="385">
        <f>INDEX(input_data!$L:$L,MATCH("all.in.nh3.stl.scr.---",input_data!$A:$A,0))*IFERROR((T153+T154+T155+T156)/T132,0)*T48</f>
        <v>0</v>
      </c>
      <c r="U249" s="385">
        <f>INDEX(input_data!$L:$L,MATCH("all.in.nh3.stl.scr.---",input_data!$A:$A,0))*IFERROR((U153+U154+U155+U156)/U132,0)*U48</f>
        <v>0</v>
      </c>
      <c r="V249" s="385">
        <f>INDEX(input_data!$L:$L,MATCH("all.in.nh3.stl.scr.---",input_data!$A:$A,0))*IFERROR((V153+V154+V155+V156)/V132,0)*V48</f>
        <v>0</v>
      </c>
      <c r="W249" s="385">
        <f>INDEX(input_data!$L:$L,MATCH("all.in.nh3.stl.scr.---",input_data!$A:$A,0))*IFERROR((W153+W154+W155+W156)/W132,0)*W48</f>
        <v>0</v>
      </c>
      <c r="X249" s="385">
        <f>INDEX(input_data!$L:$L,MATCH("all.in.nh3.stl.scr.---",input_data!$A:$A,0))*IFERROR((X153+X154+X155+X156)/X132,0)*X48</f>
        <v>0</v>
      </c>
    </row>
    <row r="250" spans="1:24" ht="15" customHeight="1" x14ac:dyDescent="0.25">
      <c r="A250" s="380" t="str">
        <f>CBAM!$B$5&amp;".em.tot.stl.scr.---"</f>
        <v>egy.em.tot.stl.scr.---</v>
      </c>
      <c r="B250" s="380" t="str">
        <f>CBAM!$B$5</f>
        <v>egy</v>
      </c>
      <c r="C250" s="380" t="s">
        <v>1342</v>
      </c>
      <c r="D250" s="380" t="s">
        <v>1560</v>
      </c>
      <c r="E250" s="380" t="s">
        <v>322</v>
      </c>
      <c r="F250" s="380" t="s">
        <v>1361</v>
      </c>
      <c r="G250" s="380" t="s">
        <v>1277</v>
      </c>
      <c r="H250" s="380" t="s">
        <v>1576</v>
      </c>
      <c r="I250" s="380" t="s">
        <v>1355</v>
      </c>
      <c r="J250" s="380" t="s">
        <v>1562</v>
      </c>
      <c r="K250" s="380"/>
      <c r="L250" s="380"/>
      <c r="M250" s="386">
        <f t="shared" ref="M250:X250" si="19">M69+M70+M71+M72+M73+M249</f>
        <v>2.0087116666666667</v>
      </c>
      <c r="N250" s="386">
        <f t="shared" si="19"/>
        <v>2.0700612796669788</v>
      </c>
      <c r="O250" s="386">
        <f t="shared" si="19"/>
        <v>2.1329334850261752</v>
      </c>
      <c r="P250" s="386">
        <f t="shared" si="19"/>
        <v>2.1973440519824052</v>
      </c>
      <c r="Q250" s="386">
        <f t="shared" si="19"/>
        <v>2.2633072139058843</v>
      </c>
      <c r="R250" s="386">
        <f t="shared" si="19"/>
        <v>2.3308355036685144</v>
      </c>
      <c r="S250" s="386">
        <f t="shared" si="19"/>
        <v>2.3999395775455357</v>
      </c>
      <c r="T250" s="386">
        <f t="shared" si="19"/>
        <v>2.4706280269607541</v>
      </c>
      <c r="U250" s="386">
        <f t="shared" si="19"/>
        <v>2.5429071773485985</v>
      </c>
      <c r="V250" s="386">
        <f t="shared" si="19"/>
        <v>2.6167808733659497</v>
      </c>
      <c r="W250" s="386">
        <f t="shared" si="19"/>
        <v>2.6922502496442036</v>
      </c>
      <c r="X250" s="386">
        <f t="shared" si="19"/>
        <v>2.7693134862273237</v>
      </c>
    </row>
    <row r="251" spans="1:24" ht="15" customHeight="1" x14ac:dyDescent="0.25">
      <c r="A251" s="380" t="str">
        <f>CBAM!$B$5&amp;".cb.int.stl.scr.---"</f>
        <v>egy.cb.int.stl.scr.---</v>
      </c>
      <c r="B251" s="380" t="str">
        <f>CBAM!$B$5</f>
        <v>egy</v>
      </c>
      <c r="C251" s="380" t="s">
        <v>1563</v>
      </c>
      <c r="D251" s="380" t="s">
        <v>1564</v>
      </c>
      <c r="E251" s="380" t="s">
        <v>322</v>
      </c>
      <c r="F251" s="380" t="s">
        <v>1361</v>
      </c>
      <c r="G251" s="380" t="s">
        <v>1277</v>
      </c>
      <c r="H251" s="380" t="s">
        <v>1577</v>
      </c>
      <c r="I251" s="380" t="s">
        <v>1566</v>
      </c>
      <c r="J251" s="380" t="s">
        <v>1567</v>
      </c>
      <c r="K251" s="380"/>
      <c r="L251" s="380"/>
      <c r="M251" s="387">
        <f t="shared" ref="M251:X251" si="20">IF(M48&gt;0,IFERROR(M250/M48,0),M352)</f>
        <v>0.43858333333333333</v>
      </c>
      <c r="N251" s="387">
        <f t="shared" si="20"/>
        <v>0.43302777777777779</v>
      </c>
      <c r="O251" s="387">
        <f t="shared" si="20"/>
        <v>0.42747222222222214</v>
      </c>
      <c r="P251" s="387">
        <f t="shared" si="20"/>
        <v>0.42191666666666661</v>
      </c>
      <c r="Q251" s="387">
        <f t="shared" si="20"/>
        <v>0.41636111111111107</v>
      </c>
      <c r="R251" s="387">
        <f t="shared" si="20"/>
        <v>0.41080555555555565</v>
      </c>
      <c r="S251" s="387">
        <f t="shared" si="20"/>
        <v>0.40525</v>
      </c>
      <c r="T251" s="387">
        <f t="shared" si="20"/>
        <v>0.39969444444444441</v>
      </c>
      <c r="U251" s="387">
        <f t="shared" si="20"/>
        <v>0.39413888888888887</v>
      </c>
      <c r="V251" s="387">
        <f t="shared" si="20"/>
        <v>0.38858333333333328</v>
      </c>
      <c r="W251" s="387">
        <f t="shared" si="20"/>
        <v>0.38302777777777774</v>
      </c>
      <c r="X251" s="387">
        <f t="shared" si="20"/>
        <v>0.37747222222222232</v>
      </c>
    </row>
    <row r="252" spans="1:24" ht="15" customHeight="1" x14ac:dyDescent="0.25">
      <c r="A252" s="380" t="str">
        <f>CBAM!$B$5&amp;".cb.mrv.stl.scr.---"</f>
        <v>egy.cb.mrv.stl.scr.---</v>
      </c>
      <c r="B252" s="380" t="str">
        <f>CBAM!$B$5</f>
        <v>egy</v>
      </c>
      <c r="C252" s="380" t="s">
        <v>1563</v>
      </c>
      <c r="D252" s="380" t="s">
        <v>1568</v>
      </c>
      <c r="E252" s="380" t="s">
        <v>322</v>
      </c>
      <c r="F252" s="380" t="s">
        <v>1361</v>
      </c>
      <c r="G252" s="380" t="s">
        <v>1277</v>
      </c>
      <c r="H252" s="380" t="s">
        <v>1578</v>
      </c>
      <c r="I252" s="380" t="s">
        <v>1566</v>
      </c>
      <c r="J252" s="380" t="s">
        <v>1570</v>
      </c>
      <c r="K252" s="380"/>
      <c r="L252" s="380"/>
      <c r="M252" s="388">
        <f>IF(M48&gt;0,IFERROR(IF(INDEX(input_data!$L:$L,MATCH("all.in.mrv.stl.scr.---",input_data!$A:$A,0))=1,((M250-M73*(1-INDEX(input_data!$L:$L,MATCH("all.in.cs2.stl.scr.---",input_data!$A:$A,0))))/M48),INDEX(input_data!$L:$L,MATCH("all.in.dfv.stl.scr.---",input_data!$A:$A,0))),0),M353)</f>
        <v>0.15525000000000003</v>
      </c>
      <c r="N252" s="388">
        <f>IF(N48&gt;0,IFERROR(IF(INDEX(input_data!$L:$L,MATCH("all.in.mrv.stl.scr.---",input_data!$A:$A,0))=1,((N250-N73*(1-INDEX(input_data!$L:$L,MATCH("all.in.cs2.stl.scr.---",input_data!$A:$A,0))))/N48),INDEX(input_data!$L:$L,MATCH("all.in.dfv.stl.scr.---",input_data!$A:$A,0))),0),N353)</f>
        <v>0.15524999999999997</v>
      </c>
      <c r="O252" s="388">
        <f>IF(O48&gt;0,IFERROR(IF(INDEX(input_data!$L:$L,MATCH("all.in.mrv.stl.scr.---",input_data!$A:$A,0))=1,((O250-O73*(1-INDEX(input_data!$L:$L,MATCH("all.in.cs2.stl.scr.---",input_data!$A:$A,0))))/O48),INDEX(input_data!$L:$L,MATCH("all.in.dfv.stl.scr.---",input_data!$A:$A,0))),0),O353)</f>
        <v>0.15524999999999997</v>
      </c>
      <c r="P252" s="388">
        <f>IF(P48&gt;0,IFERROR(IF(INDEX(input_data!$L:$L,MATCH("all.in.mrv.stl.scr.---",input_data!$A:$A,0))=1,((P250-P73*(1-INDEX(input_data!$L:$L,MATCH("all.in.cs2.stl.scr.---",input_data!$A:$A,0))))/P48),INDEX(input_data!$L:$L,MATCH("all.in.dfv.stl.scr.---",input_data!$A:$A,0))),0),P353)</f>
        <v>0.15524999999999997</v>
      </c>
      <c r="Q252" s="388">
        <f>IF(Q48&gt;0,IFERROR(IF(INDEX(input_data!$L:$L,MATCH("all.in.mrv.stl.scr.---",input_data!$A:$A,0))=1,((Q250-Q73*(1-INDEX(input_data!$L:$L,MATCH("all.in.cs2.stl.scr.---",input_data!$A:$A,0))))/Q48),INDEX(input_data!$L:$L,MATCH("all.in.dfv.stl.scr.---",input_data!$A:$A,0))),0),Q353)</f>
        <v>0.15524999999999994</v>
      </c>
      <c r="R252" s="388">
        <f>IF(R48&gt;0,IFERROR(IF(INDEX(input_data!$L:$L,MATCH("all.in.mrv.stl.scr.---",input_data!$A:$A,0))=1,((R250-R73*(1-INDEX(input_data!$L:$L,MATCH("all.in.cs2.stl.scr.---",input_data!$A:$A,0))))/R48),INDEX(input_data!$L:$L,MATCH("all.in.dfv.stl.scr.---",input_data!$A:$A,0))),0),R353)</f>
        <v>0.15525000000000005</v>
      </c>
      <c r="S252" s="388">
        <f>IF(S48&gt;0,IFERROR(IF(INDEX(input_data!$L:$L,MATCH("all.in.mrv.stl.scr.---",input_data!$A:$A,0))=1,((S250-S73*(1-INDEX(input_data!$L:$L,MATCH("all.in.cs2.stl.scr.---",input_data!$A:$A,0))))/S48),INDEX(input_data!$L:$L,MATCH("all.in.dfv.stl.scr.---",input_data!$A:$A,0))),0),S353)</f>
        <v>0.15525000000000003</v>
      </c>
      <c r="T252" s="388">
        <f>IF(T48&gt;0,IFERROR(IF(INDEX(input_data!$L:$L,MATCH("all.in.mrv.stl.scr.---",input_data!$A:$A,0))=1,((T250-T73*(1-INDEX(input_data!$L:$L,MATCH("all.in.cs2.stl.scr.---",input_data!$A:$A,0))))/T48),INDEX(input_data!$L:$L,MATCH("all.in.dfv.stl.scr.---",input_data!$A:$A,0))),0),T353)</f>
        <v>0.15525</v>
      </c>
      <c r="U252" s="388">
        <f>IF(U48&gt;0,IFERROR(IF(INDEX(input_data!$L:$L,MATCH("all.in.mrv.stl.scr.---",input_data!$A:$A,0))=1,((U250-U73*(1-INDEX(input_data!$L:$L,MATCH("all.in.cs2.stl.scr.---",input_data!$A:$A,0))))/U48),INDEX(input_data!$L:$L,MATCH("all.in.dfv.stl.scr.---",input_data!$A:$A,0))),0),U353)</f>
        <v>0.15525000000000003</v>
      </c>
      <c r="V252" s="388">
        <f>IF(V48&gt;0,IFERROR(IF(INDEX(input_data!$L:$L,MATCH("all.in.mrv.stl.scr.---",input_data!$A:$A,0))=1,((V250-V73*(1-INDEX(input_data!$L:$L,MATCH("all.in.cs2.stl.scr.---",input_data!$A:$A,0))))/V48),INDEX(input_data!$L:$L,MATCH("all.in.dfv.stl.scr.---",input_data!$A:$A,0))),0),V353)</f>
        <v>0.15524999999999997</v>
      </c>
      <c r="W252" s="388">
        <f>IF(W48&gt;0,IFERROR(IF(INDEX(input_data!$L:$L,MATCH("all.in.mrv.stl.scr.---",input_data!$A:$A,0))=1,((W250-W73*(1-INDEX(input_data!$L:$L,MATCH("all.in.cs2.stl.scr.---",input_data!$A:$A,0))))/W48),INDEX(input_data!$L:$L,MATCH("all.in.dfv.stl.scr.---",input_data!$A:$A,0))),0),W353)</f>
        <v>0.15524999999999997</v>
      </c>
      <c r="X252" s="388">
        <f>IF(X48&gt;0,IFERROR(IF(INDEX(input_data!$L:$L,MATCH("all.in.mrv.stl.scr.---",input_data!$A:$A,0))=1,((X250-X73*(1-INDEX(input_data!$L:$L,MATCH("all.in.cs2.stl.scr.---",input_data!$A:$A,0))))/X48),INDEX(input_data!$L:$L,MATCH("all.in.dfv.stl.scr.---",input_data!$A:$A,0))),0),X353)</f>
        <v>0.15525000000000005</v>
      </c>
    </row>
    <row r="253" spans="1:24" ht="15" customHeight="1" x14ac:dyDescent="0.25">
      <c r="A253" s="380" t="str">
        <f>CBAM!$B$5&amp;".cb.obl.stl.scr.---"</f>
        <v>egy.cb.obl.stl.scr.---</v>
      </c>
      <c r="B253" s="380" t="str">
        <f>CBAM!$B$5</f>
        <v>egy</v>
      </c>
      <c r="C253" s="380" t="s">
        <v>1563</v>
      </c>
      <c r="D253" s="380" t="s">
        <v>1571</v>
      </c>
      <c r="E253" s="380" t="s">
        <v>322</v>
      </c>
      <c r="F253" s="380" t="s">
        <v>1361</v>
      </c>
      <c r="G253" s="380" t="s">
        <v>1277</v>
      </c>
      <c r="H253" s="380" t="s">
        <v>1579</v>
      </c>
      <c r="I253" s="380" t="s">
        <v>1573</v>
      </c>
      <c r="J253" s="380" t="s">
        <v>1574</v>
      </c>
      <c r="K253" s="380"/>
      <c r="L253" s="380"/>
      <c r="M253" s="389">
        <f>MAX(M252-INDEX(input_data!$L:$L,MATCH("all.in.bnk.stl.scr.---",input_data!$A:$A,0))*(1-INDEX(input_data!$M:$X,MATCH("all.in.cbf.---.---.---",input_data!$A:$A,0),1)),0)*INDEX(input_data!$M:$X,MATCH("all.in.ets.---.---.---",input_data!$A:$A,0),1)*INDEX(input_data!$M:$X,MATCH("all.in.act.---.---.---",input_data!$A:$A,0),1)*INDEX(input_data!$M:$X,MATCH("all.in.fxr.---.---.---",input_data!$A:$A,0),1)</f>
        <v>0</v>
      </c>
      <c r="N253" s="389">
        <f>MAX(N252-INDEX(input_data!$L:$L,MATCH("all.in.bnk.stl.scr.---",input_data!$A:$A,0))*(1-INDEX(input_data!$M:$X,MATCH("all.in.cbf.---.---.---",input_data!$A:$A,0),2)),0)*INDEX(input_data!$M:$X,MATCH("all.in.ets.---.---.---",input_data!$A:$A,0),2)*INDEX(input_data!$M:$X,MATCH("all.in.act.---.---.---",input_data!$A:$A,0),2)*INDEX(input_data!$M:$X,MATCH("all.in.fxr.---.---.---",input_data!$A:$A,0),2)</f>
        <v>0</v>
      </c>
      <c r="O253" s="389">
        <f>MAX(O252-INDEX(input_data!$L:$L,MATCH("all.in.bnk.stl.scr.---",input_data!$A:$A,0))*(1-INDEX(input_data!$M:$X,MATCH("all.in.cbf.---.---.---",input_data!$A:$A,0),3)),0)*INDEX(input_data!$M:$X,MATCH("all.in.ets.---.---.---",input_data!$A:$A,0),3)*INDEX(input_data!$M:$X,MATCH("all.in.act.---.---.---",input_data!$A:$A,0),3)*INDEX(input_data!$M:$X,MATCH("all.in.fxr.---.---.---",input_data!$A:$A,0),3)</f>
        <v>9.3554999999999975</v>
      </c>
      <c r="P253" s="389">
        <f>MAX(P252-INDEX(input_data!$L:$L,MATCH("all.in.bnk.stl.scr.---",input_data!$A:$A,0))*(1-INDEX(input_data!$M:$X,MATCH("all.in.cbf.---.---.---",input_data!$A:$A,0),4)),0)*INDEX(input_data!$M:$X,MATCH("all.in.ets.---.---.---",input_data!$A:$A,0),4)*INDEX(input_data!$M:$X,MATCH("all.in.act.---.---.---",input_data!$A:$A,0),4)*INDEX(input_data!$M:$X,MATCH("all.in.fxr.---.---.---",input_data!$A:$A,0),4)</f>
        <v>10.031174999999998</v>
      </c>
      <c r="Q253" s="389">
        <f>MAX(Q252-INDEX(input_data!$L:$L,MATCH("all.in.bnk.stl.scr.---",input_data!$A:$A,0))*(1-INDEX(input_data!$M:$X,MATCH("all.in.cbf.---.---.---",input_data!$A:$A,0),5)),0)*INDEX(input_data!$M:$X,MATCH("all.in.ets.---.---.---",input_data!$A:$A,0),5)*INDEX(input_data!$M:$X,MATCH("all.in.act.---.---.---",input_data!$A:$A,0),5)*INDEX(input_data!$M:$X,MATCH("all.in.fxr.---.---.---",input_data!$A:$A,0),5)</f>
        <v>10.944449999999993</v>
      </c>
      <c r="R253" s="389">
        <f>MAX(R252-INDEX(input_data!$L:$L,MATCH("all.in.bnk.stl.scr.---",input_data!$A:$A,0))*(1-INDEX(input_data!$M:$X,MATCH("all.in.cbf.---.---.---",input_data!$A:$A,0),6)),0)*INDEX(input_data!$M:$X,MATCH("all.in.ets.---.---.---",input_data!$A:$A,0),6)*INDEX(input_data!$M:$X,MATCH("all.in.act.---.---.---",input_data!$A:$A,0),6)*INDEX(input_data!$M:$X,MATCH("all.in.fxr.---.---.---",input_data!$A:$A,0),6)</f>
        <v>12.033450000000009</v>
      </c>
      <c r="S253" s="389">
        <f>MAX(S252-INDEX(input_data!$L:$L,MATCH("all.in.bnk.stl.scr.---",input_data!$A:$A,0))*(1-INDEX(input_data!$M:$X,MATCH("all.in.cbf.---.---.---",input_data!$A:$A,0),7)),0)*INDEX(input_data!$M:$X,MATCH("all.in.ets.---.---.---",input_data!$A:$A,0),7)*INDEX(input_data!$M:$X,MATCH("all.in.act.---.---.---",input_data!$A:$A,0),7)*INDEX(input_data!$M:$X,MATCH("all.in.fxr.---.---.---",input_data!$A:$A,0),7)</f>
        <v>14.948505000000004</v>
      </c>
      <c r="T253" s="389">
        <f>MAX(T252-INDEX(input_data!$L:$L,MATCH("all.in.bnk.stl.scr.---",input_data!$A:$A,0))*(1-INDEX(input_data!$M:$X,MATCH("all.in.cbf.---.---.---",input_data!$A:$A,0),8)),0)*INDEX(input_data!$M:$X,MATCH("all.in.ets.---.---.---",input_data!$A:$A,0),8)*INDEX(input_data!$M:$X,MATCH("all.in.act.---.---.---",input_data!$A:$A,0),8)*INDEX(input_data!$M:$X,MATCH("all.in.fxr.---.---.---",input_data!$A:$A,0),8)</f>
        <v>16.786440000000002</v>
      </c>
      <c r="U253" s="389">
        <f>MAX(U252-INDEX(input_data!$L:$L,MATCH("all.in.bnk.stl.scr.---",input_data!$A:$A,0))*(1-INDEX(input_data!$M:$X,MATCH("all.in.cbf.---.---.---",input_data!$A:$A,0),9)),0)*INDEX(input_data!$M:$X,MATCH("all.in.ets.---.---.---",input_data!$A:$A,0),9)*INDEX(input_data!$M:$X,MATCH("all.in.act.---.---.---",input_data!$A:$A,0),9)*INDEX(input_data!$M:$X,MATCH("all.in.fxr.---.---.---",input_data!$A:$A,0),9)</f>
        <v>18.723375000000004</v>
      </c>
      <c r="V253" s="389">
        <f>MAX(V252-INDEX(input_data!$L:$L,MATCH("all.in.bnk.stl.scr.---",input_data!$A:$A,0))*(1-INDEX(input_data!$M:$X,MATCH("all.in.cbf.---.---.---",input_data!$A:$A,0),10)),0)*INDEX(input_data!$M:$X,MATCH("all.in.ets.---.---.---",input_data!$A:$A,0),10)*INDEX(input_data!$M:$X,MATCH("all.in.act.---.---.---",input_data!$A:$A,0),10)*INDEX(input_data!$M:$X,MATCH("all.in.fxr.---.---.---",input_data!$A:$A,0),10)</f>
        <v>20.759309999999996</v>
      </c>
      <c r="W253" s="389">
        <f>MAX(W252-INDEX(input_data!$L:$L,MATCH("all.in.bnk.stl.scr.---",input_data!$A:$A,0))*(1-INDEX(input_data!$M:$X,MATCH("all.in.cbf.---.---.---",input_data!$A:$A,0),11)),0)*INDEX(input_data!$M:$X,MATCH("all.in.ets.---.---.---",input_data!$A:$A,0),11)*INDEX(input_data!$M:$X,MATCH("all.in.act.---.---.---",input_data!$A:$A,0),11)*INDEX(input_data!$M:$X,MATCH("all.in.fxr.---.---.---",input_data!$A:$A,0),11)</f>
        <v>23.054624999999998</v>
      </c>
      <c r="X253" s="389">
        <f>MAX(X252-INDEX(input_data!$L:$L,MATCH("all.in.bnk.stl.scr.---",input_data!$A:$A,0))*(1-INDEX(input_data!$M:$X,MATCH("all.in.cbf.---.---.---",input_data!$A:$A,0),12)),0)*INDEX(input_data!$M:$X,MATCH("all.in.ets.---.---.---",input_data!$A:$A,0),12)*INDEX(input_data!$M:$X,MATCH("all.in.act.---.---.---",input_data!$A:$A,0),12)*INDEX(input_data!$M:$X,MATCH("all.in.fxr.---.---.---",input_data!$A:$A,0),12)</f>
        <v>23.908500000000011</v>
      </c>
    </row>
    <row r="254" spans="1:24" ht="15" customHeight="1" x14ac:dyDescent="0.25">
      <c r="A254" s="380" t="str">
        <f>CBAM!$B$5&amp;".em.nh3.stl.bof.---"</f>
        <v>egy.em.nh3.stl.bof.---</v>
      </c>
      <c r="B254" s="380" t="str">
        <f>CBAM!$B$5</f>
        <v>egy</v>
      </c>
      <c r="C254" s="380" t="s">
        <v>1342</v>
      </c>
      <c r="D254" s="380" t="s">
        <v>1557</v>
      </c>
      <c r="E254" s="380" t="s">
        <v>322</v>
      </c>
      <c r="F254" s="380" t="s">
        <v>1389</v>
      </c>
      <c r="G254" s="380" t="s">
        <v>1277</v>
      </c>
      <c r="H254" s="380" t="s">
        <v>1580</v>
      </c>
      <c r="I254" s="380" t="s">
        <v>1355</v>
      </c>
      <c r="J254" s="380" t="s">
        <v>1559</v>
      </c>
      <c r="K254" s="380"/>
      <c r="L254" s="380"/>
      <c r="M254" s="385">
        <f>INDEX(input_data!$L:$L,MATCH("all.in.nh3.stl.bof.---",input_data!$A:$A,0))*IFERROR((M153+M154+M155+M156)/M132,0)*M76</f>
        <v>0</v>
      </c>
      <c r="N254" s="385">
        <f>INDEX(input_data!$L:$L,MATCH("all.in.nh3.stl.bof.---",input_data!$A:$A,0))*IFERROR((N153+N154+N155+N156)/N132,0)*N76</f>
        <v>0</v>
      </c>
      <c r="O254" s="385">
        <f>INDEX(input_data!$L:$L,MATCH("all.in.nh3.stl.bof.---",input_data!$A:$A,0))*IFERROR((O153+O154+O155+O156)/O132,0)*O76</f>
        <v>0</v>
      </c>
      <c r="P254" s="385">
        <f>INDEX(input_data!$L:$L,MATCH("all.in.nh3.stl.bof.---",input_data!$A:$A,0))*IFERROR((P153+P154+P155+P156)/P132,0)*P76</f>
        <v>0</v>
      </c>
      <c r="Q254" s="385">
        <f>INDEX(input_data!$L:$L,MATCH("all.in.nh3.stl.bof.---",input_data!$A:$A,0))*IFERROR((Q153+Q154+Q155+Q156)/Q132,0)*Q76</f>
        <v>0</v>
      </c>
      <c r="R254" s="385">
        <f>INDEX(input_data!$L:$L,MATCH("all.in.nh3.stl.bof.---",input_data!$A:$A,0))*IFERROR((R153+R154+R155+R156)/R132,0)*R76</f>
        <v>0</v>
      </c>
      <c r="S254" s="385">
        <f>INDEX(input_data!$L:$L,MATCH("all.in.nh3.stl.bof.---",input_data!$A:$A,0))*IFERROR((S153+S154+S155+S156)/S132,0)*S76</f>
        <v>0</v>
      </c>
      <c r="T254" s="385">
        <f>INDEX(input_data!$L:$L,MATCH("all.in.nh3.stl.bof.---",input_data!$A:$A,0))*IFERROR((T153+T154+T155+T156)/T132,0)*T76</f>
        <v>0</v>
      </c>
      <c r="U254" s="385">
        <f>INDEX(input_data!$L:$L,MATCH("all.in.nh3.stl.bof.---",input_data!$A:$A,0))*IFERROR((U153+U154+U155+U156)/U132,0)*U76</f>
        <v>0</v>
      </c>
      <c r="V254" s="385">
        <f>INDEX(input_data!$L:$L,MATCH("all.in.nh3.stl.bof.---",input_data!$A:$A,0))*IFERROR((V153+V154+V155+V156)/V132,0)*V76</f>
        <v>0</v>
      </c>
      <c r="W254" s="385">
        <f>INDEX(input_data!$L:$L,MATCH("all.in.nh3.stl.bof.---",input_data!$A:$A,0))*IFERROR((W153+W154+W155+W156)/W132,0)*W76</f>
        <v>0</v>
      </c>
      <c r="X254" s="385">
        <f>INDEX(input_data!$L:$L,MATCH("all.in.nh3.stl.bof.---",input_data!$A:$A,0))*IFERROR((X153+X154+X155+X156)/X132,0)*X76</f>
        <v>0</v>
      </c>
    </row>
    <row r="255" spans="1:24" ht="15" customHeight="1" x14ac:dyDescent="0.25">
      <c r="A255" s="380" t="str">
        <f>CBAM!$B$5&amp;".em.tot.stl.bof.---"</f>
        <v>egy.em.tot.stl.bof.---</v>
      </c>
      <c r="B255" s="380" t="str">
        <f>CBAM!$B$5</f>
        <v>egy</v>
      </c>
      <c r="C255" s="380" t="s">
        <v>1342</v>
      </c>
      <c r="D255" s="380" t="s">
        <v>1560</v>
      </c>
      <c r="E255" s="380" t="s">
        <v>322</v>
      </c>
      <c r="F255" s="380" t="s">
        <v>1389</v>
      </c>
      <c r="G255" s="380" t="s">
        <v>1277</v>
      </c>
      <c r="H255" s="380" t="s">
        <v>1581</v>
      </c>
      <c r="I255" s="380" t="s">
        <v>1355</v>
      </c>
      <c r="J255" s="380" t="s">
        <v>1562</v>
      </c>
      <c r="K255" s="380"/>
      <c r="L255" s="380"/>
      <c r="M255" s="386">
        <f t="shared" ref="M255:X255" si="21">M97+M98+M99+M100+M101+M254</f>
        <v>0</v>
      </c>
      <c r="N255" s="386">
        <f t="shared" si="21"/>
        <v>0</v>
      </c>
      <c r="O255" s="386">
        <f t="shared" si="21"/>
        <v>0</v>
      </c>
      <c r="P255" s="386">
        <f t="shared" si="21"/>
        <v>0</v>
      </c>
      <c r="Q255" s="386">
        <f t="shared" si="21"/>
        <v>0</v>
      </c>
      <c r="R255" s="386">
        <f t="shared" si="21"/>
        <v>0</v>
      </c>
      <c r="S255" s="386">
        <f t="shared" si="21"/>
        <v>0</v>
      </c>
      <c r="T255" s="386">
        <f t="shared" si="21"/>
        <v>0</v>
      </c>
      <c r="U255" s="386">
        <f t="shared" si="21"/>
        <v>0</v>
      </c>
      <c r="V255" s="386">
        <f t="shared" si="21"/>
        <v>0</v>
      </c>
      <c r="W255" s="386">
        <f t="shared" si="21"/>
        <v>0</v>
      </c>
      <c r="X255" s="386">
        <f t="shared" si="21"/>
        <v>0</v>
      </c>
    </row>
    <row r="256" spans="1:24" ht="15" customHeight="1" x14ac:dyDescent="0.25">
      <c r="A256" s="380" t="str">
        <f>CBAM!$B$5&amp;".cb.int.stl.bof.---"</f>
        <v>egy.cb.int.stl.bof.---</v>
      </c>
      <c r="B256" s="380" t="str">
        <f>CBAM!$B$5</f>
        <v>egy</v>
      </c>
      <c r="C256" s="380" t="s">
        <v>1563</v>
      </c>
      <c r="D256" s="380" t="s">
        <v>1564</v>
      </c>
      <c r="E256" s="380" t="s">
        <v>322</v>
      </c>
      <c r="F256" s="380" t="s">
        <v>1389</v>
      </c>
      <c r="G256" s="380" t="s">
        <v>1277</v>
      </c>
      <c r="H256" s="380" t="s">
        <v>1582</v>
      </c>
      <c r="I256" s="380" t="s">
        <v>1566</v>
      </c>
      <c r="J256" s="380" t="s">
        <v>1567</v>
      </c>
      <c r="K256" s="380"/>
      <c r="L256" s="380"/>
      <c r="M256" s="387">
        <f t="shared" ref="M256:X256" si="22">IF(M76&gt;0,IFERROR(M255/M76,0),M354)</f>
        <v>2.3594999999999997</v>
      </c>
      <c r="N256" s="387">
        <f t="shared" si="22"/>
        <v>2.3594999999999997</v>
      </c>
      <c r="O256" s="387">
        <f t="shared" si="22"/>
        <v>2.3594999999999997</v>
      </c>
      <c r="P256" s="387">
        <f t="shared" si="22"/>
        <v>2.3594999999999997</v>
      </c>
      <c r="Q256" s="387">
        <f t="shared" si="22"/>
        <v>2.3594999999999997</v>
      </c>
      <c r="R256" s="387">
        <f t="shared" si="22"/>
        <v>2.3594999999999997</v>
      </c>
      <c r="S256" s="387">
        <f t="shared" si="22"/>
        <v>2.3594999999999997</v>
      </c>
      <c r="T256" s="387">
        <f t="shared" si="22"/>
        <v>2.3594999999999997</v>
      </c>
      <c r="U256" s="387">
        <f t="shared" si="22"/>
        <v>2.3594999999999997</v>
      </c>
      <c r="V256" s="387">
        <f t="shared" si="22"/>
        <v>2.3594999999999997</v>
      </c>
      <c r="W256" s="387">
        <f t="shared" si="22"/>
        <v>2.3594999999999997</v>
      </c>
      <c r="X256" s="387">
        <f t="shared" si="22"/>
        <v>2.3594999999999997</v>
      </c>
    </row>
    <row r="257" spans="1:24" ht="15" customHeight="1" x14ac:dyDescent="0.25">
      <c r="A257" s="380" t="str">
        <f>CBAM!$B$5&amp;".cb.mrv.stl.bof.---"</f>
        <v>egy.cb.mrv.stl.bof.---</v>
      </c>
      <c r="B257" s="380" t="str">
        <f>CBAM!$B$5</f>
        <v>egy</v>
      </c>
      <c r="C257" s="380" t="s">
        <v>1563</v>
      </c>
      <c r="D257" s="380" t="s">
        <v>1568</v>
      </c>
      <c r="E257" s="380" t="s">
        <v>322</v>
      </c>
      <c r="F257" s="380" t="s">
        <v>1389</v>
      </c>
      <c r="G257" s="380" t="s">
        <v>1277</v>
      </c>
      <c r="H257" s="380" t="s">
        <v>1583</v>
      </c>
      <c r="I257" s="380" t="s">
        <v>1566</v>
      </c>
      <c r="J257" s="380" t="s">
        <v>1570</v>
      </c>
      <c r="K257" s="380"/>
      <c r="L257" s="380"/>
      <c r="M257" s="388">
        <f>IF(M76&gt;0,IFERROR(IF(INDEX(input_data!$L:$L,MATCH("all.in.mrv.stl.bof.---",input_data!$A:$A,0))=1,((M255-M101*(1-INDEX(input_data!$L:$L,MATCH("all.in.cs2.stl.bof.---",input_data!$A:$A,0))))/M76),INDEX(input_data!$L:$L,MATCH("all.in.dfv.stl.bof.---",input_data!$A:$A,0))),0),M355)</f>
        <v>2.1719999999999997</v>
      </c>
      <c r="N257" s="388">
        <f>IF(N76&gt;0,IFERROR(IF(INDEX(input_data!$L:$L,MATCH("all.in.mrv.stl.bof.---",input_data!$A:$A,0))=1,((N255-N101*(1-INDEX(input_data!$L:$L,MATCH("all.in.cs2.stl.bof.---",input_data!$A:$A,0))))/N76),INDEX(input_data!$L:$L,MATCH("all.in.dfv.stl.bof.---",input_data!$A:$A,0))),0),N355)</f>
        <v>2.1719999999999997</v>
      </c>
      <c r="O257" s="388">
        <f>IF(O76&gt;0,IFERROR(IF(INDEX(input_data!$L:$L,MATCH("all.in.mrv.stl.bof.---",input_data!$A:$A,0))=1,((O255-O101*(1-INDEX(input_data!$L:$L,MATCH("all.in.cs2.stl.bof.---",input_data!$A:$A,0))))/O76),INDEX(input_data!$L:$L,MATCH("all.in.dfv.stl.bof.---",input_data!$A:$A,0))),0),O355)</f>
        <v>2.1719999999999997</v>
      </c>
      <c r="P257" s="388">
        <f>IF(P76&gt;0,IFERROR(IF(INDEX(input_data!$L:$L,MATCH("all.in.mrv.stl.bof.---",input_data!$A:$A,0))=1,((P255-P101*(1-INDEX(input_data!$L:$L,MATCH("all.in.cs2.stl.bof.---",input_data!$A:$A,0))))/P76),INDEX(input_data!$L:$L,MATCH("all.in.dfv.stl.bof.---",input_data!$A:$A,0))),0),P355)</f>
        <v>2.1719999999999997</v>
      </c>
      <c r="Q257" s="388">
        <f>IF(Q76&gt;0,IFERROR(IF(INDEX(input_data!$L:$L,MATCH("all.in.mrv.stl.bof.---",input_data!$A:$A,0))=1,((Q255-Q101*(1-INDEX(input_data!$L:$L,MATCH("all.in.cs2.stl.bof.---",input_data!$A:$A,0))))/Q76),INDEX(input_data!$L:$L,MATCH("all.in.dfv.stl.bof.---",input_data!$A:$A,0))),0),Q355)</f>
        <v>2.1719999999999997</v>
      </c>
      <c r="R257" s="388">
        <f>IF(R76&gt;0,IFERROR(IF(INDEX(input_data!$L:$L,MATCH("all.in.mrv.stl.bof.---",input_data!$A:$A,0))=1,((R255-R101*(1-INDEX(input_data!$L:$L,MATCH("all.in.cs2.stl.bof.---",input_data!$A:$A,0))))/R76),INDEX(input_data!$L:$L,MATCH("all.in.dfv.stl.bof.---",input_data!$A:$A,0))),0),R355)</f>
        <v>2.1719999999999997</v>
      </c>
      <c r="S257" s="388">
        <f>IF(S76&gt;0,IFERROR(IF(INDEX(input_data!$L:$L,MATCH("all.in.mrv.stl.bof.---",input_data!$A:$A,0))=1,((S255-S101*(1-INDEX(input_data!$L:$L,MATCH("all.in.cs2.stl.bof.---",input_data!$A:$A,0))))/S76),INDEX(input_data!$L:$L,MATCH("all.in.dfv.stl.bof.---",input_data!$A:$A,0))),0),S355)</f>
        <v>2.1719999999999997</v>
      </c>
      <c r="T257" s="388">
        <f>IF(T76&gt;0,IFERROR(IF(INDEX(input_data!$L:$L,MATCH("all.in.mrv.stl.bof.---",input_data!$A:$A,0))=1,((T255-T101*(1-INDEX(input_data!$L:$L,MATCH("all.in.cs2.stl.bof.---",input_data!$A:$A,0))))/T76),INDEX(input_data!$L:$L,MATCH("all.in.dfv.stl.bof.---",input_data!$A:$A,0))),0),T355)</f>
        <v>2.1719999999999997</v>
      </c>
      <c r="U257" s="388">
        <f>IF(U76&gt;0,IFERROR(IF(INDEX(input_data!$L:$L,MATCH("all.in.mrv.stl.bof.---",input_data!$A:$A,0))=1,((U255-U101*(1-INDEX(input_data!$L:$L,MATCH("all.in.cs2.stl.bof.---",input_data!$A:$A,0))))/U76),INDEX(input_data!$L:$L,MATCH("all.in.dfv.stl.bof.---",input_data!$A:$A,0))),0),U355)</f>
        <v>2.1719999999999997</v>
      </c>
      <c r="V257" s="388">
        <f>IF(V76&gt;0,IFERROR(IF(INDEX(input_data!$L:$L,MATCH("all.in.mrv.stl.bof.---",input_data!$A:$A,0))=1,((V255-V101*(1-INDEX(input_data!$L:$L,MATCH("all.in.cs2.stl.bof.---",input_data!$A:$A,0))))/V76),INDEX(input_data!$L:$L,MATCH("all.in.dfv.stl.bof.---",input_data!$A:$A,0))),0),V355)</f>
        <v>2.1719999999999997</v>
      </c>
      <c r="W257" s="388">
        <f>IF(W76&gt;0,IFERROR(IF(INDEX(input_data!$L:$L,MATCH("all.in.mrv.stl.bof.---",input_data!$A:$A,0))=1,((W255-W101*(1-INDEX(input_data!$L:$L,MATCH("all.in.cs2.stl.bof.---",input_data!$A:$A,0))))/W76),INDEX(input_data!$L:$L,MATCH("all.in.dfv.stl.bof.---",input_data!$A:$A,0))),0),W355)</f>
        <v>2.1719999999999997</v>
      </c>
      <c r="X257" s="388">
        <f>IF(X76&gt;0,IFERROR(IF(INDEX(input_data!$L:$L,MATCH("all.in.mrv.stl.bof.---",input_data!$A:$A,0))=1,((X255-X101*(1-INDEX(input_data!$L:$L,MATCH("all.in.cs2.stl.bof.---",input_data!$A:$A,0))))/X76),INDEX(input_data!$L:$L,MATCH("all.in.dfv.stl.bof.---",input_data!$A:$A,0))),0),X355)</f>
        <v>2.1719999999999997</v>
      </c>
    </row>
    <row r="258" spans="1:24" ht="15" customHeight="1" x14ac:dyDescent="0.25">
      <c r="A258" s="380" t="str">
        <f>CBAM!$B$5&amp;".cb.obl.stl.bof.---"</f>
        <v>egy.cb.obl.stl.bof.---</v>
      </c>
      <c r="B258" s="380" t="str">
        <f>CBAM!$B$5</f>
        <v>egy</v>
      </c>
      <c r="C258" s="380" t="s">
        <v>1563</v>
      </c>
      <c r="D258" s="380" t="s">
        <v>1571</v>
      </c>
      <c r="E258" s="380" t="s">
        <v>322</v>
      </c>
      <c r="F258" s="380" t="s">
        <v>1389</v>
      </c>
      <c r="G258" s="380" t="s">
        <v>1277</v>
      </c>
      <c r="H258" s="380" t="s">
        <v>1584</v>
      </c>
      <c r="I258" s="380" t="s">
        <v>1573</v>
      </c>
      <c r="J258" s="380" t="s">
        <v>1574</v>
      </c>
      <c r="K258" s="380"/>
      <c r="L258" s="380"/>
      <c r="M258" s="389">
        <f>MAX(M257-INDEX(input_data!$L:$L,MATCH("all.in.bnk.stl.bof.---",input_data!$A:$A,0))*(1-INDEX(input_data!$M:$X,MATCH("all.in.cbf.---.---.---",input_data!$A:$A,0),1)),0)*INDEX(input_data!$M:$X,MATCH("all.in.ets.---.---.---",input_data!$A:$A,0),1)*INDEX(input_data!$M:$X,MATCH("all.in.act.---.---.---",input_data!$A:$A,0),1)*INDEX(input_data!$M:$X,MATCH("all.in.fxr.---.---.---",input_data!$A:$A,0),1)</f>
        <v>0</v>
      </c>
      <c r="N258" s="389">
        <f>MAX(N257-INDEX(input_data!$L:$L,MATCH("all.in.bnk.stl.bof.---",input_data!$A:$A,0))*(1-INDEX(input_data!$M:$X,MATCH("all.in.cbf.---.---.---",input_data!$A:$A,0),2)),0)*INDEX(input_data!$M:$X,MATCH("all.in.ets.---.---.---",input_data!$A:$A,0),2)*INDEX(input_data!$M:$X,MATCH("all.in.act.---.---.---",input_data!$A:$A,0),2)*INDEX(input_data!$M:$X,MATCH("all.in.fxr.---.---.---",input_data!$A:$A,0),2)</f>
        <v>0</v>
      </c>
      <c r="O258" s="389">
        <f>MAX(O257-INDEX(input_data!$L:$L,MATCH("all.in.bnk.stl.bof.---",input_data!$A:$A,0))*(1-INDEX(input_data!$M:$X,MATCH("all.in.cbf.---.---.---",input_data!$A:$A,0),3)),0)*INDEX(input_data!$M:$X,MATCH("all.in.ets.---.---.---",input_data!$A:$A,0),3)*INDEX(input_data!$M:$X,MATCH("all.in.act.---.---.---",input_data!$A:$A,0),3)*INDEX(input_data!$M:$X,MATCH("all.in.fxr.---.---.---",input_data!$A:$A,0),3)</f>
        <v>91.987499999999983</v>
      </c>
      <c r="P258" s="389">
        <f>MAX(P257-INDEX(input_data!$L:$L,MATCH("all.in.bnk.stl.bof.---",input_data!$A:$A,0))*(1-INDEX(input_data!$M:$X,MATCH("all.in.cbf.---.---.---",input_data!$A:$A,0),4)),0)*INDEX(input_data!$M:$X,MATCH("all.in.ets.---.---.---",input_data!$A:$A,0),4)*INDEX(input_data!$M:$X,MATCH("all.in.act.---.---.---",input_data!$A:$A,0),4)*INDEX(input_data!$M:$X,MATCH("all.in.fxr.---.---.---",input_data!$A:$A,0),4)</f>
        <v>100.54274999999997</v>
      </c>
      <c r="Q258" s="389">
        <f>MAX(Q257-INDEX(input_data!$L:$L,MATCH("all.in.bnk.stl.bof.---",input_data!$A:$A,0))*(1-INDEX(input_data!$M:$X,MATCH("all.in.cbf.---.---.---",input_data!$A:$A,0),5)),0)*INDEX(input_data!$M:$X,MATCH("all.in.ets.---.---.---",input_data!$A:$A,0),5)*INDEX(input_data!$M:$X,MATCH("all.in.act.---.---.---",input_data!$A:$A,0),5)*INDEX(input_data!$M:$X,MATCH("all.in.fxr.---.---.---",input_data!$A:$A,0),5)</f>
        <v>113.61899999999997</v>
      </c>
      <c r="R258" s="389">
        <f>MAX(R257-INDEX(input_data!$L:$L,MATCH("all.in.bnk.stl.bof.---",input_data!$A:$A,0))*(1-INDEX(input_data!$M:$X,MATCH("all.in.cbf.---.---.---",input_data!$A:$A,0),6)),0)*INDEX(input_data!$M:$X,MATCH("all.in.ets.---.---.---",input_data!$A:$A,0),6)*INDEX(input_data!$M:$X,MATCH("all.in.act.---.---.---",input_data!$A:$A,0),6)*INDEX(input_data!$M:$X,MATCH("all.in.fxr.---.---.---",input_data!$A:$A,0),6)</f>
        <v>134.34024999999994</v>
      </c>
      <c r="S258" s="389">
        <f>MAX(S257-INDEX(input_data!$L:$L,MATCH("all.in.bnk.stl.bof.---",input_data!$A:$A,0))*(1-INDEX(input_data!$M:$X,MATCH("all.in.cbf.---.---.---",input_data!$A:$A,0),7)),0)*INDEX(input_data!$M:$X,MATCH("all.in.ets.---.---.---",input_data!$A:$A,0),7)*INDEX(input_data!$M:$X,MATCH("all.in.act.---.---.---",input_data!$A:$A,0),7)*INDEX(input_data!$M:$X,MATCH("all.in.fxr.---.---.---",input_data!$A:$A,0),7)</f>
        <v>185.50592499999996</v>
      </c>
      <c r="T258" s="389">
        <f>MAX(T257-INDEX(input_data!$L:$L,MATCH("all.in.bnk.stl.bof.---",input_data!$A:$A,0))*(1-INDEX(input_data!$M:$X,MATCH("all.in.cbf.---.---.---",input_data!$A:$A,0),8)),0)*INDEX(input_data!$M:$X,MATCH("all.in.ets.---.---.---",input_data!$A:$A,0),8)*INDEX(input_data!$M:$X,MATCH("all.in.act.---.---.---",input_data!$A:$A,0),8)*INDEX(input_data!$M:$X,MATCH("all.in.fxr.---.---.---",input_data!$A:$A,0),8)</f>
        <v>216.1764</v>
      </c>
      <c r="U258" s="389">
        <f>MAX(U257-INDEX(input_data!$L:$L,MATCH("all.in.bnk.stl.bof.---",input_data!$A:$A,0))*(1-INDEX(input_data!$M:$X,MATCH("all.in.cbf.---.---.---",input_data!$A:$A,0),9)),0)*INDEX(input_data!$M:$X,MATCH("all.in.ets.---.---.---",input_data!$A:$A,0),9)*INDEX(input_data!$M:$X,MATCH("all.in.act.---.---.---",input_data!$A:$A,0),9)*INDEX(input_data!$M:$X,MATCH("all.in.fxr.---.---.---",input_data!$A:$A,0),9)</f>
        <v>248.73062499999997</v>
      </c>
      <c r="V258" s="389">
        <f>MAX(V257-INDEX(input_data!$L:$L,MATCH("all.in.bnk.stl.bof.---",input_data!$A:$A,0))*(1-INDEX(input_data!$M:$X,MATCH("all.in.cbf.---.---.---",input_data!$A:$A,0),10)),0)*INDEX(input_data!$M:$X,MATCH("all.in.ets.---.---.---",input_data!$A:$A,0),10)*INDEX(input_data!$M:$X,MATCH("all.in.act.---.---.---",input_data!$A:$A,0),10)*INDEX(input_data!$M:$X,MATCH("all.in.fxr.---.---.---",input_data!$A:$A,0),10)</f>
        <v>283.16860000000003</v>
      </c>
      <c r="W258" s="389">
        <f>MAX(W257-INDEX(input_data!$L:$L,MATCH("all.in.bnk.stl.bof.---",input_data!$A:$A,0))*(1-INDEX(input_data!$M:$X,MATCH("all.in.cbf.---.---.---",input_data!$A:$A,0),11)),0)*INDEX(input_data!$M:$X,MATCH("all.in.ets.---.---.---",input_data!$A:$A,0),11)*INDEX(input_data!$M:$X,MATCH("all.in.act.---.---.---",input_data!$A:$A,0),11)*INDEX(input_data!$M:$X,MATCH("all.in.fxr.---.---.---",input_data!$A:$A,0),11)</f>
        <v>322.54199999999997</v>
      </c>
      <c r="X258" s="389">
        <f>MAX(X257-INDEX(input_data!$L:$L,MATCH("all.in.bnk.stl.bof.---",input_data!$A:$A,0))*(1-INDEX(input_data!$M:$X,MATCH("all.in.cbf.---.---.---",input_data!$A:$A,0),12)),0)*INDEX(input_data!$M:$X,MATCH("all.in.ets.---.---.---",input_data!$A:$A,0),12)*INDEX(input_data!$M:$X,MATCH("all.in.act.---.---.---",input_data!$A:$A,0),12)*INDEX(input_data!$M:$X,MATCH("all.in.fxr.---.---.---",input_data!$A:$A,0),12)</f>
        <v>334.488</v>
      </c>
    </row>
    <row r="259" spans="1:24" ht="15" customHeight="1" x14ac:dyDescent="0.25">
      <c r="A259" s="380" t="str">
        <f>CBAM!$B$5&amp;".em.nh3.cmt.dry.---"</f>
        <v>egy.em.nh3.cmt.dry.---</v>
      </c>
      <c r="B259" s="380" t="str">
        <f>CBAM!$B$5</f>
        <v>egy</v>
      </c>
      <c r="C259" s="380" t="s">
        <v>1342</v>
      </c>
      <c r="D259" s="380" t="s">
        <v>1557</v>
      </c>
      <c r="E259" s="380" t="s">
        <v>327</v>
      </c>
      <c r="F259" s="380" t="s">
        <v>1417</v>
      </c>
      <c r="G259" s="380" t="s">
        <v>1277</v>
      </c>
      <c r="H259" s="380" t="s">
        <v>1585</v>
      </c>
      <c r="I259" s="380" t="s">
        <v>1355</v>
      </c>
      <c r="J259" s="380" t="s">
        <v>1559</v>
      </c>
      <c r="K259" s="380"/>
      <c r="L259" s="380"/>
      <c r="M259" s="385">
        <f>INDEX(input_data!$L:$L,MATCH("all.in.nh3.cmt.dry.---",input_data!$A:$A,0))*IFERROR((M153+M154+M155+M156)/M132,0)*M104</f>
        <v>0</v>
      </c>
      <c r="N259" s="385">
        <f>INDEX(input_data!$L:$L,MATCH("all.in.nh3.cmt.dry.---",input_data!$A:$A,0))*IFERROR((N153+N154+N155+N156)/N132,0)*N104</f>
        <v>0</v>
      </c>
      <c r="O259" s="385">
        <f>INDEX(input_data!$L:$L,MATCH("all.in.nh3.cmt.dry.---",input_data!$A:$A,0))*IFERROR((O153+O154+O155+O156)/O132,0)*O104</f>
        <v>0</v>
      </c>
      <c r="P259" s="385">
        <f>INDEX(input_data!$L:$L,MATCH("all.in.nh3.cmt.dry.---",input_data!$A:$A,0))*IFERROR((P153+P154+P155+P156)/P132,0)*P104</f>
        <v>0</v>
      </c>
      <c r="Q259" s="385">
        <f>INDEX(input_data!$L:$L,MATCH("all.in.nh3.cmt.dry.---",input_data!$A:$A,0))*IFERROR((Q153+Q154+Q155+Q156)/Q132,0)*Q104</f>
        <v>0</v>
      </c>
      <c r="R259" s="385">
        <f>INDEX(input_data!$L:$L,MATCH("all.in.nh3.cmt.dry.---",input_data!$A:$A,0))*IFERROR((R153+R154+R155+R156)/R132,0)*R104</f>
        <v>0</v>
      </c>
      <c r="S259" s="385">
        <f>INDEX(input_data!$L:$L,MATCH("all.in.nh3.cmt.dry.---",input_data!$A:$A,0))*IFERROR((S153+S154+S155+S156)/S132,0)*S104</f>
        <v>0</v>
      </c>
      <c r="T259" s="385">
        <f>INDEX(input_data!$L:$L,MATCH("all.in.nh3.cmt.dry.---",input_data!$A:$A,0))*IFERROR((T153+T154+T155+T156)/T132,0)*T104</f>
        <v>0</v>
      </c>
      <c r="U259" s="385">
        <f>INDEX(input_data!$L:$L,MATCH("all.in.nh3.cmt.dry.---",input_data!$A:$A,0))*IFERROR((U153+U154+U155+U156)/U132,0)*U104</f>
        <v>0</v>
      </c>
      <c r="V259" s="385">
        <f>INDEX(input_data!$L:$L,MATCH("all.in.nh3.cmt.dry.---",input_data!$A:$A,0))*IFERROR((V153+V154+V155+V156)/V132,0)*V104</f>
        <v>0</v>
      </c>
      <c r="W259" s="385">
        <f>INDEX(input_data!$L:$L,MATCH("all.in.nh3.cmt.dry.---",input_data!$A:$A,0))*IFERROR((W153+W154+W155+W156)/W132,0)*W104</f>
        <v>0</v>
      </c>
      <c r="X259" s="385">
        <f>INDEX(input_data!$L:$L,MATCH("all.in.nh3.cmt.dry.---",input_data!$A:$A,0))*IFERROR((X153+X154+X155+X156)/X132,0)*X104</f>
        <v>0</v>
      </c>
    </row>
    <row r="260" spans="1:24" ht="15" customHeight="1" x14ac:dyDescent="0.25">
      <c r="A260" s="380" t="str">
        <f>CBAM!$B$5&amp;".em.tot.cmt.dry.---"</f>
        <v>egy.em.tot.cmt.dry.---</v>
      </c>
      <c r="B260" s="380" t="str">
        <f>CBAM!$B$5</f>
        <v>egy</v>
      </c>
      <c r="C260" s="380" t="s">
        <v>1342</v>
      </c>
      <c r="D260" s="380" t="s">
        <v>1560</v>
      </c>
      <c r="E260" s="380" t="s">
        <v>327</v>
      </c>
      <c r="F260" s="380" t="s">
        <v>1417</v>
      </c>
      <c r="G260" s="380" t="s">
        <v>1277</v>
      </c>
      <c r="H260" s="380" t="s">
        <v>1586</v>
      </c>
      <c r="I260" s="380" t="s">
        <v>1355</v>
      </c>
      <c r="J260" s="380" t="s">
        <v>1562</v>
      </c>
      <c r="K260" s="380"/>
      <c r="L260" s="380"/>
      <c r="M260" s="386">
        <f t="shared" ref="M260:X260" si="23">M125+M126+M127+M128+M129+M259</f>
        <v>43.902500000000003</v>
      </c>
      <c r="N260" s="386">
        <f t="shared" si="23"/>
        <v>46.004229268159861</v>
      </c>
      <c r="O260" s="386">
        <f t="shared" si="23"/>
        <v>48.206475920768675</v>
      </c>
      <c r="P260" s="386">
        <f t="shared" si="23"/>
        <v>50.514042318371409</v>
      </c>
      <c r="Q260" s="386">
        <f t="shared" si="23"/>
        <v>52.931960006938134</v>
      </c>
      <c r="R260" s="386">
        <f t="shared" si="23"/>
        <v>55.465500642428779</v>
      </c>
      <c r="S260" s="386">
        <f t="shared" si="23"/>
        <v>58.120187435436314</v>
      </c>
      <c r="T260" s="386">
        <f t="shared" si="23"/>
        <v>60.901807140633352</v>
      </c>
      <c r="U260" s="386">
        <f t="shared" si="23"/>
        <v>63.816422616921457</v>
      </c>
      <c r="V260" s="386">
        <f t="shared" si="23"/>
        <v>66.870385985410863</v>
      </c>
      <c r="W260" s="386">
        <f t="shared" si="23"/>
        <v>70.070352413647029</v>
      </c>
      <c r="X260" s="386">
        <f t="shared" si="23"/>
        <v>73.423294555848287</v>
      </c>
    </row>
    <row r="261" spans="1:24" ht="15" customHeight="1" x14ac:dyDescent="0.25">
      <c r="A261" s="380" t="str">
        <f>CBAM!$B$5&amp;".cb.int.cmt.dry.---"</f>
        <v>egy.cb.int.cmt.dry.---</v>
      </c>
      <c r="B261" s="380" t="str">
        <f>CBAM!$B$5</f>
        <v>egy</v>
      </c>
      <c r="C261" s="380" t="s">
        <v>1563</v>
      </c>
      <c r="D261" s="380" t="s">
        <v>1564</v>
      </c>
      <c r="E261" s="380" t="s">
        <v>327</v>
      </c>
      <c r="F261" s="380" t="s">
        <v>1417</v>
      </c>
      <c r="G261" s="380" t="s">
        <v>1277</v>
      </c>
      <c r="H261" s="380" t="s">
        <v>1587</v>
      </c>
      <c r="I261" s="380" t="s">
        <v>1566</v>
      </c>
      <c r="J261" s="380" t="s">
        <v>1567</v>
      </c>
      <c r="K261" s="380"/>
      <c r="L261" s="380"/>
      <c r="M261" s="387">
        <f t="shared" ref="M261:X261" si="24">IF(M104&gt;0,IFERROR(M260/M104,0),M356)</f>
        <v>0.87805000000000011</v>
      </c>
      <c r="N261" s="387">
        <f t="shared" si="24"/>
        <v>0.87679999999999991</v>
      </c>
      <c r="O261" s="387">
        <f t="shared" si="24"/>
        <v>0.87555000000000005</v>
      </c>
      <c r="P261" s="387">
        <f t="shared" si="24"/>
        <v>0.87429999999999997</v>
      </c>
      <c r="Q261" s="387">
        <f t="shared" si="24"/>
        <v>0.87304999999999988</v>
      </c>
      <c r="R261" s="387">
        <f t="shared" si="24"/>
        <v>0.87179999999999991</v>
      </c>
      <c r="S261" s="387">
        <f t="shared" si="24"/>
        <v>0.87055000000000005</v>
      </c>
      <c r="T261" s="387">
        <f t="shared" si="24"/>
        <v>0.86930000000000007</v>
      </c>
      <c r="U261" s="387">
        <f t="shared" si="24"/>
        <v>0.8680500000000001</v>
      </c>
      <c r="V261" s="387">
        <f t="shared" si="24"/>
        <v>0.86680000000000013</v>
      </c>
      <c r="W261" s="387">
        <f t="shared" si="24"/>
        <v>0.86555000000000004</v>
      </c>
      <c r="X261" s="387">
        <f t="shared" si="24"/>
        <v>0.86430000000000007</v>
      </c>
    </row>
    <row r="262" spans="1:24" ht="15" customHeight="1" x14ac:dyDescent="0.25">
      <c r="A262" s="380" t="str">
        <f>CBAM!$B$5&amp;".cb.mrv.cmt.dry.---"</f>
        <v>egy.cb.mrv.cmt.dry.---</v>
      </c>
      <c r="B262" s="380" t="str">
        <f>CBAM!$B$5</f>
        <v>egy</v>
      </c>
      <c r="C262" s="380" t="s">
        <v>1563</v>
      </c>
      <c r="D262" s="380" t="s">
        <v>1568</v>
      </c>
      <c r="E262" s="380" t="s">
        <v>327</v>
      </c>
      <c r="F262" s="380" t="s">
        <v>1417</v>
      </c>
      <c r="G262" s="380" t="s">
        <v>1277</v>
      </c>
      <c r="H262" s="380" t="s">
        <v>1588</v>
      </c>
      <c r="I262" s="380" t="s">
        <v>1566</v>
      </c>
      <c r="J262" s="380" t="s">
        <v>1570</v>
      </c>
      <c r="K262" s="380"/>
      <c r="L262" s="380"/>
      <c r="M262" s="388">
        <f>IF(M104&gt;0,IFERROR(IF(INDEX(input_data!$L:$L,MATCH("all.in.mrv.cmt.dry.---",input_data!$A:$A,0))=1,((M260-M129*(1-INDEX(input_data!$L:$L,MATCH("all.in.cs2.cmt.dry.---",input_data!$A:$A,0))))/M104),INDEX(input_data!$L:$L,MATCH("all.in.dfv.cmt.dry.---",input_data!$A:$A,0))),0),M357)</f>
        <v>0.87805000000000011</v>
      </c>
      <c r="N262" s="388">
        <f>IF(N104&gt;0,IFERROR(IF(INDEX(input_data!$L:$L,MATCH("all.in.mrv.cmt.dry.---",input_data!$A:$A,0))=1,((N260-N129*(1-INDEX(input_data!$L:$L,MATCH("all.in.cs2.cmt.dry.---",input_data!$A:$A,0))))/N104),INDEX(input_data!$L:$L,MATCH("all.in.dfv.cmt.dry.---",input_data!$A:$A,0))),0),N357)</f>
        <v>0.87679999999999991</v>
      </c>
      <c r="O262" s="388">
        <f>IF(O104&gt;0,IFERROR(IF(INDEX(input_data!$L:$L,MATCH("all.in.mrv.cmt.dry.---",input_data!$A:$A,0))=1,((O260-O129*(1-INDEX(input_data!$L:$L,MATCH("all.in.cs2.cmt.dry.---",input_data!$A:$A,0))))/O104),INDEX(input_data!$L:$L,MATCH("all.in.dfv.cmt.dry.---",input_data!$A:$A,0))),0),O357)</f>
        <v>0.87555000000000005</v>
      </c>
      <c r="P262" s="388">
        <f>IF(P104&gt;0,IFERROR(IF(INDEX(input_data!$L:$L,MATCH("all.in.mrv.cmt.dry.---",input_data!$A:$A,0))=1,((P260-P129*(1-INDEX(input_data!$L:$L,MATCH("all.in.cs2.cmt.dry.---",input_data!$A:$A,0))))/P104),INDEX(input_data!$L:$L,MATCH("all.in.dfv.cmt.dry.---",input_data!$A:$A,0))),0),P357)</f>
        <v>0.87429999999999997</v>
      </c>
      <c r="Q262" s="388">
        <f>IF(Q104&gt;0,IFERROR(IF(INDEX(input_data!$L:$L,MATCH("all.in.mrv.cmt.dry.---",input_data!$A:$A,0))=1,((Q260-Q129*(1-INDEX(input_data!$L:$L,MATCH("all.in.cs2.cmt.dry.---",input_data!$A:$A,0))))/Q104),INDEX(input_data!$L:$L,MATCH("all.in.dfv.cmt.dry.---",input_data!$A:$A,0))),0),Q357)</f>
        <v>0.87304999999999988</v>
      </c>
      <c r="R262" s="388">
        <f>IF(R104&gt;0,IFERROR(IF(INDEX(input_data!$L:$L,MATCH("all.in.mrv.cmt.dry.---",input_data!$A:$A,0))=1,((R260-R129*(1-INDEX(input_data!$L:$L,MATCH("all.in.cs2.cmt.dry.---",input_data!$A:$A,0))))/R104),INDEX(input_data!$L:$L,MATCH("all.in.dfv.cmt.dry.---",input_data!$A:$A,0))),0),R357)</f>
        <v>0.87179999999999991</v>
      </c>
      <c r="S262" s="388">
        <f>IF(S104&gt;0,IFERROR(IF(INDEX(input_data!$L:$L,MATCH("all.in.mrv.cmt.dry.---",input_data!$A:$A,0))=1,((S260-S129*(1-INDEX(input_data!$L:$L,MATCH("all.in.cs2.cmt.dry.---",input_data!$A:$A,0))))/S104),INDEX(input_data!$L:$L,MATCH("all.in.dfv.cmt.dry.---",input_data!$A:$A,0))),0),S357)</f>
        <v>0.87055000000000005</v>
      </c>
      <c r="T262" s="388">
        <f>IF(T104&gt;0,IFERROR(IF(INDEX(input_data!$L:$L,MATCH("all.in.mrv.cmt.dry.---",input_data!$A:$A,0))=1,((T260-T129*(1-INDEX(input_data!$L:$L,MATCH("all.in.cs2.cmt.dry.---",input_data!$A:$A,0))))/T104),INDEX(input_data!$L:$L,MATCH("all.in.dfv.cmt.dry.---",input_data!$A:$A,0))),0),T357)</f>
        <v>0.86930000000000007</v>
      </c>
      <c r="U262" s="388">
        <f>IF(U104&gt;0,IFERROR(IF(INDEX(input_data!$L:$L,MATCH("all.in.mrv.cmt.dry.---",input_data!$A:$A,0))=1,((U260-U129*(1-INDEX(input_data!$L:$L,MATCH("all.in.cs2.cmt.dry.---",input_data!$A:$A,0))))/U104),INDEX(input_data!$L:$L,MATCH("all.in.dfv.cmt.dry.---",input_data!$A:$A,0))),0),U357)</f>
        <v>0.8680500000000001</v>
      </c>
      <c r="V262" s="388">
        <f>IF(V104&gt;0,IFERROR(IF(INDEX(input_data!$L:$L,MATCH("all.in.mrv.cmt.dry.---",input_data!$A:$A,0))=1,((V260-V129*(1-INDEX(input_data!$L:$L,MATCH("all.in.cs2.cmt.dry.---",input_data!$A:$A,0))))/V104),INDEX(input_data!$L:$L,MATCH("all.in.dfv.cmt.dry.---",input_data!$A:$A,0))),0),V357)</f>
        <v>0.86680000000000013</v>
      </c>
      <c r="W262" s="388">
        <f>IF(W104&gt;0,IFERROR(IF(INDEX(input_data!$L:$L,MATCH("all.in.mrv.cmt.dry.---",input_data!$A:$A,0))=1,((W260-W129*(1-INDEX(input_data!$L:$L,MATCH("all.in.cs2.cmt.dry.---",input_data!$A:$A,0))))/W104),INDEX(input_data!$L:$L,MATCH("all.in.dfv.cmt.dry.---",input_data!$A:$A,0))),0),W357)</f>
        <v>0.86555000000000004</v>
      </c>
      <c r="X262" s="388">
        <f>IF(X104&gt;0,IFERROR(IF(INDEX(input_data!$L:$L,MATCH("all.in.mrv.cmt.dry.---",input_data!$A:$A,0))=1,((X260-X129*(1-INDEX(input_data!$L:$L,MATCH("all.in.cs2.cmt.dry.---",input_data!$A:$A,0))))/X104),INDEX(input_data!$L:$L,MATCH("all.in.dfv.cmt.dry.---",input_data!$A:$A,0))),0),X357)</f>
        <v>0.86430000000000007</v>
      </c>
    </row>
    <row r="263" spans="1:24" ht="15" customHeight="1" x14ac:dyDescent="0.25">
      <c r="A263" s="380" t="str">
        <f>CBAM!$B$5&amp;".cb.obl.cmt.dry.---"</f>
        <v>egy.cb.obl.cmt.dry.---</v>
      </c>
      <c r="B263" s="380" t="str">
        <f>CBAM!$B$5</f>
        <v>egy</v>
      </c>
      <c r="C263" s="380" t="s">
        <v>1563</v>
      </c>
      <c r="D263" s="380" t="s">
        <v>1571</v>
      </c>
      <c r="E263" s="380" t="s">
        <v>327</v>
      </c>
      <c r="F263" s="380" t="s">
        <v>1417</v>
      </c>
      <c r="G263" s="380" t="s">
        <v>1277</v>
      </c>
      <c r="H263" s="380" t="s">
        <v>1589</v>
      </c>
      <c r="I263" s="380" t="s">
        <v>1573</v>
      </c>
      <c r="J263" s="380" t="s">
        <v>1574</v>
      </c>
      <c r="K263" s="380"/>
      <c r="L263" s="380"/>
      <c r="M263" s="389">
        <f>MAX(M262-INDEX(input_data!$L:$L,MATCH("all.in.bnk.cmt.dry.---",input_data!$A:$A,0))*(1-INDEX(input_data!$M:$X,MATCH("all.in.cbf.---.---.---",input_data!$A:$A,0),1)),0)*INDEX(input_data!$M:$X,MATCH("all.in.ets.---.---.---",input_data!$A:$A,0),1)*INDEX(input_data!$M:$X,MATCH("all.in.act.---.---.---",input_data!$A:$A,0),1)*INDEX(input_data!$M:$X,MATCH("all.in.fxr.---.---.---",input_data!$A:$A,0),1)</f>
        <v>0</v>
      </c>
      <c r="N263" s="389">
        <f>MAX(N262-INDEX(input_data!$L:$L,MATCH("all.in.bnk.cmt.dry.---",input_data!$A:$A,0))*(1-INDEX(input_data!$M:$X,MATCH("all.in.cbf.---.---.---",input_data!$A:$A,0),2)),0)*INDEX(input_data!$M:$X,MATCH("all.in.ets.---.---.---",input_data!$A:$A,0),2)*INDEX(input_data!$M:$X,MATCH("all.in.act.---.---.---",input_data!$A:$A,0),2)*INDEX(input_data!$M:$X,MATCH("all.in.fxr.---.---.---",input_data!$A:$A,0),2)</f>
        <v>0</v>
      </c>
      <c r="O263" s="389">
        <f>MAX(O262-INDEX(input_data!$L:$L,MATCH("all.in.bnk.cmt.dry.---",input_data!$A:$A,0))*(1-INDEX(input_data!$M:$X,MATCH("all.in.cbf.---.---.---",input_data!$A:$A,0),3)),0)*INDEX(input_data!$M:$X,MATCH("all.in.ets.---.---.---",input_data!$A:$A,0),3)*INDEX(input_data!$M:$X,MATCH("all.in.act.---.---.---",input_data!$A:$A,0),3)*INDEX(input_data!$M:$X,MATCH("all.in.fxr.---.---.---",input_data!$A:$A,0),3)</f>
        <v>24.882000000000012</v>
      </c>
      <c r="P263" s="389">
        <f>MAX(P262-INDEX(input_data!$L:$L,MATCH("all.in.bnk.cmt.dry.---",input_data!$A:$A,0))*(1-INDEX(input_data!$M:$X,MATCH("all.in.cbf.---.---.---",input_data!$A:$A,0),4)),0)*INDEX(input_data!$M:$X,MATCH("all.in.ets.---.---.---",input_data!$A:$A,0),4)*INDEX(input_data!$M:$X,MATCH("all.in.act.---.---.---",input_data!$A:$A,0),4)*INDEX(input_data!$M:$X,MATCH("all.in.fxr.---.---.---",input_data!$A:$A,0),4)</f>
        <v>27.904799999999994</v>
      </c>
      <c r="Q263" s="389">
        <f>MAX(Q262-INDEX(input_data!$L:$L,MATCH("all.in.bnk.cmt.dry.---",input_data!$A:$A,0))*(1-INDEX(input_data!$M:$X,MATCH("all.in.cbf.---.---.---",input_data!$A:$A,0),5)),0)*INDEX(input_data!$M:$X,MATCH("all.in.ets.---.---.---",input_data!$A:$A,0),5)*INDEX(input_data!$M:$X,MATCH("all.in.act.---.---.---",input_data!$A:$A,0),5)*INDEX(input_data!$M:$X,MATCH("all.in.fxr.---.---.---",input_data!$A:$A,0),5)</f>
        <v>33.111649999999983</v>
      </c>
      <c r="R263" s="389">
        <f>MAX(R262-INDEX(input_data!$L:$L,MATCH("all.in.bnk.cmt.dry.---",input_data!$A:$A,0))*(1-INDEX(input_data!$M:$X,MATCH("all.in.cbf.---.---.---",input_data!$A:$A,0),6)),0)*INDEX(input_data!$M:$X,MATCH("all.in.ets.---.---.---",input_data!$A:$A,0),6)*INDEX(input_data!$M:$X,MATCH("all.in.act.---.---.---",input_data!$A:$A,0),6)*INDEX(input_data!$M:$X,MATCH("all.in.fxr.---.---.---",input_data!$A:$A,0),6)</f>
        <v>43.033649999999994</v>
      </c>
      <c r="S263" s="389">
        <f>MAX(S262-INDEX(input_data!$L:$L,MATCH("all.in.bnk.cmt.dry.---",input_data!$A:$A,0))*(1-INDEX(input_data!$M:$X,MATCH("all.in.cbf.---.---.---",input_data!$A:$A,0),7)),0)*INDEX(input_data!$M:$X,MATCH("all.in.ets.---.---.---",input_data!$A:$A,0),7)*INDEX(input_data!$M:$X,MATCH("all.in.act.---.---.---",input_data!$A:$A,0),7)*INDEX(input_data!$M:$X,MATCH("all.in.fxr.---.---.---",input_data!$A:$A,0),7)</f>
        <v>66.736340000000013</v>
      </c>
      <c r="T263" s="389">
        <f>MAX(T262-INDEX(input_data!$L:$L,MATCH("all.in.bnk.cmt.dry.---",input_data!$A:$A,0))*(1-INDEX(input_data!$M:$X,MATCH("all.in.cbf.---.---.---",input_data!$A:$A,0),8)),0)*INDEX(input_data!$M:$X,MATCH("all.in.ets.---.---.---",input_data!$A:$A,0),8)*INDEX(input_data!$M:$X,MATCH("all.in.act.---.---.---",input_data!$A:$A,0),8)*INDEX(input_data!$M:$X,MATCH("all.in.fxr.---.---.---",input_data!$A:$A,0),8)</f>
        <v>80.461920000000021</v>
      </c>
      <c r="U263" s="389">
        <f>MAX(U262-INDEX(input_data!$L:$L,MATCH("all.in.bnk.cmt.dry.---",input_data!$A:$A,0))*(1-INDEX(input_data!$M:$X,MATCH("all.in.cbf.---.---.---",input_data!$A:$A,0),9)),0)*INDEX(input_data!$M:$X,MATCH("all.in.ets.---.---.---",input_data!$A:$A,0),9)*INDEX(input_data!$M:$X,MATCH("all.in.act.---.---.---",input_data!$A:$A,0),9)*INDEX(input_data!$M:$X,MATCH("all.in.fxr.---.---.---",input_data!$A:$A,0),9)</f>
        <v>95.089500000000015</v>
      </c>
      <c r="V263" s="389">
        <f>MAX(V262-INDEX(input_data!$L:$L,MATCH("all.in.bnk.cmt.dry.---",input_data!$A:$A,0))*(1-INDEX(input_data!$M:$X,MATCH("all.in.cbf.---.---.---",input_data!$A:$A,0),10)),0)*INDEX(input_data!$M:$X,MATCH("all.in.ets.---.---.---",input_data!$A:$A,0),10)*INDEX(input_data!$M:$X,MATCH("all.in.act.---.---.---",input_data!$A:$A,0),10)*INDEX(input_data!$M:$X,MATCH("all.in.fxr.---.---.---",input_data!$A:$A,0),10)</f>
        <v>110.61908000000004</v>
      </c>
      <c r="W263" s="389">
        <f>MAX(W262-INDEX(input_data!$L:$L,MATCH("all.in.bnk.cmt.dry.---",input_data!$A:$A,0))*(1-INDEX(input_data!$M:$X,MATCH("all.in.cbf.---.---.---",input_data!$A:$A,0),11)),0)*INDEX(input_data!$M:$X,MATCH("all.in.ets.---.---.---",input_data!$A:$A,0),11)*INDEX(input_data!$M:$X,MATCH("all.in.act.---.---.---",input_data!$A:$A,0),11)*INDEX(input_data!$M:$X,MATCH("all.in.fxr.---.---.---",input_data!$A:$A,0),11)</f>
        <v>128.53417500000003</v>
      </c>
      <c r="X263" s="389">
        <f>MAX(X262-INDEX(input_data!$L:$L,MATCH("all.in.bnk.cmt.dry.---",input_data!$A:$A,0))*(1-INDEX(input_data!$M:$X,MATCH("all.in.cbf.---.---.---",input_data!$A:$A,0),12)),0)*INDEX(input_data!$M:$X,MATCH("all.in.ets.---.---.---",input_data!$A:$A,0),12)*INDEX(input_data!$M:$X,MATCH("all.in.act.---.---.---",input_data!$A:$A,0),12)*INDEX(input_data!$M:$X,MATCH("all.in.fxr.---.---.---",input_data!$A:$A,0),12)</f>
        <v>133.10220000000001</v>
      </c>
    </row>
    <row r="264" spans="1:24" ht="15" customHeight="1" x14ac:dyDescent="0.25">
      <c r="A264" s="380" t="str">
        <f>CBAM!$B$5&amp;".em.nh3.frt.amc.---"</f>
        <v>egy.em.nh3.frt.amc.---</v>
      </c>
      <c r="B264" s="380" t="str">
        <f>CBAM!$B$5</f>
        <v>egy</v>
      </c>
      <c r="C264" s="380" t="s">
        <v>1342</v>
      </c>
      <c r="D264" s="380" t="s">
        <v>1557</v>
      </c>
      <c r="E264" s="380" t="s">
        <v>330</v>
      </c>
      <c r="F264" s="380" t="s">
        <v>1445</v>
      </c>
      <c r="G264" s="380" t="s">
        <v>1277</v>
      </c>
      <c r="H264" s="380" t="s">
        <v>1590</v>
      </c>
      <c r="I264" s="380" t="s">
        <v>1355</v>
      </c>
      <c r="J264" s="380" t="s">
        <v>1559</v>
      </c>
      <c r="K264" s="380"/>
      <c r="L264" s="380"/>
      <c r="M264" s="385">
        <f>INDEX(input_data!$L:$L,MATCH("all.in.nh3.frt.amc.---",input_data!$A:$A,0))*IFERROR((M153+M154+M155+M156)/M132,0)*M132</f>
        <v>0</v>
      </c>
      <c r="N264" s="385">
        <f>INDEX(input_data!$L:$L,MATCH("all.in.nh3.frt.amc.---",input_data!$A:$A,0))*IFERROR((N153+N154+N155+N156)/N132,0)*N132</f>
        <v>0</v>
      </c>
      <c r="O264" s="385">
        <f>INDEX(input_data!$L:$L,MATCH("all.in.nh3.frt.amc.---",input_data!$A:$A,0))*IFERROR((O153+O154+O155+O156)/O132,0)*O132</f>
        <v>0</v>
      </c>
      <c r="P264" s="385">
        <f>INDEX(input_data!$L:$L,MATCH("all.in.nh3.frt.amc.---",input_data!$A:$A,0))*IFERROR((P153+P154+P155+P156)/P132,0)*P132</f>
        <v>0</v>
      </c>
      <c r="Q264" s="385">
        <f>INDEX(input_data!$L:$L,MATCH("all.in.nh3.frt.amc.---",input_data!$A:$A,0))*IFERROR((Q153+Q154+Q155+Q156)/Q132,0)*Q132</f>
        <v>0</v>
      </c>
      <c r="R264" s="385">
        <f>INDEX(input_data!$L:$L,MATCH("all.in.nh3.frt.amc.---",input_data!$A:$A,0))*IFERROR((R153+R154+R155+R156)/R132,0)*R132</f>
        <v>0</v>
      </c>
      <c r="S264" s="385">
        <f>INDEX(input_data!$L:$L,MATCH("all.in.nh3.frt.amc.---",input_data!$A:$A,0))*IFERROR((S153+S154+S155+S156)/S132,0)*S132</f>
        <v>0</v>
      </c>
      <c r="T264" s="385">
        <f>INDEX(input_data!$L:$L,MATCH("all.in.nh3.frt.amc.---",input_data!$A:$A,0))*IFERROR((T153+T154+T155+T156)/T132,0)*T132</f>
        <v>0</v>
      </c>
      <c r="U264" s="385">
        <f>INDEX(input_data!$L:$L,MATCH("all.in.nh3.frt.amc.---",input_data!$A:$A,0))*IFERROR((U153+U154+U155+U156)/U132,0)*U132</f>
        <v>0</v>
      </c>
      <c r="V264" s="385">
        <f>INDEX(input_data!$L:$L,MATCH("all.in.nh3.frt.amc.---",input_data!$A:$A,0))*IFERROR((V153+V154+V155+V156)/V132,0)*V132</f>
        <v>0</v>
      </c>
      <c r="W264" s="385">
        <f>INDEX(input_data!$L:$L,MATCH("all.in.nh3.frt.amc.---",input_data!$A:$A,0))*IFERROR((W153+W154+W155+W156)/W132,0)*W132</f>
        <v>0</v>
      </c>
      <c r="X264" s="385">
        <f>INDEX(input_data!$L:$L,MATCH("all.in.nh3.frt.amc.---",input_data!$A:$A,0))*IFERROR((X153+X154+X155+X156)/X132,0)*X132</f>
        <v>0</v>
      </c>
    </row>
    <row r="265" spans="1:24" ht="15" customHeight="1" x14ac:dyDescent="0.25">
      <c r="A265" s="380" t="str">
        <f>CBAM!$B$5&amp;".em.tot.frt.amc.---"</f>
        <v>egy.em.tot.frt.amc.---</v>
      </c>
      <c r="B265" s="380" t="str">
        <f>CBAM!$B$5</f>
        <v>egy</v>
      </c>
      <c r="C265" s="380" t="s">
        <v>1342</v>
      </c>
      <c r="D265" s="380" t="s">
        <v>1560</v>
      </c>
      <c r="E265" s="380" t="s">
        <v>330</v>
      </c>
      <c r="F265" s="380" t="s">
        <v>1445</v>
      </c>
      <c r="G265" s="380" t="s">
        <v>1277</v>
      </c>
      <c r="H265" s="380" t="s">
        <v>1591</v>
      </c>
      <c r="I265" s="380" t="s">
        <v>1355</v>
      </c>
      <c r="J265" s="380" t="s">
        <v>1562</v>
      </c>
      <c r="K265" s="380"/>
      <c r="L265" s="380"/>
      <c r="M265" s="386">
        <f t="shared" ref="M265:X265" si="25">M153+M154+M155+M156+M157+M264</f>
        <v>2.2725599999999999</v>
      </c>
      <c r="N265" s="386">
        <f t="shared" si="25"/>
        <v>2.33319180511333</v>
      </c>
      <c r="O265" s="386">
        <f t="shared" si="25"/>
        <v>2.3954407999999998</v>
      </c>
      <c r="P265" s="386">
        <f t="shared" si="25"/>
        <v>2.459350106023932</v>
      </c>
      <c r="Q265" s="386">
        <f t="shared" si="25"/>
        <v>2.5249639940000002</v>
      </c>
      <c r="R265" s="386">
        <f t="shared" si="25"/>
        <v>2.5923279148242342</v>
      </c>
      <c r="S265" s="386">
        <f t="shared" si="25"/>
        <v>2.6614885309199994</v>
      </c>
      <c r="T265" s="386">
        <f t="shared" si="25"/>
        <v>2.7324937485218452</v>
      </c>
      <c r="U265" s="386">
        <f t="shared" si="25"/>
        <v>2.8053927508193497</v>
      </c>
      <c r="V265" s="386">
        <f t="shared" si="25"/>
        <v>2.8802360319838516</v>
      </c>
      <c r="W265" s="386">
        <f t="shared" si="25"/>
        <v>2.9570754321015946</v>
      </c>
      <c r="X265" s="386">
        <f t="shared" si="25"/>
        <v>3.0359641730373998</v>
      </c>
    </row>
    <row r="266" spans="1:24" ht="15" customHeight="1" x14ac:dyDescent="0.25">
      <c r="A266" s="380" t="str">
        <f>CBAM!$B$5&amp;".cb.int.frt.amc.---"</f>
        <v>egy.cb.int.frt.amc.---</v>
      </c>
      <c r="B266" s="380" t="str">
        <f>CBAM!$B$5</f>
        <v>egy</v>
      </c>
      <c r="C266" s="380" t="s">
        <v>1563</v>
      </c>
      <c r="D266" s="380" t="s">
        <v>1564</v>
      </c>
      <c r="E266" s="380" t="s">
        <v>330</v>
      </c>
      <c r="F266" s="380" t="s">
        <v>1445</v>
      </c>
      <c r="G266" s="380" t="s">
        <v>1277</v>
      </c>
      <c r="H266" s="380" t="s">
        <v>1592</v>
      </c>
      <c r="I266" s="380" t="s">
        <v>1566</v>
      </c>
      <c r="J266" s="380" t="s">
        <v>1567</v>
      </c>
      <c r="K266" s="380"/>
      <c r="L266" s="380"/>
      <c r="M266" s="387">
        <f t="shared" ref="M266:X266" si="26">IF(M132&gt;0,IFERROR(M265/M132,0),M358)</f>
        <v>1.8937999999999999</v>
      </c>
      <c r="N266" s="387">
        <f t="shared" si="26"/>
        <v>1.8929666666666667</v>
      </c>
      <c r="O266" s="387">
        <f t="shared" si="26"/>
        <v>1.8921333333333334</v>
      </c>
      <c r="P266" s="387">
        <f t="shared" si="26"/>
        <v>1.8912999999999998</v>
      </c>
      <c r="Q266" s="387">
        <f t="shared" si="26"/>
        <v>1.890466666666667</v>
      </c>
      <c r="R266" s="387">
        <f t="shared" si="26"/>
        <v>1.8896333333333335</v>
      </c>
      <c r="S266" s="387">
        <f t="shared" si="26"/>
        <v>1.8888</v>
      </c>
      <c r="T266" s="387">
        <f t="shared" si="26"/>
        <v>1.8879666666666663</v>
      </c>
      <c r="U266" s="387">
        <f t="shared" si="26"/>
        <v>1.8871333333333333</v>
      </c>
      <c r="V266" s="387">
        <f t="shared" si="26"/>
        <v>1.8863000000000001</v>
      </c>
      <c r="W266" s="387">
        <f t="shared" si="26"/>
        <v>1.8854666666666666</v>
      </c>
      <c r="X266" s="387">
        <f t="shared" si="26"/>
        <v>1.8846333333333334</v>
      </c>
    </row>
    <row r="267" spans="1:24" ht="15" customHeight="1" x14ac:dyDescent="0.25">
      <c r="A267" s="380" t="str">
        <f>CBAM!$B$5&amp;".cb.mrv.frt.amc.---"</f>
        <v>egy.cb.mrv.frt.amc.---</v>
      </c>
      <c r="B267" s="380" t="str">
        <f>CBAM!$B$5</f>
        <v>egy</v>
      </c>
      <c r="C267" s="380" t="s">
        <v>1563</v>
      </c>
      <c r="D267" s="380" t="s">
        <v>1568</v>
      </c>
      <c r="E267" s="380" t="s">
        <v>330</v>
      </c>
      <c r="F267" s="380" t="s">
        <v>1445</v>
      </c>
      <c r="G267" s="380" t="s">
        <v>1277</v>
      </c>
      <c r="H267" s="380" t="s">
        <v>1593</v>
      </c>
      <c r="I267" s="380" t="s">
        <v>1566</v>
      </c>
      <c r="J267" s="380" t="s">
        <v>1570</v>
      </c>
      <c r="K267" s="380"/>
      <c r="L267" s="380"/>
      <c r="M267" s="388">
        <f>IF(M132&gt;0,IFERROR(IF(INDEX(input_data!$L:$L,MATCH("all.in.mrv.frt.amc.---",input_data!$A:$A,0))=1,((M265-M157*(1-INDEX(input_data!$L:$L,MATCH("all.in.cs2.frt.amc.---",input_data!$A:$A,0))))/M132),INDEX(input_data!$L:$L,MATCH("all.in.dfv.frt.amc.---",input_data!$A:$A,0))),0),M359)</f>
        <v>1.8937999999999999</v>
      </c>
      <c r="N267" s="388">
        <f>IF(N132&gt;0,IFERROR(IF(INDEX(input_data!$L:$L,MATCH("all.in.mrv.frt.amc.---",input_data!$A:$A,0))=1,((N265-N157*(1-INDEX(input_data!$L:$L,MATCH("all.in.cs2.frt.amc.---",input_data!$A:$A,0))))/N132),INDEX(input_data!$L:$L,MATCH("all.in.dfv.frt.amc.---",input_data!$A:$A,0))),0),N359)</f>
        <v>1.8929666666666667</v>
      </c>
      <c r="O267" s="388">
        <f>IF(O132&gt;0,IFERROR(IF(INDEX(input_data!$L:$L,MATCH("all.in.mrv.frt.amc.---",input_data!$A:$A,0))=1,((O265-O157*(1-INDEX(input_data!$L:$L,MATCH("all.in.cs2.frt.amc.---",input_data!$A:$A,0))))/O132),INDEX(input_data!$L:$L,MATCH("all.in.dfv.frt.amc.---",input_data!$A:$A,0))),0),O359)</f>
        <v>1.8921333333333334</v>
      </c>
      <c r="P267" s="388">
        <f>IF(P132&gt;0,IFERROR(IF(INDEX(input_data!$L:$L,MATCH("all.in.mrv.frt.amc.---",input_data!$A:$A,0))=1,((P265-P157*(1-INDEX(input_data!$L:$L,MATCH("all.in.cs2.frt.amc.---",input_data!$A:$A,0))))/P132),INDEX(input_data!$L:$L,MATCH("all.in.dfv.frt.amc.---",input_data!$A:$A,0))),0),P359)</f>
        <v>1.8912999999999998</v>
      </c>
      <c r="Q267" s="388">
        <f>IF(Q132&gt;0,IFERROR(IF(INDEX(input_data!$L:$L,MATCH("all.in.mrv.frt.amc.---",input_data!$A:$A,0))=1,((Q265-Q157*(1-INDEX(input_data!$L:$L,MATCH("all.in.cs2.frt.amc.---",input_data!$A:$A,0))))/Q132),INDEX(input_data!$L:$L,MATCH("all.in.dfv.frt.amc.---",input_data!$A:$A,0))),0),Q359)</f>
        <v>1.890466666666667</v>
      </c>
      <c r="R267" s="388">
        <f>IF(R132&gt;0,IFERROR(IF(INDEX(input_data!$L:$L,MATCH("all.in.mrv.frt.amc.---",input_data!$A:$A,0))=1,((R265-R157*(1-INDEX(input_data!$L:$L,MATCH("all.in.cs2.frt.amc.---",input_data!$A:$A,0))))/R132),INDEX(input_data!$L:$L,MATCH("all.in.dfv.frt.amc.---",input_data!$A:$A,0))),0),R359)</f>
        <v>1.8896333333333335</v>
      </c>
      <c r="S267" s="388">
        <f>IF(S132&gt;0,IFERROR(IF(INDEX(input_data!$L:$L,MATCH("all.in.mrv.frt.amc.---",input_data!$A:$A,0))=1,((S265-S157*(1-INDEX(input_data!$L:$L,MATCH("all.in.cs2.frt.amc.---",input_data!$A:$A,0))))/S132),INDEX(input_data!$L:$L,MATCH("all.in.dfv.frt.amc.---",input_data!$A:$A,0))),0),S359)</f>
        <v>1.8888</v>
      </c>
      <c r="T267" s="388">
        <f>IF(T132&gt;0,IFERROR(IF(INDEX(input_data!$L:$L,MATCH("all.in.mrv.frt.amc.---",input_data!$A:$A,0))=1,((T265-T157*(1-INDEX(input_data!$L:$L,MATCH("all.in.cs2.frt.amc.---",input_data!$A:$A,0))))/T132),INDEX(input_data!$L:$L,MATCH("all.in.dfv.frt.amc.---",input_data!$A:$A,0))),0),T359)</f>
        <v>1.8879666666666663</v>
      </c>
      <c r="U267" s="388">
        <f>IF(U132&gt;0,IFERROR(IF(INDEX(input_data!$L:$L,MATCH("all.in.mrv.frt.amc.---",input_data!$A:$A,0))=1,((U265-U157*(1-INDEX(input_data!$L:$L,MATCH("all.in.cs2.frt.amc.---",input_data!$A:$A,0))))/U132),INDEX(input_data!$L:$L,MATCH("all.in.dfv.frt.amc.---",input_data!$A:$A,0))),0),U359)</f>
        <v>1.8871333333333333</v>
      </c>
      <c r="V267" s="388">
        <f>IF(V132&gt;0,IFERROR(IF(INDEX(input_data!$L:$L,MATCH("all.in.mrv.frt.amc.---",input_data!$A:$A,0))=1,((V265-V157*(1-INDEX(input_data!$L:$L,MATCH("all.in.cs2.frt.amc.---",input_data!$A:$A,0))))/V132),INDEX(input_data!$L:$L,MATCH("all.in.dfv.frt.amc.---",input_data!$A:$A,0))),0),V359)</f>
        <v>1.8863000000000001</v>
      </c>
      <c r="W267" s="388">
        <f>IF(W132&gt;0,IFERROR(IF(INDEX(input_data!$L:$L,MATCH("all.in.mrv.frt.amc.---",input_data!$A:$A,0))=1,((W265-W157*(1-INDEX(input_data!$L:$L,MATCH("all.in.cs2.frt.amc.---",input_data!$A:$A,0))))/W132),INDEX(input_data!$L:$L,MATCH("all.in.dfv.frt.amc.---",input_data!$A:$A,0))),0),W359)</f>
        <v>1.8854666666666666</v>
      </c>
      <c r="X267" s="388">
        <f>IF(X132&gt;0,IFERROR(IF(INDEX(input_data!$L:$L,MATCH("all.in.mrv.frt.amc.---",input_data!$A:$A,0))=1,((X265-X157*(1-INDEX(input_data!$L:$L,MATCH("all.in.cs2.frt.amc.---",input_data!$A:$A,0))))/X132),INDEX(input_data!$L:$L,MATCH("all.in.dfv.frt.amc.---",input_data!$A:$A,0))),0),X359)</f>
        <v>1.8846333333333334</v>
      </c>
    </row>
    <row r="268" spans="1:24" ht="15" customHeight="1" x14ac:dyDescent="0.25">
      <c r="A268" s="380" t="str">
        <f>CBAM!$B$5&amp;".cb.obl.frt.amc.---"</f>
        <v>egy.cb.obl.frt.amc.---</v>
      </c>
      <c r="B268" s="380" t="str">
        <f>CBAM!$B$5</f>
        <v>egy</v>
      </c>
      <c r="C268" s="380" t="s">
        <v>1563</v>
      </c>
      <c r="D268" s="380" t="s">
        <v>1571</v>
      </c>
      <c r="E268" s="380" t="s">
        <v>330</v>
      </c>
      <c r="F268" s="380" t="s">
        <v>1445</v>
      </c>
      <c r="G268" s="380" t="s">
        <v>1277</v>
      </c>
      <c r="H268" s="380" t="s">
        <v>1594</v>
      </c>
      <c r="I268" s="380" t="s">
        <v>1573</v>
      </c>
      <c r="J268" s="380" t="s">
        <v>1574</v>
      </c>
      <c r="K268" s="380"/>
      <c r="L268" s="380"/>
      <c r="M268" s="389">
        <f>MAX(M267-INDEX(input_data!$L:$L,MATCH("all.in.bnk.frt.amc.---",input_data!$A:$A,0))*(1-INDEX(input_data!$M:$X,MATCH("all.in.cbf.---.---.---",input_data!$A:$A,0),1)),0)*INDEX(input_data!$M:$X,MATCH("all.in.ets.---.---.---",input_data!$A:$A,0),1)*INDEX(input_data!$M:$X,MATCH("all.in.act.---.---.---",input_data!$A:$A,0),1)*INDEX(input_data!$M:$X,MATCH("all.in.fxr.---.---.---",input_data!$A:$A,0),1)</f>
        <v>0</v>
      </c>
      <c r="N268" s="389">
        <f>MAX(N267-INDEX(input_data!$L:$L,MATCH("all.in.bnk.frt.amc.---",input_data!$A:$A,0))*(1-INDEX(input_data!$M:$X,MATCH("all.in.cbf.---.---.---",input_data!$A:$A,0),2)),0)*INDEX(input_data!$M:$X,MATCH("all.in.ets.---.---.---",input_data!$A:$A,0),2)*INDEX(input_data!$M:$X,MATCH("all.in.act.---.---.---",input_data!$A:$A,0),2)*INDEX(input_data!$M:$X,MATCH("all.in.fxr.---.---.---",input_data!$A:$A,0),2)</f>
        <v>0</v>
      </c>
      <c r="O268" s="389">
        <f>MAX(O267-INDEX(input_data!$L:$L,MATCH("all.in.bnk.frt.amc.---",input_data!$A:$A,0))*(1-INDEX(input_data!$M:$X,MATCH("all.in.cbf.---.---.---",input_data!$A:$A,0),3)),0)*INDEX(input_data!$M:$X,MATCH("all.in.ets.---.---.---",input_data!$A:$A,0),3)*INDEX(input_data!$M:$X,MATCH("all.in.act.---.---.---",input_data!$A:$A,0),3)*INDEX(input_data!$M:$X,MATCH("all.in.fxr.---.---.---",input_data!$A:$A,0),3)</f>
        <v>44.900166666666699</v>
      </c>
      <c r="P268" s="389">
        <f>MAX(P267-INDEX(input_data!$L:$L,MATCH("all.in.bnk.frt.amc.---",input_data!$A:$A,0))*(1-INDEX(input_data!$M:$X,MATCH("all.in.cbf.---.---.---",input_data!$A:$A,0),4)),0)*INDEX(input_data!$M:$X,MATCH("all.in.ets.---.---.---",input_data!$A:$A,0),4)*INDEX(input_data!$M:$X,MATCH("all.in.act.---.---.---",input_data!$A:$A,0),4)*INDEX(input_data!$M:$X,MATCH("all.in.fxr.---.---.---",input_data!$A:$A,0),4)</f>
        <v>51.443699999999986</v>
      </c>
      <c r="Q268" s="389">
        <f>MAX(Q267-INDEX(input_data!$L:$L,MATCH("all.in.bnk.frt.amc.---",input_data!$A:$A,0))*(1-INDEX(input_data!$M:$X,MATCH("all.in.cbf.---.---.---",input_data!$A:$A,0),5)),0)*INDEX(input_data!$M:$X,MATCH("all.in.ets.---.---.---",input_data!$A:$A,0),5)*INDEX(input_data!$M:$X,MATCH("all.in.act.---.---.---",input_data!$A:$A,0),5)*INDEX(input_data!$M:$X,MATCH("all.in.fxr.---.---.---",input_data!$A:$A,0),5)</f>
        <v>63.000666666666696</v>
      </c>
      <c r="R268" s="389">
        <f>MAX(R267-INDEX(input_data!$L:$L,MATCH("all.in.bnk.frt.amc.---",input_data!$A:$A,0))*(1-INDEX(input_data!$M:$X,MATCH("all.in.cbf.---.---.---",input_data!$A:$A,0),6)),0)*INDEX(input_data!$M:$X,MATCH("all.in.ets.---.---.---",input_data!$A:$A,0),6)*INDEX(input_data!$M:$X,MATCH("all.in.act.---.---.---",input_data!$A:$A,0),6)*INDEX(input_data!$M:$X,MATCH("all.in.fxr.---.---.---",input_data!$A:$A,0),6)</f>
        <v>85.920083333333352</v>
      </c>
      <c r="S268" s="389">
        <f>MAX(S267-INDEX(input_data!$L:$L,MATCH("all.in.bnk.frt.amc.---",input_data!$A:$A,0))*(1-INDEX(input_data!$M:$X,MATCH("all.in.cbf.---.---.---",input_data!$A:$A,0),7)),0)*INDEX(input_data!$M:$X,MATCH("all.in.ets.---.---.---",input_data!$A:$A,0),7)*INDEX(input_data!$M:$X,MATCH("all.in.act.---.---.---",input_data!$A:$A,0),7)*INDEX(input_data!$M:$X,MATCH("all.in.fxr.---.---.---",input_data!$A:$A,0),7)</f>
        <v>139.778705</v>
      </c>
      <c r="T268" s="389">
        <f>MAX(T267-INDEX(input_data!$L:$L,MATCH("all.in.bnk.frt.amc.---",input_data!$A:$A,0))*(1-INDEX(input_data!$M:$X,MATCH("all.in.cbf.---.---.---",input_data!$A:$A,0),8)),0)*INDEX(input_data!$M:$X,MATCH("all.in.ets.---.---.---",input_data!$A:$A,0),8)*INDEX(input_data!$M:$X,MATCH("all.in.act.---.---.---",input_data!$A:$A,0),8)*INDEX(input_data!$M:$X,MATCH("all.in.fxr.---.---.---",input_data!$A:$A,0),8)</f>
        <v>170.85903999999996</v>
      </c>
      <c r="U268" s="389">
        <f>MAX(U267-INDEX(input_data!$L:$L,MATCH("all.in.bnk.frt.amc.---",input_data!$A:$A,0))*(1-INDEX(input_data!$M:$X,MATCH("all.in.cbf.---.---.---",input_data!$A:$A,0),9)),0)*INDEX(input_data!$M:$X,MATCH("all.in.ets.---.---.---",input_data!$A:$A,0),9)*INDEX(input_data!$M:$X,MATCH("all.in.act.---.---.---",input_data!$A:$A,0),9)*INDEX(input_data!$M:$X,MATCH("all.in.fxr.---.---.---",input_data!$A:$A,0),9)</f>
        <v>204.02295833333335</v>
      </c>
      <c r="V268" s="389">
        <f>MAX(V267-INDEX(input_data!$L:$L,MATCH("all.in.bnk.frt.amc.---",input_data!$A:$A,0))*(1-INDEX(input_data!$M:$X,MATCH("all.in.cbf.---.---.---",input_data!$A:$A,0),10)),0)*INDEX(input_data!$M:$X,MATCH("all.in.ets.---.---.---",input_data!$A:$A,0),10)*INDEX(input_data!$M:$X,MATCH("all.in.act.---.---.---",input_data!$A:$A,0),10)*INDEX(input_data!$M:$X,MATCH("all.in.fxr.---.---.---",input_data!$A:$A,0),10)</f>
        <v>239.27046000000004</v>
      </c>
      <c r="W268" s="389">
        <f>MAX(W267-INDEX(input_data!$L:$L,MATCH("all.in.bnk.frt.amc.---",input_data!$A:$A,0))*(1-INDEX(input_data!$M:$X,MATCH("all.in.cbf.---.---.---",input_data!$A:$A,0),11)),0)*INDEX(input_data!$M:$X,MATCH("all.in.ets.---.---.---",input_data!$A:$A,0),11)*INDEX(input_data!$M:$X,MATCH("all.in.act.---.---.---",input_data!$A:$A,0),11)*INDEX(input_data!$M:$X,MATCH("all.in.fxr.---.---.---",input_data!$A:$A,0),11)</f>
        <v>279.99180000000001</v>
      </c>
      <c r="X268" s="389">
        <f>MAX(X267-INDEX(input_data!$L:$L,MATCH("all.in.bnk.frt.amc.---",input_data!$A:$A,0))*(1-INDEX(input_data!$M:$X,MATCH("all.in.cbf.---.---.---",input_data!$A:$A,0),12)),0)*INDEX(input_data!$M:$X,MATCH("all.in.ets.---.---.---",input_data!$A:$A,0),12)*INDEX(input_data!$M:$X,MATCH("all.in.act.---.---.---",input_data!$A:$A,0),12)*INDEX(input_data!$M:$X,MATCH("all.in.fxr.---.---.---",input_data!$A:$A,0),12)</f>
        <v>290.23353333333336</v>
      </c>
    </row>
    <row r="269" spans="1:24" ht="15" customHeight="1" x14ac:dyDescent="0.25">
      <c r="A269" s="380" t="str">
        <f>CBAM!$B$5&amp;".em.nh3.frt.ure.---"</f>
        <v>egy.em.nh3.frt.ure.---</v>
      </c>
      <c r="B269" s="380" t="str">
        <f>CBAM!$B$5</f>
        <v>egy</v>
      </c>
      <c r="C269" s="380" t="s">
        <v>1342</v>
      </c>
      <c r="D269" s="380" t="s">
        <v>1557</v>
      </c>
      <c r="E269" s="380" t="s">
        <v>330</v>
      </c>
      <c r="F269" s="380" t="s">
        <v>1473</v>
      </c>
      <c r="G269" s="380" t="s">
        <v>1277</v>
      </c>
      <c r="H269" s="380" t="s">
        <v>1595</v>
      </c>
      <c r="I269" s="380" t="s">
        <v>1355</v>
      </c>
      <c r="J269" s="380" t="s">
        <v>1559</v>
      </c>
      <c r="K269" s="380"/>
      <c r="L269" s="380"/>
      <c r="M269" s="385">
        <f>INDEX(input_data!$L:$L,MATCH("all.in.nh3.frt.ure.---",input_data!$A:$A,0))*IFERROR((M153+M154+M155+M156+M157)/M132,0)*M160</f>
        <v>1.5032984399999996</v>
      </c>
      <c r="N269" s="385">
        <f>INDEX(input_data!$L:$L,MATCH("all.in.nh3.frt.ure.---",input_data!$A:$A,0))*IFERROR((N153+N154+N155+N156+N157)/N132,0)*N160</f>
        <v>1.5434063790824677</v>
      </c>
      <c r="O269" s="385">
        <f>INDEX(input_data!$L:$L,MATCH("all.in.nh3.frt.ure.---",input_data!$A:$A,0))*IFERROR((O153+O154+O155+O156+O157)/O132,0)*O160</f>
        <v>1.5845840891999998</v>
      </c>
      <c r="P269" s="385">
        <f>INDEX(input_data!$L:$L,MATCH("all.in.nh3.frt.ure.---",input_data!$A:$A,0))*IFERROR((P153+P154+P155+P156+P157)/P132,0)*P160</f>
        <v>1.6268600951348307</v>
      </c>
      <c r="Q269" s="385">
        <f>INDEX(input_data!$L:$L,MATCH("all.in.nh3.frt.ure.---",input_data!$A:$A,0))*IFERROR((Q153+Q154+Q155+Q156+Q157)/Q132,0)*Q160</f>
        <v>1.670263682031</v>
      </c>
      <c r="R269" s="385">
        <f>INDEX(input_data!$L:$L,MATCH("all.in.nh3.frt.ure.---",input_data!$A:$A,0))*IFERROR((R153+R154+R155+R156+R157)/R132,0)*R160</f>
        <v>1.7148249156562303</v>
      </c>
      <c r="S269" s="385">
        <f>INDEX(input_data!$L:$L,MATCH("all.in.nh3.frt.ure.---",input_data!$A:$A,0))*IFERROR((S153+S154+S155+S156+S157)/S132,0)*S160</f>
        <v>1.7605746632035795</v>
      </c>
      <c r="T269" s="385">
        <f>INDEX(input_data!$L:$L,MATCH("all.in.nh3.frt.ure.---",input_data!$A:$A,0))*IFERROR((T153+T154+T155+T156+T157)/T132,0)*T160</f>
        <v>1.8075446146472003</v>
      </c>
      <c r="U269" s="385">
        <f>INDEX(input_data!$L:$L,MATCH("all.in.nh3.frt.ure.---",input_data!$A:$A,0))*IFERROR((U153+U154+U155+U156+U157)/U132,0)*U160</f>
        <v>1.8557673046669994</v>
      </c>
      <c r="V269" s="385">
        <f>INDEX(input_data!$L:$L,MATCH("all.in.nh3.frt.ure.---",input_data!$A:$A,0))*IFERROR((V153+V154+V155+V156+V157)/V132,0)*V160</f>
        <v>1.9052761351573178</v>
      </c>
      <c r="W269" s="385">
        <f>INDEX(input_data!$L:$L,MATCH("all.in.nh3.frt.ure.---",input_data!$A:$A,0))*IFERROR((W153+W154+W155+W156+W157)/W132,0)*W160</f>
        <v>1.9561053983352046</v>
      </c>
      <c r="X269" s="385">
        <f>INDEX(input_data!$L:$L,MATCH("all.in.nh3.frt.ure.---",input_data!$A:$A,0))*IFERROR((X153+X154+X155+X156+X157)/X132,0)*X160</f>
        <v>2.0082903004642398</v>
      </c>
    </row>
    <row r="270" spans="1:24" ht="15" customHeight="1" x14ac:dyDescent="0.25">
      <c r="A270" s="380" t="str">
        <f>CBAM!$B$5&amp;".em.tot.frt.ure.---"</f>
        <v>egy.em.tot.frt.ure.---</v>
      </c>
      <c r="B270" s="380" t="str">
        <f>CBAM!$B$5</f>
        <v>egy</v>
      </c>
      <c r="C270" s="380" t="s">
        <v>1342</v>
      </c>
      <c r="D270" s="380" t="s">
        <v>1560</v>
      </c>
      <c r="E270" s="380" t="s">
        <v>330</v>
      </c>
      <c r="F270" s="380" t="s">
        <v>1473</v>
      </c>
      <c r="G270" s="380" t="s">
        <v>1277</v>
      </c>
      <c r="H270" s="380" t="s">
        <v>1596</v>
      </c>
      <c r="I270" s="380" t="s">
        <v>1355</v>
      </c>
      <c r="J270" s="380" t="s">
        <v>1562</v>
      </c>
      <c r="K270" s="380"/>
      <c r="L270" s="380"/>
      <c r="M270" s="386">
        <f t="shared" ref="M270:X270" si="27">M181+M182+M183+M184+M185+M269</f>
        <v>0.69367843999999956</v>
      </c>
      <c r="N270" s="386">
        <f t="shared" si="27"/>
        <v>0.71062150597243767</v>
      </c>
      <c r="O270" s="386">
        <f t="shared" si="27"/>
        <v>0.72797332253333313</v>
      </c>
      <c r="P270" s="386">
        <f t="shared" si="27"/>
        <v>0.74574359757134701</v>
      </c>
      <c r="Q270" s="386">
        <f t="shared" si="27"/>
        <v>0.76394226486433336</v>
      </c>
      <c r="R270" s="386">
        <f t="shared" si="27"/>
        <v>0.78257948919057085</v>
      </c>
      <c r="S270" s="386">
        <f t="shared" si="27"/>
        <v>0.80166567155107959</v>
      </c>
      <c r="T270" s="386">
        <f t="shared" si="27"/>
        <v>0.82121145450525534</v>
      </c>
      <c r="U270" s="386">
        <f t="shared" si="27"/>
        <v>0.84122772762215403</v>
      </c>
      <c r="V270" s="386">
        <f t="shared" si="27"/>
        <v>0.86172563304975425</v>
      </c>
      <c r="W270" s="386">
        <f t="shared" si="27"/>
        <v>0.88271657120460389</v>
      </c>
      <c r="X270" s="386">
        <f t="shared" si="27"/>
        <v>0.90421220658426948</v>
      </c>
    </row>
    <row r="271" spans="1:24" ht="15" customHeight="1" x14ac:dyDescent="0.25">
      <c r="A271" s="380" t="str">
        <f>CBAM!$B$5&amp;".cb.int.frt.ure.---"</f>
        <v>egy.cb.int.frt.ure.---</v>
      </c>
      <c r="B271" s="380" t="str">
        <f>CBAM!$B$5</f>
        <v>egy</v>
      </c>
      <c r="C271" s="380" t="s">
        <v>1563</v>
      </c>
      <c r="D271" s="380" t="s">
        <v>1564</v>
      </c>
      <c r="E271" s="380" t="s">
        <v>330</v>
      </c>
      <c r="F271" s="380" t="s">
        <v>1473</v>
      </c>
      <c r="G271" s="380" t="s">
        <v>1277</v>
      </c>
      <c r="H271" s="380" t="s">
        <v>1597</v>
      </c>
      <c r="I271" s="380" t="s">
        <v>1566</v>
      </c>
      <c r="J271" s="380" t="s">
        <v>1567</v>
      </c>
      <c r="K271" s="380"/>
      <c r="L271" s="380"/>
      <c r="M271" s="387">
        <f t="shared" ref="M271:X271" si="28">IF(M160&gt;0,IFERROR(M270/M160,0),M360)</f>
        <v>0.49548459999999972</v>
      </c>
      <c r="N271" s="387">
        <f t="shared" si="28"/>
        <v>0.4941787666666666</v>
      </c>
      <c r="O271" s="387">
        <f t="shared" si="28"/>
        <v>0.49287293333333326</v>
      </c>
      <c r="P271" s="387">
        <f t="shared" si="28"/>
        <v>0.49156709999999959</v>
      </c>
      <c r="Q271" s="387">
        <f t="shared" si="28"/>
        <v>0.49026126666666675</v>
      </c>
      <c r="R271" s="387">
        <f t="shared" si="28"/>
        <v>0.48895543333333319</v>
      </c>
      <c r="S271" s="387">
        <f t="shared" si="28"/>
        <v>0.48764959999999985</v>
      </c>
      <c r="T271" s="387">
        <f t="shared" si="28"/>
        <v>0.4863437666666664</v>
      </c>
      <c r="U271" s="387">
        <f t="shared" si="28"/>
        <v>0.48503793333333334</v>
      </c>
      <c r="V271" s="387">
        <f t="shared" si="28"/>
        <v>0.48373209999999994</v>
      </c>
      <c r="W271" s="387">
        <f t="shared" si="28"/>
        <v>0.48242626666666644</v>
      </c>
      <c r="X271" s="387">
        <f t="shared" si="28"/>
        <v>0.48112043333333343</v>
      </c>
    </row>
    <row r="272" spans="1:24" ht="15" customHeight="1" x14ac:dyDescent="0.25">
      <c r="A272" s="380" t="str">
        <f>CBAM!$B$5&amp;".cb.mrv.frt.ure.---"</f>
        <v>egy.cb.mrv.frt.ure.---</v>
      </c>
      <c r="B272" s="380" t="str">
        <f>CBAM!$B$5</f>
        <v>egy</v>
      </c>
      <c r="C272" s="380" t="s">
        <v>1563</v>
      </c>
      <c r="D272" s="380" t="s">
        <v>1568</v>
      </c>
      <c r="E272" s="380" t="s">
        <v>330</v>
      </c>
      <c r="F272" s="380" t="s">
        <v>1473</v>
      </c>
      <c r="G272" s="380" t="s">
        <v>1277</v>
      </c>
      <c r="H272" s="380" t="s">
        <v>1598</v>
      </c>
      <c r="I272" s="380" t="s">
        <v>1566</v>
      </c>
      <c r="J272" s="380" t="s">
        <v>1570</v>
      </c>
      <c r="K272" s="380"/>
      <c r="L272" s="380"/>
      <c r="M272" s="388">
        <f>IF(M160&gt;0,IFERROR(IF(INDEX(input_data!$L:$L,MATCH("all.in.mrv.frt.ure.---",input_data!$A:$A,0))=1,((M270-M185*(1-INDEX(input_data!$L:$L,MATCH("all.in.cs2.frt.ure.---",input_data!$A:$A,0))))/M160),INDEX(input_data!$L:$L,MATCH("all.in.dfv.frt.ure.---",input_data!$A:$A,0))),0),M361)</f>
        <v>0.49548459999999972</v>
      </c>
      <c r="N272" s="388">
        <f>IF(N160&gt;0,IFERROR(IF(INDEX(input_data!$L:$L,MATCH("all.in.mrv.frt.ure.---",input_data!$A:$A,0))=1,((N270-N185*(1-INDEX(input_data!$L:$L,MATCH("all.in.cs2.frt.ure.---",input_data!$A:$A,0))))/N160),INDEX(input_data!$L:$L,MATCH("all.in.dfv.frt.ure.---",input_data!$A:$A,0))),0),N361)</f>
        <v>0.4941787666666666</v>
      </c>
      <c r="O272" s="388">
        <f>IF(O160&gt;0,IFERROR(IF(INDEX(input_data!$L:$L,MATCH("all.in.mrv.frt.ure.---",input_data!$A:$A,0))=1,((O270-O185*(1-INDEX(input_data!$L:$L,MATCH("all.in.cs2.frt.ure.---",input_data!$A:$A,0))))/O160),INDEX(input_data!$L:$L,MATCH("all.in.dfv.frt.ure.---",input_data!$A:$A,0))),0),O361)</f>
        <v>0.49287293333333326</v>
      </c>
      <c r="P272" s="388">
        <f>IF(P160&gt;0,IFERROR(IF(INDEX(input_data!$L:$L,MATCH("all.in.mrv.frt.ure.---",input_data!$A:$A,0))=1,((P270-P185*(1-INDEX(input_data!$L:$L,MATCH("all.in.cs2.frt.ure.---",input_data!$A:$A,0))))/P160),INDEX(input_data!$L:$L,MATCH("all.in.dfv.frt.ure.---",input_data!$A:$A,0))),0),P361)</f>
        <v>0.49156709999999959</v>
      </c>
      <c r="Q272" s="388">
        <f>IF(Q160&gt;0,IFERROR(IF(INDEX(input_data!$L:$L,MATCH("all.in.mrv.frt.ure.---",input_data!$A:$A,0))=1,((Q270-Q185*(1-INDEX(input_data!$L:$L,MATCH("all.in.cs2.frt.ure.---",input_data!$A:$A,0))))/Q160),INDEX(input_data!$L:$L,MATCH("all.in.dfv.frt.ure.---",input_data!$A:$A,0))),0),Q361)</f>
        <v>0.49026126666666675</v>
      </c>
      <c r="R272" s="388">
        <f>IF(R160&gt;0,IFERROR(IF(INDEX(input_data!$L:$L,MATCH("all.in.mrv.frt.ure.---",input_data!$A:$A,0))=1,((R270-R185*(1-INDEX(input_data!$L:$L,MATCH("all.in.cs2.frt.ure.---",input_data!$A:$A,0))))/R160),INDEX(input_data!$L:$L,MATCH("all.in.dfv.frt.ure.---",input_data!$A:$A,0))),0),R361)</f>
        <v>0.48895543333333319</v>
      </c>
      <c r="S272" s="388">
        <f>IF(S160&gt;0,IFERROR(IF(INDEX(input_data!$L:$L,MATCH("all.in.mrv.frt.ure.---",input_data!$A:$A,0))=1,((S270-S185*(1-INDEX(input_data!$L:$L,MATCH("all.in.cs2.frt.ure.---",input_data!$A:$A,0))))/S160),INDEX(input_data!$L:$L,MATCH("all.in.dfv.frt.ure.---",input_data!$A:$A,0))),0),S361)</f>
        <v>0.48764959999999985</v>
      </c>
      <c r="T272" s="388">
        <f>IF(T160&gt;0,IFERROR(IF(INDEX(input_data!$L:$L,MATCH("all.in.mrv.frt.ure.---",input_data!$A:$A,0))=1,((T270-T185*(1-INDEX(input_data!$L:$L,MATCH("all.in.cs2.frt.ure.---",input_data!$A:$A,0))))/T160),INDEX(input_data!$L:$L,MATCH("all.in.dfv.frt.ure.---",input_data!$A:$A,0))),0),T361)</f>
        <v>0.4863437666666664</v>
      </c>
      <c r="U272" s="388">
        <f>IF(U160&gt;0,IFERROR(IF(INDEX(input_data!$L:$L,MATCH("all.in.mrv.frt.ure.---",input_data!$A:$A,0))=1,((U270-U185*(1-INDEX(input_data!$L:$L,MATCH("all.in.cs2.frt.ure.---",input_data!$A:$A,0))))/U160),INDEX(input_data!$L:$L,MATCH("all.in.dfv.frt.ure.---",input_data!$A:$A,0))),0),U361)</f>
        <v>0.48503793333333334</v>
      </c>
      <c r="V272" s="388">
        <f>IF(V160&gt;0,IFERROR(IF(INDEX(input_data!$L:$L,MATCH("all.in.mrv.frt.ure.---",input_data!$A:$A,0))=1,((V270-V185*(1-INDEX(input_data!$L:$L,MATCH("all.in.cs2.frt.ure.---",input_data!$A:$A,0))))/V160),INDEX(input_data!$L:$L,MATCH("all.in.dfv.frt.ure.---",input_data!$A:$A,0))),0),V361)</f>
        <v>0.48373209999999994</v>
      </c>
      <c r="W272" s="388">
        <f>IF(W160&gt;0,IFERROR(IF(INDEX(input_data!$L:$L,MATCH("all.in.mrv.frt.ure.---",input_data!$A:$A,0))=1,((W270-W185*(1-INDEX(input_data!$L:$L,MATCH("all.in.cs2.frt.ure.---",input_data!$A:$A,0))))/W160),INDEX(input_data!$L:$L,MATCH("all.in.dfv.frt.ure.---",input_data!$A:$A,0))),0),W361)</f>
        <v>0.48242626666666644</v>
      </c>
      <c r="X272" s="388">
        <f>IF(X160&gt;0,IFERROR(IF(INDEX(input_data!$L:$L,MATCH("all.in.mrv.frt.ure.---",input_data!$A:$A,0))=1,((X270-X185*(1-INDEX(input_data!$L:$L,MATCH("all.in.cs2.frt.ure.---",input_data!$A:$A,0))))/X160),INDEX(input_data!$L:$L,MATCH("all.in.dfv.frt.ure.---",input_data!$A:$A,0))),0),X361)</f>
        <v>0.48112043333333343</v>
      </c>
    </row>
    <row r="273" spans="1:24" ht="15" customHeight="1" x14ac:dyDescent="0.25">
      <c r="A273" s="380" t="str">
        <f>CBAM!$B$5&amp;".cb.obl.frt.ure.---"</f>
        <v>egy.cb.obl.frt.ure.---</v>
      </c>
      <c r="B273" s="380" t="str">
        <f>CBAM!$B$5</f>
        <v>egy</v>
      </c>
      <c r="C273" s="380" t="s">
        <v>1563</v>
      </c>
      <c r="D273" s="380" t="s">
        <v>1571</v>
      </c>
      <c r="E273" s="380" t="s">
        <v>330</v>
      </c>
      <c r="F273" s="380" t="s">
        <v>1473</v>
      </c>
      <c r="G273" s="380" t="s">
        <v>1277</v>
      </c>
      <c r="H273" s="380" t="s">
        <v>1599</v>
      </c>
      <c r="I273" s="380" t="s">
        <v>1573</v>
      </c>
      <c r="J273" s="380" t="s">
        <v>1574</v>
      </c>
      <c r="K273" s="380"/>
      <c r="L273" s="380"/>
      <c r="M273" s="389">
        <f>MAX(M272-INDEX(input_data!$L:$L,MATCH("all.in.bnk.frt.ure.---",input_data!$A:$A,0))*(1-INDEX(input_data!$M:$X,MATCH("all.in.cbf.---.---.---",input_data!$A:$A,0),1)),0)*INDEX(input_data!$M:$X,MATCH("all.in.ets.---.---.---",input_data!$A:$A,0),1)*INDEX(input_data!$M:$X,MATCH("all.in.act.---.---.---",input_data!$A:$A,0),1)*INDEX(input_data!$M:$X,MATCH("all.in.fxr.---.---.---",input_data!$A:$A,0),1)</f>
        <v>0</v>
      </c>
      <c r="N273" s="389">
        <f>MAX(N272-INDEX(input_data!$L:$L,MATCH("all.in.bnk.frt.ure.---",input_data!$A:$A,0))*(1-INDEX(input_data!$M:$X,MATCH("all.in.cbf.---.---.---",input_data!$A:$A,0),2)),0)*INDEX(input_data!$M:$X,MATCH("all.in.ets.---.---.---",input_data!$A:$A,0),2)*INDEX(input_data!$M:$X,MATCH("all.in.act.---.---.---",input_data!$A:$A,0),2)*INDEX(input_data!$M:$X,MATCH("all.in.fxr.---.---.---",input_data!$A:$A,0),2)</f>
        <v>0</v>
      </c>
      <c r="O273" s="389">
        <f>MAX(O272-INDEX(input_data!$L:$L,MATCH("all.in.bnk.frt.ure.---",input_data!$A:$A,0))*(1-INDEX(input_data!$M:$X,MATCH("all.in.cbf.---.---.---",input_data!$A:$A,0),3)),0)*INDEX(input_data!$M:$X,MATCH("all.in.ets.---.---.---",input_data!$A:$A,0),3)*INDEX(input_data!$M:$X,MATCH("all.in.act.---.---.---",input_data!$A:$A,0),3)*INDEX(input_data!$M:$X,MATCH("all.in.fxr.---.---.---",input_data!$A:$A,0),3)</f>
        <v>0</v>
      </c>
      <c r="P273" s="389">
        <f>MAX(P272-INDEX(input_data!$L:$L,MATCH("all.in.bnk.frt.ure.---",input_data!$A:$A,0))*(1-INDEX(input_data!$M:$X,MATCH("all.in.cbf.---.---.---",input_data!$A:$A,0),4)),0)*INDEX(input_data!$M:$X,MATCH("all.in.ets.---.---.---",input_data!$A:$A,0),4)*INDEX(input_data!$M:$X,MATCH("all.in.act.---.---.---",input_data!$A:$A,0),4)*INDEX(input_data!$M:$X,MATCH("all.in.fxr.---.---.---",input_data!$A:$A,0),4)</f>
        <v>0</v>
      </c>
      <c r="Q273" s="389">
        <f>MAX(Q272-INDEX(input_data!$L:$L,MATCH("all.in.bnk.frt.ure.---",input_data!$A:$A,0))*(1-INDEX(input_data!$M:$X,MATCH("all.in.cbf.---.---.---",input_data!$A:$A,0),5)),0)*INDEX(input_data!$M:$X,MATCH("all.in.ets.---.---.---",input_data!$A:$A,0),5)*INDEX(input_data!$M:$X,MATCH("all.in.act.---.---.---",input_data!$A:$A,0),5)*INDEX(input_data!$M:$X,MATCH("all.in.fxr.---.---.---",input_data!$A:$A,0),5)</f>
        <v>0</v>
      </c>
      <c r="R273" s="389">
        <f>MAX(R272-INDEX(input_data!$L:$L,MATCH("all.in.bnk.frt.ure.---",input_data!$A:$A,0))*(1-INDEX(input_data!$M:$X,MATCH("all.in.cbf.---.---.---",input_data!$A:$A,0),6)),0)*INDEX(input_data!$M:$X,MATCH("all.in.ets.---.---.---",input_data!$A:$A,0),6)*INDEX(input_data!$M:$X,MATCH("all.in.act.---.---.---",input_data!$A:$A,0),6)*INDEX(input_data!$M:$X,MATCH("all.in.fxr.---.---.---",input_data!$A:$A,0),6)</f>
        <v>0</v>
      </c>
      <c r="S273" s="389">
        <f>MAX(S272-INDEX(input_data!$L:$L,MATCH("all.in.bnk.frt.ure.---",input_data!$A:$A,0))*(1-INDEX(input_data!$M:$X,MATCH("all.in.cbf.---.---.---",input_data!$A:$A,0),7)),0)*INDEX(input_data!$M:$X,MATCH("all.in.ets.---.---.---",input_data!$A:$A,0),7)*INDEX(input_data!$M:$X,MATCH("all.in.act.---.---.---",input_data!$A:$A,0),7)*INDEX(input_data!$M:$X,MATCH("all.in.fxr.---.---.---",input_data!$A:$A,0),7)</f>
        <v>2.9246293999999811</v>
      </c>
      <c r="T273" s="389">
        <f>MAX(T272-INDEX(input_data!$L:$L,MATCH("all.in.bnk.frt.ure.---",input_data!$A:$A,0))*(1-INDEX(input_data!$M:$X,MATCH("all.in.cbf.---.---.---",input_data!$A:$A,0),8)),0)*INDEX(input_data!$M:$X,MATCH("all.in.ets.---.---.---",input_data!$A:$A,0),8)*INDEX(input_data!$M:$X,MATCH("all.in.act.---.---.---",input_data!$A:$A,0),8)*INDEX(input_data!$M:$X,MATCH("all.in.fxr.---.---.---",input_data!$A:$A,0),8)</f>
        <v>17.762417199999962</v>
      </c>
      <c r="U273" s="389">
        <f>MAX(U272-INDEX(input_data!$L:$L,MATCH("all.in.bnk.frt.ure.---",input_data!$A:$A,0))*(1-INDEX(input_data!$M:$X,MATCH("all.in.cbf.---.---.---",input_data!$A:$A,0),9)),0)*INDEX(input_data!$M:$X,MATCH("all.in.ets.---.---.---",input_data!$A:$A,0),9)*INDEX(input_data!$M:$X,MATCH("all.in.act.---.---.---",input_data!$A:$A,0),9)*INDEX(input_data!$M:$X,MATCH("all.in.fxr.---.---.---",input_data!$A:$A,0),9)</f>
        <v>33.826090833333332</v>
      </c>
      <c r="V273" s="389">
        <f>MAX(V272-INDEX(input_data!$L:$L,MATCH("all.in.bnk.frt.ure.---",input_data!$A:$A,0))*(1-INDEX(input_data!$M:$X,MATCH("all.in.cbf.---.---.---",input_data!$A:$A,0),10)),0)*INDEX(input_data!$M:$X,MATCH("all.in.ets.---.---.---",input_data!$A:$A,0),10)*INDEX(input_data!$M:$X,MATCH("all.in.act.---.---.---",input_data!$A:$A,0),10)*INDEX(input_data!$M:$X,MATCH("all.in.fxr.---.---.---",input_data!$A:$A,0),10)</f>
        <v>51.115650299999992</v>
      </c>
      <c r="W273" s="389">
        <f>MAX(W272-INDEX(input_data!$L:$L,MATCH("all.in.bnk.frt.ure.---",input_data!$A:$A,0))*(1-INDEX(input_data!$M:$X,MATCH("all.in.cbf.---.---.---",input_data!$A:$A,0),11)),0)*INDEX(input_data!$M:$X,MATCH("all.in.ets.---.---.---",input_data!$A:$A,0),11)*INDEX(input_data!$M:$X,MATCH("all.in.act.---.---.---",input_data!$A:$A,0),11)*INDEX(input_data!$M:$X,MATCH("all.in.fxr.---.---.---",input_data!$A:$A,0),11)</f>
        <v>71.640300599999975</v>
      </c>
      <c r="X273" s="389">
        <f>MAX(X272-INDEX(input_data!$L:$L,MATCH("all.in.bnk.frt.ure.---",input_data!$A:$A,0))*(1-INDEX(input_data!$M:$X,MATCH("all.in.cbf.---.---.---",input_data!$A:$A,0),12)),0)*INDEX(input_data!$M:$X,MATCH("all.in.ets.---.---.---",input_data!$A:$A,0),12)*INDEX(input_data!$M:$X,MATCH("all.in.act.---.---.---",input_data!$A:$A,0),12)*INDEX(input_data!$M:$X,MATCH("all.in.fxr.---.---.---",input_data!$A:$A,0),12)</f>
        <v>74.09254673333335</v>
      </c>
    </row>
    <row r="274" spans="1:24" ht="15" customHeight="1" x14ac:dyDescent="0.25">
      <c r="A274" s="380" t="str">
        <f>CBAM!$B$5&amp;".em.nh3.frt.nit.---"</f>
        <v>egy.em.nh3.frt.nit.---</v>
      </c>
      <c r="B274" s="380" t="str">
        <f>CBAM!$B$5</f>
        <v>egy</v>
      </c>
      <c r="C274" s="380" t="s">
        <v>1342</v>
      </c>
      <c r="D274" s="380" t="s">
        <v>1557</v>
      </c>
      <c r="E274" s="380" t="s">
        <v>330</v>
      </c>
      <c r="F274" s="380" t="s">
        <v>1501</v>
      </c>
      <c r="G274" s="380" t="s">
        <v>1277</v>
      </c>
      <c r="H274" s="380" t="s">
        <v>1600</v>
      </c>
      <c r="I274" s="380" t="s">
        <v>1355</v>
      </c>
      <c r="J274" s="380" t="s">
        <v>1559</v>
      </c>
      <c r="K274" s="380"/>
      <c r="L274" s="380"/>
      <c r="M274" s="385">
        <f>INDEX(input_data!$L:$L,MATCH("all.in.nh3.frt.nit.---",input_data!$A:$A,0))*IFERROR((M153+M154+M155+M156+M157)/M132,0)*M188</f>
        <v>0.2016897</v>
      </c>
      <c r="N274" s="385">
        <f>INDEX(input_data!$L:$L,MATCH("all.in.nh3.frt.nit.---",input_data!$A:$A,0))*IFERROR((N153+N154+N155+N156+N157)/N132,0)*N188</f>
        <v>0.20596506257569541</v>
      </c>
      <c r="O274" s="385">
        <f>INDEX(input_data!$L:$L,MATCH("all.in.nh3.frt.nit.---",input_data!$A:$A,0))*IFERROR((O153+O154+O155+O156+O157)/O132,0)*O188</f>
        <v>0.21033101234492546</v>
      </c>
      <c r="P274" s="385">
        <f>INDEX(input_data!$L:$L,MATCH("all.in.nh3.frt.nit.---",input_data!$A:$A,0))*IFERROR((P153+P154+P155+P156+P157)/P132,0)*P188</f>
        <v>0.21478946778523722</v>
      </c>
      <c r="Q274" s="385">
        <f>INDEX(input_data!$L:$L,MATCH("all.in.nh3.frt.nit.---",input_data!$A:$A,0))*IFERROR((Q153+Q154+Q155+Q156+Q157)/Q132,0)*Q188</f>
        <v>0.2193423879842317</v>
      </c>
      <c r="R274" s="385">
        <f>INDEX(input_data!$L:$L,MATCH("all.in.nh3.frt.nit.---",input_data!$A:$A,0))*IFERROR((R153+R154+R155+R156+R157)/R132,0)*R188</f>
        <v>0.22399177349874999</v>
      </c>
      <c r="S274" s="385">
        <f>INDEX(input_data!$L:$L,MATCH("all.in.nh3.frt.nit.---",input_data!$A:$A,0))*IFERROR((S153+S154+S155+S156+S157)/S132,0)*S188</f>
        <v>0.22873966723222863</v>
      </c>
      <c r="T274" s="385">
        <f>INDEX(input_data!$L:$L,MATCH("all.in.nh3.frt.nit.---",input_data!$A:$A,0))*IFERROR((T153+T154+T155+T156+T157)/T132,0)*T188</f>
        <v>0.23358815533060584</v>
      </c>
      <c r="U274" s="385">
        <f>INDEX(input_data!$L:$L,MATCH("all.in.nh3.frt.nit.---",input_data!$A:$A,0))*IFERROR((U153+U154+U155+U156+U157)/U132,0)*U188</f>
        <v>0.2385393680971731</v>
      </c>
      <c r="V274" s="385">
        <f>INDEX(input_data!$L:$L,MATCH("all.in.nh3.frt.nit.---",input_data!$A:$A,0))*IFERROR((V153+V154+V155+V156+V157)/V132,0)*V188</f>
        <v>0.24359548092676961</v>
      </c>
      <c r="W274" s="385">
        <f>INDEX(input_data!$L:$L,MATCH("all.in.nh3.frt.nit.---",input_data!$A:$A,0))*IFERROR((W153+W154+W155+W156+W157)/W132,0)*W188</f>
        <v>0.24875871525973131</v>
      </c>
      <c r="X274" s="385">
        <f>INDEX(input_data!$L:$L,MATCH("all.in.nh3.frt.nit.---",input_data!$A:$A,0))*IFERROR((X153+X154+X155+X156+X157)/X132,0)*X188</f>
        <v>0.25403133955601032</v>
      </c>
    </row>
    <row r="275" spans="1:24" ht="15" customHeight="1" x14ac:dyDescent="0.25">
      <c r="A275" s="380" t="str">
        <f>CBAM!$B$5&amp;".em.tot.frt.nit.---"</f>
        <v>egy.em.tot.frt.nit.---</v>
      </c>
      <c r="B275" s="380" t="str">
        <f>CBAM!$B$5</f>
        <v>egy</v>
      </c>
      <c r="C275" s="380" t="s">
        <v>1342</v>
      </c>
      <c r="D275" s="380" t="s">
        <v>1560</v>
      </c>
      <c r="E275" s="380" t="s">
        <v>330</v>
      </c>
      <c r="F275" s="380" t="s">
        <v>1501</v>
      </c>
      <c r="G275" s="380" t="s">
        <v>1277</v>
      </c>
      <c r="H275" s="380" t="s">
        <v>1601</v>
      </c>
      <c r="I275" s="380" t="s">
        <v>1355</v>
      </c>
      <c r="J275" s="380" t="s">
        <v>1562</v>
      </c>
      <c r="K275" s="380"/>
      <c r="L275" s="380"/>
      <c r="M275" s="386">
        <f t="shared" ref="M275:X275" si="29">M209+M210+M211+M212+M213+M274</f>
        <v>0.76758136666666665</v>
      </c>
      <c r="N275" s="386">
        <f t="shared" si="29"/>
        <v>0.78361011152336069</v>
      </c>
      <c r="O275" s="386">
        <f t="shared" si="29"/>
        <v>0.79997312157371092</v>
      </c>
      <c r="P275" s="386">
        <f t="shared" si="29"/>
        <v>0.81667735753647563</v>
      </c>
      <c r="Q275" s="386">
        <f t="shared" si="29"/>
        <v>0.83372992485341713</v>
      </c>
      <c r="R275" s="386">
        <f t="shared" si="29"/>
        <v>0.8511380766931943</v>
      </c>
      <c r="S275" s="386">
        <f t="shared" si="29"/>
        <v>0.86890921701749058</v>
      </c>
      <c r="T275" s="386">
        <f t="shared" si="29"/>
        <v>0.88705090371066098</v>
      </c>
      <c r="U275" s="386">
        <f t="shared" si="29"/>
        <v>0.9055708517742167</v>
      </c>
      <c r="V275" s="386">
        <f t="shared" si="29"/>
        <v>0.92447693658748131</v>
      </c>
      <c r="W275" s="386">
        <f t="shared" si="29"/>
        <v>0.94377719723579201</v>
      </c>
      <c r="X275" s="386">
        <f t="shared" si="29"/>
        <v>0.96347983990764008</v>
      </c>
    </row>
    <row r="276" spans="1:24" ht="15" customHeight="1" x14ac:dyDescent="0.25">
      <c r="A276" s="380" t="str">
        <f>CBAM!$B$5&amp;".cb.int.frt.nit.---"</f>
        <v>egy.cb.int.frt.nit.---</v>
      </c>
      <c r="B276" s="380" t="str">
        <f>CBAM!$B$5</f>
        <v>egy</v>
      </c>
      <c r="C276" s="380" t="s">
        <v>1563</v>
      </c>
      <c r="D276" s="380" t="s">
        <v>1564</v>
      </c>
      <c r="E276" s="380" t="s">
        <v>330</v>
      </c>
      <c r="F276" s="380" t="s">
        <v>1501</v>
      </c>
      <c r="G276" s="380" t="s">
        <v>1277</v>
      </c>
      <c r="H276" s="380" t="s">
        <v>1602</v>
      </c>
      <c r="I276" s="380" t="s">
        <v>1566</v>
      </c>
      <c r="J276" s="380" t="s">
        <v>1567</v>
      </c>
      <c r="K276" s="380"/>
      <c r="L276" s="380"/>
      <c r="M276" s="387">
        <f t="shared" ref="M276:X276" si="30">IF(M188&gt;0,IFERROR(M275/M188,0),M362)</f>
        <v>1.5351627333333333</v>
      </c>
      <c r="N276" s="387">
        <f t="shared" si="30"/>
        <v>1.534013011111111</v>
      </c>
      <c r="O276" s="387">
        <f t="shared" si="30"/>
        <v>1.5328632888888887</v>
      </c>
      <c r="P276" s="387">
        <f t="shared" si="30"/>
        <v>1.5317135666666668</v>
      </c>
      <c r="Q276" s="387">
        <f t="shared" si="30"/>
        <v>1.5305638444444445</v>
      </c>
      <c r="R276" s="387">
        <f t="shared" si="30"/>
        <v>1.529414122222222</v>
      </c>
      <c r="S276" s="387">
        <f t="shared" si="30"/>
        <v>1.5282643999999999</v>
      </c>
      <c r="T276" s="387">
        <f t="shared" si="30"/>
        <v>1.5271146777777775</v>
      </c>
      <c r="U276" s="387">
        <f t="shared" si="30"/>
        <v>1.5259649555555554</v>
      </c>
      <c r="V276" s="387">
        <f t="shared" si="30"/>
        <v>1.5248152333333336</v>
      </c>
      <c r="W276" s="387">
        <f t="shared" si="30"/>
        <v>1.523665511111111</v>
      </c>
      <c r="X276" s="387">
        <f t="shared" si="30"/>
        <v>1.5225157888888887</v>
      </c>
    </row>
    <row r="277" spans="1:24" ht="15" customHeight="1" x14ac:dyDescent="0.25">
      <c r="A277" s="380" t="str">
        <f>CBAM!$B$5&amp;".cb.mrv.frt.nit.---"</f>
        <v>egy.cb.mrv.frt.nit.---</v>
      </c>
      <c r="B277" s="380" t="str">
        <f>CBAM!$B$5</f>
        <v>egy</v>
      </c>
      <c r="C277" s="380" t="s">
        <v>1563</v>
      </c>
      <c r="D277" s="380" t="s">
        <v>1568</v>
      </c>
      <c r="E277" s="380" t="s">
        <v>330</v>
      </c>
      <c r="F277" s="380" t="s">
        <v>1501</v>
      </c>
      <c r="G277" s="380" t="s">
        <v>1277</v>
      </c>
      <c r="H277" s="380" t="s">
        <v>1603</v>
      </c>
      <c r="I277" s="380" t="s">
        <v>1566</v>
      </c>
      <c r="J277" s="380" t="s">
        <v>1570</v>
      </c>
      <c r="K277" s="380"/>
      <c r="L277" s="380"/>
      <c r="M277" s="388">
        <f>IF(M188&gt;0,IFERROR(IF(INDEX(input_data!$L:$L,MATCH("all.in.mrv.frt.nit.---",input_data!$A:$A,0))=1,((M275-M213*(1-INDEX(input_data!$L:$L,MATCH("all.in.cs2.frt.nit.---",input_data!$A:$A,0))))/M188),INDEX(input_data!$L:$L,MATCH("all.in.dfv.frt.nit.---",input_data!$A:$A,0))),0),M363)</f>
        <v>1.5351627333333333</v>
      </c>
      <c r="N277" s="388">
        <f>IF(N188&gt;0,IFERROR(IF(INDEX(input_data!$L:$L,MATCH("all.in.mrv.frt.nit.---",input_data!$A:$A,0))=1,((N275-N213*(1-INDEX(input_data!$L:$L,MATCH("all.in.cs2.frt.nit.---",input_data!$A:$A,0))))/N188),INDEX(input_data!$L:$L,MATCH("all.in.dfv.frt.nit.---",input_data!$A:$A,0))),0),N363)</f>
        <v>1.534013011111111</v>
      </c>
      <c r="O277" s="388">
        <f>IF(O188&gt;0,IFERROR(IF(INDEX(input_data!$L:$L,MATCH("all.in.mrv.frt.nit.---",input_data!$A:$A,0))=1,((O275-O213*(1-INDEX(input_data!$L:$L,MATCH("all.in.cs2.frt.nit.---",input_data!$A:$A,0))))/O188),INDEX(input_data!$L:$L,MATCH("all.in.dfv.frt.nit.---",input_data!$A:$A,0))),0),O363)</f>
        <v>1.5328632888888887</v>
      </c>
      <c r="P277" s="388">
        <f>IF(P188&gt;0,IFERROR(IF(INDEX(input_data!$L:$L,MATCH("all.in.mrv.frt.nit.---",input_data!$A:$A,0))=1,((P275-P213*(1-INDEX(input_data!$L:$L,MATCH("all.in.cs2.frt.nit.---",input_data!$A:$A,0))))/P188),INDEX(input_data!$L:$L,MATCH("all.in.dfv.frt.nit.---",input_data!$A:$A,0))),0),P363)</f>
        <v>1.5317135666666668</v>
      </c>
      <c r="Q277" s="388">
        <f>IF(Q188&gt;0,IFERROR(IF(INDEX(input_data!$L:$L,MATCH("all.in.mrv.frt.nit.---",input_data!$A:$A,0))=1,((Q275-Q213*(1-INDEX(input_data!$L:$L,MATCH("all.in.cs2.frt.nit.---",input_data!$A:$A,0))))/Q188),INDEX(input_data!$L:$L,MATCH("all.in.dfv.frt.nit.---",input_data!$A:$A,0))),0),Q363)</f>
        <v>1.5305638444444445</v>
      </c>
      <c r="R277" s="388">
        <f>IF(R188&gt;0,IFERROR(IF(INDEX(input_data!$L:$L,MATCH("all.in.mrv.frt.nit.---",input_data!$A:$A,0))=1,((R275-R213*(1-INDEX(input_data!$L:$L,MATCH("all.in.cs2.frt.nit.---",input_data!$A:$A,0))))/R188),INDEX(input_data!$L:$L,MATCH("all.in.dfv.frt.nit.---",input_data!$A:$A,0))),0),R363)</f>
        <v>1.529414122222222</v>
      </c>
      <c r="S277" s="388">
        <f>IF(S188&gt;0,IFERROR(IF(INDEX(input_data!$L:$L,MATCH("all.in.mrv.frt.nit.---",input_data!$A:$A,0))=1,((S275-S213*(1-INDEX(input_data!$L:$L,MATCH("all.in.cs2.frt.nit.---",input_data!$A:$A,0))))/S188),INDEX(input_data!$L:$L,MATCH("all.in.dfv.frt.nit.---",input_data!$A:$A,0))),0),S363)</f>
        <v>1.5282643999999999</v>
      </c>
      <c r="T277" s="388">
        <f>IF(T188&gt;0,IFERROR(IF(INDEX(input_data!$L:$L,MATCH("all.in.mrv.frt.nit.---",input_data!$A:$A,0))=1,((T275-T213*(1-INDEX(input_data!$L:$L,MATCH("all.in.cs2.frt.nit.---",input_data!$A:$A,0))))/T188),INDEX(input_data!$L:$L,MATCH("all.in.dfv.frt.nit.---",input_data!$A:$A,0))),0),T363)</f>
        <v>1.5271146777777775</v>
      </c>
      <c r="U277" s="388">
        <f>IF(U188&gt;0,IFERROR(IF(INDEX(input_data!$L:$L,MATCH("all.in.mrv.frt.nit.---",input_data!$A:$A,0))=1,((U275-U213*(1-INDEX(input_data!$L:$L,MATCH("all.in.cs2.frt.nit.---",input_data!$A:$A,0))))/U188),INDEX(input_data!$L:$L,MATCH("all.in.dfv.frt.nit.---",input_data!$A:$A,0))),0),U363)</f>
        <v>1.5259649555555554</v>
      </c>
      <c r="V277" s="388">
        <f>IF(V188&gt;0,IFERROR(IF(INDEX(input_data!$L:$L,MATCH("all.in.mrv.frt.nit.---",input_data!$A:$A,0))=1,((V275-V213*(1-INDEX(input_data!$L:$L,MATCH("all.in.cs2.frt.nit.---",input_data!$A:$A,0))))/V188),INDEX(input_data!$L:$L,MATCH("all.in.dfv.frt.nit.---",input_data!$A:$A,0))),0),V363)</f>
        <v>1.5248152333333336</v>
      </c>
      <c r="W277" s="388">
        <f>IF(W188&gt;0,IFERROR(IF(INDEX(input_data!$L:$L,MATCH("all.in.mrv.frt.nit.---",input_data!$A:$A,0))=1,((W275-W213*(1-INDEX(input_data!$L:$L,MATCH("all.in.cs2.frt.nit.---",input_data!$A:$A,0))))/W188),INDEX(input_data!$L:$L,MATCH("all.in.dfv.frt.nit.---",input_data!$A:$A,0))),0),W363)</f>
        <v>1.523665511111111</v>
      </c>
      <c r="X277" s="388">
        <f>IF(X188&gt;0,IFERROR(IF(INDEX(input_data!$L:$L,MATCH("all.in.mrv.frt.nit.---",input_data!$A:$A,0))=1,((X275-X213*(1-INDEX(input_data!$L:$L,MATCH("all.in.cs2.frt.nit.---",input_data!$A:$A,0))))/X188),INDEX(input_data!$L:$L,MATCH("all.in.dfv.frt.nit.---",input_data!$A:$A,0))),0),X363)</f>
        <v>1.5225157888888887</v>
      </c>
    </row>
    <row r="278" spans="1:24" ht="15" customHeight="1" x14ac:dyDescent="0.25">
      <c r="A278" s="380" t="str">
        <f>CBAM!$B$5&amp;".cb.obl.frt.nit.---"</f>
        <v>egy.cb.obl.frt.nit.---</v>
      </c>
      <c r="B278" s="380" t="str">
        <f>CBAM!$B$5</f>
        <v>egy</v>
      </c>
      <c r="C278" s="380" t="s">
        <v>1563</v>
      </c>
      <c r="D278" s="380" t="s">
        <v>1571</v>
      </c>
      <c r="E278" s="380" t="s">
        <v>330</v>
      </c>
      <c r="F278" s="380" t="s">
        <v>1501</v>
      </c>
      <c r="G278" s="380" t="s">
        <v>1277</v>
      </c>
      <c r="H278" s="380" t="s">
        <v>1604</v>
      </c>
      <c r="I278" s="380" t="s">
        <v>1573</v>
      </c>
      <c r="J278" s="380" t="s">
        <v>1574</v>
      </c>
      <c r="K278" s="380"/>
      <c r="L278" s="380"/>
      <c r="M278" s="389">
        <f>MAX(M277-INDEX(input_data!$L:$L,MATCH("all.in.bnk.frt.nit.---",input_data!$A:$A,0))*(1-INDEX(input_data!$M:$X,MATCH("all.in.cbf.---.---.---",input_data!$A:$A,0),1)),0)*INDEX(input_data!$M:$X,MATCH("all.in.ets.---.---.---",input_data!$A:$A,0),1)*INDEX(input_data!$M:$X,MATCH("all.in.act.---.---.---",input_data!$A:$A,0),1)*INDEX(input_data!$M:$X,MATCH("all.in.fxr.---.---.---",input_data!$A:$A,0),1)</f>
        <v>0</v>
      </c>
      <c r="N278" s="389">
        <f>MAX(N277-INDEX(input_data!$L:$L,MATCH("all.in.bnk.frt.nit.---",input_data!$A:$A,0))*(1-INDEX(input_data!$M:$X,MATCH("all.in.cbf.---.---.---",input_data!$A:$A,0),2)),0)*INDEX(input_data!$M:$X,MATCH("all.in.ets.---.---.---",input_data!$A:$A,0),2)*INDEX(input_data!$M:$X,MATCH("all.in.act.---.---.---",input_data!$A:$A,0),2)*INDEX(input_data!$M:$X,MATCH("all.in.fxr.---.---.---",input_data!$A:$A,0),2)</f>
        <v>0</v>
      </c>
      <c r="O278" s="389">
        <f>MAX(O277-INDEX(input_data!$L:$L,MATCH("all.in.bnk.frt.nit.---",input_data!$A:$A,0))*(1-INDEX(input_data!$M:$X,MATCH("all.in.cbf.---.---.---",input_data!$A:$A,0),3)),0)*INDEX(input_data!$M:$X,MATCH("all.in.ets.---.---.---",input_data!$A:$A,0),3)*INDEX(input_data!$M:$X,MATCH("all.in.act.---.---.---",input_data!$A:$A,0),3)*INDEX(input_data!$M:$X,MATCH("all.in.fxr.---.---.---",input_data!$A:$A,0),3)</f>
        <v>136.22546177777778</v>
      </c>
      <c r="P278" s="389">
        <f>MAX(P277-INDEX(input_data!$L:$L,MATCH("all.in.bnk.frt.nit.---",input_data!$A:$A,0))*(1-INDEX(input_data!$M:$X,MATCH("all.in.cbf.---.---.---",input_data!$A:$A,0),4)),0)*INDEX(input_data!$M:$X,MATCH("all.in.ets.---.---.---",input_data!$A:$A,0),4)*INDEX(input_data!$M:$X,MATCH("all.in.act.---.---.---",input_data!$A:$A,0),4)*INDEX(input_data!$M:$X,MATCH("all.in.fxr.---.---.---",input_data!$A:$A,0),4)</f>
        <v>143.77596695000003</v>
      </c>
      <c r="Q278" s="389">
        <f>MAX(Q277-INDEX(input_data!$L:$L,MATCH("all.in.bnk.frt.nit.---",input_data!$A:$A,0))*(1-INDEX(input_data!$M:$X,MATCH("all.in.cbf.---.---.---",input_data!$A:$A,0),5)),0)*INDEX(input_data!$M:$X,MATCH("all.in.ets.---.---.---",input_data!$A:$A,0),5)*INDEX(input_data!$M:$X,MATCH("all.in.act.---.---.---",input_data!$A:$A,0),5)*INDEX(input_data!$M:$X,MATCH("all.in.fxr.---.---.---",input_data!$A:$A,0),5)</f>
        <v>152.31042517777777</v>
      </c>
      <c r="R278" s="389">
        <f>MAX(R277-INDEX(input_data!$L:$L,MATCH("all.in.bnk.frt.nit.---",input_data!$A:$A,0))*(1-INDEX(input_data!$M:$X,MATCH("all.in.cbf.---.---.---",input_data!$A:$A,0),6)),0)*INDEX(input_data!$M:$X,MATCH("all.in.ets.---.---.---",input_data!$A:$A,0),6)*INDEX(input_data!$M:$X,MATCH("all.in.act.---.---.---",input_data!$A:$A,0),6)*INDEX(input_data!$M:$X,MATCH("all.in.fxr.---.---.---",input_data!$A:$A,0),6)</f>
        <v>156.73905878888885</v>
      </c>
      <c r="S278" s="389">
        <f>MAX(S277-INDEX(input_data!$L:$L,MATCH("all.in.bnk.frt.nit.---",input_data!$A:$A,0))*(1-INDEX(input_data!$M:$X,MATCH("all.in.cbf.---.---.---",input_data!$A:$A,0),7)),0)*INDEX(input_data!$M:$X,MATCH("all.in.ets.---.---.---",input_data!$A:$A,0),7)*INDEX(input_data!$M:$X,MATCH("all.in.act.---.---.---",input_data!$A:$A,0),7)*INDEX(input_data!$M:$X,MATCH("all.in.fxr.---.---.---",input_data!$A:$A,0),7)</f>
        <v>173.6509016</v>
      </c>
      <c r="T278" s="389">
        <f>MAX(T277-INDEX(input_data!$L:$L,MATCH("all.in.bnk.frt.nit.---",input_data!$A:$A,0))*(1-INDEX(input_data!$M:$X,MATCH("all.in.cbf.---.---.---",input_data!$A:$A,0),8)),0)*INDEX(input_data!$M:$X,MATCH("all.in.ets.---.---.---",input_data!$A:$A,0),8)*INDEX(input_data!$M:$X,MATCH("all.in.act.---.---.---",input_data!$A:$A,0),8)*INDEX(input_data!$M:$X,MATCH("all.in.fxr.---.---.---",input_data!$A:$A,0),8)</f>
        <v>186.03217746666664</v>
      </c>
      <c r="U278" s="389">
        <f>MAX(U277-INDEX(input_data!$L:$L,MATCH("all.in.bnk.frt.nit.---",input_data!$A:$A,0))*(1-INDEX(input_data!$M:$X,MATCH("all.in.cbf.---.---.---",input_data!$A:$A,0),9)),0)*INDEX(input_data!$M:$X,MATCH("all.in.ets.---.---.---",input_data!$A:$A,0),9)*INDEX(input_data!$M:$X,MATCH("all.in.act.---.---.---",input_data!$A:$A,0),9)*INDEX(input_data!$M:$X,MATCH("all.in.fxr.---.---.---",input_data!$A:$A,0),9)</f>
        <v>198.81605638888888</v>
      </c>
      <c r="V278" s="389">
        <f>MAX(V277-INDEX(input_data!$L:$L,MATCH("all.in.bnk.frt.nit.---",input_data!$A:$A,0))*(1-INDEX(input_data!$M:$X,MATCH("all.in.cbf.---.---.---",input_data!$A:$A,0),10)),0)*INDEX(input_data!$M:$X,MATCH("all.in.ets.---.---.---",input_data!$A:$A,0),10)*INDEX(input_data!$M:$X,MATCH("all.in.act.---.---.---",input_data!$A:$A,0),10)*INDEX(input_data!$M:$X,MATCH("all.in.fxr.---.---.---",input_data!$A:$A,0),10)</f>
        <v>212.00253836666673</v>
      </c>
      <c r="W278" s="389">
        <f>MAX(W277-INDEX(input_data!$L:$L,MATCH("all.in.bnk.frt.nit.---",input_data!$A:$A,0))*(1-INDEX(input_data!$M:$X,MATCH("all.in.cbf.---.---.---",input_data!$A:$A,0),11)),0)*INDEX(input_data!$M:$X,MATCH("all.in.ets.---.---.---",input_data!$A:$A,0),11)*INDEX(input_data!$M:$X,MATCH("all.in.act.---.---.---",input_data!$A:$A,0),11)*INDEX(input_data!$M:$X,MATCH("all.in.fxr.---.---.---",input_data!$A:$A,0),11)</f>
        <v>226.26432840000001</v>
      </c>
      <c r="X278" s="389">
        <f>MAX(X277-INDEX(input_data!$L:$L,MATCH("all.in.bnk.frt.nit.---",input_data!$A:$A,0))*(1-INDEX(input_data!$M:$X,MATCH("all.in.cbf.---.---.---",input_data!$A:$A,0),12)),0)*INDEX(input_data!$M:$X,MATCH("all.in.ets.---.---.---",input_data!$A:$A,0),12)*INDEX(input_data!$M:$X,MATCH("all.in.act.---.---.---",input_data!$A:$A,0),12)*INDEX(input_data!$M:$X,MATCH("all.in.fxr.---.---.---",input_data!$A:$A,0),12)</f>
        <v>234.46743148888888</v>
      </c>
    </row>
    <row r="279" spans="1:24" ht="15" customHeight="1" x14ac:dyDescent="0.25">
      <c r="A279" s="380" t="str">
        <f>CBAM!$B$5&amp;".em.nh3.alu.prp.---"</f>
        <v>egy.em.nh3.alu.prp.---</v>
      </c>
      <c r="B279" s="380" t="str">
        <f>CBAM!$B$5</f>
        <v>egy</v>
      </c>
      <c r="C279" s="380" t="s">
        <v>1342</v>
      </c>
      <c r="D279" s="380" t="s">
        <v>1557</v>
      </c>
      <c r="E279" s="380" t="s">
        <v>334</v>
      </c>
      <c r="F279" s="380" t="s">
        <v>1529</v>
      </c>
      <c r="G279" s="380" t="s">
        <v>1277</v>
      </c>
      <c r="H279" s="380" t="s">
        <v>1605</v>
      </c>
      <c r="I279" s="380" t="s">
        <v>1355</v>
      </c>
      <c r="J279" s="380" t="s">
        <v>1559</v>
      </c>
      <c r="K279" s="380"/>
      <c r="L279" s="380"/>
      <c r="M279" s="385">
        <f>INDEX(input_data!$L:$L,MATCH("all.in.nh3.alu.prp.---",input_data!$A:$A,0))*IFERROR((M153+M154+M155+M156)/M132,0)*M216</f>
        <v>0</v>
      </c>
      <c r="N279" s="385">
        <f>INDEX(input_data!$L:$L,MATCH("all.in.nh3.alu.prp.---",input_data!$A:$A,0))*IFERROR((N153+N154+N155+N156)/N132,0)*N216</f>
        <v>0</v>
      </c>
      <c r="O279" s="385">
        <f>INDEX(input_data!$L:$L,MATCH("all.in.nh3.alu.prp.---",input_data!$A:$A,0))*IFERROR((O153+O154+O155+O156)/O132,0)*O216</f>
        <v>0</v>
      </c>
      <c r="P279" s="385">
        <f>INDEX(input_data!$L:$L,MATCH("all.in.nh3.alu.prp.---",input_data!$A:$A,0))*IFERROR((P153+P154+P155+P156)/P132,0)*P216</f>
        <v>0</v>
      </c>
      <c r="Q279" s="385">
        <f>INDEX(input_data!$L:$L,MATCH("all.in.nh3.alu.prp.---",input_data!$A:$A,0))*IFERROR((Q153+Q154+Q155+Q156)/Q132,0)*Q216</f>
        <v>0</v>
      </c>
      <c r="R279" s="385">
        <f>INDEX(input_data!$L:$L,MATCH("all.in.nh3.alu.prp.---",input_data!$A:$A,0))*IFERROR((R153+R154+R155+R156)/R132,0)*R216</f>
        <v>0</v>
      </c>
      <c r="S279" s="385">
        <f>INDEX(input_data!$L:$L,MATCH("all.in.nh3.alu.prp.---",input_data!$A:$A,0))*IFERROR((S153+S154+S155+S156)/S132,0)*S216</f>
        <v>0</v>
      </c>
      <c r="T279" s="385">
        <f>INDEX(input_data!$L:$L,MATCH("all.in.nh3.alu.prp.---",input_data!$A:$A,0))*IFERROR((T153+T154+T155+T156)/T132,0)*T216</f>
        <v>0</v>
      </c>
      <c r="U279" s="385">
        <f>INDEX(input_data!$L:$L,MATCH("all.in.nh3.alu.prp.---",input_data!$A:$A,0))*IFERROR((U153+U154+U155+U156)/U132,0)*U216</f>
        <v>0</v>
      </c>
      <c r="V279" s="385">
        <f>INDEX(input_data!$L:$L,MATCH("all.in.nh3.alu.prp.---",input_data!$A:$A,0))*IFERROR((V153+V154+V155+V156)/V132,0)*V216</f>
        <v>0</v>
      </c>
      <c r="W279" s="385">
        <f>INDEX(input_data!$L:$L,MATCH("all.in.nh3.alu.prp.---",input_data!$A:$A,0))*IFERROR((W153+W154+W155+W156)/W132,0)*W216</f>
        <v>0</v>
      </c>
      <c r="X279" s="385">
        <f>INDEX(input_data!$L:$L,MATCH("all.in.nh3.alu.prp.---",input_data!$A:$A,0))*IFERROR((X153+X154+X155+X156)/X132,0)*X216</f>
        <v>0</v>
      </c>
    </row>
    <row r="280" spans="1:24" ht="15" customHeight="1" x14ac:dyDescent="0.25">
      <c r="A280" s="380" t="str">
        <f>CBAM!$B$5&amp;".em.tot.alu.prp.---"</f>
        <v>egy.em.tot.alu.prp.---</v>
      </c>
      <c r="B280" s="380" t="str">
        <f>CBAM!$B$5</f>
        <v>egy</v>
      </c>
      <c r="C280" s="380" t="s">
        <v>1342</v>
      </c>
      <c r="D280" s="380" t="s">
        <v>1560</v>
      </c>
      <c r="E280" s="380" t="s">
        <v>334</v>
      </c>
      <c r="F280" s="380" t="s">
        <v>1529</v>
      </c>
      <c r="G280" s="380" t="s">
        <v>1277</v>
      </c>
      <c r="H280" s="380" t="s">
        <v>1606</v>
      </c>
      <c r="I280" s="380" t="s">
        <v>1355</v>
      </c>
      <c r="J280" s="380" t="s">
        <v>1562</v>
      </c>
      <c r="K280" s="380"/>
      <c r="L280" s="380"/>
      <c r="M280" s="386">
        <f t="shared" ref="M280:X280" si="31">M237+M238+M239+M240+M241+M279</f>
        <v>2.9429779999999996</v>
      </c>
      <c r="N280" s="386">
        <f t="shared" si="31"/>
        <v>3.0263683440101374</v>
      </c>
      <c r="O280" s="386">
        <f t="shared" si="31"/>
        <v>3.111421104014509</v>
      </c>
      <c r="P280" s="386">
        <f t="shared" si="31"/>
        <v>3.1981220747652266</v>
      </c>
      <c r="Q280" s="386">
        <f t="shared" si="31"/>
        <v>3.2864526237972003</v>
      </c>
      <c r="R280" s="386">
        <f t="shared" si="31"/>
        <v>3.3763893311361231</v>
      </c>
      <c r="S280" s="386">
        <f t="shared" si="31"/>
        <v>3.4679036059505131</v>
      </c>
      <c r="T280" s="386">
        <f t="shared" si="31"/>
        <v>3.5609612788198048</v>
      </c>
      <c r="U280" s="386">
        <f t="shared" si="31"/>
        <v>3.6555221682184698</v>
      </c>
      <c r="V280" s="386">
        <f t="shared" si="31"/>
        <v>3.7515396197402797</v>
      </c>
      <c r="W280" s="386">
        <f t="shared" si="31"/>
        <v>3.8489600165070206</v>
      </c>
      <c r="X280" s="386">
        <f t="shared" si="31"/>
        <v>3.9477222591220467</v>
      </c>
    </row>
    <row r="281" spans="1:24" ht="15" customHeight="1" x14ac:dyDescent="0.25">
      <c r="A281" s="380" t="str">
        <f>CBAM!$B$5&amp;".cb.int.alu.prp.---"</f>
        <v>egy.cb.int.alu.prp.---</v>
      </c>
      <c r="B281" s="380" t="str">
        <f>CBAM!$B$5</f>
        <v>egy</v>
      </c>
      <c r="C281" s="380" t="s">
        <v>1563</v>
      </c>
      <c r="D281" s="380" t="s">
        <v>1564</v>
      </c>
      <c r="E281" s="380" t="s">
        <v>334</v>
      </c>
      <c r="F281" s="380" t="s">
        <v>1529</v>
      </c>
      <c r="G281" s="380" t="s">
        <v>1277</v>
      </c>
      <c r="H281" s="380" t="s">
        <v>1607</v>
      </c>
      <c r="I281" s="380" t="s">
        <v>1566</v>
      </c>
      <c r="J281" s="380" t="s">
        <v>1567</v>
      </c>
      <c r="K281" s="380"/>
      <c r="L281" s="380"/>
      <c r="M281" s="387">
        <f t="shared" ref="M281:X281" si="32">IF(M216&gt;0,IFERROR(M280/M216,0),M364)</f>
        <v>10.148199999999999</v>
      </c>
      <c r="N281" s="387">
        <f t="shared" si="32"/>
        <v>9.9981999999999989</v>
      </c>
      <c r="O281" s="387">
        <f t="shared" si="32"/>
        <v>9.8482000000000003</v>
      </c>
      <c r="P281" s="387">
        <f t="shared" si="32"/>
        <v>9.6981999999999982</v>
      </c>
      <c r="Q281" s="387">
        <f t="shared" si="32"/>
        <v>9.5481999999999996</v>
      </c>
      <c r="R281" s="387">
        <f t="shared" si="32"/>
        <v>9.398200000000001</v>
      </c>
      <c r="S281" s="387">
        <f t="shared" si="32"/>
        <v>9.2481999999999989</v>
      </c>
      <c r="T281" s="387">
        <f t="shared" si="32"/>
        <v>9.0982000000000003</v>
      </c>
      <c r="U281" s="387">
        <f t="shared" si="32"/>
        <v>8.9481999999999982</v>
      </c>
      <c r="V281" s="387">
        <f t="shared" si="32"/>
        <v>8.7981999999999978</v>
      </c>
      <c r="W281" s="387">
        <f t="shared" si="32"/>
        <v>8.6481999999999992</v>
      </c>
      <c r="X281" s="387">
        <f t="shared" si="32"/>
        <v>8.4982000000000006</v>
      </c>
    </row>
    <row r="282" spans="1:24" ht="15" customHeight="1" x14ac:dyDescent="0.25">
      <c r="A282" s="380" t="str">
        <f>CBAM!$B$5&amp;".cb.mrv.alu.prp.---"</f>
        <v>egy.cb.mrv.alu.prp.---</v>
      </c>
      <c r="B282" s="380" t="str">
        <f>CBAM!$B$5</f>
        <v>egy</v>
      </c>
      <c r="C282" s="380" t="s">
        <v>1563</v>
      </c>
      <c r="D282" s="380" t="s">
        <v>1568</v>
      </c>
      <c r="E282" s="380" t="s">
        <v>334</v>
      </c>
      <c r="F282" s="380" t="s">
        <v>1529</v>
      </c>
      <c r="G282" s="380" t="s">
        <v>1277</v>
      </c>
      <c r="H282" s="380" t="s">
        <v>1608</v>
      </c>
      <c r="I282" s="380" t="s">
        <v>1566</v>
      </c>
      <c r="J282" s="380" t="s">
        <v>1570</v>
      </c>
      <c r="K282" s="380"/>
      <c r="L282" s="380"/>
      <c r="M282" s="388">
        <f>IF(M216&gt;0,IFERROR(IF(INDEX(input_data!$L:$L,MATCH("all.in.mrv.alu.prp.---",input_data!$A:$A,0))=1,((M280-M241*(1-INDEX(input_data!$L:$L,MATCH("all.in.cs2.alu.prp.---",input_data!$A:$A,0))))/M216),INDEX(input_data!$L:$L,MATCH("all.in.dfv.alu.prp.---",input_data!$A:$A,0))),0),M365)</f>
        <v>2.4982000000000002</v>
      </c>
      <c r="N282" s="388">
        <f>IF(N216&gt;0,IFERROR(IF(INDEX(input_data!$L:$L,MATCH("all.in.mrv.alu.prp.---",input_data!$A:$A,0))=1,((N280-N241*(1-INDEX(input_data!$L:$L,MATCH("all.in.cs2.alu.prp.---",input_data!$A:$A,0))))/N216),INDEX(input_data!$L:$L,MATCH("all.in.dfv.alu.prp.---",input_data!$A:$A,0))),0),N365)</f>
        <v>2.4981999999999998</v>
      </c>
      <c r="O282" s="388">
        <f>IF(O216&gt;0,IFERROR(IF(INDEX(input_data!$L:$L,MATCH("all.in.mrv.alu.prp.---",input_data!$A:$A,0))=1,((O280-O241*(1-INDEX(input_data!$L:$L,MATCH("all.in.cs2.alu.prp.---",input_data!$A:$A,0))))/O216),INDEX(input_data!$L:$L,MATCH("all.in.dfv.alu.prp.---",input_data!$A:$A,0))),0),O365)</f>
        <v>2.4982000000000002</v>
      </c>
      <c r="P282" s="388">
        <f>IF(P216&gt;0,IFERROR(IF(INDEX(input_data!$L:$L,MATCH("all.in.mrv.alu.prp.---",input_data!$A:$A,0))=1,((P280-P241*(1-INDEX(input_data!$L:$L,MATCH("all.in.cs2.alu.prp.---",input_data!$A:$A,0))))/P216),INDEX(input_data!$L:$L,MATCH("all.in.dfv.alu.prp.---",input_data!$A:$A,0))),0),P365)</f>
        <v>2.4981999999999989</v>
      </c>
      <c r="Q282" s="388">
        <f>IF(Q216&gt;0,IFERROR(IF(INDEX(input_data!$L:$L,MATCH("all.in.mrv.alu.prp.---",input_data!$A:$A,0))=1,((Q280-Q241*(1-INDEX(input_data!$L:$L,MATCH("all.in.cs2.alu.prp.---",input_data!$A:$A,0))))/Q216),INDEX(input_data!$L:$L,MATCH("all.in.dfv.alu.prp.---",input_data!$A:$A,0))),0),Q365)</f>
        <v>2.4982000000000002</v>
      </c>
      <c r="R282" s="388">
        <f>IF(R216&gt;0,IFERROR(IF(INDEX(input_data!$L:$L,MATCH("all.in.mrv.alu.prp.---",input_data!$A:$A,0))=1,((R280-R241*(1-INDEX(input_data!$L:$L,MATCH("all.in.cs2.alu.prp.---",input_data!$A:$A,0))))/R216),INDEX(input_data!$L:$L,MATCH("all.in.dfv.alu.prp.---",input_data!$A:$A,0))),0),R365)</f>
        <v>2.4981999999999998</v>
      </c>
      <c r="S282" s="388">
        <f>IF(S216&gt;0,IFERROR(IF(INDEX(input_data!$L:$L,MATCH("all.in.mrv.alu.prp.---",input_data!$A:$A,0))=1,((S280-S241*(1-INDEX(input_data!$L:$L,MATCH("all.in.cs2.alu.prp.---",input_data!$A:$A,0))))/S216),INDEX(input_data!$L:$L,MATCH("all.in.dfv.alu.prp.---",input_data!$A:$A,0))),0),S365)</f>
        <v>2.4982000000000002</v>
      </c>
      <c r="T282" s="388">
        <f>IF(T216&gt;0,IFERROR(IF(INDEX(input_data!$L:$L,MATCH("all.in.mrv.alu.prp.---",input_data!$A:$A,0))=1,((T280-T241*(1-INDEX(input_data!$L:$L,MATCH("all.in.cs2.alu.prp.---",input_data!$A:$A,0))))/T216),INDEX(input_data!$L:$L,MATCH("all.in.dfv.alu.prp.---",input_data!$A:$A,0))),0),T365)</f>
        <v>2.4982000000000002</v>
      </c>
      <c r="U282" s="388">
        <f>IF(U216&gt;0,IFERROR(IF(INDEX(input_data!$L:$L,MATCH("all.in.mrv.alu.prp.---",input_data!$A:$A,0))=1,((U280-U241*(1-INDEX(input_data!$L:$L,MATCH("all.in.cs2.alu.prp.---",input_data!$A:$A,0))))/U216),INDEX(input_data!$L:$L,MATCH("all.in.dfv.alu.prp.---",input_data!$A:$A,0))),0),U365)</f>
        <v>2.4981999999999993</v>
      </c>
      <c r="V282" s="388">
        <f>IF(V216&gt;0,IFERROR(IF(INDEX(input_data!$L:$L,MATCH("all.in.mrv.alu.prp.---",input_data!$A:$A,0))=1,((V280-V241*(1-INDEX(input_data!$L:$L,MATCH("all.in.cs2.alu.prp.---",input_data!$A:$A,0))))/V216),INDEX(input_data!$L:$L,MATCH("all.in.dfv.alu.prp.---",input_data!$A:$A,0))),0),V365)</f>
        <v>2.4981999999999993</v>
      </c>
      <c r="W282" s="388">
        <f>IF(W216&gt;0,IFERROR(IF(INDEX(input_data!$L:$L,MATCH("all.in.mrv.alu.prp.---",input_data!$A:$A,0))=1,((W280-W241*(1-INDEX(input_data!$L:$L,MATCH("all.in.cs2.alu.prp.---",input_data!$A:$A,0))))/W216),INDEX(input_data!$L:$L,MATCH("all.in.dfv.alu.prp.---",input_data!$A:$A,0))),0),W365)</f>
        <v>2.4982000000000002</v>
      </c>
      <c r="X282" s="388">
        <f>IF(X216&gt;0,IFERROR(IF(INDEX(input_data!$L:$L,MATCH("all.in.mrv.alu.prp.---",input_data!$A:$A,0))=1,((X280-X241*(1-INDEX(input_data!$L:$L,MATCH("all.in.cs2.alu.prp.---",input_data!$A:$A,0))))/X216),INDEX(input_data!$L:$L,MATCH("all.in.dfv.alu.prp.---",input_data!$A:$A,0))),0),X365)</f>
        <v>2.4982000000000002</v>
      </c>
    </row>
    <row r="283" spans="1:24" ht="15" customHeight="1" x14ac:dyDescent="0.25">
      <c r="A283" s="380" t="str">
        <f>CBAM!$B$5&amp;".cb.obl.alu.prp.---"</f>
        <v>egy.cb.obl.alu.prp.---</v>
      </c>
      <c r="B283" s="380" t="str">
        <f>CBAM!$B$5</f>
        <v>egy</v>
      </c>
      <c r="C283" s="380" t="s">
        <v>1563</v>
      </c>
      <c r="D283" s="380" t="s">
        <v>1571</v>
      </c>
      <c r="E283" s="380" t="s">
        <v>334</v>
      </c>
      <c r="F283" s="380" t="s">
        <v>1529</v>
      </c>
      <c r="G283" s="380" t="s">
        <v>1277</v>
      </c>
      <c r="H283" s="380" t="s">
        <v>1609</v>
      </c>
      <c r="I283" s="380" t="s">
        <v>1573</v>
      </c>
      <c r="J283" s="380" t="s">
        <v>1574</v>
      </c>
      <c r="K283" s="380"/>
      <c r="L283" s="380"/>
      <c r="M283" s="389">
        <f>MAX(M282-INDEX(input_data!$L:$L,MATCH("all.in.bnk.alu.prp.---",input_data!$A:$A,0))*(1-INDEX(input_data!$M:$X,MATCH("all.in.cbf.---.---.---",input_data!$A:$A,0),1)),0)*INDEX(input_data!$M:$X,MATCH("all.in.ets.---.---.---",input_data!$A:$A,0),1)*INDEX(input_data!$M:$X,MATCH("all.in.act.---.---.---",input_data!$A:$A,0),1)*INDEX(input_data!$M:$X,MATCH("all.in.fxr.---.---.---",input_data!$A:$A,0),1)</f>
        <v>0</v>
      </c>
      <c r="N283" s="389">
        <f>MAX(N282-INDEX(input_data!$L:$L,MATCH("all.in.bnk.alu.prp.---",input_data!$A:$A,0))*(1-INDEX(input_data!$M:$X,MATCH("all.in.cbf.---.---.---",input_data!$A:$A,0),2)),0)*INDEX(input_data!$M:$X,MATCH("all.in.ets.---.---.---",input_data!$A:$A,0),2)*INDEX(input_data!$M:$X,MATCH("all.in.act.---.---.---",input_data!$A:$A,0),2)*INDEX(input_data!$M:$X,MATCH("all.in.fxr.---.---.---",input_data!$A:$A,0),2)</f>
        <v>0</v>
      </c>
      <c r="O283" s="389">
        <f>MAX(O282-INDEX(input_data!$L:$L,MATCH("all.in.bnk.alu.prp.---",input_data!$A:$A,0))*(1-INDEX(input_data!$M:$X,MATCH("all.in.cbf.---.---.---",input_data!$A:$A,0),3)),0)*INDEX(input_data!$M:$X,MATCH("all.in.ets.---.---.---",input_data!$A:$A,0),3)*INDEX(input_data!$M:$X,MATCH("all.in.act.---.---.---",input_data!$A:$A,0),3)*INDEX(input_data!$M:$X,MATCH("all.in.fxr.---.---.---",input_data!$A:$A,0),3)</f>
        <v>122.18525000000004</v>
      </c>
      <c r="P283" s="389">
        <f>MAX(P282-INDEX(input_data!$L:$L,MATCH("all.in.bnk.alu.prp.---",input_data!$A:$A,0))*(1-INDEX(input_data!$M:$X,MATCH("all.in.cbf.---.---.---",input_data!$A:$A,0),4)),0)*INDEX(input_data!$M:$X,MATCH("all.in.ets.---.---.---",input_data!$A:$A,0),4)*INDEX(input_data!$M:$X,MATCH("all.in.act.---.---.---",input_data!$A:$A,0),4)*INDEX(input_data!$M:$X,MATCH("all.in.fxr.---.---.---",input_data!$A:$A,0),4)</f>
        <v>132.40342499999988</v>
      </c>
      <c r="Q283" s="389">
        <f>MAX(Q282-INDEX(input_data!$L:$L,MATCH("all.in.bnk.alu.prp.---",input_data!$A:$A,0))*(1-INDEX(input_data!$M:$X,MATCH("all.in.cbf.---.---.---",input_data!$A:$A,0),5)),0)*INDEX(input_data!$M:$X,MATCH("all.in.ets.---.---.---",input_data!$A:$A,0),5)*INDEX(input_data!$M:$X,MATCH("all.in.act.---.---.---",input_data!$A:$A,0),5)*INDEX(input_data!$M:$X,MATCH("all.in.fxr.---.---.---",input_data!$A:$A,0),5)</f>
        <v>147.31750000000002</v>
      </c>
      <c r="R283" s="389">
        <f>MAX(R282-INDEX(input_data!$L:$L,MATCH("all.in.bnk.alu.prp.---",input_data!$A:$A,0))*(1-INDEX(input_data!$M:$X,MATCH("all.in.cbf.---.---.---",input_data!$A:$A,0),6)),0)*INDEX(input_data!$M:$X,MATCH("all.in.ets.---.---.---",input_data!$A:$A,0),6)*INDEX(input_data!$M:$X,MATCH("all.in.act.---.---.---",input_data!$A:$A,0),6)*INDEX(input_data!$M:$X,MATCH("all.in.fxr.---.---.---",input_data!$A:$A,0),6)</f>
        <v>168.84037499999997</v>
      </c>
      <c r="S283" s="389">
        <f>MAX(S282-INDEX(input_data!$L:$L,MATCH("all.in.bnk.alu.prp.---",input_data!$A:$A,0))*(1-INDEX(input_data!$M:$X,MATCH("all.in.cbf.---.---.---",input_data!$A:$A,0),7)),0)*INDEX(input_data!$M:$X,MATCH("all.in.ets.---.---.---",input_data!$A:$A,0),7)*INDEX(input_data!$M:$X,MATCH("all.in.act.---.---.---",input_data!$A:$A,0),7)*INDEX(input_data!$M:$X,MATCH("all.in.fxr.---.---.---",input_data!$A:$A,0),7)</f>
        <v>223.31740750000003</v>
      </c>
      <c r="T283" s="389">
        <f>MAX(T282-INDEX(input_data!$L:$L,MATCH("all.in.bnk.alu.prp.---",input_data!$A:$A,0))*(1-INDEX(input_data!$M:$X,MATCH("all.in.cbf.---.---.---",input_data!$A:$A,0),8)),0)*INDEX(input_data!$M:$X,MATCH("all.in.ets.---.---.---",input_data!$A:$A,0),8)*INDEX(input_data!$M:$X,MATCH("all.in.act.---.---.---",input_data!$A:$A,0),8)*INDEX(input_data!$M:$X,MATCH("all.in.fxr.---.---.---",input_data!$A:$A,0),8)</f>
        <v>256.50636000000003</v>
      </c>
      <c r="U283" s="389">
        <f>MAX(U282-INDEX(input_data!$L:$L,MATCH("all.in.bnk.alu.prp.---",input_data!$A:$A,0))*(1-INDEX(input_data!$M:$X,MATCH("all.in.cbf.---.---.---",input_data!$A:$A,0),9)),0)*INDEX(input_data!$M:$X,MATCH("all.in.ets.---.---.---",input_data!$A:$A,0),9)*INDEX(input_data!$M:$X,MATCH("all.in.act.---.---.---",input_data!$A:$A,0),9)*INDEX(input_data!$M:$X,MATCH("all.in.fxr.---.---.---",input_data!$A:$A,0),9)</f>
        <v>291.65193749999992</v>
      </c>
      <c r="V283" s="389">
        <f>MAX(V282-INDEX(input_data!$L:$L,MATCH("all.in.bnk.alu.prp.---",input_data!$A:$A,0))*(1-INDEX(input_data!$M:$X,MATCH("all.in.cbf.---.---.---",input_data!$A:$A,0),10)),0)*INDEX(input_data!$M:$X,MATCH("all.in.ets.---.---.---",input_data!$A:$A,0),10)*INDEX(input_data!$M:$X,MATCH("all.in.act.---.---.---",input_data!$A:$A,0),10)*INDEX(input_data!$M:$X,MATCH("all.in.fxr.---.---.---",input_data!$A:$A,0),10)</f>
        <v>328.75413999999995</v>
      </c>
      <c r="W283" s="389">
        <f>MAX(W282-INDEX(input_data!$L:$L,MATCH("all.in.bnk.alu.prp.---",input_data!$A:$A,0))*(1-INDEX(input_data!$M:$X,MATCH("all.in.cbf.---.---.---",input_data!$A:$A,0),11)),0)*INDEX(input_data!$M:$X,MATCH("all.in.ets.---.---.---",input_data!$A:$A,0),11)*INDEX(input_data!$M:$X,MATCH("all.in.act.---.---.---",input_data!$A:$A,0),11)*INDEX(input_data!$M:$X,MATCH("all.in.fxr.---.---.---",input_data!$A:$A,0),11)</f>
        <v>370.98270000000002</v>
      </c>
      <c r="X283" s="389">
        <f>MAX(X282-INDEX(input_data!$L:$L,MATCH("all.in.bnk.alu.prp.---",input_data!$A:$A,0))*(1-INDEX(input_data!$M:$X,MATCH("all.in.cbf.---.---.---",input_data!$A:$A,0),12)),0)*INDEX(input_data!$M:$X,MATCH("all.in.ets.---.---.---",input_data!$A:$A,0),12)*INDEX(input_data!$M:$X,MATCH("all.in.act.---.---.---",input_data!$A:$A,0),12)*INDEX(input_data!$M:$X,MATCH("all.in.fxr.---.---.---",input_data!$A:$A,0),12)</f>
        <v>384.72280000000006</v>
      </c>
    </row>
    <row r="285" spans="1:24" ht="21.75" customHeight="1" x14ac:dyDescent="0.25">
      <c r="A285" s="12" t="s">
        <v>1610</v>
      </c>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spans="1:24" ht="15" customHeight="1" x14ac:dyDescent="0.25">
      <c r="A286" s="390" t="str">
        <f>CBAM!$B$5&amp;".pj.prd.stl.oth.---"</f>
        <v>egy.pj.prd.stl.oth.---</v>
      </c>
      <c r="B286" s="390" t="str">
        <f>CBAM!$B$5</f>
        <v>egy</v>
      </c>
      <c r="C286" s="390" t="s">
        <v>1275</v>
      </c>
      <c r="D286" s="390" t="s">
        <v>1304</v>
      </c>
      <c r="E286" s="390" t="s">
        <v>322</v>
      </c>
      <c r="F286" s="390" t="s">
        <v>1611</v>
      </c>
      <c r="G286" s="390" t="s">
        <v>1277</v>
      </c>
      <c r="H286" s="390" t="s">
        <v>1612</v>
      </c>
      <c r="I286" s="390" t="s">
        <v>1307</v>
      </c>
      <c r="J286" s="390" t="s">
        <v>1613</v>
      </c>
      <c r="K286" s="390"/>
      <c r="L286" s="390"/>
      <c r="M286" s="391">
        <f>IFERROR(INDEX(input_data!$L:$L,MATCH(CBAM!$B$5&amp;".in.prb.stl.oth.---",input_data!$A:$A,0))*POWER(M7,INDEX(input_data!$L:$L,MATCH(CBAM!$B$5&amp;".in.els.stl.oth.---",input_data!$A:$A,0))),0)</f>
        <v>0.2</v>
      </c>
      <c r="N286" s="391">
        <f>IFERROR(INDEX(input_data!$L:$L,MATCH(CBAM!$B$5&amp;".in.prb.stl.oth.---",input_data!$A:$A,0))*POWER(N7,INDEX(input_data!$L:$L,MATCH(CBAM!$B$5&amp;".in.els.stl.oth.---",input_data!$A:$A,0))),0)</f>
        <v>0.21099999999999999</v>
      </c>
      <c r="O286" s="391">
        <f>IFERROR(INDEX(input_data!$L:$L,MATCH(CBAM!$B$5&amp;".in.prb.stl.oth.---",input_data!$A:$A,0))*POWER(O7,INDEX(input_data!$L:$L,MATCH(CBAM!$B$5&amp;".in.els.stl.oth.---",input_data!$A:$A,0))),0)</f>
        <v>0.222605</v>
      </c>
      <c r="P286" s="391">
        <f>IFERROR(INDEX(input_data!$L:$L,MATCH(CBAM!$B$5&amp;".in.prb.stl.oth.---",input_data!$A:$A,0))*POWER(P7,INDEX(input_data!$L:$L,MATCH(CBAM!$B$5&amp;".in.els.stl.oth.---",input_data!$A:$A,0))),0)</f>
        <v>0.23484827499999997</v>
      </c>
      <c r="Q286" s="391">
        <f>IFERROR(INDEX(input_data!$L:$L,MATCH(CBAM!$B$5&amp;".in.prb.stl.oth.---",input_data!$A:$A,0))*POWER(Q7,INDEX(input_data!$L:$L,MATCH(CBAM!$B$5&amp;".in.els.stl.oth.---",input_data!$A:$A,0))),0)</f>
        <v>0.24776493012499998</v>
      </c>
      <c r="R286" s="391">
        <f>IFERROR(INDEX(input_data!$L:$L,MATCH(CBAM!$B$5&amp;".in.prb.stl.oth.---",input_data!$A:$A,0))*POWER(R7,INDEX(input_data!$L:$L,MATCH(CBAM!$B$5&amp;".in.els.stl.oth.---",input_data!$A:$A,0))),0)</f>
        <v>0.26139200128187495</v>
      </c>
      <c r="S286" s="391">
        <f>IFERROR(INDEX(input_data!$L:$L,MATCH(CBAM!$B$5&amp;".in.prb.stl.oth.---",input_data!$A:$A,0))*POWER(S7,INDEX(input_data!$L:$L,MATCH(CBAM!$B$5&amp;".in.els.stl.oth.---",input_data!$A:$A,0))),0)</f>
        <v>0.27576856135237809</v>
      </c>
      <c r="T286" s="391">
        <f>IFERROR(INDEX(input_data!$L:$L,MATCH(CBAM!$B$5&amp;".in.prb.stl.oth.---",input_data!$A:$A,0))*POWER(T7,INDEX(input_data!$L:$L,MATCH(CBAM!$B$5&amp;".in.els.stl.oth.---",input_data!$A:$A,0))),0)</f>
        <v>0.29093583222675884</v>
      </c>
      <c r="U286" s="391">
        <f>IFERROR(INDEX(input_data!$L:$L,MATCH(CBAM!$B$5&amp;".in.prb.stl.oth.---",input_data!$A:$A,0))*POWER(U7,INDEX(input_data!$L:$L,MATCH(CBAM!$B$5&amp;".in.els.stl.oth.---",input_data!$A:$A,0))),0)</f>
        <v>0.30693730299923061</v>
      </c>
      <c r="V286" s="391">
        <f>IFERROR(INDEX(input_data!$L:$L,MATCH(CBAM!$B$5&amp;".in.prb.stl.oth.---",input_data!$A:$A,0))*POWER(V7,INDEX(input_data!$L:$L,MATCH(CBAM!$B$5&amp;".in.els.stl.oth.---",input_data!$A:$A,0))),0)</f>
        <v>0.32381885466418825</v>
      </c>
      <c r="W286" s="391">
        <f>IFERROR(INDEX(input_data!$L:$L,MATCH(CBAM!$B$5&amp;".in.prb.stl.oth.---",input_data!$A:$A,0))*POWER(W7,INDEX(input_data!$L:$L,MATCH(CBAM!$B$5&amp;".in.els.stl.oth.---",input_data!$A:$A,0))),0)</f>
        <v>0.34162889167071864</v>
      </c>
      <c r="X286" s="391">
        <f>IFERROR(INDEX(input_data!$L:$L,MATCH(CBAM!$B$5&amp;".in.prb.stl.oth.---",input_data!$A:$A,0))*POWER(X7,INDEX(input_data!$L:$L,MATCH(CBAM!$B$5&amp;".in.els.stl.oth.---",input_data!$A:$A,0))),0)</f>
        <v>0.36041848071260812</v>
      </c>
    </row>
    <row r="287" spans="1:24" ht="15" customHeight="1" x14ac:dyDescent="0.25">
      <c r="A287" s="390" t="str">
        <f>CBAM!$B$5&amp;".pj.eux.stl.oth.---"</f>
        <v>egy.pj.eux.stl.oth.---</v>
      </c>
      <c r="B287" s="390" t="str">
        <f>CBAM!$B$5</f>
        <v>egy</v>
      </c>
      <c r="C287" s="390" t="s">
        <v>1275</v>
      </c>
      <c r="D287" s="390" t="s">
        <v>1309</v>
      </c>
      <c r="E287" s="390" t="s">
        <v>322</v>
      </c>
      <c r="F287" s="390" t="s">
        <v>1611</v>
      </c>
      <c r="G287" s="390" t="s">
        <v>1277</v>
      </c>
      <c r="H287" s="390" t="s">
        <v>1614</v>
      </c>
      <c r="I287" s="390" t="s">
        <v>1307</v>
      </c>
      <c r="J287" s="390" t="s">
        <v>1615</v>
      </c>
      <c r="K287" s="390"/>
      <c r="L287" s="390"/>
      <c r="M287" s="391">
        <f>M286*INDEX(input_data!$L:$L,MATCH(CBAM!$B$5&amp;".in.exe.stl.oth.---",input_data!$A:$A,0))</f>
        <v>4.0000000000000001E-3</v>
      </c>
      <c r="N287" s="391">
        <f>N286*INDEX(input_data!$L:$L,MATCH(CBAM!$B$5&amp;".in.exe.stl.oth.---",input_data!$A:$A,0))</f>
        <v>4.2199999999999998E-3</v>
      </c>
      <c r="O287" s="391">
        <f>O286*INDEX(input_data!$L:$L,MATCH(CBAM!$B$5&amp;".in.exe.stl.oth.---",input_data!$A:$A,0))</f>
        <v>4.4520999999999996E-3</v>
      </c>
      <c r="P287" s="391">
        <f>P286*INDEX(input_data!$L:$L,MATCH(CBAM!$B$5&amp;".in.exe.stl.oth.---",input_data!$A:$A,0))</f>
        <v>4.6969654999999997E-3</v>
      </c>
      <c r="Q287" s="391">
        <f>Q286*INDEX(input_data!$L:$L,MATCH(CBAM!$B$5&amp;".in.exe.stl.oth.---",input_data!$A:$A,0))</f>
        <v>4.9552986024999999E-3</v>
      </c>
      <c r="R287" s="391">
        <f>R286*INDEX(input_data!$L:$L,MATCH(CBAM!$B$5&amp;".in.exe.stl.oth.---",input_data!$A:$A,0))</f>
        <v>5.2278400256374992E-3</v>
      </c>
      <c r="S287" s="391">
        <f>S286*INDEX(input_data!$L:$L,MATCH(CBAM!$B$5&amp;".in.exe.stl.oth.---",input_data!$A:$A,0))</f>
        <v>5.515371227047562E-3</v>
      </c>
      <c r="T287" s="391">
        <f>T286*INDEX(input_data!$L:$L,MATCH(CBAM!$B$5&amp;".in.exe.stl.oth.---",input_data!$A:$A,0))</f>
        <v>5.8187166445351768E-3</v>
      </c>
      <c r="U287" s="391">
        <f>U286*INDEX(input_data!$L:$L,MATCH(CBAM!$B$5&amp;".in.exe.stl.oth.---",input_data!$A:$A,0))</f>
        <v>6.1387460599846124E-3</v>
      </c>
      <c r="V287" s="391">
        <f>V286*INDEX(input_data!$L:$L,MATCH(CBAM!$B$5&amp;".in.exe.stl.oth.---",input_data!$A:$A,0))</f>
        <v>6.4763770932837654E-3</v>
      </c>
      <c r="W287" s="391">
        <f>W286*INDEX(input_data!$L:$L,MATCH(CBAM!$B$5&amp;".in.exe.stl.oth.---",input_data!$A:$A,0))</f>
        <v>6.8325778334143725E-3</v>
      </c>
      <c r="X287" s="391">
        <f>X286*INDEX(input_data!$L:$L,MATCH(CBAM!$B$5&amp;".in.exe.stl.oth.---",input_data!$A:$A,0))</f>
        <v>7.2083696142521622E-3</v>
      </c>
    </row>
    <row r="288" spans="1:24" ht="15" customHeight="1" x14ac:dyDescent="0.25">
      <c r="A288" s="390" t="str">
        <f>CBAM!$B$5&amp;".pj.nex.stl.oth.---"</f>
        <v>egy.pj.nex.stl.oth.---</v>
      </c>
      <c r="B288" s="390" t="str">
        <f>CBAM!$B$5</f>
        <v>egy</v>
      </c>
      <c r="C288" s="390" t="s">
        <v>1275</v>
      </c>
      <c r="D288" s="390" t="s">
        <v>1312</v>
      </c>
      <c r="E288" s="390" t="s">
        <v>322</v>
      </c>
      <c r="F288" s="390" t="s">
        <v>1611</v>
      </c>
      <c r="G288" s="390" t="s">
        <v>1277</v>
      </c>
      <c r="H288" s="390" t="s">
        <v>1616</v>
      </c>
      <c r="I288" s="390" t="s">
        <v>1307</v>
      </c>
      <c r="J288" s="390" t="s">
        <v>1617</v>
      </c>
      <c r="K288" s="390"/>
      <c r="L288" s="390"/>
      <c r="M288" s="391">
        <f>M286*(INDEX(input_data!$L:$L,MATCH(CBAM!$B$5&amp;".in.ext.stl.oth.---",input_data!$A:$A,0))-INDEX(input_data!$L:$L,MATCH(CBAM!$B$5&amp;".in.exe.stl.oth.---",input_data!$A:$A,0)))</f>
        <v>6.000000000000001E-3</v>
      </c>
      <c r="N288" s="391">
        <f>N286*(INDEX(input_data!$L:$L,MATCH(CBAM!$B$5&amp;".in.ext.stl.oth.---",input_data!$A:$A,0))-INDEX(input_data!$L:$L,MATCH(CBAM!$B$5&amp;".in.exe.stl.oth.---",input_data!$A:$A,0)))</f>
        <v>6.3300000000000006E-3</v>
      </c>
      <c r="O288" s="391">
        <f>O286*(INDEX(input_data!$L:$L,MATCH(CBAM!$B$5&amp;".in.ext.stl.oth.---",input_data!$A:$A,0))-INDEX(input_data!$L:$L,MATCH(CBAM!$B$5&amp;".in.exe.stl.oth.---",input_data!$A:$A,0)))</f>
        <v>6.6781500000000008E-3</v>
      </c>
      <c r="P288" s="391">
        <f>P286*(INDEX(input_data!$L:$L,MATCH(CBAM!$B$5&amp;".in.ext.stl.oth.---",input_data!$A:$A,0))-INDEX(input_data!$L:$L,MATCH(CBAM!$B$5&amp;".in.exe.stl.oth.---",input_data!$A:$A,0)))</f>
        <v>7.0454482499999992E-3</v>
      </c>
      <c r="Q288" s="391">
        <f>Q286*(INDEX(input_data!$L:$L,MATCH(CBAM!$B$5&amp;".in.ext.stl.oth.---",input_data!$A:$A,0))-INDEX(input_data!$L:$L,MATCH(CBAM!$B$5&amp;".in.exe.stl.oth.---",input_data!$A:$A,0)))</f>
        <v>7.4329479037499998E-3</v>
      </c>
      <c r="R288" s="391">
        <f>R286*(INDEX(input_data!$L:$L,MATCH(CBAM!$B$5&amp;".in.ext.stl.oth.---",input_data!$A:$A,0))-INDEX(input_data!$L:$L,MATCH(CBAM!$B$5&amp;".in.exe.stl.oth.---",input_data!$A:$A,0)))</f>
        <v>7.84176003845625E-3</v>
      </c>
      <c r="S288" s="391">
        <f>S286*(INDEX(input_data!$L:$L,MATCH(CBAM!$B$5&amp;".in.ext.stl.oth.---",input_data!$A:$A,0))-INDEX(input_data!$L:$L,MATCH(CBAM!$B$5&amp;".in.exe.stl.oth.---",input_data!$A:$A,0)))</f>
        <v>8.2730568405713443E-3</v>
      </c>
      <c r="T288" s="391">
        <f>T286*(INDEX(input_data!$L:$L,MATCH(CBAM!$B$5&amp;".in.ext.stl.oth.---",input_data!$A:$A,0))-INDEX(input_data!$L:$L,MATCH(CBAM!$B$5&amp;".in.exe.stl.oth.---",input_data!$A:$A,0)))</f>
        <v>8.7280749668027652E-3</v>
      </c>
      <c r="U288" s="391">
        <f>U286*(INDEX(input_data!$L:$L,MATCH(CBAM!$B$5&amp;".in.ext.stl.oth.---",input_data!$A:$A,0))-INDEX(input_data!$L:$L,MATCH(CBAM!$B$5&amp;".in.exe.stl.oth.---",input_data!$A:$A,0)))</f>
        <v>9.208119089976919E-3</v>
      </c>
      <c r="V288" s="391">
        <f>V286*(INDEX(input_data!$L:$L,MATCH(CBAM!$B$5&amp;".in.ext.stl.oth.---",input_data!$A:$A,0))-INDEX(input_data!$L:$L,MATCH(CBAM!$B$5&amp;".in.exe.stl.oth.---",input_data!$A:$A,0)))</f>
        <v>9.7145656399256486E-3</v>
      </c>
      <c r="W288" s="391">
        <f>W286*(INDEX(input_data!$L:$L,MATCH(CBAM!$B$5&amp;".in.ext.stl.oth.---",input_data!$A:$A,0))-INDEX(input_data!$L:$L,MATCH(CBAM!$B$5&amp;".in.exe.stl.oth.---",input_data!$A:$A,0)))</f>
        <v>1.0248866750121559E-2</v>
      </c>
      <c r="X288" s="391">
        <f>X286*(INDEX(input_data!$L:$L,MATCH(CBAM!$B$5&amp;".in.ext.stl.oth.---",input_data!$A:$A,0))-INDEX(input_data!$L:$L,MATCH(CBAM!$B$5&amp;".in.exe.stl.oth.---",input_data!$A:$A,0)))</f>
        <v>1.0812554421378245E-2</v>
      </c>
    </row>
    <row r="289" spans="1:24" ht="15" customHeight="1" x14ac:dyDescent="0.25">
      <c r="A289" s="390" t="str">
        <f>CBAM!$B$5&amp;".pj.dom.stl.oth.---"</f>
        <v>egy.pj.dom.stl.oth.---</v>
      </c>
      <c r="B289" s="390" t="str">
        <f>CBAM!$B$5</f>
        <v>egy</v>
      </c>
      <c r="C289" s="390" t="s">
        <v>1275</v>
      </c>
      <c r="D289" s="390" t="s">
        <v>1267</v>
      </c>
      <c r="E289" s="390" t="s">
        <v>322</v>
      </c>
      <c r="F289" s="390" t="s">
        <v>1611</v>
      </c>
      <c r="G289" s="390" t="s">
        <v>1277</v>
      </c>
      <c r="H289" s="390" t="s">
        <v>1618</v>
      </c>
      <c r="I289" s="390" t="s">
        <v>1307</v>
      </c>
      <c r="J289" s="390" t="s">
        <v>1619</v>
      </c>
      <c r="K289" s="390"/>
      <c r="L289" s="390"/>
      <c r="M289" s="391">
        <f>M286*(1-INDEX(input_data!$L:$L,MATCH(CBAM!$B$5&amp;".in.ext.stl.oth.---",input_data!$A:$A,0)))*(1+INDEX(input_data!$L:$L,MATCH(CBAM!$B$5&amp;".in.imp.stl.oth.---",input_data!$A:$A,0)))</f>
        <v>0.20900000000000002</v>
      </c>
      <c r="N289" s="391">
        <f>N286*(1-INDEX(input_data!$L:$L,MATCH(CBAM!$B$5&amp;".in.ext.stl.oth.---",input_data!$A:$A,0)))*(1+INDEX(input_data!$L:$L,MATCH(CBAM!$B$5&amp;".in.imp.stl.oth.---",input_data!$A:$A,0)))</f>
        <v>0.220495</v>
      </c>
      <c r="O289" s="391">
        <f>O286*(1-INDEX(input_data!$L:$L,MATCH(CBAM!$B$5&amp;".in.ext.stl.oth.---",input_data!$A:$A,0)))*(1+INDEX(input_data!$L:$L,MATCH(CBAM!$B$5&amp;".in.imp.stl.oth.---",input_data!$A:$A,0)))</f>
        <v>0.23262222500000002</v>
      </c>
      <c r="P289" s="391">
        <f>P286*(1-INDEX(input_data!$L:$L,MATCH(CBAM!$B$5&amp;".in.ext.stl.oth.---",input_data!$A:$A,0)))*(1+INDEX(input_data!$L:$L,MATCH(CBAM!$B$5&amp;".in.imp.stl.oth.---",input_data!$A:$A,0)))</f>
        <v>0.24541644737499996</v>
      </c>
      <c r="Q289" s="391">
        <f>Q286*(1-INDEX(input_data!$L:$L,MATCH(CBAM!$B$5&amp;".in.ext.stl.oth.---",input_data!$A:$A,0)))*(1+INDEX(input_data!$L:$L,MATCH(CBAM!$B$5&amp;".in.imp.stl.oth.---",input_data!$A:$A,0)))</f>
        <v>0.25891435198062501</v>
      </c>
      <c r="R289" s="391">
        <f>R286*(1-INDEX(input_data!$L:$L,MATCH(CBAM!$B$5&amp;".in.ext.stl.oth.---",input_data!$A:$A,0)))*(1+INDEX(input_data!$L:$L,MATCH(CBAM!$B$5&amp;".in.imp.stl.oth.---",input_data!$A:$A,0)))</f>
        <v>0.2731546413395593</v>
      </c>
      <c r="S289" s="391">
        <f>S286*(1-INDEX(input_data!$L:$L,MATCH(CBAM!$B$5&amp;".in.ext.stl.oth.---",input_data!$A:$A,0)))*(1+INDEX(input_data!$L:$L,MATCH(CBAM!$B$5&amp;".in.imp.stl.oth.---",input_data!$A:$A,0)))</f>
        <v>0.2881781466132351</v>
      </c>
      <c r="T289" s="391">
        <f>T286*(1-INDEX(input_data!$L:$L,MATCH(CBAM!$B$5&amp;".in.ext.stl.oth.---",input_data!$A:$A,0)))*(1+INDEX(input_data!$L:$L,MATCH(CBAM!$B$5&amp;".in.imp.stl.oth.---",input_data!$A:$A,0)))</f>
        <v>0.30402794467696304</v>
      </c>
      <c r="U289" s="391">
        <f>U286*(1-INDEX(input_data!$L:$L,MATCH(CBAM!$B$5&amp;".in.ext.stl.oth.---",input_data!$A:$A,0)))*(1+INDEX(input_data!$L:$L,MATCH(CBAM!$B$5&amp;".in.imp.stl.oth.---",input_data!$A:$A,0)))</f>
        <v>0.32074948163419603</v>
      </c>
      <c r="V289" s="391">
        <f>V286*(1-INDEX(input_data!$L:$L,MATCH(CBAM!$B$5&amp;".in.ext.stl.oth.---",input_data!$A:$A,0)))*(1+INDEX(input_data!$L:$L,MATCH(CBAM!$B$5&amp;".in.imp.stl.oth.---",input_data!$A:$A,0)))</f>
        <v>0.33839070312407671</v>
      </c>
      <c r="W289" s="391">
        <f>W286*(1-INDEX(input_data!$L:$L,MATCH(CBAM!$B$5&amp;".in.ext.stl.oth.---",input_data!$A:$A,0)))*(1+INDEX(input_data!$L:$L,MATCH(CBAM!$B$5&amp;".in.imp.stl.oth.---",input_data!$A:$A,0)))</f>
        <v>0.35700219179590098</v>
      </c>
      <c r="X289" s="391">
        <f>X286*(1-INDEX(input_data!$L:$L,MATCH(CBAM!$B$5&amp;".in.ext.stl.oth.---",input_data!$A:$A,0)))*(1+INDEX(input_data!$L:$L,MATCH(CBAM!$B$5&amp;".in.imp.stl.oth.---",input_data!$A:$A,0)))</f>
        <v>0.37663731234467551</v>
      </c>
    </row>
    <row r="290" spans="1:24" ht="15" customHeight="1" x14ac:dyDescent="0.25">
      <c r="A290" s="390" t="str">
        <f>CBAM!$B$5&amp;".pj.enc.stl.oth.coa"</f>
        <v>egy.pj.enc.stl.oth.coa</v>
      </c>
      <c r="B290" s="390" t="str">
        <f>CBAM!$B$5</f>
        <v>egy</v>
      </c>
      <c r="C290" s="390" t="s">
        <v>1275</v>
      </c>
      <c r="D290" s="390" t="s">
        <v>1317</v>
      </c>
      <c r="E290" s="390" t="s">
        <v>322</v>
      </c>
      <c r="F290" s="390" t="s">
        <v>1611</v>
      </c>
      <c r="G290" s="390" t="s">
        <v>757</v>
      </c>
      <c r="H290" s="390" t="s">
        <v>1620</v>
      </c>
      <c r="I290" s="390" t="s">
        <v>1319</v>
      </c>
      <c r="J290" s="390" t="s">
        <v>1621</v>
      </c>
      <c r="K290" s="390"/>
      <c r="L290" s="390"/>
      <c r="M290" s="391">
        <f>M286*INDEX(input_data!$L:$L,MATCH(CBAM!$B$5&amp;".in.enc.stl.oth.coa",input_data!$A:$A,0))</f>
        <v>0.30000000000000004</v>
      </c>
      <c r="N290" s="391">
        <f>N286*INDEX(input_data!$L:$L,MATCH(CBAM!$B$5&amp;".in.enc.stl.oth.coa",input_data!$A:$A,0))</f>
        <v>0.3165</v>
      </c>
      <c r="O290" s="391">
        <f>O286*INDEX(input_data!$L:$L,MATCH(CBAM!$B$5&amp;".in.enc.stl.oth.coa",input_data!$A:$A,0))</f>
        <v>0.33390750000000002</v>
      </c>
      <c r="P290" s="391">
        <f>P286*INDEX(input_data!$L:$L,MATCH(CBAM!$B$5&amp;".in.enc.stl.oth.coa",input_data!$A:$A,0))</f>
        <v>0.35227241249999997</v>
      </c>
      <c r="Q290" s="391">
        <f>Q286*INDEX(input_data!$L:$L,MATCH(CBAM!$B$5&amp;".in.enc.stl.oth.coa",input_data!$A:$A,0))</f>
        <v>0.37164739518749995</v>
      </c>
      <c r="R290" s="391">
        <f>R286*INDEX(input_data!$L:$L,MATCH(CBAM!$B$5&amp;".in.enc.stl.oth.coa",input_data!$A:$A,0))</f>
        <v>0.39208800192281246</v>
      </c>
      <c r="S290" s="391">
        <f>S286*INDEX(input_data!$L:$L,MATCH(CBAM!$B$5&amp;".in.enc.stl.oth.coa",input_data!$A:$A,0))</f>
        <v>0.41365284202856711</v>
      </c>
      <c r="T290" s="391">
        <f>T286*INDEX(input_data!$L:$L,MATCH(CBAM!$B$5&amp;".in.enc.stl.oth.coa",input_data!$A:$A,0))</f>
        <v>0.43640374834013829</v>
      </c>
      <c r="U290" s="391">
        <f>U286*INDEX(input_data!$L:$L,MATCH(CBAM!$B$5&amp;".in.enc.stl.oth.coa",input_data!$A:$A,0))</f>
        <v>0.46040595449884592</v>
      </c>
      <c r="V290" s="391">
        <f>V286*INDEX(input_data!$L:$L,MATCH(CBAM!$B$5&amp;".in.enc.stl.oth.coa",input_data!$A:$A,0))</f>
        <v>0.48572828199628237</v>
      </c>
      <c r="W290" s="391">
        <f>W286*INDEX(input_data!$L:$L,MATCH(CBAM!$B$5&amp;".in.enc.stl.oth.coa",input_data!$A:$A,0))</f>
        <v>0.51244333750607796</v>
      </c>
      <c r="X290" s="391">
        <f>X286*INDEX(input_data!$L:$L,MATCH(CBAM!$B$5&amp;".in.enc.stl.oth.coa",input_data!$A:$A,0))</f>
        <v>0.54062772106891221</v>
      </c>
    </row>
    <row r="291" spans="1:24" ht="15" customHeight="1" x14ac:dyDescent="0.25">
      <c r="A291" s="390" t="str">
        <f>CBAM!$B$5&amp;".pj.enc.stl.oth.nga"</f>
        <v>egy.pj.enc.stl.oth.nga</v>
      </c>
      <c r="B291" s="390" t="str">
        <f>CBAM!$B$5</f>
        <v>egy</v>
      </c>
      <c r="C291" s="390" t="s">
        <v>1275</v>
      </c>
      <c r="D291" s="390" t="s">
        <v>1317</v>
      </c>
      <c r="E291" s="390" t="s">
        <v>322</v>
      </c>
      <c r="F291" s="390" t="s">
        <v>1611</v>
      </c>
      <c r="G291" s="390" t="s">
        <v>754</v>
      </c>
      <c r="H291" s="390" t="s">
        <v>1622</v>
      </c>
      <c r="I291" s="390" t="s">
        <v>1319</v>
      </c>
      <c r="J291" s="390" t="s">
        <v>1621</v>
      </c>
      <c r="K291" s="390"/>
      <c r="L291" s="390"/>
      <c r="M291" s="391">
        <f>M286*INDEX(input_data!$L:$L,MATCH(CBAM!$B$5&amp;".in.enc.stl.oth.nga",input_data!$A:$A,0))</f>
        <v>0.1</v>
      </c>
      <c r="N291" s="391">
        <f>N286*INDEX(input_data!$L:$L,MATCH(CBAM!$B$5&amp;".in.enc.stl.oth.nga",input_data!$A:$A,0))</f>
        <v>0.1055</v>
      </c>
      <c r="O291" s="391">
        <f>O286*INDEX(input_data!$L:$L,MATCH(CBAM!$B$5&amp;".in.enc.stl.oth.nga",input_data!$A:$A,0))</f>
        <v>0.1113025</v>
      </c>
      <c r="P291" s="391">
        <f>P286*INDEX(input_data!$L:$L,MATCH(CBAM!$B$5&amp;".in.enc.stl.oth.nga",input_data!$A:$A,0))</f>
        <v>0.11742413749999998</v>
      </c>
      <c r="Q291" s="391">
        <f>Q286*INDEX(input_data!$L:$L,MATCH(CBAM!$B$5&amp;".in.enc.stl.oth.nga",input_data!$A:$A,0))</f>
        <v>0.12388246506249999</v>
      </c>
      <c r="R291" s="391">
        <f>R286*INDEX(input_data!$L:$L,MATCH(CBAM!$B$5&amp;".in.enc.stl.oth.nga",input_data!$A:$A,0))</f>
        <v>0.13069600064093748</v>
      </c>
      <c r="S291" s="391">
        <f>S286*INDEX(input_data!$L:$L,MATCH(CBAM!$B$5&amp;".in.enc.stl.oth.nga",input_data!$A:$A,0))</f>
        <v>0.13788428067618905</v>
      </c>
      <c r="T291" s="391">
        <f>T286*INDEX(input_data!$L:$L,MATCH(CBAM!$B$5&amp;".in.enc.stl.oth.nga",input_data!$A:$A,0))</f>
        <v>0.14546791611337942</v>
      </c>
      <c r="U291" s="391">
        <f>U286*INDEX(input_data!$L:$L,MATCH(CBAM!$B$5&amp;".in.enc.stl.oth.nga",input_data!$A:$A,0))</f>
        <v>0.15346865149961531</v>
      </c>
      <c r="V291" s="391">
        <f>V286*INDEX(input_data!$L:$L,MATCH(CBAM!$B$5&amp;".in.enc.stl.oth.nga",input_data!$A:$A,0))</f>
        <v>0.16190942733209412</v>
      </c>
      <c r="W291" s="391">
        <f>W286*INDEX(input_data!$L:$L,MATCH(CBAM!$B$5&amp;".in.enc.stl.oth.nga",input_data!$A:$A,0))</f>
        <v>0.17081444583535932</v>
      </c>
      <c r="X291" s="391">
        <f>X286*INDEX(input_data!$L:$L,MATCH(CBAM!$B$5&amp;".in.enc.stl.oth.nga",input_data!$A:$A,0))</f>
        <v>0.18020924035630406</v>
      </c>
    </row>
    <row r="292" spans="1:24" ht="15" customHeight="1" x14ac:dyDescent="0.25">
      <c r="A292" s="390" t="str">
        <f>CBAM!$B$5&amp;".pj.enc.stl.oth.gso"</f>
        <v>egy.pj.enc.stl.oth.gso</v>
      </c>
      <c r="B292" s="390" t="str">
        <f>CBAM!$B$5</f>
        <v>egy</v>
      </c>
      <c r="C292" s="390" t="s">
        <v>1275</v>
      </c>
      <c r="D292" s="390" t="s">
        <v>1317</v>
      </c>
      <c r="E292" s="390" t="s">
        <v>322</v>
      </c>
      <c r="F292" s="390" t="s">
        <v>1611</v>
      </c>
      <c r="G292" s="390" t="s">
        <v>1292</v>
      </c>
      <c r="H292" s="390" t="s">
        <v>1623</v>
      </c>
      <c r="I292" s="390" t="s">
        <v>1319</v>
      </c>
      <c r="J292" s="390" t="s">
        <v>1621</v>
      </c>
      <c r="K292" s="390"/>
      <c r="L292" s="390"/>
      <c r="M292" s="391">
        <f>M286*INDEX(input_data!$L:$L,MATCH(CBAM!$B$5&amp;".in.enc.stl.oth.gso",input_data!$A:$A,0))</f>
        <v>0</v>
      </c>
      <c r="N292" s="391">
        <f>N286*INDEX(input_data!$L:$L,MATCH(CBAM!$B$5&amp;".in.enc.stl.oth.gso",input_data!$A:$A,0))</f>
        <v>0</v>
      </c>
      <c r="O292" s="391">
        <f>O286*INDEX(input_data!$L:$L,MATCH(CBAM!$B$5&amp;".in.enc.stl.oth.gso",input_data!$A:$A,0))</f>
        <v>0</v>
      </c>
      <c r="P292" s="391">
        <f>P286*INDEX(input_data!$L:$L,MATCH(CBAM!$B$5&amp;".in.enc.stl.oth.gso",input_data!$A:$A,0))</f>
        <v>0</v>
      </c>
      <c r="Q292" s="391">
        <f>Q286*INDEX(input_data!$L:$L,MATCH(CBAM!$B$5&amp;".in.enc.stl.oth.gso",input_data!$A:$A,0))</f>
        <v>0</v>
      </c>
      <c r="R292" s="391">
        <f>R286*INDEX(input_data!$L:$L,MATCH(CBAM!$B$5&amp;".in.enc.stl.oth.gso",input_data!$A:$A,0))</f>
        <v>0</v>
      </c>
      <c r="S292" s="391">
        <f>S286*INDEX(input_data!$L:$L,MATCH(CBAM!$B$5&amp;".in.enc.stl.oth.gso",input_data!$A:$A,0))</f>
        <v>0</v>
      </c>
      <c r="T292" s="391">
        <f>T286*INDEX(input_data!$L:$L,MATCH(CBAM!$B$5&amp;".in.enc.stl.oth.gso",input_data!$A:$A,0))</f>
        <v>0</v>
      </c>
      <c r="U292" s="391">
        <f>U286*INDEX(input_data!$L:$L,MATCH(CBAM!$B$5&amp;".in.enc.stl.oth.gso",input_data!$A:$A,0))</f>
        <v>0</v>
      </c>
      <c r="V292" s="391">
        <f>V286*INDEX(input_data!$L:$L,MATCH(CBAM!$B$5&amp;".in.enc.stl.oth.gso",input_data!$A:$A,0))</f>
        <v>0</v>
      </c>
      <c r="W292" s="391">
        <f>W286*INDEX(input_data!$L:$L,MATCH(CBAM!$B$5&amp;".in.enc.stl.oth.gso",input_data!$A:$A,0))</f>
        <v>0</v>
      </c>
      <c r="X292" s="391">
        <f>X286*INDEX(input_data!$L:$L,MATCH(CBAM!$B$5&amp;".in.enc.stl.oth.gso",input_data!$A:$A,0))</f>
        <v>0</v>
      </c>
    </row>
    <row r="293" spans="1:24" ht="15" customHeight="1" x14ac:dyDescent="0.25">
      <c r="A293" s="390" t="str">
        <f>CBAM!$B$5&amp;".pj.enc.stl.oth.die"</f>
        <v>egy.pj.enc.stl.oth.die</v>
      </c>
      <c r="B293" s="390" t="str">
        <f>CBAM!$B$5</f>
        <v>egy</v>
      </c>
      <c r="C293" s="390" t="s">
        <v>1275</v>
      </c>
      <c r="D293" s="390" t="s">
        <v>1317</v>
      </c>
      <c r="E293" s="390" t="s">
        <v>322</v>
      </c>
      <c r="F293" s="390" t="s">
        <v>1611</v>
      </c>
      <c r="G293" s="390" t="s">
        <v>762</v>
      </c>
      <c r="H293" s="390" t="s">
        <v>1624</v>
      </c>
      <c r="I293" s="390" t="s">
        <v>1319</v>
      </c>
      <c r="J293" s="390" t="s">
        <v>1621</v>
      </c>
      <c r="K293" s="390"/>
      <c r="L293" s="390"/>
      <c r="M293" s="391">
        <f>M286*INDEX(input_data!$L:$L,MATCH(CBAM!$B$5&amp;".in.enc.stl.oth.die",input_data!$A:$A,0))</f>
        <v>0</v>
      </c>
      <c r="N293" s="391">
        <f>N286*INDEX(input_data!$L:$L,MATCH(CBAM!$B$5&amp;".in.enc.stl.oth.die",input_data!$A:$A,0))</f>
        <v>0</v>
      </c>
      <c r="O293" s="391">
        <f>O286*INDEX(input_data!$L:$L,MATCH(CBAM!$B$5&amp;".in.enc.stl.oth.die",input_data!$A:$A,0))</f>
        <v>0</v>
      </c>
      <c r="P293" s="391">
        <f>P286*INDEX(input_data!$L:$L,MATCH(CBAM!$B$5&amp;".in.enc.stl.oth.die",input_data!$A:$A,0))</f>
        <v>0</v>
      </c>
      <c r="Q293" s="391">
        <f>Q286*INDEX(input_data!$L:$L,MATCH(CBAM!$B$5&amp;".in.enc.stl.oth.die",input_data!$A:$A,0))</f>
        <v>0</v>
      </c>
      <c r="R293" s="391">
        <f>R286*INDEX(input_data!$L:$L,MATCH(CBAM!$B$5&amp;".in.enc.stl.oth.die",input_data!$A:$A,0))</f>
        <v>0</v>
      </c>
      <c r="S293" s="391">
        <f>S286*INDEX(input_data!$L:$L,MATCH(CBAM!$B$5&amp;".in.enc.stl.oth.die",input_data!$A:$A,0))</f>
        <v>0</v>
      </c>
      <c r="T293" s="391">
        <f>T286*INDEX(input_data!$L:$L,MATCH(CBAM!$B$5&amp;".in.enc.stl.oth.die",input_data!$A:$A,0))</f>
        <v>0</v>
      </c>
      <c r="U293" s="391">
        <f>U286*INDEX(input_data!$L:$L,MATCH(CBAM!$B$5&amp;".in.enc.stl.oth.die",input_data!$A:$A,0))</f>
        <v>0</v>
      </c>
      <c r="V293" s="391">
        <f>V286*INDEX(input_data!$L:$L,MATCH(CBAM!$B$5&amp;".in.enc.stl.oth.die",input_data!$A:$A,0))</f>
        <v>0</v>
      </c>
      <c r="W293" s="391">
        <f>W286*INDEX(input_data!$L:$L,MATCH(CBAM!$B$5&amp;".in.enc.stl.oth.die",input_data!$A:$A,0))</f>
        <v>0</v>
      </c>
      <c r="X293" s="391">
        <f>X286*INDEX(input_data!$L:$L,MATCH(CBAM!$B$5&amp;".in.enc.stl.oth.die",input_data!$A:$A,0))</f>
        <v>0</v>
      </c>
    </row>
    <row r="294" spans="1:24" ht="15" customHeight="1" x14ac:dyDescent="0.25">
      <c r="A294" s="390" t="str">
        <f>CBAM!$B$5&amp;".pj.enc.stl.oth.ker"</f>
        <v>egy.pj.enc.stl.oth.ker</v>
      </c>
      <c r="B294" s="390" t="str">
        <f>CBAM!$B$5</f>
        <v>egy</v>
      </c>
      <c r="C294" s="390" t="s">
        <v>1275</v>
      </c>
      <c r="D294" s="390" t="s">
        <v>1317</v>
      </c>
      <c r="E294" s="390" t="s">
        <v>322</v>
      </c>
      <c r="F294" s="390" t="s">
        <v>1611</v>
      </c>
      <c r="G294" s="390" t="s">
        <v>1295</v>
      </c>
      <c r="H294" s="390" t="s">
        <v>1625</v>
      </c>
      <c r="I294" s="390" t="s">
        <v>1319</v>
      </c>
      <c r="J294" s="390" t="s">
        <v>1621</v>
      </c>
      <c r="K294" s="390"/>
      <c r="L294" s="390"/>
      <c r="M294" s="391">
        <f>M286*INDEX(input_data!$L:$L,MATCH(CBAM!$B$5&amp;".in.enc.stl.oth.ker",input_data!$A:$A,0))</f>
        <v>0</v>
      </c>
      <c r="N294" s="391">
        <f>N286*INDEX(input_data!$L:$L,MATCH(CBAM!$B$5&amp;".in.enc.stl.oth.ker",input_data!$A:$A,0))</f>
        <v>0</v>
      </c>
      <c r="O294" s="391">
        <f>O286*INDEX(input_data!$L:$L,MATCH(CBAM!$B$5&amp;".in.enc.stl.oth.ker",input_data!$A:$A,0))</f>
        <v>0</v>
      </c>
      <c r="P294" s="391">
        <f>P286*INDEX(input_data!$L:$L,MATCH(CBAM!$B$5&amp;".in.enc.stl.oth.ker",input_data!$A:$A,0))</f>
        <v>0</v>
      </c>
      <c r="Q294" s="391">
        <f>Q286*INDEX(input_data!$L:$L,MATCH(CBAM!$B$5&amp;".in.enc.stl.oth.ker",input_data!$A:$A,0))</f>
        <v>0</v>
      </c>
      <c r="R294" s="391">
        <f>R286*INDEX(input_data!$L:$L,MATCH(CBAM!$B$5&amp;".in.enc.stl.oth.ker",input_data!$A:$A,0))</f>
        <v>0</v>
      </c>
      <c r="S294" s="391">
        <f>S286*INDEX(input_data!$L:$L,MATCH(CBAM!$B$5&amp;".in.enc.stl.oth.ker",input_data!$A:$A,0))</f>
        <v>0</v>
      </c>
      <c r="T294" s="391">
        <f>T286*INDEX(input_data!$L:$L,MATCH(CBAM!$B$5&amp;".in.enc.stl.oth.ker",input_data!$A:$A,0))</f>
        <v>0</v>
      </c>
      <c r="U294" s="391">
        <f>U286*INDEX(input_data!$L:$L,MATCH(CBAM!$B$5&amp;".in.enc.stl.oth.ker",input_data!$A:$A,0))</f>
        <v>0</v>
      </c>
      <c r="V294" s="391">
        <f>V286*INDEX(input_data!$L:$L,MATCH(CBAM!$B$5&amp;".in.enc.stl.oth.ker",input_data!$A:$A,0))</f>
        <v>0</v>
      </c>
      <c r="W294" s="391">
        <f>W286*INDEX(input_data!$L:$L,MATCH(CBAM!$B$5&amp;".in.enc.stl.oth.ker",input_data!$A:$A,0))</f>
        <v>0</v>
      </c>
      <c r="X294" s="391">
        <f>X286*INDEX(input_data!$L:$L,MATCH(CBAM!$B$5&amp;".in.enc.stl.oth.ker",input_data!$A:$A,0))</f>
        <v>0</v>
      </c>
    </row>
    <row r="295" spans="1:24" ht="15" customHeight="1" x14ac:dyDescent="0.25">
      <c r="A295" s="390" t="str">
        <f>CBAM!$B$5&amp;".pj.enc.stl.oth.lpg"</f>
        <v>egy.pj.enc.stl.oth.lpg</v>
      </c>
      <c r="B295" s="390" t="str">
        <f>CBAM!$B$5</f>
        <v>egy</v>
      </c>
      <c r="C295" s="390" t="s">
        <v>1275</v>
      </c>
      <c r="D295" s="390" t="s">
        <v>1317</v>
      </c>
      <c r="E295" s="390" t="s">
        <v>322</v>
      </c>
      <c r="F295" s="390" t="s">
        <v>1611</v>
      </c>
      <c r="G295" s="390" t="s">
        <v>1297</v>
      </c>
      <c r="H295" s="390" t="s">
        <v>1626</v>
      </c>
      <c r="I295" s="390" t="s">
        <v>1319</v>
      </c>
      <c r="J295" s="390" t="s">
        <v>1621</v>
      </c>
      <c r="K295" s="390"/>
      <c r="L295" s="390"/>
      <c r="M295" s="391">
        <f>M286*INDEX(input_data!$L:$L,MATCH(CBAM!$B$5&amp;".in.enc.stl.oth.lpg",input_data!$A:$A,0))</f>
        <v>0</v>
      </c>
      <c r="N295" s="391">
        <f>N286*INDEX(input_data!$L:$L,MATCH(CBAM!$B$5&amp;".in.enc.stl.oth.lpg",input_data!$A:$A,0))</f>
        <v>0</v>
      </c>
      <c r="O295" s="391">
        <f>O286*INDEX(input_data!$L:$L,MATCH(CBAM!$B$5&amp;".in.enc.stl.oth.lpg",input_data!$A:$A,0))</f>
        <v>0</v>
      </c>
      <c r="P295" s="391">
        <f>P286*INDEX(input_data!$L:$L,MATCH(CBAM!$B$5&amp;".in.enc.stl.oth.lpg",input_data!$A:$A,0))</f>
        <v>0</v>
      </c>
      <c r="Q295" s="391">
        <f>Q286*INDEX(input_data!$L:$L,MATCH(CBAM!$B$5&amp;".in.enc.stl.oth.lpg",input_data!$A:$A,0))</f>
        <v>0</v>
      </c>
      <c r="R295" s="391">
        <f>R286*INDEX(input_data!$L:$L,MATCH(CBAM!$B$5&amp;".in.enc.stl.oth.lpg",input_data!$A:$A,0))</f>
        <v>0</v>
      </c>
      <c r="S295" s="391">
        <f>S286*INDEX(input_data!$L:$L,MATCH(CBAM!$B$5&amp;".in.enc.stl.oth.lpg",input_data!$A:$A,0))</f>
        <v>0</v>
      </c>
      <c r="T295" s="391">
        <f>T286*INDEX(input_data!$L:$L,MATCH(CBAM!$B$5&amp;".in.enc.stl.oth.lpg",input_data!$A:$A,0))</f>
        <v>0</v>
      </c>
      <c r="U295" s="391">
        <f>U286*INDEX(input_data!$L:$L,MATCH(CBAM!$B$5&amp;".in.enc.stl.oth.lpg",input_data!$A:$A,0))</f>
        <v>0</v>
      </c>
      <c r="V295" s="391">
        <f>V286*INDEX(input_data!$L:$L,MATCH(CBAM!$B$5&amp;".in.enc.stl.oth.lpg",input_data!$A:$A,0))</f>
        <v>0</v>
      </c>
      <c r="W295" s="391">
        <f>W286*INDEX(input_data!$L:$L,MATCH(CBAM!$B$5&amp;".in.enc.stl.oth.lpg",input_data!$A:$A,0))</f>
        <v>0</v>
      </c>
      <c r="X295" s="391">
        <f>X286*INDEX(input_data!$L:$L,MATCH(CBAM!$B$5&amp;".in.enc.stl.oth.lpg",input_data!$A:$A,0))</f>
        <v>0</v>
      </c>
    </row>
    <row r="296" spans="1:24" ht="15" customHeight="1" x14ac:dyDescent="0.25">
      <c r="A296" s="390" t="str">
        <f>CBAM!$B$5&amp;".pj.enc.stl.oth.bio"</f>
        <v>egy.pj.enc.stl.oth.bio</v>
      </c>
      <c r="B296" s="390" t="str">
        <f>CBAM!$B$5</f>
        <v>egy</v>
      </c>
      <c r="C296" s="390" t="s">
        <v>1275</v>
      </c>
      <c r="D296" s="390" t="s">
        <v>1317</v>
      </c>
      <c r="E296" s="390" t="s">
        <v>322</v>
      </c>
      <c r="F296" s="390" t="s">
        <v>1611</v>
      </c>
      <c r="G296" s="390" t="s">
        <v>1299</v>
      </c>
      <c r="H296" s="390" t="s">
        <v>1627</v>
      </c>
      <c r="I296" s="390" t="s">
        <v>1319</v>
      </c>
      <c r="J296" s="390" t="s">
        <v>1621</v>
      </c>
      <c r="K296" s="390"/>
      <c r="L296" s="390"/>
      <c r="M296" s="391">
        <f>M286*INDEX(input_data!$L:$L,MATCH(CBAM!$B$5&amp;".in.enc.stl.oth.bio",input_data!$A:$A,0))</f>
        <v>0</v>
      </c>
      <c r="N296" s="391">
        <f>N286*INDEX(input_data!$L:$L,MATCH(CBAM!$B$5&amp;".in.enc.stl.oth.bio",input_data!$A:$A,0))</f>
        <v>0</v>
      </c>
      <c r="O296" s="391">
        <f>O286*INDEX(input_data!$L:$L,MATCH(CBAM!$B$5&amp;".in.enc.stl.oth.bio",input_data!$A:$A,0))</f>
        <v>0</v>
      </c>
      <c r="P296" s="391">
        <f>P286*INDEX(input_data!$L:$L,MATCH(CBAM!$B$5&amp;".in.enc.stl.oth.bio",input_data!$A:$A,0))</f>
        <v>0</v>
      </c>
      <c r="Q296" s="391">
        <f>Q286*INDEX(input_data!$L:$L,MATCH(CBAM!$B$5&amp;".in.enc.stl.oth.bio",input_data!$A:$A,0))</f>
        <v>0</v>
      </c>
      <c r="R296" s="391">
        <f>R286*INDEX(input_data!$L:$L,MATCH(CBAM!$B$5&amp;".in.enc.stl.oth.bio",input_data!$A:$A,0))</f>
        <v>0</v>
      </c>
      <c r="S296" s="391">
        <f>S286*INDEX(input_data!$L:$L,MATCH(CBAM!$B$5&amp;".in.enc.stl.oth.bio",input_data!$A:$A,0))</f>
        <v>0</v>
      </c>
      <c r="T296" s="391">
        <f>T286*INDEX(input_data!$L:$L,MATCH(CBAM!$B$5&amp;".in.enc.stl.oth.bio",input_data!$A:$A,0))</f>
        <v>0</v>
      </c>
      <c r="U296" s="391">
        <f>U286*INDEX(input_data!$L:$L,MATCH(CBAM!$B$5&amp;".in.enc.stl.oth.bio",input_data!$A:$A,0))</f>
        <v>0</v>
      </c>
      <c r="V296" s="391">
        <f>V286*INDEX(input_data!$L:$L,MATCH(CBAM!$B$5&amp;".in.enc.stl.oth.bio",input_data!$A:$A,0))</f>
        <v>0</v>
      </c>
      <c r="W296" s="391">
        <f>W286*INDEX(input_data!$L:$L,MATCH(CBAM!$B$5&amp;".in.enc.stl.oth.bio",input_data!$A:$A,0))</f>
        <v>0</v>
      </c>
      <c r="X296" s="391">
        <f>X286*INDEX(input_data!$L:$L,MATCH(CBAM!$B$5&amp;".in.enc.stl.oth.bio",input_data!$A:$A,0))</f>
        <v>0</v>
      </c>
    </row>
    <row r="297" spans="1:24" ht="15" customHeight="1" x14ac:dyDescent="0.25">
      <c r="A297" s="390" t="str">
        <f>CBAM!$B$5&amp;".pj.enc.stl.oth.ren"</f>
        <v>egy.pj.enc.stl.oth.ren</v>
      </c>
      <c r="B297" s="390" t="str">
        <f>CBAM!$B$5</f>
        <v>egy</v>
      </c>
      <c r="C297" s="390" t="s">
        <v>1275</v>
      </c>
      <c r="D297" s="390" t="s">
        <v>1317</v>
      </c>
      <c r="E297" s="390" t="s">
        <v>322</v>
      </c>
      <c r="F297" s="390" t="s">
        <v>1611</v>
      </c>
      <c r="G297" s="390" t="s">
        <v>1301</v>
      </c>
      <c r="H297" s="390" t="s">
        <v>1628</v>
      </c>
      <c r="I297" s="390" t="s">
        <v>1319</v>
      </c>
      <c r="J297" s="390" t="s">
        <v>1621</v>
      </c>
      <c r="K297" s="390"/>
      <c r="L297" s="390"/>
      <c r="M297" s="391">
        <f>M286*INDEX(input_data!$L:$L,MATCH(CBAM!$B$5&amp;".in.enc.stl.oth.ren",input_data!$A:$A,0))</f>
        <v>0</v>
      </c>
      <c r="N297" s="391">
        <f>N286*INDEX(input_data!$L:$L,MATCH(CBAM!$B$5&amp;".in.enc.stl.oth.ren",input_data!$A:$A,0))</f>
        <v>0</v>
      </c>
      <c r="O297" s="391">
        <f>O286*INDEX(input_data!$L:$L,MATCH(CBAM!$B$5&amp;".in.enc.stl.oth.ren",input_data!$A:$A,0))</f>
        <v>0</v>
      </c>
      <c r="P297" s="391">
        <f>P286*INDEX(input_data!$L:$L,MATCH(CBAM!$B$5&amp;".in.enc.stl.oth.ren",input_data!$A:$A,0))</f>
        <v>0</v>
      </c>
      <c r="Q297" s="391">
        <f>Q286*INDEX(input_data!$L:$L,MATCH(CBAM!$B$5&amp;".in.enc.stl.oth.ren",input_data!$A:$A,0))</f>
        <v>0</v>
      </c>
      <c r="R297" s="391">
        <f>R286*INDEX(input_data!$L:$L,MATCH(CBAM!$B$5&amp;".in.enc.stl.oth.ren",input_data!$A:$A,0))</f>
        <v>0</v>
      </c>
      <c r="S297" s="391">
        <f>S286*INDEX(input_data!$L:$L,MATCH(CBAM!$B$5&amp;".in.enc.stl.oth.ren",input_data!$A:$A,0))</f>
        <v>0</v>
      </c>
      <c r="T297" s="391">
        <f>T286*INDEX(input_data!$L:$L,MATCH(CBAM!$B$5&amp;".in.enc.stl.oth.ren",input_data!$A:$A,0))</f>
        <v>0</v>
      </c>
      <c r="U297" s="391">
        <f>U286*INDEX(input_data!$L:$L,MATCH(CBAM!$B$5&amp;".in.enc.stl.oth.ren",input_data!$A:$A,0))</f>
        <v>0</v>
      </c>
      <c r="V297" s="391">
        <f>V286*INDEX(input_data!$L:$L,MATCH(CBAM!$B$5&amp;".in.enc.stl.oth.ren",input_data!$A:$A,0))</f>
        <v>0</v>
      </c>
      <c r="W297" s="391">
        <f>W286*INDEX(input_data!$L:$L,MATCH(CBAM!$B$5&amp;".in.enc.stl.oth.ren",input_data!$A:$A,0))</f>
        <v>0</v>
      </c>
      <c r="X297" s="391">
        <f>X286*INDEX(input_data!$L:$L,MATCH(CBAM!$B$5&amp;".in.enc.stl.oth.ren",input_data!$A:$A,0))</f>
        <v>0</v>
      </c>
    </row>
    <row r="298" spans="1:24" ht="15" customHeight="1" x14ac:dyDescent="0.25">
      <c r="A298" s="390" t="str">
        <f>CBAM!$B$5&amp;".pj.enp.stl.oth.coa"</f>
        <v>egy.pj.enp.stl.oth.coa</v>
      </c>
      <c r="B298" s="390" t="str">
        <f>CBAM!$B$5</f>
        <v>egy</v>
      </c>
      <c r="C298" s="390" t="s">
        <v>1275</v>
      </c>
      <c r="D298" s="390" t="s">
        <v>1328</v>
      </c>
      <c r="E298" s="390" t="s">
        <v>322</v>
      </c>
      <c r="F298" s="390" t="s">
        <v>1611</v>
      </c>
      <c r="G298" s="390" t="s">
        <v>757</v>
      </c>
      <c r="H298" s="390" t="s">
        <v>1629</v>
      </c>
      <c r="I298" s="390" t="s">
        <v>1319</v>
      </c>
      <c r="J298" s="390"/>
      <c r="K298" s="390"/>
      <c r="L298" s="390"/>
      <c r="M298" s="391">
        <f>M286*INDEX(input_data!$L:$L,MATCH(CBAM!$B$5&amp;".in.enp.stl.oth.coa",input_data!$A:$A,0))</f>
        <v>1.4000000000000001</v>
      </c>
      <c r="N298" s="391">
        <f>N286*INDEX(input_data!$L:$L,MATCH(CBAM!$B$5&amp;".in.enp.stl.oth.coa",input_data!$A:$A,0))</f>
        <v>1.4769999999999999</v>
      </c>
      <c r="O298" s="391">
        <f>O286*INDEX(input_data!$L:$L,MATCH(CBAM!$B$5&amp;".in.enp.stl.oth.coa",input_data!$A:$A,0))</f>
        <v>1.558235</v>
      </c>
      <c r="P298" s="391">
        <f>P286*INDEX(input_data!$L:$L,MATCH(CBAM!$B$5&amp;".in.enp.stl.oth.coa",input_data!$A:$A,0))</f>
        <v>1.6439379249999997</v>
      </c>
      <c r="Q298" s="391">
        <f>Q286*INDEX(input_data!$L:$L,MATCH(CBAM!$B$5&amp;".in.enp.stl.oth.coa",input_data!$A:$A,0))</f>
        <v>1.7343545108749998</v>
      </c>
      <c r="R298" s="391">
        <f>R286*INDEX(input_data!$L:$L,MATCH(CBAM!$B$5&amp;".in.enp.stl.oth.coa",input_data!$A:$A,0))</f>
        <v>1.8297440089731247</v>
      </c>
      <c r="S298" s="391">
        <f>S286*INDEX(input_data!$L:$L,MATCH(CBAM!$B$5&amp;".in.enp.stl.oth.coa",input_data!$A:$A,0))</f>
        <v>1.9303799294666466</v>
      </c>
      <c r="T298" s="391">
        <f>T286*INDEX(input_data!$L:$L,MATCH(CBAM!$B$5&amp;".in.enp.stl.oth.coa",input_data!$A:$A,0))</f>
        <v>2.0365508255873119</v>
      </c>
      <c r="U298" s="391">
        <f>U286*INDEX(input_data!$L:$L,MATCH(CBAM!$B$5&amp;".in.enp.stl.oth.coa",input_data!$A:$A,0))</f>
        <v>2.1485611209946143</v>
      </c>
      <c r="V298" s="391">
        <f>V286*INDEX(input_data!$L:$L,MATCH(CBAM!$B$5&amp;".in.enp.stl.oth.coa",input_data!$A:$A,0))</f>
        <v>2.2667319826493175</v>
      </c>
      <c r="W298" s="391">
        <f>W286*INDEX(input_data!$L:$L,MATCH(CBAM!$B$5&amp;".in.enp.stl.oth.coa",input_data!$A:$A,0))</f>
        <v>2.3914022416950305</v>
      </c>
      <c r="X298" s="391">
        <f>X286*INDEX(input_data!$L:$L,MATCH(CBAM!$B$5&amp;".in.enp.stl.oth.coa",input_data!$A:$A,0))</f>
        <v>2.5229293649882569</v>
      </c>
    </row>
    <row r="299" spans="1:24" ht="15" customHeight="1" x14ac:dyDescent="0.25">
      <c r="A299" s="390" t="str">
        <f>CBAM!$B$5&amp;".pj.enp.stl.oth.nga"</f>
        <v>egy.pj.enp.stl.oth.nga</v>
      </c>
      <c r="B299" s="390" t="str">
        <f>CBAM!$B$5</f>
        <v>egy</v>
      </c>
      <c r="C299" s="390" t="s">
        <v>1275</v>
      </c>
      <c r="D299" s="390" t="s">
        <v>1328</v>
      </c>
      <c r="E299" s="390" t="s">
        <v>322</v>
      </c>
      <c r="F299" s="390" t="s">
        <v>1611</v>
      </c>
      <c r="G299" s="390" t="s">
        <v>754</v>
      </c>
      <c r="H299" s="390" t="s">
        <v>1630</v>
      </c>
      <c r="I299" s="390" t="s">
        <v>1319</v>
      </c>
      <c r="J299" s="390"/>
      <c r="K299" s="390"/>
      <c r="L299" s="390"/>
      <c r="M299" s="391">
        <f>M286*INDEX(input_data!$L:$L,MATCH(CBAM!$B$5&amp;".in.enp.stl.oth.nga",input_data!$A:$A,0))</f>
        <v>0</v>
      </c>
      <c r="N299" s="391">
        <f>N286*INDEX(input_data!$L:$L,MATCH(CBAM!$B$5&amp;".in.enp.stl.oth.nga",input_data!$A:$A,0))</f>
        <v>0</v>
      </c>
      <c r="O299" s="391">
        <f>O286*INDEX(input_data!$L:$L,MATCH(CBAM!$B$5&amp;".in.enp.stl.oth.nga",input_data!$A:$A,0))</f>
        <v>0</v>
      </c>
      <c r="P299" s="391">
        <f>P286*INDEX(input_data!$L:$L,MATCH(CBAM!$B$5&amp;".in.enp.stl.oth.nga",input_data!$A:$A,0))</f>
        <v>0</v>
      </c>
      <c r="Q299" s="391">
        <f>Q286*INDEX(input_data!$L:$L,MATCH(CBAM!$B$5&amp;".in.enp.stl.oth.nga",input_data!$A:$A,0))</f>
        <v>0</v>
      </c>
      <c r="R299" s="391">
        <f>R286*INDEX(input_data!$L:$L,MATCH(CBAM!$B$5&amp;".in.enp.stl.oth.nga",input_data!$A:$A,0))</f>
        <v>0</v>
      </c>
      <c r="S299" s="391">
        <f>S286*INDEX(input_data!$L:$L,MATCH(CBAM!$B$5&amp;".in.enp.stl.oth.nga",input_data!$A:$A,0))</f>
        <v>0</v>
      </c>
      <c r="T299" s="391">
        <f>T286*INDEX(input_data!$L:$L,MATCH(CBAM!$B$5&amp;".in.enp.stl.oth.nga",input_data!$A:$A,0))</f>
        <v>0</v>
      </c>
      <c r="U299" s="391">
        <f>U286*INDEX(input_data!$L:$L,MATCH(CBAM!$B$5&amp;".in.enp.stl.oth.nga",input_data!$A:$A,0))</f>
        <v>0</v>
      </c>
      <c r="V299" s="391">
        <f>V286*INDEX(input_data!$L:$L,MATCH(CBAM!$B$5&amp;".in.enp.stl.oth.nga",input_data!$A:$A,0))</f>
        <v>0</v>
      </c>
      <c r="W299" s="391">
        <f>W286*INDEX(input_data!$L:$L,MATCH(CBAM!$B$5&amp;".in.enp.stl.oth.nga",input_data!$A:$A,0))</f>
        <v>0</v>
      </c>
      <c r="X299" s="391">
        <f>X286*INDEX(input_data!$L:$L,MATCH(CBAM!$B$5&amp;".in.enp.stl.oth.nga",input_data!$A:$A,0))</f>
        <v>0</v>
      </c>
    </row>
    <row r="300" spans="1:24" ht="15" customHeight="1" x14ac:dyDescent="0.25">
      <c r="A300" s="390" t="str">
        <f>CBAM!$B$5&amp;".pj.enp.stl.oth.gso"</f>
        <v>egy.pj.enp.stl.oth.gso</v>
      </c>
      <c r="B300" s="390" t="str">
        <f>CBAM!$B$5</f>
        <v>egy</v>
      </c>
      <c r="C300" s="390" t="s">
        <v>1275</v>
      </c>
      <c r="D300" s="390" t="s">
        <v>1328</v>
      </c>
      <c r="E300" s="390" t="s">
        <v>322</v>
      </c>
      <c r="F300" s="390" t="s">
        <v>1611</v>
      </c>
      <c r="G300" s="390" t="s">
        <v>1292</v>
      </c>
      <c r="H300" s="390" t="s">
        <v>1631</v>
      </c>
      <c r="I300" s="390" t="s">
        <v>1319</v>
      </c>
      <c r="J300" s="390"/>
      <c r="K300" s="390"/>
      <c r="L300" s="390"/>
      <c r="M300" s="391">
        <f>M286*INDEX(input_data!$L:$L,MATCH(CBAM!$B$5&amp;".in.enp.stl.oth.gso",input_data!$A:$A,0))</f>
        <v>0</v>
      </c>
      <c r="N300" s="391">
        <f>N286*INDEX(input_data!$L:$L,MATCH(CBAM!$B$5&amp;".in.enp.stl.oth.gso",input_data!$A:$A,0))</f>
        <v>0</v>
      </c>
      <c r="O300" s="391">
        <f>O286*INDEX(input_data!$L:$L,MATCH(CBAM!$B$5&amp;".in.enp.stl.oth.gso",input_data!$A:$A,0))</f>
        <v>0</v>
      </c>
      <c r="P300" s="391">
        <f>P286*INDEX(input_data!$L:$L,MATCH(CBAM!$B$5&amp;".in.enp.stl.oth.gso",input_data!$A:$A,0))</f>
        <v>0</v>
      </c>
      <c r="Q300" s="391">
        <f>Q286*INDEX(input_data!$L:$L,MATCH(CBAM!$B$5&amp;".in.enp.stl.oth.gso",input_data!$A:$A,0))</f>
        <v>0</v>
      </c>
      <c r="R300" s="391">
        <f>R286*INDEX(input_data!$L:$L,MATCH(CBAM!$B$5&amp;".in.enp.stl.oth.gso",input_data!$A:$A,0))</f>
        <v>0</v>
      </c>
      <c r="S300" s="391">
        <f>S286*INDEX(input_data!$L:$L,MATCH(CBAM!$B$5&amp;".in.enp.stl.oth.gso",input_data!$A:$A,0))</f>
        <v>0</v>
      </c>
      <c r="T300" s="391">
        <f>T286*INDEX(input_data!$L:$L,MATCH(CBAM!$B$5&amp;".in.enp.stl.oth.gso",input_data!$A:$A,0))</f>
        <v>0</v>
      </c>
      <c r="U300" s="391">
        <f>U286*INDEX(input_data!$L:$L,MATCH(CBAM!$B$5&amp;".in.enp.stl.oth.gso",input_data!$A:$A,0))</f>
        <v>0</v>
      </c>
      <c r="V300" s="391">
        <f>V286*INDEX(input_data!$L:$L,MATCH(CBAM!$B$5&amp;".in.enp.stl.oth.gso",input_data!$A:$A,0))</f>
        <v>0</v>
      </c>
      <c r="W300" s="391">
        <f>W286*INDEX(input_data!$L:$L,MATCH(CBAM!$B$5&amp;".in.enp.stl.oth.gso",input_data!$A:$A,0))</f>
        <v>0</v>
      </c>
      <c r="X300" s="391">
        <f>X286*INDEX(input_data!$L:$L,MATCH(CBAM!$B$5&amp;".in.enp.stl.oth.gso",input_data!$A:$A,0))</f>
        <v>0</v>
      </c>
    </row>
    <row r="301" spans="1:24" ht="15" customHeight="1" x14ac:dyDescent="0.25">
      <c r="A301" s="390" t="str">
        <f>CBAM!$B$5&amp;".pj.enp.stl.oth.die"</f>
        <v>egy.pj.enp.stl.oth.die</v>
      </c>
      <c r="B301" s="390" t="str">
        <f>CBAM!$B$5</f>
        <v>egy</v>
      </c>
      <c r="C301" s="390" t="s">
        <v>1275</v>
      </c>
      <c r="D301" s="390" t="s">
        <v>1328</v>
      </c>
      <c r="E301" s="390" t="s">
        <v>322</v>
      </c>
      <c r="F301" s="390" t="s">
        <v>1611</v>
      </c>
      <c r="G301" s="390" t="s">
        <v>762</v>
      </c>
      <c r="H301" s="390" t="s">
        <v>1632</v>
      </c>
      <c r="I301" s="390" t="s">
        <v>1319</v>
      </c>
      <c r="J301" s="390"/>
      <c r="K301" s="390"/>
      <c r="L301" s="390"/>
      <c r="M301" s="391">
        <f>M286*INDEX(input_data!$L:$L,MATCH(CBAM!$B$5&amp;".in.enp.stl.oth.die",input_data!$A:$A,0))</f>
        <v>0</v>
      </c>
      <c r="N301" s="391">
        <f>N286*INDEX(input_data!$L:$L,MATCH(CBAM!$B$5&amp;".in.enp.stl.oth.die",input_data!$A:$A,0))</f>
        <v>0</v>
      </c>
      <c r="O301" s="391">
        <f>O286*INDEX(input_data!$L:$L,MATCH(CBAM!$B$5&amp;".in.enp.stl.oth.die",input_data!$A:$A,0))</f>
        <v>0</v>
      </c>
      <c r="P301" s="391">
        <f>P286*INDEX(input_data!$L:$L,MATCH(CBAM!$B$5&amp;".in.enp.stl.oth.die",input_data!$A:$A,0))</f>
        <v>0</v>
      </c>
      <c r="Q301" s="391">
        <f>Q286*INDEX(input_data!$L:$L,MATCH(CBAM!$B$5&amp;".in.enp.stl.oth.die",input_data!$A:$A,0))</f>
        <v>0</v>
      </c>
      <c r="R301" s="391">
        <f>R286*INDEX(input_data!$L:$L,MATCH(CBAM!$B$5&amp;".in.enp.stl.oth.die",input_data!$A:$A,0))</f>
        <v>0</v>
      </c>
      <c r="S301" s="391">
        <f>S286*INDEX(input_data!$L:$L,MATCH(CBAM!$B$5&amp;".in.enp.stl.oth.die",input_data!$A:$A,0))</f>
        <v>0</v>
      </c>
      <c r="T301" s="391">
        <f>T286*INDEX(input_data!$L:$L,MATCH(CBAM!$B$5&amp;".in.enp.stl.oth.die",input_data!$A:$A,0))</f>
        <v>0</v>
      </c>
      <c r="U301" s="391">
        <f>U286*INDEX(input_data!$L:$L,MATCH(CBAM!$B$5&amp;".in.enp.stl.oth.die",input_data!$A:$A,0))</f>
        <v>0</v>
      </c>
      <c r="V301" s="391">
        <f>V286*INDEX(input_data!$L:$L,MATCH(CBAM!$B$5&amp;".in.enp.stl.oth.die",input_data!$A:$A,0))</f>
        <v>0</v>
      </c>
      <c r="W301" s="391">
        <f>W286*INDEX(input_data!$L:$L,MATCH(CBAM!$B$5&amp;".in.enp.stl.oth.die",input_data!$A:$A,0))</f>
        <v>0</v>
      </c>
      <c r="X301" s="391">
        <f>X286*INDEX(input_data!$L:$L,MATCH(CBAM!$B$5&amp;".in.enp.stl.oth.die",input_data!$A:$A,0))</f>
        <v>0</v>
      </c>
    </row>
    <row r="302" spans="1:24" ht="15" customHeight="1" x14ac:dyDescent="0.25">
      <c r="A302" s="390" t="str">
        <f>CBAM!$B$5&amp;".pj.enp.stl.oth.ker"</f>
        <v>egy.pj.enp.stl.oth.ker</v>
      </c>
      <c r="B302" s="390" t="str">
        <f>CBAM!$B$5</f>
        <v>egy</v>
      </c>
      <c r="C302" s="390" t="s">
        <v>1275</v>
      </c>
      <c r="D302" s="390" t="s">
        <v>1328</v>
      </c>
      <c r="E302" s="390" t="s">
        <v>322</v>
      </c>
      <c r="F302" s="390" t="s">
        <v>1611</v>
      </c>
      <c r="G302" s="390" t="s">
        <v>1295</v>
      </c>
      <c r="H302" s="390" t="s">
        <v>1633</v>
      </c>
      <c r="I302" s="390" t="s">
        <v>1319</v>
      </c>
      <c r="J302" s="390"/>
      <c r="K302" s="390"/>
      <c r="L302" s="390"/>
      <c r="M302" s="391">
        <f>M286*INDEX(input_data!$L:$L,MATCH(CBAM!$B$5&amp;".in.enp.stl.oth.ker",input_data!$A:$A,0))</f>
        <v>0</v>
      </c>
      <c r="N302" s="391">
        <f>N286*INDEX(input_data!$L:$L,MATCH(CBAM!$B$5&amp;".in.enp.stl.oth.ker",input_data!$A:$A,0))</f>
        <v>0</v>
      </c>
      <c r="O302" s="391">
        <f>O286*INDEX(input_data!$L:$L,MATCH(CBAM!$B$5&amp;".in.enp.stl.oth.ker",input_data!$A:$A,0))</f>
        <v>0</v>
      </c>
      <c r="P302" s="391">
        <f>P286*INDEX(input_data!$L:$L,MATCH(CBAM!$B$5&amp;".in.enp.stl.oth.ker",input_data!$A:$A,0))</f>
        <v>0</v>
      </c>
      <c r="Q302" s="391">
        <f>Q286*INDEX(input_data!$L:$L,MATCH(CBAM!$B$5&amp;".in.enp.stl.oth.ker",input_data!$A:$A,0))</f>
        <v>0</v>
      </c>
      <c r="R302" s="391">
        <f>R286*INDEX(input_data!$L:$L,MATCH(CBAM!$B$5&amp;".in.enp.stl.oth.ker",input_data!$A:$A,0))</f>
        <v>0</v>
      </c>
      <c r="S302" s="391">
        <f>S286*INDEX(input_data!$L:$L,MATCH(CBAM!$B$5&amp;".in.enp.stl.oth.ker",input_data!$A:$A,0))</f>
        <v>0</v>
      </c>
      <c r="T302" s="391">
        <f>T286*INDEX(input_data!$L:$L,MATCH(CBAM!$B$5&amp;".in.enp.stl.oth.ker",input_data!$A:$A,0))</f>
        <v>0</v>
      </c>
      <c r="U302" s="391">
        <f>U286*INDEX(input_data!$L:$L,MATCH(CBAM!$B$5&amp;".in.enp.stl.oth.ker",input_data!$A:$A,0))</f>
        <v>0</v>
      </c>
      <c r="V302" s="391">
        <f>V286*INDEX(input_data!$L:$L,MATCH(CBAM!$B$5&amp;".in.enp.stl.oth.ker",input_data!$A:$A,0))</f>
        <v>0</v>
      </c>
      <c r="W302" s="391">
        <f>W286*INDEX(input_data!$L:$L,MATCH(CBAM!$B$5&amp;".in.enp.stl.oth.ker",input_data!$A:$A,0))</f>
        <v>0</v>
      </c>
      <c r="X302" s="391">
        <f>X286*INDEX(input_data!$L:$L,MATCH(CBAM!$B$5&amp;".in.enp.stl.oth.ker",input_data!$A:$A,0))</f>
        <v>0</v>
      </c>
    </row>
    <row r="303" spans="1:24" ht="15" customHeight="1" x14ac:dyDescent="0.25">
      <c r="A303" s="390" t="str">
        <f>CBAM!$B$5&amp;".pj.enp.stl.oth.lpg"</f>
        <v>egy.pj.enp.stl.oth.lpg</v>
      </c>
      <c r="B303" s="390" t="str">
        <f>CBAM!$B$5</f>
        <v>egy</v>
      </c>
      <c r="C303" s="390" t="s">
        <v>1275</v>
      </c>
      <c r="D303" s="390" t="s">
        <v>1328</v>
      </c>
      <c r="E303" s="390" t="s">
        <v>322</v>
      </c>
      <c r="F303" s="390" t="s">
        <v>1611</v>
      </c>
      <c r="G303" s="390" t="s">
        <v>1297</v>
      </c>
      <c r="H303" s="390" t="s">
        <v>1634</v>
      </c>
      <c r="I303" s="390" t="s">
        <v>1319</v>
      </c>
      <c r="J303" s="390"/>
      <c r="K303" s="390"/>
      <c r="L303" s="390"/>
      <c r="M303" s="391">
        <f>M286*INDEX(input_data!$L:$L,MATCH(CBAM!$B$5&amp;".in.enp.stl.oth.lpg",input_data!$A:$A,0))</f>
        <v>0</v>
      </c>
      <c r="N303" s="391">
        <f>N286*INDEX(input_data!$L:$L,MATCH(CBAM!$B$5&amp;".in.enp.stl.oth.lpg",input_data!$A:$A,0))</f>
        <v>0</v>
      </c>
      <c r="O303" s="391">
        <f>O286*INDEX(input_data!$L:$L,MATCH(CBAM!$B$5&amp;".in.enp.stl.oth.lpg",input_data!$A:$A,0))</f>
        <v>0</v>
      </c>
      <c r="P303" s="391">
        <f>P286*INDEX(input_data!$L:$L,MATCH(CBAM!$B$5&amp;".in.enp.stl.oth.lpg",input_data!$A:$A,0))</f>
        <v>0</v>
      </c>
      <c r="Q303" s="391">
        <f>Q286*INDEX(input_data!$L:$L,MATCH(CBAM!$B$5&amp;".in.enp.stl.oth.lpg",input_data!$A:$A,0))</f>
        <v>0</v>
      </c>
      <c r="R303" s="391">
        <f>R286*INDEX(input_data!$L:$L,MATCH(CBAM!$B$5&amp;".in.enp.stl.oth.lpg",input_data!$A:$A,0))</f>
        <v>0</v>
      </c>
      <c r="S303" s="391">
        <f>S286*INDEX(input_data!$L:$L,MATCH(CBAM!$B$5&amp;".in.enp.stl.oth.lpg",input_data!$A:$A,0))</f>
        <v>0</v>
      </c>
      <c r="T303" s="391">
        <f>T286*INDEX(input_data!$L:$L,MATCH(CBAM!$B$5&amp;".in.enp.stl.oth.lpg",input_data!$A:$A,0))</f>
        <v>0</v>
      </c>
      <c r="U303" s="391">
        <f>U286*INDEX(input_data!$L:$L,MATCH(CBAM!$B$5&amp;".in.enp.stl.oth.lpg",input_data!$A:$A,0))</f>
        <v>0</v>
      </c>
      <c r="V303" s="391">
        <f>V286*INDEX(input_data!$L:$L,MATCH(CBAM!$B$5&amp;".in.enp.stl.oth.lpg",input_data!$A:$A,0))</f>
        <v>0</v>
      </c>
      <c r="W303" s="391">
        <f>W286*INDEX(input_data!$L:$L,MATCH(CBAM!$B$5&amp;".in.enp.stl.oth.lpg",input_data!$A:$A,0))</f>
        <v>0</v>
      </c>
      <c r="X303" s="391">
        <f>X286*INDEX(input_data!$L:$L,MATCH(CBAM!$B$5&amp;".in.enp.stl.oth.lpg",input_data!$A:$A,0))</f>
        <v>0</v>
      </c>
    </row>
    <row r="304" spans="1:24" ht="15" customHeight="1" x14ac:dyDescent="0.25">
      <c r="A304" s="390" t="str">
        <f>CBAM!$B$5&amp;".pj.enp.stl.oth.bio"</f>
        <v>egy.pj.enp.stl.oth.bio</v>
      </c>
      <c r="B304" s="390" t="str">
        <f>CBAM!$B$5</f>
        <v>egy</v>
      </c>
      <c r="C304" s="390" t="s">
        <v>1275</v>
      </c>
      <c r="D304" s="390" t="s">
        <v>1328</v>
      </c>
      <c r="E304" s="390" t="s">
        <v>322</v>
      </c>
      <c r="F304" s="390" t="s">
        <v>1611</v>
      </c>
      <c r="G304" s="390" t="s">
        <v>1299</v>
      </c>
      <c r="H304" s="390" t="s">
        <v>1635</v>
      </c>
      <c r="I304" s="390" t="s">
        <v>1319</v>
      </c>
      <c r="J304" s="390"/>
      <c r="K304" s="390"/>
      <c r="L304" s="390"/>
      <c r="M304" s="391">
        <f>M286*INDEX(input_data!$L:$L,MATCH(CBAM!$B$5&amp;".in.enp.stl.oth.bio",input_data!$A:$A,0))</f>
        <v>0</v>
      </c>
      <c r="N304" s="391">
        <f>N286*INDEX(input_data!$L:$L,MATCH(CBAM!$B$5&amp;".in.enp.stl.oth.bio",input_data!$A:$A,0))</f>
        <v>0</v>
      </c>
      <c r="O304" s="391">
        <f>O286*INDEX(input_data!$L:$L,MATCH(CBAM!$B$5&amp;".in.enp.stl.oth.bio",input_data!$A:$A,0))</f>
        <v>0</v>
      </c>
      <c r="P304" s="391">
        <f>P286*INDEX(input_data!$L:$L,MATCH(CBAM!$B$5&amp;".in.enp.stl.oth.bio",input_data!$A:$A,0))</f>
        <v>0</v>
      </c>
      <c r="Q304" s="391">
        <f>Q286*INDEX(input_data!$L:$L,MATCH(CBAM!$B$5&amp;".in.enp.stl.oth.bio",input_data!$A:$A,0))</f>
        <v>0</v>
      </c>
      <c r="R304" s="391">
        <f>R286*INDEX(input_data!$L:$L,MATCH(CBAM!$B$5&amp;".in.enp.stl.oth.bio",input_data!$A:$A,0))</f>
        <v>0</v>
      </c>
      <c r="S304" s="391">
        <f>S286*INDEX(input_data!$L:$L,MATCH(CBAM!$B$5&amp;".in.enp.stl.oth.bio",input_data!$A:$A,0))</f>
        <v>0</v>
      </c>
      <c r="T304" s="391">
        <f>T286*INDEX(input_data!$L:$L,MATCH(CBAM!$B$5&amp;".in.enp.stl.oth.bio",input_data!$A:$A,0))</f>
        <v>0</v>
      </c>
      <c r="U304" s="391">
        <f>U286*INDEX(input_data!$L:$L,MATCH(CBAM!$B$5&amp;".in.enp.stl.oth.bio",input_data!$A:$A,0))</f>
        <v>0</v>
      </c>
      <c r="V304" s="391">
        <f>V286*INDEX(input_data!$L:$L,MATCH(CBAM!$B$5&amp;".in.enp.stl.oth.bio",input_data!$A:$A,0))</f>
        <v>0</v>
      </c>
      <c r="W304" s="391">
        <f>W286*INDEX(input_data!$L:$L,MATCH(CBAM!$B$5&amp;".in.enp.stl.oth.bio",input_data!$A:$A,0))</f>
        <v>0</v>
      </c>
      <c r="X304" s="391">
        <f>X286*INDEX(input_data!$L:$L,MATCH(CBAM!$B$5&amp;".in.enp.stl.oth.bio",input_data!$A:$A,0))</f>
        <v>0</v>
      </c>
    </row>
    <row r="305" spans="1:24" ht="15" customHeight="1" x14ac:dyDescent="0.25">
      <c r="A305" s="390" t="str">
        <f>CBAM!$B$5&amp;".pj.enp.stl.oth.ren"</f>
        <v>egy.pj.enp.stl.oth.ren</v>
      </c>
      <c r="B305" s="390" t="str">
        <f>CBAM!$B$5</f>
        <v>egy</v>
      </c>
      <c r="C305" s="390" t="s">
        <v>1275</v>
      </c>
      <c r="D305" s="390" t="s">
        <v>1328</v>
      </c>
      <c r="E305" s="390" t="s">
        <v>322</v>
      </c>
      <c r="F305" s="390" t="s">
        <v>1611</v>
      </c>
      <c r="G305" s="390" t="s">
        <v>1301</v>
      </c>
      <c r="H305" s="390" t="s">
        <v>1636</v>
      </c>
      <c r="I305" s="390" t="s">
        <v>1319</v>
      </c>
      <c r="J305" s="390"/>
      <c r="K305" s="390"/>
      <c r="L305" s="390"/>
      <c r="M305" s="391">
        <f>M286*INDEX(input_data!$L:$L,MATCH(CBAM!$B$5&amp;".in.enp.stl.oth.ren",input_data!$A:$A,0))</f>
        <v>0</v>
      </c>
      <c r="N305" s="391">
        <f>N286*INDEX(input_data!$L:$L,MATCH(CBAM!$B$5&amp;".in.enp.stl.oth.ren",input_data!$A:$A,0))</f>
        <v>0</v>
      </c>
      <c r="O305" s="391">
        <f>O286*INDEX(input_data!$L:$L,MATCH(CBAM!$B$5&amp;".in.enp.stl.oth.ren",input_data!$A:$A,0))</f>
        <v>0</v>
      </c>
      <c r="P305" s="391">
        <f>P286*INDEX(input_data!$L:$L,MATCH(CBAM!$B$5&amp;".in.enp.stl.oth.ren",input_data!$A:$A,0))</f>
        <v>0</v>
      </c>
      <c r="Q305" s="391">
        <f>Q286*INDEX(input_data!$L:$L,MATCH(CBAM!$B$5&amp;".in.enp.stl.oth.ren",input_data!$A:$A,0))</f>
        <v>0</v>
      </c>
      <c r="R305" s="391">
        <f>R286*INDEX(input_data!$L:$L,MATCH(CBAM!$B$5&amp;".in.enp.stl.oth.ren",input_data!$A:$A,0))</f>
        <v>0</v>
      </c>
      <c r="S305" s="391">
        <f>S286*INDEX(input_data!$L:$L,MATCH(CBAM!$B$5&amp;".in.enp.stl.oth.ren",input_data!$A:$A,0))</f>
        <v>0</v>
      </c>
      <c r="T305" s="391">
        <f>T286*INDEX(input_data!$L:$L,MATCH(CBAM!$B$5&amp;".in.enp.stl.oth.ren",input_data!$A:$A,0))</f>
        <v>0</v>
      </c>
      <c r="U305" s="391">
        <f>U286*INDEX(input_data!$L:$L,MATCH(CBAM!$B$5&amp;".in.enp.stl.oth.ren",input_data!$A:$A,0))</f>
        <v>0</v>
      </c>
      <c r="V305" s="391">
        <f>V286*INDEX(input_data!$L:$L,MATCH(CBAM!$B$5&amp;".in.enp.stl.oth.ren",input_data!$A:$A,0))</f>
        <v>0</v>
      </c>
      <c r="W305" s="391">
        <f>W286*INDEX(input_data!$L:$L,MATCH(CBAM!$B$5&amp;".in.enp.stl.oth.ren",input_data!$A:$A,0))</f>
        <v>0</v>
      </c>
      <c r="X305" s="391">
        <f>X286*INDEX(input_data!$L:$L,MATCH(CBAM!$B$5&amp;".in.enp.stl.oth.ren",input_data!$A:$A,0))</f>
        <v>0</v>
      </c>
    </row>
    <row r="306" spans="1:24" ht="15" customHeight="1" x14ac:dyDescent="0.25">
      <c r="A306" s="390" t="str">
        <f>CBAM!$B$5&amp;".pj.ele.stl.oth.elc"</f>
        <v>egy.pj.ele.stl.oth.elc</v>
      </c>
      <c r="B306" s="390" t="str">
        <f>CBAM!$B$5</f>
        <v>egy</v>
      </c>
      <c r="C306" s="390" t="s">
        <v>1275</v>
      </c>
      <c r="D306" s="390" t="s">
        <v>1338</v>
      </c>
      <c r="E306" s="390" t="s">
        <v>322</v>
      </c>
      <c r="F306" s="390" t="s">
        <v>1611</v>
      </c>
      <c r="G306" s="390" t="s">
        <v>1339</v>
      </c>
      <c r="H306" s="390" t="s">
        <v>1637</v>
      </c>
      <c r="I306" s="390" t="s">
        <v>1319</v>
      </c>
      <c r="J306" s="390"/>
      <c r="K306" s="390"/>
      <c r="L306" s="390"/>
      <c r="M306" s="391">
        <f>M286*INDEX(input_data!$L:$L,MATCH(CBAM!$B$5&amp;".in.ele.stl.oth.elc",input_data!$A:$A,0))</f>
        <v>0.70000000000000007</v>
      </c>
      <c r="N306" s="391">
        <f>N286*INDEX(input_data!$L:$L,MATCH(CBAM!$B$5&amp;".in.ele.stl.oth.elc",input_data!$A:$A,0))</f>
        <v>0.73849999999999993</v>
      </c>
      <c r="O306" s="391">
        <f>O286*INDEX(input_data!$L:$L,MATCH(CBAM!$B$5&amp;".in.ele.stl.oth.elc",input_data!$A:$A,0))</f>
        <v>0.77911750000000002</v>
      </c>
      <c r="P306" s="391">
        <f>P286*INDEX(input_data!$L:$L,MATCH(CBAM!$B$5&amp;".in.ele.stl.oth.elc",input_data!$A:$A,0))</f>
        <v>0.82196896249999984</v>
      </c>
      <c r="Q306" s="391">
        <f>Q286*INDEX(input_data!$L:$L,MATCH(CBAM!$B$5&amp;".in.ele.stl.oth.elc",input_data!$A:$A,0))</f>
        <v>0.86717725543749991</v>
      </c>
      <c r="R306" s="391">
        <f>R286*INDEX(input_data!$L:$L,MATCH(CBAM!$B$5&amp;".in.ele.stl.oth.elc",input_data!$A:$A,0))</f>
        <v>0.91487200448656236</v>
      </c>
      <c r="S306" s="391">
        <f>S286*INDEX(input_data!$L:$L,MATCH(CBAM!$B$5&amp;".in.ele.stl.oth.elc",input_data!$A:$A,0))</f>
        <v>0.9651899647333233</v>
      </c>
      <c r="T306" s="391">
        <f>T286*INDEX(input_data!$L:$L,MATCH(CBAM!$B$5&amp;".in.ele.stl.oth.elc",input_data!$A:$A,0))</f>
        <v>1.018275412793656</v>
      </c>
      <c r="U306" s="391">
        <f>U286*INDEX(input_data!$L:$L,MATCH(CBAM!$B$5&amp;".in.ele.stl.oth.elc",input_data!$A:$A,0))</f>
        <v>1.0742805604973071</v>
      </c>
      <c r="V306" s="391">
        <f>V286*INDEX(input_data!$L:$L,MATCH(CBAM!$B$5&amp;".in.ele.stl.oth.elc",input_data!$A:$A,0))</f>
        <v>1.1333659913246588</v>
      </c>
      <c r="W306" s="391">
        <f>W286*INDEX(input_data!$L:$L,MATCH(CBAM!$B$5&amp;".in.ele.stl.oth.elc",input_data!$A:$A,0))</f>
        <v>1.1957011208475152</v>
      </c>
      <c r="X306" s="391">
        <f>X286*INDEX(input_data!$L:$L,MATCH(CBAM!$B$5&amp;".in.ele.stl.oth.elc",input_data!$A:$A,0))</f>
        <v>1.2614646824941285</v>
      </c>
    </row>
    <row r="307" spans="1:24" ht="15" customHeight="1" x14ac:dyDescent="0.25">
      <c r="A307" s="390" t="str">
        <f>CBAM!$B$5&amp;".em.sfc.stl.oth.---"</f>
        <v>egy.em.sfc.stl.oth.---</v>
      </c>
      <c r="B307" s="390" t="str">
        <f>CBAM!$B$5</f>
        <v>egy</v>
      </c>
      <c r="C307" s="390" t="s">
        <v>1342</v>
      </c>
      <c r="D307" s="390" t="s">
        <v>1343</v>
      </c>
      <c r="E307" s="390" t="s">
        <v>322</v>
      </c>
      <c r="F307" s="390" t="s">
        <v>1611</v>
      </c>
      <c r="G307" s="390" t="s">
        <v>1277</v>
      </c>
      <c r="H307" s="390" t="s">
        <v>1638</v>
      </c>
      <c r="I307" s="390" t="s">
        <v>1345</v>
      </c>
      <c r="J307" s="390"/>
      <c r="K307" s="390"/>
      <c r="L307" s="390"/>
      <c r="M307" s="391">
        <f t="shared" ref="M307:X307" si="33">SUMPRODUCT(M290:M297,M10:M17)/1000</f>
        <v>3.4440000000000005E-2</v>
      </c>
      <c r="N307" s="391">
        <f t="shared" si="33"/>
        <v>3.6334199999999997E-2</v>
      </c>
      <c r="O307" s="391">
        <f t="shared" si="33"/>
        <v>3.8332580999999998E-2</v>
      </c>
      <c r="P307" s="391">
        <f t="shared" si="33"/>
        <v>4.0440872954999992E-2</v>
      </c>
      <c r="Q307" s="391">
        <f t="shared" si="33"/>
        <v>4.2665120967524992E-2</v>
      </c>
      <c r="R307" s="391">
        <f t="shared" si="33"/>
        <v>4.5011702620738864E-2</v>
      </c>
      <c r="S307" s="391">
        <f t="shared" si="33"/>
        <v>4.7487346264879507E-2</v>
      </c>
      <c r="T307" s="391">
        <f t="shared" si="33"/>
        <v>5.0099150309447872E-2</v>
      </c>
      <c r="U307" s="391">
        <f t="shared" si="33"/>
        <v>5.2854603576467513E-2</v>
      </c>
      <c r="V307" s="391">
        <f t="shared" si="33"/>
        <v>5.5761606773173211E-2</v>
      </c>
      <c r="W307" s="391">
        <f t="shared" si="33"/>
        <v>5.8828495145697747E-2</v>
      </c>
      <c r="X307" s="391">
        <f t="shared" si="33"/>
        <v>6.2064062378711114E-2</v>
      </c>
    </row>
    <row r="308" spans="1:24" ht="15" customHeight="1" x14ac:dyDescent="0.25">
      <c r="A308" s="390" t="str">
        <f>CBAM!$B$5&amp;".em.sfp.stl.oth.---"</f>
        <v>egy.em.sfp.stl.oth.---</v>
      </c>
      <c r="B308" s="390" t="str">
        <f>CBAM!$B$5</f>
        <v>egy</v>
      </c>
      <c r="C308" s="390" t="s">
        <v>1342</v>
      </c>
      <c r="D308" s="390" t="s">
        <v>1347</v>
      </c>
      <c r="E308" s="390" t="s">
        <v>322</v>
      </c>
      <c r="F308" s="390" t="s">
        <v>1611</v>
      </c>
      <c r="G308" s="390" t="s">
        <v>1277</v>
      </c>
      <c r="H308" s="390" t="s">
        <v>1639</v>
      </c>
      <c r="I308" s="390" t="s">
        <v>1345</v>
      </c>
      <c r="J308" s="390"/>
      <c r="K308" s="390"/>
      <c r="L308" s="390"/>
      <c r="M308" s="391">
        <f t="shared" ref="M308:X308" si="34">SUMPRODUCT(M298:M305,M10:M17)/1000</f>
        <v>0.13453999999999999</v>
      </c>
      <c r="N308" s="391">
        <f t="shared" si="34"/>
        <v>0.14193969999999997</v>
      </c>
      <c r="O308" s="391">
        <f t="shared" si="34"/>
        <v>0.1497463835</v>
      </c>
      <c r="P308" s="391">
        <f t="shared" si="34"/>
        <v>0.15798243459249997</v>
      </c>
      <c r="Q308" s="391">
        <f t="shared" si="34"/>
        <v>0.16667146849508749</v>
      </c>
      <c r="R308" s="391">
        <f t="shared" si="34"/>
        <v>0.17583839926231726</v>
      </c>
      <c r="S308" s="391">
        <f t="shared" si="34"/>
        <v>0.18550951122174472</v>
      </c>
      <c r="T308" s="391">
        <f t="shared" si="34"/>
        <v>0.19571253433894065</v>
      </c>
      <c r="U308" s="391">
        <f t="shared" si="34"/>
        <v>0.20647672372758241</v>
      </c>
      <c r="V308" s="391">
        <f t="shared" si="34"/>
        <v>0.21783294353259938</v>
      </c>
      <c r="W308" s="391">
        <f t="shared" si="34"/>
        <v>0.22981375542689242</v>
      </c>
      <c r="X308" s="391">
        <f t="shared" si="34"/>
        <v>0.24245351197537146</v>
      </c>
    </row>
    <row r="309" spans="1:24" ht="15" customHeight="1" x14ac:dyDescent="0.25">
      <c r="A309" s="390" t="str">
        <f>CBAM!$B$5&amp;".em.snp.stl.oth.---"</f>
        <v>egy.em.snp.stl.oth.---</v>
      </c>
      <c r="B309" s="390" t="str">
        <f>CBAM!$B$5</f>
        <v>egy</v>
      </c>
      <c r="C309" s="390" t="s">
        <v>1342</v>
      </c>
      <c r="D309" s="390" t="s">
        <v>1350</v>
      </c>
      <c r="E309" s="390" t="s">
        <v>322</v>
      </c>
      <c r="F309" s="390" t="s">
        <v>1611</v>
      </c>
      <c r="G309" s="390" t="s">
        <v>1277</v>
      </c>
      <c r="H309" s="390" t="s">
        <v>1640</v>
      </c>
      <c r="I309" s="390" t="s">
        <v>1345</v>
      </c>
      <c r="J309" s="390"/>
      <c r="K309" s="390"/>
      <c r="L309" s="390"/>
      <c r="M309" s="391">
        <f>M286*INDEX(input_data!$L:$L,MATCH(CBAM!$B$5&amp;".in.efn.stl.oth.---",input_data!$A:$A,0))</f>
        <v>0</v>
      </c>
      <c r="N309" s="391">
        <f>N286*INDEX(input_data!$L:$L,MATCH(CBAM!$B$5&amp;".in.efn.stl.oth.---",input_data!$A:$A,0))</f>
        <v>0</v>
      </c>
      <c r="O309" s="391">
        <f>O286*INDEX(input_data!$L:$L,MATCH(CBAM!$B$5&amp;".in.efn.stl.oth.---",input_data!$A:$A,0))</f>
        <v>0</v>
      </c>
      <c r="P309" s="391">
        <f>P286*INDEX(input_data!$L:$L,MATCH(CBAM!$B$5&amp;".in.efn.stl.oth.---",input_data!$A:$A,0))</f>
        <v>0</v>
      </c>
      <c r="Q309" s="391">
        <f>Q286*INDEX(input_data!$L:$L,MATCH(CBAM!$B$5&amp;".in.efn.stl.oth.---",input_data!$A:$A,0))</f>
        <v>0</v>
      </c>
      <c r="R309" s="391">
        <f>R286*INDEX(input_data!$L:$L,MATCH(CBAM!$B$5&amp;".in.efn.stl.oth.---",input_data!$A:$A,0))</f>
        <v>0</v>
      </c>
      <c r="S309" s="391">
        <f>S286*INDEX(input_data!$L:$L,MATCH(CBAM!$B$5&amp;".in.efn.stl.oth.---",input_data!$A:$A,0))</f>
        <v>0</v>
      </c>
      <c r="T309" s="391">
        <f>T286*INDEX(input_data!$L:$L,MATCH(CBAM!$B$5&amp;".in.efn.stl.oth.---",input_data!$A:$A,0))</f>
        <v>0</v>
      </c>
      <c r="U309" s="391">
        <f>U286*INDEX(input_data!$L:$L,MATCH(CBAM!$B$5&amp;".in.efn.stl.oth.---",input_data!$A:$A,0))</f>
        <v>0</v>
      </c>
      <c r="V309" s="391">
        <f>V286*INDEX(input_data!$L:$L,MATCH(CBAM!$B$5&amp;".in.efn.stl.oth.---",input_data!$A:$A,0))</f>
        <v>0</v>
      </c>
      <c r="W309" s="391">
        <f>W286*INDEX(input_data!$L:$L,MATCH(CBAM!$B$5&amp;".in.efn.stl.oth.---",input_data!$A:$A,0))</f>
        <v>0</v>
      </c>
      <c r="X309" s="391">
        <f>X286*INDEX(input_data!$L:$L,MATCH(CBAM!$B$5&amp;".in.efn.stl.oth.---",input_data!$A:$A,0))</f>
        <v>0</v>
      </c>
    </row>
    <row r="310" spans="1:24" ht="15" customHeight="1" x14ac:dyDescent="0.25">
      <c r="A310" s="390" t="str">
        <f>CBAM!$B$5&amp;".em.sno.stl.oth.---"</f>
        <v>egy.em.sno.stl.oth.---</v>
      </c>
      <c r="B310" s="390" t="str">
        <f>CBAM!$B$5</f>
        <v>egy</v>
      </c>
      <c r="C310" s="390" t="s">
        <v>1342</v>
      </c>
      <c r="D310" s="390" t="s">
        <v>1353</v>
      </c>
      <c r="E310" s="390" t="s">
        <v>322</v>
      </c>
      <c r="F310" s="390" t="s">
        <v>1611</v>
      </c>
      <c r="G310" s="390" t="s">
        <v>1277</v>
      </c>
      <c r="H310" s="390" t="s">
        <v>1641</v>
      </c>
      <c r="I310" s="390" t="s">
        <v>1355</v>
      </c>
      <c r="J310" s="390"/>
      <c r="K310" s="390"/>
      <c r="L310" s="390"/>
      <c r="M310" s="391">
        <f>M286*INDEX(input_data!$L:$L,MATCH(CBAM!$B$5&amp;".in.efo.stl.oth.---",input_data!$A:$A,0))</f>
        <v>0</v>
      </c>
      <c r="N310" s="391">
        <f>N286*INDEX(input_data!$L:$L,MATCH(CBAM!$B$5&amp;".in.efo.stl.oth.---",input_data!$A:$A,0))</f>
        <v>0</v>
      </c>
      <c r="O310" s="391">
        <f>O286*INDEX(input_data!$L:$L,MATCH(CBAM!$B$5&amp;".in.efo.stl.oth.---",input_data!$A:$A,0))</f>
        <v>0</v>
      </c>
      <c r="P310" s="391">
        <f>P286*INDEX(input_data!$L:$L,MATCH(CBAM!$B$5&amp;".in.efo.stl.oth.---",input_data!$A:$A,0))</f>
        <v>0</v>
      </c>
      <c r="Q310" s="391">
        <f>Q286*INDEX(input_data!$L:$L,MATCH(CBAM!$B$5&amp;".in.efo.stl.oth.---",input_data!$A:$A,0))</f>
        <v>0</v>
      </c>
      <c r="R310" s="391">
        <f>R286*INDEX(input_data!$L:$L,MATCH(CBAM!$B$5&amp;".in.efo.stl.oth.---",input_data!$A:$A,0))</f>
        <v>0</v>
      </c>
      <c r="S310" s="391">
        <f>S286*INDEX(input_data!$L:$L,MATCH(CBAM!$B$5&amp;".in.efo.stl.oth.---",input_data!$A:$A,0))</f>
        <v>0</v>
      </c>
      <c r="T310" s="391">
        <f>T286*INDEX(input_data!$L:$L,MATCH(CBAM!$B$5&amp;".in.efo.stl.oth.---",input_data!$A:$A,0))</f>
        <v>0</v>
      </c>
      <c r="U310" s="391">
        <f>U286*INDEX(input_data!$L:$L,MATCH(CBAM!$B$5&amp;".in.efo.stl.oth.---",input_data!$A:$A,0))</f>
        <v>0</v>
      </c>
      <c r="V310" s="391">
        <f>V286*INDEX(input_data!$L:$L,MATCH(CBAM!$B$5&amp;".in.efo.stl.oth.---",input_data!$A:$A,0))</f>
        <v>0</v>
      </c>
      <c r="W310" s="391">
        <f>W286*INDEX(input_data!$L:$L,MATCH(CBAM!$B$5&amp;".in.efo.stl.oth.---",input_data!$A:$A,0))</f>
        <v>0</v>
      </c>
      <c r="X310" s="391">
        <f>X286*INDEX(input_data!$L:$L,MATCH(CBAM!$B$5&amp;".in.efo.stl.oth.---",input_data!$A:$A,0))</f>
        <v>0</v>
      </c>
    </row>
    <row r="311" spans="1:24" ht="15" customHeight="1" x14ac:dyDescent="0.25">
      <c r="A311" s="390" t="str">
        <f>CBAM!$B$5&amp;".em.s2e.stl.oth.elc"</f>
        <v>egy.em.s2e.stl.oth.elc</v>
      </c>
      <c r="B311" s="390" t="str">
        <f>CBAM!$B$5</f>
        <v>egy</v>
      </c>
      <c r="C311" s="390" t="s">
        <v>1342</v>
      </c>
      <c r="D311" s="390" t="s">
        <v>1357</v>
      </c>
      <c r="E311" s="390" t="s">
        <v>322</v>
      </c>
      <c r="F311" s="390" t="s">
        <v>1611</v>
      </c>
      <c r="G311" s="390" t="s">
        <v>1339</v>
      </c>
      <c r="H311" s="390" t="s">
        <v>1642</v>
      </c>
      <c r="I311" s="390" t="s">
        <v>1345</v>
      </c>
      <c r="J311" s="390"/>
      <c r="K311" s="390"/>
      <c r="L311" s="390"/>
      <c r="M311" s="391">
        <f>M306*INDEX(input_data!$M:$X,MATCH(CBAM!$B$5&amp;".in.gef.---.---.---",input_data!$A:$A,0),COLUMNS($M:M))/3.6</f>
        <v>9.9166666666666681E-2</v>
      </c>
      <c r="N311" s="391">
        <f>N306*INDEX(input_data!$M:$X,MATCH(CBAM!$B$5&amp;".in.gef.---.---.---",input_data!$A:$A,0),COLUMNS($M:N))/3.6</f>
        <v>0.10256944444444444</v>
      </c>
      <c r="O311" s="391">
        <f>O306*INDEX(input_data!$M:$X,MATCH(CBAM!$B$5&amp;".in.gef.---.---.---",input_data!$A:$A,0),COLUMNS($M:O))/3.6</f>
        <v>0.10604654861111111</v>
      </c>
      <c r="P311" s="391">
        <f>P306*INDEX(input_data!$M:$X,MATCH(CBAM!$B$5&amp;".in.gef.---.---.---",input_data!$A:$A,0),COLUMNS($M:P))/3.6</f>
        <v>0.10959586166666664</v>
      </c>
      <c r="Q311" s="391">
        <f>Q306*INDEX(input_data!$M:$X,MATCH(CBAM!$B$5&amp;".in.gef.---.---.---",input_data!$A:$A,0),COLUMNS($M:Q))/3.6</f>
        <v>0.1132148083487847</v>
      </c>
      <c r="R311" s="391">
        <f>R306*INDEX(input_data!$M:$X,MATCH(CBAM!$B$5&amp;".in.gef.---.---.---",input_data!$A:$A,0),COLUMNS($M:R))/3.6</f>
        <v>0.11690031168439408</v>
      </c>
      <c r="S311" s="391">
        <f>S306*INDEX(input_data!$M:$X,MATCH(CBAM!$B$5&amp;".in.gef.---.---.---",input_data!$A:$A,0),COLUMNS($M:S))/3.6</f>
        <v>0.12064874559166541</v>
      </c>
      <c r="T311" s="391">
        <f>T306*INDEX(input_data!$M:$X,MATCH(CBAM!$B$5&amp;".in.gef.---.---.---",input_data!$A:$A,0),COLUMNS($M:T))/3.6</f>
        <v>0.12445588378589129</v>
      </c>
      <c r="U311" s="391">
        <f>U306*INDEX(input_data!$M:$X,MATCH(CBAM!$B$5&amp;".in.gef.---.---.---",input_data!$A:$A,0),COLUMNS($M:U))/3.6</f>
        <v>0.12831684472606725</v>
      </c>
      <c r="V311" s="391">
        <f>V306*INDEX(input_data!$M:$X,MATCH(CBAM!$B$5&amp;".in.gef.---.---.---",input_data!$A:$A,0),COLUMNS($M:V))/3.6</f>
        <v>0.13222603232121016</v>
      </c>
      <c r="W311" s="391">
        <f>W306*INDEX(input_data!$M:$X,MATCH(CBAM!$B$5&amp;".in.gef.---.---.---",input_data!$A:$A,0),COLUMNS($M:W))/3.6</f>
        <v>0.13617707209652255</v>
      </c>
      <c r="X311" s="391">
        <f>X306*INDEX(input_data!$M:$X,MATCH(CBAM!$B$5&amp;".in.gef.---.---.---",input_data!$A:$A,0),COLUMNS($M:X))/3.6</f>
        <v>0.14016274249934763</v>
      </c>
    </row>
    <row r="312" spans="1:24" ht="15" customHeight="1" x14ac:dyDescent="0.25">
      <c r="A312" s="390" t="str">
        <f>CBAM!$B$5&amp;".em.nh3.stl.oth.---"</f>
        <v>egy.em.nh3.stl.oth.---</v>
      </c>
      <c r="B312" s="390" t="str">
        <f>CBAM!$B$5</f>
        <v>egy</v>
      </c>
      <c r="C312" s="390" t="s">
        <v>1342</v>
      </c>
      <c r="D312" s="390" t="s">
        <v>1557</v>
      </c>
      <c r="E312" s="390" t="s">
        <v>322</v>
      </c>
      <c r="F312" s="390" t="s">
        <v>1611</v>
      </c>
      <c r="G312" s="390" t="s">
        <v>1277</v>
      </c>
      <c r="H312" s="390" t="s">
        <v>1643</v>
      </c>
      <c r="I312" s="390" t="s">
        <v>1355</v>
      </c>
      <c r="J312" s="390"/>
      <c r="K312" s="390"/>
      <c r="L312" s="390"/>
      <c r="M312" s="391">
        <f>INDEX(input_data!$L:$L,MATCH("all.in.nh3.stl.oth.---",input_data!$A:$A,0))*IFERROR((M153+M154+M155+M156)/M132,0)*M286</f>
        <v>0</v>
      </c>
      <c r="N312" s="391">
        <f>INDEX(input_data!$L:$L,MATCH("all.in.nh3.stl.oth.---",input_data!$A:$A,0))*IFERROR((N153+N154+N155+N156)/N132,0)*N286</f>
        <v>0</v>
      </c>
      <c r="O312" s="391">
        <f>INDEX(input_data!$L:$L,MATCH("all.in.nh3.stl.oth.---",input_data!$A:$A,0))*IFERROR((O153+O154+O155+O156)/O132,0)*O286</f>
        <v>0</v>
      </c>
      <c r="P312" s="391">
        <f>INDEX(input_data!$L:$L,MATCH("all.in.nh3.stl.oth.---",input_data!$A:$A,0))*IFERROR((P153+P154+P155+P156)/P132,0)*P286</f>
        <v>0</v>
      </c>
      <c r="Q312" s="391">
        <f>INDEX(input_data!$L:$L,MATCH("all.in.nh3.stl.oth.---",input_data!$A:$A,0))*IFERROR((Q153+Q154+Q155+Q156)/Q132,0)*Q286</f>
        <v>0</v>
      </c>
      <c r="R312" s="391">
        <f>INDEX(input_data!$L:$L,MATCH("all.in.nh3.stl.oth.---",input_data!$A:$A,0))*IFERROR((R153+R154+R155+R156)/R132,0)*R286</f>
        <v>0</v>
      </c>
      <c r="S312" s="391">
        <f>INDEX(input_data!$L:$L,MATCH("all.in.nh3.stl.oth.---",input_data!$A:$A,0))*IFERROR((S153+S154+S155+S156)/S132,0)*S286</f>
        <v>0</v>
      </c>
      <c r="T312" s="391">
        <f>INDEX(input_data!$L:$L,MATCH("all.in.nh3.stl.oth.---",input_data!$A:$A,0))*IFERROR((T153+T154+T155+T156)/T132,0)*T286</f>
        <v>0</v>
      </c>
      <c r="U312" s="391">
        <f>INDEX(input_data!$L:$L,MATCH("all.in.nh3.stl.oth.---",input_data!$A:$A,0))*IFERROR((U153+U154+U155+U156)/U132,0)*U286</f>
        <v>0</v>
      </c>
      <c r="V312" s="391">
        <f>INDEX(input_data!$L:$L,MATCH("all.in.nh3.stl.oth.---",input_data!$A:$A,0))*IFERROR((V153+V154+V155+V156)/V132,0)*V286</f>
        <v>0</v>
      </c>
      <c r="W312" s="391">
        <f>INDEX(input_data!$L:$L,MATCH("all.in.nh3.stl.oth.---",input_data!$A:$A,0))*IFERROR((W153+W154+W155+W156)/W132,0)*W286</f>
        <v>0</v>
      </c>
      <c r="X312" s="391">
        <f>INDEX(input_data!$L:$L,MATCH("all.in.nh3.stl.oth.---",input_data!$A:$A,0))*IFERROR((X153+X154+X155+X156)/X132,0)*X286</f>
        <v>0</v>
      </c>
    </row>
    <row r="313" spans="1:24" ht="15" customHeight="1" x14ac:dyDescent="0.25">
      <c r="A313" s="390" t="str">
        <f>CBAM!$B$5&amp;".em.tot.stl.oth.---"</f>
        <v>egy.em.tot.stl.oth.---</v>
      </c>
      <c r="B313" s="390" t="str">
        <f>CBAM!$B$5</f>
        <v>egy</v>
      </c>
      <c r="C313" s="390" t="s">
        <v>1342</v>
      </c>
      <c r="D313" s="390" t="s">
        <v>1560</v>
      </c>
      <c r="E313" s="390" t="s">
        <v>322</v>
      </c>
      <c r="F313" s="390" t="s">
        <v>1611</v>
      </c>
      <c r="G313" s="390" t="s">
        <v>1277</v>
      </c>
      <c r="H313" s="390" t="s">
        <v>1644</v>
      </c>
      <c r="I313" s="390" t="s">
        <v>1355</v>
      </c>
      <c r="J313" s="390"/>
      <c r="K313" s="390"/>
      <c r="L313" s="390"/>
      <c r="M313" s="392">
        <f t="shared" ref="M313:X313" si="35">M307+M308+M309+M310+M311+M312</f>
        <v>0.26814666666666664</v>
      </c>
      <c r="N313" s="392">
        <f t="shared" si="35"/>
        <v>0.28084334444444442</v>
      </c>
      <c r="O313" s="392">
        <f t="shared" si="35"/>
        <v>0.29412551311111113</v>
      </c>
      <c r="P313" s="392">
        <f t="shared" si="35"/>
        <v>0.30801916921416661</v>
      </c>
      <c r="Q313" s="392">
        <f t="shared" si="35"/>
        <v>0.32255139781139719</v>
      </c>
      <c r="R313" s="392">
        <f t="shared" si="35"/>
        <v>0.33775041356745017</v>
      </c>
      <c r="S313" s="392">
        <f t="shared" si="35"/>
        <v>0.35364560307828963</v>
      </c>
      <c r="T313" s="392">
        <f t="shared" si="35"/>
        <v>0.37026756843427977</v>
      </c>
      <c r="U313" s="392">
        <f t="shared" si="35"/>
        <v>0.3876481720301172</v>
      </c>
      <c r="V313" s="392">
        <f t="shared" si="35"/>
        <v>0.40582058262698278</v>
      </c>
      <c r="W313" s="392">
        <f t="shared" si="35"/>
        <v>0.42481932266911271</v>
      </c>
      <c r="X313" s="392">
        <f t="shared" si="35"/>
        <v>0.44468031685343018</v>
      </c>
    </row>
    <row r="314" spans="1:24" ht="15" customHeight="1" x14ac:dyDescent="0.25">
      <c r="A314" s="390" t="str">
        <f>CBAM!$B$5&amp;".cb.int.stl.oth.---"</f>
        <v>egy.cb.int.stl.oth.---</v>
      </c>
      <c r="B314" s="390" t="str">
        <f>CBAM!$B$5</f>
        <v>egy</v>
      </c>
      <c r="C314" s="390" t="s">
        <v>1563</v>
      </c>
      <c r="D314" s="390" t="s">
        <v>1564</v>
      </c>
      <c r="E314" s="390" t="s">
        <v>322</v>
      </c>
      <c r="F314" s="390" t="s">
        <v>1611</v>
      </c>
      <c r="G314" s="390" t="s">
        <v>1277</v>
      </c>
      <c r="H314" s="390" t="s">
        <v>1645</v>
      </c>
      <c r="I314" s="390" t="s">
        <v>1566</v>
      </c>
      <c r="J314" s="390"/>
      <c r="K314" s="390"/>
      <c r="L314" s="390"/>
      <c r="M314" s="393">
        <f t="shared" ref="M314:X314" si="36">IF(M286&gt;0,IFERROR(M313/M286,0),M366)</f>
        <v>1.3407333333333331</v>
      </c>
      <c r="N314" s="393">
        <f t="shared" si="36"/>
        <v>1.3310111111111111</v>
      </c>
      <c r="O314" s="393">
        <f t="shared" si="36"/>
        <v>1.321288888888889</v>
      </c>
      <c r="P314" s="393">
        <f t="shared" si="36"/>
        <v>1.3115666666666665</v>
      </c>
      <c r="Q314" s="393">
        <f t="shared" si="36"/>
        <v>1.3018444444444444</v>
      </c>
      <c r="R314" s="393">
        <f t="shared" si="36"/>
        <v>1.292122222222222</v>
      </c>
      <c r="S314" s="393">
        <f t="shared" si="36"/>
        <v>1.2823999999999998</v>
      </c>
      <c r="T314" s="393">
        <f t="shared" si="36"/>
        <v>1.2726777777777776</v>
      </c>
      <c r="U314" s="393">
        <f t="shared" si="36"/>
        <v>1.2629555555555556</v>
      </c>
      <c r="V314" s="393">
        <f t="shared" si="36"/>
        <v>1.2532333333333332</v>
      </c>
      <c r="W314" s="393">
        <f t="shared" si="36"/>
        <v>1.243511111111111</v>
      </c>
      <c r="X314" s="393">
        <f t="shared" si="36"/>
        <v>1.2337888888888888</v>
      </c>
    </row>
    <row r="315" spans="1:24" ht="15" customHeight="1" x14ac:dyDescent="0.25">
      <c r="A315" s="390" t="str">
        <f>CBAM!$B$5&amp;".cb.mrv.stl.oth.---"</f>
        <v>egy.cb.mrv.stl.oth.---</v>
      </c>
      <c r="B315" s="390" t="str">
        <f>CBAM!$B$5</f>
        <v>egy</v>
      </c>
      <c r="C315" s="390" t="s">
        <v>1563</v>
      </c>
      <c r="D315" s="390" t="s">
        <v>1568</v>
      </c>
      <c r="E315" s="390" t="s">
        <v>322</v>
      </c>
      <c r="F315" s="390" t="s">
        <v>1611</v>
      </c>
      <c r="G315" s="390" t="s">
        <v>1277</v>
      </c>
      <c r="H315" s="390" t="s">
        <v>1646</v>
      </c>
      <c r="I315" s="390" t="s">
        <v>1566</v>
      </c>
      <c r="J315" s="390"/>
      <c r="K315" s="390"/>
      <c r="L315" s="390"/>
      <c r="M315" s="394">
        <f>IF(M286&gt;0,IFERROR(IF(INDEX(input_data!$L:$L,MATCH("all.in.mrv.stl.oth.---",input_data!$A:$A,0))=1,((M313-M311*(1-INDEX(input_data!$L:$L,MATCH("all.in.cs2.stl.oth.---",input_data!$A:$A,0))))/M286),INDEX(input_data!$L:$L,MATCH("all.in.dfv.stl.oth.---",input_data!$A:$A,0))),0),M367)</f>
        <v>0.84489999999999976</v>
      </c>
      <c r="N315" s="394">
        <f>IF(N286&gt;0,IFERROR(IF(INDEX(input_data!$L:$L,MATCH("all.in.mrv.stl.oth.---",input_data!$A:$A,0))=1,((N313-N311*(1-INDEX(input_data!$L:$L,MATCH("all.in.cs2.stl.oth.---",input_data!$A:$A,0))))/N286),INDEX(input_data!$L:$L,MATCH("all.in.dfv.stl.oth.---",input_data!$A:$A,0))),0),N367)</f>
        <v>0.84489999999999998</v>
      </c>
      <c r="O315" s="394">
        <f>IF(O286&gt;0,IFERROR(IF(INDEX(input_data!$L:$L,MATCH("all.in.mrv.stl.oth.---",input_data!$A:$A,0))=1,((O313-O311*(1-INDEX(input_data!$L:$L,MATCH("all.in.cs2.stl.oth.---",input_data!$A:$A,0))))/O286),INDEX(input_data!$L:$L,MATCH("all.in.dfv.stl.oth.---",input_data!$A:$A,0))),0),O367)</f>
        <v>0.84489999999999998</v>
      </c>
      <c r="P315" s="394">
        <f>IF(P286&gt;0,IFERROR(IF(INDEX(input_data!$L:$L,MATCH("all.in.mrv.stl.oth.---",input_data!$A:$A,0))=1,((P313-P311*(1-INDEX(input_data!$L:$L,MATCH("all.in.cs2.stl.oth.---",input_data!$A:$A,0))))/P286),INDEX(input_data!$L:$L,MATCH("all.in.dfv.stl.oth.---",input_data!$A:$A,0))),0),P367)</f>
        <v>0.8449000000000001</v>
      </c>
      <c r="Q315" s="394">
        <f>IF(Q286&gt;0,IFERROR(IF(INDEX(input_data!$L:$L,MATCH("all.in.mrv.stl.oth.---",input_data!$A:$A,0))=1,((Q313-Q311*(1-INDEX(input_data!$L:$L,MATCH("all.in.cs2.stl.oth.---",input_data!$A:$A,0))))/Q286),INDEX(input_data!$L:$L,MATCH("all.in.dfv.stl.oth.---",input_data!$A:$A,0))),0),Q367)</f>
        <v>0.8449000000000001</v>
      </c>
      <c r="R315" s="394">
        <f>IF(R286&gt;0,IFERROR(IF(INDEX(input_data!$L:$L,MATCH("all.in.mrv.stl.oth.---",input_data!$A:$A,0))=1,((R313-R311*(1-INDEX(input_data!$L:$L,MATCH("all.in.cs2.stl.oth.---",input_data!$A:$A,0))))/R286),INDEX(input_data!$L:$L,MATCH("all.in.dfv.stl.oth.---",input_data!$A:$A,0))),0),R367)</f>
        <v>0.84489999999999976</v>
      </c>
      <c r="S315" s="394">
        <f>IF(S286&gt;0,IFERROR(IF(INDEX(input_data!$L:$L,MATCH("all.in.mrv.stl.oth.---",input_data!$A:$A,0))=1,((S313-S311*(1-INDEX(input_data!$L:$L,MATCH("all.in.cs2.stl.oth.---",input_data!$A:$A,0))))/S286),INDEX(input_data!$L:$L,MATCH("all.in.dfv.stl.oth.---",input_data!$A:$A,0))),0),S367)</f>
        <v>0.84489999999999987</v>
      </c>
      <c r="T315" s="394">
        <f>IF(T286&gt;0,IFERROR(IF(INDEX(input_data!$L:$L,MATCH("all.in.mrv.stl.oth.---",input_data!$A:$A,0))=1,((T313-T311*(1-INDEX(input_data!$L:$L,MATCH("all.in.cs2.stl.oth.---",input_data!$A:$A,0))))/T286),INDEX(input_data!$L:$L,MATCH("all.in.dfv.stl.oth.---",input_data!$A:$A,0))),0),T367)</f>
        <v>0.84489999999999976</v>
      </c>
      <c r="U315" s="394">
        <f>IF(U286&gt;0,IFERROR(IF(INDEX(input_data!$L:$L,MATCH("all.in.mrv.stl.oth.---",input_data!$A:$A,0))=1,((U313-U311*(1-INDEX(input_data!$L:$L,MATCH("all.in.cs2.stl.oth.---",input_data!$A:$A,0))))/U286),INDEX(input_data!$L:$L,MATCH("all.in.dfv.stl.oth.---",input_data!$A:$A,0))),0),U367)</f>
        <v>0.84489999999999998</v>
      </c>
      <c r="V315" s="394">
        <f>IF(V286&gt;0,IFERROR(IF(INDEX(input_data!$L:$L,MATCH("all.in.mrv.stl.oth.---",input_data!$A:$A,0))=1,((V313-V311*(1-INDEX(input_data!$L:$L,MATCH("all.in.cs2.stl.oth.---",input_data!$A:$A,0))))/V286),INDEX(input_data!$L:$L,MATCH("all.in.dfv.stl.oth.---",input_data!$A:$A,0))),0),V367)</f>
        <v>0.84489999999999987</v>
      </c>
      <c r="W315" s="394">
        <f>IF(W286&gt;0,IFERROR(IF(INDEX(input_data!$L:$L,MATCH("all.in.mrv.stl.oth.---",input_data!$A:$A,0))=1,((W313-W311*(1-INDEX(input_data!$L:$L,MATCH("all.in.cs2.stl.oth.---",input_data!$A:$A,0))))/W286),INDEX(input_data!$L:$L,MATCH("all.in.dfv.stl.oth.---",input_data!$A:$A,0))),0),W367)</f>
        <v>0.84489999999999998</v>
      </c>
      <c r="X315" s="394">
        <f>IF(X286&gt;0,IFERROR(IF(INDEX(input_data!$L:$L,MATCH("all.in.mrv.stl.oth.---",input_data!$A:$A,0))=1,((X313-X311*(1-INDEX(input_data!$L:$L,MATCH("all.in.cs2.stl.oth.---",input_data!$A:$A,0))))/X286),INDEX(input_data!$L:$L,MATCH("all.in.dfv.stl.oth.---",input_data!$A:$A,0))),0),X367)</f>
        <v>0.84489999999999987</v>
      </c>
    </row>
    <row r="316" spans="1:24" ht="15" customHeight="1" x14ac:dyDescent="0.25">
      <c r="A316" s="390" t="str">
        <f>CBAM!$B$5&amp;".cb.obl.stl.oth.---"</f>
        <v>egy.cb.obl.stl.oth.---</v>
      </c>
      <c r="B316" s="390" t="str">
        <f>CBAM!$B$5</f>
        <v>egy</v>
      </c>
      <c r="C316" s="390" t="s">
        <v>1563</v>
      </c>
      <c r="D316" s="390" t="s">
        <v>1571</v>
      </c>
      <c r="E316" s="390" t="s">
        <v>322</v>
      </c>
      <c r="F316" s="390" t="s">
        <v>1611</v>
      </c>
      <c r="G316" s="390" t="s">
        <v>1277</v>
      </c>
      <c r="H316" s="390" t="s">
        <v>1647</v>
      </c>
      <c r="I316" s="390" t="s">
        <v>1573</v>
      </c>
      <c r="J316" s="390"/>
      <c r="K316" s="390"/>
      <c r="L316" s="390"/>
      <c r="M316" s="395">
        <f>MAX(M315-INDEX(input_data!$L:$L,MATCH("all.in.bnk.stl.oth.---",input_data!$A:$A,0))*(1-INDEX(input_data!$M:$X,MATCH("all.in.cbf.---.---.---",input_data!$A:$A,0),1)),0)*INDEX(input_data!$M:$X,MATCH("all.in.ets.---.---.---",input_data!$A:$A,0),1)*INDEX(input_data!$M:$X,MATCH("all.in.act.---.---.---",input_data!$A:$A,0),1)*INDEX(input_data!$M:$X,MATCH("all.in.fxr.---.---.---",input_data!$A:$A,0),1)</f>
        <v>0</v>
      </c>
      <c r="N316" s="395">
        <f>MAX(N315-INDEX(input_data!$L:$L,MATCH("all.in.bnk.stl.oth.---",input_data!$A:$A,0))*(1-INDEX(input_data!$M:$X,MATCH("all.in.cbf.---.---.---",input_data!$A:$A,0),2)),0)*INDEX(input_data!$M:$X,MATCH("all.in.ets.---.---.---",input_data!$A:$A,0),2)*INDEX(input_data!$M:$X,MATCH("all.in.act.---.---.---",input_data!$A:$A,0),2)*INDEX(input_data!$M:$X,MATCH("all.in.fxr.---.---.---",input_data!$A:$A,0),2)</f>
        <v>0</v>
      </c>
      <c r="O316" s="395">
        <f>MAX(O315-INDEX(input_data!$L:$L,MATCH("all.in.bnk.stl.oth.---",input_data!$A:$A,0))*(1-INDEX(input_data!$M:$X,MATCH("all.in.cbf.---.---.---",input_data!$A:$A,0),3)),0)*INDEX(input_data!$M:$X,MATCH("all.in.ets.---.---.---",input_data!$A:$A,0),3)*INDEX(input_data!$M:$X,MATCH("all.in.act.---.---.---",input_data!$A:$A,0),3)*INDEX(input_data!$M:$X,MATCH("all.in.fxr.---.---.---",input_data!$A:$A,0),3)</f>
        <v>0</v>
      </c>
      <c r="P316" s="395">
        <f>MAX(P315-INDEX(input_data!$L:$L,MATCH("all.in.bnk.stl.oth.---",input_data!$A:$A,0))*(1-INDEX(input_data!$M:$X,MATCH("all.in.cbf.---.---.---",input_data!$A:$A,0),4)),0)*INDEX(input_data!$M:$X,MATCH("all.in.ets.---.---.---",input_data!$A:$A,0),4)*INDEX(input_data!$M:$X,MATCH("all.in.act.---.---.---",input_data!$A:$A,0),4)*INDEX(input_data!$M:$X,MATCH("all.in.fxr.---.---.---",input_data!$A:$A,0),4)</f>
        <v>0</v>
      </c>
      <c r="Q316" s="395">
        <f>MAX(Q315-INDEX(input_data!$L:$L,MATCH("all.in.bnk.stl.oth.---",input_data!$A:$A,0))*(1-INDEX(input_data!$M:$X,MATCH("all.in.cbf.---.---.---",input_data!$A:$A,0),5)),0)*INDEX(input_data!$M:$X,MATCH("all.in.ets.---.---.---",input_data!$A:$A,0),5)*INDEX(input_data!$M:$X,MATCH("all.in.act.---.---.---",input_data!$A:$A,0),5)*INDEX(input_data!$M:$X,MATCH("all.in.fxr.---.---.---",input_data!$A:$A,0),5)</f>
        <v>0</v>
      </c>
      <c r="R316" s="395">
        <f>MAX(R315-INDEX(input_data!$L:$L,MATCH("all.in.bnk.stl.oth.---",input_data!$A:$A,0))*(1-INDEX(input_data!$M:$X,MATCH("all.in.cbf.---.---.---",input_data!$A:$A,0),6)),0)*INDEX(input_data!$M:$X,MATCH("all.in.ets.---.---.---",input_data!$A:$A,0),6)*INDEX(input_data!$M:$X,MATCH("all.in.act.---.---.---",input_data!$A:$A,0),6)*INDEX(input_data!$M:$X,MATCH("all.in.fxr.---.---.---",input_data!$A:$A,0),6)</f>
        <v>0</v>
      </c>
      <c r="S316" s="395">
        <f>MAX(S315-INDEX(input_data!$L:$L,MATCH("all.in.bnk.stl.oth.---",input_data!$A:$A,0))*(1-INDEX(input_data!$M:$X,MATCH("all.in.cbf.---.---.---",input_data!$A:$A,0),7)),0)*INDEX(input_data!$M:$X,MATCH("all.in.ets.---.---.---",input_data!$A:$A,0),7)*INDEX(input_data!$M:$X,MATCH("all.in.act.---.---.---",input_data!$A:$A,0),7)*INDEX(input_data!$M:$X,MATCH("all.in.fxr.---.---.---",input_data!$A:$A,0),7)</f>
        <v>27.269604999999977</v>
      </c>
      <c r="T316" s="395">
        <f>MAX(T315-INDEX(input_data!$L:$L,MATCH("all.in.bnk.stl.oth.---",input_data!$A:$A,0))*(1-INDEX(input_data!$M:$X,MATCH("all.in.cbf.---.---.---",input_data!$A:$A,0),8)),0)*INDEX(input_data!$M:$X,MATCH("all.in.ets.---.---.---",input_data!$A:$A,0),8)*INDEX(input_data!$M:$X,MATCH("all.in.act.---.---.---",input_data!$A:$A,0),8)*INDEX(input_data!$M:$X,MATCH("all.in.fxr.---.---.---",input_data!$A:$A,0),8)</f>
        <v>48.618239999999972</v>
      </c>
      <c r="U316" s="395">
        <f>MAX(U315-INDEX(input_data!$L:$L,MATCH("all.in.bnk.stl.oth.---",input_data!$A:$A,0))*(1-INDEX(input_data!$M:$X,MATCH("all.in.cbf.---.---.---",input_data!$A:$A,0),9)),0)*INDEX(input_data!$M:$X,MATCH("all.in.ets.---.---.---",input_data!$A:$A,0),9)*INDEX(input_data!$M:$X,MATCH("all.in.act.---.---.---",input_data!$A:$A,0),9)*INDEX(input_data!$M:$X,MATCH("all.in.fxr.---.---.---",input_data!$A:$A,0),9)</f>
        <v>71.647125000000003</v>
      </c>
      <c r="V316" s="395">
        <f>MAX(V315-INDEX(input_data!$L:$L,MATCH("all.in.bnk.stl.oth.---",input_data!$A:$A,0))*(1-INDEX(input_data!$M:$X,MATCH("all.in.cbf.---.---.---",input_data!$A:$A,0),10)),0)*INDEX(input_data!$M:$X,MATCH("all.in.ets.---.---.---",input_data!$A:$A,0),10)*INDEX(input_data!$M:$X,MATCH("all.in.act.---.---.---",input_data!$A:$A,0),10)*INDEX(input_data!$M:$X,MATCH("all.in.fxr.---.---.---",input_data!$A:$A,0),10)</f>
        <v>96.356259999999992</v>
      </c>
      <c r="W316" s="395">
        <f>MAX(W315-INDEX(input_data!$L:$L,MATCH("all.in.bnk.stl.oth.---",input_data!$A:$A,0))*(1-INDEX(input_data!$M:$X,MATCH("all.in.cbf.---.---.---",input_data!$A:$A,0),11)),0)*INDEX(input_data!$M:$X,MATCH("all.in.ets.---.---.---",input_data!$A:$A,0),11)*INDEX(input_data!$M:$X,MATCH("all.in.act.---.---.---",input_data!$A:$A,0),11)*INDEX(input_data!$M:$X,MATCH("all.in.fxr.---.---.---",input_data!$A:$A,0),11)</f>
        <v>125.46765000000001</v>
      </c>
      <c r="X316" s="395">
        <f>MAX(X315-INDEX(input_data!$L:$L,MATCH("all.in.bnk.stl.oth.---",input_data!$A:$A,0))*(1-INDEX(input_data!$M:$X,MATCH("all.in.cbf.---.---.---",input_data!$A:$A,0),12)),0)*INDEX(input_data!$M:$X,MATCH("all.in.ets.---.---.---",input_data!$A:$A,0),12)*INDEX(input_data!$M:$X,MATCH("all.in.act.---.---.---",input_data!$A:$A,0),12)*INDEX(input_data!$M:$X,MATCH("all.in.fxr.---.---.---",input_data!$A:$A,0),12)</f>
        <v>130.1146</v>
      </c>
    </row>
    <row r="317" spans="1:24" ht="21.75" customHeight="1" x14ac:dyDescent="0.25">
      <c r="A317" s="12" t="s">
        <v>1648</v>
      </c>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spans="1:24" ht="15" customHeight="1" x14ac:dyDescent="0.25">
      <c r="A318" s="390" t="str">
        <f>CBAM!$B$5&amp;".pj.prd.frt.otn.---"</f>
        <v>egy.pj.prd.frt.otn.---</v>
      </c>
      <c r="B318" s="390" t="str">
        <f>CBAM!$B$5</f>
        <v>egy</v>
      </c>
      <c r="C318" s="390" t="s">
        <v>1275</v>
      </c>
      <c r="D318" s="390" t="s">
        <v>1304</v>
      </c>
      <c r="E318" s="390" t="s">
        <v>330</v>
      </c>
      <c r="F318" s="390" t="s">
        <v>1649</v>
      </c>
      <c r="G318" s="390" t="s">
        <v>1277</v>
      </c>
      <c r="H318" s="390" t="s">
        <v>1650</v>
      </c>
      <c r="I318" s="390" t="s">
        <v>1651</v>
      </c>
      <c r="J318" s="390" t="s">
        <v>1613</v>
      </c>
      <c r="K318" s="390"/>
      <c r="L318" s="390"/>
      <c r="M318" s="391">
        <f>IFERROR(INDEX(input_data!$L:$L,MATCH(CBAM!$B$5&amp;".in.prb.frt.otn.---",input_data!$A:$A,0))*POWER(M7,INDEX(input_data!$L:$L,MATCH(CBAM!$B$5&amp;".in.els.frt.otn.---",input_data!$A:$A,0))),0)</f>
        <v>0.08</v>
      </c>
      <c r="N318" s="391">
        <f>IFERROR(INDEX(input_data!$L:$L,MATCH(CBAM!$B$5&amp;".in.prb.frt.otn.---",input_data!$A:$A,0))*POWER(N7,INDEX(input_data!$L:$L,MATCH(CBAM!$B$5&amp;".in.els.frt.otn.---",input_data!$A:$A,0))),0)</f>
        <v>8.2170554336696552E-2</v>
      </c>
      <c r="O318" s="391">
        <f>IFERROR(INDEX(input_data!$L:$L,MATCH(CBAM!$B$5&amp;".in.prb.frt.otn.---",input_data!$A:$A,0))*POWER(O7,INDEX(input_data!$L:$L,MATCH(CBAM!$B$5&amp;".in.els.frt.otn.---",input_data!$A:$A,0))),0)</f>
        <v>8.4400000000000003E-2</v>
      </c>
      <c r="P318" s="391">
        <f>IFERROR(INDEX(input_data!$L:$L,MATCH(CBAM!$B$5&amp;".in.prb.frt.otn.---",input_data!$A:$A,0))*POWER(P7,INDEX(input_data!$L:$L,MATCH(CBAM!$B$5&amp;".in.els.frt.otn.---",input_data!$A:$A,0))),0)</f>
        <v>8.6689934825214851E-2</v>
      </c>
      <c r="Q318" s="391">
        <f>IFERROR(INDEX(input_data!$L:$L,MATCH(CBAM!$B$5&amp;".in.prb.frt.otn.---",input_data!$A:$A,0))*POWER(Q7,INDEX(input_data!$L:$L,MATCH(CBAM!$B$5&amp;".in.els.frt.otn.---",input_data!$A:$A,0))),0)</f>
        <v>8.9041999999999996E-2</v>
      </c>
      <c r="R318" s="391">
        <f>IFERROR(INDEX(input_data!$L:$L,MATCH(CBAM!$B$5&amp;".in.prb.frt.otn.---",input_data!$A:$A,0))*POWER(R7,INDEX(input_data!$L:$L,MATCH(CBAM!$B$5&amp;".in.els.frt.otn.---",input_data!$A:$A,0))),0)</f>
        <v>9.1457881240601668E-2</v>
      </c>
      <c r="S318" s="391">
        <f>IFERROR(INDEX(input_data!$L:$L,MATCH(CBAM!$B$5&amp;".in.prb.frt.otn.---",input_data!$A:$A,0))*POWER(S7,INDEX(input_data!$L:$L,MATCH(CBAM!$B$5&amp;".in.els.frt.otn.---",input_data!$A:$A,0))),0)</f>
        <v>9.3939309999999984E-2</v>
      </c>
      <c r="T318" s="391">
        <f>IFERROR(INDEX(input_data!$L:$L,MATCH(CBAM!$B$5&amp;".in.prb.frt.otn.---",input_data!$A:$A,0))*POWER(T7,INDEX(input_data!$L:$L,MATCH(CBAM!$B$5&amp;".in.els.frt.otn.---",input_data!$A:$A,0))),0)</f>
        <v>9.6488064708834753E-2</v>
      </c>
      <c r="U318" s="391">
        <f>IFERROR(INDEX(input_data!$L:$L,MATCH(CBAM!$B$5&amp;".in.prb.frt.otn.---",input_data!$A:$A,0))*POWER(U7,INDEX(input_data!$L:$L,MATCH(CBAM!$B$5&amp;".in.els.frt.otn.---",input_data!$A:$A,0))),0)</f>
        <v>9.9105972049999991E-2</v>
      </c>
      <c r="V318" s="391">
        <f>IFERROR(INDEX(input_data!$L:$L,MATCH(CBAM!$B$5&amp;".in.prb.frt.otn.---",input_data!$A:$A,0))*POWER(V7,INDEX(input_data!$L:$L,MATCH(CBAM!$B$5&amp;".in.els.frt.otn.---",input_data!$A:$A,0))),0)</f>
        <v>0.10179490826782067</v>
      </c>
      <c r="W318" s="391">
        <f>IFERROR(INDEX(input_data!$L:$L,MATCH(CBAM!$B$5&amp;".in.prb.frt.otn.---",input_data!$A:$A,0))*POWER(W7,INDEX(input_data!$L:$L,MATCH(CBAM!$B$5&amp;".in.els.frt.otn.---",input_data!$A:$A,0))),0)</f>
        <v>0.10455680051274997</v>
      </c>
      <c r="X318" s="391">
        <f>IFERROR(INDEX(input_data!$L:$L,MATCH(CBAM!$B$5&amp;".in.prb.frt.otn.---",input_data!$A:$A,0))*POWER(X7,INDEX(input_data!$L:$L,MATCH(CBAM!$B$5&amp;".in.els.frt.otn.---",input_data!$A:$A,0))),0)</f>
        <v>0.1073936282225508</v>
      </c>
    </row>
    <row r="319" spans="1:24" ht="15" customHeight="1" x14ac:dyDescent="0.25">
      <c r="A319" s="390" t="str">
        <f>CBAM!$B$5&amp;".pj.eux.frt.otn.---"</f>
        <v>egy.pj.eux.frt.otn.---</v>
      </c>
      <c r="B319" s="390" t="str">
        <f>CBAM!$B$5</f>
        <v>egy</v>
      </c>
      <c r="C319" s="390" t="s">
        <v>1275</v>
      </c>
      <c r="D319" s="390" t="s">
        <v>1309</v>
      </c>
      <c r="E319" s="390" t="s">
        <v>330</v>
      </c>
      <c r="F319" s="390" t="s">
        <v>1649</v>
      </c>
      <c r="G319" s="390" t="s">
        <v>1277</v>
      </c>
      <c r="H319" s="390" t="s">
        <v>1652</v>
      </c>
      <c r="I319" s="390" t="s">
        <v>1651</v>
      </c>
      <c r="J319" s="390" t="s">
        <v>1615</v>
      </c>
      <c r="K319" s="390"/>
      <c r="L319" s="390"/>
      <c r="M319" s="391">
        <f>M318*INDEX(input_data!$L:$L,MATCH(CBAM!$B$5&amp;".in.exe.frt.otn.---",input_data!$A:$A,0))</f>
        <v>1.44E-2</v>
      </c>
      <c r="N319" s="391">
        <f>N318*INDEX(input_data!$L:$L,MATCH(CBAM!$B$5&amp;".in.exe.frt.otn.---",input_data!$A:$A,0))</f>
        <v>1.4790699780605378E-2</v>
      </c>
      <c r="O319" s="391">
        <f>O318*INDEX(input_data!$L:$L,MATCH(CBAM!$B$5&amp;".in.exe.frt.otn.---",input_data!$A:$A,0))</f>
        <v>1.5192000000000001E-2</v>
      </c>
      <c r="P319" s="391">
        <f>P318*INDEX(input_data!$L:$L,MATCH(CBAM!$B$5&amp;".in.exe.frt.otn.---",input_data!$A:$A,0))</f>
        <v>1.5604188268538672E-2</v>
      </c>
      <c r="Q319" s="391">
        <f>Q318*INDEX(input_data!$L:$L,MATCH(CBAM!$B$5&amp;".in.exe.frt.otn.---",input_data!$A:$A,0))</f>
        <v>1.602756E-2</v>
      </c>
      <c r="R319" s="391">
        <f>R318*INDEX(input_data!$L:$L,MATCH(CBAM!$B$5&amp;".in.exe.frt.otn.---",input_data!$A:$A,0))</f>
        <v>1.64624186233083E-2</v>
      </c>
      <c r="S319" s="391">
        <f>S318*INDEX(input_data!$L:$L,MATCH(CBAM!$B$5&amp;".in.exe.frt.otn.---",input_data!$A:$A,0))</f>
        <v>1.6909075799999996E-2</v>
      </c>
      <c r="T319" s="391">
        <f>T318*INDEX(input_data!$L:$L,MATCH(CBAM!$B$5&amp;".in.exe.frt.otn.---",input_data!$A:$A,0))</f>
        <v>1.7367851647590256E-2</v>
      </c>
      <c r="U319" s="391">
        <f>U318*INDEX(input_data!$L:$L,MATCH(CBAM!$B$5&amp;".in.exe.frt.otn.---",input_data!$A:$A,0))</f>
        <v>1.7839074968999998E-2</v>
      </c>
      <c r="V319" s="391">
        <f>V318*INDEX(input_data!$L:$L,MATCH(CBAM!$B$5&amp;".in.exe.frt.otn.---",input_data!$A:$A,0))</f>
        <v>1.8323083488207721E-2</v>
      </c>
      <c r="W319" s="391">
        <f>W318*INDEX(input_data!$L:$L,MATCH(CBAM!$B$5&amp;".in.exe.frt.otn.---",input_data!$A:$A,0))</f>
        <v>1.8820224092294995E-2</v>
      </c>
      <c r="X319" s="391">
        <f>X318*INDEX(input_data!$L:$L,MATCH(CBAM!$B$5&amp;".in.exe.frt.otn.---",input_data!$A:$A,0))</f>
        <v>1.9330853080059145E-2</v>
      </c>
    </row>
    <row r="320" spans="1:24" ht="15" customHeight="1" x14ac:dyDescent="0.25">
      <c r="A320" s="390" t="str">
        <f>CBAM!$B$5&amp;".pj.nex.frt.otn.---"</f>
        <v>egy.pj.nex.frt.otn.---</v>
      </c>
      <c r="B320" s="390" t="str">
        <f>CBAM!$B$5</f>
        <v>egy</v>
      </c>
      <c r="C320" s="390" t="s">
        <v>1275</v>
      </c>
      <c r="D320" s="390" t="s">
        <v>1312</v>
      </c>
      <c r="E320" s="390" t="s">
        <v>330</v>
      </c>
      <c r="F320" s="390" t="s">
        <v>1649</v>
      </c>
      <c r="G320" s="390" t="s">
        <v>1277</v>
      </c>
      <c r="H320" s="390" t="s">
        <v>1653</v>
      </c>
      <c r="I320" s="390" t="s">
        <v>1307</v>
      </c>
      <c r="J320" s="390" t="s">
        <v>1617</v>
      </c>
      <c r="K320" s="390"/>
      <c r="L320" s="390"/>
      <c r="M320" s="391">
        <f>M318*(INDEX(input_data!$L:$L,MATCH(CBAM!$B$5&amp;".in.ext.frt.otn.---",input_data!$A:$A,0))-INDEX(input_data!$L:$L,MATCH(CBAM!$B$5&amp;".in.exe.frt.otn.---",input_data!$A:$A,0)))</f>
        <v>1.3599999999999999E-2</v>
      </c>
      <c r="N320" s="391">
        <f>N318*(INDEX(input_data!$L:$L,MATCH(CBAM!$B$5&amp;".in.ext.frt.otn.---",input_data!$A:$A,0))-INDEX(input_data!$L:$L,MATCH(CBAM!$B$5&amp;".in.exe.frt.otn.---",input_data!$A:$A,0)))</f>
        <v>1.3968994237238413E-2</v>
      </c>
      <c r="O320" s="391">
        <f>O318*(INDEX(input_data!$L:$L,MATCH(CBAM!$B$5&amp;".in.ext.frt.otn.---",input_data!$A:$A,0))-INDEX(input_data!$L:$L,MATCH(CBAM!$B$5&amp;".in.exe.frt.otn.---",input_data!$A:$A,0)))</f>
        <v>1.4348E-2</v>
      </c>
      <c r="P320" s="391">
        <f>P318*(INDEX(input_data!$L:$L,MATCH(CBAM!$B$5&amp;".in.ext.frt.otn.---",input_data!$A:$A,0))-INDEX(input_data!$L:$L,MATCH(CBAM!$B$5&amp;".in.exe.frt.otn.---",input_data!$A:$A,0)))</f>
        <v>1.4737288920286523E-2</v>
      </c>
      <c r="Q320" s="391">
        <f>Q318*(INDEX(input_data!$L:$L,MATCH(CBAM!$B$5&amp;".in.ext.frt.otn.---",input_data!$A:$A,0))-INDEX(input_data!$L:$L,MATCH(CBAM!$B$5&amp;".in.exe.frt.otn.---",input_data!$A:$A,0)))</f>
        <v>1.5137139999999999E-2</v>
      </c>
      <c r="R320" s="391">
        <f>R318*(INDEX(input_data!$L:$L,MATCH(CBAM!$B$5&amp;".in.ext.frt.otn.---",input_data!$A:$A,0))-INDEX(input_data!$L:$L,MATCH(CBAM!$B$5&amp;".in.exe.frt.otn.---",input_data!$A:$A,0)))</f>
        <v>1.5547839810902282E-2</v>
      </c>
      <c r="S320" s="391">
        <f>S318*(INDEX(input_data!$L:$L,MATCH(CBAM!$B$5&amp;".in.ext.frt.otn.---",input_data!$A:$A,0))-INDEX(input_data!$L:$L,MATCH(CBAM!$B$5&amp;".in.exe.frt.otn.---",input_data!$A:$A,0)))</f>
        <v>1.5969682699999994E-2</v>
      </c>
      <c r="T320" s="391">
        <f>T318*(INDEX(input_data!$L:$L,MATCH(CBAM!$B$5&amp;".in.ext.frt.otn.---",input_data!$A:$A,0))-INDEX(input_data!$L:$L,MATCH(CBAM!$B$5&amp;".in.exe.frt.otn.---",input_data!$A:$A,0)))</f>
        <v>1.6402971000501906E-2</v>
      </c>
      <c r="U320" s="391">
        <f>U318*(INDEX(input_data!$L:$L,MATCH(CBAM!$B$5&amp;".in.ext.frt.otn.---",input_data!$A:$A,0))-INDEX(input_data!$L:$L,MATCH(CBAM!$B$5&amp;".in.exe.frt.otn.---",input_data!$A:$A,0)))</f>
        <v>1.6848015248499996E-2</v>
      </c>
      <c r="V320" s="391">
        <f>V318*(INDEX(input_data!$L:$L,MATCH(CBAM!$B$5&amp;".in.ext.frt.otn.---",input_data!$A:$A,0))-INDEX(input_data!$L:$L,MATCH(CBAM!$B$5&amp;".in.exe.frt.otn.---",input_data!$A:$A,0)))</f>
        <v>1.7305134405529513E-2</v>
      </c>
      <c r="W320" s="391">
        <f>W318*(INDEX(input_data!$L:$L,MATCH(CBAM!$B$5&amp;".in.ext.frt.otn.---",input_data!$A:$A,0))-INDEX(input_data!$L:$L,MATCH(CBAM!$B$5&amp;".in.exe.frt.otn.---",input_data!$A:$A,0)))</f>
        <v>1.7774656087167495E-2</v>
      </c>
      <c r="X320" s="391">
        <f>X318*(INDEX(input_data!$L:$L,MATCH(CBAM!$B$5&amp;".in.ext.frt.otn.---",input_data!$A:$A,0))-INDEX(input_data!$L:$L,MATCH(CBAM!$B$5&amp;".in.exe.frt.otn.---",input_data!$A:$A,0)))</f>
        <v>1.8256916797833634E-2</v>
      </c>
    </row>
    <row r="321" spans="1:24" ht="15" customHeight="1" x14ac:dyDescent="0.25">
      <c r="A321" s="390" t="str">
        <f>CBAM!$B$5&amp;".pj.dom.frt.otn.---"</f>
        <v>egy.pj.dom.frt.otn.---</v>
      </c>
      <c r="B321" s="390" t="str">
        <f>CBAM!$B$5</f>
        <v>egy</v>
      </c>
      <c r="C321" s="390" t="s">
        <v>1275</v>
      </c>
      <c r="D321" s="390" t="s">
        <v>1267</v>
      </c>
      <c r="E321" s="390" t="s">
        <v>330</v>
      </c>
      <c r="F321" s="390" t="s">
        <v>1649</v>
      </c>
      <c r="G321" s="390" t="s">
        <v>1277</v>
      </c>
      <c r="H321" s="390" t="s">
        <v>1654</v>
      </c>
      <c r="I321" s="390" t="s">
        <v>1307</v>
      </c>
      <c r="J321" s="390" t="s">
        <v>1619</v>
      </c>
      <c r="K321" s="390"/>
      <c r="L321" s="390"/>
      <c r="M321" s="391">
        <f>M318*(1-INDEX(input_data!$L:$L,MATCH(CBAM!$B$5&amp;".in.ext.frt.otn.---",input_data!$A:$A,0)))*(1+INDEX(input_data!$L:$L,MATCH(CBAM!$B$5&amp;".in.imp.frt.otn.---",input_data!$A:$A,0)))</f>
        <v>5.460000000000001E-2</v>
      </c>
      <c r="N321" s="391">
        <f>N318*(1-INDEX(input_data!$L:$L,MATCH(CBAM!$B$5&amp;".in.ext.frt.otn.---",input_data!$A:$A,0)))*(1+INDEX(input_data!$L:$L,MATCH(CBAM!$B$5&amp;".in.imp.frt.otn.---",input_data!$A:$A,0)))</f>
        <v>5.6081403334795402E-2</v>
      </c>
      <c r="O321" s="391">
        <f>O318*(1-INDEX(input_data!$L:$L,MATCH(CBAM!$B$5&amp;".in.ext.frt.otn.---",input_data!$A:$A,0)))*(1+INDEX(input_data!$L:$L,MATCH(CBAM!$B$5&amp;".in.imp.frt.otn.---",input_data!$A:$A,0)))</f>
        <v>5.7603000000000008E-2</v>
      </c>
      <c r="P321" s="391">
        <f>P318*(1-INDEX(input_data!$L:$L,MATCH(CBAM!$B$5&amp;".in.ext.frt.otn.---",input_data!$A:$A,0)))*(1+INDEX(input_data!$L:$L,MATCH(CBAM!$B$5&amp;".in.imp.frt.otn.---",input_data!$A:$A,0)))</f>
        <v>5.9165880518209139E-2</v>
      </c>
      <c r="Q321" s="391">
        <f>Q318*(1-INDEX(input_data!$L:$L,MATCH(CBAM!$B$5&amp;".in.ext.frt.otn.---",input_data!$A:$A,0)))*(1+INDEX(input_data!$L:$L,MATCH(CBAM!$B$5&amp;".in.imp.frt.otn.---",input_data!$A:$A,0)))</f>
        <v>6.0771165000000002E-2</v>
      </c>
      <c r="R321" s="391">
        <f>R318*(1-INDEX(input_data!$L:$L,MATCH(CBAM!$B$5&amp;".in.ext.frt.otn.---",input_data!$A:$A,0)))*(1+INDEX(input_data!$L:$L,MATCH(CBAM!$B$5&amp;".in.imp.frt.otn.---",input_data!$A:$A,0)))</f>
        <v>6.2420003946710642E-2</v>
      </c>
      <c r="S321" s="391">
        <f>S318*(1-INDEX(input_data!$L:$L,MATCH(CBAM!$B$5&amp;".in.ext.frt.otn.---",input_data!$A:$A,0)))*(1+INDEX(input_data!$L:$L,MATCH(CBAM!$B$5&amp;".in.imp.frt.otn.---",input_data!$A:$A,0)))</f>
        <v>6.4113579074999996E-2</v>
      </c>
      <c r="T321" s="391">
        <f>T318*(1-INDEX(input_data!$L:$L,MATCH(CBAM!$B$5&amp;".in.ext.frt.otn.---",input_data!$A:$A,0)))*(1+INDEX(input_data!$L:$L,MATCH(CBAM!$B$5&amp;".in.imp.frt.otn.---",input_data!$A:$A,0)))</f>
        <v>6.5853104163779735E-2</v>
      </c>
      <c r="U321" s="391">
        <f>U318*(1-INDEX(input_data!$L:$L,MATCH(CBAM!$B$5&amp;".in.ext.frt.otn.---",input_data!$A:$A,0)))*(1+INDEX(input_data!$L:$L,MATCH(CBAM!$B$5&amp;".in.imp.frt.otn.---",input_data!$A:$A,0)))</f>
        <v>6.7639825924124999E-2</v>
      </c>
      <c r="V321" s="391">
        <f>V318*(1-INDEX(input_data!$L:$L,MATCH(CBAM!$B$5&amp;".in.ext.frt.otn.---",input_data!$A:$A,0)))*(1+INDEX(input_data!$L:$L,MATCH(CBAM!$B$5&amp;".in.imp.frt.otn.---",input_data!$A:$A,0)))</f>
        <v>6.9475024892787618E-2</v>
      </c>
      <c r="W321" s="391">
        <f>W318*(1-INDEX(input_data!$L:$L,MATCH(CBAM!$B$5&amp;".in.ext.frt.otn.---",input_data!$A:$A,0)))*(1+INDEX(input_data!$L:$L,MATCH(CBAM!$B$5&amp;".in.imp.frt.otn.---",input_data!$A:$A,0)))</f>
        <v>7.1360016349951871E-2</v>
      </c>
      <c r="X321" s="391">
        <f>X318*(1-INDEX(input_data!$L:$L,MATCH(CBAM!$B$5&amp;".in.ext.frt.otn.---",input_data!$A:$A,0)))*(1+INDEX(input_data!$L:$L,MATCH(CBAM!$B$5&amp;".in.imp.frt.otn.---",input_data!$A:$A,0)))</f>
        <v>7.3296151261890929E-2</v>
      </c>
    </row>
    <row r="322" spans="1:24" ht="15" customHeight="1" x14ac:dyDescent="0.25">
      <c r="A322" s="390" t="str">
        <f>CBAM!$B$5&amp;".pj.enc.frt.otn.coa"</f>
        <v>egy.pj.enc.frt.otn.coa</v>
      </c>
      <c r="B322" s="390" t="str">
        <f>CBAM!$B$5</f>
        <v>egy</v>
      </c>
      <c r="C322" s="390" t="s">
        <v>1275</v>
      </c>
      <c r="D322" s="390" t="s">
        <v>1317</v>
      </c>
      <c r="E322" s="390" t="s">
        <v>330</v>
      </c>
      <c r="F322" s="390" t="s">
        <v>1649</v>
      </c>
      <c r="G322" s="390" t="s">
        <v>757</v>
      </c>
      <c r="H322" s="390" t="s">
        <v>1655</v>
      </c>
      <c r="I322" s="390" t="s">
        <v>1319</v>
      </c>
      <c r="J322" s="390" t="s">
        <v>1621</v>
      </c>
      <c r="K322" s="390"/>
      <c r="L322" s="390"/>
      <c r="M322" s="391">
        <f>M318*INDEX(input_data!$L:$L,MATCH(CBAM!$B$5&amp;".in.enc.frt.otn.coa",input_data!$A:$A,0))</f>
        <v>0</v>
      </c>
      <c r="N322" s="391">
        <f>N318*INDEX(input_data!$L:$L,MATCH(CBAM!$B$5&amp;".in.enc.frt.otn.coa",input_data!$A:$A,0))</f>
        <v>0</v>
      </c>
      <c r="O322" s="391">
        <f>O318*INDEX(input_data!$L:$L,MATCH(CBAM!$B$5&amp;".in.enc.frt.otn.coa",input_data!$A:$A,0))</f>
        <v>0</v>
      </c>
      <c r="P322" s="391">
        <f>P318*INDEX(input_data!$L:$L,MATCH(CBAM!$B$5&amp;".in.enc.frt.otn.coa",input_data!$A:$A,0))</f>
        <v>0</v>
      </c>
      <c r="Q322" s="391">
        <f>Q318*INDEX(input_data!$L:$L,MATCH(CBAM!$B$5&amp;".in.enc.frt.otn.coa",input_data!$A:$A,0))</f>
        <v>0</v>
      </c>
      <c r="R322" s="391">
        <f>R318*INDEX(input_data!$L:$L,MATCH(CBAM!$B$5&amp;".in.enc.frt.otn.coa",input_data!$A:$A,0))</f>
        <v>0</v>
      </c>
      <c r="S322" s="391">
        <f>S318*INDEX(input_data!$L:$L,MATCH(CBAM!$B$5&amp;".in.enc.frt.otn.coa",input_data!$A:$A,0))</f>
        <v>0</v>
      </c>
      <c r="T322" s="391">
        <f>T318*INDEX(input_data!$L:$L,MATCH(CBAM!$B$5&amp;".in.enc.frt.otn.coa",input_data!$A:$A,0))</f>
        <v>0</v>
      </c>
      <c r="U322" s="391">
        <f>U318*INDEX(input_data!$L:$L,MATCH(CBAM!$B$5&amp;".in.enc.frt.otn.coa",input_data!$A:$A,0))</f>
        <v>0</v>
      </c>
      <c r="V322" s="391">
        <f>V318*INDEX(input_data!$L:$L,MATCH(CBAM!$B$5&amp;".in.enc.frt.otn.coa",input_data!$A:$A,0))</f>
        <v>0</v>
      </c>
      <c r="W322" s="391">
        <f>W318*INDEX(input_data!$L:$L,MATCH(CBAM!$B$5&amp;".in.enc.frt.otn.coa",input_data!$A:$A,0))</f>
        <v>0</v>
      </c>
      <c r="X322" s="391">
        <f>X318*INDEX(input_data!$L:$L,MATCH(CBAM!$B$5&amp;".in.enc.frt.otn.coa",input_data!$A:$A,0))</f>
        <v>0</v>
      </c>
    </row>
    <row r="323" spans="1:24" ht="15" customHeight="1" x14ac:dyDescent="0.25">
      <c r="A323" s="390" t="str">
        <f>CBAM!$B$5&amp;".pj.enc.frt.otn.nga"</f>
        <v>egy.pj.enc.frt.otn.nga</v>
      </c>
      <c r="B323" s="390" t="str">
        <f>CBAM!$B$5</f>
        <v>egy</v>
      </c>
      <c r="C323" s="390" t="s">
        <v>1275</v>
      </c>
      <c r="D323" s="390" t="s">
        <v>1317</v>
      </c>
      <c r="E323" s="390" t="s">
        <v>330</v>
      </c>
      <c r="F323" s="390" t="s">
        <v>1649</v>
      </c>
      <c r="G323" s="390" t="s">
        <v>754</v>
      </c>
      <c r="H323" s="390" t="s">
        <v>1656</v>
      </c>
      <c r="I323" s="390" t="s">
        <v>1319</v>
      </c>
      <c r="J323" s="390" t="s">
        <v>1621</v>
      </c>
      <c r="K323" s="390"/>
      <c r="L323" s="390"/>
      <c r="M323" s="391">
        <f>M318*INDEX(input_data!$L:$L,MATCH(CBAM!$B$5&amp;".in.enc.frt.otn.nga",input_data!$A:$A,0))</f>
        <v>0.4</v>
      </c>
      <c r="N323" s="391">
        <f>N318*INDEX(input_data!$L:$L,MATCH(CBAM!$B$5&amp;".in.enc.frt.otn.nga",input_data!$A:$A,0))</f>
        <v>0.41085277168348278</v>
      </c>
      <c r="O323" s="391">
        <f>O318*INDEX(input_data!$L:$L,MATCH(CBAM!$B$5&amp;".in.enc.frt.otn.nga",input_data!$A:$A,0))</f>
        <v>0.42200000000000004</v>
      </c>
      <c r="P323" s="391">
        <f>P318*INDEX(input_data!$L:$L,MATCH(CBAM!$B$5&amp;".in.enc.frt.otn.nga",input_data!$A:$A,0))</f>
        <v>0.43344967412607427</v>
      </c>
      <c r="Q323" s="391">
        <f>Q318*INDEX(input_data!$L:$L,MATCH(CBAM!$B$5&amp;".in.enc.frt.otn.nga",input_data!$A:$A,0))</f>
        <v>0.44520999999999999</v>
      </c>
      <c r="R323" s="391">
        <f>R318*INDEX(input_data!$L:$L,MATCH(CBAM!$B$5&amp;".in.enc.frt.otn.nga",input_data!$A:$A,0))</f>
        <v>0.45728940620300834</v>
      </c>
      <c r="S323" s="391">
        <f>S318*INDEX(input_data!$L:$L,MATCH(CBAM!$B$5&amp;".in.enc.frt.otn.nga",input_data!$A:$A,0))</f>
        <v>0.46969654999999993</v>
      </c>
      <c r="T323" s="391">
        <f>T318*INDEX(input_data!$L:$L,MATCH(CBAM!$B$5&amp;".in.enc.frt.otn.nga",input_data!$A:$A,0))</f>
        <v>0.48244032354417377</v>
      </c>
      <c r="U323" s="391">
        <f>U318*INDEX(input_data!$L:$L,MATCH(CBAM!$B$5&amp;".in.enc.frt.otn.nga",input_data!$A:$A,0))</f>
        <v>0.49552986024999995</v>
      </c>
      <c r="V323" s="391">
        <f>V318*INDEX(input_data!$L:$L,MATCH(CBAM!$B$5&amp;".in.enc.frt.otn.nga",input_data!$A:$A,0))</f>
        <v>0.50897454133910336</v>
      </c>
      <c r="W323" s="391">
        <f>W318*INDEX(input_data!$L:$L,MATCH(CBAM!$B$5&amp;".in.enc.frt.otn.nga",input_data!$A:$A,0))</f>
        <v>0.52278400256374991</v>
      </c>
      <c r="X323" s="391">
        <f>X318*INDEX(input_data!$L:$L,MATCH(CBAM!$B$5&amp;".in.enc.frt.otn.nga",input_data!$A:$A,0))</f>
        <v>0.53696814111275404</v>
      </c>
    </row>
    <row r="324" spans="1:24" ht="15" customHeight="1" x14ac:dyDescent="0.25">
      <c r="A324" s="390" t="str">
        <f>CBAM!$B$5&amp;".pj.enc.frt.otn.gso"</f>
        <v>egy.pj.enc.frt.otn.gso</v>
      </c>
      <c r="B324" s="390" t="str">
        <f>CBAM!$B$5</f>
        <v>egy</v>
      </c>
      <c r="C324" s="390" t="s">
        <v>1275</v>
      </c>
      <c r="D324" s="390" t="s">
        <v>1317</v>
      </c>
      <c r="E324" s="390" t="s">
        <v>330</v>
      </c>
      <c r="F324" s="390" t="s">
        <v>1649</v>
      </c>
      <c r="G324" s="390" t="s">
        <v>1292</v>
      </c>
      <c r="H324" s="390" t="s">
        <v>1657</v>
      </c>
      <c r="I324" s="390" t="s">
        <v>1319</v>
      </c>
      <c r="J324" s="390" t="s">
        <v>1621</v>
      </c>
      <c r="K324" s="390"/>
      <c r="L324" s="390"/>
      <c r="M324" s="391">
        <f>M318*INDEX(input_data!$L:$L,MATCH(CBAM!$B$5&amp;".in.enc.frt.otn.gso",input_data!$A:$A,0))</f>
        <v>0</v>
      </c>
      <c r="N324" s="391">
        <f>N318*INDEX(input_data!$L:$L,MATCH(CBAM!$B$5&amp;".in.enc.frt.otn.gso",input_data!$A:$A,0))</f>
        <v>0</v>
      </c>
      <c r="O324" s="391">
        <f>O318*INDEX(input_data!$L:$L,MATCH(CBAM!$B$5&amp;".in.enc.frt.otn.gso",input_data!$A:$A,0))</f>
        <v>0</v>
      </c>
      <c r="P324" s="391">
        <f>P318*INDEX(input_data!$L:$L,MATCH(CBAM!$B$5&amp;".in.enc.frt.otn.gso",input_data!$A:$A,0))</f>
        <v>0</v>
      </c>
      <c r="Q324" s="391">
        <f>Q318*INDEX(input_data!$L:$L,MATCH(CBAM!$B$5&amp;".in.enc.frt.otn.gso",input_data!$A:$A,0))</f>
        <v>0</v>
      </c>
      <c r="R324" s="391">
        <f>R318*INDEX(input_data!$L:$L,MATCH(CBAM!$B$5&amp;".in.enc.frt.otn.gso",input_data!$A:$A,0))</f>
        <v>0</v>
      </c>
      <c r="S324" s="391">
        <f>S318*INDEX(input_data!$L:$L,MATCH(CBAM!$B$5&amp;".in.enc.frt.otn.gso",input_data!$A:$A,0))</f>
        <v>0</v>
      </c>
      <c r="T324" s="391">
        <f>T318*INDEX(input_data!$L:$L,MATCH(CBAM!$B$5&amp;".in.enc.frt.otn.gso",input_data!$A:$A,0))</f>
        <v>0</v>
      </c>
      <c r="U324" s="391">
        <f>U318*INDEX(input_data!$L:$L,MATCH(CBAM!$B$5&amp;".in.enc.frt.otn.gso",input_data!$A:$A,0))</f>
        <v>0</v>
      </c>
      <c r="V324" s="391">
        <f>V318*INDEX(input_data!$L:$L,MATCH(CBAM!$B$5&amp;".in.enc.frt.otn.gso",input_data!$A:$A,0))</f>
        <v>0</v>
      </c>
      <c r="W324" s="391">
        <f>W318*INDEX(input_data!$L:$L,MATCH(CBAM!$B$5&amp;".in.enc.frt.otn.gso",input_data!$A:$A,0))</f>
        <v>0</v>
      </c>
      <c r="X324" s="391">
        <f>X318*INDEX(input_data!$L:$L,MATCH(CBAM!$B$5&amp;".in.enc.frt.otn.gso",input_data!$A:$A,0))</f>
        <v>0</v>
      </c>
    </row>
    <row r="325" spans="1:24" ht="15" customHeight="1" x14ac:dyDescent="0.25">
      <c r="A325" s="390" t="str">
        <f>CBAM!$B$5&amp;".pj.enc.frt.otn.die"</f>
        <v>egy.pj.enc.frt.otn.die</v>
      </c>
      <c r="B325" s="390" t="str">
        <f>CBAM!$B$5</f>
        <v>egy</v>
      </c>
      <c r="C325" s="390" t="s">
        <v>1275</v>
      </c>
      <c r="D325" s="390" t="s">
        <v>1317</v>
      </c>
      <c r="E325" s="390" t="s">
        <v>330</v>
      </c>
      <c r="F325" s="390" t="s">
        <v>1649</v>
      </c>
      <c r="G325" s="390" t="s">
        <v>762</v>
      </c>
      <c r="H325" s="390" t="s">
        <v>1658</v>
      </c>
      <c r="I325" s="390" t="s">
        <v>1319</v>
      </c>
      <c r="J325" s="390" t="s">
        <v>1621</v>
      </c>
      <c r="K325" s="390"/>
      <c r="L325" s="390"/>
      <c r="M325" s="391">
        <f>M318*INDEX(input_data!$L:$L,MATCH(CBAM!$B$5&amp;".in.enc.frt.otn.die",input_data!$A:$A,0))</f>
        <v>0</v>
      </c>
      <c r="N325" s="391">
        <f>N318*INDEX(input_data!$L:$L,MATCH(CBAM!$B$5&amp;".in.enc.frt.otn.die",input_data!$A:$A,0))</f>
        <v>0</v>
      </c>
      <c r="O325" s="391">
        <f>O318*INDEX(input_data!$L:$L,MATCH(CBAM!$B$5&amp;".in.enc.frt.otn.die",input_data!$A:$A,0))</f>
        <v>0</v>
      </c>
      <c r="P325" s="391">
        <f>P318*INDEX(input_data!$L:$L,MATCH(CBAM!$B$5&amp;".in.enc.frt.otn.die",input_data!$A:$A,0))</f>
        <v>0</v>
      </c>
      <c r="Q325" s="391">
        <f>Q318*INDEX(input_data!$L:$L,MATCH(CBAM!$B$5&amp;".in.enc.frt.otn.die",input_data!$A:$A,0))</f>
        <v>0</v>
      </c>
      <c r="R325" s="391">
        <f>R318*INDEX(input_data!$L:$L,MATCH(CBAM!$B$5&amp;".in.enc.frt.otn.die",input_data!$A:$A,0))</f>
        <v>0</v>
      </c>
      <c r="S325" s="391">
        <f>S318*INDEX(input_data!$L:$L,MATCH(CBAM!$B$5&amp;".in.enc.frt.otn.die",input_data!$A:$A,0))</f>
        <v>0</v>
      </c>
      <c r="T325" s="391">
        <f>T318*INDEX(input_data!$L:$L,MATCH(CBAM!$B$5&amp;".in.enc.frt.otn.die",input_data!$A:$A,0))</f>
        <v>0</v>
      </c>
      <c r="U325" s="391">
        <f>U318*INDEX(input_data!$L:$L,MATCH(CBAM!$B$5&amp;".in.enc.frt.otn.die",input_data!$A:$A,0))</f>
        <v>0</v>
      </c>
      <c r="V325" s="391">
        <f>V318*INDEX(input_data!$L:$L,MATCH(CBAM!$B$5&amp;".in.enc.frt.otn.die",input_data!$A:$A,0))</f>
        <v>0</v>
      </c>
      <c r="W325" s="391">
        <f>W318*INDEX(input_data!$L:$L,MATCH(CBAM!$B$5&amp;".in.enc.frt.otn.die",input_data!$A:$A,0))</f>
        <v>0</v>
      </c>
      <c r="X325" s="391">
        <f>X318*INDEX(input_data!$L:$L,MATCH(CBAM!$B$5&amp;".in.enc.frt.otn.die",input_data!$A:$A,0))</f>
        <v>0</v>
      </c>
    </row>
    <row r="326" spans="1:24" ht="15" customHeight="1" x14ac:dyDescent="0.25">
      <c r="A326" s="390" t="str">
        <f>CBAM!$B$5&amp;".pj.enc.frt.otn.ker"</f>
        <v>egy.pj.enc.frt.otn.ker</v>
      </c>
      <c r="B326" s="390" t="str">
        <f>CBAM!$B$5</f>
        <v>egy</v>
      </c>
      <c r="C326" s="390" t="s">
        <v>1275</v>
      </c>
      <c r="D326" s="390" t="s">
        <v>1317</v>
      </c>
      <c r="E326" s="390" t="s">
        <v>330</v>
      </c>
      <c r="F326" s="390" t="s">
        <v>1649</v>
      </c>
      <c r="G326" s="390" t="s">
        <v>1295</v>
      </c>
      <c r="H326" s="390" t="s">
        <v>1659</v>
      </c>
      <c r="I326" s="390" t="s">
        <v>1319</v>
      </c>
      <c r="J326" s="390" t="s">
        <v>1621</v>
      </c>
      <c r="K326" s="390"/>
      <c r="L326" s="390"/>
      <c r="M326" s="391">
        <f>M318*INDEX(input_data!$L:$L,MATCH(CBAM!$B$5&amp;".in.enc.frt.otn.ker",input_data!$A:$A,0))</f>
        <v>0</v>
      </c>
      <c r="N326" s="391">
        <f>N318*INDEX(input_data!$L:$L,MATCH(CBAM!$B$5&amp;".in.enc.frt.otn.ker",input_data!$A:$A,0))</f>
        <v>0</v>
      </c>
      <c r="O326" s="391">
        <f>O318*INDEX(input_data!$L:$L,MATCH(CBAM!$B$5&amp;".in.enc.frt.otn.ker",input_data!$A:$A,0))</f>
        <v>0</v>
      </c>
      <c r="P326" s="391">
        <f>P318*INDEX(input_data!$L:$L,MATCH(CBAM!$B$5&amp;".in.enc.frt.otn.ker",input_data!$A:$A,0))</f>
        <v>0</v>
      </c>
      <c r="Q326" s="391">
        <f>Q318*INDEX(input_data!$L:$L,MATCH(CBAM!$B$5&amp;".in.enc.frt.otn.ker",input_data!$A:$A,0))</f>
        <v>0</v>
      </c>
      <c r="R326" s="391">
        <f>R318*INDEX(input_data!$L:$L,MATCH(CBAM!$B$5&amp;".in.enc.frt.otn.ker",input_data!$A:$A,0))</f>
        <v>0</v>
      </c>
      <c r="S326" s="391">
        <f>S318*INDEX(input_data!$L:$L,MATCH(CBAM!$B$5&amp;".in.enc.frt.otn.ker",input_data!$A:$A,0))</f>
        <v>0</v>
      </c>
      <c r="T326" s="391">
        <f>T318*INDEX(input_data!$L:$L,MATCH(CBAM!$B$5&amp;".in.enc.frt.otn.ker",input_data!$A:$A,0))</f>
        <v>0</v>
      </c>
      <c r="U326" s="391">
        <f>U318*INDEX(input_data!$L:$L,MATCH(CBAM!$B$5&amp;".in.enc.frt.otn.ker",input_data!$A:$A,0))</f>
        <v>0</v>
      </c>
      <c r="V326" s="391">
        <f>V318*INDEX(input_data!$L:$L,MATCH(CBAM!$B$5&amp;".in.enc.frt.otn.ker",input_data!$A:$A,0))</f>
        <v>0</v>
      </c>
      <c r="W326" s="391">
        <f>W318*INDEX(input_data!$L:$L,MATCH(CBAM!$B$5&amp;".in.enc.frt.otn.ker",input_data!$A:$A,0))</f>
        <v>0</v>
      </c>
      <c r="X326" s="391">
        <f>X318*INDEX(input_data!$L:$L,MATCH(CBAM!$B$5&amp;".in.enc.frt.otn.ker",input_data!$A:$A,0))</f>
        <v>0</v>
      </c>
    </row>
    <row r="327" spans="1:24" ht="15" customHeight="1" x14ac:dyDescent="0.25">
      <c r="A327" s="390" t="str">
        <f>CBAM!$B$5&amp;".pj.enc.frt.otn.lpg"</f>
        <v>egy.pj.enc.frt.otn.lpg</v>
      </c>
      <c r="B327" s="390" t="str">
        <f>CBAM!$B$5</f>
        <v>egy</v>
      </c>
      <c r="C327" s="390" t="s">
        <v>1275</v>
      </c>
      <c r="D327" s="390" t="s">
        <v>1317</v>
      </c>
      <c r="E327" s="390" t="s">
        <v>330</v>
      </c>
      <c r="F327" s="390" t="s">
        <v>1649</v>
      </c>
      <c r="G327" s="390" t="s">
        <v>1297</v>
      </c>
      <c r="H327" s="390" t="s">
        <v>1660</v>
      </c>
      <c r="I327" s="390" t="s">
        <v>1319</v>
      </c>
      <c r="J327" s="390" t="s">
        <v>1621</v>
      </c>
      <c r="K327" s="390"/>
      <c r="L327" s="390"/>
      <c r="M327" s="391">
        <f>M318*INDEX(input_data!$L:$L,MATCH(CBAM!$B$5&amp;".in.enc.frt.otn.lpg",input_data!$A:$A,0))</f>
        <v>0</v>
      </c>
      <c r="N327" s="391">
        <f>N318*INDEX(input_data!$L:$L,MATCH(CBAM!$B$5&amp;".in.enc.frt.otn.lpg",input_data!$A:$A,0))</f>
        <v>0</v>
      </c>
      <c r="O327" s="391">
        <f>O318*INDEX(input_data!$L:$L,MATCH(CBAM!$B$5&amp;".in.enc.frt.otn.lpg",input_data!$A:$A,0))</f>
        <v>0</v>
      </c>
      <c r="P327" s="391">
        <f>P318*INDEX(input_data!$L:$L,MATCH(CBAM!$B$5&amp;".in.enc.frt.otn.lpg",input_data!$A:$A,0))</f>
        <v>0</v>
      </c>
      <c r="Q327" s="391">
        <f>Q318*INDEX(input_data!$L:$L,MATCH(CBAM!$B$5&amp;".in.enc.frt.otn.lpg",input_data!$A:$A,0))</f>
        <v>0</v>
      </c>
      <c r="R327" s="391">
        <f>R318*INDEX(input_data!$L:$L,MATCH(CBAM!$B$5&amp;".in.enc.frt.otn.lpg",input_data!$A:$A,0))</f>
        <v>0</v>
      </c>
      <c r="S327" s="391">
        <f>S318*INDEX(input_data!$L:$L,MATCH(CBAM!$B$5&amp;".in.enc.frt.otn.lpg",input_data!$A:$A,0))</f>
        <v>0</v>
      </c>
      <c r="T327" s="391">
        <f>T318*INDEX(input_data!$L:$L,MATCH(CBAM!$B$5&amp;".in.enc.frt.otn.lpg",input_data!$A:$A,0))</f>
        <v>0</v>
      </c>
      <c r="U327" s="391">
        <f>U318*INDEX(input_data!$L:$L,MATCH(CBAM!$B$5&amp;".in.enc.frt.otn.lpg",input_data!$A:$A,0))</f>
        <v>0</v>
      </c>
      <c r="V327" s="391">
        <f>V318*INDEX(input_data!$L:$L,MATCH(CBAM!$B$5&amp;".in.enc.frt.otn.lpg",input_data!$A:$A,0))</f>
        <v>0</v>
      </c>
      <c r="W327" s="391">
        <f>W318*INDEX(input_data!$L:$L,MATCH(CBAM!$B$5&amp;".in.enc.frt.otn.lpg",input_data!$A:$A,0))</f>
        <v>0</v>
      </c>
      <c r="X327" s="391">
        <f>X318*INDEX(input_data!$L:$L,MATCH(CBAM!$B$5&amp;".in.enc.frt.otn.lpg",input_data!$A:$A,0))</f>
        <v>0</v>
      </c>
    </row>
    <row r="328" spans="1:24" ht="15" customHeight="1" x14ac:dyDescent="0.25">
      <c r="A328" s="390" t="str">
        <f>CBAM!$B$5&amp;".pj.enc.frt.otn.bio"</f>
        <v>egy.pj.enc.frt.otn.bio</v>
      </c>
      <c r="B328" s="390" t="str">
        <f>CBAM!$B$5</f>
        <v>egy</v>
      </c>
      <c r="C328" s="390" t="s">
        <v>1275</v>
      </c>
      <c r="D328" s="390" t="s">
        <v>1317</v>
      </c>
      <c r="E328" s="390" t="s">
        <v>330</v>
      </c>
      <c r="F328" s="390" t="s">
        <v>1649</v>
      </c>
      <c r="G328" s="390" t="s">
        <v>1299</v>
      </c>
      <c r="H328" s="390" t="s">
        <v>1661</v>
      </c>
      <c r="I328" s="390" t="s">
        <v>1319</v>
      </c>
      <c r="J328" s="390" t="s">
        <v>1621</v>
      </c>
      <c r="K328" s="390"/>
      <c r="L328" s="390"/>
      <c r="M328" s="391">
        <f>M318*INDEX(input_data!$L:$L,MATCH(CBAM!$B$5&amp;".in.enc.frt.otn.bio",input_data!$A:$A,0))</f>
        <v>0</v>
      </c>
      <c r="N328" s="391">
        <f>N318*INDEX(input_data!$L:$L,MATCH(CBAM!$B$5&amp;".in.enc.frt.otn.bio",input_data!$A:$A,0))</f>
        <v>0</v>
      </c>
      <c r="O328" s="391">
        <f>O318*INDEX(input_data!$L:$L,MATCH(CBAM!$B$5&amp;".in.enc.frt.otn.bio",input_data!$A:$A,0))</f>
        <v>0</v>
      </c>
      <c r="P328" s="391">
        <f>P318*INDEX(input_data!$L:$L,MATCH(CBAM!$B$5&amp;".in.enc.frt.otn.bio",input_data!$A:$A,0))</f>
        <v>0</v>
      </c>
      <c r="Q328" s="391">
        <f>Q318*INDEX(input_data!$L:$L,MATCH(CBAM!$B$5&amp;".in.enc.frt.otn.bio",input_data!$A:$A,0))</f>
        <v>0</v>
      </c>
      <c r="R328" s="391">
        <f>R318*INDEX(input_data!$L:$L,MATCH(CBAM!$B$5&amp;".in.enc.frt.otn.bio",input_data!$A:$A,0))</f>
        <v>0</v>
      </c>
      <c r="S328" s="391">
        <f>S318*INDEX(input_data!$L:$L,MATCH(CBAM!$B$5&amp;".in.enc.frt.otn.bio",input_data!$A:$A,0))</f>
        <v>0</v>
      </c>
      <c r="T328" s="391">
        <f>T318*INDEX(input_data!$L:$L,MATCH(CBAM!$B$5&amp;".in.enc.frt.otn.bio",input_data!$A:$A,0))</f>
        <v>0</v>
      </c>
      <c r="U328" s="391">
        <f>U318*INDEX(input_data!$L:$L,MATCH(CBAM!$B$5&amp;".in.enc.frt.otn.bio",input_data!$A:$A,0))</f>
        <v>0</v>
      </c>
      <c r="V328" s="391">
        <f>V318*INDEX(input_data!$L:$L,MATCH(CBAM!$B$5&amp;".in.enc.frt.otn.bio",input_data!$A:$A,0))</f>
        <v>0</v>
      </c>
      <c r="W328" s="391">
        <f>W318*INDEX(input_data!$L:$L,MATCH(CBAM!$B$5&amp;".in.enc.frt.otn.bio",input_data!$A:$A,0))</f>
        <v>0</v>
      </c>
      <c r="X328" s="391">
        <f>X318*INDEX(input_data!$L:$L,MATCH(CBAM!$B$5&amp;".in.enc.frt.otn.bio",input_data!$A:$A,0))</f>
        <v>0</v>
      </c>
    </row>
    <row r="329" spans="1:24" ht="15" customHeight="1" x14ac:dyDescent="0.25">
      <c r="A329" s="390" t="str">
        <f>CBAM!$B$5&amp;".pj.enc.frt.otn.ren"</f>
        <v>egy.pj.enc.frt.otn.ren</v>
      </c>
      <c r="B329" s="390" t="str">
        <f>CBAM!$B$5</f>
        <v>egy</v>
      </c>
      <c r="C329" s="390" t="s">
        <v>1275</v>
      </c>
      <c r="D329" s="390" t="s">
        <v>1317</v>
      </c>
      <c r="E329" s="390" t="s">
        <v>330</v>
      </c>
      <c r="F329" s="390" t="s">
        <v>1649</v>
      </c>
      <c r="G329" s="390" t="s">
        <v>1301</v>
      </c>
      <c r="H329" s="390" t="s">
        <v>1662</v>
      </c>
      <c r="I329" s="390" t="s">
        <v>1319</v>
      </c>
      <c r="J329" s="390" t="s">
        <v>1621</v>
      </c>
      <c r="K329" s="390"/>
      <c r="L329" s="390"/>
      <c r="M329" s="391">
        <f>M318*INDEX(input_data!$L:$L,MATCH(CBAM!$B$5&amp;".in.enc.frt.otn.ren",input_data!$A:$A,0))</f>
        <v>0</v>
      </c>
      <c r="N329" s="391">
        <f>N318*INDEX(input_data!$L:$L,MATCH(CBAM!$B$5&amp;".in.enc.frt.otn.ren",input_data!$A:$A,0))</f>
        <v>0</v>
      </c>
      <c r="O329" s="391">
        <f>O318*INDEX(input_data!$L:$L,MATCH(CBAM!$B$5&amp;".in.enc.frt.otn.ren",input_data!$A:$A,0))</f>
        <v>0</v>
      </c>
      <c r="P329" s="391">
        <f>P318*INDEX(input_data!$L:$L,MATCH(CBAM!$B$5&amp;".in.enc.frt.otn.ren",input_data!$A:$A,0))</f>
        <v>0</v>
      </c>
      <c r="Q329" s="391">
        <f>Q318*INDEX(input_data!$L:$L,MATCH(CBAM!$B$5&amp;".in.enc.frt.otn.ren",input_data!$A:$A,0))</f>
        <v>0</v>
      </c>
      <c r="R329" s="391">
        <f>R318*INDEX(input_data!$L:$L,MATCH(CBAM!$B$5&amp;".in.enc.frt.otn.ren",input_data!$A:$A,0))</f>
        <v>0</v>
      </c>
      <c r="S329" s="391">
        <f>S318*INDEX(input_data!$L:$L,MATCH(CBAM!$B$5&amp;".in.enc.frt.otn.ren",input_data!$A:$A,0))</f>
        <v>0</v>
      </c>
      <c r="T329" s="391">
        <f>T318*INDEX(input_data!$L:$L,MATCH(CBAM!$B$5&amp;".in.enc.frt.otn.ren",input_data!$A:$A,0))</f>
        <v>0</v>
      </c>
      <c r="U329" s="391">
        <f>U318*INDEX(input_data!$L:$L,MATCH(CBAM!$B$5&amp;".in.enc.frt.otn.ren",input_data!$A:$A,0))</f>
        <v>0</v>
      </c>
      <c r="V329" s="391">
        <f>V318*INDEX(input_data!$L:$L,MATCH(CBAM!$B$5&amp;".in.enc.frt.otn.ren",input_data!$A:$A,0))</f>
        <v>0</v>
      </c>
      <c r="W329" s="391">
        <f>W318*INDEX(input_data!$L:$L,MATCH(CBAM!$B$5&amp;".in.enc.frt.otn.ren",input_data!$A:$A,0))</f>
        <v>0</v>
      </c>
      <c r="X329" s="391">
        <f>X318*INDEX(input_data!$L:$L,MATCH(CBAM!$B$5&amp;".in.enc.frt.otn.ren",input_data!$A:$A,0))</f>
        <v>0</v>
      </c>
    </row>
    <row r="330" spans="1:24" ht="15" customHeight="1" x14ac:dyDescent="0.25">
      <c r="A330" s="390" t="str">
        <f>CBAM!$B$5&amp;".pj.enp.frt.otn.coa"</f>
        <v>egy.pj.enp.frt.otn.coa</v>
      </c>
      <c r="B330" s="390" t="str">
        <f>CBAM!$B$5</f>
        <v>egy</v>
      </c>
      <c r="C330" s="390" t="s">
        <v>1275</v>
      </c>
      <c r="D330" s="390" t="s">
        <v>1328</v>
      </c>
      <c r="E330" s="390" t="s">
        <v>330</v>
      </c>
      <c r="F330" s="390" t="s">
        <v>1649</v>
      </c>
      <c r="G330" s="390" t="s">
        <v>757</v>
      </c>
      <c r="H330" s="390" t="s">
        <v>1663</v>
      </c>
      <c r="I330" s="390" t="s">
        <v>1319</v>
      </c>
      <c r="J330" s="390"/>
      <c r="K330" s="390"/>
      <c r="L330" s="390"/>
      <c r="M330" s="391">
        <f>M318*INDEX(input_data!$L:$L,MATCH(CBAM!$B$5&amp;".in.enp.frt.otn.coa",input_data!$A:$A,0))</f>
        <v>0</v>
      </c>
      <c r="N330" s="391">
        <f>N318*INDEX(input_data!$L:$L,MATCH(CBAM!$B$5&amp;".in.enp.frt.otn.coa",input_data!$A:$A,0))</f>
        <v>0</v>
      </c>
      <c r="O330" s="391">
        <f>O318*INDEX(input_data!$L:$L,MATCH(CBAM!$B$5&amp;".in.enp.frt.otn.coa",input_data!$A:$A,0))</f>
        <v>0</v>
      </c>
      <c r="P330" s="391">
        <f>P318*INDEX(input_data!$L:$L,MATCH(CBAM!$B$5&amp;".in.enp.frt.otn.coa",input_data!$A:$A,0))</f>
        <v>0</v>
      </c>
      <c r="Q330" s="391">
        <f>Q318*INDEX(input_data!$L:$L,MATCH(CBAM!$B$5&amp;".in.enp.frt.otn.coa",input_data!$A:$A,0))</f>
        <v>0</v>
      </c>
      <c r="R330" s="391">
        <f>R318*INDEX(input_data!$L:$L,MATCH(CBAM!$B$5&amp;".in.enp.frt.otn.coa",input_data!$A:$A,0))</f>
        <v>0</v>
      </c>
      <c r="S330" s="391">
        <f>S318*INDEX(input_data!$L:$L,MATCH(CBAM!$B$5&amp;".in.enp.frt.otn.coa",input_data!$A:$A,0))</f>
        <v>0</v>
      </c>
      <c r="T330" s="391">
        <f>T318*INDEX(input_data!$L:$L,MATCH(CBAM!$B$5&amp;".in.enp.frt.otn.coa",input_data!$A:$A,0))</f>
        <v>0</v>
      </c>
      <c r="U330" s="391">
        <f>U318*INDEX(input_data!$L:$L,MATCH(CBAM!$B$5&amp;".in.enp.frt.otn.coa",input_data!$A:$A,0))</f>
        <v>0</v>
      </c>
      <c r="V330" s="391">
        <f>V318*INDEX(input_data!$L:$L,MATCH(CBAM!$B$5&amp;".in.enp.frt.otn.coa",input_data!$A:$A,0))</f>
        <v>0</v>
      </c>
      <c r="W330" s="391">
        <f>W318*INDEX(input_data!$L:$L,MATCH(CBAM!$B$5&amp;".in.enp.frt.otn.coa",input_data!$A:$A,0))</f>
        <v>0</v>
      </c>
      <c r="X330" s="391">
        <f>X318*INDEX(input_data!$L:$L,MATCH(CBAM!$B$5&amp;".in.enp.frt.otn.coa",input_data!$A:$A,0))</f>
        <v>0</v>
      </c>
    </row>
    <row r="331" spans="1:24" ht="15" customHeight="1" x14ac:dyDescent="0.25">
      <c r="A331" s="390" t="str">
        <f>CBAM!$B$5&amp;".pj.enp.frt.otn.nga"</f>
        <v>egy.pj.enp.frt.otn.nga</v>
      </c>
      <c r="B331" s="390" t="str">
        <f>CBAM!$B$5</f>
        <v>egy</v>
      </c>
      <c r="C331" s="390" t="s">
        <v>1275</v>
      </c>
      <c r="D331" s="390" t="s">
        <v>1328</v>
      </c>
      <c r="E331" s="390" t="s">
        <v>330</v>
      </c>
      <c r="F331" s="390" t="s">
        <v>1649</v>
      </c>
      <c r="G331" s="390" t="s">
        <v>754</v>
      </c>
      <c r="H331" s="390" t="s">
        <v>1664</v>
      </c>
      <c r="I331" s="390" t="s">
        <v>1319</v>
      </c>
      <c r="J331" s="390"/>
      <c r="K331" s="390"/>
      <c r="L331" s="390"/>
      <c r="M331" s="391">
        <f>M318*INDEX(input_data!$L:$L,MATCH(CBAM!$B$5&amp;".in.enp.frt.otn.nga",input_data!$A:$A,0))</f>
        <v>0</v>
      </c>
      <c r="N331" s="391">
        <f>N318*INDEX(input_data!$L:$L,MATCH(CBAM!$B$5&amp;".in.enp.frt.otn.nga",input_data!$A:$A,0))</f>
        <v>0</v>
      </c>
      <c r="O331" s="391">
        <f>O318*INDEX(input_data!$L:$L,MATCH(CBAM!$B$5&amp;".in.enp.frt.otn.nga",input_data!$A:$A,0))</f>
        <v>0</v>
      </c>
      <c r="P331" s="391">
        <f>P318*INDEX(input_data!$L:$L,MATCH(CBAM!$B$5&amp;".in.enp.frt.otn.nga",input_data!$A:$A,0))</f>
        <v>0</v>
      </c>
      <c r="Q331" s="391">
        <f>Q318*INDEX(input_data!$L:$L,MATCH(CBAM!$B$5&amp;".in.enp.frt.otn.nga",input_data!$A:$A,0))</f>
        <v>0</v>
      </c>
      <c r="R331" s="391">
        <f>R318*INDEX(input_data!$L:$L,MATCH(CBAM!$B$5&amp;".in.enp.frt.otn.nga",input_data!$A:$A,0))</f>
        <v>0</v>
      </c>
      <c r="S331" s="391">
        <f>S318*INDEX(input_data!$L:$L,MATCH(CBAM!$B$5&amp;".in.enp.frt.otn.nga",input_data!$A:$A,0))</f>
        <v>0</v>
      </c>
      <c r="T331" s="391">
        <f>T318*INDEX(input_data!$L:$L,MATCH(CBAM!$B$5&amp;".in.enp.frt.otn.nga",input_data!$A:$A,0))</f>
        <v>0</v>
      </c>
      <c r="U331" s="391">
        <f>U318*INDEX(input_data!$L:$L,MATCH(CBAM!$B$5&amp;".in.enp.frt.otn.nga",input_data!$A:$A,0))</f>
        <v>0</v>
      </c>
      <c r="V331" s="391">
        <f>V318*INDEX(input_data!$L:$L,MATCH(CBAM!$B$5&amp;".in.enp.frt.otn.nga",input_data!$A:$A,0))</f>
        <v>0</v>
      </c>
      <c r="W331" s="391">
        <f>W318*INDEX(input_data!$L:$L,MATCH(CBAM!$B$5&amp;".in.enp.frt.otn.nga",input_data!$A:$A,0))</f>
        <v>0</v>
      </c>
      <c r="X331" s="391">
        <f>X318*INDEX(input_data!$L:$L,MATCH(CBAM!$B$5&amp;".in.enp.frt.otn.nga",input_data!$A:$A,0))</f>
        <v>0</v>
      </c>
    </row>
    <row r="332" spans="1:24" ht="15" customHeight="1" x14ac:dyDescent="0.25">
      <c r="A332" s="390" t="str">
        <f>CBAM!$B$5&amp;".pj.enp.frt.otn.gso"</f>
        <v>egy.pj.enp.frt.otn.gso</v>
      </c>
      <c r="B332" s="390" t="str">
        <f>CBAM!$B$5</f>
        <v>egy</v>
      </c>
      <c r="C332" s="390" t="s">
        <v>1275</v>
      </c>
      <c r="D332" s="390" t="s">
        <v>1328</v>
      </c>
      <c r="E332" s="390" t="s">
        <v>330</v>
      </c>
      <c r="F332" s="390" t="s">
        <v>1649</v>
      </c>
      <c r="G332" s="390" t="s">
        <v>1292</v>
      </c>
      <c r="H332" s="390" t="s">
        <v>1665</v>
      </c>
      <c r="I332" s="390" t="s">
        <v>1319</v>
      </c>
      <c r="J332" s="390"/>
      <c r="K332" s="390"/>
      <c r="L332" s="390"/>
      <c r="M332" s="391">
        <f>M318*INDEX(input_data!$L:$L,MATCH(CBAM!$B$5&amp;".in.enp.frt.otn.gso",input_data!$A:$A,0))</f>
        <v>0</v>
      </c>
      <c r="N332" s="391">
        <f>N318*INDEX(input_data!$L:$L,MATCH(CBAM!$B$5&amp;".in.enp.frt.otn.gso",input_data!$A:$A,0))</f>
        <v>0</v>
      </c>
      <c r="O332" s="391">
        <f>O318*INDEX(input_data!$L:$L,MATCH(CBAM!$B$5&amp;".in.enp.frt.otn.gso",input_data!$A:$A,0))</f>
        <v>0</v>
      </c>
      <c r="P332" s="391">
        <f>P318*INDEX(input_data!$L:$L,MATCH(CBAM!$B$5&amp;".in.enp.frt.otn.gso",input_data!$A:$A,0))</f>
        <v>0</v>
      </c>
      <c r="Q332" s="391">
        <f>Q318*INDEX(input_data!$L:$L,MATCH(CBAM!$B$5&amp;".in.enp.frt.otn.gso",input_data!$A:$A,0))</f>
        <v>0</v>
      </c>
      <c r="R332" s="391">
        <f>R318*INDEX(input_data!$L:$L,MATCH(CBAM!$B$5&amp;".in.enp.frt.otn.gso",input_data!$A:$A,0))</f>
        <v>0</v>
      </c>
      <c r="S332" s="391">
        <f>S318*INDEX(input_data!$L:$L,MATCH(CBAM!$B$5&amp;".in.enp.frt.otn.gso",input_data!$A:$A,0))</f>
        <v>0</v>
      </c>
      <c r="T332" s="391">
        <f>T318*INDEX(input_data!$L:$L,MATCH(CBAM!$B$5&amp;".in.enp.frt.otn.gso",input_data!$A:$A,0))</f>
        <v>0</v>
      </c>
      <c r="U332" s="391">
        <f>U318*INDEX(input_data!$L:$L,MATCH(CBAM!$B$5&amp;".in.enp.frt.otn.gso",input_data!$A:$A,0))</f>
        <v>0</v>
      </c>
      <c r="V332" s="391">
        <f>V318*INDEX(input_data!$L:$L,MATCH(CBAM!$B$5&amp;".in.enp.frt.otn.gso",input_data!$A:$A,0))</f>
        <v>0</v>
      </c>
      <c r="W332" s="391">
        <f>W318*INDEX(input_data!$L:$L,MATCH(CBAM!$B$5&amp;".in.enp.frt.otn.gso",input_data!$A:$A,0))</f>
        <v>0</v>
      </c>
      <c r="X332" s="391">
        <f>X318*INDEX(input_data!$L:$L,MATCH(CBAM!$B$5&amp;".in.enp.frt.otn.gso",input_data!$A:$A,0))</f>
        <v>0</v>
      </c>
    </row>
    <row r="333" spans="1:24" ht="15" customHeight="1" x14ac:dyDescent="0.25">
      <c r="A333" s="390" t="str">
        <f>CBAM!$B$5&amp;".pj.enp.frt.otn.die"</f>
        <v>egy.pj.enp.frt.otn.die</v>
      </c>
      <c r="B333" s="390" t="str">
        <f>CBAM!$B$5</f>
        <v>egy</v>
      </c>
      <c r="C333" s="390" t="s">
        <v>1275</v>
      </c>
      <c r="D333" s="390" t="s">
        <v>1328</v>
      </c>
      <c r="E333" s="390" t="s">
        <v>330</v>
      </c>
      <c r="F333" s="390" t="s">
        <v>1649</v>
      </c>
      <c r="G333" s="390" t="s">
        <v>762</v>
      </c>
      <c r="H333" s="390" t="s">
        <v>1666</v>
      </c>
      <c r="I333" s="390" t="s">
        <v>1319</v>
      </c>
      <c r="J333" s="390"/>
      <c r="K333" s="390"/>
      <c r="L333" s="390"/>
      <c r="M333" s="391">
        <f>M318*INDEX(input_data!$L:$L,MATCH(CBAM!$B$5&amp;".in.enp.frt.otn.die",input_data!$A:$A,0))</f>
        <v>0</v>
      </c>
      <c r="N333" s="391">
        <f>N318*INDEX(input_data!$L:$L,MATCH(CBAM!$B$5&amp;".in.enp.frt.otn.die",input_data!$A:$A,0))</f>
        <v>0</v>
      </c>
      <c r="O333" s="391">
        <f>O318*INDEX(input_data!$L:$L,MATCH(CBAM!$B$5&amp;".in.enp.frt.otn.die",input_data!$A:$A,0))</f>
        <v>0</v>
      </c>
      <c r="P333" s="391">
        <f>P318*INDEX(input_data!$L:$L,MATCH(CBAM!$B$5&amp;".in.enp.frt.otn.die",input_data!$A:$A,0))</f>
        <v>0</v>
      </c>
      <c r="Q333" s="391">
        <f>Q318*INDEX(input_data!$L:$L,MATCH(CBAM!$B$5&amp;".in.enp.frt.otn.die",input_data!$A:$A,0))</f>
        <v>0</v>
      </c>
      <c r="R333" s="391">
        <f>R318*INDEX(input_data!$L:$L,MATCH(CBAM!$B$5&amp;".in.enp.frt.otn.die",input_data!$A:$A,0))</f>
        <v>0</v>
      </c>
      <c r="S333" s="391">
        <f>S318*INDEX(input_data!$L:$L,MATCH(CBAM!$B$5&amp;".in.enp.frt.otn.die",input_data!$A:$A,0))</f>
        <v>0</v>
      </c>
      <c r="T333" s="391">
        <f>T318*INDEX(input_data!$L:$L,MATCH(CBAM!$B$5&amp;".in.enp.frt.otn.die",input_data!$A:$A,0))</f>
        <v>0</v>
      </c>
      <c r="U333" s="391">
        <f>U318*INDEX(input_data!$L:$L,MATCH(CBAM!$B$5&amp;".in.enp.frt.otn.die",input_data!$A:$A,0))</f>
        <v>0</v>
      </c>
      <c r="V333" s="391">
        <f>V318*INDEX(input_data!$L:$L,MATCH(CBAM!$B$5&amp;".in.enp.frt.otn.die",input_data!$A:$A,0))</f>
        <v>0</v>
      </c>
      <c r="W333" s="391">
        <f>W318*INDEX(input_data!$L:$L,MATCH(CBAM!$B$5&amp;".in.enp.frt.otn.die",input_data!$A:$A,0))</f>
        <v>0</v>
      </c>
      <c r="X333" s="391">
        <f>X318*INDEX(input_data!$L:$L,MATCH(CBAM!$B$5&amp;".in.enp.frt.otn.die",input_data!$A:$A,0))</f>
        <v>0</v>
      </c>
    </row>
    <row r="334" spans="1:24" ht="15" customHeight="1" x14ac:dyDescent="0.25">
      <c r="A334" s="390" t="str">
        <f>CBAM!$B$5&amp;".pj.enp.frt.otn.ker"</f>
        <v>egy.pj.enp.frt.otn.ker</v>
      </c>
      <c r="B334" s="390" t="str">
        <f>CBAM!$B$5</f>
        <v>egy</v>
      </c>
      <c r="C334" s="390" t="s">
        <v>1275</v>
      </c>
      <c r="D334" s="390" t="s">
        <v>1328</v>
      </c>
      <c r="E334" s="390" t="s">
        <v>330</v>
      </c>
      <c r="F334" s="390" t="s">
        <v>1649</v>
      </c>
      <c r="G334" s="390" t="s">
        <v>1295</v>
      </c>
      <c r="H334" s="390" t="s">
        <v>1667</v>
      </c>
      <c r="I334" s="390" t="s">
        <v>1319</v>
      </c>
      <c r="J334" s="390"/>
      <c r="K334" s="390"/>
      <c r="L334" s="390"/>
      <c r="M334" s="391">
        <f>M318*INDEX(input_data!$L:$L,MATCH(CBAM!$B$5&amp;".in.enp.frt.otn.ker",input_data!$A:$A,0))</f>
        <v>0</v>
      </c>
      <c r="N334" s="391">
        <f>N318*INDEX(input_data!$L:$L,MATCH(CBAM!$B$5&amp;".in.enp.frt.otn.ker",input_data!$A:$A,0))</f>
        <v>0</v>
      </c>
      <c r="O334" s="391">
        <f>O318*INDEX(input_data!$L:$L,MATCH(CBAM!$B$5&amp;".in.enp.frt.otn.ker",input_data!$A:$A,0))</f>
        <v>0</v>
      </c>
      <c r="P334" s="391">
        <f>P318*INDEX(input_data!$L:$L,MATCH(CBAM!$B$5&amp;".in.enp.frt.otn.ker",input_data!$A:$A,0))</f>
        <v>0</v>
      </c>
      <c r="Q334" s="391">
        <f>Q318*INDEX(input_data!$L:$L,MATCH(CBAM!$B$5&amp;".in.enp.frt.otn.ker",input_data!$A:$A,0))</f>
        <v>0</v>
      </c>
      <c r="R334" s="391">
        <f>R318*INDEX(input_data!$L:$L,MATCH(CBAM!$B$5&amp;".in.enp.frt.otn.ker",input_data!$A:$A,0))</f>
        <v>0</v>
      </c>
      <c r="S334" s="391">
        <f>S318*INDEX(input_data!$L:$L,MATCH(CBAM!$B$5&amp;".in.enp.frt.otn.ker",input_data!$A:$A,0))</f>
        <v>0</v>
      </c>
      <c r="T334" s="391">
        <f>T318*INDEX(input_data!$L:$L,MATCH(CBAM!$B$5&amp;".in.enp.frt.otn.ker",input_data!$A:$A,0))</f>
        <v>0</v>
      </c>
      <c r="U334" s="391">
        <f>U318*INDEX(input_data!$L:$L,MATCH(CBAM!$B$5&amp;".in.enp.frt.otn.ker",input_data!$A:$A,0))</f>
        <v>0</v>
      </c>
      <c r="V334" s="391">
        <f>V318*INDEX(input_data!$L:$L,MATCH(CBAM!$B$5&amp;".in.enp.frt.otn.ker",input_data!$A:$A,0))</f>
        <v>0</v>
      </c>
      <c r="W334" s="391">
        <f>W318*INDEX(input_data!$L:$L,MATCH(CBAM!$B$5&amp;".in.enp.frt.otn.ker",input_data!$A:$A,0))</f>
        <v>0</v>
      </c>
      <c r="X334" s="391">
        <f>X318*INDEX(input_data!$L:$L,MATCH(CBAM!$B$5&amp;".in.enp.frt.otn.ker",input_data!$A:$A,0))</f>
        <v>0</v>
      </c>
    </row>
    <row r="335" spans="1:24" ht="15" customHeight="1" x14ac:dyDescent="0.25">
      <c r="A335" s="390" t="str">
        <f>CBAM!$B$5&amp;".pj.enp.frt.otn.lpg"</f>
        <v>egy.pj.enp.frt.otn.lpg</v>
      </c>
      <c r="B335" s="390" t="str">
        <f>CBAM!$B$5</f>
        <v>egy</v>
      </c>
      <c r="C335" s="390" t="s">
        <v>1275</v>
      </c>
      <c r="D335" s="390" t="s">
        <v>1328</v>
      </c>
      <c r="E335" s="390" t="s">
        <v>330</v>
      </c>
      <c r="F335" s="390" t="s">
        <v>1649</v>
      </c>
      <c r="G335" s="390" t="s">
        <v>1297</v>
      </c>
      <c r="H335" s="390" t="s">
        <v>1668</v>
      </c>
      <c r="I335" s="390" t="s">
        <v>1319</v>
      </c>
      <c r="J335" s="390"/>
      <c r="K335" s="390"/>
      <c r="L335" s="390"/>
      <c r="M335" s="391">
        <f>M318*INDEX(input_data!$L:$L,MATCH(CBAM!$B$5&amp;".in.enp.frt.otn.lpg",input_data!$A:$A,0))</f>
        <v>0</v>
      </c>
      <c r="N335" s="391">
        <f>N318*INDEX(input_data!$L:$L,MATCH(CBAM!$B$5&amp;".in.enp.frt.otn.lpg",input_data!$A:$A,0))</f>
        <v>0</v>
      </c>
      <c r="O335" s="391">
        <f>O318*INDEX(input_data!$L:$L,MATCH(CBAM!$B$5&amp;".in.enp.frt.otn.lpg",input_data!$A:$A,0))</f>
        <v>0</v>
      </c>
      <c r="P335" s="391">
        <f>P318*INDEX(input_data!$L:$L,MATCH(CBAM!$B$5&amp;".in.enp.frt.otn.lpg",input_data!$A:$A,0))</f>
        <v>0</v>
      </c>
      <c r="Q335" s="391">
        <f>Q318*INDEX(input_data!$L:$L,MATCH(CBAM!$B$5&amp;".in.enp.frt.otn.lpg",input_data!$A:$A,0))</f>
        <v>0</v>
      </c>
      <c r="R335" s="391">
        <f>R318*INDEX(input_data!$L:$L,MATCH(CBAM!$B$5&amp;".in.enp.frt.otn.lpg",input_data!$A:$A,0))</f>
        <v>0</v>
      </c>
      <c r="S335" s="391">
        <f>S318*INDEX(input_data!$L:$L,MATCH(CBAM!$B$5&amp;".in.enp.frt.otn.lpg",input_data!$A:$A,0))</f>
        <v>0</v>
      </c>
      <c r="T335" s="391">
        <f>T318*INDEX(input_data!$L:$L,MATCH(CBAM!$B$5&amp;".in.enp.frt.otn.lpg",input_data!$A:$A,0))</f>
        <v>0</v>
      </c>
      <c r="U335" s="391">
        <f>U318*INDEX(input_data!$L:$L,MATCH(CBAM!$B$5&amp;".in.enp.frt.otn.lpg",input_data!$A:$A,0))</f>
        <v>0</v>
      </c>
      <c r="V335" s="391">
        <f>V318*INDEX(input_data!$L:$L,MATCH(CBAM!$B$5&amp;".in.enp.frt.otn.lpg",input_data!$A:$A,0))</f>
        <v>0</v>
      </c>
      <c r="W335" s="391">
        <f>W318*INDEX(input_data!$L:$L,MATCH(CBAM!$B$5&amp;".in.enp.frt.otn.lpg",input_data!$A:$A,0))</f>
        <v>0</v>
      </c>
      <c r="X335" s="391">
        <f>X318*INDEX(input_data!$L:$L,MATCH(CBAM!$B$5&amp;".in.enp.frt.otn.lpg",input_data!$A:$A,0))</f>
        <v>0</v>
      </c>
    </row>
    <row r="336" spans="1:24" ht="15" customHeight="1" x14ac:dyDescent="0.25">
      <c r="A336" s="390" t="str">
        <f>CBAM!$B$5&amp;".pj.enp.frt.otn.bio"</f>
        <v>egy.pj.enp.frt.otn.bio</v>
      </c>
      <c r="B336" s="390" t="str">
        <f>CBAM!$B$5</f>
        <v>egy</v>
      </c>
      <c r="C336" s="390" t="s">
        <v>1275</v>
      </c>
      <c r="D336" s="390" t="s">
        <v>1328</v>
      </c>
      <c r="E336" s="390" t="s">
        <v>330</v>
      </c>
      <c r="F336" s="390" t="s">
        <v>1649</v>
      </c>
      <c r="G336" s="390" t="s">
        <v>1299</v>
      </c>
      <c r="H336" s="390" t="s">
        <v>1669</v>
      </c>
      <c r="I336" s="390" t="s">
        <v>1319</v>
      </c>
      <c r="J336" s="390"/>
      <c r="K336" s="390"/>
      <c r="L336" s="390"/>
      <c r="M336" s="391">
        <f>M318*INDEX(input_data!$L:$L,MATCH(CBAM!$B$5&amp;".in.enp.frt.otn.bio",input_data!$A:$A,0))</f>
        <v>0</v>
      </c>
      <c r="N336" s="391">
        <f>N318*INDEX(input_data!$L:$L,MATCH(CBAM!$B$5&amp;".in.enp.frt.otn.bio",input_data!$A:$A,0))</f>
        <v>0</v>
      </c>
      <c r="O336" s="391">
        <f>O318*INDEX(input_data!$L:$L,MATCH(CBAM!$B$5&amp;".in.enp.frt.otn.bio",input_data!$A:$A,0))</f>
        <v>0</v>
      </c>
      <c r="P336" s="391">
        <f>P318*INDEX(input_data!$L:$L,MATCH(CBAM!$B$5&amp;".in.enp.frt.otn.bio",input_data!$A:$A,0))</f>
        <v>0</v>
      </c>
      <c r="Q336" s="391">
        <f>Q318*INDEX(input_data!$L:$L,MATCH(CBAM!$B$5&amp;".in.enp.frt.otn.bio",input_data!$A:$A,0))</f>
        <v>0</v>
      </c>
      <c r="R336" s="391">
        <f>R318*INDEX(input_data!$L:$L,MATCH(CBAM!$B$5&amp;".in.enp.frt.otn.bio",input_data!$A:$A,0))</f>
        <v>0</v>
      </c>
      <c r="S336" s="391">
        <f>S318*INDEX(input_data!$L:$L,MATCH(CBAM!$B$5&amp;".in.enp.frt.otn.bio",input_data!$A:$A,0))</f>
        <v>0</v>
      </c>
      <c r="T336" s="391">
        <f>T318*INDEX(input_data!$L:$L,MATCH(CBAM!$B$5&amp;".in.enp.frt.otn.bio",input_data!$A:$A,0))</f>
        <v>0</v>
      </c>
      <c r="U336" s="391">
        <f>U318*INDEX(input_data!$L:$L,MATCH(CBAM!$B$5&amp;".in.enp.frt.otn.bio",input_data!$A:$A,0))</f>
        <v>0</v>
      </c>
      <c r="V336" s="391">
        <f>V318*INDEX(input_data!$L:$L,MATCH(CBAM!$B$5&amp;".in.enp.frt.otn.bio",input_data!$A:$A,0))</f>
        <v>0</v>
      </c>
      <c r="W336" s="391">
        <f>W318*INDEX(input_data!$L:$L,MATCH(CBAM!$B$5&amp;".in.enp.frt.otn.bio",input_data!$A:$A,0))</f>
        <v>0</v>
      </c>
      <c r="X336" s="391">
        <f>X318*INDEX(input_data!$L:$L,MATCH(CBAM!$B$5&amp;".in.enp.frt.otn.bio",input_data!$A:$A,0))</f>
        <v>0</v>
      </c>
    </row>
    <row r="337" spans="1:24" ht="15" customHeight="1" x14ac:dyDescent="0.25">
      <c r="A337" s="390" t="str">
        <f>CBAM!$B$5&amp;".pj.enp.frt.otn.ren"</f>
        <v>egy.pj.enp.frt.otn.ren</v>
      </c>
      <c r="B337" s="390" t="str">
        <f>CBAM!$B$5</f>
        <v>egy</v>
      </c>
      <c r="C337" s="390" t="s">
        <v>1275</v>
      </c>
      <c r="D337" s="390" t="s">
        <v>1328</v>
      </c>
      <c r="E337" s="390" t="s">
        <v>330</v>
      </c>
      <c r="F337" s="390" t="s">
        <v>1649</v>
      </c>
      <c r="G337" s="390" t="s">
        <v>1301</v>
      </c>
      <c r="H337" s="390" t="s">
        <v>1670</v>
      </c>
      <c r="I337" s="390" t="s">
        <v>1319</v>
      </c>
      <c r="J337" s="390"/>
      <c r="K337" s="390"/>
      <c r="L337" s="390"/>
      <c r="M337" s="391">
        <f>M318*INDEX(input_data!$L:$L,MATCH(CBAM!$B$5&amp;".in.enp.frt.otn.ren",input_data!$A:$A,0))</f>
        <v>0</v>
      </c>
      <c r="N337" s="391">
        <f>N318*INDEX(input_data!$L:$L,MATCH(CBAM!$B$5&amp;".in.enp.frt.otn.ren",input_data!$A:$A,0))</f>
        <v>0</v>
      </c>
      <c r="O337" s="391">
        <f>O318*INDEX(input_data!$L:$L,MATCH(CBAM!$B$5&amp;".in.enp.frt.otn.ren",input_data!$A:$A,0))</f>
        <v>0</v>
      </c>
      <c r="P337" s="391">
        <f>P318*INDEX(input_data!$L:$L,MATCH(CBAM!$B$5&amp;".in.enp.frt.otn.ren",input_data!$A:$A,0))</f>
        <v>0</v>
      </c>
      <c r="Q337" s="391">
        <f>Q318*INDEX(input_data!$L:$L,MATCH(CBAM!$B$5&amp;".in.enp.frt.otn.ren",input_data!$A:$A,0))</f>
        <v>0</v>
      </c>
      <c r="R337" s="391">
        <f>R318*INDEX(input_data!$L:$L,MATCH(CBAM!$B$5&amp;".in.enp.frt.otn.ren",input_data!$A:$A,0))</f>
        <v>0</v>
      </c>
      <c r="S337" s="391">
        <f>S318*INDEX(input_data!$L:$L,MATCH(CBAM!$B$5&amp;".in.enp.frt.otn.ren",input_data!$A:$A,0))</f>
        <v>0</v>
      </c>
      <c r="T337" s="391">
        <f>T318*INDEX(input_data!$L:$L,MATCH(CBAM!$B$5&amp;".in.enp.frt.otn.ren",input_data!$A:$A,0))</f>
        <v>0</v>
      </c>
      <c r="U337" s="391">
        <f>U318*INDEX(input_data!$L:$L,MATCH(CBAM!$B$5&amp;".in.enp.frt.otn.ren",input_data!$A:$A,0))</f>
        <v>0</v>
      </c>
      <c r="V337" s="391">
        <f>V318*INDEX(input_data!$L:$L,MATCH(CBAM!$B$5&amp;".in.enp.frt.otn.ren",input_data!$A:$A,0))</f>
        <v>0</v>
      </c>
      <c r="W337" s="391">
        <f>W318*INDEX(input_data!$L:$L,MATCH(CBAM!$B$5&amp;".in.enp.frt.otn.ren",input_data!$A:$A,0))</f>
        <v>0</v>
      </c>
      <c r="X337" s="391">
        <f>X318*INDEX(input_data!$L:$L,MATCH(CBAM!$B$5&amp;".in.enp.frt.otn.ren",input_data!$A:$A,0))</f>
        <v>0</v>
      </c>
    </row>
    <row r="338" spans="1:24" ht="15" customHeight="1" x14ac:dyDescent="0.25">
      <c r="A338" s="390" t="str">
        <f>CBAM!$B$5&amp;".pj.ele.frt.otn.elc"</f>
        <v>egy.pj.ele.frt.otn.elc</v>
      </c>
      <c r="B338" s="390" t="str">
        <f>CBAM!$B$5</f>
        <v>egy</v>
      </c>
      <c r="C338" s="390" t="s">
        <v>1275</v>
      </c>
      <c r="D338" s="390" t="s">
        <v>1338</v>
      </c>
      <c r="E338" s="390" t="s">
        <v>330</v>
      </c>
      <c r="F338" s="390" t="s">
        <v>1649</v>
      </c>
      <c r="G338" s="390" t="s">
        <v>1339</v>
      </c>
      <c r="H338" s="390" t="s">
        <v>1671</v>
      </c>
      <c r="I338" s="390" t="s">
        <v>1319</v>
      </c>
      <c r="J338" s="390"/>
      <c r="K338" s="390"/>
      <c r="L338" s="390"/>
      <c r="M338" s="391">
        <f>M318*INDEX(input_data!$L:$L,MATCH(CBAM!$B$5&amp;".in.ele.frt.otn.elc",input_data!$A:$A,0))</f>
        <v>2.4E-2</v>
      </c>
      <c r="N338" s="391">
        <f>N318*INDEX(input_data!$L:$L,MATCH(CBAM!$B$5&amp;".in.ele.frt.otn.elc",input_data!$A:$A,0))</f>
        <v>2.4651166301008966E-2</v>
      </c>
      <c r="O338" s="391">
        <f>O318*INDEX(input_data!$L:$L,MATCH(CBAM!$B$5&amp;".in.ele.frt.otn.elc",input_data!$A:$A,0))</f>
        <v>2.5319999999999999E-2</v>
      </c>
      <c r="P338" s="391">
        <f>P318*INDEX(input_data!$L:$L,MATCH(CBAM!$B$5&amp;".in.ele.frt.otn.elc",input_data!$A:$A,0))</f>
        <v>2.6006980447564453E-2</v>
      </c>
      <c r="Q338" s="391">
        <f>Q318*INDEX(input_data!$L:$L,MATCH(CBAM!$B$5&amp;".in.ele.frt.otn.elc",input_data!$A:$A,0))</f>
        <v>2.67126E-2</v>
      </c>
      <c r="R338" s="391">
        <f>R318*INDEX(input_data!$L:$L,MATCH(CBAM!$B$5&amp;".in.ele.frt.otn.elc",input_data!$A:$A,0))</f>
        <v>2.7437364372180501E-2</v>
      </c>
      <c r="S338" s="391">
        <f>S318*INDEX(input_data!$L:$L,MATCH(CBAM!$B$5&amp;".in.ele.frt.otn.elc",input_data!$A:$A,0))</f>
        <v>2.8181792999999993E-2</v>
      </c>
      <c r="T338" s="391">
        <f>T318*INDEX(input_data!$L:$L,MATCH(CBAM!$B$5&amp;".in.ele.frt.otn.elc",input_data!$A:$A,0))</f>
        <v>2.8946419412650425E-2</v>
      </c>
      <c r="U338" s="391">
        <f>U318*INDEX(input_data!$L:$L,MATCH(CBAM!$B$5&amp;".in.ele.frt.otn.elc",input_data!$A:$A,0))</f>
        <v>2.9731791614999996E-2</v>
      </c>
      <c r="V338" s="391">
        <f>V318*INDEX(input_data!$L:$L,MATCH(CBAM!$B$5&amp;".in.ele.frt.otn.elc",input_data!$A:$A,0))</f>
        <v>3.0538472480346201E-2</v>
      </c>
      <c r="W338" s="391">
        <f>W318*INDEX(input_data!$L:$L,MATCH(CBAM!$B$5&amp;".in.ele.frt.otn.elc",input_data!$A:$A,0))</f>
        <v>3.1367040153824993E-2</v>
      </c>
      <c r="X338" s="391">
        <f>X318*INDEX(input_data!$L:$L,MATCH(CBAM!$B$5&amp;".in.ele.frt.otn.elc",input_data!$A:$A,0))</f>
        <v>3.2218088466765236E-2</v>
      </c>
    </row>
    <row r="339" spans="1:24" ht="15" customHeight="1" x14ac:dyDescent="0.25">
      <c r="A339" s="390" t="str">
        <f>CBAM!$B$5&amp;".em.sfc.frt.otn.---"</f>
        <v>egy.em.sfc.frt.otn.---</v>
      </c>
      <c r="B339" s="390" t="str">
        <f>CBAM!$B$5</f>
        <v>egy</v>
      </c>
      <c r="C339" s="390" t="s">
        <v>1342</v>
      </c>
      <c r="D339" s="390" t="s">
        <v>1343</v>
      </c>
      <c r="E339" s="390" t="s">
        <v>330</v>
      </c>
      <c r="F339" s="390" t="s">
        <v>1649</v>
      </c>
      <c r="G339" s="390" t="s">
        <v>1277</v>
      </c>
      <c r="H339" s="390" t="s">
        <v>1672</v>
      </c>
      <c r="I339" s="390" t="s">
        <v>1345</v>
      </c>
      <c r="J339" s="390"/>
      <c r="K339" s="390"/>
      <c r="L339" s="390"/>
      <c r="M339" s="391">
        <f t="shared" ref="M339:X339" si="37">SUMPRODUCT(M322:M329,M10:M17)/1000</f>
        <v>2.2440000000000002E-2</v>
      </c>
      <c r="N339" s="391">
        <f t="shared" si="37"/>
        <v>2.3048840491443387E-2</v>
      </c>
      <c r="O339" s="391">
        <f t="shared" si="37"/>
        <v>2.3674200000000003E-2</v>
      </c>
      <c r="P339" s="391">
        <f t="shared" si="37"/>
        <v>2.4316526718472765E-2</v>
      </c>
      <c r="Q339" s="391">
        <f t="shared" si="37"/>
        <v>2.4976280999999999E-2</v>
      </c>
      <c r="R339" s="391">
        <f t="shared" si="37"/>
        <v>2.5653935687988766E-2</v>
      </c>
      <c r="S339" s="391">
        <f t="shared" si="37"/>
        <v>2.6349976454999997E-2</v>
      </c>
      <c r="T339" s="391">
        <f t="shared" si="37"/>
        <v>2.706490215082815E-2</v>
      </c>
      <c r="U339" s="391">
        <f t="shared" si="37"/>
        <v>2.7799225160025001E-2</v>
      </c>
      <c r="V339" s="391">
        <f t="shared" si="37"/>
        <v>2.8553471769123699E-2</v>
      </c>
      <c r="W339" s="391">
        <f t="shared" si="37"/>
        <v>2.9328182543826367E-2</v>
      </c>
      <c r="X339" s="391">
        <f t="shared" si="37"/>
        <v>3.0123912716425501E-2</v>
      </c>
    </row>
    <row r="340" spans="1:24" ht="15" customHeight="1" x14ac:dyDescent="0.25">
      <c r="A340" s="390" t="str">
        <f>CBAM!$B$5&amp;".em.sfp.frt.otn.---"</f>
        <v>egy.em.sfp.frt.otn.---</v>
      </c>
      <c r="B340" s="390" t="str">
        <f>CBAM!$B$5</f>
        <v>egy</v>
      </c>
      <c r="C340" s="390" t="s">
        <v>1342</v>
      </c>
      <c r="D340" s="390" t="s">
        <v>1347</v>
      </c>
      <c r="E340" s="390" t="s">
        <v>330</v>
      </c>
      <c r="F340" s="390" t="s">
        <v>1649</v>
      </c>
      <c r="G340" s="390" t="s">
        <v>1277</v>
      </c>
      <c r="H340" s="390" t="s">
        <v>1673</v>
      </c>
      <c r="I340" s="390" t="s">
        <v>1345</v>
      </c>
      <c r="J340" s="390"/>
      <c r="K340" s="390"/>
      <c r="L340" s="390"/>
      <c r="M340" s="391">
        <f t="shared" ref="M340:X340" si="38">SUMPRODUCT(M330:M337,M10:M17)/1000</f>
        <v>0</v>
      </c>
      <c r="N340" s="391">
        <f t="shared" si="38"/>
        <v>0</v>
      </c>
      <c r="O340" s="391">
        <f t="shared" si="38"/>
        <v>0</v>
      </c>
      <c r="P340" s="391">
        <f t="shared" si="38"/>
        <v>0</v>
      </c>
      <c r="Q340" s="391">
        <f t="shared" si="38"/>
        <v>0</v>
      </c>
      <c r="R340" s="391">
        <f t="shared" si="38"/>
        <v>0</v>
      </c>
      <c r="S340" s="391">
        <f t="shared" si="38"/>
        <v>0</v>
      </c>
      <c r="T340" s="391">
        <f t="shared" si="38"/>
        <v>0</v>
      </c>
      <c r="U340" s="391">
        <f t="shared" si="38"/>
        <v>0</v>
      </c>
      <c r="V340" s="391">
        <f t="shared" si="38"/>
        <v>0</v>
      </c>
      <c r="W340" s="391">
        <f t="shared" si="38"/>
        <v>0</v>
      </c>
      <c r="X340" s="391">
        <f t="shared" si="38"/>
        <v>0</v>
      </c>
    </row>
    <row r="341" spans="1:24" ht="15" customHeight="1" x14ac:dyDescent="0.25">
      <c r="A341" s="390" t="str">
        <f>CBAM!$B$5&amp;".em.snp.frt.otn.---"</f>
        <v>egy.em.snp.frt.otn.---</v>
      </c>
      <c r="B341" s="390" t="str">
        <f>CBAM!$B$5</f>
        <v>egy</v>
      </c>
      <c r="C341" s="390" t="s">
        <v>1342</v>
      </c>
      <c r="D341" s="390" t="s">
        <v>1350</v>
      </c>
      <c r="E341" s="390" t="s">
        <v>330</v>
      </c>
      <c r="F341" s="390" t="s">
        <v>1649</v>
      </c>
      <c r="G341" s="390" t="s">
        <v>1277</v>
      </c>
      <c r="H341" s="390" t="s">
        <v>1674</v>
      </c>
      <c r="I341" s="390" t="s">
        <v>1345</v>
      </c>
      <c r="J341" s="390"/>
      <c r="K341" s="390"/>
      <c r="L341" s="390"/>
      <c r="M341" s="391">
        <f>M318*INDEX(input_data!$L:$L,MATCH(CBAM!$B$5&amp;".in.efn.frt.otn.---",input_data!$A:$A,0))</f>
        <v>0</v>
      </c>
      <c r="N341" s="391">
        <f>N318*INDEX(input_data!$L:$L,MATCH(CBAM!$B$5&amp;".in.efn.frt.otn.---",input_data!$A:$A,0))</f>
        <v>0</v>
      </c>
      <c r="O341" s="391">
        <f>O318*INDEX(input_data!$L:$L,MATCH(CBAM!$B$5&amp;".in.efn.frt.otn.---",input_data!$A:$A,0))</f>
        <v>0</v>
      </c>
      <c r="P341" s="391">
        <f>P318*INDEX(input_data!$L:$L,MATCH(CBAM!$B$5&amp;".in.efn.frt.otn.---",input_data!$A:$A,0))</f>
        <v>0</v>
      </c>
      <c r="Q341" s="391">
        <f>Q318*INDEX(input_data!$L:$L,MATCH(CBAM!$B$5&amp;".in.efn.frt.otn.---",input_data!$A:$A,0))</f>
        <v>0</v>
      </c>
      <c r="R341" s="391">
        <f>R318*INDEX(input_data!$L:$L,MATCH(CBAM!$B$5&amp;".in.efn.frt.otn.---",input_data!$A:$A,0))</f>
        <v>0</v>
      </c>
      <c r="S341" s="391">
        <f>S318*INDEX(input_data!$L:$L,MATCH(CBAM!$B$5&amp;".in.efn.frt.otn.---",input_data!$A:$A,0))</f>
        <v>0</v>
      </c>
      <c r="T341" s="391">
        <f>T318*INDEX(input_data!$L:$L,MATCH(CBAM!$B$5&amp;".in.efn.frt.otn.---",input_data!$A:$A,0))</f>
        <v>0</v>
      </c>
      <c r="U341" s="391">
        <f>U318*INDEX(input_data!$L:$L,MATCH(CBAM!$B$5&amp;".in.efn.frt.otn.---",input_data!$A:$A,0))</f>
        <v>0</v>
      </c>
      <c r="V341" s="391">
        <f>V318*INDEX(input_data!$L:$L,MATCH(CBAM!$B$5&amp;".in.efn.frt.otn.---",input_data!$A:$A,0))</f>
        <v>0</v>
      </c>
      <c r="W341" s="391">
        <f>W318*INDEX(input_data!$L:$L,MATCH(CBAM!$B$5&amp;".in.efn.frt.otn.---",input_data!$A:$A,0))</f>
        <v>0</v>
      </c>
      <c r="X341" s="391">
        <f>X318*INDEX(input_data!$L:$L,MATCH(CBAM!$B$5&amp;".in.efn.frt.otn.---",input_data!$A:$A,0))</f>
        <v>0</v>
      </c>
    </row>
    <row r="342" spans="1:24" ht="15" customHeight="1" x14ac:dyDescent="0.25">
      <c r="A342" s="390" t="str">
        <f>CBAM!$B$5&amp;".em.sno.frt.otn.---"</f>
        <v>egy.em.sno.frt.otn.---</v>
      </c>
      <c r="B342" s="390" t="str">
        <f>CBAM!$B$5</f>
        <v>egy</v>
      </c>
      <c r="C342" s="390" t="s">
        <v>1342</v>
      </c>
      <c r="D342" s="390" t="s">
        <v>1353</v>
      </c>
      <c r="E342" s="390" t="s">
        <v>330</v>
      </c>
      <c r="F342" s="390" t="s">
        <v>1649</v>
      </c>
      <c r="G342" s="390" t="s">
        <v>1277</v>
      </c>
      <c r="H342" s="390" t="s">
        <v>1675</v>
      </c>
      <c r="I342" s="390" t="s">
        <v>1355</v>
      </c>
      <c r="J342" s="390"/>
      <c r="K342" s="390"/>
      <c r="L342" s="390"/>
      <c r="M342" s="391">
        <f>M318*INDEX(input_data!$L:$L,MATCH(CBAM!$B$5&amp;".in.efo.frt.otn.---",input_data!$A:$A,0))</f>
        <v>0</v>
      </c>
      <c r="N342" s="391">
        <f>N318*INDEX(input_data!$L:$L,MATCH(CBAM!$B$5&amp;".in.efo.frt.otn.---",input_data!$A:$A,0))</f>
        <v>0</v>
      </c>
      <c r="O342" s="391">
        <f>O318*INDEX(input_data!$L:$L,MATCH(CBAM!$B$5&amp;".in.efo.frt.otn.---",input_data!$A:$A,0))</f>
        <v>0</v>
      </c>
      <c r="P342" s="391">
        <f>P318*INDEX(input_data!$L:$L,MATCH(CBAM!$B$5&amp;".in.efo.frt.otn.---",input_data!$A:$A,0))</f>
        <v>0</v>
      </c>
      <c r="Q342" s="391">
        <f>Q318*INDEX(input_data!$L:$L,MATCH(CBAM!$B$5&amp;".in.efo.frt.otn.---",input_data!$A:$A,0))</f>
        <v>0</v>
      </c>
      <c r="R342" s="391">
        <f>R318*INDEX(input_data!$L:$L,MATCH(CBAM!$B$5&amp;".in.efo.frt.otn.---",input_data!$A:$A,0))</f>
        <v>0</v>
      </c>
      <c r="S342" s="391">
        <f>S318*INDEX(input_data!$L:$L,MATCH(CBAM!$B$5&amp;".in.efo.frt.otn.---",input_data!$A:$A,0))</f>
        <v>0</v>
      </c>
      <c r="T342" s="391">
        <f>T318*INDEX(input_data!$L:$L,MATCH(CBAM!$B$5&amp;".in.efo.frt.otn.---",input_data!$A:$A,0))</f>
        <v>0</v>
      </c>
      <c r="U342" s="391">
        <f>U318*INDEX(input_data!$L:$L,MATCH(CBAM!$B$5&amp;".in.efo.frt.otn.---",input_data!$A:$A,0))</f>
        <v>0</v>
      </c>
      <c r="V342" s="391">
        <f>V318*INDEX(input_data!$L:$L,MATCH(CBAM!$B$5&amp;".in.efo.frt.otn.---",input_data!$A:$A,0))</f>
        <v>0</v>
      </c>
      <c r="W342" s="391">
        <f>W318*INDEX(input_data!$L:$L,MATCH(CBAM!$B$5&amp;".in.efo.frt.otn.---",input_data!$A:$A,0))</f>
        <v>0</v>
      </c>
      <c r="X342" s="391">
        <f>X318*INDEX(input_data!$L:$L,MATCH(CBAM!$B$5&amp;".in.efo.frt.otn.---",input_data!$A:$A,0))</f>
        <v>0</v>
      </c>
    </row>
    <row r="343" spans="1:24" ht="15" customHeight="1" x14ac:dyDescent="0.25">
      <c r="A343" s="390" t="str">
        <f>CBAM!$B$5&amp;".em.s2e.frt.otn.elc"</f>
        <v>egy.em.s2e.frt.otn.elc</v>
      </c>
      <c r="B343" s="390" t="str">
        <f>CBAM!$B$5</f>
        <v>egy</v>
      </c>
      <c r="C343" s="390" t="s">
        <v>1342</v>
      </c>
      <c r="D343" s="390" t="s">
        <v>1357</v>
      </c>
      <c r="E343" s="390" t="s">
        <v>330</v>
      </c>
      <c r="F343" s="390" t="s">
        <v>1649</v>
      </c>
      <c r="G343" s="390" t="s">
        <v>1339</v>
      </c>
      <c r="H343" s="390" t="s">
        <v>1676</v>
      </c>
      <c r="I343" s="390" t="s">
        <v>1345</v>
      </c>
      <c r="J343" s="390"/>
      <c r="K343" s="390"/>
      <c r="L343" s="390"/>
      <c r="M343" s="391">
        <f>M338*INDEX(input_data!$M:$X,MATCH(CBAM!$B$5&amp;".in.gef.---.---.---",input_data!$A:$A,0),COLUMNS($M:M))/3.6</f>
        <v>3.4000000000000002E-3</v>
      </c>
      <c r="N343" s="391">
        <f>N338*INDEX(input_data!$M:$X,MATCH(CBAM!$B$5&amp;".in.gef.---.---.---",input_data!$A:$A,0),COLUMNS($M:N))/3.6</f>
        <v>3.4237730973623562E-3</v>
      </c>
      <c r="O343" s="391">
        <f>O338*INDEX(input_data!$M:$X,MATCH(CBAM!$B$5&amp;".in.gef.---.---.---",input_data!$A:$A,0),COLUMNS($M:O))/3.6</f>
        <v>3.4463333333333329E-3</v>
      </c>
      <c r="P343" s="391">
        <f>P338*INDEX(input_data!$M:$X,MATCH(CBAM!$B$5&amp;".in.gef.---.---.---",input_data!$A:$A,0),COLUMNS($M:P))/3.6</f>
        <v>3.4675973930085933E-3</v>
      </c>
      <c r="Q343" s="391">
        <f>Q338*INDEX(input_data!$M:$X,MATCH(CBAM!$B$5&amp;".in.gef.---.---.---",input_data!$A:$A,0),COLUMNS($M:Q))/3.6</f>
        <v>3.4874783333333332E-3</v>
      </c>
      <c r="R343" s="391">
        <f>R338*INDEX(input_data!$M:$X,MATCH(CBAM!$B$5&amp;".in.gef.---.---.---",input_data!$A:$A,0),COLUMNS($M:R))/3.6</f>
        <v>3.5058854475563976E-3</v>
      </c>
      <c r="S343" s="391">
        <f>S338*INDEX(input_data!$M:$X,MATCH(CBAM!$B$5&amp;".in.gef.---.---.---",input_data!$A:$A,0),COLUMNS($M:S))/3.6</f>
        <v>3.5227241249999991E-3</v>
      </c>
      <c r="T343" s="391">
        <f>T338*INDEX(input_data!$M:$X,MATCH(CBAM!$B$5&amp;".in.gef.---.---.---",input_data!$A:$A,0),COLUMNS($M:T))/3.6</f>
        <v>3.5378957059906077E-3</v>
      </c>
      <c r="U343" s="391">
        <f>U338*INDEX(input_data!$M:$X,MATCH(CBAM!$B$5&amp;".in.gef.---.---.---",input_data!$A:$A,0),COLUMNS($M:U))/3.6</f>
        <v>3.5512973317916663E-3</v>
      </c>
      <c r="V343" s="391">
        <f>V338*INDEX(input_data!$M:$X,MATCH(CBAM!$B$5&amp;".in.gef.---.---.---",input_data!$A:$A,0),COLUMNS($M:V))/3.6</f>
        <v>3.5628217893737229E-3</v>
      </c>
      <c r="W343" s="391">
        <f>W338*INDEX(input_data!$M:$X,MATCH(CBAM!$B$5&amp;".in.gef.---.---.---",input_data!$A:$A,0),COLUMNS($M:W))/3.6</f>
        <v>3.5723573508522903E-3</v>
      </c>
      <c r="X343" s="391">
        <f>X338*INDEX(input_data!$M:$X,MATCH(CBAM!$B$5&amp;".in.gef.---.---.---",input_data!$A:$A,0),COLUMNS($M:X))/3.6</f>
        <v>3.5797876074183596E-3</v>
      </c>
    </row>
    <row r="344" spans="1:24" ht="15" customHeight="1" x14ac:dyDescent="0.25">
      <c r="A344" s="390" t="str">
        <f>CBAM!$B$5&amp;".em.nh3.frt.otn.---"</f>
        <v>egy.em.nh3.frt.otn.---</v>
      </c>
      <c r="B344" s="390" t="str">
        <f>CBAM!$B$5</f>
        <v>egy</v>
      </c>
      <c r="C344" s="390" t="s">
        <v>1342</v>
      </c>
      <c r="D344" s="390" t="s">
        <v>1557</v>
      </c>
      <c r="E344" s="390" t="s">
        <v>330</v>
      </c>
      <c r="F344" s="390" t="s">
        <v>1649</v>
      </c>
      <c r="G344" s="390" t="s">
        <v>1277</v>
      </c>
      <c r="H344" s="390" t="s">
        <v>1677</v>
      </c>
      <c r="I344" s="390" t="s">
        <v>1355</v>
      </c>
      <c r="J344" s="390"/>
      <c r="K344" s="390"/>
      <c r="L344" s="390"/>
      <c r="M344" s="391">
        <f>INDEX(input_data!$L:$L,MATCH("all.in.nh3.frt.otn.---",input_data!$A:$A,0))*IFERROR((M153+M154+M155+M156)/M132,0)*M318</f>
        <v>0</v>
      </c>
      <c r="N344" s="391">
        <f>INDEX(input_data!$L:$L,MATCH("all.in.nh3.frt.otn.---",input_data!$A:$A,0))*IFERROR((N153+N154+N155+N156)/N132,0)*N318</f>
        <v>0</v>
      </c>
      <c r="O344" s="391">
        <f>INDEX(input_data!$L:$L,MATCH("all.in.nh3.frt.otn.---",input_data!$A:$A,0))*IFERROR((O153+O154+O155+O156)/O132,0)*O318</f>
        <v>0</v>
      </c>
      <c r="P344" s="391">
        <f>INDEX(input_data!$L:$L,MATCH("all.in.nh3.frt.otn.---",input_data!$A:$A,0))*IFERROR((P153+P154+P155+P156)/P132,0)*P318</f>
        <v>0</v>
      </c>
      <c r="Q344" s="391">
        <f>INDEX(input_data!$L:$L,MATCH("all.in.nh3.frt.otn.---",input_data!$A:$A,0))*IFERROR((Q153+Q154+Q155+Q156)/Q132,0)*Q318</f>
        <v>0</v>
      </c>
      <c r="R344" s="391">
        <f>INDEX(input_data!$L:$L,MATCH("all.in.nh3.frt.otn.---",input_data!$A:$A,0))*IFERROR((R153+R154+R155+R156)/R132,0)*R318</f>
        <v>0</v>
      </c>
      <c r="S344" s="391">
        <f>INDEX(input_data!$L:$L,MATCH("all.in.nh3.frt.otn.---",input_data!$A:$A,0))*IFERROR((S153+S154+S155+S156)/S132,0)*S318</f>
        <v>0</v>
      </c>
      <c r="T344" s="391">
        <f>INDEX(input_data!$L:$L,MATCH("all.in.nh3.frt.otn.---",input_data!$A:$A,0))*IFERROR((T153+T154+T155+T156)/T132,0)*T318</f>
        <v>0</v>
      </c>
      <c r="U344" s="391">
        <f>INDEX(input_data!$L:$L,MATCH("all.in.nh3.frt.otn.---",input_data!$A:$A,0))*IFERROR((U153+U154+U155+U156)/U132,0)*U318</f>
        <v>0</v>
      </c>
      <c r="V344" s="391">
        <f>INDEX(input_data!$L:$L,MATCH("all.in.nh3.frt.otn.---",input_data!$A:$A,0))*IFERROR((V153+V154+V155+V156)/V132,0)*V318</f>
        <v>0</v>
      </c>
      <c r="W344" s="391">
        <f>INDEX(input_data!$L:$L,MATCH("all.in.nh3.frt.otn.---",input_data!$A:$A,0))*IFERROR((W153+W154+W155+W156)/W132,0)*W318</f>
        <v>0</v>
      </c>
      <c r="X344" s="391">
        <f>INDEX(input_data!$L:$L,MATCH("all.in.nh3.frt.otn.---",input_data!$A:$A,0))*IFERROR((X153+X154+X155+X156)/X132,0)*X318</f>
        <v>0</v>
      </c>
    </row>
    <row r="345" spans="1:24" ht="15" customHeight="1" x14ac:dyDescent="0.25">
      <c r="A345" s="390" t="str">
        <f>CBAM!$B$5&amp;".em.tot.frt.otn.---"</f>
        <v>egy.em.tot.frt.otn.---</v>
      </c>
      <c r="B345" s="390" t="str">
        <f>CBAM!$B$5</f>
        <v>egy</v>
      </c>
      <c r="C345" s="390" t="s">
        <v>1342</v>
      </c>
      <c r="D345" s="390" t="s">
        <v>1560</v>
      </c>
      <c r="E345" s="390" t="s">
        <v>330</v>
      </c>
      <c r="F345" s="390" t="s">
        <v>1649</v>
      </c>
      <c r="G345" s="390" t="s">
        <v>1277</v>
      </c>
      <c r="H345" s="390" t="s">
        <v>1678</v>
      </c>
      <c r="I345" s="390" t="s">
        <v>1355</v>
      </c>
      <c r="J345" s="390"/>
      <c r="K345" s="390"/>
      <c r="L345" s="390"/>
      <c r="M345" s="392">
        <f t="shared" ref="M345:X345" si="39">M339+M340+M341+M342+M343+M344</f>
        <v>2.5840000000000002E-2</v>
      </c>
      <c r="N345" s="392">
        <f t="shared" si="39"/>
        <v>2.6472613588805743E-2</v>
      </c>
      <c r="O345" s="392">
        <f t="shared" si="39"/>
        <v>2.7120533333333335E-2</v>
      </c>
      <c r="P345" s="392">
        <f t="shared" si="39"/>
        <v>2.7784124111481359E-2</v>
      </c>
      <c r="Q345" s="392">
        <f t="shared" si="39"/>
        <v>2.8463759333333331E-2</v>
      </c>
      <c r="R345" s="392">
        <f t="shared" si="39"/>
        <v>2.9159821135545164E-2</v>
      </c>
      <c r="S345" s="392">
        <f t="shared" si="39"/>
        <v>2.9872700579999995E-2</v>
      </c>
      <c r="T345" s="392">
        <f t="shared" si="39"/>
        <v>3.0602797856818759E-2</v>
      </c>
      <c r="U345" s="392">
        <f t="shared" si="39"/>
        <v>3.1350522491816669E-2</v>
      </c>
      <c r="V345" s="392">
        <f t="shared" si="39"/>
        <v>3.2116293558497419E-2</v>
      </c>
      <c r="W345" s="392">
        <f t="shared" si="39"/>
        <v>3.2900539894678657E-2</v>
      </c>
      <c r="X345" s="392">
        <f t="shared" si="39"/>
        <v>3.3703700323843858E-2</v>
      </c>
    </row>
    <row r="346" spans="1:24" ht="15" customHeight="1" x14ac:dyDescent="0.25">
      <c r="A346" s="390" t="str">
        <f>CBAM!$B$5&amp;".cb.int.frt.otn.---"</f>
        <v>egy.cb.int.frt.otn.---</v>
      </c>
      <c r="B346" s="390" t="str">
        <f>CBAM!$B$5</f>
        <v>egy</v>
      </c>
      <c r="C346" s="390" t="s">
        <v>1563</v>
      </c>
      <c r="D346" s="390" t="s">
        <v>1564</v>
      </c>
      <c r="E346" s="390" t="s">
        <v>330</v>
      </c>
      <c r="F346" s="390" t="s">
        <v>1649</v>
      </c>
      <c r="G346" s="390" t="s">
        <v>1277</v>
      </c>
      <c r="H346" s="390" t="s">
        <v>1679</v>
      </c>
      <c r="I346" s="390" t="s">
        <v>1680</v>
      </c>
      <c r="J346" s="390"/>
      <c r="K346" s="390"/>
      <c r="L346" s="390"/>
      <c r="M346" s="393">
        <f t="shared" ref="M346:X346" si="40">IF(M318&gt;0,IFERROR(M345/M318,0),M368)</f>
        <v>0.32300000000000001</v>
      </c>
      <c r="N346" s="393">
        <f t="shared" si="40"/>
        <v>0.32216666666666671</v>
      </c>
      <c r="O346" s="393">
        <f t="shared" si="40"/>
        <v>0.32133333333333336</v>
      </c>
      <c r="P346" s="393">
        <f t="shared" si="40"/>
        <v>0.32050000000000001</v>
      </c>
      <c r="Q346" s="393">
        <f t="shared" si="40"/>
        <v>0.31966666666666665</v>
      </c>
      <c r="R346" s="393">
        <f t="shared" si="40"/>
        <v>0.3188333333333333</v>
      </c>
      <c r="S346" s="393">
        <f t="shared" si="40"/>
        <v>0.318</v>
      </c>
      <c r="T346" s="393">
        <f t="shared" si="40"/>
        <v>0.31716666666666671</v>
      </c>
      <c r="U346" s="393">
        <f t="shared" si="40"/>
        <v>0.31633333333333341</v>
      </c>
      <c r="V346" s="393">
        <f t="shared" si="40"/>
        <v>0.31549999999999995</v>
      </c>
      <c r="W346" s="393">
        <f t="shared" si="40"/>
        <v>0.31466666666666665</v>
      </c>
      <c r="X346" s="393">
        <f t="shared" si="40"/>
        <v>0.3138333333333333</v>
      </c>
    </row>
    <row r="347" spans="1:24" ht="15" customHeight="1" x14ac:dyDescent="0.25">
      <c r="A347" s="390" t="str">
        <f>CBAM!$B$5&amp;".cb.mrv.frt.otn.---"</f>
        <v>egy.cb.mrv.frt.otn.---</v>
      </c>
      <c r="B347" s="390" t="str">
        <f>CBAM!$B$5</f>
        <v>egy</v>
      </c>
      <c r="C347" s="390" t="s">
        <v>1563</v>
      </c>
      <c r="D347" s="390" t="s">
        <v>1568</v>
      </c>
      <c r="E347" s="390" t="s">
        <v>330</v>
      </c>
      <c r="F347" s="390" t="s">
        <v>1649</v>
      </c>
      <c r="G347" s="390" t="s">
        <v>1277</v>
      </c>
      <c r="H347" s="390" t="s">
        <v>1681</v>
      </c>
      <c r="I347" s="390" t="s">
        <v>1680</v>
      </c>
      <c r="J347" s="390"/>
      <c r="K347" s="390"/>
      <c r="L347" s="390"/>
      <c r="M347" s="394">
        <f>IF(M318&gt;0,IFERROR(IF(INDEX(input_data!$L:$L,MATCH("all.in.mrv.frt.otn.---",input_data!$A:$A,0))=1,((M345-M343*(1-INDEX(input_data!$L:$L,MATCH("all.in.cs2.frt.otn.---",input_data!$A:$A,0))))/M318),INDEX(input_data!$L:$L,MATCH("all.in.dfv.frt.otn.---",input_data!$A:$A,0))),0),M369)</f>
        <v>0.32300000000000001</v>
      </c>
      <c r="N347" s="394">
        <f>IF(N318&gt;0,IFERROR(IF(INDEX(input_data!$L:$L,MATCH("all.in.mrv.frt.otn.---",input_data!$A:$A,0))=1,((N345-N343*(1-INDEX(input_data!$L:$L,MATCH("all.in.cs2.frt.otn.---",input_data!$A:$A,0))))/N318),INDEX(input_data!$L:$L,MATCH("all.in.dfv.frt.otn.---",input_data!$A:$A,0))),0),N369)</f>
        <v>0.32216666666666671</v>
      </c>
      <c r="O347" s="394">
        <f>IF(O318&gt;0,IFERROR(IF(INDEX(input_data!$L:$L,MATCH("all.in.mrv.frt.otn.---",input_data!$A:$A,0))=1,((O345-O343*(1-INDEX(input_data!$L:$L,MATCH("all.in.cs2.frt.otn.---",input_data!$A:$A,0))))/O318),INDEX(input_data!$L:$L,MATCH("all.in.dfv.frt.otn.---",input_data!$A:$A,0))),0),O369)</f>
        <v>0.32133333333333336</v>
      </c>
      <c r="P347" s="394">
        <f>IF(P318&gt;0,IFERROR(IF(INDEX(input_data!$L:$L,MATCH("all.in.mrv.frt.otn.---",input_data!$A:$A,0))=1,((P345-P343*(1-INDEX(input_data!$L:$L,MATCH("all.in.cs2.frt.otn.---",input_data!$A:$A,0))))/P318),INDEX(input_data!$L:$L,MATCH("all.in.dfv.frt.otn.---",input_data!$A:$A,0))),0),P369)</f>
        <v>0.32050000000000001</v>
      </c>
      <c r="Q347" s="394">
        <f>IF(Q318&gt;0,IFERROR(IF(INDEX(input_data!$L:$L,MATCH("all.in.mrv.frt.otn.---",input_data!$A:$A,0))=1,((Q345-Q343*(1-INDEX(input_data!$L:$L,MATCH("all.in.cs2.frt.otn.---",input_data!$A:$A,0))))/Q318),INDEX(input_data!$L:$L,MATCH("all.in.dfv.frt.otn.---",input_data!$A:$A,0))),0),Q369)</f>
        <v>0.31966666666666665</v>
      </c>
      <c r="R347" s="394">
        <f>IF(R318&gt;0,IFERROR(IF(INDEX(input_data!$L:$L,MATCH("all.in.mrv.frt.otn.---",input_data!$A:$A,0))=1,((R345-R343*(1-INDEX(input_data!$L:$L,MATCH("all.in.cs2.frt.otn.---",input_data!$A:$A,0))))/R318),INDEX(input_data!$L:$L,MATCH("all.in.dfv.frt.otn.---",input_data!$A:$A,0))),0),R369)</f>
        <v>0.3188333333333333</v>
      </c>
      <c r="S347" s="394">
        <f>IF(S318&gt;0,IFERROR(IF(INDEX(input_data!$L:$L,MATCH("all.in.mrv.frt.otn.---",input_data!$A:$A,0))=1,((S345-S343*(1-INDEX(input_data!$L:$L,MATCH("all.in.cs2.frt.otn.---",input_data!$A:$A,0))))/S318),INDEX(input_data!$L:$L,MATCH("all.in.dfv.frt.otn.---",input_data!$A:$A,0))),0),S369)</f>
        <v>0.318</v>
      </c>
      <c r="T347" s="394">
        <f>IF(T318&gt;0,IFERROR(IF(INDEX(input_data!$L:$L,MATCH("all.in.mrv.frt.otn.---",input_data!$A:$A,0))=1,((T345-T343*(1-INDEX(input_data!$L:$L,MATCH("all.in.cs2.frt.otn.---",input_data!$A:$A,0))))/T318),INDEX(input_data!$L:$L,MATCH("all.in.dfv.frt.otn.---",input_data!$A:$A,0))),0),T369)</f>
        <v>0.31716666666666671</v>
      </c>
      <c r="U347" s="394">
        <f>IF(U318&gt;0,IFERROR(IF(INDEX(input_data!$L:$L,MATCH("all.in.mrv.frt.otn.---",input_data!$A:$A,0))=1,((U345-U343*(1-INDEX(input_data!$L:$L,MATCH("all.in.cs2.frt.otn.---",input_data!$A:$A,0))))/U318),INDEX(input_data!$L:$L,MATCH("all.in.dfv.frt.otn.---",input_data!$A:$A,0))),0),U369)</f>
        <v>0.31633333333333341</v>
      </c>
      <c r="V347" s="394">
        <f>IF(V318&gt;0,IFERROR(IF(INDEX(input_data!$L:$L,MATCH("all.in.mrv.frt.otn.---",input_data!$A:$A,0))=1,((V345-V343*(1-INDEX(input_data!$L:$L,MATCH("all.in.cs2.frt.otn.---",input_data!$A:$A,0))))/V318),INDEX(input_data!$L:$L,MATCH("all.in.dfv.frt.otn.---",input_data!$A:$A,0))),0),V369)</f>
        <v>0.31549999999999995</v>
      </c>
      <c r="W347" s="394">
        <f>IF(W318&gt;0,IFERROR(IF(INDEX(input_data!$L:$L,MATCH("all.in.mrv.frt.otn.---",input_data!$A:$A,0))=1,((W345-W343*(1-INDEX(input_data!$L:$L,MATCH("all.in.cs2.frt.otn.---",input_data!$A:$A,0))))/W318),INDEX(input_data!$L:$L,MATCH("all.in.dfv.frt.otn.---",input_data!$A:$A,0))),0),W369)</f>
        <v>0.31466666666666665</v>
      </c>
      <c r="X347" s="394">
        <f>IF(X318&gt;0,IFERROR(IF(INDEX(input_data!$L:$L,MATCH("all.in.mrv.frt.otn.---",input_data!$A:$A,0))=1,((X345-X343*(1-INDEX(input_data!$L:$L,MATCH("all.in.cs2.frt.otn.---",input_data!$A:$A,0))))/X318),INDEX(input_data!$L:$L,MATCH("all.in.dfv.frt.otn.---",input_data!$A:$A,0))),0),X369)</f>
        <v>0.3138333333333333</v>
      </c>
    </row>
    <row r="348" spans="1:24" ht="15" customHeight="1" x14ac:dyDescent="0.25">
      <c r="A348" s="390" t="str">
        <f>CBAM!$B$5&amp;".cb.obl.frt.otn.---"</f>
        <v>egy.cb.obl.frt.otn.---</v>
      </c>
      <c r="B348" s="390" t="str">
        <f>CBAM!$B$5</f>
        <v>egy</v>
      </c>
      <c r="C348" s="390" t="s">
        <v>1563</v>
      </c>
      <c r="D348" s="390" t="s">
        <v>1571</v>
      </c>
      <c r="E348" s="390" t="s">
        <v>330</v>
      </c>
      <c r="F348" s="390" t="s">
        <v>1649</v>
      </c>
      <c r="G348" s="390" t="s">
        <v>1277</v>
      </c>
      <c r="H348" s="390" t="s">
        <v>1682</v>
      </c>
      <c r="I348" s="390" t="s">
        <v>1683</v>
      </c>
      <c r="J348" s="390"/>
      <c r="K348" s="390"/>
      <c r="L348" s="390"/>
      <c r="M348" s="395">
        <f>MAX(M347-INDEX(input_data!$L:$L,MATCH("all.in.bnk.frt.otn.---",input_data!$A:$A,0))*(1-INDEX(input_data!$M:$X,MATCH("all.in.cbf.---.---.---",input_data!$A:$A,0),1)),0)*INDEX(input_data!$M:$X,MATCH("all.in.ets.---.---.---",input_data!$A:$A,0),1)*INDEX(input_data!$M:$X,MATCH("all.in.act.---.---.---",input_data!$A:$A,0),1)*INDEX(input_data!$M:$X,MATCH("all.in.fxr.---.---.---",input_data!$A:$A,0),1)</f>
        <v>0</v>
      </c>
      <c r="N348" s="395">
        <f>MAX(N347-INDEX(input_data!$L:$L,MATCH("all.in.bnk.frt.otn.---",input_data!$A:$A,0))*(1-INDEX(input_data!$M:$X,MATCH("all.in.cbf.---.---.---",input_data!$A:$A,0),2)),0)*INDEX(input_data!$M:$X,MATCH("all.in.ets.---.---.---",input_data!$A:$A,0),2)*INDEX(input_data!$M:$X,MATCH("all.in.act.---.---.---",input_data!$A:$A,0),2)*INDEX(input_data!$M:$X,MATCH("all.in.fxr.---.---.---",input_data!$A:$A,0),2)</f>
        <v>0</v>
      </c>
      <c r="O348" s="395">
        <f>MAX(O347-INDEX(input_data!$L:$L,MATCH("all.in.bnk.frt.otn.---",input_data!$A:$A,0))*(1-INDEX(input_data!$M:$X,MATCH("all.in.cbf.---.---.---",input_data!$A:$A,0),3)),0)*INDEX(input_data!$M:$X,MATCH("all.in.ets.---.---.---",input_data!$A:$A,0),3)*INDEX(input_data!$M:$X,MATCH("all.in.act.---.---.---",input_data!$A:$A,0),3)*INDEX(input_data!$M:$X,MATCH("all.in.fxr.---.---.---",input_data!$A:$A,0),3)</f>
        <v>0</v>
      </c>
      <c r="P348" s="395">
        <f>MAX(P347-INDEX(input_data!$L:$L,MATCH("all.in.bnk.frt.otn.---",input_data!$A:$A,0))*(1-INDEX(input_data!$M:$X,MATCH("all.in.cbf.---.---.---",input_data!$A:$A,0),4)),0)*INDEX(input_data!$M:$X,MATCH("all.in.ets.---.---.---",input_data!$A:$A,0),4)*INDEX(input_data!$M:$X,MATCH("all.in.act.---.---.---",input_data!$A:$A,0),4)*INDEX(input_data!$M:$X,MATCH("all.in.fxr.---.---.---",input_data!$A:$A,0),4)</f>
        <v>0</v>
      </c>
      <c r="Q348" s="395">
        <f>MAX(Q347-INDEX(input_data!$L:$L,MATCH("all.in.bnk.frt.otn.---",input_data!$A:$A,0))*(1-INDEX(input_data!$M:$X,MATCH("all.in.cbf.---.---.---",input_data!$A:$A,0),5)),0)*INDEX(input_data!$M:$X,MATCH("all.in.ets.---.---.---",input_data!$A:$A,0),5)*INDEX(input_data!$M:$X,MATCH("all.in.act.---.---.---",input_data!$A:$A,0),5)*INDEX(input_data!$M:$X,MATCH("all.in.fxr.---.---.---",input_data!$A:$A,0),5)</f>
        <v>0</v>
      </c>
      <c r="R348" s="395">
        <f>MAX(R347-INDEX(input_data!$L:$L,MATCH("all.in.bnk.frt.otn.---",input_data!$A:$A,0))*(1-INDEX(input_data!$M:$X,MATCH("all.in.cbf.---.---.---",input_data!$A:$A,0),6)),0)*INDEX(input_data!$M:$X,MATCH("all.in.ets.---.---.---",input_data!$A:$A,0),6)*INDEX(input_data!$M:$X,MATCH("all.in.act.---.---.---",input_data!$A:$A,0),6)*INDEX(input_data!$M:$X,MATCH("all.in.fxr.---.---.---",input_data!$A:$A,0),6)</f>
        <v>0</v>
      </c>
      <c r="S348" s="395">
        <f>MAX(S347-INDEX(input_data!$L:$L,MATCH("all.in.bnk.frt.otn.---",input_data!$A:$A,0))*(1-INDEX(input_data!$M:$X,MATCH("all.in.cbf.---.---.---",input_data!$A:$A,0),7)),0)*INDEX(input_data!$M:$X,MATCH("all.in.ets.---.---.---",input_data!$A:$A,0),7)*INDEX(input_data!$M:$X,MATCH("all.in.act.---.---.---",input_data!$A:$A,0),7)*INDEX(input_data!$M:$X,MATCH("all.in.fxr.---.---.---",input_data!$A:$A,0),7)</f>
        <v>0</v>
      </c>
      <c r="T348" s="395">
        <f>MAX(T347-INDEX(input_data!$L:$L,MATCH("all.in.bnk.frt.otn.---",input_data!$A:$A,0))*(1-INDEX(input_data!$M:$X,MATCH("all.in.cbf.---.---.---",input_data!$A:$A,0),8)),0)*INDEX(input_data!$M:$X,MATCH("all.in.ets.---.---.---",input_data!$A:$A,0),8)*INDEX(input_data!$M:$X,MATCH("all.in.act.---.---.---",input_data!$A:$A,0),8)*INDEX(input_data!$M:$X,MATCH("all.in.fxr.---.---.---",input_data!$A:$A,0),8)</f>
        <v>0</v>
      </c>
      <c r="U348" s="395">
        <f>MAX(U347-INDEX(input_data!$L:$L,MATCH("all.in.bnk.frt.otn.---",input_data!$A:$A,0))*(1-INDEX(input_data!$M:$X,MATCH("all.in.cbf.---.---.---",input_data!$A:$A,0),9)),0)*INDEX(input_data!$M:$X,MATCH("all.in.ets.---.---.---",input_data!$A:$A,0),9)*INDEX(input_data!$M:$X,MATCH("all.in.act.---.---.---",input_data!$A:$A,0),9)*INDEX(input_data!$M:$X,MATCH("all.in.fxr.---.---.---",input_data!$A:$A,0),9)</f>
        <v>0</v>
      </c>
      <c r="V348" s="395">
        <f>MAX(V347-INDEX(input_data!$L:$L,MATCH("all.in.bnk.frt.otn.---",input_data!$A:$A,0))*(1-INDEX(input_data!$M:$X,MATCH("all.in.cbf.---.---.---",input_data!$A:$A,0),10)),0)*INDEX(input_data!$M:$X,MATCH("all.in.ets.---.---.---",input_data!$A:$A,0),10)*INDEX(input_data!$M:$X,MATCH("all.in.act.---.---.---",input_data!$A:$A,0),10)*INDEX(input_data!$M:$X,MATCH("all.in.fxr.---.---.---",input_data!$A:$A,0),10)</f>
        <v>0</v>
      </c>
      <c r="W348" s="395">
        <f>MAX(W347-INDEX(input_data!$L:$L,MATCH("all.in.bnk.frt.otn.---",input_data!$A:$A,0))*(1-INDEX(input_data!$M:$X,MATCH("all.in.cbf.---.---.---",input_data!$A:$A,0),11)),0)*INDEX(input_data!$M:$X,MATCH("all.in.ets.---.---.---",input_data!$A:$A,0),11)*INDEX(input_data!$M:$X,MATCH("all.in.act.---.---.---",input_data!$A:$A,0),11)*INDEX(input_data!$M:$X,MATCH("all.in.fxr.---.---.---",input_data!$A:$A,0),11)</f>
        <v>46.728000000000002</v>
      </c>
      <c r="X348" s="395">
        <f>MAX(X347-INDEX(input_data!$L:$L,MATCH("all.in.bnk.frt.otn.---",input_data!$A:$A,0))*(1-INDEX(input_data!$M:$X,MATCH("all.in.cbf.---.---.---",input_data!$A:$A,0),12)),0)*INDEX(input_data!$M:$X,MATCH("all.in.ets.---.---.---",input_data!$A:$A,0),12)*INDEX(input_data!$M:$X,MATCH("all.in.act.---.---.---",input_data!$A:$A,0),12)*INDEX(input_data!$M:$X,MATCH("all.in.fxr.---.---.---",input_data!$A:$A,0),12)</f>
        <v>48.330333333333328</v>
      </c>
    </row>
    <row r="349" spans="1:24" ht="19.5" customHeight="1" x14ac:dyDescent="0.25">
      <c r="A349" s="396" t="s">
        <v>1684</v>
      </c>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row>
    <row r="350" spans="1:24" ht="15.75" customHeight="1" x14ac:dyDescent="0.25">
      <c r="A350" s="398" t="str">
        <f>CBAM!$B$5&amp;".ief.tot.stl.drg.---"</f>
        <v>egy.ief.tot.stl.drg.---</v>
      </c>
      <c r="H350" s="398" t="s">
        <v>1685</v>
      </c>
      <c r="M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N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O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P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Q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R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S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T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U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V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W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c r="X350" s="399">
        <f>(INDEX(input_data!$L:$L,MATCH(CBAM!$B$5&amp;".in.enc.stl.drg.coa",input_data!$A:$A,0))*INDEX(calculations!$M:$X,10,1)+INDEX(input_data!$L:$L,MATCH(CBAM!$B$5&amp;".in.enc.stl.drg.nga",input_data!$A:$A,0))*INDEX(calculations!$M:$X,11,1)+INDEX(input_data!$L:$L,MATCH(CBAM!$B$5&amp;".in.enc.stl.drg.gso",input_data!$A:$A,0))*INDEX(calculations!$M:$X,12,1)+INDEX(input_data!$L:$L,MATCH(CBAM!$B$5&amp;".in.enc.stl.drg.die",input_data!$A:$A,0))*INDEX(calculations!$M:$X,13,1)+INDEX(input_data!$L:$L,MATCH(CBAM!$B$5&amp;".in.enc.stl.drg.ker",input_data!$A:$A,0))*INDEX(calculations!$M:$X,14,1)+INDEX(input_data!$L:$L,MATCH(CBAM!$B$5&amp;".in.enc.stl.drg.lpg",input_data!$A:$A,0))*INDEX(calculations!$M:$X,15,1)+INDEX(input_data!$L:$L,MATCH(CBAM!$B$5&amp;".in.enc.stl.drg.bio",input_data!$A:$A,0))*INDEX(calculations!$M:$X,16,1)+INDEX(input_data!$L:$L,MATCH(CBAM!$B$5&amp;".in.enc.stl.drg.ren",input_data!$A:$A,0))*INDEX(calculations!$M:$X,17,1))/1000+(INDEX(input_data!$L:$L,MATCH(CBAM!$B$5&amp;".in.enp.stl.drg.coa",input_data!$A:$A,0))*INDEX(calculations!$M:$X,10,1)+INDEX(input_data!$L:$L,MATCH(CBAM!$B$5&amp;".in.enp.stl.drg.nga",input_data!$A:$A,0))*INDEX(calculations!$M:$X,11,1)+INDEX(input_data!$L:$L,MATCH(CBAM!$B$5&amp;".in.enp.stl.drg.gso",input_data!$A:$A,0))*INDEX(calculations!$M:$X,12,1)+INDEX(input_data!$L:$L,MATCH(CBAM!$B$5&amp;".in.enp.stl.drg.die",input_data!$A:$A,0))*INDEX(calculations!$M:$X,13,1)+INDEX(input_data!$L:$L,MATCH(CBAM!$B$5&amp;".in.enp.stl.drg.ker",input_data!$A:$A,0))*INDEX(calculations!$M:$X,14,1)+INDEX(input_data!$L:$L,MATCH(CBAM!$B$5&amp;".in.enp.stl.drg.lpg",input_data!$A:$A,0))*INDEX(calculations!$M:$X,15,1)+INDEX(input_data!$L:$L,MATCH(CBAM!$B$5&amp;".in.enp.stl.drg.bio",input_data!$A:$A,0))*INDEX(calculations!$M:$X,16,1)+INDEX(input_data!$L:$L,MATCH(CBAM!$B$5&amp;".in.enp.stl.drg.ren",input_data!$A:$A,0))*INDEX(calculations!$M:$X,17,1))/1000+INDEX(input_data!$L:$L,MATCH(CBAM!$B$5&amp;".in.efn.stl.drg.---",input_data!$A:$A,0))+INDEX(input_data!$L:$L,MATCH(CBAM!$B$5&amp;".in.efo.stl.drg.---",input_data!$A:$A,0))+INDEX(input_data!$L:$L,MATCH(CBAM!$B$5&amp;".in.ele.stl.drg.elc",input_data!$A:$A,0))*INDEX(input_data!$M:$X,MATCH(CBAM!$B$5&amp;".in.gef.---.---.---",input_data!$A:$A,0),CBAM!$P$6)/3.6+INDEX(input_data!$L:$L,MATCH("all.in.nh3.stl.drg.---",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0.98003000000000007</v>
      </c>
    </row>
    <row r="351" spans="1:24" ht="15.75" customHeight="1" x14ac:dyDescent="0.25">
      <c r="A351" s="398" t="str">
        <f>CBAM!$B$5&amp;".ief.mrv.stl.drg.---"</f>
        <v>egy.ief.mrv.stl.drg.---</v>
      </c>
      <c r="H351" s="398" t="s">
        <v>1686</v>
      </c>
      <c r="M351" s="399">
        <f>M350-(INDEX(input_data!$L:$L,MATCH(CBAM!$B$5&amp;".in.ele.stl.drg.elc",input_data!$A:$A,0))*INDEX(input_data!$M:$X,MATCH(CBAM!$B$5&amp;".in.gef.---.---.---",input_data!$A:$A,0),CBAM!$P$6)/3.6)*(1-INDEX(input_data!$L:$L,MATCH("all.in.cs2.stl.drg.---",input_data!$A:$A,0)))</f>
        <v>0.73003000000000007</v>
      </c>
      <c r="N351" s="399">
        <f>N350-(INDEX(input_data!$L:$L,MATCH(CBAM!$B$5&amp;".in.ele.stl.drg.elc",input_data!$A:$A,0))*INDEX(input_data!$M:$X,MATCH(CBAM!$B$5&amp;".in.gef.---.---.---",input_data!$A:$A,0),CBAM!$P$6)/3.6)*(1-INDEX(input_data!$L:$L,MATCH("all.in.cs2.stl.drg.---",input_data!$A:$A,0)))</f>
        <v>0.73003000000000007</v>
      </c>
      <c r="O351" s="399">
        <f>O350-(INDEX(input_data!$L:$L,MATCH(CBAM!$B$5&amp;".in.ele.stl.drg.elc",input_data!$A:$A,0))*INDEX(input_data!$M:$X,MATCH(CBAM!$B$5&amp;".in.gef.---.---.---",input_data!$A:$A,0),CBAM!$P$6)/3.6)*(1-INDEX(input_data!$L:$L,MATCH("all.in.cs2.stl.drg.---",input_data!$A:$A,0)))</f>
        <v>0.73003000000000007</v>
      </c>
      <c r="P351" s="399">
        <f>P350-(INDEX(input_data!$L:$L,MATCH(CBAM!$B$5&amp;".in.ele.stl.drg.elc",input_data!$A:$A,0))*INDEX(input_data!$M:$X,MATCH(CBAM!$B$5&amp;".in.gef.---.---.---",input_data!$A:$A,0),CBAM!$P$6)/3.6)*(1-INDEX(input_data!$L:$L,MATCH("all.in.cs2.stl.drg.---",input_data!$A:$A,0)))</f>
        <v>0.73003000000000007</v>
      </c>
      <c r="Q351" s="399">
        <f>Q350-(INDEX(input_data!$L:$L,MATCH(CBAM!$B$5&amp;".in.ele.stl.drg.elc",input_data!$A:$A,0))*INDEX(input_data!$M:$X,MATCH(CBAM!$B$5&amp;".in.gef.---.---.---",input_data!$A:$A,0),CBAM!$P$6)/3.6)*(1-INDEX(input_data!$L:$L,MATCH("all.in.cs2.stl.drg.---",input_data!$A:$A,0)))</f>
        <v>0.73003000000000007</v>
      </c>
      <c r="R351" s="399">
        <f>R350-(INDEX(input_data!$L:$L,MATCH(CBAM!$B$5&amp;".in.ele.stl.drg.elc",input_data!$A:$A,0))*INDEX(input_data!$M:$X,MATCH(CBAM!$B$5&amp;".in.gef.---.---.---",input_data!$A:$A,0),CBAM!$P$6)/3.6)*(1-INDEX(input_data!$L:$L,MATCH("all.in.cs2.stl.drg.---",input_data!$A:$A,0)))</f>
        <v>0.73003000000000007</v>
      </c>
      <c r="S351" s="399">
        <f>S350-(INDEX(input_data!$L:$L,MATCH(CBAM!$B$5&amp;".in.ele.stl.drg.elc",input_data!$A:$A,0))*INDEX(input_data!$M:$X,MATCH(CBAM!$B$5&amp;".in.gef.---.---.---",input_data!$A:$A,0),CBAM!$P$6)/3.6)*(1-INDEX(input_data!$L:$L,MATCH("all.in.cs2.stl.drg.---",input_data!$A:$A,0)))</f>
        <v>0.73003000000000007</v>
      </c>
      <c r="T351" s="399">
        <f>T350-(INDEX(input_data!$L:$L,MATCH(CBAM!$B$5&amp;".in.ele.stl.drg.elc",input_data!$A:$A,0))*INDEX(input_data!$M:$X,MATCH(CBAM!$B$5&amp;".in.gef.---.---.---",input_data!$A:$A,0),CBAM!$P$6)/3.6)*(1-INDEX(input_data!$L:$L,MATCH("all.in.cs2.stl.drg.---",input_data!$A:$A,0)))</f>
        <v>0.73003000000000007</v>
      </c>
      <c r="U351" s="399">
        <f>U350-(INDEX(input_data!$L:$L,MATCH(CBAM!$B$5&amp;".in.ele.stl.drg.elc",input_data!$A:$A,0))*INDEX(input_data!$M:$X,MATCH(CBAM!$B$5&amp;".in.gef.---.---.---",input_data!$A:$A,0),CBAM!$P$6)/3.6)*(1-INDEX(input_data!$L:$L,MATCH("all.in.cs2.stl.drg.---",input_data!$A:$A,0)))</f>
        <v>0.73003000000000007</v>
      </c>
      <c r="V351" s="399">
        <f>V350-(INDEX(input_data!$L:$L,MATCH(CBAM!$B$5&amp;".in.ele.stl.drg.elc",input_data!$A:$A,0))*INDEX(input_data!$M:$X,MATCH(CBAM!$B$5&amp;".in.gef.---.---.---",input_data!$A:$A,0),CBAM!$P$6)/3.6)*(1-INDEX(input_data!$L:$L,MATCH("all.in.cs2.stl.drg.---",input_data!$A:$A,0)))</f>
        <v>0.73003000000000007</v>
      </c>
      <c r="W351" s="399">
        <f>W350-(INDEX(input_data!$L:$L,MATCH(CBAM!$B$5&amp;".in.ele.stl.drg.elc",input_data!$A:$A,0))*INDEX(input_data!$M:$X,MATCH(CBAM!$B$5&amp;".in.gef.---.---.---",input_data!$A:$A,0),CBAM!$P$6)/3.6)*(1-INDEX(input_data!$L:$L,MATCH("all.in.cs2.stl.drg.---",input_data!$A:$A,0)))</f>
        <v>0.73003000000000007</v>
      </c>
      <c r="X351" s="399">
        <f>X350-(INDEX(input_data!$L:$L,MATCH(CBAM!$B$5&amp;".in.ele.stl.drg.elc",input_data!$A:$A,0))*INDEX(input_data!$M:$X,MATCH(CBAM!$B$5&amp;".in.gef.---.---.---",input_data!$A:$A,0),CBAM!$P$6)/3.6)*(1-INDEX(input_data!$L:$L,MATCH("all.in.cs2.stl.drg.---",input_data!$A:$A,0)))</f>
        <v>0.73003000000000007</v>
      </c>
    </row>
    <row r="352" spans="1:24" ht="15.75" customHeight="1" x14ac:dyDescent="0.25">
      <c r="A352" s="398" t="str">
        <f>CBAM!$B$5&amp;".ief.tot.stl.scr.---"</f>
        <v>egy.ief.tot.stl.scr.---</v>
      </c>
      <c r="H352" s="398" t="s">
        <v>1687</v>
      </c>
      <c r="M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N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O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P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Q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R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S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T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U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V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W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c r="X352" s="399">
        <f>(INDEX(input_data!$L:$L,MATCH(CBAM!$B$5&amp;".in.enc.stl.scr.coa",input_data!$A:$A,0))*INDEX(calculations!$M:$X,10,1)+INDEX(input_data!$L:$L,MATCH(CBAM!$B$5&amp;".in.enc.stl.scr.nga",input_data!$A:$A,0))*INDEX(calculations!$M:$X,11,1)+INDEX(input_data!$L:$L,MATCH(CBAM!$B$5&amp;".in.enc.stl.scr.gso",input_data!$A:$A,0))*INDEX(calculations!$M:$X,12,1)+INDEX(input_data!$L:$L,MATCH(CBAM!$B$5&amp;".in.enc.stl.scr.die",input_data!$A:$A,0))*INDEX(calculations!$M:$X,13,1)+INDEX(input_data!$L:$L,MATCH(CBAM!$B$5&amp;".in.enc.stl.scr.ker",input_data!$A:$A,0))*INDEX(calculations!$M:$X,14,1)+INDEX(input_data!$L:$L,MATCH(CBAM!$B$5&amp;".in.enc.stl.scr.lpg",input_data!$A:$A,0))*INDEX(calculations!$M:$X,15,1)+INDEX(input_data!$L:$L,MATCH(CBAM!$B$5&amp;".in.enc.stl.scr.bio",input_data!$A:$A,0))*INDEX(calculations!$M:$X,16,1)+INDEX(input_data!$L:$L,MATCH(CBAM!$B$5&amp;".in.enc.stl.scr.ren",input_data!$A:$A,0))*INDEX(calculations!$M:$X,17,1))/1000+(INDEX(input_data!$L:$L,MATCH(CBAM!$B$5&amp;".in.enp.stl.scr.coa",input_data!$A:$A,0))*INDEX(calculations!$M:$X,10,1)+INDEX(input_data!$L:$L,MATCH(CBAM!$B$5&amp;".in.enp.stl.scr.nga",input_data!$A:$A,0))*INDEX(calculations!$M:$X,11,1)+INDEX(input_data!$L:$L,MATCH(CBAM!$B$5&amp;".in.enp.stl.scr.gso",input_data!$A:$A,0))*INDEX(calculations!$M:$X,12,1)+INDEX(input_data!$L:$L,MATCH(CBAM!$B$5&amp;".in.enp.stl.scr.die",input_data!$A:$A,0))*INDEX(calculations!$M:$X,13,1)+INDEX(input_data!$L:$L,MATCH(CBAM!$B$5&amp;".in.enp.stl.scr.ker",input_data!$A:$A,0))*INDEX(calculations!$M:$X,14,1)+INDEX(input_data!$L:$L,MATCH(CBAM!$B$5&amp;".in.enp.stl.scr.lpg",input_data!$A:$A,0))*INDEX(calculations!$M:$X,15,1)+INDEX(input_data!$L:$L,MATCH(CBAM!$B$5&amp;".in.enp.stl.scr.bio",input_data!$A:$A,0))*INDEX(calculations!$M:$X,16,1)+INDEX(input_data!$L:$L,MATCH(CBAM!$B$5&amp;".in.enp.stl.scr.ren",input_data!$A:$A,0))*INDEX(calculations!$M:$X,17,1))/1000+INDEX(input_data!$L:$L,MATCH(CBAM!$B$5&amp;".in.efn.stl.scr.---",input_data!$A:$A,0))+INDEX(input_data!$L:$L,MATCH(CBAM!$B$5&amp;".in.efo.stl.scr.---",input_data!$A:$A,0))+INDEX(input_data!$L:$L,MATCH(CBAM!$B$5&amp;".in.ele.stl.scr.elc",input_data!$A:$A,0))*INDEX(input_data!$M:$X,MATCH(CBAM!$B$5&amp;".in.gef.---.---.---",input_data!$A:$A,0),CBAM!$P$6)/3.6+INDEX(input_data!$L:$L,MATCH("all.in.nh3.stl.scr.---",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0.40525</v>
      </c>
    </row>
    <row r="353" spans="1:24" ht="15.75" customHeight="1" x14ac:dyDescent="0.25">
      <c r="A353" s="398" t="str">
        <f>CBAM!$B$5&amp;".ief.mrv.stl.scr.---"</f>
        <v>egy.ief.mrv.stl.scr.---</v>
      </c>
      <c r="H353" s="398" t="s">
        <v>1688</v>
      </c>
      <c r="M353" s="399">
        <f>M352-(INDEX(input_data!$L:$L,MATCH(CBAM!$B$5&amp;".in.ele.stl.scr.elc",input_data!$A:$A,0))*INDEX(input_data!$M:$X,MATCH(CBAM!$B$5&amp;".in.gef.---.---.---",input_data!$A:$A,0),CBAM!$P$6)/3.6)*(1-INDEX(input_data!$L:$L,MATCH("all.in.cs2.stl.scr.---",input_data!$A:$A,0)))</f>
        <v>0.15525</v>
      </c>
      <c r="N353" s="399">
        <f>N352-(INDEX(input_data!$L:$L,MATCH(CBAM!$B$5&amp;".in.ele.stl.scr.elc",input_data!$A:$A,0))*INDEX(input_data!$M:$X,MATCH(CBAM!$B$5&amp;".in.gef.---.---.---",input_data!$A:$A,0),CBAM!$P$6)/3.6)*(1-INDEX(input_data!$L:$L,MATCH("all.in.cs2.stl.scr.---",input_data!$A:$A,0)))</f>
        <v>0.15525</v>
      </c>
      <c r="O353" s="399">
        <f>O352-(INDEX(input_data!$L:$L,MATCH(CBAM!$B$5&amp;".in.ele.stl.scr.elc",input_data!$A:$A,0))*INDEX(input_data!$M:$X,MATCH(CBAM!$B$5&amp;".in.gef.---.---.---",input_data!$A:$A,0),CBAM!$P$6)/3.6)*(1-INDEX(input_data!$L:$L,MATCH("all.in.cs2.stl.scr.---",input_data!$A:$A,0)))</f>
        <v>0.15525</v>
      </c>
      <c r="P353" s="399">
        <f>P352-(INDEX(input_data!$L:$L,MATCH(CBAM!$B$5&amp;".in.ele.stl.scr.elc",input_data!$A:$A,0))*INDEX(input_data!$M:$X,MATCH(CBAM!$B$5&amp;".in.gef.---.---.---",input_data!$A:$A,0),CBAM!$P$6)/3.6)*(1-INDEX(input_data!$L:$L,MATCH("all.in.cs2.stl.scr.---",input_data!$A:$A,0)))</f>
        <v>0.15525</v>
      </c>
      <c r="Q353" s="399">
        <f>Q352-(INDEX(input_data!$L:$L,MATCH(CBAM!$B$5&amp;".in.ele.stl.scr.elc",input_data!$A:$A,0))*INDEX(input_data!$M:$X,MATCH(CBAM!$B$5&amp;".in.gef.---.---.---",input_data!$A:$A,0),CBAM!$P$6)/3.6)*(1-INDEX(input_data!$L:$L,MATCH("all.in.cs2.stl.scr.---",input_data!$A:$A,0)))</f>
        <v>0.15525</v>
      </c>
      <c r="R353" s="399">
        <f>R352-(INDEX(input_data!$L:$L,MATCH(CBAM!$B$5&amp;".in.ele.stl.scr.elc",input_data!$A:$A,0))*INDEX(input_data!$M:$X,MATCH(CBAM!$B$5&amp;".in.gef.---.---.---",input_data!$A:$A,0),CBAM!$P$6)/3.6)*(1-INDEX(input_data!$L:$L,MATCH("all.in.cs2.stl.scr.---",input_data!$A:$A,0)))</f>
        <v>0.15525</v>
      </c>
      <c r="S353" s="399">
        <f>S352-(INDEX(input_data!$L:$L,MATCH(CBAM!$B$5&amp;".in.ele.stl.scr.elc",input_data!$A:$A,0))*INDEX(input_data!$M:$X,MATCH(CBAM!$B$5&amp;".in.gef.---.---.---",input_data!$A:$A,0),CBAM!$P$6)/3.6)*(1-INDEX(input_data!$L:$L,MATCH("all.in.cs2.stl.scr.---",input_data!$A:$A,0)))</f>
        <v>0.15525</v>
      </c>
      <c r="T353" s="399">
        <f>T352-(INDEX(input_data!$L:$L,MATCH(CBAM!$B$5&amp;".in.ele.stl.scr.elc",input_data!$A:$A,0))*INDEX(input_data!$M:$X,MATCH(CBAM!$B$5&amp;".in.gef.---.---.---",input_data!$A:$A,0),CBAM!$P$6)/3.6)*(1-INDEX(input_data!$L:$L,MATCH("all.in.cs2.stl.scr.---",input_data!$A:$A,0)))</f>
        <v>0.15525</v>
      </c>
      <c r="U353" s="399">
        <f>U352-(INDEX(input_data!$L:$L,MATCH(CBAM!$B$5&amp;".in.ele.stl.scr.elc",input_data!$A:$A,0))*INDEX(input_data!$M:$X,MATCH(CBAM!$B$5&amp;".in.gef.---.---.---",input_data!$A:$A,0),CBAM!$P$6)/3.6)*(1-INDEX(input_data!$L:$L,MATCH("all.in.cs2.stl.scr.---",input_data!$A:$A,0)))</f>
        <v>0.15525</v>
      </c>
      <c r="V353" s="399">
        <f>V352-(INDEX(input_data!$L:$L,MATCH(CBAM!$B$5&amp;".in.ele.stl.scr.elc",input_data!$A:$A,0))*INDEX(input_data!$M:$X,MATCH(CBAM!$B$5&amp;".in.gef.---.---.---",input_data!$A:$A,0),CBAM!$P$6)/3.6)*(1-INDEX(input_data!$L:$L,MATCH("all.in.cs2.stl.scr.---",input_data!$A:$A,0)))</f>
        <v>0.15525</v>
      </c>
      <c r="W353" s="399">
        <f>W352-(INDEX(input_data!$L:$L,MATCH(CBAM!$B$5&amp;".in.ele.stl.scr.elc",input_data!$A:$A,0))*INDEX(input_data!$M:$X,MATCH(CBAM!$B$5&amp;".in.gef.---.---.---",input_data!$A:$A,0),CBAM!$P$6)/3.6)*(1-INDEX(input_data!$L:$L,MATCH("all.in.cs2.stl.scr.---",input_data!$A:$A,0)))</f>
        <v>0.15525</v>
      </c>
      <c r="X353" s="399">
        <f>X352-(INDEX(input_data!$L:$L,MATCH(CBAM!$B$5&amp;".in.ele.stl.scr.elc",input_data!$A:$A,0))*INDEX(input_data!$M:$X,MATCH(CBAM!$B$5&amp;".in.gef.---.---.---",input_data!$A:$A,0),CBAM!$P$6)/3.6)*(1-INDEX(input_data!$L:$L,MATCH("all.in.cs2.stl.scr.---",input_data!$A:$A,0)))</f>
        <v>0.15525</v>
      </c>
    </row>
    <row r="354" spans="1:24" ht="15.75" customHeight="1" x14ac:dyDescent="0.25">
      <c r="A354" s="398" t="str">
        <f>CBAM!$B$5&amp;".ief.tot.stl.bof.---"</f>
        <v>egy.ief.tot.stl.bof.---</v>
      </c>
      <c r="H354" s="398" t="s">
        <v>1689</v>
      </c>
      <c r="M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N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O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P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Q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R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S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T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U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V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W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c r="X354" s="399">
        <f>(INDEX(input_data!$L:$L,MATCH(CBAM!$B$5&amp;".in.enc.stl.bof.coa",input_data!$A:$A,0))*INDEX(calculations!$M:$X,10,1)+INDEX(input_data!$L:$L,MATCH(CBAM!$B$5&amp;".in.enc.stl.bof.nga",input_data!$A:$A,0))*INDEX(calculations!$M:$X,11,1)+INDEX(input_data!$L:$L,MATCH(CBAM!$B$5&amp;".in.enc.stl.bof.gso",input_data!$A:$A,0))*INDEX(calculations!$M:$X,12,1)+INDEX(input_data!$L:$L,MATCH(CBAM!$B$5&amp;".in.enc.stl.bof.die",input_data!$A:$A,0))*INDEX(calculations!$M:$X,13,1)+INDEX(input_data!$L:$L,MATCH(CBAM!$B$5&amp;".in.enc.stl.bof.ker",input_data!$A:$A,0))*INDEX(calculations!$M:$X,14,1)+INDEX(input_data!$L:$L,MATCH(CBAM!$B$5&amp;".in.enc.stl.bof.lpg",input_data!$A:$A,0))*INDEX(calculations!$M:$X,15,1)+INDEX(input_data!$L:$L,MATCH(CBAM!$B$5&amp;".in.enc.stl.bof.bio",input_data!$A:$A,0))*INDEX(calculations!$M:$X,16,1)+INDEX(input_data!$L:$L,MATCH(CBAM!$B$5&amp;".in.enc.stl.bof.ren",input_data!$A:$A,0))*INDEX(calculations!$M:$X,17,1))/1000+(INDEX(input_data!$L:$L,MATCH(CBAM!$B$5&amp;".in.enp.stl.bof.coa",input_data!$A:$A,0))*INDEX(calculations!$M:$X,10,1)+INDEX(input_data!$L:$L,MATCH(CBAM!$B$5&amp;".in.enp.stl.bof.nga",input_data!$A:$A,0))*INDEX(calculations!$M:$X,11,1)+INDEX(input_data!$L:$L,MATCH(CBAM!$B$5&amp;".in.enp.stl.bof.gso",input_data!$A:$A,0))*INDEX(calculations!$M:$X,12,1)+INDEX(input_data!$L:$L,MATCH(CBAM!$B$5&amp;".in.enp.stl.bof.die",input_data!$A:$A,0))*INDEX(calculations!$M:$X,13,1)+INDEX(input_data!$L:$L,MATCH(CBAM!$B$5&amp;".in.enp.stl.bof.ker",input_data!$A:$A,0))*INDEX(calculations!$M:$X,14,1)+INDEX(input_data!$L:$L,MATCH(CBAM!$B$5&amp;".in.enp.stl.bof.lpg",input_data!$A:$A,0))*INDEX(calculations!$M:$X,15,1)+INDEX(input_data!$L:$L,MATCH(CBAM!$B$5&amp;".in.enp.stl.bof.bio",input_data!$A:$A,0))*INDEX(calculations!$M:$X,16,1)+INDEX(input_data!$L:$L,MATCH(CBAM!$B$5&amp;".in.enp.stl.bof.ren",input_data!$A:$A,0))*INDEX(calculations!$M:$X,17,1))/1000+INDEX(input_data!$L:$L,MATCH(CBAM!$B$5&amp;".in.efn.stl.bof.---",input_data!$A:$A,0))+INDEX(input_data!$L:$L,MATCH(CBAM!$B$5&amp;".in.efo.stl.bof.---",input_data!$A:$A,0))+INDEX(input_data!$L:$L,MATCH(CBAM!$B$5&amp;".in.ele.stl.bof.elc",input_data!$A:$A,0))*INDEX(input_data!$M:$X,MATCH(CBAM!$B$5&amp;".in.gef.---.---.---",input_data!$A:$A,0),CBAM!$P$6)/3.6+INDEX(input_data!$L:$L,MATCH("all.in.nh3.stl.bof.---",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2.3594999999999997</v>
      </c>
    </row>
    <row r="355" spans="1:24" ht="15.75" customHeight="1" x14ac:dyDescent="0.25">
      <c r="A355" s="398" t="str">
        <f>CBAM!$B$5&amp;".ief.mrv.stl.bof.---"</f>
        <v>egy.ief.mrv.stl.bof.---</v>
      </c>
      <c r="H355" s="398" t="s">
        <v>1690</v>
      </c>
      <c r="M355" s="399">
        <f>M354-(INDEX(input_data!$L:$L,MATCH(CBAM!$B$5&amp;".in.ele.stl.bof.elc",input_data!$A:$A,0))*INDEX(input_data!$M:$X,MATCH(CBAM!$B$5&amp;".in.gef.---.---.---",input_data!$A:$A,0),CBAM!$P$6)/3.6)*(1-INDEX(input_data!$L:$L,MATCH("all.in.cs2.stl.bof.---",input_data!$A:$A,0)))</f>
        <v>2.1719999999999997</v>
      </c>
      <c r="N355" s="399">
        <f>N354-(INDEX(input_data!$L:$L,MATCH(CBAM!$B$5&amp;".in.ele.stl.bof.elc",input_data!$A:$A,0))*INDEX(input_data!$M:$X,MATCH(CBAM!$B$5&amp;".in.gef.---.---.---",input_data!$A:$A,0),CBAM!$P$6)/3.6)*(1-INDEX(input_data!$L:$L,MATCH("all.in.cs2.stl.bof.---",input_data!$A:$A,0)))</f>
        <v>2.1719999999999997</v>
      </c>
      <c r="O355" s="399">
        <f>O354-(INDEX(input_data!$L:$L,MATCH(CBAM!$B$5&amp;".in.ele.stl.bof.elc",input_data!$A:$A,0))*INDEX(input_data!$M:$X,MATCH(CBAM!$B$5&amp;".in.gef.---.---.---",input_data!$A:$A,0),CBAM!$P$6)/3.6)*(1-INDEX(input_data!$L:$L,MATCH("all.in.cs2.stl.bof.---",input_data!$A:$A,0)))</f>
        <v>2.1719999999999997</v>
      </c>
      <c r="P355" s="399">
        <f>P354-(INDEX(input_data!$L:$L,MATCH(CBAM!$B$5&amp;".in.ele.stl.bof.elc",input_data!$A:$A,0))*INDEX(input_data!$M:$X,MATCH(CBAM!$B$5&amp;".in.gef.---.---.---",input_data!$A:$A,0),CBAM!$P$6)/3.6)*(1-INDEX(input_data!$L:$L,MATCH("all.in.cs2.stl.bof.---",input_data!$A:$A,0)))</f>
        <v>2.1719999999999997</v>
      </c>
      <c r="Q355" s="399">
        <f>Q354-(INDEX(input_data!$L:$L,MATCH(CBAM!$B$5&amp;".in.ele.stl.bof.elc",input_data!$A:$A,0))*INDEX(input_data!$M:$X,MATCH(CBAM!$B$5&amp;".in.gef.---.---.---",input_data!$A:$A,0),CBAM!$P$6)/3.6)*(1-INDEX(input_data!$L:$L,MATCH("all.in.cs2.stl.bof.---",input_data!$A:$A,0)))</f>
        <v>2.1719999999999997</v>
      </c>
      <c r="R355" s="399">
        <f>R354-(INDEX(input_data!$L:$L,MATCH(CBAM!$B$5&amp;".in.ele.stl.bof.elc",input_data!$A:$A,0))*INDEX(input_data!$M:$X,MATCH(CBAM!$B$5&amp;".in.gef.---.---.---",input_data!$A:$A,0),CBAM!$P$6)/3.6)*(1-INDEX(input_data!$L:$L,MATCH("all.in.cs2.stl.bof.---",input_data!$A:$A,0)))</f>
        <v>2.1719999999999997</v>
      </c>
      <c r="S355" s="399">
        <f>S354-(INDEX(input_data!$L:$L,MATCH(CBAM!$B$5&amp;".in.ele.stl.bof.elc",input_data!$A:$A,0))*INDEX(input_data!$M:$X,MATCH(CBAM!$B$5&amp;".in.gef.---.---.---",input_data!$A:$A,0),CBAM!$P$6)/3.6)*(1-INDEX(input_data!$L:$L,MATCH("all.in.cs2.stl.bof.---",input_data!$A:$A,0)))</f>
        <v>2.1719999999999997</v>
      </c>
      <c r="T355" s="399">
        <f>T354-(INDEX(input_data!$L:$L,MATCH(CBAM!$B$5&amp;".in.ele.stl.bof.elc",input_data!$A:$A,0))*INDEX(input_data!$M:$X,MATCH(CBAM!$B$5&amp;".in.gef.---.---.---",input_data!$A:$A,0),CBAM!$P$6)/3.6)*(1-INDEX(input_data!$L:$L,MATCH("all.in.cs2.stl.bof.---",input_data!$A:$A,0)))</f>
        <v>2.1719999999999997</v>
      </c>
      <c r="U355" s="399">
        <f>U354-(INDEX(input_data!$L:$L,MATCH(CBAM!$B$5&amp;".in.ele.stl.bof.elc",input_data!$A:$A,0))*INDEX(input_data!$M:$X,MATCH(CBAM!$B$5&amp;".in.gef.---.---.---",input_data!$A:$A,0),CBAM!$P$6)/3.6)*(1-INDEX(input_data!$L:$L,MATCH("all.in.cs2.stl.bof.---",input_data!$A:$A,0)))</f>
        <v>2.1719999999999997</v>
      </c>
      <c r="V355" s="399">
        <f>V354-(INDEX(input_data!$L:$L,MATCH(CBAM!$B$5&amp;".in.ele.stl.bof.elc",input_data!$A:$A,0))*INDEX(input_data!$M:$X,MATCH(CBAM!$B$5&amp;".in.gef.---.---.---",input_data!$A:$A,0),CBAM!$P$6)/3.6)*(1-INDEX(input_data!$L:$L,MATCH("all.in.cs2.stl.bof.---",input_data!$A:$A,0)))</f>
        <v>2.1719999999999997</v>
      </c>
      <c r="W355" s="399">
        <f>W354-(INDEX(input_data!$L:$L,MATCH(CBAM!$B$5&amp;".in.ele.stl.bof.elc",input_data!$A:$A,0))*INDEX(input_data!$M:$X,MATCH(CBAM!$B$5&amp;".in.gef.---.---.---",input_data!$A:$A,0),CBAM!$P$6)/3.6)*(1-INDEX(input_data!$L:$L,MATCH("all.in.cs2.stl.bof.---",input_data!$A:$A,0)))</f>
        <v>2.1719999999999997</v>
      </c>
      <c r="X355" s="399">
        <f>X354-(INDEX(input_data!$L:$L,MATCH(CBAM!$B$5&amp;".in.ele.stl.bof.elc",input_data!$A:$A,0))*INDEX(input_data!$M:$X,MATCH(CBAM!$B$5&amp;".in.gef.---.---.---",input_data!$A:$A,0),CBAM!$P$6)/3.6)*(1-INDEX(input_data!$L:$L,MATCH("all.in.cs2.stl.bof.---",input_data!$A:$A,0)))</f>
        <v>2.1719999999999997</v>
      </c>
    </row>
    <row r="356" spans="1:24" ht="15.75" customHeight="1" x14ac:dyDescent="0.25">
      <c r="A356" s="398" t="str">
        <f>CBAM!$B$5&amp;".ief.tot.cmt.dry.---"</f>
        <v>egy.ief.tot.cmt.dry.---</v>
      </c>
      <c r="H356" s="398" t="s">
        <v>1691</v>
      </c>
      <c r="M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N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O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P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Q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R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S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T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U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V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W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c r="X356" s="399">
        <f>(INDEX(input_data!$L:$L,MATCH(CBAM!$B$5&amp;".in.enc.cmt.dry.coa",input_data!$A:$A,0))*INDEX(calculations!$M:$X,10,1)+INDEX(input_data!$L:$L,MATCH(CBAM!$B$5&amp;".in.enc.cmt.dry.nga",input_data!$A:$A,0))*INDEX(calculations!$M:$X,11,1)+INDEX(input_data!$L:$L,MATCH(CBAM!$B$5&amp;".in.enc.cmt.dry.gso",input_data!$A:$A,0))*INDEX(calculations!$M:$X,12,1)+INDEX(input_data!$L:$L,MATCH(CBAM!$B$5&amp;".in.enc.cmt.dry.die",input_data!$A:$A,0))*INDEX(calculations!$M:$X,13,1)+INDEX(input_data!$L:$L,MATCH(CBAM!$B$5&amp;".in.enc.cmt.dry.ker",input_data!$A:$A,0))*INDEX(calculations!$M:$X,14,1)+INDEX(input_data!$L:$L,MATCH(CBAM!$B$5&amp;".in.enc.cmt.dry.lpg",input_data!$A:$A,0))*INDEX(calculations!$M:$X,15,1)+INDEX(input_data!$L:$L,MATCH(CBAM!$B$5&amp;".in.enc.cmt.dry.bio",input_data!$A:$A,0))*INDEX(calculations!$M:$X,16,1)+INDEX(input_data!$L:$L,MATCH(CBAM!$B$5&amp;".in.enc.cmt.dry.ren",input_data!$A:$A,0))*INDEX(calculations!$M:$X,17,1))/1000+(INDEX(input_data!$L:$L,MATCH(CBAM!$B$5&amp;".in.enp.cmt.dry.coa",input_data!$A:$A,0))*INDEX(calculations!$M:$X,10,1)+INDEX(input_data!$L:$L,MATCH(CBAM!$B$5&amp;".in.enp.cmt.dry.nga",input_data!$A:$A,0))*INDEX(calculations!$M:$X,11,1)+INDEX(input_data!$L:$L,MATCH(CBAM!$B$5&amp;".in.enp.cmt.dry.gso",input_data!$A:$A,0))*INDEX(calculations!$M:$X,12,1)+INDEX(input_data!$L:$L,MATCH(CBAM!$B$5&amp;".in.enp.cmt.dry.die",input_data!$A:$A,0))*INDEX(calculations!$M:$X,13,1)+INDEX(input_data!$L:$L,MATCH(CBAM!$B$5&amp;".in.enp.cmt.dry.ker",input_data!$A:$A,0))*INDEX(calculations!$M:$X,14,1)+INDEX(input_data!$L:$L,MATCH(CBAM!$B$5&amp;".in.enp.cmt.dry.lpg",input_data!$A:$A,0))*INDEX(calculations!$M:$X,15,1)+INDEX(input_data!$L:$L,MATCH(CBAM!$B$5&amp;".in.enp.cmt.dry.bio",input_data!$A:$A,0))*INDEX(calculations!$M:$X,16,1)+INDEX(input_data!$L:$L,MATCH(CBAM!$B$5&amp;".in.enp.cmt.dry.ren",input_data!$A:$A,0))*INDEX(calculations!$M:$X,17,1))/1000+INDEX(input_data!$L:$L,MATCH(CBAM!$B$5&amp;".in.efn.cmt.dry.---",input_data!$A:$A,0))+INDEX(input_data!$L:$L,MATCH(CBAM!$B$5&amp;".in.efo.cmt.dry.---",input_data!$A:$A,0))+INDEX(input_data!$L:$L,MATCH(CBAM!$B$5&amp;".in.ele.cmt.dry.elc",input_data!$A:$A,0))*INDEX(input_data!$M:$X,MATCH(CBAM!$B$5&amp;".in.gef.---.---.---",input_data!$A:$A,0),CBAM!$P$6)/3.6+INDEX(input_data!$L:$L,MATCH("all.in.nh3.cmt.dry.---",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0.87055000000000005</v>
      </c>
    </row>
    <row r="357" spans="1:24" ht="15.75" customHeight="1" x14ac:dyDescent="0.25">
      <c r="A357" s="398" t="str">
        <f>CBAM!$B$5&amp;".ief.mrv.cmt.dry.---"</f>
        <v>egy.ief.mrv.cmt.dry.---</v>
      </c>
      <c r="H357" s="398" t="s">
        <v>1692</v>
      </c>
      <c r="M357" s="399">
        <f>M356-(INDEX(input_data!$L:$L,MATCH(CBAM!$B$5&amp;".in.ele.cmt.dry.elc",input_data!$A:$A,0))*INDEX(input_data!$M:$X,MATCH(CBAM!$B$5&amp;".in.gef.---.---.---",input_data!$A:$A,0),CBAM!$P$6)/3.6)*(1-INDEX(input_data!$L:$L,MATCH("all.in.cs2.cmt.dry.---",input_data!$A:$A,0)))</f>
        <v>0.87055000000000005</v>
      </c>
      <c r="N357" s="399">
        <f>N356-(INDEX(input_data!$L:$L,MATCH(CBAM!$B$5&amp;".in.ele.cmt.dry.elc",input_data!$A:$A,0))*INDEX(input_data!$M:$X,MATCH(CBAM!$B$5&amp;".in.gef.---.---.---",input_data!$A:$A,0),CBAM!$P$6)/3.6)*(1-INDEX(input_data!$L:$L,MATCH("all.in.cs2.cmt.dry.---",input_data!$A:$A,0)))</f>
        <v>0.87055000000000005</v>
      </c>
      <c r="O357" s="399">
        <f>O356-(INDEX(input_data!$L:$L,MATCH(CBAM!$B$5&amp;".in.ele.cmt.dry.elc",input_data!$A:$A,0))*INDEX(input_data!$M:$X,MATCH(CBAM!$B$5&amp;".in.gef.---.---.---",input_data!$A:$A,0),CBAM!$P$6)/3.6)*(1-INDEX(input_data!$L:$L,MATCH("all.in.cs2.cmt.dry.---",input_data!$A:$A,0)))</f>
        <v>0.87055000000000005</v>
      </c>
      <c r="P357" s="399">
        <f>P356-(INDEX(input_data!$L:$L,MATCH(CBAM!$B$5&amp;".in.ele.cmt.dry.elc",input_data!$A:$A,0))*INDEX(input_data!$M:$X,MATCH(CBAM!$B$5&amp;".in.gef.---.---.---",input_data!$A:$A,0),CBAM!$P$6)/3.6)*(1-INDEX(input_data!$L:$L,MATCH("all.in.cs2.cmt.dry.---",input_data!$A:$A,0)))</f>
        <v>0.87055000000000005</v>
      </c>
      <c r="Q357" s="399">
        <f>Q356-(INDEX(input_data!$L:$L,MATCH(CBAM!$B$5&amp;".in.ele.cmt.dry.elc",input_data!$A:$A,0))*INDEX(input_data!$M:$X,MATCH(CBAM!$B$5&amp;".in.gef.---.---.---",input_data!$A:$A,0),CBAM!$P$6)/3.6)*(1-INDEX(input_data!$L:$L,MATCH("all.in.cs2.cmt.dry.---",input_data!$A:$A,0)))</f>
        <v>0.87055000000000005</v>
      </c>
      <c r="R357" s="399">
        <f>R356-(INDEX(input_data!$L:$L,MATCH(CBAM!$B$5&amp;".in.ele.cmt.dry.elc",input_data!$A:$A,0))*INDEX(input_data!$M:$X,MATCH(CBAM!$B$5&amp;".in.gef.---.---.---",input_data!$A:$A,0),CBAM!$P$6)/3.6)*(1-INDEX(input_data!$L:$L,MATCH("all.in.cs2.cmt.dry.---",input_data!$A:$A,0)))</f>
        <v>0.87055000000000005</v>
      </c>
      <c r="S357" s="399">
        <f>S356-(INDEX(input_data!$L:$L,MATCH(CBAM!$B$5&amp;".in.ele.cmt.dry.elc",input_data!$A:$A,0))*INDEX(input_data!$M:$X,MATCH(CBAM!$B$5&amp;".in.gef.---.---.---",input_data!$A:$A,0),CBAM!$P$6)/3.6)*(1-INDEX(input_data!$L:$L,MATCH("all.in.cs2.cmt.dry.---",input_data!$A:$A,0)))</f>
        <v>0.87055000000000005</v>
      </c>
      <c r="T357" s="399">
        <f>T356-(INDEX(input_data!$L:$L,MATCH(CBAM!$B$5&amp;".in.ele.cmt.dry.elc",input_data!$A:$A,0))*INDEX(input_data!$M:$X,MATCH(CBAM!$B$5&amp;".in.gef.---.---.---",input_data!$A:$A,0),CBAM!$P$6)/3.6)*(1-INDEX(input_data!$L:$L,MATCH("all.in.cs2.cmt.dry.---",input_data!$A:$A,0)))</f>
        <v>0.87055000000000005</v>
      </c>
      <c r="U357" s="399">
        <f>U356-(INDEX(input_data!$L:$L,MATCH(CBAM!$B$5&amp;".in.ele.cmt.dry.elc",input_data!$A:$A,0))*INDEX(input_data!$M:$X,MATCH(CBAM!$B$5&amp;".in.gef.---.---.---",input_data!$A:$A,0),CBAM!$P$6)/3.6)*(1-INDEX(input_data!$L:$L,MATCH("all.in.cs2.cmt.dry.---",input_data!$A:$A,0)))</f>
        <v>0.87055000000000005</v>
      </c>
      <c r="V357" s="399">
        <f>V356-(INDEX(input_data!$L:$L,MATCH(CBAM!$B$5&amp;".in.ele.cmt.dry.elc",input_data!$A:$A,0))*INDEX(input_data!$M:$X,MATCH(CBAM!$B$5&amp;".in.gef.---.---.---",input_data!$A:$A,0),CBAM!$P$6)/3.6)*(1-INDEX(input_data!$L:$L,MATCH("all.in.cs2.cmt.dry.---",input_data!$A:$A,0)))</f>
        <v>0.87055000000000005</v>
      </c>
      <c r="W357" s="399">
        <f>W356-(INDEX(input_data!$L:$L,MATCH(CBAM!$B$5&amp;".in.ele.cmt.dry.elc",input_data!$A:$A,0))*INDEX(input_data!$M:$X,MATCH(CBAM!$B$5&amp;".in.gef.---.---.---",input_data!$A:$A,0),CBAM!$P$6)/3.6)*(1-INDEX(input_data!$L:$L,MATCH("all.in.cs2.cmt.dry.---",input_data!$A:$A,0)))</f>
        <v>0.87055000000000005</v>
      </c>
      <c r="X357" s="399">
        <f>X356-(INDEX(input_data!$L:$L,MATCH(CBAM!$B$5&amp;".in.ele.cmt.dry.elc",input_data!$A:$A,0))*INDEX(input_data!$M:$X,MATCH(CBAM!$B$5&amp;".in.gef.---.---.---",input_data!$A:$A,0),CBAM!$P$6)/3.6)*(1-INDEX(input_data!$L:$L,MATCH("all.in.cs2.cmt.dry.---",input_data!$A:$A,0)))</f>
        <v>0.87055000000000005</v>
      </c>
    </row>
    <row r="358" spans="1:24" ht="15.75" customHeight="1" x14ac:dyDescent="0.25">
      <c r="A358" s="398" t="str">
        <f>CBAM!$B$5&amp;".ief.tot.frt.amc.---"</f>
        <v>egy.ief.tot.frt.amc.---</v>
      </c>
      <c r="H358" s="398" t="s">
        <v>1693</v>
      </c>
      <c r="M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N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O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P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Q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R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S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T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U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V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W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c r="X358" s="399">
        <f>(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INDEX(input_data!$L:$L,MATCH(CBAM!$B$5&amp;".in.ele.frt.amc.elc",input_data!$A:$A,0))*INDEX(input_data!$M:$X,MATCH(CBAM!$B$5&amp;".in.gef.---.---.---",input_data!$A:$A,0),CBAM!$P$6)/3.6+INDEX(input_data!$L:$L,MATCH("all.in.nh3.frt.amc.---",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1.8888000000000003</v>
      </c>
    </row>
    <row r="359" spans="1:24" ht="15.75" customHeight="1" x14ac:dyDescent="0.25">
      <c r="A359" s="398" t="str">
        <f>CBAM!$B$5&amp;".ief.mrv.frt.amc.---"</f>
        <v>egy.ief.mrv.frt.amc.---</v>
      </c>
      <c r="H359" s="398" t="s">
        <v>1694</v>
      </c>
      <c r="M359" s="399">
        <f>M358-(INDEX(input_data!$L:$L,MATCH(CBAM!$B$5&amp;".in.ele.frt.amc.elc",input_data!$A:$A,0))*INDEX(input_data!$M:$X,MATCH(CBAM!$B$5&amp;".in.gef.---.---.---",input_data!$A:$A,0),CBAM!$P$6)/3.6)*(1-INDEX(input_data!$L:$L,MATCH("all.in.cs2.frt.amc.---",input_data!$A:$A,0)))</f>
        <v>1.8888000000000003</v>
      </c>
      <c r="N359" s="399">
        <f>N358-(INDEX(input_data!$L:$L,MATCH(CBAM!$B$5&amp;".in.ele.frt.amc.elc",input_data!$A:$A,0))*INDEX(input_data!$M:$X,MATCH(CBAM!$B$5&amp;".in.gef.---.---.---",input_data!$A:$A,0),CBAM!$P$6)/3.6)*(1-INDEX(input_data!$L:$L,MATCH("all.in.cs2.frt.amc.---",input_data!$A:$A,0)))</f>
        <v>1.8888000000000003</v>
      </c>
      <c r="O359" s="399">
        <f>O358-(INDEX(input_data!$L:$L,MATCH(CBAM!$B$5&amp;".in.ele.frt.amc.elc",input_data!$A:$A,0))*INDEX(input_data!$M:$X,MATCH(CBAM!$B$5&amp;".in.gef.---.---.---",input_data!$A:$A,0),CBAM!$P$6)/3.6)*(1-INDEX(input_data!$L:$L,MATCH("all.in.cs2.frt.amc.---",input_data!$A:$A,0)))</f>
        <v>1.8888000000000003</v>
      </c>
      <c r="P359" s="399">
        <f>P358-(INDEX(input_data!$L:$L,MATCH(CBAM!$B$5&amp;".in.ele.frt.amc.elc",input_data!$A:$A,0))*INDEX(input_data!$M:$X,MATCH(CBAM!$B$5&amp;".in.gef.---.---.---",input_data!$A:$A,0),CBAM!$P$6)/3.6)*(1-INDEX(input_data!$L:$L,MATCH("all.in.cs2.frt.amc.---",input_data!$A:$A,0)))</f>
        <v>1.8888000000000003</v>
      </c>
      <c r="Q359" s="399">
        <f>Q358-(INDEX(input_data!$L:$L,MATCH(CBAM!$B$5&amp;".in.ele.frt.amc.elc",input_data!$A:$A,0))*INDEX(input_data!$M:$X,MATCH(CBAM!$B$5&amp;".in.gef.---.---.---",input_data!$A:$A,0),CBAM!$P$6)/3.6)*(1-INDEX(input_data!$L:$L,MATCH("all.in.cs2.frt.amc.---",input_data!$A:$A,0)))</f>
        <v>1.8888000000000003</v>
      </c>
      <c r="R359" s="399">
        <f>R358-(INDEX(input_data!$L:$L,MATCH(CBAM!$B$5&amp;".in.ele.frt.amc.elc",input_data!$A:$A,0))*INDEX(input_data!$M:$X,MATCH(CBAM!$B$5&amp;".in.gef.---.---.---",input_data!$A:$A,0),CBAM!$P$6)/3.6)*(1-INDEX(input_data!$L:$L,MATCH("all.in.cs2.frt.amc.---",input_data!$A:$A,0)))</f>
        <v>1.8888000000000003</v>
      </c>
      <c r="S359" s="399">
        <f>S358-(INDEX(input_data!$L:$L,MATCH(CBAM!$B$5&amp;".in.ele.frt.amc.elc",input_data!$A:$A,0))*INDEX(input_data!$M:$X,MATCH(CBAM!$B$5&amp;".in.gef.---.---.---",input_data!$A:$A,0),CBAM!$P$6)/3.6)*(1-INDEX(input_data!$L:$L,MATCH("all.in.cs2.frt.amc.---",input_data!$A:$A,0)))</f>
        <v>1.8888000000000003</v>
      </c>
      <c r="T359" s="399">
        <f>T358-(INDEX(input_data!$L:$L,MATCH(CBAM!$B$5&amp;".in.ele.frt.amc.elc",input_data!$A:$A,0))*INDEX(input_data!$M:$X,MATCH(CBAM!$B$5&amp;".in.gef.---.---.---",input_data!$A:$A,0),CBAM!$P$6)/3.6)*(1-INDEX(input_data!$L:$L,MATCH("all.in.cs2.frt.amc.---",input_data!$A:$A,0)))</f>
        <v>1.8888000000000003</v>
      </c>
      <c r="U359" s="399">
        <f>U358-(INDEX(input_data!$L:$L,MATCH(CBAM!$B$5&amp;".in.ele.frt.amc.elc",input_data!$A:$A,0))*INDEX(input_data!$M:$X,MATCH(CBAM!$B$5&amp;".in.gef.---.---.---",input_data!$A:$A,0),CBAM!$P$6)/3.6)*(1-INDEX(input_data!$L:$L,MATCH("all.in.cs2.frt.amc.---",input_data!$A:$A,0)))</f>
        <v>1.8888000000000003</v>
      </c>
      <c r="V359" s="399">
        <f>V358-(INDEX(input_data!$L:$L,MATCH(CBAM!$B$5&amp;".in.ele.frt.amc.elc",input_data!$A:$A,0))*INDEX(input_data!$M:$X,MATCH(CBAM!$B$5&amp;".in.gef.---.---.---",input_data!$A:$A,0),CBAM!$P$6)/3.6)*(1-INDEX(input_data!$L:$L,MATCH("all.in.cs2.frt.amc.---",input_data!$A:$A,0)))</f>
        <v>1.8888000000000003</v>
      </c>
      <c r="W359" s="399">
        <f>W358-(INDEX(input_data!$L:$L,MATCH(CBAM!$B$5&amp;".in.ele.frt.amc.elc",input_data!$A:$A,0))*INDEX(input_data!$M:$X,MATCH(CBAM!$B$5&amp;".in.gef.---.---.---",input_data!$A:$A,0),CBAM!$P$6)/3.6)*(1-INDEX(input_data!$L:$L,MATCH("all.in.cs2.frt.amc.---",input_data!$A:$A,0)))</f>
        <v>1.8888000000000003</v>
      </c>
      <c r="X359" s="399">
        <f>X358-(INDEX(input_data!$L:$L,MATCH(CBAM!$B$5&amp;".in.ele.frt.amc.elc",input_data!$A:$A,0))*INDEX(input_data!$M:$X,MATCH(CBAM!$B$5&amp;".in.gef.---.---.---",input_data!$A:$A,0),CBAM!$P$6)/3.6)*(1-INDEX(input_data!$L:$L,MATCH("all.in.cs2.frt.amc.---",input_data!$A:$A,0)))</f>
        <v>1.8888000000000003</v>
      </c>
    </row>
    <row r="360" spans="1:24" ht="15.75" customHeight="1" x14ac:dyDescent="0.25">
      <c r="A360" s="398" t="str">
        <f>CBAM!$B$5&amp;".ief.tot.frt.ure.---"</f>
        <v>egy.ief.tot.frt.ure.---</v>
      </c>
      <c r="H360" s="398" t="s">
        <v>1695</v>
      </c>
      <c r="M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N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O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P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Q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R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S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T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U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V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W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c r="X360" s="399">
        <f>(INDEX(input_data!$L:$L,MATCH(CBAM!$B$5&amp;".in.enc.frt.ure.coa",input_data!$A:$A,0))*INDEX(calculations!$M:$X,10,1)+INDEX(input_data!$L:$L,MATCH(CBAM!$B$5&amp;".in.enc.frt.ure.nga",input_data!$A:$A,0))*INDEX(calculations!$M:$X,11,1)+INDEX(input_data!$L:$L,MATCH(CBAM!$B$5&amp;".in.enc.frt.ure.gso",input_data!$A:$A,0))*INDEX(calculations!$M:$X,12,1)+INDEX(input_data!$L:$L,MATCH(CBAM!$B$5&amp;".in.enc.frt.ure.die",input_data!$A:$A,0))*INDEX(calculations!$M:$X,13,1)+INDEX(input_data!$L:$L,MATCH(CBAM!$B$5&amp;".in.enc.frt.ure.ker",input_data!$A:$A,0))*INDEX(calculations!$M:$X,14,1)+INDEX(input_data!$L:$L,MATCH(CBAM!$B$5&amp;".in.enc.frt.ure.lpg",input_data!$A:$A,0))*INDEX(calculations!$M:$X,15,1)+INDEX(input_data!$L:$L,MATCH(CBAM!$B$5&amp;".in.enc.frt.ure.bio",input_data!$A:$A,0))*INDEX(calculations!$M:$X,16,1)+INDEX(input_data!$L:$L,MATCH(CBAM!$B$5&amp;".in.enc.frt.ure.ren",input_data!$A:$A,0))*INDEX(calculations!$M:$X,17,1))/1000+(INDEX(input_data!$L:$L,MATCH(CBAM!$B$5&amp;".in.enp.frt.ure.coa",input_data!$A:$A,0))*INDEX(calculations!$M:$X,10,1)+INDEX(input_data!$L:$L,MATCH(CBAM!$B$5&amp;".in.enp.frt.ure.nga",input_data!$A:$A,0))*INDEX(calculations!$M:$X,11,1)+INDEX(input_data!$L:$L,MATCH(CBAM!$B$5&amp;".in.enp.frt.ure.gso",input_data!$A:$A,0))*INDEX(calculations!$M:$X,12,1)+INDEX(input_data!$L:$L,MATCH(CBAM!$B$5&amp;".in.enp.frt.ure.die",input_data!$A:$A,0))*INDEX(calculations!$M:$X,13,1)+INDEX(input_data!$L:$L,MATCH(CBAM!$B$5&amp;".in.enp.frt.ure.ker",input_data!$A:$A,0))*INDEX(calculations!$M:$X,14,1)+INDEX(input_data!$L:$L,MATCH(CBAM!$B$5&amp;".in.enp.frt.ure.lpg",input_data!$A:$A,0))*INDEX(calculations!$M:$X,15,1)+INDEX(input_data!$L:$L,MATCH(CBAM!$B$5&amp;".in.enp.frt.ure.bio",input_data!$A:$A,0))*INDEX(calculations!$M:$X,16,1)+INDEX(input_data!$L:$L,MATCH(CBAM!$B$5&amp;".in.enp.frt.ure.ren",input_data!$A:$A,0))*INDEX(calculations!$M:$X,17,1))/1000+INDEX(input_data!$L:$L,MATCH(CBAM!$B$5&amp;".in.efn.frt.ure.---",input_data!$A:$A,0))+INDEX(input_data!$L:$L,MATCH(CBAM!$B$5&amp;".in.efo.frt.ure.---",input_data!$A:$A,0))+INDEX(input_data!$L:$L,MATCH(CBAM!$B$5&amp;".in.ele.frt.ure.elc",input_data!$A:$A,0))*INDEX(input_data!$M:$X,MATCH(CBAM!$B$5&amp;".in.gef.---.---.---",input_data!$A:$A,0),CBAM!$P$6)/3.6+INDEX(input_data!$L:$L,MATCH("all.in.nh3.frt.ure.---",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0.46638710000000005</v>
      </c>
    </row>
    <row r="361" spans="1:24" ht="15.75" customHeight="1" x14ac:dyDescent="0.25">
      <c r="A361" s="398" t="str">
        <f>CBAM!$B$5&amp;".ief.mrv.frt.ure.---"</f>
        <v>egy.ief.mrv.frt.ure.---</v>
      </c>
      <c r="H361" s="398" t="s">
        <v>1696</v>
      </c>
      <c r="M361" s="399">
        <f>M360-(INDEX(input_data!$L:$L,MATCH(CBAM!$B$5&amp;".in.ele.frt.ure.elc",input_data!$A:$A,0))*INDEX(input_data!$M:$X,MATCH(CBAM!$B$5&amp;".in.gef.---.---.---",input_data!$A:$A,0),CBAM!$P$6)/3.6)*(1-INDEX(input_data!$L:$L,MATCH("all.in.cs2.frt.ure.---",input_data!$A:$A,0)))</f>
        <v>0.46638710000000005</v>
      </c>
      <c r="N361" s="399">
        <f>N360-(INDEX(input_data!$L:$L,MATCH(CBAM!$B$5&amp;".in.ele.frt.ure.elc",input_data!$A:$A,0))*INDEX(input_data!$M:$X,MATCH(CBAM!$B$5&amp;".in.gef.---.---.---",input_data!$A:$A,0),CBAM!$P$6)/3.6)*(1-INDEX(input_data!$L:$L,MATCH("all.in.cs2.frt.ure.---",input_data!$A:$A,0)))</f>
        <v>0.46638710000000005</v>
      </c>
      <c r="O361" s="399">
        <f>O360-(INDEX(input_data!$L:$L,MATCH(CBAM!$B$5&amp;".in.ele.frt.ure.elc",input_data!$A:$A,0))*INDEX(input_data!$M:$X,MATCH(CBAM!$B$5&amp;".in.gef.---.---.---",input_data!$A:$A,0),CBAM!$P$6)/3.6)*(1-INDEX(input_data!$L:$L,MATCH("all.in.cs2.frt.ure.---",input_data!$A:$A,0)))</f>
        <v>0.46638710000000005</v>
      </c>
      <c r="P361" s="399">
        <f>P360-(INDEX(input_data!$L:$L,MATCH(CBAM!$B$5&amp;".in.ele.frt.ure.elc",input_data!$A:$A,0))*INDEX(input_data!$M:$X,MATCH(CBAM!$B$5&amp;".in.gef.---.---.---",input_data!$A:$A,0),CBAM!$P$6)/3.6)*(1-INDEX(input_data!$L:$L,MATCH("all.in.cs2.frt.ure.---",input_data!$A:$A,0)))</f>
        <v>0.46638710000000005</v>
      </c>
      <c r="Q361" s="399">
        <f>Q360-(INDEX(input_data!$L:$L,MATCH(CBAM!$B$5&amp;".in.ele.frt.ure.elc",input_data!$A:$A,0))*INDEX(input_data!$M:$X,MATCH(CBAM!$B$5&amp;".in.gef.---.---.---",input_data!$A:$A,0),CBAM!$P$6)/3.6)*(1-INDEX(input_data!$L:$L,MATCH("all.in.cs2.frt.ure.---",input_data!$A:$A,0)))</f>
        <v>0.46638710000000005</v>
      </c>
      <c r="R361" s="399">
        <f>R360-(INDEX(input_data!$L:$L,MATCH(CBAM!$B$5&amp;".in.ele.frt.ure.elc",input_data!$A:$A,0))*INDEX(input_data!$M:$X,MATCH(CBAM!$B$5&amp;".in.gef.---.---.---",input_data!$A:$A,0),CBAM!$P$6)/3.6)*(1-INDEX(input_data!$L:$L,MATCH("all.in.cs2.frt.ure.---",input_data!$A:$A,0)))</f>
        <v>0.46638710000000005</v>
      </c>
      <c r="S361" s="399">
        <f>S360-(INDEX(input_data!$L:$L,MATCH(CBAM!$B$5&amp;".in.ele.frt.ure.elc",input_data!$A:$A,0))*INDEX(input_data!$M:$X,MATCH(CBAM!$B$5&amp;".in.gef.---.---.---",input_data!$A:$A,0),CBAM!$P$6)/3.6)*(1-INDEX(input_data!$L:$L,MATCH("all.in.cs2.frt.ure.---",input_data!$A:$A,0)))</f>
        <v>0.46638710000000005</v>
      </c>
      <c r="T361" s="399">
        <f>T360-(INDEX(input_data!$L:$L,MATCH(CBAM!$B$5&amp;".in.ele.frt.ure.elc",input_data!$A:$A,0))*INDEX(input_data!$M:$X,MATCH(CBAM!$B$5&amp;".in.gef.---.---.---",input_data!$A:$A,0),CBAM!$P$6)/3.6)*(1-INDEX(input_data!$L:$L,MATCH("all.in.cs2.frt.ure.---",input_data!$A:$A,0)))</f>
        <v>0.46638710000000005</v>
      </c>
      <c r="U361" s="399">
        <f>U360-(INDEX(input_data!$L:$L,MATCH(CBAM!$B$5&amp;".in.ele.frt.ure.elc",input_data!$A:$A,0))*INDEX(input_data!$M:$X,MATCH(CBAM!$B$5&amp;".in.gef.---.---.---",input_data!$A:$A,0),CBAM!$P$6)/3.6)*(1-INDEX(input_data!$L:$L,MATCH("all.in.cs2.frt.ure.---",input_data!$A:$A,0)))</f>
        <v>0.46638710000000005</v>
      </c>
      <c r="V361" s="399">
        <f>V360-(INDEX(input_data!$L:$L,MATCH(CBAM!$B$5&amp;".in.ele.frt.ure.elc",input_data!$A:$A,0))*INDEX(input_data!$M:$X,MATCH(CBAM!$B$5&amp;".in.gef.---.---.---",input_data!$A:$A,0),CBAM!$P$6)/3.6)*(1-INDEX(input_data!$L:$L,MATCH("all.in.cs2.frt.ure.---",input_data!$A:$A,0)))</f>
        <v>0.46638710000000005</v>
      </c>
      <c r="W361" s="399">
        <f>W360-(INDEX(input_data!$L:$L,MATCH(CBAM!$B$5&amp;".in.ele.frt.ure.elc",input_data!$A:$A,0))*INDEX(input_data!$M:$X,MATCH(CBAM!$B$5&amp;".in.gef.---.---.---",input_data!$A:$A,0),CBAM!$P$6)/3.6)*(1-INDEX(input_data!$L:$L,MATCH("all.in.cs2.frt.ure.---",input_data!$A:$A,0)))</f>
        <v>0.46638710000000005</v>
      </c>
      <c r="X361" s="399">
        <f>X360-(INDEX(input_data!$L:$L,MATCH(CBAM!$B$5&amp;".in.ele.frt.ure.elc",input_data!$A:$A,0))*INDEX(input_data!$M:$X,MATCH(CBAM!$B$5&amp;".in.gef.---.---.---",input_data!$A:$A,0),CBAM!$P$6)/3.6)*(1-INDEX(input_data!$L:$L,MATCH("all.in.cs2.frt.ure.---",input_data!$A:$A,0)))</f>
        <v>0.46638710000000005</v>
      </c>
    </row>
    <row r="362" spans="1:24" ht="15.75" customHeight="1" x14ac:dyDescent="0.25">
      <c r="A362" s="398" t="str">
        <f>CBAM!$B$5&amp;".ief.tot.frt.nit.---"</f>
        <v>egy.ief.tot.frt.nit.---</v>
      </c>
      <c r="H362" s="398" t="s">
        <v>1697</v>
      </c>
      <c r="M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N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O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P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Q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R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S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T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U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V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W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c r="X362" s="399">
        <f>(INDEX(input_data!$L:$L,MATCH(CBAM!$B$5&amp;".in.enc.frt.nit.coa",input_data!$A:$A,0))*INDEX(calculations!$M:$X,10,1)+INDEX(input_data!$L:$L,MATCH(CBAM!$B$5&amp;".in.enc.frt.nit.nga",input_data!$A:$A,0))*INDEX(calculations!$M:$X,11,1)+INDEX(input_data!$L:$L,MATCH(CBAM!$B$5&amp;".in.enc.frt.nit.gso",input_data!$A:$A,0))*INDEX(calculations!$M:$X,12,1)+INDEX(input_data!$L:$L,MATCH(CBAM!$B$5&amp;".in.enc.frt.nit.die",input_data!$A:$A,0))*INDEX(calculations!$M:$X,13,1)+INDEX(input_data!$L:$L,MATCH(CBAM!$B$5&amp;".in.enc.frt.nit.ker",input_data!$A:$A,0))*INDEX(calculations!$M:$X,14,1)+INDEX(input_data!$L:$L,MATCH(CBAM!$B$5&amp;".in.enc.frt.nit.lpg",input_data!$A:$A,0))*INDEX(calculations!$M:$X,15,1)+INDEX(input_data!$L:$L,MATCH(CBAM!$B$5&amp;".in.enc.frt.nit.bio",input_data!$A:$A,0))*INDEX(calculations!$M:$X,16,1)+INDEX(input_data!$L:$L,MATCH(CBAM!$B$5&amp;".in.enc.frt.nit.ren",input_data!$A:$A,0))*INDEX(calculations!$M:$X,17,1))/1000+(INDEX(input_data!$L:$L,MATCH(CBAM!$B$5&amp;".in.enp.frt.nit.coa",input_data!$A:$A,0))*INDEX(calculations!$M:$X,10,1)+INDEX(input_data!$L:$L,MATCH(CBAM!$B$5&amp;".in.enp.frt.nit.nga",input_data!$A:$A,0))*INDEX(calculations!$M:$X,11,1)+INDEX(input_data!$L:$L,MATCH(CBAM!$B$5&amp;".in.enp.frt.nit.gso",input_data!$A:$A,0))*INDEX(calculations!$M:$X,12,1)+INDEX(input_data!$L:$L,MATCH(CBAM!$B$5&amp;".in.enp.frt.nit.die",input_data!$A:$A,0))*INDEX(calculations!$M:$X,13,1)+INDEX(input_data!$L:$L,MATCH(CBAM!$B$5&amp;".in.enp.frt.nit.ker",input_data!$A:$A,0))*INDEX(calculations!$M:$X,14,1)+INDEX(input_data!$L:$L,MATCH(CBAM!$B$5&amp;".in.enp.frt.nit.lpg",input_data!$A:$A,0))*INDEX(calculations!$M:$X,15,1)+INDEX(input_data!$L:$L,MATCH(CBAM!$B$5&amp;".in.enp.frt.nit.bio",input_data!$A:$A,0))*INDEX(calculations!$M:$X,16,1)+INDEX(input_data!$L:$L,MATCH(CBAM!$B$5&amp;".in.enp.frt.nit.ren",input_data!$A:$A,0))*INDEX(calculations!$M:$X,17,1))/1000+INDEX(input_data!$L:$L,MATCH(CBAM!$B$5&amp;".in.efn.frt.nit.---",input_data!$A:$A,0))+INDEX(input_data!$L:$L,MATCH(CBAM!$B$5&amp;".in.efo.frt.nit.---",input_data!$A:$A,0))+INDEX(input_data!$L:$L,MATCH(CBAM!$B$5&amp;".in.ele.frt.nit.elc",input_data!$A:$A,0))*INDEX(input_data!$M:$X,MATCH(CBAM!$B$5&amp;".in.gef.---.---.---",input_data!$A:$A,0),CBAM!$P$6)/3.6+INDEX(input_data!$L:$L,MATCH("all.in.nh3.frt.nit.---",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1.5202769</v>
      </c>
    </row>
    <row r="363" spans="1:24" ht="15.75" customHeight="1" x14ac:dyDescent="0.25">
      <c r="A363" s="398" t="str">
        <f>CBAM!$B$5&amp;".ief.mrv.frt.nit.---"</f>
        <v>egy.ief.mrv.frt.nit.---</v>
      </c>
      <c r="H363" s="398" t="s">
        <v>1698</v>
      </c>
      <c r="M363" s="399">
        <f>M362-(INDEX(input_data!$L:$L,MATCH(CBAM!$B$5&amp;".in.ele.frt.nit.elc",input_data!$A:$A,0))*INDEX(input_data!$M:$X,MATCH(CBAM!$B$5&amp;".in.gef.---.---.---",input_data!$A:$A,0),CBAM!$P$6)/3.6)*(1-INDEX(input_data!$L:$L,MATCH("all.in.cs2.frt.nit.---",input_data!$A:$A,0)))</f>
        <v>1.5202769</v>
      </c>
      <c r="N363" s="399">
        <f>N362-(INDEX(input_data!$L:$L,MATCH(CBAM!$B$5&amp;".in.ele.frt.nit.elc",input_data!$A:$A,0))*INDEX(input_data!$M:$X,MATCH(CBAM!$B$5&amp;".in.gef.---.---.---",input_data!$A:$A,0),CBAM!$P$6)/3.6)*(1-INDEX(input_data!$L:$L,MATCH("all.in.cs2.frt.nit.---",input_data!$A:$A,0)))</f>
        <v>1.5202769</v>
      </c>
      <c r="O363" s="399">
        <f>O362-(INDEX(input_data!$L:$L,MATCH(CBAM!$B$5&amp;".in.ele.frt.nit.elc",input_data!$A:$A,0))*INDEX(input_data!$M:$X,MATCH(CBAM!$B$5&amp;".in.gef.---.---.---",input_data!$A:$A,0),CBAM!$P$6)/3.6)*(1-INDEX(input_data!$L:$L,MATCH("all.in.cs2.frt.nit.---",input_data!$A:$A,0)))</f>
        <v>1.5202769</v>
      </c>
      <c r="P363" s="399">
        <f>P362-(INDEX(input_data!$L:$L,MATCH(CBAM!$B$5&amp;".in.ele.frt.nit.elc",input_data!$A:$A,0))*INDEX(input_data!$M:$X,MATCH(CBAM!$B$5&amp;".in.gef.---.---.---",input_data!$A:$A,0),CBAM!$P$6)/3.6)*(1-INDEX(input_data!$L:$L,MATCH("all.in.cs2.frt.nit.---",input_data!$A:$A,0)))</f>
        <v>1.5202769</v>
      </c>
      <c r="Q363" s="399">
        <f>Q362-(INDEX(input_data!$L:$L,MATCH(CBAM!$B$5&amp;".in.ele.frt.nit.elc",input_data!$A:$A,0))*INDEX(input_data!$M:$X,MATCH(CBAM!$B$5&amp;".in.gef.---.---.---",input_data!$A:$A,0),CBAM!$P$6)/3.6)*(1-INDEX(input_data!$L:$L,MATCH("all.in.cs2.frt.nit.---",input_data!$A:$A,0)))</f>
        <v>1.5202769</v>
      </c>
      <c r="R363" s="399">
        <f>R362-(INDEX(input_data!$L:$L,MATCH(CBAM!$B$5&amp;".in.ele.frt.nit.elc",input_data!$A:$A,0))*INDEX(input_data!$M:$X,MATCH(CBAM!$B$5&amp;".in.gef.---.---.---",input_data!$A:$A,0),CBAM!$P$6)/3.6)*(1-INDEX(input_data!$L:$L,MATCH("all.in.cs2.frt.nit.---",input_data!$A:$A,0)))</f>
        <v>1.5202769</v>
      </c>
      <c r="S363" s="399">
        <f>S362-(INDEX(input_data!$L:$L,MATCH(CBAM!$B$5&amp;".in.ele.frt.nit.elc",input_data!$A:$A,0))*INDEX(input_data!$M:$X,MATCH(CBAM!$B$5&amp;".in.gef.---.---.---",input_data!$A:$A,0),CBAM!$P$6)/3.6)*(1-INDEX(input_data!$L:$L,MATCH("all.in.cs2.frt.nit.---",input_data!$A:$A,0)))</f>
        <v>1.5202769</v>
      </c>
      <c r="T363" s="399">
        <f>T362-(INDEX(input_data!$L:$L,MATCH(CBAM!$B$5&amp;".in.ele.frt.nit.elc",input_data!$A:$A,0))*INDEX(input_data!$M:$X,MATCH(CBAM!$B$5&amp;".in.gef.---.---.---",input_data!$A:$A,0),CBAM!$P$6)/3.6)*(1-INDEX(input_data!$L:$L,MATCH("all.in.cs2.frt.nit.---",input_data!$A:$A,0)))</f>
        <v>1.5202769</v>
      </c>
      <c r="U363" s="399">
        <f>U362-(INDEX(input_data!$L:$L,MATCH(CBAM!$B$5&amp;".in.ele.frt.nit.elc",input_data!$A:$A,0))*INDEX(input_data!$M:$X,MATCH(CBAM!$B$5&amp;".in.gef.---.---.---",input_data!$A:$A,0),CBAM!$P$6)/3.6)*(1-INDEX(input_data!$L:$L,MATCH("all.in.cs2.frt.nit.---",input_data!$A:$A,0)))</f>
        <v>1.5202769</v>
      </c>
      <c r="V363" s="399">
        <f>V362-(INDEX(input_data!$L:$L,MATCH(CBAM!$B$5&amp;".in.ele.frt.nit.elc",input_data!$A:$A,0))*INDEX(input_data!$M:$X,MATCH(CBAM!$B$5&amp;".in.gef.---.---.---",input_data!$A:$A,0),CBAM!$P$6)/3.6)*(1-INDEX(input_data!$L:$L,MATCH("all.in.cs2.frt.nit.---",input_data!$A:$A,0)))</f>
        <v>1.5202769</v>
      </c>
      <c r="W363" s="399">
        <f>W362-(INDEX(input_data!$L:$L,MATCH(CBAM!$B$5&amp;".in.ele.frt.nit.elc",input_data!$A:$A,0))*INDEX(input_data!$M:$X,MATCH(CBAM!$B$5&amp;".in.gef.---.---.---",input_data!$A:$A,0),CBAM!$P$6)/3.6)*(1-INDEX(input_data!$L:$L,MATCH("all.in.cs2.frt.nit.---",input_data!$A:$A,0)))</f>
        <v>1.5202769</v>
      </c>
      <c r="X363" s="399">
        <f>X362-(INDEX(input_data!$L:$L,MATCH(CBAM!$B$5&amp;".in.ele.frt.nit.elc",input_data!$A:$A,0))*INDEX(input_data!$M:$X,MATCH(CBAM!$B$5&amp;".in.gef.---.---.---",input_data!$A:$A,0),CBAM!$P$6)/3.6)*(1-INDEX(input_data!$L:$L,MATCH("all.in.cs2.frt.nit.---",input_data!$A:$A,0)))</f>
        <v>1.5202769</v>
      </c>
    </row>
    <row r="364" spans="1:24" ht="15.75" customHeight="1" x14ac:dyDescent="0.25">
      <c r="A364" s="398" t="str">
        <f>CBAM!$B$5&amp;".ief.tot.alu.prp.---"</f>
        <v>egy.ief.tot.alu.prp.---</v>
      </c>
      <c r="H364" s="398" t="s">
        <v>1699</v>
      </c>
      <c r="M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N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O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P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Q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R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S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T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U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V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W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c r="X364" s="399">
        <f>(INDEX(input_data!$L:$L,MATCH(CBAM!$B$5&amp;".in.enc.alu.prp.coa",input_data!$A:$A,0))*INDEX(calculations!$M:$X,10,1)+INDEX(input_data!$L:$L,MATCH(CBAM!$B$5&amp;".in.enc.alu.prp.nga",input_data!$A:$A,0))*INDEX(calculations!$M:$X,11,1)+INDEX(input_data!$L:$L,MATCH(CBAM!$B$5&amp;".in.enc.alu.prp.gso",input_data!$A:$A,0))*INDEX(calculations!$M:$X,12,1)+INDEX(input_data!$L:$L,MATCH(CBAM!$B$5&amp;".in.enc.alu.prp.die",input_data!$A:$A,0))*INDEX(calculations!$M:$X,13,1)+INDEX(input_data!$L:$L,MATCH(CBAM!$B$5&amp;".in.enc.alu.prp.ker",input_data!$A:$A,0))*INDEX(calculations!$M:$X,14,1)+INDEX(input_data!$L:$L,MATCH(CBAM!$B$5&amp;".in.enc.alu.prp.lpg",input_data!$A:$A,0))*INDEX(calculations!$M:$X,15,1)+INDEX(input_data!$L:$L,MATCH(CBAM!$B$5&amp;".in.enc.alu.prp.bio",input_data!$A:$A,0))*INDEX(calculations!$M:$X,16,1)+INDEX(input_data!$L:$L,MATCH(CBAM!$B$5&amp;".in.enc.alu.prp.ren",input_data!$A:$A,0))*INDEX(calculations!$M:$X,17,1))/1000+(INDEX(input_data!$L:$L,MATCH(CBAM!$B$5&amp;".in.enp.alu.prp.coa",input_data!$A:$A,0))*INDEX(calculations!$M:$X,10,1)+INDEX(input_data!$L:$L,MATCH(CBAM!$B$5&amp;".in.enp.alu.prp.nga",input_data!$A:$A,0))*INDEX(calculations!$M:$X,11,1)+INDEX(input_data!$L:$L,MATCH(CBAM!$B$5&amp;".in.enp.alu.prp.gso",input_data!$A:$A,0))*INDEX(calculations!$M:$X,12,1)+INDEX(input_data!$L:$L,MATCH(CBAM!$B$5&amp;".in.enp.alu.prp.die",input_data!$A:$A,0))*INDEX(calculations!$M:$X,13,1)+INDEX(input_data!$L:$L,MATCH(CBAM!$B$5&amp;".in.enp.alu.prp.ker",input_data!$A:$A,0))*INDEX(calculations!$M:$X,14,1)+INDEX(input_data!$L:$L,MATCH(CBAM!$B$5&amp;".in.enp.alu.prp.lpg",input_data!$A:$A,0))*INDEX(calculations!$M:$X,15,1)+INDEX(input_data!$L:$L,MATCH(CBAM!$B$5&amp;".in.enp.alu.prp.bio",input_data!$A:$A,0))*INDEX(calculations!$M:$X,16,1)+INDEX(input_data!$L:$L,MATCH(CBAM!$B$5&amp;".in.enp.alu.prp.ren",input_data!$A:$A,0))*INDEX(calculations!$M:$X,17,1))/1000+INDEX(input_data!$L:$L,MATCH(CBAM!$B$5&amp;".in.efn.alu.prp.---",input_data!$A:$A,0))+INDEX(input_data!$L:$L,MATCH(CBAM!$B$5&amp;".in.efo.alu.prp.---",input_data!$A:$A,0))+INDEX(input_data!$L:$L,MATCH(CBAM!$B$5&amp;".in.ele.alu.prp.elc",input_data!$A:$A,0))*INDEX(input_data!$M:$X,MATCH(CBAM!$B$5&amp;".in.gef.---.---.---",input_data!$A:$A,0),CBAM!$P$6)/3.6+INDEX(input_data!$L:$L,MATCH("all.in.nh3.alu.prp.---",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9.2482000000000006</v>
      </c>
    </row>
    <row r="365" spans="1:24" ht="15.75" customHeight="1" x14ac:dyDescent="0.25">
      <c r="A365" s="398" t="str">
        <f>CBAM!$B$5&amp;".ief.mrv.alu.prp.---"</f>
        <v>egy.ief.mrv.alu.prp.---</v>
      </c>
      <c r="H365" s="398" t="s">
        <v>1700</v>
      </c>
      <c r="M365" s="399">
        <f>M364-(INDEX(input_data!$L:$L,MATCH(CBAM!$B$5&amp;".in.ele.alu.prp.elc",input_data!$A:$A,0))*INDEX(input_data!$M:$X,MATCH(CBAM!$B$5&amp;".in.gef.---.---.---",input_data!$A:$A,0),CBAM!$P$6)/3.6)*(1-INDEX(input_data!$L:$L,MATCH("all.in.cs2.alu.prp.---",input_data!$A:$A,0)))</f>
        <v>2.4982000000000006</v>
      </c>
      <c r="N365" s="399">
        <f>N364-(INDEX(input_data!$L:$L,MATCH(CBAM!$B$5&amp;".in.ele.alu.prp.elc",input_data!$A:$A,0))*INDEX(input_data!$M:$X,MATCH(CBAM!$B$5&amp;".in.gef.---.---.---",input_data!$A:$A,0),CBAM!$P$6)/3.6)*(1-INDEX(input_data!$L:$L,MATCH("all.in.cs2.alu.prp.---",input_data!$A:$A,0)))</f>
        <v>2.4982000000000006</v>
      </c>
      <c r="O365" s="399">
        <f>O364-(INDEX(input_data!$L:$L,MATCH(CBAM!$B$5&amp;".in.ele.alu.prp.elc",input_data!$A:$A,0))*INDEX(input_data!$M:$X,MATCH(CBAM!$B$5&amp;".in.gef.---.---.---",input_data!$A:$A,0),CBAM!$P$6)/3.6)*(1-INDEX(input_data!$L:$L,MATCH("all.in.cs2.alu.prp.---",input_data!$A:$A,0)))</f>
        <v>2.4982000000000006</v>
      </c>
      <c r="P365" s="399">
        <f>P364-(INDEX(input_data!$L:$L,MATCH(CBAM!$B$5&amp;".in.ele.alu.prp.elc",input_data!$A:$A,0))*INDEX(input_data!$M:$X,MATCH(CBAM!$B$5&amp;".in.gef.---.---.---",input_data!$A:$A,0),CBAM!$P$6)/3.6)*(1-INDEX(input_data!$L:$L,MATCH("all.in.cs2.alu.prp.---",input_data!$A:$A,0)))</f>
        <v>2.4982000000000006</v>
      </c>
      <c r="Q365" s="399">
        <f>Q364-(INDEX(input_data!$L:$L,MATCH(CBAM!$B$5&amp;".in.ele.alu.prp.elc",input_data!$A:$A,0))*INDEX(input_data!$M:$X,MATCH(CBAM!$B$5&amp;".in.gef.---.---.---",input_data!$A:$A,0),CBAM!$P$6)/3.6)*(1-INDEX(input_data!$L:$L,MATCH("all.in.cs2.alu.prp.---",input_data!$A:$A,0)))</f>
        <v>2.4982000000000006</v>
      </c>
      <c r="R365" s="399">
        <f>R364-(INDEX(input_data!$L:$L,MATCH(CBAM!$B$5&amp;".in.ele.alu.prp.elc",input_data!$A:$A,0))*INDEX(input_data!$M:$X,MATCH(CBAM!$B$5&amp;".in.gef.---.---.---",input_data!$A:$A,0),CBAM!$P$6)/3.6)*(1-INDEX(input_data!$L:$L,MATCH("all.in.cs2.alu.prp.---",input_data!$A:$A,0)))</f>
        <v>2.4982000000000006</v>
      </c>
      <c r="S365" s="399">
        <f>S364-(INDEX(input_data!$L:$L,MATCH(CBAM!$B$5&amp;".in.ele.alu.prp.elc",input_data!$A:$A,0))*INDEX(input_data!$M:$X,MATCH(CBAM!$B$5&amp;".in.gef.---.---.---",input_data!$A:$A,0),CBAM!$P$6)/3.6)*(1-INDEX(input_data!$L:$L,MATCH("all.in.cs2.alu.prp.---",input_data!$A:$A,0)))</f>
        <v>2.4982000000000006</v>
      </c>
      <c r="T365" s="399">
        <f>T364-(INDEX(input_data!$L:$L,MATCH(CBAM!$B$5&amp;".in.ele.alu.prp.elc",input_data!$A:$A,0))*INDEX(input_data!$M:$X,MATCH(CBAM!$B$5&amp;".in.gef.---.---.---",input_data!$A:$A,0),CBAM!$P$6)/3.6)*(1-INDEX(input_data!$L:$L,MATCH("all.in.cs2.alu.prp.---",input_data!$A:$A,0)))</f>
        <v>2.4982000000000006</v>
      </c>
      <c r="U365" s="399">
        <f>U364-(INDEX(input_data!$L:$L,MATCH(CBAM!$B$5&amp;".in.ele.alu.prp.elc",input_data!$A:$A,0))*INDEX(input_data!$M:$X,MATCH(CBAM!$B$5&amp;".in.gef.---.---.---",input_data!$A:$A,0),CBAM!$P$6)/3.6)*(1-INDEX(input_data!$L:$L,MATCH("all.in.cs2.alu.prp.---",input_data!$A:$A,0)))</f>
        <v>2.4982000000000006</v>
      </c>
      <c r="V365" s="399">
        <f>V364-(INDEX(input_data!$L:$L,MATCH(CBAM!$B$5&amp;".in.ele.alu.prp.elc",input_data!$A:$A,0))*INDEX(input_data!$M:$X,MATCH(CBAM!$B$5&amp;".in.gef.---.---.---",input_data!$A:$A,0),CBAM!$P$6)/3.6)*(1-INDEX(input_data!$L:$L,MATCH("all.in.cs2.alu.prp.---",input_data!$A:$A,0)))</f>
        <v>2.4982000000000006</v>
      </c>
      <c r="W365" s="399">
        <f>W364-(INDEX(input_data!$L:$L,MATCH(CBAM!$B$5&amp;".in.ele.alu.prp.elc",input_data!$A:$A,0))*INDEX(input_data!$M:$X,MATCH(CBAM!$B$5&amp;".in.gef.---.---.---",input_data!$A:$A,0),CBAM!$P$6)/3.6)*(1-INDEX(input_data!$L:$L,MATCH("all.in.cs2.alu.prp.---",input_data!$A:$A,0)))</f>
        <v>2.4982000000000006</v>
      </c>
      <c r="X365" s="399">
        <f>X364-(INDEX(input_data!$L:$L,MATCH(CBAM!$B$5&amp;".in.ele.alu.prp.elc",input_data!$A:$A,0))*INDEX(input_data!$M:$X,MATCH(CBAM!$B$5&amp;".in.gef.---.---.---",input_data!$A:$A,0),CBAM!$P$6)/3.6)*(1-INDEX(input_data!$L:$L,MATCH("all.in.cs2.alu.prp.---",input_data!$A:$A,0)))</f>
        <v>2.4982000000000006</v>
      </c>
    </row>
    <row r="366" spans="1:24" ht="15.75" customHeight="1" x14ac:dyDescent="0.25">
      <c r="A366" s="398" t="str">
        <f>CBAM!$B$5&amp;".ief.tot.stl.oth.---"</f>
        <v>egy.ief.tot.stl.oth.---</v>
      </c>
      <c r="H366" s="398" t="s">
        <v>1701</v>
      </c>
      <c r="M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N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O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P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Q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R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S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T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U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V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W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c r="X366" s="399">
        <f>(INDEX(input_data!$L:$L,MATCH(CBAM!$B$5&amp;".in.enc.stl.oth.coa",input_data!$A:$A,0))*INDEX(calculations!$M:$X,10,1)+INDEX(input_data!$L:$L,MATCH(CBAM!$B$5&amp;".in.enc.stl.oth.nga",input_data!$A:$A,0))*INDEX(calculations!$M:$X,11,1)+INDEX(input_data!$L:$L,MATCH(CBAM!$B$5&amp;".in.enc.stl.oth.gso",input_data!$A:$A,0))*INDEX(calculations!$M:$X,12,1)+INDEX(input_data!$L:$L,MATCH(CBAM!$B$5&amp;".in.enc.stl.oth.die",input_data!$A:$A,0))*INDEX(calculations!$M:$X,13,1)+INDEX(input_data!$L:$L,MATCH(CBAM!$B$5&amp;".in.enc.stl.oth.ker",input_data!$A:$A,0))*INDEX(calculations!$M:$X,14,1)+INDEX(input_data!$L:$L,MATCH(CBAM!$B$5&amp;".in.enc.stl.oth.lpg",input_data!$A:$A,0))*INDEX(calculations!$M:$X,15,1)+INDEX(input_data!$L:$L,MATCH(CBAM!$B$5&amp;".in.enc.stl.oth.bio",input_data!$A:$A,0))*INDEX(calculations!$M:$X,16,1)+INDEX(input_data!$L:$L,MATCH(CBAM!$B$5&amp;".in.enc.stl.oth.ren",input_data!$A:$A,0))*INDEX(calculations!$M:$X,17,1))/1000+(INDEX(input_data!$L:$L,MATCH(CBAM!$B$5&amp;".in.enp.stl.oth.coa",input_data!$A:$A,0))*INDEX(calculations!$M:$X,10,1)+INDEX(input_data!$L:$L,MATCH(CBAM!$B$5&amp;".in.enp.stl.oth.nga",input_data!$A:$A,0))*INDEX(calculations!$M:$X,11,1)+INDEX(input_data!$L:$L,MATCH(CBAM!$B$5&amp;".in.enp.stl.oth.gso",input_data!$A:$A,0))*INDEX(calculations!$M:$X,12,1)+INDEX(input_data!$L:$L,MATCH(CBAM!$B$5&amp;".in.enp.stl.oth.die",input_data!$A:$A,0))*INDEX(calculations!$M:$X,13,1)+INDEX(input_data!$L:$L,MATCH(CBAM!$B$5&amp;".in.enp.stl.oth.ker",input_data!$A:$A,0))*INDEX(calculations!$M:$X,14,1)+INDEX(input_data!$L:$L,MATCH(CBAM!$B$5&amp;".in.enp.stl.oth.lpg",input_data!$A:$A,0))*INDEX(calculations!$M:$X,15,1)+INDEX(input_data!$L:$L,MATCH(CBAM!$B$5&amp;".in.enp.stl.oth.bio",input_data!$A:$A,0))*INDEX(calculations!$M:$X,16,1)+INDEX(input_data!$L:$L,MATCH(CBAM!$B$5&amp;".in.enp.stl.oth.ren",input_data!$A:$A,0))*INDEX(calculations!$M:$X,17,1))/1000+INDEX(input_data!$L:$L,MATCH(CBAM!$B$5&amp;".in.efn.stl.oth.---",input_data!$A:$A,0))+INDEX(input_data!$L:$L,MATCH(CBAM!$B$5&amp;".in.efo.stl.oth.---",input_data!$A:$A,0))+INDEX(input_data!$L:$L,MATCH(CBAM!$B$5&amp;".in.ele.stl.oth.elc",input_data!$A:$A,0))*INDEX(input_data!$M:$X,MATCH(CBAM!$B$5&amp;".in.gef.---.---.---",input_data!$A:$A,0),CBAM!$P$6)/3.6+INDEX(input_data!$L:$L,MATCH("all.in.nh3.stl.oth.---",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1.2824</v>
      </c>
    </row>
    <row r="367" spans="1:24" ht="15.75" customHeight="1" x14ac:dyDescent="0.25">
      <c r="A367" s="398" t="str">
        <f>CBAM!$B$5&amp;".ief.mrv.stl.oth.---"</f>
        <v>egy.ief.mrv.stl.oth.---</v>
      </c>
      <c r="H367" s="398" t="s">
        <v>1702</v>
      </c>
      <c r="M367" s="399">
        <f>M366-(INDEX(input_data!$L:$L,MATCH(CBAM!$B$5&amp;".in.ele.stl.oth.elc",input_data!$A:$A,0))*INDEX(input_data!$M:$X,MATCH(CBAM!$B$5&amp;".in.gef.---.---.---",input_data!$A:$A,0),CBAM!$P$6)/3.6)*(1-INDEX(input_data!$L:$L,MATCH("all.in.cs2.stl.oth.---",input_data!$A:$A,0)))</f>
        <v>0.84489999999999998</v>
      </c>
      <c r="N367" s="399">
        <f>N366-(INDEX(input_data!$L:$L,MATCH(CBAM!$B$5&amp;".in.ele.stl.oth.elc",input_data!$A:$A,0))*INDEX(input_data!$M:$X,MATCH(CBAM!$B$5&amp;".in.gef.---.---.---",input_data!$A:$A,0),CBAM!$P$6)/3.6)*(1-INDEX(input_data!$L:$L,MATCH("all.in.cs2.stl.oth.---",input_data!$A:$A,0)))</f>
        <v>0.84489999999999998</v>
      </c>
      <c r="O367" s="399">
        <f>O366-(INDEX(input_data!$L:$L,MATCH(CBAM!$B$5&amp;".in.ele.stl.oth.elc",input_data!$A:$A,0))*INDEX(input_data!$M:$X,MATCH(CBAM!$B$5&amp;".in.gef.---.---.---",input_data!$A:$A,0),CBAM!$P$6)/3.6)*(1-INDEX(input_data!$L:$L,MATCH("all.in.cs2.stl.oth.---",input_data!$A:$A,0)))</f>
        <v>0.84489999999999998</v>
      </c>
      <c r="P367" s="399">
        <f>P366-(INDEX(input_data!$L:$L,MATCH(CBAM!$B$5&amp;".in.ele.stl.oth.elc",input_data!$A:$A,0))*INDEX(input_data!$M:$X,MATCH(CBAM!$B$5&amp;".in.gef.---.---.---",input_data!$A:$A,0),CBAM!$P$6)/3.6)*(1-INDEX(input_data!$L:$L,MATCH("all.in.cs2.stl.oth.---",input_data!$A:$A,0)))</f>
        <v>0.84489999999999998</v>
      </c>
      <c r="Q367" s="399">
        <f>Q366-(INDEX(input_data!$L:$L,MATCH(CBAM!$B$5&amp;".in.ele.stl.oth.elc",input_data!$A:$A,0))*INDEX(input_data!$M:$X,MATCH(CBAM!$B$5&amp;".in.gef.---.---.---",input_data!$A:$A,0),CBAM!$P$6)/3.6)*(1-INDEX(input_data!$L:$L,MATCH("all.in.cs2.stl.oth.---",input_data!$A:$A,0)))</f>
        <v>0.84489999999999998</v>
      </c>
      <c r="R367" s="399">
        <f>R366-(INDEX(input_data!$L:$L,MATCH(CBAM!$B$5&amp;".in.ele.stl.oth.elc",input_data!$A:$A,0))*INDEX(input_data!$M:$X,MATCH(CBAM!$B$5&amp;".in.gef.---.---.---",input_data!$A:$A,0),CBAM!$P$6)/3.6)*(1-INDEX(input_data!$L:$L,MATCH("all.in.cs2.stl.oth.---",input_data!$A:$A,0)))</f>
        <v>0.84489999999999998</v>
      </c>
      <c r="S367" s="399">
        <f>S366-(INDEX(input_data!$L:$L,MATCH(CBAM!$B$5&amp;".in.ele.stl.oth.elc",input_data!$A:$A,0))*INDEX(input_data!$M:$X,MATCH(CBAM!$B$5&amp;".in.gef.---.---.---",input_data!$A:$A,0),CBAM!$P$6)/3.6)*(1-INDEX(input_data!$L:$L,MATCH("all.in.cs2.stl.oth.---",input_data!$A:$A,0)))</f>
        <v>0.84489999999999998</v>
      </c>
      <c r="T367" s="399">
        <f>T366-(INDEX(input_data!$L:$L,MATCH(CBAM!$B$5&amp;".in.ele.stl.oth.elc",input_data!$A:$A,0))*INDEX(input_data!$M:$X,MATCH(CBAM!$B$5&amp;".in.gef.---.---.---",input_data!$A:$A,0),CBAM!$P$6)/3.6)*(1-INDEX(input_data!$L:$L,MATCH("all.in.cs2.stl.oth.---",input_data!$A:$A,0)))</f>
        <v>0.84489999999999998</v>
      </c>
      <c r="U367" s="399">
        <f>U366-(INDEX(input_data!$L:$L,MATCH(CBAM!$B$5&amp;".in.ele.stl.oth.elc",input_data!$A:$A,0))*INDEX(input_data!$M:$X,MATCH(CBAM!$B$5&amp;".in.gef.---.---.---",input_data!$A:$A,0),CBAM!$P$6)/3.6)*(1-INDEX(input_data!$L:$L,MATCH("all.in.cs2.stl.oth.---",input_data!$A:$A,0)))</f>
        <v>0.84489999999999998</v>
      </c>
      <c r="V367" s="399">
        <f>V366-(INDEX(input_data!$L:$L,MATCH(CBAM!$B$5&amp;".in.ele.stl.oth.elc",input_data!$A:$A,0))*INDEX(input_data!$M:$X,MATCH(CBAM!$B$5&amp;".in.gef.---.---.---",input_data!$A:$A,0),CBAM!$P$6)/3.6)*(1-INDEX(input_data!$L:$L,MATCH("all.in.cs2.stl.oth.---",input_data!$A:$A,0)))</f>
        <v>0.84489999999999998</v>
      </c>
      <c r="W367" s="399">
        <f>W366-(INDEX(input_data!$L:$L,MATCH(CBAM!$B$5&amp;".in.ele.stl.oth.elc",input_data!$A:$A,0))*INDEX(input_data!$M:$X,MATCH(CBAM!$B$5&amp;".in.gef.---.---.---",input_data!$A:$A,0),CBAM!$P$6)/3.6)*(1-INDEX(input_data!$L:$L,MATCH("all.in.cs2.stl.oth.---",input_data!$A:$A,0)))</f>
        <v>0.84489999999999998</v>
      </c>
      <c r="X367" s="399">
        <f>X366-(INDEX(input_data!$L:$L,MATCH(CBAM!$B$5&amp;".in.ele.stl.oth.elc",input_data!$A:$A,0))*INDEX(input_data!$M:$X,MATCH(CBAM!$B$5&amp;".in.gef.---.---.---",input_data!$A:$A,0),CBAM!$P$6)/3.6)*(1-INDEX(input_data!$L:$L,MATCH("all.in.cs2.stl.oth.---",input_data!$A:$A,0)))</f>
        <v>0.84489999999999998</v>
      </c>
    </row>
    <row r="368" spans="1:24" ht="15.75" customHeight="1" x14ac:dyDescent="0.25">
      <c r="A368" s="398" t="str">
        <f>CBAM!$B$5&amp;".ief.tot.frt.otn.---"</f>
        <v>egy.ief.tot.frt.otn.---</v>
      </c>
      <c r="H368" s="398" t="s">
        <v>1703</v>
      </c>
      <c r="M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N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O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P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Q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R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S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T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U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V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W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c r="X368" s="399">
        <f>(INDEX(input_data!$L:$L,MATCH(CBAM!$B$5&amp;".in.enc.frt.otn.coa",input_data!$A:$A,0))*INDEX(calculations!$M:$X,10,1)+INDEX(input_data!$L:$L,MATCH(CBAM!$B$5&amp;".in.enc.frt.otn.nga",input_data!$A:$A,0))*INDEX(calculations!$M:$X,11,1)+INDEX(input_data!$L:$L,MATCH(CBAM!$B$5&amp;".in.enc.frt.otn.gso",input_data!$A:$A,0))*INDEX(calculations!$M:$X,12,1)+INDEX(input_data!$L:$L,MATCH(CBAM!$B$5&amp;".in.enc.frt.otn.die",input_data!$A:$A,0))*INDEX(calculations!$M:$X,13,1)+INDEX(input_data!$L:$L,MATCH(CBAM!$B$5&amp;".in.enc.frt.otn.ker",input_data!$A:$A,0))*INDEX(calculations!$M:$X,14,1)+INDEX(input_data!$L:$L,MATCH(CBAM!$B$5&amp;".in.enc.frt.otn.lpg",input_data!$A:$A,0))*INDEX(calculations!$M:$X,15,1)+INDEX(input_data!$L:$L,MATCH(CBAM!$B$5&amp;".in.enc.frt.otn.bio",input_data!$A:$A,0))*INDEX(calculations!$M:$X,16,1)+INDEX(input_data!$L:$L,MATCH(CBAM!$B$5&amp;".in.enc.frt.otn.ren",input_data!$A:$A,0))*INDEX(calculations!$M:$X,17,1))/1000+(INDEX(input_data!$L:$L,MATCH(CBAM!$B$5&amp;".in.enp.frt.otn.coa",input_data!$A:$A,0))*INDEX(calculations!$M:$X,10,1)+INDEX(input_data!$L:$L,MATCH(CBAM!$B$5&amp;".in.enp.frt.otn.nga",input_data!$A:$A,0))*INDEX(calculations!$M:$X,11,1)+INDEX(input_data!$L:$L,MATCH(CBAM!$B$5&amp;".in.enp.frt.otn.gso",input_data!$A:$A,0))*INDEX(calculations!$M:$X,12,1)+INDEX(input_data!$L:$L,MATCH(CBAM!$B$5&amp;".in.enp.frt.otn.die",input_data!$A:$A,0))*INDEX(calculations!$M:$X,13,1)+INDEX(input_data!$L:$L,MATCH(CBAM!$B$5&amp;".in.enp.frt.otn.ker",input_data!$A:$A,0))*INDEX(calculations!$M:$X,14,1)+INDEX(input_data!$L:$L,MATCH(CBAM!$B$5&amp;".in.enp.frt.otn.lpg",input_data!$A:$A,0))*INDEX(calculations!$M:$X,15,1)+INDEX(input_data!$L:$L,MATCH(CBAM!$B$5&amp;".in.enp.frt.otn.bio",input_data!$A:$A,0))*INDEX(calculations!$M:$X,16,1)+INDEX(input_data!$L:$L,MATCH(CBAM!$B$5&amp;".in.enp.frt.otn.ren",input_data!$A:$A,0))*INDEX(calculations!$M:$X,17,1))/1000+INDEX(input_data!$L:$L,MATCH(CBAM!$B$5&amp;".in.efn.frt.otn.---",input_data!$A:$A,0))+INDEX(input_data!$L:$L,MATCH(CBAM!$B$5&amp;".in.efo.frt.otn.---",input_data!$A:$A,0))+INDEX(input_data!$L:$L,MATCH(CBAM!$B$5&amp;".in.ele.frt.otn.elc",input_data!$A:$A,0))*INDEX(input_data!$M:$X,MATCH(CBAM!$B$5&amp;".in.gef.---.---.---",input_data!$A:$A,0),CBAM!$P$6)/3.6+INDEX(input_data!$L:$L,MATCH("all.in.nh3.frt.otn.---",input_data!$A:$A,0))*((INDEX(input_data!$L:$L,MATCH(CBAM!$B$5&amp;".in.enc.frt.amc.coa",input_data!$A:$A,0))*INDEX(calculations!$M:$X,10,1)+INDEX(input_data!$L:$L,MATCH(CBAM!$B$5&amp;".in.enc.frt.amc.nga",input_data!$A:$A,0))*INDEX(calculations!$M:$X,11,1)+INDEX(input_data!$L:$L,MATCH(CBAM!$B$5&amp;".in.enc.frt.amc.gso",input_data!$A:$A,0))*INDEX(calculations!$M:$X,12,1)+INDEX(input_data!$L:$L,MATCH(CBAM!$B$5&amp;".in.enc.frt.amc.die",input_data!$A:$A,0))*INDEX(calculations!$M:$X,13,1)+INDEX(input_data!$L:$L,MATCH(CBAM!$B$5&amp;".in.enc.frt.amc.ker",input_data!$A:$A,0))*INDEX(calculations!$M:$X,14,1)+INDEX(input_data!$L:$L,MATCH(CBAM!$B$5&amp;".in.enc.frt.amc.lpg",input_data!$A:$A,0))*INDEX(calculations!$M:$X,15,1)+INDEX(input_data!$L:$L,MATCH(CBAM!$B$5&amp;".in.enc.frt.amc.bio",input_data!$A:$A,0))*INDEX(calculations!$M:$X,16,1)+INDEX(input_data!$L:$L,MATCH(CBAM!$B$5&amp;".in.enc.frt.amc.ren",input_data!$A:$A,0))*INDEX(calculations!$M:$X,17,1))/1000+(INDEX(input_data!$L:$L,MATCH(CBAM!$B$5&amp;".in.enp.frt.amc.coa",input_data!$A:$A,0))*INDEX(calculations!$M:$X,10,1)+INDEX(input_data!$L:$L,MATCH(CBAM!$B$5&amp;".in.enp.frt.amc.nga",input_data!$A:$A,0))*INDEX(calculations!$M:$X,11,1)+INDEX(input_data!$L:$L,MATCH(CBAM!$B$5&amp;".in.enp.frt.amc.gso",input_data!$A:$A,0))*INDEX(calculations!$M:$X,12,1)+INDEX(input_data!$L:$L,MATCH(CBAM!$B$5&amp;".in.enp.frt.amc.die",input_data!$A:$A,0))*INDEX(calculations!$M:$X,13,1)+INDEX(input_data!$L:$L,MATCH(CBAM!$B$5&amp;".in.enp.frt.amc.ker",input_data!$A:$A,0))*INDEX(calculations!$M:$X,14,1)+INDEX(input_data!$L:$L,MATCH(CBAM!$B$5&amp;".in.enp.frt.amc.lpg",input_data!$A:$A,0))*INDEX(calculations!$M:$X,15,1)+INDEX(input_data!$L:$L,MATCH(CBAM!$B$5&amp;".in.enp.frt.amc.bio",input_data!$A:$A,0))*INDEX(calculations!$M:$X,16,1)+INDEX(input_data!$L:$L,MATCH(CBAM!$B$5&amp;".in.enp.frt.amc.ren",input_data!$A:$A,0))*INDEX(calculations!$M:$X,17,1))/1000+INDEX(input_data!$L:$L,MATCH(CBAM!$B$5&amp;".in.efn.frt.amc.---",input_data!$A:$A,0))+INDEX(input_data!$L:$L,MATCH(CBAM!$B$5&amp;".in.efo.frt.amc.---",input_data!$A:$A,0)))</f>
        <v>0.318</v>
      </c>
    </row>
    <row r="369" spans="1:24" ht="15.75" customHeight="1" x14ac:dyDescent="0.25">
      <c r="A369" s="398" t="str">
        <f>CBAM!$B$5&amp;".ief.mrv.frt.otn.---"</f>
        <v>egy.ief.mrv.frt.otn.---</v>
      </c>
      <c r="H369" s="398" t="s">
        <v>1704</v>
      </c>
      <c r="M369" s="399">
        <f>M368-(INDEX(input_data!$L:$L,MATCH(CBAM!$B$5&amp;".in.ele.frt.otn.elc",input_data!$A:$A,0))*INDEX(input_data!$M:$X,MATCH(CBAM!$B$5&amp;".in.gef.---.---.---",input_data!$A:$A,0),CBAM!$P$6)/3.6)*(1-INDEX(input_data!$L:$L,MATCH("all.in.cs2.frt.otn.---",input_data!$A:$A,0)))</f>
        <v>0.318</v>
      </c>
      <c r="N369" s="399">
        <f>N368-(INDEX(input_data!$L:$L,MATCH(CBAM!$B$5&amp;".in.ele.frt.otn.elc",input_data!$A:$A,0))*INDEX(input_data!$M:$X,MATCH(CBAM!$B$5&amp;".in.gef.---.---.---",input_data!$A:$A,0),CBAM!$P$6)/3.6)*(1-INDEX(input_data!$L:$L,MATCH("all.in.cs2.frt.otn.---",input_data!$A:$A,0)))</f>
        <v>0.318</v>
      </c>
      <c r="O369" s="399">
        <f>O368-(INDEX(input_data!$L:$L,MATCH(CBAM!$B$5&amp;".in.ele.frt.otn.elc",input_data!$A:$A,0))*INDEX(input_data!$M:$X,MATCH(CBAM!$B$5&amp;".in.gef.---.---.---",input_data!$A:$A,0),CBAM!$P$6)/3.6)*(1-INDEX(input_data!$L:$L,MATCH("all.in.cs2.frt.otn.---",input_data!$A:$A,0)))</f>
        <v>0.318</v>
      </c>
      <c r="P369" s="399">
        <f>P368-(INDEX(input_data!$L:$L,MATCH(CBAM!$B$5&amp;".in.ele.frt.otn.elc",input_data!$A:$A,0))*INDEX(input_data!$M:$X,MATCH(CBAM!$B$5&amp;".in.gef.---.---.---",input_data!$A:$A,0),CBAM!$P$6)/3.6)*(1-INDEX(input_data!$L:$L,MATCH("all.in.cs2.frt.otn.---",input_data!$A:$A,0)))</f>
        <v>0.318</v>
      </c>
      <c r="Q369" s="399">
        <f>Q368-(INDEX(input_data!$L:$L,MATCH(CBAM!$B$5&amp;".in.ele.frt.otn.elc",input_data!$A:$A,0))*INDEX(input_data!$M:$X,MATCH(CBAM!$B$5&amp;".in.gef.---.---.---",input_data!$A:$A,0),CBAM!$P$6)/3.6)*(1-INDEX(input_data!$L:$L,MATCH("all.in.cs2.frt.otn.---",input_data!$A:$A,0)))</f>
        <v>0.318</v>
      </c>
      <c r="R369" s="399">
        <f>R368-(INDEX(input_data!$L:$L,MATCH(CBAM!$B$5&amp;".in.ele.frt.otn.elc",input_data!$A:$A,0))*INDEX(input_data!$M:$X,MATCH(CBAM!$B$5&amp;".in.gef.---.---.---",input_data!$A:$A,0),CBAM!$P$6)/3.6)*(1-INDEX(input_data!$L:$L,MATCH("all.in.cs2.frt.otn.---",input_data!$A:$A,0)))</f>
        <v>0.318</v>
      </c>
      <c r="S369" s="399">
        <f>S368-(INDEX(input_data!$L:$L,MATCH(CBAM!$B$5&amp;".in.ele.frt.otn.elc",input_data!$A:$A,0))*INDEX(input_data!$M:$X,MATCH(CBAM!$B$5&amp;".in.gef.---.---.---",input_data!$A:$A,0),CBAM!$P$6)/3.6)*(1-INDEX(input_data!$L:$L,MATCH("all.in.cs2.frt.otn.---",input_data!$A:$A,0)))</f>
        <v>0.318</v>
      </c>
      <c r="T369" s="399">
        <f>T368-(INDEX(input_data!$L:$L,MATCH(CBAM!$B$5&amp;".in.ele.frt.otn.elc",input_data!$A:$A,0))*INDEX(input_data!$M:$X,MATCH(CBAM!$B$5&amp;".in.gef.---.---.---",input_data!$A:$A,0),CBAM!$P$6)/3.6)*(1-INDEX(input_data!$L:$L,MATCH("all.in.cs2.frt.otn.---",input_data!$A:$A,0)))</f>
        <v>0.318</v>
      </c>
      <c r="U369" s="399">
        <f>U368-(INDEX(input_data!$L:$L,MATCH(CBAM!$B$5&amp;".in.ele.frt.otn.elc",input_data!$A:$A,0))*INDEX(input_data!$M:$X,MATCH(CBAM!$B$5&amp;".in.gef.---.---.---",input_data!$A:$A,0),CBAM!$P$6)/3.6)*(1-INDEX(input_data!$L:$L,MATCH("all.in.cs2.frt.otn.---",input_data!$A:$A,0)))</f>
        <v>0.318</v>
      </c>
      <c r="V369" s="399">
        <f>V368-(INDEX(input_data!$L:$L,MATCH(CBAM!$B$5&amp;".in.ele.frt.otn.elc",input_data!$A:$A,0))*INDEX(input_data!$M:$X,MATCH(CBAM!$B$5&amp;".in.gef.---.---.---",input_data!$A:$A,0),CBAM!$P$6)/3.6)*(1-INDEX(input_data!$L:$L,MATCH("all.in.cs2.frt.otn.---",input_data!$A:$A,0)))</f>
        <v>0.318</v>
      </c>
      <c r="W369" s="399">
        <f>W368-(INDEX(input_data!$L:$L,MATCH(CBAM!$B$5&amp;".in.ele.frt.otn.elc",input_data!$A:$A,0))*INDEX(input_data!$M:$X,MATCH(CBAM!$B$5&amp;".in.gef.---.---.---",input_data!$A:$A,0),CBAM!$P$6)/3.6)*(1-INDEX(input_data!$L:$L,MATCH("all.in.cs2.frt.otn.---",input_data!$A:$A,0)))</f>
        <v>0.318</v>
      </c>
      <c r="X369" s="399">
        <f>X368-(INDEX(input_data!$L:$L,MATCH(CBAM!$B$5&amp;".in.ele.frt.otn.elc",input_data!$A:$A,0))*INDEX(input_data!$M:$X,MATCH(CBAM!$B$5&amp;".in.gef.---.---.---",input_data!$A:$A,0),CBAM!$P$6)/3.6)*(1-INDEX(input_data!$L:$L,MATCH("all.in.cs2.frt.otn.---",input_data!$A:$A,0)))</f>
        <v>0.318</v>
      </c>
    </row>
  </sheetData>
  <mergeCells count="15">
    <mergeCell ref="A187:X187"/>
    <mergeCell ref="A215:X215"/>
    <mergeCell ref="A243:X243"/>
    <mergeCell ref="A285:X285"/>
    <mergeCell ref="A317:X317"/>
    <mergeCell ref="A47:X47"/>
    <mergeCell ref="A75:X75"/>
    <mergeCell ref="A103:X103"/>
    <mergeCell ref="A131:X131"/>
    <mergeCell ref="A159:X159"/>
    <mergeCell ref="A1:X1"/>
    <mergeCell ref="A2:X2"/>
    <mergeCell ref="A5:X5"/>
    <mergeCell ref="A9:X9"/>
    <mergeCell ref="A19:X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X1322"/>
  <sheetViews>
    <sheetView zoomScaleNormal="100" workbookViewId="0">
      <selection activeCell="A2" sqref="A2"/>
    </sheetView>
  </sheetViews>
  <sheetFormatPr defaultColWidth="8.7109375" defaultRowHeight="15" x14ac:dyDescent="0.25"/>
  <cols>
    <col min="1" max="1" width="36" customWidth="1"/>
    <col min="2" max="7" width="6" customWidth="1"/>
    <col min="8" max="8" width="36" customWidth="1"/>
    <col min="9" max="9" width="10" customWidth="1"/>
    <col min="10" max="10" width="40" customWidth="1"/>
    <col min="11" max="11" width="22" customWidth="1"/>
    <col min="12" max="12" width="12" customWidth="1"/>
    <col min="13" max="24" width="10" customWidth="1"/>
  </cols>
  <sheetData>
    <row r="1" spans="1:24" ht="27.75" customHeight="1" x14ac:dyDescent="0.3">
      <c r="A1" s="14" t="s">
        <v>1705</v>
      </c>
      <c r="B1" s="14"/>
      <c r="C1" s="14"/>
      <c r="D1" s="14"/>
      <c r="E1" s="14"/>
      <c r="F1" s="14"/>
      <c r="G1" s="14"/>
      <c r="H1" s="14"/>
      <c r="I1" s="14"/>
      <c r="J1" s="14"/>
      <c r="K1" s="14"/>
      <c r="L1" s="14"/>
      <c r="M1" s="14"/>
      <c r="N1" s="14"/>
      <c r="O1" s="14"/>
      <c r="P1" s="14"/>
      <c r="Q1" s="14"/>
      <c r="R1" s="14"/>
      <c r="S1" s="14"/>
      <c r="T1" s="14"/>
      <c r="U1" s="14"/>
      <c r="V1" s="14"/>
      <c r="W1" s="14"/>
      <c r="X1" s="14"/>
    </row>
    <row r="2" spans="1:24" ht="18" customHeight="1" x14ac:dyDescent="0.25">
      <c r="A2" s="13" t="s">
        <v>1706</v>
      </c>
      <c r="B2" s="13"/>
      <c r="C2" s="13"/>
      <c r="D2" s="13"/>
      <c r="E2" s="13"/>
      <c r="F2" s="13"/>
      <c r="G2" s="13"/>
      <c r="H2" s="13"/>
      <c r="I2" s="13"/>
      <c r="J2" s="13"/>
      <c r="K2" s="13"/>
      <c r="L2" s="13"/>
      <c r="M2" s="13"/>
      <c r="N2" s="13"/>
      <c r="O2" s="13"/>
      <c r="P2" s="13"/>
      <c r="Q2" s="13"/>
      <c r="R2" s="13"/>
      <c r="S2" s="13"/>
      <c r="T2" s="13"/>
      <c r="U2" s="13"/>
      <c r="V2" s="13"/>
      <c r="W2" s="13"/>
      <c r="X2" s="13"/>
    </row>
    <row r="3" spans="1:24" ht="21.75" customHeight="1" x14ac:dyDescent="0.25">
      <c r="A3" s="35" t="s">
        <v>1265</v>
      </c>
      <c r="B3" s="35" t="s">
        <v>1266</v>
      </c>
      <c r="C3" s="35" t="s">
        <v>1267</v>
      </c>
      <c r="D3" s="35" t="s">
        <v>1268</v>
      </c>
      <c r="E3" s="35" t="s">
        <v>1269</v>
      </c>
      <c r="F3" s="35" t="s">
        <v>1270</v>
      </c>
      <c r="G3" s="35" t="s">
        <v>1271</v>
      </c>
      <c r="H3" s="35" t="s">
        <v>1272</v>
      </c>
      <c r="I3" s="35" t="s">
        <v>123</v>
      </c>
      <c r="J3" s="35" t="s">
        <v>1273</v>
      </c>
      <c r="K3" s="35" t="s">
        <v>1707</v>
      </c>
      <c r="L3" s="35" t="s">
        <v>1708</v>
      </c>
      <c r="M3" s="35" t="s">
        <v>124</v>
      </c>
      <c r="N3" s="35" t="s">
        <v>125</v>
      </c>
      <c r="O3" s="35" t="s">
        <v>126</v>
      </c>
      <c r="P3" s="35" t="s">
        <v>127</v>
      </c>
      <c r="Q3" s="35" t="s">
        <v>128</v>
      </c>
      <c r="R3" s="35" t="s">
        <v>129</v>
      </c>
      <c r="S3" s="35" t="s">
        <v>130</v>
      </c>
      <c r="T3" s="35" t="s">
        <v>131</v>
      </c>
      <c r="U3" s="35" t="s">
        <v>132</v>
      </c>
      <c r="V3" s="35" t="s">
        <v>133</v>
      </c>
      <c r="W3" s="35" t="s">
        <v>134</v>
      </c>
      <c r="X3" s="35" t="s">
        <v>135</v>
      </c>
    </row>
    <row r="5" spans="1:24" ht="21.75" customHeight="1" x14ac:dyDescent="0.25">
      <c r="A5" s="12" t="s">
        <v>1709</v>
      </c>
      <c r="B5" s="12"/>
      <c r="C5" s="12"/>
      <c r="D5" s="12"/>
      <c r="E5" s="12"/>
      <c r="F5" s="12"/>
      <c r="G5" s="12"/>
      <c r="H5" s="12"/>
      <c r="I5" s="12"/>
      <c r="J5" s="12"/>
      <c r="K5" s="12"/>
      <c r="L5" s="12"/>
      <c r="M5" s="12"/>
      <c r="N5" s="12"/>
      <c r="O5" s="12"/>
      <c r="P5" s="12"/>
      <c r="Q5" s="12"/>
      <c r="R5" s="12"/>
      <c r="S5" s="12"/>
      <c r="T5" s="12"/>
      <c r="U5" s="12"/>
      <c r="V5" s="12"/>
      <c r="W5" s="12"/>
      <c r="X5" s="12"/>
    </row>
    <row r="6" spans="1:24" ht="15" customHeight="1" x14ac:dyDescent="0.25">
      <c r="A6" s="380" t="s">
        <v>1710</v>
      </c>
      <c r="B6" s="380" t="s">
        <v>1711</v>
      </c>
      <c r="C6" s="380" t="s">
        <v>1712</v>
      </c>
      <c r="D6" s="380" t="s">
        <v>1713</v>
      </c>
      <c r="E6" s="380" t="s">
        <v>1277</v>
      </c>
      <c r="F6" s="380" t="s">
        <v>1277</v>
      </c>
      <c r="G6" s="380" t="s">
        <v>1277</v>
      </c>
      <c r="H6" s="380" t="s">
        <v>1714</v>
      </c>
      <c r="I6" s="380" t="s">
        <v>137</v>
      </c>
      <c r="J6" s="380" t="s">
        <v>1715</v>
      </c>
      <c r="K6" s="380" t="s">
        <v>1716</v>
      </c>
      <c r="M6" s="400">
        <v>85</v>
      </c>
      <c r="N6" s="400">
        <v>90</v>
      </c>
      <c r="O6" s="400">
        <v>100</v>
      </c>
      <c r="P6" s="400">
        <v>105</v>
      </c>
      <c r="Q6" s="400">
        <v>110</v>
      </c>
      <c r="R6" s="400">
        <v>110</v>
      </c>
      <c r="S6" s="400">
        <v>115</v>
      </c>
      <c r="T6" s="400">
        <v>120</v>
      </c>
      <c r="U6" s="400">
        <v>125</v>
      </c>
      <c r="V6" s="400">
        <v>130</v>
      </c>
      <c r="W6" s="400">
        <v>135</v>
      </c>
      <c r="X6" s="400">
        <v>140</v>
      </c>
    </row>
    <row r="7" spans="1:24" ht="15" customHeight="1" x14ac:dyDescent="0.25">
      <c r="A7" s="380" t="s">
        <v>1717</v>
      </c>
      <c r="B7" s="380" t="s">
        <v>1711</v>
      </c>
      <c r="C7" s="380" t="s">
        <v>1712</v>
      </c>
      <c r="D7" s="380" t="s">
        <v>1718</v>
      </c>
      <c r="E7" s="380" t="s">
        <v>1277</v>
      </c>
      <c r="F7" s="380" t="s">
        <v>1277</v>
      </c>
      <c r="G7" s="380" t="s">
        <v>1277</v>
      </c>
      <c r="H7" s="380" t="s">
        <v>1719</v>
      </c>
      <c r="I7" s="380" t="s">
        <v>139</v>
      </c>
      <c r="J7" s="380" t="s">
        <v>1720</v>
      </c>
      <c r="K7" s="380" t="s">
        <v>1721</v>
      </c>
      <c r="M7" s="401">
        <v>0</v>
      </c>
      <c r="N7" s="401">
        <v>0</v>
      </c>
      <c r="O7" s="401">
        <v>2.5000000000000001E-2</v>
      </c>
      <c r="P7" s="401">
        <v>0.05</v>
      </c>
      <c r="Q7" s="401">
        <v>0.1</v>
      </c>
      <c r="R7" s="401">
        <v>0.22500000000000001</v>
      </c>
      <c r="S7" s="401">
        <v>0.48499999999999999</v>
      </c>
      <c r="T7" s="401">
        <v>0.61</v>
      </c>
      <c r="U7" s="401">
        <v>0.73499999999999999</v>
      </c>
      <c r="V7" s="401">
        <v>0.86</v>
      </c>
      <c r="W7" s="401">
        <v>1</v>
      </c>
      <c r="X7" s="401">
        <v>1</v>
      </c>
    </row>
    <row r="8" spans="1:24" ht="15" customHeight="1" x14ac:dyDescent="0.25">
      <c r="A8" s="380" t="s">
        <v>1722</v>
      </c>
      <c r="B8" s="380" t="s">
        <v>1711</v>
      </c>
      <c r="C8" s="380" t="s">
        <v>1712</v>
      </c>
      <c r="D8" s="380" t="s">
        <v>1723</v>
      </c>
      <c r="E8" s="380" t="s">
        <v>1277</v>
      </c>
      <c r="F8" s="380" t="s">
        <v>1277</v>
      </c>
      <c r="G8" s="380" t="s">
        <v>1277</v>
      </c>
      <c r="H8" s="380" t="s">
        <v>1724</v>
      </c>
      <c r="I8" s="380" t="s">
        <v>1725</v>
      </c>
      <c r="J8" s="380" t="s">
        <v>1726</v>
      </c>
      <c r="K8" s="380"/>
      <c r="M8" s="402">
        <v>0</v>
      </c>
      <c r="N8" s="402">
        <v>0</v>
      </c>
      <c r="O8" s="402">
        <v>1</v>
      </c>
      <c r="P8" s="402">
        <v>1</v>
      </c>
      <c r="Q8" s="402">
        <v>1</v>
      </c>
      <c r="R8" s="402">
        <v>1</v>
      </c>
      <c r="S8" s="402">
        <v>1</v>
      </c>
      <c r="T8" s="402">
        <v>1</v>
      </c>
      <c r="U8" s="402">
        <v>1</v>
      </c>
      <c r="V8" s="402">
        <v>1</v>
      </c>
      <c r="W8" s="402">
        <v>1</v>
      </c>
      <c r="X8" s="402">
        <v>1</v>
      </c>
    </row>
    <row r="9" spans="1:24" ht="15" customHeight="1" x14ac:dyDescent="0.25">
      <c r="A9" s="380" t="s">
        <v>1727</v>
      </c>
      <c r="B9" s="380" t="s">
        <v>1711</v>
      </c>
      <c r="C9" s="380" t="s">
        <v>1712</v>
      </c>
      <c r="D9" s="380" t="s">
        <v>1728</v>
      </c>
      <c r="E9" s="380" t="s">
        <v>1277</v>
      </c>
      <c r="F9" s="380" t="s">
        <v>1277</v>
      </c>
      <c r="G9" s="380" t="s">
        <v>1277</v>
      </c>
      <c r="H9" s="380" t="s">
        <v>1729</v>
      </c>
      <c r="I9" s="380" t="s">
        <v>1730</v>
      </c>
      <c r="J9" s="380" t="s">
        <v>1731</v>
      </c>
      <c r="K9" s="380"/>
      <c r="M9" s="403">
        <v>1.1000000000000001</v>
      </c>
      <c r="N9" s="403">
        <v>1.1000000000000001</v>
      </c>
      <c r="O9" s="403">
        <v>1.1000000000000001</v>
      </c>
      <c r="P9" s="403">
        <v>1.1000000000000001</v>
      </c>
      <c r="Q9" s="403">
        <v>1.1000000000000001</v>
      </c>
      <c r="R9" s="403">
        <v>1.1000000000000001</v>
      </c>
      <c r="S9" s="403">
        <v>1.1000000000000001</v>
      </c>
      <c r="T9" s="403">
        <v>1.1000000000000001</v>
      </c>
      <c r="U9" s="403">
        <v>1.1000000000000001</v>
      </c>
      <c r="V9" s="403">
        <v>1.1000000000000001</v>
      </c>
      <c r="W9" s="403">
        <v>1.1000000000000001</v>
      </c>
      <c r="X9" s="403">
        <v>1.1000000000000001</v>
      </c>
    </row>
    <row r="11" spans="1:24" ht="21.75" customHeight="1" x14ac:dyDescent="0.25">
      <c r="A11" s="12" t="s">
        <v>1732</v>
      </c>
      <c r="B11" s="12"/>
      <c r="C11" s="12"/>
      <c r="D11" s="12"/>
      <c r="E11" s="12"/>
      <c r="F11" s="12"/>
      <c r="G11" s="12"/>
      <c r="H11" s="12"/>
      <c r="I11" s="12"/>
      <c r="J11" s="12"/>
      <c r="K11" s="12"/>
      <c r="L11" s="12"/>
      <c r="M11" s="12"/>
      <c r="N11" s="12"/>
      <c r="O11" s="12"/>
      <c r="P11" s="12"/>
      <c r="Q11" s="12"/>
      <c r="R11" s="12"/>
      <c r="S11" s="12"/>
      <c r="T11" s="12"/>
      <c r="U11" s="12"/>
      <c r="V11" s="12"/>
      <c r="W11" s="12"/>
      <c r="X11" s="12"/>
    </row>
    <row r="12" spans="1:24" ht="15" customHeight="1" x14ac:dyDescent="0.25">
      <c r="A12" s="380" t="s">
        <v>181</v>
      </c>
      <c r="B12" s="380" t="s">
        <v>1711</v>
      </c>
      <c r="C12" s="380" t="s">
        <v>1712</v>
      </c>
      <c r="D12" s="380" t="s">
        <v>1287</v>
      </c>
      <c r="E12" s="380" t="s">
        <v>1277</v>
      </c>
      <c r="F12" s="380" t="s">
        <v>1277</v>
      </c>
      <c r="G12" s="380" t="s">
        <v>757</v>
      </c>
      <c r="H12" s="380" t="s">
        <v>1288</v>
      </c>
      <c r="I12" s="380" t="s">
        <v>1289</v>
      </c>
      <c r="J12" s="380" t="s">
        <v>1733</v>
      </c>
      <c r="K12" s="380" t="s">
        <v>1734</v>
      </c>
      <c r="L12" s="400">
        <v>96.1</v>
      </c>
    </row>
    <row r="13" spans="1:24" ht="15" customHeight="1" x14ac:dyDescent="0.25">
      <c r="A13" s="380" t="s">
        <v>184</v>
      </c>
      <c r="B13" s="380" t="s">
        <v>1711</v>
      </c>
      <c r="C13" s="380" t="s">
        <v>1712</v>
      </c>
      <c r="D13" s="380" t="s">
        <v>1287</v>
      </c>
      <c r="E13" s="380" t="s">
        <v>1277</v>
      </c>
      <c r="F13" s="380" t="s">
        <v>1277</v>
      </c>
      <c r="G13" s="380" t="s">
        <v>754</v>
      </c>
      <c r="H13" s="380" t="s">
        <v>1291</v>
      </c>
      <c r="I13" s="380" t="s">
        <v>1289</v>
      </c>
      <c r="J13" s="380" t="s">
        <v>1735</v>
      </c>
      <c r="K13" s="380" t="s">
        <v>1734</v>
      </c>
      <c r="L13" s="400">
        <v>56.1</v>
      </c>
    </row>
    <row r="14" spans="1:24" ht="15" customHeight="1" x14ac:dyDescent="0.25">
      <c r="A14" s="380" t="s">
        <v>187</v>
      </c>
      <c r="B14" s="380" t="s">
        <v>1711</v>
      </c>
      <c r="C14" s="380" t="s">
        <v>1712</v>
      </c>
      <c r="D14" s="380" t="s">
        <v>1287</v>
      </c>
      <c r="E14" s="380" t="s">
        <v>1277</v>
      </c>
      <c r="F14" s="380" t="s">
        <v>1277</v>
      </c>
      <c r="G14" s="380" t="s">
        <v>1292</v>
      </c>
      <c r="H14" s="380" t="s">
        <v>1293</v>
      </c>
      <c r="I14" s="380" t="s">
        <v>1289</v>
      </c>
      <c r="J14" s="380" t="s">
        <v>1736</v>
      </c>
      <c r="K14" s="380" t="s">
        <v>1734</v>
      </c>
      <c r="L14" s="400">
        <v>69.3</v>
      </c>
    </row>
    <row r="15" spans="1:24" ht="15" customHeight="1" x14ac:dyDescent="0.25">
      <c r="A15" s="380" t="s">
        <v>190</v>
      </c>
      <c r="B15" s="380" t="s">
        <v>1711</v>
      </c>
      <c r="C15" s="380" t="s">
        <v>1712</v>
      </c>
      <c r="D15" s="380" t="s">
        <v>1287</v>
      </c>
      <c r="E15" s="380" t="s">
        <v>1277</v>
      </c>
      <c r="F15" s="380" t="s">
        <v>1277</v>
      </c>
      <c r="G15" s="380" t="s">
        <v>762</v>
      </c>
      <c r="H15" s="380" t="s">
        <v>1294</v>
      </c>
      <c r="I15" s="380" t="s">
        <v>1289</v>
      </c>
      <c r="J15" s="380" t="s">
        <v>1737</v>
      </c>
      <c r="K15" s="380" t="s">
        <v>1734</v>
      </c>
      <c r="L15" s="400">
        <v>74.099999999999994</v>
      </c>
    </row>
    <row r="16" spans="1:24" ht="15" customHeight="1" x14ac:dyDescent="0.25">
      <c r="A16" s="380" t="s">
        <v>193</v>
      </c>
      <c r="B16" s="380" t="s">
        <v>1711</v>
      </c>
      <c r="C16" s="380" t="s">
        <v>1712</v>
      </c>
      <c r="D16" s="380" t="s">
        <v>1287</v>
      </c>
      <c r="E16" s="380" t="s">
        <v>1277</v>
      </c>
      <c r="F16" s="380" t="s">
        <v>1277</v>
      </c>
      <c r="G16" s="380" t="s">
        <v>1295</v>
      </c>
      <c r="H16" s="380" t="s">
        <v>1296</v>
      </c>
      <c r="I16" s="380" t="s">
        <v>1289</v>
      </c>
      <c r="J16" s="380" t="s">
        <v>1738</v>
      </c>
      <c r="K16" s="380" t="s">
        <v>1734</v>
      </c>
      <c r="L16" s="400">
        <v>71.900000000000006</v>
      </c>
    </row>
    <row r="17" spans="1:24" ht="15" customHeight="1" x14ac:dyDescent="0.25">
      <c r="A17" s="380" t="s">
        <v>196</v>
      </c>
      <c r="B17" s="380" t="s">
        <v>1711</v>
      </c>
      <c r="C17" s="380" t="s">
        <v>1712</v>
      </c>
      <c r="D17" s="380" t="s">
        <v>1287</v>
      </c>
      <c r="E17" s="380" t="s">
        <v>1277</v>
      </c>
      <c r="F17" s="380" t="s">
        <v>1277</v>
      </c>
      <c r="G17" s="380" t="s">
        <v>1297</v>
      </c>
      <c r="H17" s="380" t="s">
        <v>1298</v>
      </c>
      <c r="I17" s="380" t="s">
        <v>1289</v>
      </c>
      <c r="J17" s="380" t="s">
        <v>1739</v>
      </c>
      <c r="K17" s="380" t="s">
        <v>1734</v>
      </c>
      <c r="L17" s="400">
        <v>63.1</v>
      </c>
    </row>
    <row r="18" spans="1:24" ht="15" customHeight="1" x14ac:dyDescent="0.25">
      <c r="A18" s="380" t="s">
        <v>199</v>
      </c>
      <c r="B18" s="380" t="s">
        <v>1711</v>
      </c>
      <c r="C18" s="380" t="s">
        <v>1712</v>
      </c>
      <c r="D18" s="380" t="s">
        <v>1287</v>
      </c>
      <c r="E18" s="380" t="s">
        <v>1277</v>
      </c>
      <c r="F18" s="380" t="s">
        <v>1277</v>
      </c>
      <c r="G18" s="380" t="s">
        <v>1299</v>
      </c>
      <c r="H18" s="380" t="s">
        <v>1300</v>
      </c>
      <c r="I18" s="380" t="s">
        <v>1289</v>
      </c>
      <c r="J18" s="380" t="s">
        <v>1740</v>
      </c>
      <c r="K18" s="380" t="s">
        <v>1734</v>
      </c>
      <c r="L18" s="400">
        <v>0</v>
      </c>
    </row>
    <row r="19" spans="1:24" ht="15" customHeight="1" x14ac:dyDescent="0.25">
      <c r="A19" s="380" t="s">
        <v>202</v>
      </c>
      <c r="B19" s="380" t="s">
        <v>1711</v>
      </c>
      <c r="C19" s="380" t="s">
        <v>1712</v>
      </c>
      <c r="D19" s="380" t="s">
        <v>1287</v>
      </c>
      <c r="E19" s="380" t="s">
        <v>1277</v>
      </c>
      <c r="F19" s="380" t="s">
        <v>1277</v>
      </c>
      <c r="G19" s="380" t="s">
        <v>1301</v>
      </c>
      <c r="H19" s="380" t="s">
        <v>1302</v>
      </c>
      <c r="I19" s="380" t="s">
        <v>1289</v>
      </c>
      <c r="J19" s="380" t="s">
        <v>1741</v>
      </c>
      <c r="K19" s="380" t="s">
        <v>1734</v>
      </c>
      <c r="L19" s="400">
        <v>0</v>
      </c>
    </row>
    <row r="21" spans="1:24" ht="21.75" customHeight="1" x14ac:dyDescent="0.25">
      <c r="A21" s="12" t="s">
        <v>1742</v>
      </c>
      <c r="B21" s="12"/>
      <c r="C21" s="12"/>
      <c r="D21" s="12"/>
      <c r="E21" s="12"/>
      <c r="F21" s="12"/>
      <c r="G21" s="12"/>
      <c r="H21" s="12"/>
      <c r="I21" s="12"/>
      <c r="J21" s="12"/>
      <c r="K21" s="12"/>
      <c r="L21" s="12"/>
      <c r="M21" s="12"/>
      <c r="N21" s="12"/>
      <c r="O21" s="12"/>
      <c r="P21" s="12"/>
      <c r="Q21" s="12"/>
      <c r="R21" s="12"/>
      <c r="S21" s="12"/>
      <c r="T21" s="12"/>
      <c r="U21" s="12"/>
      <c r="V21" s="12"/>
      <c r="W21" s="12"/>
      <c r="X21" s="12"/>
    </row>
    <row r="22" spans="1:24" ht="15" customHeight="1" x14ac:dyDescent="0.25">
      <c r="A22" s="380" t="s">
        <v>1743</v>
      </c>
      <c r="B22" s="380" t="s">
        <v>1711</v>
      </c>
      <c r="C22" s="380" t="s">
        <v>1712</v>
      </c>
      <c r="D22" s="380" t="s">
        <v>1744</v>
      </c>
      <c r="E22" s="380" t="s">
        <v>322</v>
      </c>
      <c r="F22" s="380" t="s">
        <v>1305</v>
      </c>
      <c r="G22" s="380" t="s">
        <v>1277</v>
      </c>
      <c r="H22" s="380" t="s">
        <v>1745</v>
      </c>
      <c r="I22" s="380" t="s">
        <v>1746</v>
      </c>
      <c r="J22" s="380" t="s">
        <v>1747</v>
      </c>
      <c r="K22" s="380" t="s">
        <v>1748</v>
      </c>
      <c r="L22" s="404">
        <v>0.48099999999999998</v>
      </c>
    </row>
    <row r="23" spans="1:24" ht="15" customHeight="1" x14ac:dyDescent="0.25">
      <c r="A23" s="380" t="s">
        <v>1749</v>
      </c>
      <c r="B23" s="380" t="s">
        <v>1711</v>
      </c>
      <c r="C23" s="380" t="s">
        <v>1712</v>
      </c>
      <c r="D23" s="380" t="s">
        <v>1750</v>
      </c>
      <c r="E23" s="380" t="s">
        <v>322</v>
      </c>
      <c r="F23" s="380" t="s">
        <v>1305</v>
      </c>
      <c r="G23" s="380" t="s">
        <v>1277</v>
      </c>
      <c r="H23" s="380" t="s">
        <v>1751</v>
      </c>
      <c r="I23" s="380" t="s">
        <v>1746</v>
      </c>
      <c r="J23" s="380" t="s">
        <v>1752</v>
      </c>
      <c r="K23" s="380" t="s">
        <v>1748</v>
      </c>
      <c r="L23" s="404">
        <v>1.82</v>
      </c>
    </row>
    <row r="24" spans="1:24" ht="15" customHeight="1" x14ac:dyDescent="0.25">
      <c r="A24" s="380" t="s">
        <v>1753</v>
      </c>
      <c r="B24" s="380" t="s">
        <v>1711</v>
      </c>
      <c r="C24" s="380" t="s">
        <v>1712</v>
      </c>
      <c r="D24" s="380" t="s">
        <v>1754</v>
      </c>
      <c r="E24" s="380" t="s">
        <v>322</v>
      </c>
      <c r="F24" s="380" t="s">
        <v>1305</v>
      </c>
      <c r="G24" s="380" t="s">
        <v>1277</v>
      </c>
      <c r="H24" s="380" t="s">
        <v>1755</v>
      </c>
      <c r="I24" s="380" t="s">
        <v>1573</v>
      </c>
      <c r="J24" s="380" t="s">
        <v>1756</v>
      </c>
      <c r="K24" s="380" t="s">
        <v>1757</v>
      </c>
      <c r="L24" s="400">
        <v>750</v>
      </c>
    </row>
    <row r="25" spans="1:24" ht="15" customHeight="1" x14ac:dyDescent="0.25">
      <c r="A25" s="380" t="s">
        <v>1758</v>
      </c>
      <c r="B25" s="380" t="s">
        <v>1711</v>
      </c>
      <c r="C25" s="380" t="s">
        <v>1712</v>
      </c>
      <c r="D25" s="380" t="s">
        <v>1759</v>
      </c>
      <c r="E25" s="380" t="s">
        <v>322</v>
      </c>
      <c r="F25" s="380" t="s">
        <v>1305</v>
      </c>
      <c r="G25" s="380" t="s">
        <v>1277</v>
      </c>
      <c r="H25" s="380" t="s">
        <v>1760</v>
      </c>
      <c r="I25" s="380" t="s">
        <v>1725</v>
      </c>
      <c r="J25" s="380" t="s">
        <v>1761</v>
      </c>
      <c r="K25" s="380" t="s">
        <v>1762</v>
      </c>
      <c r="L25" s="402">
        <v>0</v>
      </c>
    </row>
    <row r="26" spans="1:24" ht="15" customHeight="1" x14ac:dyDescent="0.25">
      <c r="A26" s="380" t="s">
        <v>1763</v>
      </c>
      <c r="B26" s="380" t="s">
        <v>1711</v>
      </c>
      <c r="C26" s="380" t="s">
        <v>1712</v>
      </c>
      <c r="D26" s="380" t="s">
        <v>1557</v>
      </c>
      <c r="E26" s="380" t="s">
        <v>322</v>
      </c>
      <c r="F26" s="380" t="s">
        <v>1305</v>
      </c>
      <c r="G26" s="380" t="s">
        <v>1277</v>
      </c>
      <c r="H26" s="380" t="s">
        <v>1764</v>
      </c>
      <c r="I26" s="380" t="s">
        <v>1765</v>
      </c>
      <c r="J26" s="380" t="s">
        <v>1766</v>
      </c>
      <c r="K26" s="380" t="s">
        <v>1767</v>
      </c>
      <c r="L26" s="403">
        <v>0</v>
      </c>
    </row>
    <row r="27" spans="1:24" ht="15" customHeight="1" x14ac:dyDescent="0.25">
      <c r="A27" s="380" t="s">
        <v>1768</v>
      </c>
      <c r="B27" s="380" t="s">
        <v>1711</v>
      </c>
      <c r="C27" s="380" t="s">
        <v>1712</v>
      </c>
      <c r="D27" s="380" t="s">
        <v>1744</v>
      </c>
      <c r="E27" s="380" t="s">
        <v>322</v>
      </c>
      <c r="F27" s="380" t="s">
        <v>1361</v>
      </c>
      <c r="G27" s="380" t="s">
        <v>1277</v>
      </c>
      <c r="H27" s="380" t="s">
        <v>1769</v>
      </c>
      <c r="I27" s="380" t="s">
        <v>1746</v>
      </c>
      <c r="J27" s="380" t="s">
        <v>1747</v>
      </c>
      <c r="K27" s="380" t="s">
        <v>1748</v>
      </c>
      <c r="L27" s="404">
        <v>7.1999999999999995E-2</v>
      </c>
    </row>
    <row r="28" spans="1:24" ht="15" customHeight="1" x14ac:dyDescent="0.25">
      <c r="A28" s="380" t="s">
        <v>1770</v>
      </c>
      <c r="B28" s="380" t="s">
        <v>1711</v>
      </c>
      <c r="C28" s="380" t="s">
        <v>1712</v>
      </c>
      <c r="D28" s="380" t="s">
        <v>1750</v>
      </c>
      <c r="E28" s="380" t="s">
        <v>322</v>
      </c>
      <c r="F28" s="380" t="s">
        <v>1361</v>
      </c>
      <c r="G28" s="380" t="s">
        <v>1277</v>
      </c>
      <c r="H28" s="380" t="s">
        <v>1771</v>
      </c>
      <c r="I28" s="380" t="s">
        <v>1746</v>
      </c>
      <c r="J28" s="380" t="s">
        <v>1752</v>
      </c>
      <c r="K28" s="380" t="s">
        <v>1748</v>
      </c>
      <c r="L28" s="404">
        <v>0.72</v>
      </c>
    </row>
    <row r="29" spans="1:24" ht="15" customHeight="1" x14ac:dyDescent="0.25">
      <c r="A29" s="380" t="s">
        <v>1772</v>
      </c>
      <c r="B29" s="380" t="s">
        <v>1711</v>
      </c>
      <c r="C29" s="380" t="s">
        <v>1712</v>
      </c>
      <c r="D29" s="380" t="s">
        <v>1754</v>
      </c>
      <c r="E29" s="380" t="s">
        <v>322</v>
      </c>
      <c r="F29" s="380" t="s">
        <v>1361</v>
      </c>
      <c r="G29" s="380" t="s">
        <v>1277</v>
      </c>
      <c r="H29" s="380" t="s">
        <v>1773</v>
      </c>
      <c r="I29" s="380" t="s">
        <v>1573</v>
      </c>
      <c r="J29" s="380" t="s">
        <v>1756</v>
      </c>
      <c r="K29" s="380" t="s">
        <v>1757</v>
      </c>
      <c r="L29" s="400">
        <v>680</v>
      </c>
    </row>
    <row r="30" spans="1:24" ht="15" customHeight="1" x14ac:dyDescent="0.25">
      <c r="A30" s="380" t="s">
        <v>1774</v>
      </c>
      <c r="B30" s="380" t="s">
        <v>1711</v>
      </c>
      <c r="C30" s="380" t="s">
        <v>1712</v>
      </c>
      <c r="D30" s="380" t="s">
        <v>1759</v>
      </c>
      <c r="E30" s="380" t="s">
        <v>322</v>
      </c>
      <c r="F30" s="380" t="s">
        <v>1361</v>
      </c>
      <c r="G30" s="380" t="s">
        <v>1277</v>
      </c>
      <c r="H30" s="380" t="s">
        <v>1775</v>
      </c>
      <c r="I30" s="380" t="s">
        <v>1725</v>
      </c>
      <c r="J30" s="380" t="s">
        <v>1761</v>
      </c>
      <c r="K30" s="380" t="s">
        <v>1762</v>
      </c>
      <c r="L30" s="402">
        <v>0</v>
      </c>
    </row>
    <row r="31" spans="1:24" ht="15" customHeight="1" x14ac:dyDescent="0.25">
      <c r="A31" s="380" t="s">
        <v>1776</v>
      </c>
      <c r="B31" s="380" t="s">
        <v>1711</v>
      </c>
      <c r="C31" s="380" t="s">
        <v>1712</v>
      </c>
      <c r="D31" s="380" t="s">
        <v>1557</v>
      </c>
      <c r="E31" s="380" t="s">
        <v>322</v>
      </c>
      <c r="F31" s="380" t="s">
        <v>1361</v>
      </c>
      <c r="G31" s="380" t="s">
        <v>1277</v>
      </c>
      <c r="H31" s="380" t="s">
        <v>1777</v>
      </c>
      <c r="I31" s="380" t="s">
        <v>1765</v>
      </c>
      <c r="J31" s="380" t="s">
        <v>1766</v>
      </c>
      <c r="K31" s="380" t="s">
        <v>1767</v>
      </c>
      <c r="L31" s="403">
        <v>0</v>
      </c>
    </row>
    <row r="32" spans="1:24" ht="15" customHeight="1" x14ac:dyDescent="0.25">
      <c r="A32" s="380" t="s">
        <v>1778</v>
      </c>
      <c r="B32" s="380" t="s">
        <v>1711</v>
      </c>
      <c r="C32" s="380" t="s">
        <v>1712</v>
      </c>
      <c r="D32" s="380" t="s">
        <v>1744</v>
      </c>
      <c r="E32" s="380" t="s">
        <v>322</v>
      </c>
      <c r="F32" s="380" t="s">
        <v>1389</v>
      </c>
      <c r="G32" s="380" t="s">
        <v>1277</v>
      </c>
      <c r="H32" s="380" t="s">
        <v>1779</v>
      </c>
      <c r="I32" s="380" t="s">
        <v>1746</v>
      </c>
      <c r="J32" s="380" t="s">
        <v>1747</v>
      </c>
      <c r="K32" s="380" t="s">
        <v>1748</v>
      </c>
      <c r="L32" s="404">
        <v>1.37</v>
      </c>
    </row>
    <row r="33" spans="1:12" ht="15" customHeight="1" x14ac:dyDescent="0.25">
      <c r="A33" s="380" t="s">
        <v>1780</v>
      </c>
      <c r="B33" s="380" t="s">
        <v>1711</v>
      </c>
      <c r="C33" s="380" t="s">
        <v>1712</v>
      </c>
      <c r="D33" s="380" t="s">
        <v>1750</v>
      </c>
      <c r="E33" s="380" t="s">
        <v>322</v>
      </c>
      <c r="F33" s="380" t="s">
        <v>1389</v>
      </c>
      <c r="G33" s="380" t="s">
        <v>1277</v>
      </c>
      <c r="H33" s="380" t="s">
        <v>1781</v>
      </c>
      <c r="I33" s="380" t="s">
        <v>1746</v>
      </c>
      <c r="J33" s="380" t="s">
        <v>1752</v>
      </c>
      <c r="K33" s="380" t="s">
        <v>1748</v>
      </c>
      <c r="L33" s="404">
        <v>2.8</v>
      </c>
    </row>
    <row r="34" spans="1:12" ht="15" customHeight="1" x14ac:dyDescent="0.25">
      <c r="A34" s="380" t="s">
        <v>1782</v>
      </c>
      <c r="B34" s="380" t="s">
        <v>1711</v>
      </c>
      <c r="C34" s="380" t="s">
        <v>1712</v>
      </c>
      <c r="D34" s="380" t="s">
        <v>1754</v>
      </c>
      <c r="E34" s="380" t="s">
        <v>322</v>
      </c>
      <c r="F34" s="380" t="s">
        <v>1389</v>
      </c>
      <c r="G34" s="380" t="s">
        <v>1277</v>
      </c>
      <c r="H34" s="380" t="s">
        <v>1783</v>
      </c>
      <c r="I34" s="380" t="s">
        <v>1573</v>
      </c>
      <c r="J34" s="380" t="s">
        <v>1756</v>
      </c>
      <c r="K34" s="380" t="s">
        <v>1757</v>
      </c>
      <c r="L34" s="400">
        <v>620</v>
      </c>
    </row>
    <row r="35" spans="1:12" ht="15" customHeight="1" x14ac:dyDescent="0.25">
      <c r="A35" s="380" t="s">
        <v>1784</v>
      </c>
      <c r="B35" s="380" t="s">
        <v>1711</v>
      </c>
      <c r="C35" s="380" t="s">
        <v>1712</v>
      </c>
      <c r="D35" s="380" t="s">
        <v>1759</v>
      </c>
      <c r="E35" s="380" t="s">
        <v>322</v>
      </c>
      <c r="F35" s="380" t="s">
        <v>1389</v>
      </c>
      <c r="G35" s="380" t="s">
        <v>1277</v>
      </c>
      <c r="H35" s="380" t="s">
        <v>1785</v>
      </c>
      <c r="I35" s="380" t="s">
        <v>1725</v>
      </c>
      <c r="J35" s="380" t="s">
        <v>1761</v>
      </c>
      <c r="K35" s="380" t="s">
        <v>1762</v>
      </c>
      <c r="L35" s="402">
        <v>0</v>
      </c>
    </row>
    <row r="36" spans="1:12" ht="15" customHeight="1" x14ac:dyDescent="0.25">
      <c r="A36" s="380" t="s">
        <v>1786</v>
      </c>
      <c r="B36" s="380" t="s">
        <v>1711</v>
      </c>
      <c r="C36" s="380" t="s">
        <v>1712</v>
      </c>
      <c r="D36" s="380" t="s">
        <v>1557</v>
      </c>
      <c r="E36" s="380" t="s">
        <v>322</v>
      </c>
      <c r="F36" s="380" t="s">
        <v>1389</v>
      </c>
      <c r="G36" s="380" t="s">
        <v>1277</v>
      </c>
      <c r="H36" s="380" t="s">
        <v>1787</v>
      </c>
      <c r="I36" s="380" t="s">
        <v>1765</v>
      </c>
      <c r="J36" s="380" t="s">
        <v>1766</v>
      </c>
      <c r="K36" s="380" t="s">
        <v>1767</v>
      </c>
      <c r="L36" s="403">
        <v>0</v>
      </c>
    </row>
    <row r="37" spans="1:12" ht="15" customHeight="1" x14ac:dyDescent="0.25">
      <c r="A37" s="380" t="s">
        <v>1788</v>
      </c>
      <c r="B37" s="380" t="s">
        <v>1711</v>
      </c>
      <c r="C37" s="380" t="s">
        <v>1712</v>
      </c>
      <c r="D37" s="380" t="s">
        <v>1744</v>
      </c>
      <c r="E37" s="380" t="s">
        <v>327</v>
      </c>
      <c r="F37" s="380" t="s">
        <v>1417</v>
      </c>
      <c r="G37" s="380" t="s">
        <v>1277</v>
      </c>
      <c r="H37" s="380" t="s">
        <v>1789</v>
      </c>
      <c r="I37" s="380" t="s">
        <v>1746</v>
      </c>
      <c r="J37" s="380" t="s">
        <v>1747</v>
      </c>
      <c r="K37" s="380" t="s">
        <v>1748</v>
      </c>
      <c r="L37" s="404">
        <v>0.66600000000000004</v>
      </c>
    </row>
    <row r="38" spans="1:12" ht="15" customHeight="1" x14ac:dyDescent="0.25">
      <c r="A38" s="380" t="s">
        <v>1790</v>
      </c>
      <c r="B38" s="380" t="s">
        <v>1711</v>
      </c>
      <c r="C38" s="380" t="s">
        <v>1712</v>
      </c>
      <c r="D38" s="380" t="s">
        <v>1750</v>
      </c>
      <c r="E38" s="380" t="s">
        <v>327</v>
      </c>
      <c r="F38" s="380" t="s">
        <v>1417</v>
      </c>
      <c r="G38" s="380" t="s">
        <v>1277</v>
      </c>
      <c r="H38" s="380" t="s">
        <v>1791</v>
      </c>
      <c r="I38" s="380" t="s">
        <v>1746</v>
      </c>
      <c r="J38" s="380" t="s">
        <v>1752</v>
      </c>
      <c r="K38" s="380" t="s">
        <v>1748</v>
      </c>
      <c r="L38" s="404">
        <v>1.58</v>
      </c>
    </row>
    <row r="39" spans="1:12" ht="15" customHeight="1" x14ac:dyDescent="0.25">
      <c r="A39" s="380" t="s">
        <v>1792</v>
      </c>
      <c r="B39" s="380" t="s">
        <v>1711</v>
      </c>
      <c r="C39" s="380" t="s">
        <v>1712</v>
      </c>
      <c r="D39" s="380" t="s">
        <v>1754</v>
      </c>
      <c r="E39" s="380" t="s">
        <v>327</v>
      </c>
      <c r="F39" s="380" t="s">
        <v>1417</v>
      </c>
      <c r="G39" s="380" t="s">
        <v>1277</v>
      </c>
      <c r="H39" s="380" t="s">
        <v>1793</v>
      </c>
      <c r="I39" s="380" t="s">
        <v>1573</v>
      </c>
      <c r="J39" s="380" t="s">
        <v>1756</v>
      </c>
      <c r="K39" s="380" t="s">
        <v>1757</v>
      </c>
      <c r="L39" s="400">
        <v>110</v>
      </c>
    </row>
    <row r="40" spans="1:12" ht="15" customHeight="1" x14ac:dyDescent="0.25">
      <c r="A40" s="380" t="s">
        <v>1794</v>
      </c>
      <c r="B40" s="380" t="s">
        <v>1711</v>
      </c>
      <c r="C40" s="380" t="s">
        <v>1712</v>
      </c>
      <c r="D40" s="380" t="s">
        <v>1759</v>
      </c>
      <c r="E40" s="380" t="s">
        <v>327</v>
      </c>
      <c r="F40" s="380" t="s">
        <v>1417</v>
      </c>
      <c r="G40" s="380" t="s">
        <v>1277</v>
      </c>
      <c r="H40" s="380" t="s">
        <v>1795</v>
      </c>
      <c r="I40" s="380" t="s">
        <v>1725</v>
      </c>
      <c r="J40" s="380" t="s">
        <v>1761</v>
      </c>
      <c r="K40" s="380" t="s">
        <v>1762</v>
      </c>
      <c r="L40" s="402">
        <v>1</v>
      </c>
    </row>
    <row r="41" spans="1:12" ht="15" customHeight="1" x14ac:dyDescent="0.25">
      <c r="A41" s="380" t="s">
        <v>1796</v>
      </c>
      <c r="B41" s="380" t="s">
        <v>1711</v>
      </c>
      <c r="C41" s="380" t="s">
        <v>1712</v>
      </c>
      <c r="D41" s="380" t="s">
        <v>1557</v>
      </c>
      <c r="E41" s="380" t="s">
        <v>327</v>
      </c>
      <c r="F41" s="380" t="s">
        <v>1417</v>
      </c>
      <c r="G41" s="380" t="s">
        <v>1277</v>
      </c>
      <c r="H41" s="380" t="s">
        <v>1797</v>
      </c>
      <c r="I41" s="380" t="s">
        <v>1765</v>
      </c>
      <c r="J41" s="380" t="s">
        <v>1766</v>
      </c>
      <c r="K41" s="380" t="s">
        <v>1767</v>
      </c>
      <c r="L41" s="403">
        <v>0</v>
      </c>
    </row>
    <row r="42" spans="1:12" ht="15" customHeight="1" x14ac:dyDescent="0.25">
      <c r="A42" s="380" t="s">
        <v>1798</v>
      </c>
      <c r="B42" s="380" t="s">
        <v>1711</v>
      </c>
      <c r="C42" s="380" t="s">
        <v>1712</v>
      </c>
      <c r="D42" s="380" t="s">
        <v>1744</v>
      </c>
      <c r="E42" s="380" t="s">
        <v>330</v>
      </c>
      <c r="F42" s="380" t="s">
        <v>1445</v>
      </c>
      <c r="G42" s="380" t="s">
        <v>1277</v>
      </c>
      <c r="H42" s="380" t="s">
        <v>1799</v>
      </c>
      <c r="I42" s="380" t="s">
        <v>1746</v>
      </c>
      <c r="J42" s="380" t="s">
        <v>1747</v>
      </c>
      <c r="K42" s="380" t="s">
        <v>1748</v>
      </c>
      <c r="L42" s="404">
        <v>1.522</v>
      </c>
    </row>
    <row r="43" spans="1:12" ht="15" customHeight="1" x14ac:dyDescent="0.25">
      <c r="A43" s="380" t="s">
        <v>1800</v>
      </c>
      <c r="B43" s="380" t="s">
        <v>1711</v>
      </c>
      <c r="C43" s="380" t="s">
        <v>1712</v>
      </c>
      <c r="D43" s="380" t="s">
        <v>1750</v>
      </c>
      <c r="E43" s="380" t="s">
        <v>330</v>
      </c>
      <c r="F43" s="380" t="s">
        <v>1445</v>
      </c>
      <c r="G43" s="380" t="s">
        <v>1277</v>
      </c>
      <c r="H43" s="380" t="s">
        <v>1801</v>
      </c>
      <c r="I43" s="380" t="s">
        <v>1746</v>
      </c>
      <c r="J43" s="380" t="s">
        <v>1752</v>
      </c>
      <c r="K43" s="380" t="s">
        <v>1748</v>
      </c>
      <c r="L43" s="404">
        <v>1.8260000000000001</v>
      </c>
    </row>
    <row r="44" spans="1:12" ht="15" customHeight="1" x14ac:dyDescent="0.25">
      <c r="A44" s="380" t="s">
        <v>1802</v>
      </c>
      <c r="B44" s="380" t="s">
        <v>1711</v>
      </c>
      <c r="C44" s="380" t="s">
        <v>1712</v>
      </c>
      <c r="D44" s="380" t="s">
        <v>1754</v>
      </c>
      <c r="E44" s="380" t="s">
        <v>330</v>
      </c>
      <c r="F44" s="380" t="s">
        <v>1445</v>
      </c>
      <c r="G44" s="380" t="s">
        <v>1277</v>
      </c>
      <c r="H44" s="380" t="s">
        <v>1803</v>
      </c>
      <c r="I44" s="380" t="s">
        <v>1573</v>
      </c>
      <c r="J44" s="380" t="s">
        <v>1756</v>
      </c>
      <c r="K44" s="380" t="s">
        <v>1757</v>
      </c>
      <c r="L44" s="400">
        <v>450</v>
      </c>
    </row>
    <row r="45" spans="1:12" ht="15" customHeight="1" x14ac:dyDescent="0.25">
      <c r="A45" s="380" t="s">
        <v>1804</v>
      </c>
      <c r="B45" s="380" t="s">
        <v>1711</v>
      </c>
      <c r="C45" s="380" t="s">
        <v>1712</v>
      </c>
      <c r="D45" s="380" t="s">
        <v>1759</v>
      </c>
      <c r="E45" s="380" t="s">
        <v>330</v>
      </c>
      <c r="F45" s="380" t="s">
        <v>1445</v>
      </c>
      <c r="G45" s="380" t="s">
        <v>1277</v>
      </c>
      <c r="H45" s="380" t="s">
        <v>1805</v>
      </c>
      <c r="I45" s="380" t="s">
        <v>1725</v>
      </c>
      <c r="J45" s="380" t="s">
        <v>1761</v>
      </c>
      <c r="K45" s="380" t="s">
        <v>1762</v>
      </c>
      <c r="L45" s="402">
        <v>1</v>
      </c>
    </row>
    <row r="46" spans="1:12" ht="15" customHeight="1" x14ac:dyDescent="0.25">
      <c r="A46" s="380" t="s">
        <v>1806</v>
      </c>
      <c r="B46" s="380" t="s">
        <v>1711</v>
      </c>
      <c r="C46" s="380" t="s">
        <v>1712</v>
      </c>
      <c r="D46" s="380" t="s">
        <v>1557</v>
      </c>
      <c r="E46" s="380" t="s">
        <v>330</v>
      </c>
      <c r="F46" s="380" t="s">
        <v>1445</v>
      </c>
      <c r="G46" s="380" t="s">
        <v>1277</v>
      </c>
      <c r="H46" s="380" t="s">
        <v>1807</v>
      </c>
      <c r="I46" s="380" t="s">
        <v>1765</v>
      </c>
      <c r="J46" s="380" t="s">
        <v>1766</v>
      </c>
      <c r="K46" s="380" t="s">
        <v>1767</v>
      </c>
      <c r="L46" s="403">
        <v>0</v>
      </c>
    </row>
    <row r="47" spans="1:12" ht="15" customHeight="1" x14ac:dyDescent="0.25">
      <c r="A47" s="380" t="s">
        <v>1808</v>
      </c>
      <c r="B47" s="380" t="s">
        <v>1711</v>
      </c>
      <c r="C47" s="380" t="s">
        <v>1712</v>
      </c>
      <c r="D47" s="380" t="s">
        <v>1744</v>
      </c>
      <c r="E47" s="380" t="s">
        <v>330</v>
      </c>
      <c r="F47" s="380" t="s">
        <v>1473</v>
      </c>
      <c r="G47" s="380" t="s">
        <v>1277</v>
      </c>
      <c r="H47" s="380" t="s">
        <v>1809</v>
      </c>
      <c r="I47" s="380" t="s">
        <v>1746</v>
      </c>
      <c r="J47" s="380" t="s">
        <v>1747</v>
      </c>
      <c r="K47" s="380" t="s">
        <v>1748</v>
      </c>
      <c r="L47" s="404">
        <v>0.90200000000000002</v>
      </c>
    </row>
    <row r="48" spans="1:12" ht="15" customHeight="1" x14ac:dyDescent="0.25">
      <c r="A48" s="380" t="s">
        <v>1810</v>
      </c>
      <c r="B48" s="380" t="s">
        <v>1711</v>
      </c>
      <c r="C48" s="380" t="s">
        <v>1712</v>
      </c>
      <c r="D48" s="380" t="s">
        <v>1750</v>
      </c>
      <c r="E48" s="380" t="s">
        <v>330</v>
      </c>
      <c r="F48" s="380" t="s">
        <v>1473</v>
      </c>
      <c r="G48" s="380" t="s">
        <v>1277</v>
      </c>
      <c r="H48" s="380" t="s">
        <v>1811</v>
      </c>
      <c r="I48" s="380" t="s">
        <v>1746</v>
      </c>
      <c r="J48" s="380" t="s">
        <v>1752</v>
      </c>
      <c r="K48" s="380" t="s">
        <v>1748</v>
      </c>
      <c r="L48" s="404">
        <v>1.88</v>
      </c>
    </row>
    <row r="49" spans="1:24" ht="15" customHeight="1" x14ac:dyDescent="0.25">
      <c r="A49" s="380" t="s">
        <v>1812</v>
      </c>
      <c r="B49" s="380" t="s">
        <v>1711</v>
      </c>
      <c r="C49" s="380" t="s">
        <v>1712</v>
      </c>
      <c r="D49" s="380" t="s">
        <v>1754</v>
      </c>
      <c r="E49" s="380" t="s">
        <v>330</v>
      </c>
      <c r="F49" s="380" t="s">
        <v>1473</v>
      </c>
      <c r="G49" s="380" t="s">
        <v>1277</v>
      </c>
      <c r="H49" s="380" t="s">
        <v>1813</v>
      </c>
      <c r="I49" s="380" t="s">
        <v>1573</v>
      </c>
      <c r="J49" s="380" t="s">
        <v>1756</v>
      </c>
      <c r="K49" s="380" t="s">
        <v>1757</v>
      </c>
      <c r="L49" s="400">
        <v>380</v>
      </c>
    </row>
    <row r="50" spans="1:24" ht="15" customHeight="1" x14ac:dyDescent="0.25">
      <c r="A50" s="380" t="s">
        <v>1814</v>
      </c>
      <c r="B50" s="380" t="s">
        <v>1711</v>
      </c>
      <c r="C50" s="380" t="s">
        <v>1712</v>
      </c>
      <c r="D50" s="380" t="s">
        <v>1759</v>
      </c>
      <c r="E50" s="380" t="s">
        <v>330</v>
      </c>
      <c r="F50" s="380" t="s">
        <v>1473</v>
      </c>
      <c r="G50" s="380" t="s">
        <v>1277</v>
      </c>
      <c r="H50" s="380" t="s">
        <v>1815</v>
      </c>
      <c r="I50" s="380" t="s">
        <v>1725</v>
      </c>
      <c r="J50" s="380" t="s">
        <v>1761</v>
      </c>
      <c r="K50" s="380" t="s">
        <v>1762</v>
      </c>
      <c r="L50" s="402">
        <v>1</v>
      </c>
    </row>
    <row r="51" spans="1:24" ht="15" customHeight="1" x14ac:dyDescent="0.25">
      <c r="A51" s="380" t="s">
        <v>1816</v>
      </c>
      <c r="B51" s="380" t="s">
        <v>1711</v>
      </c>
      <c r="C51" s="380" t="s">
        <v>1712</v>
      </c>
      <c r="D51" s="380" t="s">
        <v>1557</v>
      </c>
      <c r="E51" s="380" t="s">
        <v>330</v>
      </c>
      <c r="F51" s="380" t="s">
        <v>1473</v>
      </c>
      <c r="G51" s="380" t="s">
        <v>1277</v>
      </c>
      <c r="H51" s="380" t="s">
        <v>1817</v>
      </c>
      <c r="I51" s="380" t="s">
        <v>1765</v>
      </c>
      <c r="J51" s="380" t="s">
        <v>1766</v>
      </c>
      <c r="K51" s="380" t="s">
        <v>1767</v>
      </c>
      <c r="L51" s="403">
        <v>0.56699999999999995</v>
      </c>
    </row>
    <row r="52" spans="1:24" ht="15" customHeight="1" x14ac:dyDescent="0.25">
      <c r="A52" s="380" t="s">
        <v>1818</v>
      </c>
      <c r="B52" s="380" t="s">
        <v>1711</v>
      </c>
      <c r="C52" s="380" t="s">
        <v>1712</v>
      </c>
      <c r="D52" s="380" t="s">
        <v>1744</v>
      </c>
      <c r="E52" s="380" t="s">
        <v>330</v>
      </c>
      <c r="F52" s="380" t="s">
        <v>1501</v>
      </c>
      <c r="G52" s="380" t="s">
        <v>1277</v>
      </c>
      <c r="H52" s="380" t="s">
        <v>1819</v>
      </c>
      <c r="I52" s="380" t="s">
        <v>1746</v>
      </c>
      <c r="J52" s="380" t="s">
        <v>1747</v>
      </c>
      <c r="K52" s="380" t="s">
        <v>1748</v>
      </c>
      <c r="L52" s="404">
        <v>0.30199999999999999</v>
      </c>
    </row>
    <row r="53" spans="1:24" ht="15" customHeight="1" x14ac:dyDescent="0.25">
      <c r="A53" s="380" t="s">
        <v>1820</v>
      </c>
      <c r="B53" s="380" t="s">
        <v>1711</v>
      </c>
      <c r="C53" s="380" t="s">
        <v>1712</v>
      </c>
      <c r="D53" s="380" t="s">
        <v>1750</v>
      </c>
      <c r="E53" s="380" t="s">
        <v>330</v>
      </c>
      <c r="F53" s="380" t="s">
        <v>1501</v>
      </c>
      <c r="G53" s="380" t="s">
        <v>1277</v>
      </c>
      <c r="H53" s="380" t="s">
        <v>1821</v>
      </c>
      <c r="I53" s="380" t="s">
        <v>1746</v>
      </c>
      <c r="J53" s="380" t="s">
        <v>1752</v>
      </c>
      <c r="K53" s="380" t="s">
        <v>1748</v>
      </c>
      <c r="L53" s="404">
        <v>0.97</v>
      </c>
    </row>
    <row r="54" spans="1:24" ht="15" customHeight="1" x14ac:dyDescent="0.25">
      <c r="A54" s="380" t="s">
        <v>1822</v>
      </c>
      <c r="B54" s="380" t="s">
        <v>1711</v>
      </c>
      <c r="C54" s="380" t="s">
        <v>1712</v>
      </c>
      <c r="D54" s="380" t="s">
        <v>1754</v>
      </c>
      <c r="E54" s="380" t="s">
        <v>330</v>
      </c>
      <c r="F54" s="380" t="s">
        <v>1501</v>
      </c>
      <c r="G54" s="380" t="s">
        <v>1277</v>
      </c>
      <c r="H54" s="380" t="s">
        <v>1823</v>
      </c>
      <c r="I54" s="380" t="s">
        <v>1573</v>
      </c>
      <c r="J54" s="380" t="s">
        <v>1756</v>
      </c>
      <c r="K54" s="380" t="s">
        <v>1757</v>
      </c>
      <c r="L54" s="400">
        <v>320</v>
      </c>
    </row>
    <row r="55" spans="1:24" ht="15" customHeight="1" x14ac:dyDescent="0.25">
      <c r="A55" s="380" t="s">
        <v>1824</v>
      </c>
      <c r="B55" s="380" t="s">
        <v>1711</v>
      </c>
      <c r="C55" s="380" t="s">
        <v>1712</v>
      </c>
      <c r="D55" s="380" t="s">
        <v>1759</v>
      </c>
      <c r="E55" s="380" t="s">
        <v>330</v>
      </c>
      <c r="F55" s="380" t="s">
        <v>1501</v>
      </c>
      <c r="G55" s="380" t="s">
        <v>1277</v>
      </c>
      <c r="H55" s="380" t="s">
        <v>1825</v>
      </c>
      <c r="I55" s="380" t="s">
        <v>1725</v>
      </c>
      <c r="J55" s="380" t="s">
        <v>1761</v>
      </c>
      <c r="K55" s="380" t="s">
        <v>1762</v>
      </c>
      <c r="L55" s="402">
        <v>1</v>
      </c>
    </row>
    <row r="56" spans="1:24" ht="15" customHeight="1" x14ac:dyDescent="0.25">
      <c r="A56" s="380" t="s">
        <v>1826</v>
      </c>
      <c r="B56" s="380" t="s">
        <v>1711</v>
      </c>
      <c r="C56" s="380" t="s">
        <v>1712</v>
      </c>
      <c r="D56" s="380" t="s">
        <v>1557</v>
      </c>
      <c r="E56" s="380" t="s">
        <v>330</v>
      </c>
      <c r="F56" s="380" t="s">
        <v>1501</v>
      </c>
      <c r="G56" s="380" t="s">
        <v>1277</v>
      </c>
      <c r="H56" s="380" t="s">
        <v>1827</v>
      </c>
      <c r="I56" s="380" t="s">
        <v>1765</v>
      </c>
      <c r="J56" s="380" t="s">
        <v>1766</v>
      </c>
      <c r="K56" s="380" t="s">
        <v>1767</v>
      </c>
      <c r="L56" s="403">
        <v>0.21299999999999999</v>
      </c>
    </row>
    <row r="57" spans="1:24" ht="15" customHeight="1" x14ac:dyDescent="0.25">
      <c r="A57" s="380" t="s">
        <v>1828</v>
      </c>
      <c r="B57" s="380" t="s">
        <v>1711</v>
      </c>
      <c r="C57" s="380" t="s">
        <v>1712</v>
      </c>
      <c r="D57" s="380" t="s">
        <v>1744</v>
      </c>
      <c r="E57" s="380" t="s">
        <v>334</v>
      </c>
      <c r="F57" s="380" t="s">
        <v>1529</v>
      </c>
      <c r="G57" s="380" t="s">
        <v>1277</v>
      </c>
      <c r="H57" s="380" t="s">
        <v>1829</v>
      </c>
      <c r="I57" s="380" t="s">
        <v>1746</v>
      </c>
      <c r="J57" s="380" t="s">
        <v>1747</v>
      </c>
      <c r="K57" s="380" t="s">
        <v>1748</v>
      </c>
      <c r="L57" s="404">
        <v>1.423</v>
      </c>
    </row>
    <row r="58" spans="1:24" ht="15" customHeight="1" x14ac:dyDescent="0.25">
      <c r="A58" s="380" t="s">
        <v>1830</v>
      </c>
      <c r="B58" s="380" t="s">
        <v>1711</v>
      </c>
      <c r="C58" s="380" t="s">
        <v>1712</v>
      </c>
      <c r="D58" s="380" t="s">
        <v>1750</v>
      </c>
      <c r="E58" s="380" t="s">
        <v>334</v>
      </c>
      <c r="F58" s="380" t="s">
        <v>1529</v>
      </c>
      <c r="G58" s="380" t="s">
        <v>1277</v>
      </c>
      <c r="H58" s="380" t="s">
        <v>1831</v>
      </c>
      <c r="I58" s="380" t="s">
        <v>1746</v>
      </c>
      <c r="J58" s="380" t="s">
        <v>1752</v>
      </c>
      <c r="K58" s="380" t="s">
        <v>1748</v>
      </c>
      <c r="L58" s="404">
        <v>2.06</v>
      </c>
    </row>
    <row r="59" spans="1:24" ht="15" customHeight="1" x14ac:dyDescent="0.25">
      <c r="A59" s="380" t="s">
        <v>1832</v>
      </c>
      <c r="B59" s="380" t="s">
        <v>1711</v>
      </c>
      <c r="C59" s="380" t="s">
        <v>1712</v>
      </c>
      <c r="D59" s="380" t="s">
        <v>1754</v>
      </c>
      <c r="E59" s="380" t="s">
        <v>334</v>
      </c>
      <c r="F59" s="380" t="s">
        <v>1529</v>
      </c>
      <c r="G59" s="380" t="s">
        <v>1277</v>
      </c>
      <c r="H59" s="380" t="s">
        <v>1833</v>
      </c>
      <c r="I59" s="380" t="s">
        <v>1573</v>
      </c>
      <c r="J59" s="380" t="s">
        <v>1756</v>
      </c>
      <c r="K59" s="380" t="s">
        <v>1757</v>
      </c>
      <c r="L59" s="400">
        <v>2400</v>
      </c>
    </row>
    <row r="60" spans="1:24" ht="15" customHeight="1" x14ac:dyDescent="0.25">
      <c r="A60" s="380" t="s">
        <v>1834</v>
      </c>
      <c r="B60" s="380" t="s">
        <v>1711</v>
      </c>
      <c r="C60" s="380" t="s">
        <v>1712</v>
      </c>
      <c r="D60" s="380" t="s">
        <v>1759</v>
      </c>
      <c r="E60" s="380" t="s">
        <v>334</v>
      </c>
      <c r="F60" s="380" t="s">
        <v>1529</v>
      </c>
      <c r="G60" s="380" t="s">
        <v>1277</v>
      </c>
      <c r="H60" s="380" t="s">
        <v>1835</v>
      </c>
      <c r="I60" s="380" t="s">
        <v>1725</v>
      </c>
      <c r="J60" s="380" t="s">
        <v>1761</v>
      </c>
      <c r="K60" s="380" t="s">
        <v>1762</v>
      </c>
      <c r="L60" s="402">
        <v>0</v>
      </c>
    </row>
    <row r="61" spans="1:24" ht="15" customHeight="1" x14ac:dyDescent="0.25">
      <c r="A61" s="380" t="s">
        <v>1836</v>
      </c>
      <c r="B61" s="380" t="s">
        <v>1711</v>
      </c>
      <c r="C61" s="380" t="s">
        <v>1712</v>
      </c>
      <c r="D61" s="380" t="s">
        <v>1557</v>
      </c>
      <c r="E61" s="380" t="s">
        <v>334</v>
      </c>
      <c r="F61" s="380" t="s">
        <v>1529</v>
      </c>
      <c r="G61" s="380" t="s">
        <v>1277</v>
      </c>
      <c r="H61" s="380" t="s">
        <v>1837</v>
      </c>
      <c r="I61" s="380" t="s">
        <v>1765</v>
      </c>
      <c r="J61" s="380" t="s">
        <v>1766</v>
      </c>
      <c r="K61" s="380" t="s">
        <v>1767</v>
      </c>
      <c r="L61" s="403">
        <v>0</v>
      </c>
    </row>
    <row r="63" spans="1:24" ht="21.75" customHeight="1" x14ac:dyDescent="0.25">
      <c r="A63" s="12" t="s">
        <v>1838</v>
      </c>
      <c r="B63" s="12"/>
      <c r="C63" s="12"/>
      <c r="D63" s="12"/>
      <c r="E63" s="12"/>
      <c r="F63" s="12"/>
      <c r="G63" s="12"/>
      <c r="H63" s="12"/>
      <c r="I63" s="12"/>
      <c r="J63" s="12"/>
      <c r="K63" s="12"/>
      <c r="L63" s="12"/>
      <c r="M63" s="12"/>
      <c r="N63" s="12"/>
      <c r="O63" s="12"/>
      <c r="P63" s="12"/>
      <c r="Q63" s="12"/>
      <c r="R63" s="12"/>
      <c r="S63" s="12"/>
      <c r="T63" s="12"/>
      <c r="U63" s="12"/>
      <c r="V63" s="12"/>
      <c r="W63" s="12"/>
      <c r="X63" s="12"/>
    </row>
    <row r="64" spans="1:24" ht="15" customHeight="1" x14ac:dyDescent="0.25">
      <c r="A64" s="380" t="s">
        <v>1839</v>
      </c>
      <c r="B64" s="380" t="s">
        <v>1711</v>
      </c>
      <c r="C64" s="380" t="s">
        <v>1712</v>
      </c>
      <c r="D64" s="380" t="s">
        <v>1568</v>
      </c>
      <c r="E64" s="380" t="s">
        <v>322</v>
      </c>
      <c r="F64" s="380" t="s">
        <v>1305</v>
      </c>
      <c r="G64" s="380" t="s">
        <v>1277</v>
      </c>
      <c r="H64" s="380" t="s">
        <v>1840</v>
      </c>
      <c r="I64" s="380" t="s">
        <v>1725</v>
      </c>
      <c r="J64" s="380" t="s">
        <v>1841</v>
      </c>
      <c r="K64" s="380" t="s">
        <v>1842</v>
      </c>
      <c r="L64" s="402">
        <v>1</v>
      </c>
    </row>
    <row r="65" spans="1:24" ht="15" customHeight="1" x14ac:dyDescent="0.25">
      <c r="A65" s="380" t="s">
        <v>1843</v>
      </c>
      <c r="B65" s="380" t="s">
        <v>1711</v>
      </c>
      <c r="C65" s="380" t="s">
        <v>1712</v>
      </c>
      <c r="D65" s="380" t="s">
        <v>1568</v>
      </c>
      <c r="E65" s="380" t="s">
        <v>322</v>
      </c>
      <c r="F65" s="380" t="s">
        <v>1361</v>
      </c>
      <c r="G65" s="380" t="s">
        <v>1277</v>
      </c>
      <c r="H65" s="380" t="s">
        <v>1844</v>
      </c>
      <c r="I65" s="380" t="s">
        <v>1725</v>
      </c>
      <c r="J65" s="380" t="s">
        <v>1841</v>
      </c>
      <c r="K65" s="380" t="s">
        <v>1842</v>
      </c>
      <c r="L65" s="402">
        <v>1</v>
      </c>
    </row>
    <row r="66" spans="1:24" ht="15" customHeight="1" x14ac:dyDescent="0.25">
      <c r="A66" s="380" t="s">
        <v>1845</v>
      </c>
      <c r="B66" s="380" t="s">
        <v>1711</v>
      </c>
      <c r="C66" s="380" t="s">
        <v>1712</v>
      </c>
      <c r="D66" s="380" t="s">
        <v>1568</v>
      </c>
      <c r="E66" s="380" t="s">
        <v>322</v>
      </c>
      <c r="F66" s="380" t="s">
        <v>1389</v>
      </c>
      <c r="G66" s="380" t="s">
        <v>1277</v>
      </c>
      <c r="H66" s="380" t="s">
        <v>1846</v>
      </c>
      <c r="I66" s="380" t="s">
        <v>1725</v>
      </c>
      <c r="J66" s="380" t="s">
        <v>1841</v>
      </c>
      <c r="K66" s="380" t="s">
        <v>1842</v>
      </c>
      <c r="L66" s="402">
        <v>1</v>
      </c>
    </row>
    <row r="67" spans="1:24" ht="15" customHeight="1" x14ac:dyDescent="0.25">
      <c r="A67" s="380" t="s">
        <v>1847</v>
      </c>
      <c r="B67" s="380" t="s">
        <v>1711</v>
      </c>
      <c r="C67" s="380" t="s">
        <v>1712</v>
      </c>
      <c r="D67" s="380" t="s">
        <v>1568</v>
      </c>
      <c r="E67" s="380" t="s">
        <v>327</v>
      </c>
      <c r="F67" s="380" t="s">
        <v>1417</v>
      </c>
      <c r="G67" s="380" t="s">
        <v>1277</v>
      </c>
      <c r="H67" s="380" t="s">
        <v>1848</v>
      </c>
      <c r="I67" s="380" t="s">
        <v>1725</v>
      </c>
      <c r="J67" s="380" t="s">
        <v>1841</v>
      </c>
      <c r="K67" s="380" t="s">
        <v>1842</v>
      </c>
      <c r="L67" s="402">
        <v>1</v>
      </c>
    </row>
    <row r="68" spans="1:24" ht="15" customHeight="1" x14ac:dyDescent="0.25">
      <c r="A68" s="380" t="s">
        <v>1849</v>
      </c>
      <c r="B68" s="380" t="s">
        <v>1711</v>
      </c>
      <c r="C68" s="380" t="s">
        <v>1712</v>
      </c>
      <c r="D68" s="380" t="s">
        <v>1568</v>
      </c>
      <c r="E68" s="380" t="s">
        <v>330</v>
      </c>
      <c r="F68" s="380" t="s">
        <v>1445</v>
      </c>
      <c r="G68" s="380" t="s">
        <v>1277</v>
      </c>
      <c r="H68" s="380" t="s">
        <v>1850</v>
      </c>
      <c r="I68" s="380" t="s">
        <v>1725</v>
      </c>
      <c r="J68" s="380" t="s">
        <v>1841</v>
      </c>
      <c r="K68" s="380" t="s">
        <v>1842</v>
      </c>
      <c r="L68" s="402">
        <v>1</v>
      </c>
    </row>
    <row r="69" spans="1:24" ht="15" customHeight="1" x14ac:dyDescent="0.25">
      <c r="A69" s="380" t="s">
        <v>1851</v>
      </c>
      <c r="B69" s="380" t="s">
        <v>1711</v>
      </c>
      <c r="C69" s="380" t="s">
        <v>1712</v>
      </c>
      <c r="D69" s="380" t="s">
        <v>1568</v>
      </c>
      <c r="E69" s="380" t="s">
        <v>330</v>
      </c>
      <c r="F69" s="380" t="s">
        <v>1473</v>
      </c>
      <c r="G69" s="380" t="s">
        <v>1277</v>
      </c>
      <c r="H69" s="380" t="s">
        <v>1852</v>
      </c>
      <c r="I69" s="380" t="s">
        <v>1725</v>
      </c>
      <c r="J69" s="380" t="s">
        <v>1841</v>
      </c>
      <c r="K69" s="380" t="s">
        <v>1842</v>
      </c>
      <c r="L69" s="402">
        <v>1</v>
      </c>
    </row>
    <row r="70" spans="1:24" ht="15" customHeight="1" x14ac:dyDescent="0.25">
      <c r="A70" s="380" t="s">
        <v>1853</v>
      </c>
      <c r="B70" s="380" t="s">
        <v>1711</v>
      </c>
      <c r="C70" s="380" t="s">
        <v>1712</v>
      </c>
      <c r="D70" s="380" t="s">
        <v>1568</v>
      </c>
      <c r="E70" s="380" t="s">
        <v>330</v>
      </c>
      <c r="F70" s="380" t="s">
        <v>1501</v>
      </c>
      <c r="G70" s="380" t="s">
        <v>1277</v>
      </c>
      <c r="H70" s="380" t="s">
        <v>1854</v>
      </c>
      <c r="I70" s="380" t="s">
        <v>1725</v>
      </c>
      <c r="J70" s="380" t="s">
        <v>1841</v>
      </c>
      <c r="K70" s="380" t="s">
        <v>1842</v>
      </c>
      <c r="L70" s="402">
        <v>1</v>
      </c>
    </row>
    <row r="71" spans="1:24" ht="15" customHeight="1" x14ac:dyDescent="0.25">
      <c r="A71" s="380" t="s">
        <v>1855</v>
      </c>
      <c r="B71" s="380" t="s">
        <v>1711</v>
      </c>
      <c r="C71" s="380" t="s">
        <v>1712</v>
      </c>
      <c r="D71" s="380" t="s">
        <v>1568</v>
      </c>
      <c r="E71" s="380" t="s">
        <v>334</v>
      </c>
      <c r="F71" s="380" t="s">
        <v>1529</v>
      </c>
      <c r="G71" s="380" t="s">
        <v>1277</v>
      </c>
      <c r="H71" s="380" t="s">
        <v>1856</v>
      </c>
      <c r="I71" s="380" t="s">
        <v>1725</v>
      </c>
      <c r="J71" s="380" t="s">
        <v>1841</v>
      </c>
      <c r="K71" s="380" t="s">
        <v>1842</v>
      </c>
      <c r="L71" s="402">
        <v>1</v>
      </c>
    </row>
    <row r="73" spans="1:24" ht="21.75" customHeight="1" x14ac:dyDescent="0.25">
      <c r="A73" s="12" t="s">
        <v>1857</v>
      </c>
      <c r="B73" s="12"/>
      <c r="C73" s="12"/>
      <c r="D73" s="12"/>
      <c r="E73" s="12"/>
      <c r="F73" s="12"/>
      <c r="G73" s="12"/>
      <c r="H73" s="12"/>
      <c r="I73" s="12"/>
      <c r="J73" s="12"/>
      <c r="K73" s="12"/>
      <c r="L73" s="12"/>
      <c r="M73" s="12"/>
      <c r="N73" s="12"/>
      <c r="O73" s="12"/>
      <c r="P73" s="12"/>
      <c r="Q73" s="12"/>
      <c r="R73" s="12"/>
      <c r="S73" s="12"/>
      <c r="T73" s="12"/>
      <c r="U73" s="12"/>
      <c r="V73" s="12"/>
      <c r="W73" s="12"/>
      <c r="X73" s="12"/>
    </row>
    <row r="74" spans="1:24" ht="15" customHeight="1" x14ac:dyDescent="0.25">
      <c r="A74" s="380" t="s">
        <v>1858</v>
      </c>
      <c r="B74" s="380" t="s">
        <v>88</v>
      </c>
      <c r="C74" s="380" t="s">
        <v>1712</v>
      </c>
      <c r="D74" s="380" t="s">
        <v>1276</v>
      </c>
      <c r="E74" s="380" t="s">
        <v>1277</v>
      </c>
      <c r="F74" s="380" t="s">
        <v>1277</v>
      </c>
      <c r="G74" s="380" t="s">
        <v>1277</v>
      </c>
      <c r="H74" s="380" t="s">
        <v>1859</v>
      </c>
      <c r="I74" s="380" t="s">
        <v>1279</v>
      </c>
      <c r="J74" s="380" t="s">
        <v>1860</v>
      </c>
      <c r="K74" s="380" t="s">
        <v>1861</v>
      </c>
      <c r="L74" s="401">
        <v>5.5E-2</v>
      </c>
    </row>
    <row r="75" spans="1:24" ht="15" customHeight="1" x14ac:dyDescent="0.25">
      <c r="A75" s="380" t="s">
        <v>1862</v>
      </c>
      <c r="B75" s="380" t="s">
        <v>88</v>
      </c>
      <c r="C75" s="380" t="s">
        <v>1712</v>
      </c>
      <c r="D75" s="380" t="s">
        <v>1863</v>
      </c>
      <c r="E75" s="380" t="s">
        <v>1277</v>
      </c>
      <c r="F75" s="380" t="s">
        <v>1277</v>
      </c>
      <c r="G75" s="380" t="s">
        <v>1277</v>
      </c>
      <c r="H75" s="380" t="s">
        <v>1864</v>
      </c>
      <c r="I75" s="380" t="s">
        <v>1865</v>
      </c>
      <c r="J75" s="380" t="s">
        <v>1866</v>
      </c>
      <c r="K75" s="380" t="s">
        <v>1867</v>
      </c>
      <c r="L75" s="405"/>
      <c r="M75" s="403">
        <v>0.51</v>
      </c>
      <c r="N75" s="403">
        <v>0.5</v>
      </c>
      <c r="O75" s="403">
        <v>0.49</v>
      </c>
      <c r="P75" s="403">
        <v>0.48</v>
      </c>
      <c r="Q75" s="403">
        <v>0.47</v>
      </c>
      <c r="R75" s="403">
        <v>0.46</v>
      </c>
      <c r="S75" s="403">
        <v>0.45</v>
      </c>
      <c r="T75" s="403">
        <v>0.44</v>
      </c>
      <c r="U75" s="403">
        <v>0.43</v>
      </c>
      <c r="V75" s="403">
        <v>0.42</v>
      </c>
      <c r="W75" s="403">
        <v>0.41</v>
      </c>
      <c r="X75" s="403">
        <v>0.4</v>
      </c>
    </row>
    <row r="76" spans="1:24" ht="15" customHeight="1" x14ac:dyDescent="0.25">
      <c r="A76" s="380" t="s">
        <v>1868</v>
      </c>
      <c r="B76" s="380" t="s">
        <v>1869</v>
      </c>
      <c r="C76" s="380" t="s">
        <v>1712</v>
      </c>
      <c r="D76" s="380" t="s">
        <v>1276</v>
      </c>
      <c r="E76" s="380" t="s">
        <v>1277</v>
      </c>
      <c r="F76" s="380" t="s">
        <v>1277</v>
      </c>
      <c r="G76" s="380" t="s">
        <v>1277</v>
      </c>
      <c r="H76" s="380" t="s">
        <v>1870</v>
      </c>
      <c r="I76" s="380" t="s">
        <v>1279</v>
      </c>
      <c r="J76" s="380" t="s">
        <v>1860</v>
      </c>
      <c r="K76" s="380" t="s">
        <v>1861</v>
      </c>
      <c r="L76" s="401">
        <v>3.7999999999999999E-2</v>
      </c>
    </row>
    <row r="77" spans="1:24" ht="15" customHeight="1" x14ac:dyDescent="0.25">
      <c r="A77" s="380" t="s">
        <v>1871</v>
      </c>
      <c r="B77" s="380" t="s">
        <v>1869</v>
      </c>
      <c r="C77" s="380" t="s">
        <v>1712</v>
      </c>
      <c r="D77" s="380" t="s">
        <v>1863</v>
      </c>
      <c r="E77" s="380" t="s">
        <v>1277</v>
      </c>
      <c r="F77" s="380" t="s">
        <v>1277</v>
      </c>
      <c r="G77" s="380" t="s">
        <v>1277</v>
      </c>
      <c r="H77" s="380" t="s">
        <v>1872</v>
      </c>
      <c r="I77" s="380" t="s">
        <v>1865</v>
      </c>
      <c r="J77" s="380" t="s">
        <v>1866</v>
      </c>
      <c r="K77" s="380" t="s">
        <v>1867</v>
      </c>
      <c r="L77" s="405"/>
      <c r="M77" s="403">
        <v>4.4999999999999998E-2</v>
      </c>
      <c r="N77" s="403">
        <v>4.41E-2</v>
      </c>
      <c r="O77" s="403">
        <v>4.3200000000000002E-2</v>
      </c>
      <c r="P77" s="403">
        <v>4.2299999999999997E-2</v>
      </c>
      <c r="Q77" s="403">
        <v>4.1399999999999999E-2</v>
      </c>
      <c r="R77" s="403">
        <v>4.0500000000000001E-2</v>
      </c>
      <c r="S77" s="403">
        <v>3.95E-2</v>
      </c>
      <c r="T77" s="403">
        <v>3.8600000000000002E-2</v>
      </c>
      <c r="U77" s="403">
        <v>3.7699999999999997E-2</v>
      </c>
      <c r="V77" s="403">
        <v>3.6799999999999999E-2</v>
      </c>
      <c r="W77" s="403">
        <v>3.5900000000000001E-2</v>
      </c>
      <c r="X77" s="403">
        <v>3.5000000000000003E-2</v>
      </c>
    </row>
    <row r="78" spans="1:24" ht="15" customHeight="1" x14ac:dyDescent="0.25">
      <c r="A78" s="380" t="s">
        <v>1873</v>
      </c>
      <c r="B78" s="380" t="s">
        <v>1874</v>
      </c>
      <c r="C78" s="380" t="s">
        <v>1712</v>
      </c>
      <c r="D78" s="380" t="s">
        <v>1276</v>
      </c>
      <c r="E78" s="380" t="s">
        <v>1277</v>
      </c>
      <c r="F78" s="380" t="s">
        <v>1277</v>
      </c>
      <c r="G78" s="380" t="s">
        <v>1277</v>
      </c>
      <c r="H78" s="380" t="s">
        <v>1875</v>
      </c>
      <c r="I78" s="380" t="s">
        <v>1279</v>
      </c>
      <c r="J78" s="380" t="s">
        <v>1860</v>
      </c>
      <c r="K78" s="380" t="s">
        <v>1861</v>
      </c>
      <c r="L78" s="401">
        <v>5.5E-2</v>
      </c>
    </row>
    <row r="79" spans="1:24" ht="15" customHeight="1" x14ac:dyDescent="0.25">
      <c r="A79" s="380" t="s">
        <v>1876</v>
      </c>
      <c r="B79" s="380" t="s">
        <v>1874</v>
      </c>
      <c r="C79" s="380" t="s">
        <v>1712</v>
      </c>
      <c r="D79" s="380" t="s">
        <v>1863</v>
      </c>
      <c r="E79" s="380" t="s">
        <v>1277</v>
      </c>
      <c r="F79" s="380" t="s">
        <v>1277</v>
      </c>
      <c r="G79" s="380" t="s">
        <v>1277</v>
      </c>
      <c r="H79" s="380" t="s">
        <v>1877</v>
      </c>
      <c r="I79" s="380" t="s">
        <v>1865</v>
      </c>
      <c r="J79" s="380" t="s">
        <v>1866</v>
      </c>
      <c r="K79" s="380" t="s">
        <v>1867</v>
      </c>
      <c r="L79" s="405"/>
      <c r="M79" s="403">
        <v>0.54</v>
      </c>
      <c r="N79" s="403">
        <v>0.52910000000000001</v>
      </c>
      <c r="O79" s="403">
        <v>0.51819999999999999</v>
      </c>
      <c r="P79" s="403">
        <v>0.50729999999999997</v>
      </c>
      <c r="Q79" s="403">
        <v>0.49640000000000001</v>
      </c>
      <c r="R79" s="403">
        <v>0.48549999999999999</v>
      </c>
      <c r="S79" s="403">
        <v>0.47449999999999998</v>
      </c>
      <c r="T79" s="403">
        <v>0.46360000000000001</v>
      </c>
      <c r="U79" s="403">
        <v>0.45269999999999999</v>
      </c>
      <c r="V79" s="403">
        <v>0.44180000000000003</v>
      </c>
      <c r="W79" s="403">
        <v>0.43090000000000001</v>
      </c>
      <c r="X79" s="403">
        <v>0.42</v>
      </c>
    </row>
    <row r="80" spans="1:24" ht="15" customHeight="1" x14ac:dyDescent="0.25">
      <c r="A80" s="380" t="s">
        <v>1878</v>
      </c>
      <c r="B80" s="380" t="s">
        <v>1879</v>
      </c>
      <c r="C80" s="380" t="s">
        <v>1712</v>
      </c>
      <c r="D80" s="380" t="s">
        <v>1276</v>
      </c>
      <c r="E80" s="380" t="s">
        <v>1277</v>
      </c>
      <c r="F80" s="380" t="s">
        <v>1277</v>
      </c>
      <c r="G80" s="380" t="s">
        <v>1277</v>
      </c>
      <c r="H80" s="380" t="s">
        <v>1880</v>
      </c>
      <c r="I80" s="380" t="s">
        <v>1279</v>
      </c>
      <c r="J80" s="380" t="s">
        <v>1860</v>
      </c>
      <c r="K80" s="380" t="s">
        <v>1861</v>
      </c>
      <c r="L80" s="401">
        <v>2.5000000000000001E-2</v>
      </c>
    </row>
    <row r="81" spans="1:24" ht="15" customHeight="1" x14ac:dyDescent="0.25">
      <c r="A81" s="380" t="s">
        <v>1881</v>
      </c>
      <c r="B81" s="380" t="s">
        <v>1879</v>
      </c>
      <c r="C81" s="380" t="s">
        <v>1712</v>
      </c>
      <c r="D81" s="380" t="s">
        <v>1863</v>
      </c>
      <c r="E81" s="380" t="s">
        <v>1277</v>
      </c>
      <c r="F81" s="380" t="s">
        <v>1277</v>
      </c>
      <c r="G81" s="380" t="s">
        <v>1277</v>
      </c>
      <c r="H81" s="380" t="s">
        <v>1882</v>
      </c>
      <c r="I81" s="380" t="s">
        <v>1865</v>
      </c>
      <c r="J81" s="380" t="s">
        <v>1866</v>
      </c>
      <c r="K81" s="380" t="s">
        <v>1867</v>
      </c>
      <c r="L81" s="405"/>
      <c r="M81" s="403">
        <v>0.46</v>
      </c>
      <c r="N81" s="403">
        <v>0.45179999999999998</v>
      </c>
      <c r="O81" s="403">
        <v>0.44359999999999999</v>
      </c>
      <c r="P81" s="403">
        <v>0.4355</v>
      </c>
      <c r="Q81" s="403">
        <v>0.42730000000000001</v>
      </c>
      <c r="R81" s="403">
        <v>0.41909999999999997</v>
      </c>
      <c r="S81" s="403">
        <v>0.41089999999999999</v>
      </c>
      <c r="T81" s="403">
        <v>0.4027</v>
      </c>
      <c r="U81" s="403">
        <v>0.39450000000000002</v>
      </c>
      <c r="V81" s="403">
        <v>0.38640000000000002</v>
      </c>
      <c r="W81" s="403">
        <v>0.37819999999999998</v>
      </c>
      <c r="X81" s="403">
        <v>0.37</v>
      </c>
    </row>
    <row r="82" spans="1:24" ht="15" customHeight="1" x14ac:dyDescent="0.25">
      <c r="A82" s="380" t="s">
        <v>1883</v>
      </c>
      <c r="B82" s="380" t="s">
        <v>1884</v>
      </c>
      <c r="C82" s="380" t="s">
        <v>1712</v>
      </c>
      <c r="D82" s="380" t="s">
        <v>1276</v>
      </c>
      <c r="E82" s="380" t="s">
        <v>1277</v>
      </c>
      <c r="F82" s="380" t="s">
        <v>1277</v>
      </c>
      <c r="G82" s="380" t="s">
        <v>1277</v>
      </c>
      <c r="H82" s="380" t="s">
        <v>1885</v>
      </c>
      <c r="I82" s="380" t="s">
        <v>1279</v>
      </c>
      <c r="J82" s="380" t="s">
        <v>1860</v>
      </c>
      <c r="K82" s="380" t="s">
        <v>1861</v>
      </c>
      <c r="L82" s="401">
        <v>6.3E-2</v>
      </c>
    </row>
    <row r="83" spans="1:24" ht="15" customHeight="1" x14ac:dyDescent="0.25">
      <c r="A83" s="380" t="s">
        <v>1886</v>
      </c>
      <c r="B83" s="380" t="s">
        <v>1884</v>
      </c>
      <c r="C83" s="380" t="s">
        <v>1712</v>
      </c>
      <c r="D83" s="380" t="s">
        <v>1863</v>
      </c>
      <c r="E83" s="380" t="s">
        <v>1277</v>
      </c>
      <c r="F83" s="380" t="s">
        <v>1277</v>
      </c>
      <c r="G83" s="380" t="s">
        <v>1277</v>
      </c>
      <c r="H83" s="380" t="s">
        <v>1887</v>
      </c>
      <c r="I83" s="380" t="s">
        <v>1865</v>
      </c>
      <c r="J83" s="380" t="s">
        <v>1866</v>
      </c>
      <c r="K83" s="380" t="s">
        <v>1867</v>
      </c>
      <c r="L83" s="405"/>
      <c r="M83" s="403">
        <v>0.71299999999999997</v>
      </c>
      <c r="N83" s="403">
        <v>0.69359999999999999</v>
      </c>
      <c r="O83" s="403">
        <v>0.67430000000000001</v>
      </c>
      <c r="P83" s="403">
        <v>0.65490000000000004</v>
      </c>
      <c r="Q83" s="403">
        <v>0.63549999999999995</v>
      </c>
      <c r="R83" s="403">
        <v>0.61619999999999997</v>
      </c>
      <c r="S83" s="403">
        <v>0.5968</v>
      </c>
      <c r="T83" s="403">
        <v>0.57750000000000001</v>
      </c>
      <c r="U83" s="403">
        <v>0.55810000000000004</v>
      </c>
      <c r="V83" s="403">
        <v>0.53869999999999996</v>
      </c>
      <c r="W83" s="403">
        <v>0.51939999999999997</v>
      </c>
      <c r="X83" s="403">
        <v>0.5</v>
      </c>
    </row>
    <row r="85" spans="1:24" ht="21.75" customHeight="1" x14ac:dyDescent="0.25">
      <c r="A85" s="12" t="s">
        <v>1888</v>
      </c>
      <c r="B85" s="12"/>
      <c r="C85" s="12"/>
      <c r="D85" s="12"/>
      <c r="E85" s="12"/>
      <c r="F85" s="12"/>
      <c r="G85" s="12"/>
      <c r="H85" s="12"/>
      <c r="I85" s="12"/>
      <c r="J85" s="12"/>
      <c r="K85" s="12"/>
      <c r="L85" s="12"/>
      <c r="M85" s="12"/>
      <c r="N85" s="12"/>
      <c r="O85" s="12"/>
      <c r="P85" s="12"/>
      <c r="Q85" s="12"/>
      <c r="R85" s="12"/>
      <c r="S85" s="12"/>
      <c r="T85" s="12"/>
      <c r="U85" s="12"/>
      <c r="V85" s="12"/>
      <c r="W85" s="12"/>
      <c r="X85" s="12"/>
    </row>
    <row r="86" spans="1:24" ht="15" customHeight="1" x14ac:dyDescent="0.25">
      <c r="A86" s="380" t="s">
        <v>1889</v>
      </c>
      <c r="B86" s="380" t="s">
        <v>88</v>
      </c>
      <c r="C86" s="380" t="s">
        <v>1712</v>
      </c>
      <c r="D86" s="380" t="s">
        <v>1890</v>
      </c>
      <c r="E86" s="380" t="s">
        <v>322</v>
      </c>
      <c r="F86" s="380" t="s">
        <v>1305</v>
      </c>
      <c r="G86" s="380" t="s">
        <v>1277</v>
      </c>
      <c r="H86" s="380" t="s">
        <v>1891</v>
      </c>
      <c r="I86" s="380" t="s">
        <v>1307</v>
      </c>
      <c r="J86" s="380" t="s">
        <v>1892</v>
      </c>
      <c r="K86" s="380" t="s">
        <v>1893</v>
      </c>
      <c r="L86" s="406">
        <v>5.0999999999999996</v>
      </c>
    </row>
    <row r="87" spans="1:24" ht="15" customHeight="1" x14ac:dyDescent="0.25">
      <c r="A87" s="380" t="s">
        <v>1894</v>
      </c>
      <c r="B87" s="380" t="s">
        <v>88</v>
      </c>
      <c r="C87" s="380" t="s">
        <v>1712</v>
      </c>
      <c r="D87" s="380" t="s">
        <v>1895</v>
      </c>
      <c r="E87" s="380" t="s">
        <v>322</v>
      </c>
      <c r="F87" s="380" t="s">
        <v>1305</v>
      </c>
      <c r="G87" s="380" t="s">
        <v>1277</v>
      </c>
      <c r="H87" s="380" t="s">
        <v>1896</v>
      </c>
      <c r="I87" s="380" t="s">
        <v>1897</v>
      </c>
      <c r="J87" s="380" t="s">
        <v>1898</v>
      </c>
      <c r="K87" s="380"/>
      <c r="L87" s="404">
        <v>1</v>
      </c>
    </row>
    <row r="88" spans="1:24" ht="15" customHeight="1" x14ac:dyDescent="0.25">
      <c r="A88" s="380" t="s">
        <v>1899</v>
      </c>
      <c r="B88" s="380" t="s">
        <v>88</v>
      </c>
      <c r="C88" s="380" t="s">
        <v>1712</v>
      </c>
      <c r="D88" s="380" t="s">
        <v>1900</v>
      </c>
      <c r="E88" s="380" t="s">
        <v>322</v>
      </c>
      <c r="F88" s="380" t="s">
        <v>1305</v>
      </c>
      <c r="G88" s="380" t="s">
        <v>1277</v>
      </c>
      <c r="H88" s="380" t="s">
        <v>1901</v>
      </c>
      <c r="I88" s="380" t="s">
        <v>1902</v>
      </c>
      <c r="J88" s="380" t="s">
        <v>1903</v>
      </c>
      <c r="K88" s="380"/>
      <c r="L88" s="404">
        <v>0.4</v>
      </c>
    </row>
    <row r="89" spans="1:24" ht="15" customHeight="1" x14ac:dyDescent="0.25">
      <c r="A89" s="380" t="s">
        <v>1904</v>
      </c>
      <c r="B89" s="380" t="s">
        <v>88</v>
      </c>
      <c r="C89" s="380" t="s">
        <v>1712</v>
      </c>
      <c r="D89" s="380" t="s">
        <v>1905</v>
      </c>
      <c r="E89" s="380" t="s">
        <v>322</v>
      </c>
      <c r="F89" s="380" t="s">
        <v>1305</v>
      </c>
      <c r="G89" s="380" t="s">
        <v>1277</v>
      </c>
      <c r="H89" s="380" t="s">
        <v>1906</v>
      </c>
      <c r="I89" s="380" t="s">
        <v>1902</v>
      </c>
      <c r="J89" s="380" t="s">
        <v>1907</v>
      </c>
      <c r="K89" s="380"/>
      <c r="L89" s="404">
        <v>0.18</v>
      </c>
    </row>
    <row r="90" spans="1:24" ht="15" customHeight="1" x14ac:dyDescent="0.25">
      <c r="A90" s="380" t="s">
        <v>1908</v>
      </c>
      <c r="B90" s="380" t="s">
        <v>88</v>
      </c>
      <c r="C90" s="380" t="s">
        <v>1712</v>
      </c>
      <c r="D90" s="380" t="s">
        <v>1909</v>
      </c>
      <c r="E90" s="380" t="s">
        <v>322</v>
      </c>
      <c r="F90" s="380" t="s">
        <v>1305</v>
      </c>
      <c r="G90" s="380" t="s">
        <v>1277</v>
      </c>
      <c r="H90" s="380" t="s">
        <v>1910</v>
      </c>
      <c r="I90" s="380" t="s">
        <v>1902</v>
      </c>
      <c r="J90" s="380" t="s">
        <v>1911</v>
      </c>
      <c r="K90" s="380"/>
      <c r="L90" s="404">
        <v>0.05</v>
      </c>
    </row>
    <row r="91" spans="1:24" ht="15" customHeight="1" x14ac:dyDescent="0.25">
      <c r="A91" s="380" t="s">
        <v>1912</v>
      </c>
      <c r="B91" s="380" t="s">
        <v>88</v>
      </c>
      <c r="C91" s="380" t="s">
        <v>1712</v>
      </c>
      <c r="D91" s="380" t="s">
        <v>1317</v>
      </c>
      <c r="E91" s="380" t="s">
        <v>322</v>
      </c>
      <c r="F91" s="380" t="s">
        <v>1305</v>
      </c>
      <c r="G91" s="380" t="s">
        <v>757</v>
      </c>
      <c r="H91" s="380" t="s">
        <v>1913</v>
      </c>
      <c r="I91" s="380" t="s">
        <v>1914</v>
      </c>
      <c r="J91" s="380" t="s">
        <v>1915</v>
      </c>
      <c r="K91" s="380" t="s">
        <v>1916</v>
      </c>
      <c r="L91" s="403">
        <v>0</v>
      </c>
    </row>
    <row r="92" spans="1:24" ht="15" customHeight="1" x14ac:dyDescent="0.25">
      <c r="A92" s="380" t="s">
        <v>1917</v>
      </c>
      <c r="B92" s="380" t="s">
        <v>88</v>
      </c>
      <c r="C92" s="380" t="s">
        <v>1712</v>
      </c>
      <c r="D92" s="380" t="s">
        <v>1317</v>
      </c>
      <c r="E92" s="380" t="s">
        <v>322</v>
      </c>
      <c r="F92" s="380" t="s">
        <v>1305</v>
      </c>
      <c r="G92" s="380" t="s">
        <v>754</v>
      </c>
      <c r="H92" s="380" t="s">
        <v>1918</v>
      </c>
      <c r="I92" s="380" t="s">
        <v>1914</v>
      </c>
      <c r="J92" s="380" t="s">
        <v>1919</v>
      </c>
      <c r="K92" s="380" t="s">
        <v>1916</v>
      </c>
      <c r="L92" s="403">
        <f>EF!C116</f>
        <v>2.2999999999999998</v>
      </c>
    </row>
    <row r="93" spans="1:24" ht="15" customHeight="1" x14ac:dyDescent="0.25">
      <c r="A93" s="380" t="s">
        <v>1920</v>
      </c>
      <c r="B93" s="380" t="s">
        <v>88</v>
      </c>
      <c r="C93" s="380" t="s">
        <v>1712</v>
      </c>
      <c r="D93" s="380" t="s">
        <v>1317</v>
      </c>
      <c r="E93" s="380" t="s">
        <v>322</v>
      </c>
      <c r="F93" s="380" t="s">
        <v>1305</v>
      </c>
      <c r="G93" s="380" t="s">
        <v>1292</v>
      </c>
      <c r="H93" s="380" t="s">
        <v>1921</v>
      </c>
      <c r="I93" s="380" t="s">
        <v>1914</v>
      </c>
      <c r="J93" s="380" t="s">
        <v>1922</v>
      </c>
      <c r="K93" s="380" t="s">
        <v>1916</v>
      </c>
      <c r="L93" s="403">
        <v>0</v>
      </c>
    </row>
    <row r="94" spans="1:24" ht="15" customHeight="1" x14ac:dyDescent="0.25">
      <c r="A94" s="380" t="s">
        <v>1923</v>
      </c>
      <c r="B94" s="380" t="s">
        <v>88</v>
      </c>
      <c r="C94" s="380" t="s">
        <v>1712</v>
      </c>
      <c r="D94" s="380" t="s">
        <v>1317</v>
      </c>
      <c r="E94" s="380" t="s">
        <v>322</v>
      </c>
      <c r="F94" s="380" t="s">
        <v>1305</v>
      </c>
      <c r="G94" s="380" t="s">
        <v>762</v>
      </c>
      <c r="H94" s="380" t="s">
        <v>1924</v>
      </c>
      <c r="I94" s="380" t="s">
        <v>1914</v>
      </c>
      <c r="J94" s="380" t="s">
        <v>1925</v>
      </c>
      <c r="K94" s="380" t="s">
        <v>1916</v>
      </c>
      <c r="L94" s="403">
        <v>0</v>
      </c>
    </row>
    <row r="95" spans="1:24" ht="15" customHeight="1" x14ac:dyDescent="0.25">
      <c r="A95" s="380" t="s">
        <v>1926</v>
      </c>
      <c r="B95" s="380" t="s">
        <v>88</v>
      </c>
      <c r="C95" s="380" t="s">
        <v>1712</v>
      </c>
      <c r="D95" s="380" t="s">
        <v>1317</v>
      </c>
      <c r="E95" s="380" t="s">
        <v>322</v>
      </c>
      <c r="F95" s="380" t="s">
        <v>1305</v>
      </c>
      <c r="G95" s="380" t="s">
        <v>1295</v>
      </c>
      <c r="H95" s="380" t="s">
        <v>1927</v>
      </c>
      <c r="I95" s="380" t="s">
        <v>1914</v>
      </c>
      <c r="J95" s="380" t="s">
        <v>1928</v>
      </c>
      <c r="K95" s="380" t="s">
        <v>1916</v>
      </c>
      <c r="L95" s="403">
        <v>0</v>
      </c>
    </row>
    <row r="96" spans="1:24" ht="15" customHeight="1" x14ac:dyDescent="0.25">
      <c r="A96" s="380" t="s">
        <v>1929</v>
      </c>
      <c r="B96" s="380" t="s">
        <v>88</v>
      </c>
      <c r="C96" s="380" t="s">
        <v>1712</v>
      </c>
      <c r="D96" s="380" t="s">
        <v>1317</v>
      </c>
      <c r="E96" s="380" t="s">
        <v>322</v>
      </c>
      <c r="F96" s="380" t="s">
        <v>1305</v>
      </c>
      <c r="G96" s="380" t="s">
        <v>1297</v>
      </c>
      <c r="H96" s="380" t="s">
        <v>1930</v>
      </c>
      <c r="I96" s="380" t="s">
        <v>1914</v>
      </c>
      <c r="J96" s="380" t="s">
        <v>1931</v>
      </c>
      <c r="K96" s="380" t="s">
        <v>1916</v>
      </c>
      <c r="L96" s="403">
        <v>0</v>
      </c>
    </row>
    <row r="97" spans="1:12" ht="15" customHeight="1" x14ac:dyDescent="0.25">
      <c r="A97" s="380" t="s">
        <v>1932</v>
      </c>
      <c r="B97" s="380" t="s">
        <v>88</v>
      </c>
      <c r="C97" s="380" t="s">
        <v>1712</v>
      </c>
      <c r="D97" s="380" t="s">
        <v>1317</v>
      </c>
      <c r="E97" s="380" t="s">
        <v>322</v>
      </c>
      <c r="F97" s="380" t="s">
        <v>1305</v>
      </c>
      <c r="G97" s="380" t="s">
        <v>1299</v>
      </c>
      <c r="H97" s="380" t="s">
        <v>1933</v>
      </c>
      <c r="I97" s="380" t="s">
        <v>1914</v>
      </c>
      <c r="J97" s="380" t="s">
        <v>1934</v>
      </c>
      <c r="K97" s="380" t="s">
        <v>1916</v>
      </c>
      <c r="L97" s="403">
        <v>0</v>
      </c>
    </row>
    <row r="98" spans="1:12" ht="15" customHeight="1" x14ac:dyDescent="0.25">
      <c r="A98" s="380" t="s">
        <v>1935</v>
      </c>
      <c r="B98" s="380" t="s">
        <v>88</v>
      </c>
      <c r="C98" s="380" t="s">
        <v>1712</v>
      </c>
      <c r="D98" s="380" t="s">
        <v>1317</v>
      </c>
      <c r="E98" s="380" t="s">
        <v>322</v>
      </c>
      <c r="F98" s="380" t="s">
        <v>1305</v>
      </c>
      <c r="G98" s="380" t="s">
        <v>1301</v>
      </c>
      <c r="H98" s="380" t="s">
        <v>1936</v>
      </c>
      <c r="I98" s="380" t="s">
        <v>1914</v>
      </c>
      <c r="J98" s="380" t="s">
        <v>1937</v>
      </c>
      <c r="K98" s="380" t="s">
        <v>1916</v>
      </c>
      <c r="L98" s="403">
        <v>0</v>
      </c>
    </row>
    <row r="99" spans="1:12" ht="15" customHeight="1" x14ac:dyDescent="0.25">
      <c r="A99" s="380" t="s">
        <v>1938</v>
      </c>
      <c r="B99" s="380" t="s">
        <v>88</v>
      </c>
      <c r="C99" s="380" t="s">
        <v>1712</v>
      </c>
      <c r="D99" s="380" t="s">
        <v>1328</v>
      </c>
      <c r="E99" s="380" t="s">
        <v>322</v>
      </c>
      <c r="F99" s="380" t="s">
        <v>1305</v>
      </c>
      <c r="G99" s="380" t="s">
        <v>757</v>
      </c>
      <c r="H99" s="380" t="s">
        <v>1939</v>
      </c>
      <c r="I99" s="380" t="s">
        <v>1914</v>
      </c>
      <c r="J99" s="380" t="s">
        <v>1940</v>
      </c>
      <c r="K99" s="380" t="s">
        <v>1916</v>
      </c>
      <c r="L99" s="403">
        <v>0</v>
      </c>
    </row>
    <row r="100" spans="1:12" ht="15" customHeight="1" x14ac:dyDescent="0.25">
      <c r="A100" s="380" t="s">
        <v>1941</v>
      </c>
      <c r="B100" s="380" t="s">
        <v>88</v>
      </c>
      <c r="C100" s="380" t="s">
        <v>1712</v>
      </c>
      <c r="D100" s="380" t="s">
        <v>1328</v>
      </c>
      <c r="E100" s="380" t="s">
        <v>322</v>
      </c>
      <c r="F100" s="380" t="s">
        <v>1305</v>
      </c>
      <c r="G100" s="380" t="s">
        <v>754</v>
      </c>
      <c r="H100" s="380" t="s">
        <v>1942</v>
      </c>
      <c r="I100" s="380" t="s">
        <v>1914</v>
      </c>
      <c r="J100" s="380" t="s">
        <v>1943</v>
      </c>
      <c r="K100" s="380" t="s">
        <v>1916</v>
      </c>
      <c r="L100" s="403">
        <f>EF!E116</f>
        <v>10</v>
      </c>
    </row>
    <row r="101" spans="1:12" ht="15" customHeight="1" x14ac:dyDescent="0.25">
      <c r="A101" s="380" t="s">
        <v>1944</v>
      </c>
      <c r="B101" s="380" t="s">
        <v>88</v>
      </c>
      <c r="C101" s="380" t="s">
        <v>1712</v>
      </c>
      <c r="D101" s="380" t="s">
        <v>1328</v>
      </c>
      <c r="E101" s="380" t="s">
        <v>322</v>
      </c>
      <c r="F101" s="380" t="s">
        <v>1305</v>
      </c>
      <c r="G101" s="380" t="s">
        <v>1292</v>
      </c>
      <c r="H101" s="380" t="s">
        <v>1945</v>
      </c>
      <c r="I101" s="380" t="s">
        <v>1914</v>
      </c>
      <c r="J101" s="380" t="s">
        <v>1946</v>
      </c>
      <c r="K101" s="380" t="s">
        <v>1916</v>
      </c>
      <c r="L101" s="403">
        <v>0</v>
      </c>
    </row>
    <row r="102" spans="1:12" ht="15" customHeight="1" x14ac:dyDescent="0.25">
      <c r="A102" s="380" t="s">
        <v>1947</v>
      </c>
      <c r="B102" s="380" t="s">
        <v>88</v>
      </c>
      <c r="C102" s="380" t="s">
        <v>1712</v>
      </c>
      <c r="D102" s="380" t="s">
        <v>1328</v>
      </c>
      <c r="E102" s="380" t="s">
        <v>322</v>
      </c>
      <c r="F102" s="380" t="s">
        <v>1305</v>
      </c>
      <c r="G102" s="380" t="s">
        <v>762</v>
      </c>
      <c r="H102" s="380" t="s">
        <v>1948</v>
      </c>
      <c r="I102" s="380" t="s">
        <v>1914</v>
      </c>
      <c r="J102" s="380" t="s">
        <v>1949</v>
      </c>
      <c r="K102" s="380" t="s">
        <v>1916</v>
      </c>
      <c r="L102" s="403">
        <v>0</v>
      </c>
    </row>
    <row r="103" spans="1:12" ht="15" customHeight="1" x14ac:dyDescent="0.25">
      <c r="A103" s="380" t="s">
        <v>1950</v>
      </c>
      <c r="B103" s="380" t="s">
        <v>88</v>
      </c>
      <c r="C103" s="380" t="s">
        <v>1712</v>
      </c>
      <c r="D103" s="380" t="s">
        <v>1328</v>
      </c>
      <c r="E103" s="380" t="s">
        <v>322</v>
      </c>
      <c r="F103" s="380" t="s">
        <v>1305</v>
      </c>
      <c r="G103" s="380" t="s">
        <v>1295</v>
      </c>
      <c r="H103" s="380" t="s">
        <v>1951</v>
      </c>
      <c r="I103" s="380" t="s">
        <v>1914</v>
      </c>
      <c r="J103" s="380" t="s">
        <v>1952</v>
      </c>
      <c r="K103" s="380" t="s">
        <v>1916</v>
      </c>
      <c r="L103" s="403">
        <v>0</v>
      </c>
    </row>
    <row r="104" spans="1:12" ht="15" customHeight="1" x14ac:dyDescent="0.25">
      <c r="A104" s="380" t="s">
        <v>1953</v>
      </c>
      <c r="B104" s="380" t="s">
        <v>88</v>
      </c>
      <c r="C104" s="380" t="s">
        <v>1712</v>
      </c>
      <c r="D104" s="380" t="s">
        <v>1328</v>
      </c>
      <c r="E104" s="380" t="s">
        <v>322</v>
      </c>
      <c r="F104" s="380" t="s">
        <v>1305</v>
      </c>
      <c r="G104" s="380" t="s">
        <v>1297</v>
      </c>
      <c r="H104" s="380" t="s">
        <v>1954</v>
      </c>
      <c r="I104" s="380" t="s">
        <v>1914</v>
      </c>
      <c r="J104" s="380" t="s">
        <v>1955</v>
      </c>
      <c r="K104" s="380" t="s">
        <v>1916</v>
      </c>
      <c r="L104" s="403">
        <v>0</v>
      </c>
    </row>
    <row r="105" spans="1:12" ht="15" customHeight="1" x14ac:dyDescent="0.25">
      <c r="A105" s="380" t="s">
        <v>1956</v>
      </c>
      <c r="B105" s="380" t="s">
        <v>88</v>
      </c>
      <c r="C105" s="380" t="s">
        <v>1712</v>
      </c>
      <c r="D105" s="380" t="s">
        <v>1328</v>
      </c>
      <c r="E105" s="380" t="s">
        <v>322</v>
      </c>
      <c r="F105" s="380" t="s">
        <v>1305</v>
      </c>
      <c r="G105" s="380" t="s">
        <v>1299</v>
      </c>
      <c r="H105" s="380" t="s">
        <v>1957</v>
      </c>
      <c r="I105" s="380" t="s">
        <v>1914</v>
      </c>
      <c r="J105" s="380" t="s">
        <v>1958</v>
      </c>
      <c r="K105" s="380" t="s">
        <v>1916</v>
      </c>
      <c r="L105" s="403">
        <v>0</v>
      </c>
    </row>
    <row r="106" spans="1:12" ht="15" customHeight="1" x14ac:dyDescent="0.25">
      <c r="A106" s="380" t="s">
        <v>1959</v>
      </c>
      <c r="B106" s="380" t="s">
        <v>88</v>
      </c>
      <c r="C106" s="380" t="s">
        <v>1712</v>
      </c>
      <c r="D106" s="380" t="s">
        <v>1328</v>
      </c>
      <c r="E106" s="380" t="s">
        <v>322</v>
      </c>
      <c r="F106" s="380" t="s">
        <v>1305</v>
      </c>
      <c r="G106" s="380" t="s">
        <v>1301</v>
      </c>
      <c r="H106" s="380" t="s">
        <v>1960</v>
      </c>
      <c r="I106" s="380" t="s">
        <v>1914</v>
      </c>
      <c r="J106" s="380" t="s">
        <v>1961</v>
      </c>
      <c r="K106" s="380" t="s">
        <v>1916</v>
      </c>
      <c r="L106" s="403">
        <v>0</v>
      </c>
    </row>
    <row r="107" spans="1:12" ht="15" customHeight="1" x14ac:dyDescent="0.25">
      <c r="A107" s="380" t="s">
        <v>1962</v>
      </c>
      <c r="B107" s="380" t="s">
        <v>88</v>
      </c>
      <c r="C107" s="380" t="s">
        <v>1712</v>
      </c>
      <c r="D107" s="380" t="s">
        <v>1338</v>
      </c>
      <c r="E107" s="380" t="s">
        <v>322</v>
      </c>
      <c r="F107" s="380" t="s">
        <v>1305</v>
      </c>
      <c r="G107" s="380" t="s">
        <v>1339</v>
      </c>
      <c r="H107" s="380" t="s">
        <v>1963</v>
      </c>
      <c r="I107" s="380" t="s">
        <v>1914</v>
      </c>
      <c r="J107" s="380" t="s">
        <v>1964</v>
      </c>
      <c r="K107" s="380"/>
      <c r="L107" s="403">
        <f>EF!G116</f>
        <v>2</v>
      </c>
    </row>
    <row r="108" spans="1:12" ht="15" customHeight="1" x14ac:dyDescent="0.25">
      <c r="A108" s="380" t="s">
        <v>1965</v>
      </c>
      <c r="B108" s="380" t="s">
        <v>88</v>
      </c>
      <c r="C108" s="380" t="s">
        <v>1712</v>
      </c>
      <c r="D108" s="380" t="s">
        <v>1966</v>
      </c>
      <c r="E108" s="380" t="s">
        <v>322</v>
      </c>
      <c r="F108" s="380" t="s">
        <v>1305</v>
      </c>
      <c r="G108" s="380" t="s">
        <v>1277</v>
      </c>
      <c r="H108" s="380" t="s">
        <v>1967</v>
      </c>
      <c r="I108" s="380" t="s">
        <v>1746</v>
      </c>
      <c r="J108" s="380" t="s">
        <v>1968</v>
      </c>
      <c r="K108" s="380" t="s">
        <v>1969</v>
      </c>
      <c r="L108" s="403">
        <f>EF!H116</f>
        <v>0.04</v>
      </c>
    </row>
    <row r="109" spans="1:12" ht="15" customHeight="1" x14ac:dyDescent="0.25">
      <c r="A109" s="380" t="s">
        <v>1970</v>
      </c>
      <c r="B109" s="380" t="s">
        <v>88</v>
      </c>
      <c r="C109" s="380" t="s">
        <v>1712</v>
      </c>
      <c r="D109" s="380" t="s">
        <v>1971</v>
      </c>
      <c r="E109" s="380" t="s">
        <v>322</v>
      </c>
      <c r="F109" s="380" t="s">
        <v>1305</v>
      </c>
      <c r="G109" s="380" t="s">
        <v>1277</v>
      </c>
      <c r="H109" s="380" t="s">
        <v>1972</v>
      </c>
      <c r="I109" s="380" t="s">
        <v>1566</v>
      </c>
      <c r="J109" s="380" t="s">
        <v>1973</v>
      </c>
      <c r="K109" s="380" t="s">
        <v>1969</v>
      </c>
      <c r="L109" s="403">
        <f>EF!I116</f>
        <v>0</v>
      </c>
    </row>
    <row r="110" spans="1:12" ht="15" customHeight="1" x14ac:dyDescent="0.25">
      <c r="A110" s="380" t="s">
        <v>1974</v>
      </c>
      <c r="B110" s="380" t="s">
        <v>88</v>
      </c>
      <c r="C110" s="380" t="s">
        <v>1712</v>
      </c>
      <c r="D110" s="380" t="s">
        <v>1890</v>
      </c>
      <c r="E110" s="380" t="s">
        <v>322</v>
      </c>
      <c r="F110" s="380" t="s">
        <v>1361</v>
      </c>
      <c r="G110" s="380" t="s">
        <v>1277</v>
      </c>
      <c r="H110" s="380" t="s">
        <v>1975</v>
      </c>
      <c r="I110" s="380" t="s">
        <v>1307</v>
      </c>
      <c r="J110" s="380" t="s">
        <v>1976</v>
      </c>
      <c r="K110" s="380" t="s">
        <v>1893</v>
      </c>
      <c r="L110" s="406">
        <v>4.58</v>
      </c>
    </row>
    <row r="111" spans="1:12" ht="15" customHeight="1" x14ac:dyDescent="0.25">
      <c r="A111" s="380" t="s">
        <v>1977</v>
      </c>
      <c r="B111" s="380" t="s">
        <v>88</v>
      </c>
      <c r="C111" s="380" t="s">
        <v>1712</v>
      </c>
      <c r="D111" s="380" t="s">
        <v>1895</v>
      </c>
      <c r="E111" s="380" t="s">
        <v>322</v>
      </c>
      <c r="F111" s="380" t="s">
        <v>1361</v>
      </c>
      <c r="G111" s="380" t="s">
        <v>1277</v>
      </c>
      <c r="H111" s="380" t="s">
        <v>1978</v>
      </c>
      <c r="I111" s="380" t="s">
        <v>1897</v>
      </c>
      <c r="J111" s="380" t="s">
        <v>1898</v>
      </c>
      <c r="K111" s="380"/>
      <c r="L111" s="404">
        <v>0.8</v>
      </c>
    </row>
    <row r="112" spans="1:12" ht="15" customHeight="1" x14ac:dyDescent="0.25">
      <c r="A112" s="380" t="s">
        <v>1979</v>
      </c>
      <c r="B112" s="380" t="s">
        <v>88</v>
      </c>
      <c r="C112" s="380" t="s">
        <v>1712</v>
      </c>
      <c r="D112" s="380" t="s">
        <v>1900</v>
      </c>
      <c r="E112" s="380" t="s">
        <v>322</v>
      </c>
      <c r="F112" s="380" t="s">
        <v>1361</v>
      </c>
      <c r="G112" s="380" t="s">
        <v>1277</v>
      </c>
      <c r="H112" s="380" t="s">
        <v>1980</v>
      </c>
      <c r="I112" s="380" t="s">
        <v>1902</v>
      </c>
      <c r="J112" s="380" t="s">
        <v>1903</v>
      </c>
      <c r="K112" s="380"/>
      <c r="L112" s="404">
        <v>0.3</v>
      </c>
    </row>
    <row r="113" spans="1:12" ht="15" customHeight="1" x14ac:dyDescent="0.25">
      <c r="A113" s="380" t="s">
        <v>1981</v>
      </c>
      <c r="B113" s="380" t="s">
        <v>88</v>
      </c>
      <c r="C113" s="380" t="s">
        <v>1712</v>
      </c>
      <c r="D113" s="380" t="s">
        <v>1905</v>
      </c>
      <c r="E113" s="380" t="s">
        <v>322</v>
      </c>
      <c r="F113" s="380" t="s">
        <v>1361</v>
      </c>
      <c r="G113" s="380" t="s">
        <v>1277</v>
      </c>
      <c r="H113" s="380" t="s">
        <v>1982</v>
      </c>
      <c r="I113" s="380" t="s">
        <v>1902</v>
      </c>
      <c r="J113" s="380" t="s">
        <v>1907</v>
      </c>
      <c r="K113" s="380"/>
      <c r="L113" s="404">
        <v>0.1</v>
      </c>
    </row>
    <row r="114" spans="1:12" ht="15" customHeight="1" x14ac:dyDescent="0.25">
      <c r="A114" s="380" t="s">
        <v>1983</v>
      </c>
      <c r="B114" s="380" t="s">
        <v>88</v>
      </c>
      <c r="C114" s="380" t="s">
        <v>1712</v>
      </c>
      <c r="D114" s="380" t="s">
        <v>1909</v>
      </c>
      <c r="E114" s="380" t="s">
        <v>322</v>
      </c>
      <c r="F114" s="380" t="s">
        <v>1361</v>
      </c>
      <c r="G114" s="380" t="s">
        <v>1277</v>
      </c>
      <c r="H114" s="380" t="s">
        <v>1984</v>
      </c>
      <c r="I114" s="380" t="s">
        <v>1902</v>
      </c>
      <c r="J114" s="380" t="s">
        <v>1911</v>
      </c>
      <c r="K114" s="380"/>
      <c r="L114" s="404">
        <v>0.1</v>
      </c>
    </row>
    <row r="115" spans="1:12" ht="15" customHeight="1" x14ac:dyDescent="0.25">
      <c r="A115" s="380" t="s">
        <v>1985</v>
      </c>
      <c r="B115" s="380" t="s">
        <v>88</v>
      </c>
      <c r="C115" s="380" t="s">
        <v>1712</v>
      </c>
      <c r="D115" s="380" t="s">
        <v>1317</v>
      </c>
      <c r="E115" s="380" t="s">
        <v>322</v>
      </c>
      <c r="F115" s="380" t="s">
        <v>1361</v>
      </c>
      <c r="G115" s="380" t="s">
        <v>757</v>
      </c>
      <c r="H115" s="380" t="s">
        <v>1986</v>
      </c>
      <c r="I115" s="380" t="s">
        <v>1914</v>
      </c>
      <c r="J115" s="380" t="s">
        <v>1915</v>
      </c>
      <c r="K115" s="380" t="s">
        <v>1916</v>
      </c>
      <c r="L115" s="403">
        <v>0</v>
      </c>
    </row>
    <row r="116" spans="1:12" ht="15" customHeight="1" x14ac:dyDescent="0.25">
      <c r="A116" s="380" t="s">
        <v>1987</v>
      </c>
      <c r="B116" s="380" t="s">
        <v>88</v>
      </c>
      <c r="C116" s="380" t="s">
        <v>1712</v>
      </c>
      <c r="D116" s="380" t="s">
        <v>1317</v>
      </c>
      <c r="E116" s="380" t="s">
        <v>322</v>
      </c>
      <c r="F116" s="380" t="s">
        <v>1361</v>
      </c>
      <c r="G116" s="380" t="s">
        <v>754</v>
      </c>
      <c r="H116" s="380" t="s">
        <v>1988</v>
      </c>
      <c r="I116" s="380" t="s">
        <v>1914</v>
      </c>
      <c r="J116" s="380" t="s">
        <v>1919</v>
      </c>
      <c r="K116" s="380" t="s">
        <v>1916</v>
      </c>
      <c r="L116" s="403">
        <f>EF!C117</f>
        <v>2.5</v>
      </c>
    </row>
    <row r="117" spans="1:12" ht="15" customHeight="1" x14ac:dyDescent="0.25">
      <c r="A117" s="380" t="s">
        <v>1989</v>
      </c>
      <c r="B117" s="380" t="s">
        <v>88</v>
      </c>
      <c r="C117" s="380" t="s">
        <v>1712</v>
      </c>
      <c r="D117" s="380" t="s">
        <v>1317</v>
      </c>
      <c r="E117" s="380" t="s">
        <v>322</v>
      </c>
      <c r="F117" s="380" t="s">
        <v>1361</v>
      </c>
      <c r="G117" s="380" t="s">
        <v>1292</v>
      </c>
      <c r="H117" s="380" t="s">
        <v>1990</v>
      </c>
      <c r="I117" s="380" t="s">
        <v>1914</v>
      </c>
      <c r="J117" s="380" t="s">
        <v>1922</v>
      </c>
      <c r="K117" s="380" t="s">
        <v>1916</v>
      </c>
      <c r="L117" s="403">
        <v>0</v>
      </c>
    </row>
    <row r="118" spans="1:12" ht="15" customHeight="1" x14ac:dyDescent="0.25">
      <c r="A118" s="380" t="s">
        <v>1991</v>
      </c>
      <c r="B118" s="380" t="s">
        <v>88</v>
      </c>
      <c r="C118" s="380" t="s">
        <v>1712</v>
      </c>
      <c r="D118" s="380" t="s">
        <v>1317</v>
      </c>
      <c r="E118" s="380" t="s">
        <v>322</v>
      </c>
      <c r="F118" s="380" t="s">
        <v>1361</v>
      </c>
      <c r="G118" s="380" t="s">
        <v>762</v>
      </c>
      <c r="H118" s="380" t="s">
        <v>1992</v>
      </c>
      <c r="I118" s="380" t="s">
        <v>1914</v>
      </c>
      <c r="J118" s="380" t="s">
        <v>1925</v>
      </c>
      <c r="K118" s="380" t="s">
        <v>1916</v>
      </c>
      <c r="L118" s="403">
        <v>0</v>
      </c>
    </row>
    <row r="119" spans="1:12" ht="15" customHeight="1" x14ac:dyDescent="0.25">
      <c r="A119" s="380" t="s">
        <v>1993</v>
      </c>
      <c r="B119" s="380" t="s">
        <v>88</v>
      </c>
      <c r="C119" s="380" t="s">
        <v>1712</v>
      </c>
      <c r="D119" s="380" t="s">
        <v>1317</v>
      </c>
      <c r="E119" s="380" t="s">
        <v>322</v>
      </c>
      <c r="F119" s="380" t="s">
        <v>1361</v>
      </c>
      <c r="G119" s="380" t="s">
        <v>1295</v>
      </c>
      <c r="H119" s="380" t="s">
        <v>1994</v>
      </c>
      <c r="I119" s="380" t="s">
        <v>1914</v>
      </c>
      <c r="J119" s="380" t="s">
        <v>1928</v>
      </c>
      <c r="K119" s="380" t="s">
        <v>1916</v>
      </c>
      <c r="L119" s="403">
        <v>0</v>
      </c>
    </row>
    <row r="120" spans="1:12" ht="15" customHeight="1" x14ac:dyDescent="0.25">
      <c r="A120" s="380" t="s">
        <v>1995</v>
      </c>
      <c r="B120" s="380" t="s">
        <v>88</v>
      </c>
      <c r="C120" s="380" t="s">
        <v>1712</v>
      </c>
      <c r="D120" s="380" t="s">
        <v>1317</v>
      </c>
      <c r="E120" s="380" t="s">
        <v>322</v>
      </c>
      <c r="F120" s="380" t="s">
        <v>1361</v>
      </c>
      <c r="G120" s="380" t="s">
        <v>1297</v>
      </c>
      <c r="H120" s="380" t="s">
        <v>1996</v>
      </c>
      <c r="I120" s="380" t="s">
        <v>1914</v>
      </c>
      <c r="J120" s="380" t="s">
        <v>1931</v>
      </c>
      <c r="K120" s="380" t="s">
        <v>1916</v>
      </c>
      <c r="L120" s="403">
        <v>0</v>
      </c>
    </row>
    <row r="121" spans="1:12" ht="15" customHeight="1" x14ac:dyDescent="0.25">
      <c r="A121" s="380" t="s">
        <v>1997</v>
      </c>
      <c r="B121" s="380" t="s">
        <v>88</v>
      </c>
      <c r="C121" s="380" t="s">
        <v>1712</v>
      </c>
      <c r="D121" s="380" t="s">
        <v>1317</v>
      </c>
      <c r="E121" s="380" t="s">
        <v>322</v>
      </c>
      <c r="F121" s="380" t="s">
        <v>1361</v>
      </c>
      <c r="G121" s="380" t="s">
        <v>1299</v>
      </c>
      <c r="H121" s="380" t="s">
        <v>1998</v>
      </c>
      <c r="I121" s="380" t="s">
        <v>1914</v>
      </c>
      <c r="J121" s="380" t="s">
        <v>1934</v>
      </c>
      <c r="K121" s="380" t="s">
        <v>1916</v>
      </c>
      <c r="L121" s="403">
        <v>0</v>
      </c>
    </row>
    <row r="122" spans="1:12" ht="15" customHeight="1" x14ac:dyDescent="0.25">
      <c r="A122" s="380" t="s">
        <v>1999</v>
      </c>
      <c r="B122" s="380" t="s">
        <v>88</v>
      </c>
      <c r="C122" s="380" t="s">
        <v>1712</v>
      </c>
      <c r="D122" s="380" t="s">
        <v>1317</v>
      </c>
      <c r="E122" s="380" t="s">
        <v>322</v>
      </c>
      <c r="F122" s="380" t="s">
        <v>1361</v>
      </c>
      <c r="G122" s="380" t="s">
        <v>1301</v>
      </c>
      <c r="H122" s="380" t="s">
        <v>2000</v>
      </c>
      <c r="I122" s="380" t="s">
        <v>1914</v>
      </c>
      <c r="J122" s="380" t="s">
        <v>1937</v>
      </c>
      <c r="K122" s="380" t="s">
        <v>1916</v>
      </c>
      <c r="L122" s="403">
        <v>0</v>
      </c>
    </row>
    <row r="123" spans="1:12" ht="15" customHeight="1" x14ac:dyDescent="0.25">
      <c r="A123" s="380" t="s">
        <v>2001</v>
      </c>
      <c r="B123" s="380" t="s">
        <v>88</v>
      </c>
      <c r="C123" s="380" t="s">
        <v>1712</v>
      </c>
      <c r="D123" s="380" t="s">
        <v>1328</v>
      </c>
      <c r="E123" s="380" t="s">
        <v>322</v>
      </c>
      <c r="F123" s="380" t="s">
        <v>1361</v>
      </c>
      <c r="G123" s="380" t="s">
        <v>757</v>
      </c>
      <c r="H123" s="380" t="s">
        <v>2002</v>
      </c>
      <c r="I123" s="380" t="s">
        <v>1914</v>
      </c>
      <c r="J123" s="380" t="s">
        <v>1940</v>
      </c>
      <c r="K123" s="380" t="s">
        <v>1916</v>
      </c>
      <c r="L123" s="403">
        <v>0</v>
      </c>
    </row>
    <row r="124" spans="1:12" ht="15" customHeight="1" x14ac:dyDescent="0.25">
      <c r="A124" s="380" t="s">
        <v>2003</v>
      </c>
      <c r="B124" s="380" t="s">
        <v>88</v>
      </c>
      <c r="C124" s="380" t="s">
        <v>1712</v>
      </c>
      <c r="D124" s="380" t="s">
        <v>1328</v>
      </c>
      <c r="E124" s="380" t="s">
        <v>322</v>
      </c>
      <c r="F124" s="380" t="s">
        <v>1361</v>
      </c>
      <c r="G124" s="380" t="s">
        <v>754</v>
      </c>
      <c r="H124" s="380" t="s">
        <v>2004</v>
      </c>
      <c r="I124" s="380" t="s">
        <v>1914</v>
      </c>
      <c r="J124" s="380" t="s">
        <v>1943</v>
      </c>
      <c r="K124" s="380" t="s">
        <v>1916</v>
      </c>
      <c r="L124" s="403">
        <v>0</v>
      </c>
    </row>
    <row r="125" spans="1:12" ht="15" customHeight="1" x14ac:dyDescent="0.25">
      <c r="A125" s="380" t="s">
        <v>2005</v>
      </c>
      <c r="B125" s="380" t="s">
        <v>88</v>
      </c>
      <c r="C125" s="380" t="s">
        <v>1712</v>
      </c>
      <c r="D125" s="380" t="s">
        <v>1328</v>
      </c>
      <c r="E125" s="380" t="s">
        <v>322</v>
      </c>
      <c r="F125" s="380" t="s">
        <v>1361</v>
      </c>
      <c r="G125" s="380" t="s">
        <v>1292</v>
      </c>
      <c r="H125" s="380" t="s">
        <v>2006</v>
      </c>
      <c r="I125" s="380" t="s">
        <v>1914</v>
      </c>
      <c r="J125" s="380" t="s">
        <v>1946</v>
      </c>
      <c r="K125" s="380" t="s">
        <v>1916</v>
      </c>
      <c r="L125" s="403">
        <v>0</v>
      </c>
    </row>
    <row r="126" spans="1:12" ht="15" customHeight="1" x14ac:dyDescent="0.25">
      <c r="A126" s="380" t="s">
        <v>2007</v>
      </c>
      <c r="B126" s="380" t="s">
        <v>88</v>
      </c>
      <c r="C126" s="380" t="s">
        <v>1712</v>
      </c>
      <c r="D126" s="380" t="s">
        <v>1328</v>
      </c>
      <c r="E126" s="380" t="s">
        <v>322</v>
      </c>
      <c r="F126" s="380" t="s">
        <v>1361</v>
      </c>
      <c r="G126" s="380" t="s">
        <v>762</v>
      </c>
      <c r="H126" s="380" t="s">
        <v>2008</v>
      </c>
      <c r="I126" s="380" t="s">
        <v>1914</v>
      </c>
      <c r="J126" s="380" t="s">
        <v>1949</v>
      </c>
      <c r="K126" s="380" t="s">
        <v>1916</v>
      </c>
      <c r="L126" s="403">
        <v>0</v>
      </c>
    </row>
    <row r="127" spans="1:12" ht="15" customHeight="1" x14ac:dyDescent="0.25">
      <c r="A127" s="380" t="s">
        <v>2009</v>
      </c>
      <c r="B127" s="380" t="s">
        <v>88</v>
      </c>
      <c r="C127" s="380" t="s">
        <v>1712</v>
      </c>
      <c r="D127" s="380" t="s">
        <v>1328</v>
      </c>
      <c r="E127" s="380" t="s">
        <v>322</v>
      </c>
      <c r="F127" s="380" t="s">
        <v>1361</v>
      </c>
      <c r="G127" s="380" t="s">
        <v>1295</v>
      </c>
      <c r="H127" s="380" t="s">
        <v>2010</v>
      </c>
      <c r="I127" s="380" t="s">
        <v>1914</v>
      </c>
      <c r="J127" s="380" t="s">
        <v>1952</v>
      </c>
      <c r="K127" s="380" t="s">
        <v>1916</v>
      </c>
      <c r="L127" s="403">
        <v>0</v>
      </c>
    </row>
    <row r="128" spans="1:12" ht="15" customHeight="1" x14ac:dyDescent="0.25">
      <c r="A128" s="380" t="s">
        <v>2011</v>
      </c>
      <c r="B128" s="380" t="s">
        <v>88</v>
      </c>
      <c r="C128" s="380" t="s">
        <v>1712</v>
      </c>
      <c r="D128" s="380" t="s">
        <v>1328</v>
      </c>
      <c r="E128" s="380" t="s">
        <v>322</v>
      </c>
      <c r="F128" s="380" t="s">
        <v>1361</v>
      </c>
      <c r="G128" s="380" t="s">
        <v>1297</v>
      </c>
      <c r="H128" s="380" t="s">
        <v>2012</v>
      </c>
      <c r="I128" s="380" t="s">
        <v>1914</v>
      </c>
      <c r="J128" s="380" t="s">
        <v>1955</v>
      </c>
      <c r="K128" s="380" t="s">
        <v>1916</v>
      </c>
      <c r="L128" s="403">
        <v>0</v>
      </c>
    </row>
    <row r="129" spans="1:12" ht="15" customHeight="1" x14ac:dyDescent="0.25">
      <c r="A129" s="380" t="s">
        <v>2013</v>
      </c>
      <c r="B129" s="380" t="s">
        <v>88</v>
      </c>
      <c r="C129" s="380" t="s">
        <v>1712</v>
      </c>
      <c r="D129" s="380" t="s">
        <v>1328</v>
      </c>
      <c r="E129" s="380" t="s">
        <v>322</v>
      </c>
      <c r="F129" s="380" t="s">
        <v>1361</v>
      </c>
      <c r="G129" s="380" t="s">
        <v>1299</v>
      </c>
      <c r="H129" s="380" t="s">
        <v>2014</v>
      </c>
      <c r="I129" s="380" t="s">
        <v>1914</v>
      </c>
      <c r="J129" s="380" t="s">
        <v>1958</v>
      </c>
      <c r="K129" s="380" t="s">
        <v>1916</v>
      </c>
      <c r="L129" s="403">
        <v>0</v>
      </c>
    </row>
    <row r="130" spans="1:12" ht="15" customHeight="1" x14ac:dyDescent="0.25">
      <c r="A130" s="380" t="s">
        <v>2015</v>
      </c>
      <c r="B130" s="380" t="s">
        <v>88</v>
      </c>
      <c r="C130" s="380" t="s">
        <v>1712</v>
      </c>
      <c r="D130" s="380" t="s">
        <v>1328</v>
      </c>
      <c r="E130" s="380" t="s">
        <v>322</v>
      </c>
      <c r="F130" s="380" t="s">
        <v>1361</v>
      </c>
      <c r="G130" s="380" t="s">
        <v>1301</v>
      </c>
      <c r="H130" s="380" t="s">
        <v>2016</v>
      </c>
      <c r="I130" s="380" t="s">
        <v>1914</v>
      </c>
      <c r="J130" s="380" t="s">
        <v>1961</v>
      </c>
      <c r="K130" s="380" t="s">
        <v>1916</v>
      </c>
      <c r="L130" s="403">
        <v>0</v>
      </c>
    </row>
    <row r="131" spans="1:12" ht="15" customHeight="1" x14ac:dyDescent="0.25">
      <c r="A131" s="380" t="s">
        <v>2017</v>
      </c>
      <c r="B131" s="380" t="s">
        <v>88</v>
      </c>
      <c r="C131" s="380" t="s">
        <v>1712</v>
      </c>
      <c r="D131" s="380" t="s">
        <v>1338</v>
      </c>
      <c r="E131" s="380" t="s">
        <v>322</v>
      </c>
      <c r="F131" s="380" t="s">
        <v>1361</v>
      </c>
      <c r="G131" s="380" t="s">
        <v>1339</v>
      </c>
      <c r="H131" s="380" t="s">
        <v>2018</v>
      </c>
      <c r="I131" s="380" t="s">
        <v>1914</v>
      </c>
      <c r="J131" s="380" t="s">
        <v>1964</v>
      </c>
      <c r="K131" s="380"/>
      <c r="L131" s="403">
        <f>EF!G117</f>
        <v>2</v>
      </c>
    </row>
    <row r="132" spans="1:12" ht="15" customHeight="1" x14ac:dyDescent="0.25">
      <c r="A132" s="380" t="s">
        <v>2019</v>
      </c>
      <c r="B132" s="380" t="s">
        <v>88</v>
      </c>
      <c r="C132" s="380" t="s">
        <v>1712</v>
      </c>
      <c r="D132" s="380" t="s">
        <v>1966</v>
      </c>
      <c r="E132" s="380" t="s">
        <v>322</v>
      </c>
      <c r="F132" s="380" t="s">
        <v>1361</v>
      </c>
      <c r="G132" s="380" t="s">
        <v>1277</v>
      </c>
      <c r="H132" s="380" t="s">
        <v>2020</v>
      </c>
      <c r="I132" s="380" t="s">
        <v>1746</v>
      </c>
      <c r="J132" s="380" t="s">
        <v>1968</v>
      </c>
      <c r="K132" s="380" t="s">
        <v>1969</v>
      </c>
      <c r="L132" s="403">
        <f>EF!H117</f>
        <v>1.4999999999999999E-2</v>
      </c>
    </row>
    <row r="133" spans="1:12" ht="15" customHeight="1" x14ac:dyDescent="0.25">
      <c r="A133" s="380" t="s">
        <v>2021</v>
      </c>
      <c r="B133" s="380" t="s">
        <v>88</v>
      </c>
      <c r="C133" s="380" t="s">
        <v>1712</v>
      </c>
      <c r="D133" s="380" t="s">
        <v>1971</v>
      </c>
      <c r="E133" s="380" t="s">
        <v>322</v>
      </c>
      <c r="F133" s="380" t="s">
        <v>1361</v>
      </c>
      <c r="G133" s="380" t="s">
        <v>1277</v>
      </c>
      <c r="H133" s="380" t="s">
        <v>2022</v>
      </c>
      <c r="I133" s="380" t="s">
        <v>1566</v>
      </c>
      <c r="J133" s="380" t="s">
        <v>1973</v>
      </c>
      <c r="K133" s="380" t="s">
        <v>1969</v>
      </c>
      <c r="L133" s="403">
        <f>EF!I117</f>
        <v>0</v>
      </c>
    </row>
    <row r="134" spans="1:12" ht="15" customHeight="1" x14ac:dyDescent="0.25">
      <c r="A134" s="380" t="s">
        <v>2023</v>
      </c>
      <c r="B134" s="380" t="s">
        <v>88</v>
      </c>
      <c r="C134" s="380" t="s">
        <v>1712</v>
      </c>
      <c r="D134" s="380" t="s">
        <v>1890</v>
      </c>
      <c r="E134" s="380" t="s">
        <v>322</v>
      </c>
      <c r="F134" s="380" t="s">
        <v>1389</v>
      </c>
      <c r="G134" s="380" t="s">
        <v>1277</v>
      </c>
      <c r="H134" s="380" t="s">
        <v>2024</v>
      </c>
      <c r="I134" s="380" t="s">
        <v>1307</v>
      </c>
      <c r="J134" s="380" t="s">
        <v>2025</v>
      </c>
      <c r="K134" s="380" t="s">
        <v>1893</v>
      </c>
      <c r="L134" s="406">
        <v>0</v>
      </c>
    </row>
    <row r="135" spans="1:12" ht="15" customHeight="1" x14ac:dyDescent="0.25">
      <c r="A135" s="380" t="s">
        <v>2026</v>
      </c>
      <c r="B135" s="380" t="s">
        <v>88</v>
      </c>
      <c r="C135" s="380" t="s">
        <v>1712</v>
      </c>
      <c r="D135" s="380" t="s">
        <v>1895</v>
      </c>
      <c r="E135" s="380" t="s">
        <v>322</v>
      </c>
      <c r="F135" s="380" t="s">
        <v>1389</v>
      </c>
      <c r="G135" s="380" t="s">
        <v>1277</v>
      </c>
      <c r="H135" s="380" t="s">
        <v>2027</v>
      </c>
      <c r="I135" s="380" t="s">
        <v>1897</v>
      </c>
      <c r="J135" s="380" t="s">
        <v>1898</v>
      </c>
      <c r="K135" s="380"/>
      <c r="L135" s="404">
        <v>1</v>
      </c>
    </row>
    <row r="136" spans="1:12" ht="15" customHeight="1" x14ac:dyDescent="0.25">
      <c r="A136" s="380" t="s">
        <v>2028</v>
      </c>
      <c r="B136" s="380" t="s">
        <v>88</v>
      </c>
      <c r="C136" s="380" t="s">
        <v>1712</v>
      </c>
      <c r="D136" s="380" t="s">
        <v>1900</v>
      </c>
      <c r="E136" s="380" t="s">
        <v>322</v>
      </c>
      <c r="F136" s="380" t="s">
        <v>1389</v>
      </c>
      <c r="G136" s="380" t="s">
        <v>1277</v>
      </c>
      <c r="H136" s="380" t="s">
        <v>2029</v>
      </c>
      <c r="I136" s="380" t="s">
        <v>1902</v>
      </c>
      <c r="J136" s="380" t="s">
        <v>1903</v>
      </c>
      <c r="K136" s="380"/>
      <c r="L136" s="404">
        <v>0.2</v>
      </c>
    </row>
    <row r="137" spans="1:12" ht="15" customHeight="1" x14ac:dyDescent="0.25">
      <c r="A137" s="380" t="s">
        <v>2030</v>
      </c>
      <c r="B137" s="380" t="s">
        <v>88</v>
      </c>
      <c r="C137" s="380" t="s">
        <v>1712</v>
      </c>
      <c r="D137" s="380" t="s">
        <v>1905</v>
      </c>
      <c r="E137" s="380" t="s">
        <v>322</v>
      </c>
      <c r="F137" s="380" t="s">
        <v>1389</v>
      </c>
      <c r="G137" s="380" t="s">
        <v>1277</v>
      </c>
      <c r="H137" s="380" t="s">
        <v>2031</v>
      </c>
      <c r="I137" s="380" t="s">
        <v>1902</v>
      </c>
      <c r="J137" s="380" t="s">
        <v>1907</v>
      </c>
      <c r="K137" s="380"/>
      <c r="L137" s="404">
        <v>0.1</v>
      </c>
    </row>
    <row r="138" spans="1:12" ht="15" customHeight="1" x14ac:dyDescent="0.25">
      <c r="A138" s="380" t="s">
        <v>2032</v>
      </c>
      <c r="B138" s="380" t="s">
        <v>88</v>
      </c>
      <c r="C138" s="380" t="s">
        <v>1712</v>
      </c>
      <c r="D138" s="380" t="s">
        <v>1909</v>
      </c>
      <c r="E138" s="380" t="s">
        <v>322</v>
      </c>
      <c r="F138" s="380" t="s">
        <v>1389</v>
      </c>
      <c r="G138" s="380" t="s">
        <v>1277</v>
      </c>
      <c r="H138" s="380" t="s">
        <v>2033</v>
      </c>
      <c r="I138" s="380" t="s">
        <v>1902</v>
      </c>
      <c r="J138" s="380" t="s">
        <v>1911</v>
      </c>
      <c r="K138" s="380"/>
      <c r="L138" s="404">
        <v>0.05</v>
      </c>
    </row>
    <row r="139" spans="1:12" ht="15" customHeight="1" x14ac:dyDescent="0.25">
      <c r="A139" s="380" t="s">
        <v>2034</v>
      </c>
      <c r="B139" s="380" t="s">
        <v>88</v>
      </c>
      <c r="C139" s="380" t="s">
        <v>1712</v>
      </c>
      <c r="D139" s="380" t="s">
        <v>1317</v>
      </c>
      <c r="E139" s="380" t="s">
        <v>322</v>
      </c>
      <c r="F139" s="380" t="s">
        <v>1389</v>
      </c>
      <c r="G139" s="380" t="s">
        <v>757</v>
      </c>
      <c r="H139" s="380" t="s">
        <v>2035</v>
      </c>
      <c r="I139" s="380" t="s">
        <v>1914</v>
      </c>
      <c r="J139" s="380" t="s">
        <v>1915</v>
      </c>
      <c r="K139" s="380" t="s">
        <v>1916</v>
      </c>
      <c r="L139" s="403">
        <f>EF!C118</f>
        <v>4</v>
      </c>
    </row>
    <row r="140" spans="1:12" ht="15" customHeight="1" x14ac:dyDescent="0.25">
      <c r="A140" s="380" t="s">
        <v>2036</v>
      </c>
      <c r="B140" s="380" t="s">
        <v>88</v>
      </c>
      <c r="C140" s="380" t="s">
        <v>1712</v>
      </c>
      <c r="D140" s="380" t="s">
        <v>1317</v>
      </c>
      <c r="E140" s="380" t="s">
        <v>322</v>
      </c>
      <c r="F140" s="380" t="s">
        <v>1389</v>
      </c>
      <c r="G140" s="380" t="s">
        <v>754</v>
      </c>
      <c r="H140" s="380" t="s">
        <v>2037</v>
      </c>
      <c r="I140" s="380" t="s">
        <v>1914</v>
      </c>
      <c r="J140" s="380" t="s">
        <v>1919</v>
      </c>
      <c r="K140" s="380" t="s">
        <v>1916</v>
      </c>
      <c r="L140" s="403">
        <v>0</v>
      </c>
    </row>
    <row r="141" spans="1:12" ht="15" customHeight="1" x14ac:dyDescent="0.25">
      <c r="A141" s="380" t="s">
        <v>2038</v>
      </c>
      <c r="B141" s="380" t="s">
        <v>88</v>
      </c>
      <c r="C141" s="380" t="s">
        <v>1712</v>
      </c>
      <c r="D141" s="380" t="s">
        <v>1317</v>
      </c>
      <c r="E141" s="380" t="s">
        <v>322</v>
      </c>
      <c r="F141" s="380" t="s">
        <v>1389</v>
      </c>
      <c r="G141" s="380" t="s">
        <v>1292</v>
      </c>
      <c r="H141" s="380" t="s">
        <v>2039</v>
      </c>
      <c r="I141" s="380" t="s">
        <v>1914</v>
      </c>
      <c r="J141" s="380" t="s">
        <v>1922</v>
      </c>
      <c r="K141" s="380" t="s">
        <v>1916</v>
      </c>
      <c r="L141" s="403">
        <v>0</v>
      </c>
    </row>
    <row r="142" spans="1:12" ht="15" customHeight="1" x14ac:dyDescent="0.25">
      <c r="A142" s="380" t="s">
        <v>2040</v>
      </c>
      <c r="B142" s="380" t="s">
        <v>88</v>
      </c>
      <c r="C142" s="380" t="s">
        <v>1712</v>
      </c>
      <c r="D142" s="380" t="s">
        <v>1317</v>
      </c>
      <c r="E142" s="380" t="s">
        <v>322</v>
      </c>
      <c r="F142" s="380" t="s">
        <v>1389</v>
      </c>
      <c r="G142" s="380" t="s">
        <v>762</v>
      </c>
      <c r="H142" s="380" t="s">
        <v>2041</v>
      </c>
      <c r="I142" s="380" t="s">
        <v>1914</v>
      </c>
      <c r="J142" s="380" t="s">
        <v>1925</v>
      </c>
      <c r="K142" s="380" t="s">
        <v>1916</v>
      </c>
      <c r="L142" s="403">
        <v>0</v>
      </c>
    </row>
    <row r="143" spans="1:12" ht="15" customHeight="1" x14ac:dyDescent="0.25">
      <c r="A143" s="380" t="s">
        <v>2042</v>
      </c>
      <c r="B143" s="380" t="s">
        <v>88</v>
      </c>
      <c r="C143" s="380" t="s">
        <v>1712</v>
      </c>
      <c r="D143" s="380" t="s">
        <v>1317</v>
      </c>
      <c r="E143" s="380" t="s">
        <v>322</v>
      </c>
      <c r="F143" s="380" t="s">
        <v>1389</v>
      </c>
      <c r="G143" s="380" t="s">
        <v>1295</v>
      </c>
      <c r="H143" s="380" t="s">
        <v>2043</v>
      </c>
      <c r="I143" s="380" t="s">
        <v>1914</v>
      </c>
      <c r="J143" s="380" t="s">
        <v>1928</v>
      </c>
      <c r="K143" s="380" t="s">
        <v>1916</v>
      </c>
      <c r="L143" s="403">
        <v>0</v>
      </c>
    </row>
    <row r="144" spans="1:12" ht="15" customHeight="1" x14ac:dyDescent="0.25">
      <c r="A144" s="380" t="s">
        <v>2044</v>
      </c>
      <c r="B144" s="380" t="s">
        <v>88</v>
      </c>
      <c r="C144" s="380" t="s">
        <v>1712</v>
      </c>
      <c r="D144" s="380" t="s">
        <v>1317</v>
      </c>
      <c r="E144" s="380" t="s">
        <v>322</v>
      </c>
      <c r="F144" s="380" t="s">
        <v>1389</v>
      </c>
      <c r="G144" s="380" t="s">
        <v>1297</v>
      </c>
      <c r="H144" s="380" t="s">
        <v>2045</v>
      </c>
      <c r="I144" s="380" t="s">
        <v>1914</v>
      </c>
      <c r="J144" s="380" t="s">
        <v>1931</v>
      </c>
      <c r="K144" s="380" t="s">
        <v>1916</v>
      </c>
      <c r="L144" s="403">
        <v>0</v>
      </c>
    </row>
    <row r="145" spans="1:12" ht="15" customHeight="1" x14ac:dyDescent="0.25">
      <c r="A145" s="380" t="s">
        <v>2046</v>
      </c>
      <c r="B145" s="380" t="s">
        <v>88</v>
      </c>
      <c r="C145" s="380" t="s">
        <v>1712</v>
      </c>
      <c r="D145" s="380" t="s">
        <v>1317</v>
      </c>
      <c r="E145" s="380" t="s">
        <v>322</v>
      </c>
      <c r="F145" s="380" t="s">
        <v>1389</v>
      </c>
      <c r="G145" s="380" t="s">
        <v>1299</v>
      </c>
      <c r="H145" s="380" t="s">
        <v>2047</v>
      </c>
      <c r="I145" s="380" t="s">
        <v>1914</v>
      </c>
      <c r="J145" s="380" t="s">
        <v>1934</v>
      </c>
      <c r="K145" s="380" t="s">
        <v>1916</v>
      </c>
      <c r="L145" s="403">
        <v>0</v>
      </c>
    </row>
    <row r="146" spans="1:12" ht="15" customHeight="1" x14ac:dyDescent="0.25">
      <c r="A146" s="380" t="s">
        <v>2048</v>
      </c>
      <c r="B146" s="380" t="s">
        <v>88</v>
      </c>
      <c r="C146" s="380" t="s">
        <v>1712</v>
      </c>
      <c r="D146" s="380" t="s">
        <v>1317</v>
      </c>
      <c r="E146" s="380" t="s">
        <v>322</v>
      </c>
      <c r="F146" s="380" t="s">
        <v>1389</v>
      </c>
      <c r="G146" s="380" t="s">
        <v>1301</v>
      </c>
      <c r="H146" s="380" t="s">
        <v>2049</v>
      </c>
      <c r="I146" s="380" t="s">
        <v>1914</v>
      </c>
      <c r="J146" s="380" t="s">
        <v>1937</v>
      </c>
      <c r="K146" s="380" t="s">
        <v>1916</v>
      </c>
      <c r="L146" s="403">
        <v>0</v>
      </c>
    </row>
    <row r="147" spans="1:12" ht="15" customHeight="1" x14ac:dyDescent="0.25">
      <c r="A147" s="380" t="s">
        <v>2050</v>
      </c>
      <c r="B147" s="380" t="s">
        <v>88</v>
      </c>
      <c r="C147" s="380" t="s">
        <v>1712</v>
      </c>
      <c r="D147" s="380" t="s">
        <v>1328</v>
      </c>
      <c r="E147" s="380" t="s">
        <v>322</v>
      </c>
      <c r="F147" s="380" t="s">
        <v>1389</v>
      </c>
      <c r="G147" s="380" t="s">
        <v>757</v>
      </c>
      <c r="H147" s="380" t="s">
        <v>2051</v>
      </c>
      <c r="I147" s="380" t="s">
        <v>1914</v>
      </c>
      <c r="J147" s="380" t="s">
        <v>1940</v>
      </c>
      <c r="K147" s="380" t="s">
        <v>1916</v>
      </c>
      <c r="L147" s="403">
        <f>EF!E118</f>
        <v>16</v>
      </c>
    </row>
    <row r="148" spans="1:12" ht="15" customHeight="1" x14ac:dyDescent="0.25">
      <c r="A148" s="380" t="s">
        <v>2052</v>
      </c>
      <c r="B148" s="380" t="s">
        <v>88</v>
      </c>
      <c r="C148" s="380" t="s">
        <v>1712</v>
      </c>
      <c r="D148" s="380" t="s">
        <v>1328</v>
      </c>
      <c r="E148" s="380" t="s">
        <v>322</v>
      </c>
      <c r="F148" s="380" t="s">
        <v>1389</v>
      </c>
      <c r="G148" s="380" t="s">
        <v>754</v>
      </c>
      <c r="H148" s="380" t="s">
        <v>2053</v>
      </c>
      <c r="I148" s="380" t="s">
        <v>1914</v>
      </c>
      <c r="J148" s="380" t="s">
        <v>1943</v>
      </c>
      <c r="K148" s="380" t="s">
        <v>1916</v>
      </c>
      <c r="L148" s="403">
        <v>0</v>
      </c>
    </row>
    <row r="149" spans="1:12" ht="15" customHeight="1" x14ac:dyDescent="0.25">
      <c r="A149" s="380" t="s">
        <v>2054</v>
      </c>
      <c r="B149" s="380" t="s">
        <v>88</v>
      </c>
      <c r="C149" s="380" t="s">
        <v>1712</v>
      </c>
      <c r="D149" s="380" t="s">
        <v>1328</v>
      </c>
      <c r="E149" s="380" t="s">
        <v>322</v>
      </c>
      <c r="F149" s="380" t="s">
        <v>1389</v>
      </c>
      <c r="G149" s="380" t="s">
        <v>1292</v>
      </c>
      <c r="H149" s="380" t="s">
        <v>2055</v>
      </c>
      <c r="I149" s="380" t="s">
        <v>1914</v>
      </c>
      <c r="J149" s="380" t="s">
        <v>1946</v>
      </c>
      <c r="K149" s="380" t="s">
        <v>1916</v>
      </c>
      <c r="L149" s="403">
        <v>0</v>
      </c>
    </row>
    <row r="150" spans="1:12" ht="15" customHeight="1" x14ac:dyDescent="0.25">
      <c r="A150" s="380" t="s">
        <v>2056</v>
      </c>
      <c r="B150" s="380" t="s">
        <v>88</v>
      </c>
      <c r="C150" s="380" t="s">
        <v>1712</v>
      </c>
      <c r="D150" s="380" t="s">
        <v>1328</v>
      </c>
      <c r="E150" s="380" t="s">
        <v>322</v>
      </c>
      <c r="F150" s="380" t="s">
        <v>1389</v>
      </c>
      <c r="G150" s="380" t="s">
        <v>762</v>
      </c>
      <c r="H150" s="380" t="s">
        <v>2057</v>
      </c>
      <c r="I150" s="380" t="s">
        <v>1914</v>
      </c>
      <c r="J150" s="380" t="s">
        <v>1949</v>
      </c>
      <c r="K150" s="380" t="s">
        <v>1916</v>
      </c>
      <c r="L150" s="403">
        <v>0</v>
      </c>
    </row>
    <row r="151" spans="1:12" ht="15" customHeight="1" x14ac:dyDescent="0.25">
      <c r="A151" s="380" t="s">
        <v>2058</v>
      </c>
      <c r="B151" s="380" t="s">
        <v>88</v>
      </c>
      <c r="C151" s="380" t="s">
        <v>1712</v>
      </c>
      <c r="D151" s="380" t="s">
        <v>1328</v>
      </c>
      <c r="E151" s="380" t="s">
        <v>322</v>
      </c>
      <c r="F151" s="380" t="s">
        <v>1389</v>
      </c>
      <c r="G151" s="380" t="s">
        <v>1295</v>
      </c>
      <c r="H151" s="380" t="s">
        <v>2059</v>
      </c>
      <c r="I151" s="380" t="s">
        <v>1914</v>
      </c>
      <c r="J151" s="380" t="s">
        <v>1952</v>
      </c>
      <c r="K151" s="380" t="s">
        <v>1916</v>
      </c>
      <c r="L151" s="403">
        <v>0</v>
      </c>
    </row>
    <row r="152" spans="1:12" ht="15" customHeight="1" x14ac:dyDescent="0.25">
      <c r="A152" s="380" t="s">
        <v>2060</v>
      </c>
      <c r="B152" s="380" t="s">
        <v>88</v>
      </c>
      <c r="C152" s="380" t="s">
        <v>1712</v>
      </c>
      <c r="D152" s="380" t="s">
        <v>1328</v>
      </c>
      <c r="E152" s="380" t="s">
        <v>322</v>
      </c>
      <c r="F152" s="380" t="s">
        <v>1389</v>
      </c>
      <c r="G152" s="380" t="s">
        <v>1297</v>
      </c>
      <c r="H152" s="380" t="s">
        <v>2061</v>
      </c>
      <c r="I152" s="380" t="s">
        <v>1914</v>
      </c>
      <c r="J152" s="380" t="s">
        <v>1955</v>
      </c>
      <c r="K152" s="380" t="s">
        <v>1916</v>
      </c>
      <c r="L152" s="403">
        <v>0</v>
      </c>
    </row>
    <row r="153" spans="1:12" ht="15" customHeight="1" x14ac:dyDescent="0.25">
      <c r="A153" s="380" t="s">
        <v>2062</v>
      </c>
      <c r="B153" s="380" t="s">
        <v>88</v>
      </c>
      <c r="C153" s="380" t="s">
        <v>1712</v>
      </c>
      <c r="D153" s="380" t="s">
        <v>1328</v>
      </c>
      <c r="E153" s="380" t="s">
        <v>322</v>
      </c>
      <c r="F153" s="380" t="s">
        <v>1389</v>
      </c>
      <c r="G153" s="380" t="s">
        <v>1299</v>
      </c>
      <c r="H153" s="380" t="s">
        <v>2063</v>
      </c>
      <c r="I153" s="380" t="s">
        <v>1914</v>
      </c>
      <c r="J153" s="380" t="s">
        <v>1958</v>
      </c>
      <c r="K153" s="380" t="s">
        <v>1916</v>
      </c>
      <c r="L153" s="403">
        <v>0</v>
      </c>
    </row>
    <row r="154" spans="1:12" ht="15" customHeight="1" x14ac:dyDescent="0.25">
      <c r="A154" s="380" t="s">
        <v>2064</v>
      </c>
      <c r="B154" s="380" t="s">
        <v>88</v>
      </c>
      <c r="C154" s="380" t="s">
        <v>1712</v>
      </c>
      <c r="D154" s="380" t="s">
        <v>1328</v>
      </c>
      <c r="E154" s="380" t="s">
        <v>322</v>
      </c>
      <c r="F154" s="380" t="s">
        <v>1389</v>
      </c>
      <c r="G154" s="380" t="s">
        <v>1301</v>
      </c>
      <c r="H154" s="380" t="s">
        <v>2065</v>
      </c>
      <c r="I154" s="380" t="s">
        <v>1914</v>
      </c>
      <c r="J154" s="380" t="s">
        <v>1961</v>
      </c>
      <c r="K154" s="380" t="s">
        <v>1916</v>
      </c>
      <c r="L154" s="403">
        <v>0</v>
      </c>
    </row>
    <row r="155" spans="1:12" ht="15" customHeight="1" x14ac:dyDescent="0.25">
      <c r="A155" s="380" t="s">
        <v>2066</v>
      </c>
      <c r="B155" s="380" t="s">
        <v>88</v>
      </c>
      <c r="C155" s="380" t="s">
        <v>1712</v>
      </c>
      <c r="D155" s="380" t="s">
        <v>1338</v>
      </c>
      <c r="E155" s="380" t="s">
        <v>322</v>
      </c>
      <c r="F155" s="380" t="s">
        <v>1389</v>
      </c>
      <c r="G155" s="380" t="s">
        <v>1339</v>
      </c>
      <c r="H155" s="380" t="s">
        <v>2067</v>
      </c>
      <c r="I155" s="380" t="s">
        <v>1914</v>
      </c>
      <c r="J155" s="380" t="s">
        <v>1964</v>
      </c>
      <c r="K155" s="380"/>
      <c r="L155" s="403">
        <f>EF!G118</f>
        <v>1.5</v>
      </c>
    </row>
    <row r="156" spans="1:12" ht="15" customHeight="1" x14ac:dyDescent="0.25">
      <c r="A156" s="380" t="s">
        <v>2068</v>
      </c>
      <c r="B156" s="380" t="s">
        <v>88</v>
      </c>
      <c r="C156" s="380" t="s">
        <v>1712</v>
      </c>
      <c r="D156" s="380" t="s">
        <v>1966</v>
      </c>
      <c r="E156" s="380" t="s">
        <v>322</v>
      </c>
      <c r="F156" s="380" t="s">
        <v>1389</v>
      </c>
      <c r="G156" s="380" t="s">
        <v>1277</v>
      </c>
      <c r="H156" s="380" t="s">
        <v>2069</v>
      </c>
      <c r="I156" s="380" t="s">
        <v>1746</v>
      </c>
      <c r="J156" s="380" t="s">
        <v>1968</v>
      </c>
      <c r="K156" s="380" t="s">
        <v>1969</v>
      </c>
      <c r="L156" s="403">
        <f>EF!H118</f>
        <v>0.25</v>
      </c>
    </row>
    <row r="157" spans="1:12" ht="15" customHeight="1" x14ac:dyDescent="0.25">
      <c r="A157" s="380" t="s">
        <v>2070</v>
      </c>
      <c r="B157" s="380" t="s">
        <v>88</v>
      </c>
      <c r="C157" s="380" t="s">
        <v>1712</v>
      </c>
      <c r="D157" s="380" t="s">
        <v>1971</v>
      </c>
      <c r="E157" s="380" t="s">
        <v>322</v>
      </c>
      <c r="F157" s="380" t="s">
        <v>1389</v>
      </c>
      <c r="G157" s="380" t="s">
        <v>1277</v>
      </c>
      <c r="H157" s="380" t="s">
        <v>2071</v>
      </c>
      <c r="I157" s="380" t="s">
        <v>1566</v>
      </c>
      <c r="J157" s="380" t="s">
        <v>1973</v>
      </c>
      <c r="K157" s="380" t="s">
        <v>1969</v>
      </c>
      <c r="L157" s="403">
        <f>EF!I118</f>
        <v>0</v>
      </c>
    </row>
    <row r="158" spans="1:12" ht="15" customHeight="1" x14ac:dyDescent="0.25">
      <c r="A158" s="380" t="s">
        <v>2072</v>
      </c>
      <c r="B158" s="380" t="s">
        <v>88</v>
      </c>
      <c r="C158" s="380" t="s">
        <v>1712</v>
      </c>
      <c r="D158" s="380" t="s">
        <v>1890</v>
      </c>
      <c r="E158" s="380" t="s">
        <v>327</v>
      </c>
      <c r="F158" s="380" t="s">
        <v>1417</v>
      </c>
      <c r="G158" s="380" t="s">
        <v>1277</v>
      </c>
      <c r="H158" s="380" t="s">
        <v>2073</v>
      </c>
      <c r="I158" s="380" t="s">
        <v>1307</v>
      </c>
      <c r="J158" s="380" t="s">
        <v>2074</v>
      </c>
      <c r="K158" s="380" t="s">
        <v>1893</v>
      </c>
      <c r="L158" s="406">
        <v>50</v>
      </c>
    </row>
    <row r="159" spans="1:12" ht="15" customHeight="1" x14ac:dyDescent="0.25">
      <c r="A159" s="380" t="s">
        <v>2075</v>
      </c>
      <c r="B159" s="380" t="s">
        <v>88</v>
      </c>
      <c r="C159" s="380" t="s">
        <v>1712</v>
      </c>
      <c r="D159" s="380" t="s">
        <v>1895</v>
      </c>
      <c r="E159" s="380" t="s">
        <v>327</v>
      </c>
      <c r="F159" s="380" t="s">
        <v>1417</v>
      </c>
      <c r="G159" s="380" t="s">
        <v>1277</v>
      </c>
      <c r="H159" s="380" t="s">
        <v>2076</v>
      </c>
      <c r="I159" s="380" t="s">
        <v>1897</v>
      </c>
      <c r="J159" s="380" t="s">
        <v>1898</v>
      </c>
      <c r="K159" s="380"/>
      <c r="L159" s="404">
        <v>0.9</v>
      </c>
    </row>
    <row r="160" spans="1:12" ht="15" customHeight="1" x14ac:dyDescent="0.25">
      <c r="A160" s="380" t="s">
        <v>2077</v>
      </c>
      <c r="B160" s="380" t="s">
        <v>88</v>
      </c>
      <c r="C160" s="380" t="s">
        <v>1712</v>
      </c>
      <c r="D160" s="380" t="s">
        <v>1900</v>
      </c>
      <c r="E160" s="380" t="s">
        <v>327</v>
      </c>
      <c r="F160" s="380" t="s">
        <v>1417</v>
      </c>
      <c r="G160" s="380" t="s">
        <v>1277</v>
      </c>
      <c r="H160" s="380" t="s">
        <v>2078</v>
      </c>
      <c r="I160" s="380" t="s">
        <v>1902</v>
      </c>
      <c r="J160" s="380" t="s">
        <v>1903</v>
      </c>
      <c r="K160" s="380"/>
      <c r="L160" s="404">
        <v>0.05</v>
      </c>
    </row>
    <row r="161" spans="1:12" ht="15" customHeight="1" x14ac:dyDescent="0.25">
      <c r="A161" s="380" t="s">
        <v>2079</v>
      </c>
      <c r="B161" s="380" t="s">
        <v>88</v>
      </c>
      <c r="C161" s="380" t="s">
        <v>1712</v>
      </c>
      <c r="D161" s="380" t="s">
        <v>1905</v>
      </c>
      <c r="E161" s="380" t="s">
        <v>327</v>
      </c>
      <c r="F161" s="380" t="s">
        <v>1417</v>
      </c>
      <c r="G161" s="380" t="s">
        <v>1277</v>
      </c>
      <c r="H161" s="380" t="s">
        <v>2080</v>
      </c>
      <c r="I161" s="380" t="s">
        <v>1902</v>
      </c>
      <c r="J161" s="380" t="s">
        <v>1907</v>
      </c>
      <c r="K161" s="380"/>
      <c r="L161" s="404">
        <v>0.01</v>
      </c>
    </row>
    <row r="162" spans="1:12" ht="15" customHeight="1" x14ac:dyDescent="0.25">
      <c r="A162" s="380" t="s">
        <v>2081</v>
      </c>
      <c r="B162" s="380" t="s">
        <v>88</v>
      </c>
      <c r="C162" s="380" t="s">
        <v>1712</v>
      </c>
      <c r="D162" s="380" t="s">
        <v>1909</v>
      </c>
      <c r="E162" s="380" t="s">
        <v>327</v>
      </c>
      <c r="F162" s="380" t="s">
        <v>1417</v>
      </c>
      <c r="G162" s="380" t="s">
        <v>1277</v>
      </c>
      <c r="H162" s="380" t="s">
        <v>2082</v>
      </c>
      <c r="I162" s="380" t="s">
        <v>1902</v>
      </c>
      <c r="J162" s="380" t="s">
        <v>1911</v>
      </c>
      <c r="K162" s="380"/>
      <c r="L162" s="404">
        <v>0.02</v>
      </c>
    </row>
    <row r="163" spans="1:12" ht="15" customHeight="1" x14ac:dyDescent="0.25">
      <c r="A163" s="380" t="s">
        <v>2083</v>
      </c>
      <c r="B163" s="380" t="s">
        <v>88</v>
      </c>
      <c r="C163" s="380" t="s">
        <v>1712</v>
      </c>
      <c r="D163" s="380" t="s">
        <v>1317</v>
      </c>
      <c r="E163" s="380" t="s">
        <v>327</v>
      </c>
      <c r="F163" s="380" t="s">
        <v>1417</v>
      </c>
      <c r="G163" s="380" t="s">
        <v>757</v>
      </c>
      <c r="H163" s="380" t="s">
        <v>2084</v>
      </c>
      <c r="I163" s="380" t="s">
        <v>1914</v>
      </c>
      <c r="J163" s="380" t="s">
        <v>1915</v>
      </c>
      <c r="K163" s="380" t="s">
        <v>1916</v>
      </c>
      <c r="L163" s="403">
        <f>EF!C119</f>
        <v>3</v>
      </c>
    </row>
    <row r="164" spans="1:12" ht="15" customHeight="1" x14ac:dyDescent="0.25">
      <c r="A164" s="380" t="s">
        <v>2085</v>
      </c>
      <c r="B164" s="380" t="s">
        <v>88</v>
      </c>
      <c r="C164" s="380" t="s">
        <v>1712</v>
      </c>
      <c r="D164" s="380" t="s">
        <v>1317</v>
      </c>
      <c r="E164" s="380" t="s">
        <v>327</v>
      </c>
      <c r="F164" s="380" t="s">
        <v>1417</v>
      </c>
      <c r="G164" s="380" t="s">
        <v>754</v>
      </c>
      <c r="H164" s="380" t="s">
        <v>2086</v>
      </c>
      <c r="I164" s="380" t="s">
        <v>1914</v>
      </c>
      <c r="J164" s="380" t="s">
        <v>1919</v>
      </c>
      <c r="K164" s="380" t="s">
        <v>1916</v>
      </c>
      <c r="L164" s="403">
        <v>0</v>
      </c>
    </row>
    <row r="165" spans="1:12" ht="15" customHeight="1" x14ac:dyDescent="0.25">
      <c r="A165" s="380" t="s">
        <v>2087</v>
      </c>
      <c r="B165" s="380" t="s">
        <v>88</v>
      </c>
      <c r="C165" s="380" t="s">
        <v>1712</v>
      </c>
      <c r="D165" s="380" t="s">
        <v>1317</v>
      </c>
      <c r="E165" s="380" t="s">
        <v>327</v>
      </c>
      <c r="F165" s="380" t="s">
        <v>1417</v>
      </c>
      <c r="G165" s="380" t="s">
        <v>1292</v>
      </c>
      <c r="H165" s="380" t="s">
        <v>2088</v>
      </c>
      <c r="I165" s="380" t="s">
        <v>1914</v>
      </c>
      <c r="J165" s="380" t="s">
        <v>1922</v>
      </c>
      <c r="K165" s="380" t="s">
        <v>1916</v>
      </c>
      <c r="L165" s="403">
        <v>0</v>
      </c>
    </row>
    <row r="166" spans="1:12" ht="15" customHeight="1" x14ac:dyDescent="0.25">
      <c r="A166" s="380" t="s">
        <v>2089</v>
      </c>
      <c r="B166" s="380" t="s">
        <v>88</v>
      </c>
      <c r="C166" s="380" t="s">
        <v>1712</v>
      </c>
      <c r="D166" s="380" t="s">
        <v>1317</v>
      </c>
      <c r="E166" s="380" t="s">
        <v>327</v>
      </c>
      <c r="F166" s="380" t="s">
        <v>1417</v>
      </c>
      <c r="G166" s="380" t="s">
        <v>762</v>
      </c>
      <c r="H166" s="380" t="s">
        <v>2090</v>
      </c>
      <c r="I166" s="380" t="s">
        <v>1914</v>
      </c>
      <c r="J166" s="380" t="s">
        <v>1925</v>
      </c>
      <c r="K166" s="380" t="s">
        <v>1916</v>
      </c>
      <c r="L166" s="403">
        <v>0</v>
      </c>
    </row>
    <row r="167" spans="1:12" ht="15" customHeight="1" x14ac:dyDescent="0.25">
      <c r="A167" s="380" t="s">
        <v>2091</v>
      </c>
      <c r="B167" s="380" t="s">
        <v>88</v>
      </c>
      <c r="C167" s="380" t="s">
        <v>1712</v>
      </c>
      <c r="D167" s="380" t="s">
        <v>1317</v>
      </c>
      <c r="E167" s="380" t="s">
        <v>327</v>
      </c>
      <c r="F167" s="380" t="s">
        <v>1417</v>
      </c>
      <c r="G167" s="380" t="s">
        <v>1295</v>
      </c>
      <c r="H167" s="380" t="s">
        <v>2092</v>
      </c>
      <c r="I167" s="380" t="s">
        <v>1914</v>
      </c>
      <c r="J167" s="380" t="s">
        <v>1928</v>
      </c>
      <c r="K167" s="380" t="s">
        <v>1916</v>
      </c>
      <c r="L167" s="403">
        <v>0</v>
      </c>
    </row>
    <row r="168" spans="1:12" ht="15" customHeight="1" x14ac:dyDescent="0.25">
      <c r="A168" s="380" t="s">
        <v>2093</v>
      </c>
      <c r="B168" s="380" t="s">
        <v>88</v>
      </c>
      <c r="C168" s="380" t="s">
        <v>1712</v>
      </c>
      <c r="D168" s="380" t="s">
        <v>1317</v>
      </c>
      <c r="E168" s="380" t="s">
        <v>327</v>
      </c>
      <c r="F168" s="380" t="s">
        <v>1417</v>
      </c>
      <c r="G168" s="380" t="s">
        <v>1297</v>
      </c>
      <c r="H168" s="380" t="s">
        <v>2094</v>
      </c>
      <c r="I168" s="380" t="s">
        <v>1914</v>
      </c>
      <c r="J168" s="380" t="s">
        <v>1931</v>
      </c>
      <c r="K168" s="380" t="s">
        <v>1916</v>
      </c>
      <c r="L168" s="403">
        <v>0</v>
      </c>
    </row>
    <row r="169" spans="1:12" ht="15" customHeight="1" x14ac:dyDescent="0.25">
      <c r="A169" s="380" t="s">
        <v>2095</v>
      </c>
      <c r="B169" s="380" t="s">
        <v>88</v>
      </c>
      <c r="C169" s="380" t="s">
        <v>1712</v>
      </c>
      <c r="D169" s="380" t="s">
        <v>1317</v>
      </c>
      <c r="E169" s="380" t="s">
        <v>327</v>
      </c>
      <c r="F169" s="380" t="s">
        <v>1417</v>
      </c>
      <c r="G169" s="380" t="s">
        <v>1299</v>
      </c>
      <c r="H169" s="380" t="s">
        <v>2096</v>
      </c>
      <c r="I169" s="380" t="s">
        <v>1914</v>
      </c>
      <c r="J169" s="380" t="s">
        <v>1934</v>
      </c>
      <c r="K169" s="380" t="s">
        <v>1916</v>
      </c>
      <c r="L169" s="403">
        <v>0</v>
      </c>
    </row>
    <row r="170" spans="1:12" ht="15" customHeight="1" x14ac:dyDescent="0.25">
      <c r="A170" s="380" t="s">
        <v>2097</v>
      </c>
      <c r="B170" s="380" t="s">
        <v>88</v>
      </c>
      <c r="C170" s="380" t="s">
        <v>1712</v>
      </c>
      <c r="D170" s="380" t="s">
        <v>1317</v>
      </c>
      <c r="E170" s="380" t="s">
        <v>327</v>
      </c>
      <c r="F170" s="380" t="s">
        <v>1417</v>
      </c>
      <c r="G170" s="380" t="s">
        <v>1301</v>
      </c>
      <c r="H170" s="380" t="s">
        <v>2098</v>
      </c>
      <c r="I170" s="380" t="s">
        <v>1914</v>
      </c>
      <c r="J170" s="380" t="s">
        <v>1937</v>
      </c>
      <c r="K170" s="380" t="s">
        <v>1916</v>
      </c>
      <c r="L170" s="403">
        <v>0</v>
      </c>
    </row>
    <row r="171" spans="1:12" ht="15" customHeight="1" x14ac:dyDescent="0.25">
      <c r="A171" s="380" t="s">
        <v>2099</v>
      </c>
      <c r="B171" s="380" t="s">
        <v>88</v>
      </c>
      <c r="C171" s="380" t="s">
        <v>1712</v>
      </c>
      <c r="D171" s="380" t="s">
        <v>1328</v>
      </c>
      <c r="E171" s="380" t="s">
        <v>327</v>
      </c>
      <c r="F171" s="380" t="s">
        <v>1417</v>
      </c>
      <c r="G171" s="380" t="s">
        <v>757</v>
      </c>
      <c r="H171" s="380" t="s">
        <v>2100</v>
      </c>
      <c r="I171" s="380" t="s">
        <v>1914</v>
      </c>
      <c r="J171" s="380" t="s">
        <v>1940</v>
      </c>
      <c r="K171" s="380" t="s">
        <v>1916</v>
      </c>
      <c r="L171" s="403">
        <v>0</v>
      </c>
    </row>
    <row r="172" spans="1:12" ht="15" customHeight="1" x14ac:dyDescent="0.25">
      <c r="A172" s="380" t="s">
        <v>2101</v>
      </c>
      <c r="B172" s="380" t="s">
        <v>88</v>
      </c>
      <c r="C172" s="380" t="s">
        <v>1712</v>
      </c>
      <c r="D172" s="380" t="s">
        <v>1328</v>
      </c>
      <c r="E172" s="380" t="s">
        <v>327</v>
      </c>
      <c r="F172" s="380" t="s">
        <v>1417</v>
      </c>
      <c r="G172" s="380" t="s">
        <v>754</v>
      </c>
      <c r="H172" s="380" t="s">
        <v>2102</v>
      </c>
      <c r="I172" s="380" t="s">
        <v>1914</v>
      </c>
      <c r="J172" s="380" t="s">
        <v>1943</v>
      </c>
      <c r="K172" s="380" t="s">
        <v>1916</v>
      </c>
      <c r="L172" s="403">
        <v>0</v>
      </c>
    </row>
    <row r="173" spans="1:12" ht="15" customHeight="1" x14ac:dyDescent="0.25">
      <c r="A173" s="380" t="s">
        <v>2103</v>
      </c>
      <c r="B173" s="380" t="s">
        <v>88</v>
      </c>
      <c r="C173" s="380" t="s">
        <v>1712</v>
      </c>
      <c r="D173" s="380" t="s">
        <v>1328</v>
      </c>
      <c r="E173" s="380" t="s">
        <v>327</v>
      </c>
      <c r="F173" s="380" t="s">
        <v>1417</v>
      </c>
      <c r="G173" s="380" t="s">
        <v>1292</v>
      </c>
      <c r="H173" s="380" t="s">
        <v>2104</v>
      </c>
      <c r="I173" s="380" t="s">
        <v>1914</v>
      </c>
      <c r="J173" s="380" t="s">
        <v>1946</v>
      </c>
      <c r="K173" s="380" t="s">
        <v>1916</v>
      </c>
      <c r="L173" s="403">
        <v>0</v>
      </c>
    </row>
    <row r="174" spans="1:12" ht="15" customHeight="1" x14ac:dyDescent="0.25">
      <c r="A174" s="380" t="s">
        <v>2105</v>
      </c>
      <c r="B174" s="380" t="s">
        <v>88</v>
      </c>
      <c r="C174" s="380" t="s">
        <v>1712</v>
      </c>
      <c r="D174" s="380" t="s">
        <v>1328</v>
      </c>
      <c r="E174" s="380" t="s">
        <v>327</v>
      </c>
      <c r="F174" s="380" t="s">
        <v>1417</v>
      </c>
      <c r="G174" s="380" t="s">
        <v>762</v>
      </c>
      <c r="H174" s="380" t="s">
        <v>2106</v>
      </c>
      <c r="I174" s="380" t="s">
        <v>1914</v>
      </c>
      <c r="J174" s="380" t="s">
        <v>1949</v>
      </c>
      <c r="K174" s="380" t="s">
        <v>1916</v>
      </c>
      <c r="L174" s="403">
        <v>0</v>
      </c>
    </row>
    <row r="175" spans="1:12" ht="15" customHeight="1" x14ac:dyDescent="0.25">
      <c r="A175" s="380" t="s">
        <v>2107</v>
      </c>
      <c r="B175" s="380" t="s">
        <v>88</v>
      </c>
      <c r="C175" s="380" t="s">
        <v>1712</v>
      </c>
      <c r="D175" s="380" t="s">
        <v>1328</v>
      </c>
      <c r="E175" s="380" t="s">
        <v>327</v>
      </c>
      <c r="F175" s="380" t="s">
        <v>1417</v>
      </c>
      <c r="G175" s="380" t="s">
        <v>1295</v>
      </c>
      <c r="H175" s="380" t="s">
        <v>2108</v>
      </c>
      <c r="I175" s="380" t="s">
        <v>1914</v>
      </c>
      <c r="J175" s="380" t="s">
        <v>1952</v>
      </c>
      <c r="K175" s="380" t="s">
        <v>1916</v>
      </c>
      <c r="L175" s="403">
        <v>0</v>
      </c>
    </row>
    <row r="176" spans="1:12" ht="15" customHeight="1" x14ac:dyDescent="0.25">
      <c r="A176" s="380" t="s">
        <v>2109</v>
      </c>
      <c r="B176" s="380" t="s">
        <v>88</v>
      </c>
      <c r="C176" s="380" t="s">
        <v>1712</v>
      </c>
      <c r="D176" s="380" t="s">
        <v>1328</v>
      </c>
      <c r="E176" s="380" t="s">
        <v>327</v>
      </c>
      <c r="F176" s="380" t="s">
        <v>1417</v>
      </c>
      <c r="G176" s="380" t="s">
        <v>1297</v>
      </c>
      <c r="H176" s="380" t="s">
        <v>2110</v>
      </c>
      <c r="I176" s="380" t="s">
        <v>1914</v>
      </c>
      <c r="J176" s="380" t="s">
        <v>1955</v>
      </c>
      <c r="K176" s="380" t="s">
        <v>1916</v>
      </c>
      <c r="L176" s="403">
        <v>0</v>
      </c>
    </row>
    <row r="177" spans="1:12" ht="15" customHeight="1" x14ac:dyDescent="0.25">
      <c r="A177" s="380" t="s">
        <v>2111</v>
      </c>
      <c r="B177" s="380" t="s">
        <v>88</v>
      </c>
      <c r="C177" s="380" t="s">
        <v>1712</v>
      </c>
      <c r="D177" s="380" t="s">
        <v>1328</v>
      </c>
      <c r="E177" s="380" t="s">
        <v>327</v>
      </c>
      <c r="F177" s="380" t="s">
        <v>1417</v>
      </c>
      <c r="G177" s="380" t="s">
        <v>1299</v>
      </c>
      <c r="H177" s="380" t="s">
        <v>2112</v>
      </c>
      <c r="I177" s="380" t="s">
        <v>1914</v>
      </c>
      <c r="J177" s="380" t="s">
        <v>1958</v>
      </c>
      <c r="K177" s="380" t="s">
        <v>1916</v>
      </c>
      <c r="L177" s="403">
        <v>0</v>
      </c>
    </row>
    <row r="178" spans="1:12" ht="15" customHeight="1" x14ac:dyDescent="0.25">
      <c r="A178" s="380" t="s">
        <v>2113</v>
      </c>
      <c r="B178" s="380" t="s">
        <v>88</v>
      </c>
      <c r="C178" s="380" t="s">
        <v>1712</v>
      </c>
      <c r="D178" s="380" t="s">
        <v>1328</v>
      </c>
      <c r="E178" s="380" t="s">
        <v>327</v>
      </c>
      <c r="F178" s="380" t="s">
        <v>1417</v>
      </c>
      <c r="G178" s="380" t="s">
        <v>1301</v>
      </c>
      <c r="H178" s="380" t="s">
        <v>2114</v>
      </c>
      <c r="I178" s="380" t="s">
        <v>1914</v>
      </c>
      <c r="J178" s="380" t="s">
        <v>1961</v>
      </c>
      <c r="K178" s="380" t="s">
        <v>1916</v>
      </c>
      <c r="L178" s="403">
        <v>0</v>
      </c>
    </row>
    <row r="179" spans="1:12" ht="15" customHeight="1" x14ac:dyDescent="0.25">
      <c r="A179" s="380" t="s">
        <v>2115</v>
      </c>
      <c r="B179" s="380" t="s">
        <v>88</v>
      </c>
      <c r="C179" s="380" t="s">
        <v>1712</v>
      </c>
      <c r="D179" s="380" t="s">
        <v>1338</v>
      </c>
      <c r="E179" s="380" t="s">
        <v>327</v>
      </c>
      <c r="F179" s="380" t="s">
        <v>1417</v>
      </c>
      <c r="G179" s="380" t="s">
        <v>1339</v>
      </c>
      <c r="H179" s="380" t="s">
        <v>2116</v>
      </c>
      <c r="I179" s="380" t="s">
        <v>1914</v>
      </c>
      <c r="J179" s="380" t="s">
        <v>1964</v>
      </c>
      <c r="K179" s="380"/>
      <c r="L179" s="403">
        <f>EF!G119</f>
        <v>0.45</v>
      </c>
    </row>
    <row r="180" spans="1:12" ht="15" customHeight="1" x14ac:dyDescent="0.25">
      <c r="A180" s="380" t="s">
        <v>2117</v>
      </c>
      <c r="B180" s="380" t="s">
        <v>88</v>
      </c>
      <c r="C180" s="380" t="s">
        <v>1712</v>
      </c>
      <c r="D180" s="380" t="s">
        <v>1966</v>
      </c>
      <c r="E180" s="380" t="s">
        <v>327</v>
      </c>
      <c r="F180" s="380" t="s">
        <v>1417</v>
      </c>
      <c r="G180" s="380" t="s">
        <v>1277</v>
      </c>
      <c r="H180" s="380" t="s">
        <v>2118</v>
      </c>
      <c r="I180" s="380" t="s">
        <v>1746</v>
      </c>
      <c r="J180" s="380" t="s">
        <v>1968</v>
      </c>
      <c r="K180" s="380" t="s">
        <v>1969</v>
      </c>
      <c r="L180" s="403">
        <f>EF!H119</f>
        <v>0.52600000000000002</v>
      </c>
    </row>
    <row r="181" spans="1:12" ht="15" customHeight="1" x14ac:dyDescent="0.25">
      <c r="A181" s="380" t="s">
        <v>2119</v>
      </c>
      <c r="B181" s="380" t="s">
        <v>88</v>
      </c>
      <c r="C181" s="380" t="s">
        <v>1712</v>
      </c>
      <c r="D181" s="380" t="s">
        <v>1971</v>
      </c>
      <c r="E181" s="380" t="s">
        <v>327</v>
      </c>
      <c r="F181" s="380" t="s">
        <v>1417</v>
      </c>
      <c r="G181" s="380" t="s">
        <v>1277</v>
      </c>
      <c r="H181" s="380" t="s">
        <v>2120</v>
      </c>
      <c r="I181" s="380" t="s">
        <v>1566</v>
      </c>
      <c r="J181" s="380" t="s">
        <v>1973</v>
      </c>
      <c r="K181" s="380" t="s">
        <v>1969</v>
      </c>
      <c r="L181" s="403">
        <f>EF!I119</f>
        <v>0</v>
      </c>
    </row>
    <row r="182" spans="1:12" ht="15" customHeight="1" x14ac:dyDescent="0.25">
      <c r="A182" s="380" t="s">
        <v>2121</v>
      </c>
      <c r="B182" s="380" t="s">
        <v>88</v>
      </c>
      <c r="C182" s="380" t="s">
        <v>1712</v>
      </c>
      <c r="D182" s="380" t="s">
        <v>1890</v>
      </c>
      <c r="E182" s="380" t="s">
        <v>330</v>
      </c>
      <c r="F182" s="380" t="s">
        <v>1445</v>
      </c>
      <c r="G182" s="380" t="s">
        <v>1277</v>
      </c>
      <c r="H182" s="380" t="s">
        <v>2122</v>
      </c>
      <c r="I182" s="380" t="s">
        <v>1307</v>
      </c>
      <c r="J182" s="380" t="s">
        <v>2123</v>
      </c>
      <c r="K182" s="380" t="s">
        <v>1893</v>
      </c>
      <c r="L182" s="406">
        <v>1.2</v>
      </c>
    </row>
    <row r="183" spans="1:12" ht="15" customHeight="1" x14ac:dyDescent="0.25">
      <c r="A183" s="380" t="s">
        <v>2124</v>
      </c>
      <c r="B183" s="380" t="s">
        <v>88</v>
      </c>
      <c r="C183" s="380" t="s">
        <v>1712</v>
      </c>
      <c r="D183" s="380" t="s">
        <v>1895</v>
      </c>
      <c r="E183" s="380" t="s">
        <v>330</v>
      </c>
      <c r="F183" s="380" t="s">
        <v>1445</v>
      </c>
      <c r="G183" s="380" t="s">
        <v>1277</v>
      </c>
      <c r="H183" s="380" t="s">
        <v>2125</v>
      </c>
      <c r="I183" s="380" t="s">
        <v>1897</v>
      </c>
      <c r="J183" s="380" t="s">
        <v>1898</v>
      </c>
      <c r="K183" s="380"/>
      <c r="L183" s="404">
        <v>0.5</v>
      </c>
    </row>
    <row r="184" spans="1:12" ht="15" customHeight="1" x14ac:dyDescent="0.25">
      <c r="A184" s="380" t="s">
        <v>2126</v>
      </c>
      <c r="B184" s="380" t="s">
        <v>88</v>
      </c>
      <c r="C184" s="380" t="s">
        <v>1712</v>
      </c>
      <c r="D184" s="380" t="s">
        <v>1900</v>
      </c>
      <c r="E184" s="380" t="s">
        <v>330</v>
      </c>
      <c r="F184" s="380" t="s">
        <v>1445</v>
      </c>
      <c r="G184" s="380" t="s">
        <v>1277</v>
      </c>
      <c r="H184" s="380" t="s">
        <v>2127</v>
      </c>
      <c r="I184" s="380" t="s">
        <v>1902</v>
      </c>
      <c r="J184" s="380" t="s">
        <v>1903</v>
      </c>
      <c r="K184" s="380"/>
      <c r="L184" s="404">
        <v>0.4</v>
      </c>
    </row>
    <row r="185" spans="1:12" ht="15" customHeight="1" x14ac:dyDescent="0.25">
      <c r="A185" s="380" t="s">
        <v>2128</v>
      </c>
      <c r="B185" s="380" t="s">
        <v>88</v>
      </c>
      <c r="C185" s="380" t="s">
        <v>1712</v>
      </c>
      <c r="D185" s="380" t="s">
        <v>1905</v>
      </c>
      <c r="E185" s="380" t="s">
        <v>330</v>
      </c>
      <c r="F185" s="380" t="s">
        <v>1445</v>
      </c>
      <c r="G185" s="380" t="s">
        <v>1277</v>
      </c>
      <c r="H185" s="380" t="s">
        <v>2129</v>
      </c>
      <c r="I185" s="380" t="s">
        <v>1902</v>
      </c>
      <c r="J185" s="380" t="s">
        <v>1907</v>
      </c>
      <c r="K185" s="380"/>
      <c r="L185" s="404">
        <v>0.2</v>
      </c>
    </row>
    <row r="186" spans="1:12" ht="15" customHeight="1" x14ac:dyDescent="0.25">
      <c r="A186" s="380" t="s">
        <v>2130</v>
      </c>
      <c r="B186" s="380" t="s">
        <v>88</v>
      </c>
      <c r="C186" s="380" t="s">
        <v>1712</v>
      </c>
      <c r="D186" s="380" t="s">
        <v>1909</v>
      </c>
      <c r="E186" s="380" t="s">
        <v>330</v>
      </c>
      <c r="F186" s="380" t="s">
        <v>1445</v>
      </c>
      <c r="G186" s="380" t="s">
        <v>1277</v>
      </c>
      <c r="H186" s="380" t="s">
        <v>2131</v>
      </c>
      <c r="I186" s="380" t="s">
        <v>1902</v>
      </c>
      <c r="J186" s="380" t="s">
        <v>1911</v>
      </c>
      <c r="K186" s="380"/>
      <c r="L186" s="404">
        <v>0.05</v>
      </c>
    </row>
    <row r="187" spans="1:12" ht="15" customHeight="1" x14ac:dyDescent="0.25">
      <c r="A187" s="380" t="s">
        <v>2132</v>
      </c>
      <c r="B187" s="380" t="s">
        <v>88</v>
      </c>
      <c r="C187" s="380" t="s">
        <v>1712</v>
      </c>
      <c r="D187" s="380" t="s">
        <v>1317</v>
      </c>
      <c r="E187" s="380" t="s">
        <v>330</v>
      </c>
      <c r="F187" s="380" t="s">
        <v>1445</v>
      </c>
      <c r="G187" s="380" t="s">
        <v>757</v>
      </c>
      <c r="H187" s="380" t="s">
        <v>2133</v>
      </c>
      <c r="I187" s="380" t="s">
        <v>1914</v>
      </c>
      <c r="J187" s="380" t="s">
        <v>1915</v>
      </c>
      <c r="K187" s="380" t="s">
        <v>1916</v>
      </c>
      <c r="L187" s="403">
        <v>0</v>
      </c>
    </row>
    <row r="188" spans="1:12" ht="15" customHeight="1" x14ac:dyDescent="0.25">
      <c r="A188" s="380" t="s">
        <v>2134</v>
      </c>
      <c r="B188" s="380" t="s">
        <v>88</v>
      </c>
      <c r="C188" s="380" t="s">
        <v>1712</v>
      </c>
      <c r="D188" s="380" t="s">
        <v>1317</v>
      </c>
      <c r="E188" s="380" t="s">
        <v>330</v>
      </c>
      <c r="F188" s="380" t="s">
        <v>1445</v>
      </c>
      <c r="G188" s="380" t="s">
        <v>754</v>
      </c>
      <c r="H188" s="380" t="s">
        <v>2135</v>
      </c>
      <c r="I188" s="380" t="s">
        <v>1914</v>
      </c>
      <c r="J188" s="380" t="s">
        <v>1919</v>
      </c>
      <c r="K188" s="380" t="s">
        <v>1916</v>
      </c>
      <c r="L188" s="403">
        <f>EF!C120</f>
        <v>7</v>
      </c>
    </row>
    <row r="189" spans="1:12" ht="15" customHeight="1" x14ac:dyDescent="0.25">
      <c r="A189" s="380" t="s">
        <v>2136</v>
      </c>
      <c r="B189" s="380" t="s">
        <v>88</v>
      </c>
      <c r="C189" s="380" t="s">
        <v>1712</v>
      </c>
      <c r="D189" s="380" t="s">
        <v>1317</v>
      </c>
      <c r="E189" s="380" t="s">
        <v>330</v>
      </c>
      <c r="F189" s="380" t="s">
        <v>1445</v>
      </c>
      <c r="G189" s="380" t="s">
        <v>1292</v>
      </c>
      <c r="H189" s="380" t="s">
        <v>2137</v>
      </c>
      <c r="I189" s="380" t="s">
        <v>1914</v>
      </c>
      <c r="J189" s="380" t="s">
        <v>1922</v>
      </c>
      <c r="K189" s="380" t="s">
        <v>1916</v>
      </c>
      <c r="L189" s="403">
        <v>0</v>
      </c>
    </row>
    <row r="190" spans="1:12" ht="15" customHeight="1" x14ac:dyDescent="0.25">
      <c r="A190" s="380" t="s">
        <v>2138</v>
      </c>
      <c r="B190" s="380" t="s">
        <v>88</v>
      </c>
      <c r="C190" s="380" t="s">
        <v>1712</v>
      </c>
      <c r="D190" s="380" t="s">
        <v>1317</v>
      </c>
      <c r="E190" s="380" t="s">
        <v>330</v>
      </c>
      <c r="F190" s="380" t="s">
        <v>1445</v>
      </c>
      <c r="G190" s="380" t="s">
        <v>762</v>
      </c>
      <c r="H190" s="380" t="s">
        <v>2139</v>
      </c>
      <c r="I190" s="380" t="s">
        <v>1914</v>
      </c>
      <c r="J190" s="380" t="s">
        <v>1925</v>
      </c>
      <c r="K190" s="380" t="s">
        <v>1916</v>
      </c>
      <c r="L190" s="403">
        <v>0</v>
      </c>
    </row>
    <row r="191" spans="1:12" ht="15" customHeight="1" x14ac:dyDescent="0.25">
      <c r="A191" s="380" t="s">
        <v>2140</v>
      </c>
      <c r="B191" s="380" t="s">
        <v>88</v>
      </c>
      <c r="C191" s="380" t="s">
        <v>1712</v>
      </c>
      <c r="D191" s="380" t="s">
        <v>1317</v>
      </c>
      <c r="E191" s="380" t="s">
        <v>330</v>
      </c>
      <c r="F191" s="380" t="s">
        <v>1445</v>
      </c>
      <c r="G191" s="380" t="s">
        <v>1295</v>
      </c>
      <c r="H191" s="380" t="s">
        <v>2141</v>
      </c>
      <c r="I191" s="380" t="s">
        <v>1914</v>
      </c>
      <c r="J191" s="380" t="s">
        <v>1928</v>
      </c>
      <c r="K191" s="380" t="s">
        <v>1916</v>
      </c>
      <c r="L191" s="403">
        <v>0</v>
      </c>
    </row>
    <row r="192" spans="1:12" ht="15" customHeight="1" x14ac:dyDescent="0.25">
      <c r="A192" s="380" t="s">
        <v>2142</v>
      </c>
      <c r="B192" s="380" t="s">
        <v>88</v>
      </c>
      <c r="C192" s="380" t="s">
        <v>1712</v>
      </c>
      <c r="D192" s="380" t="s">
        <v>1317</v>
      </c>
      <c r="E192" s="380" t="s">
        <v>330</v>
      </c>
      <c r="F192" s="380" t="s">
        <v>1445</v>
      </c>
      <c r="G192" s="380" t="s">
        <v>1297</v>
      </c>
      <c r="H192" s="380" t="s">
        <v>2143</v>
      </c>
      <c r="I192" s="380" t="s">
        <v>1914</v>
      </c>
      <c r="J192" s="380" t="s">
        <v>1931</v>
      </c>
      <c r="K192" s="380" t="s">
        <v>1916</v>
      </c>
      <c r="L192" s="403">
        <v>0</v>
      </c>
    </row>
    <row r="193" spans="1:12" ht="15" customHeight="1" x14ac:dyDescent="0.25">
      <c r="A193" s="380" t="s">
        <v>2144</v>
      </c>
      <c r="B193" s="380" t="s">
        <v>88</v>
      </c>
      <c r="C193" s="380" t="s">
        <v>1712</v>
      </c>
      <c r="D193" s="380" t="s">
        <v>1317</v>
      </c>
      <c r="E193" s="380" t="s">
        <v>330</v>
      </c>
      <c r="F193" s="380" t="s">
        <v>1445</v>
      </c>
      <c r="G193" s="380" t="s">
        <v>1299</v>
      </c>
      <c r="H193" s="380" t="s">
        <v>2145</v>
      </c>
      <c r="I193" s="380" t="s">
        <v>1914</v>
      </c>
      <c r="J193" s="380" t="s">
        <v>1934</v>
      </c>
      <c r="K193" s="380" t="s">
        <v>1916</v>
      </c>
      <c r="L193" s="403">
        <v>0</v>
      </c>
    </row>
    <row r="194" spans="1:12" ht="15" customHeight="1" x14ac:dyDescent="0.25">
      <c r="A194" s="380" t="s">
        <v>2146</v>
      </c>
      <c r="B194" s="380" t="s">
        <v>88</v>
      </c>
      <c r="C194" s="380" t="s">
        <v>1712</v>
      </c>
      <c r="D194" s="380" t="s">
        <v>1317</v>
      </c>
      <c r="E194" s="380" t="s">
        <v>330</v>
      </c>
      <c r="F194" s="380" t="s">
        <v>1445</v>
      </c>
      <c r="G194" s="380" t="s">
        <v>1301</v>
      </c>
      <c r="H194" s="380" t="s">
        <v>2147</v>
      </c>
      <c r="I194" s="380" t="s">
        <v>1914</v>
      </c>
      <c r="J194" s="380" t="s">
        <v>1937</v>
      </c>
      <c r="K194" s="380" t="s">
        <v>1916</v>
      </c>
      <c r="L194" s="403">
        <v>0</v>
      </c>
    </row>
    <row r="195" spans="1:12" ht="15" customHeight="1" x14ac:dyDescent="0.25">
      <c r="A195" s="380" t="s">
        <v>2148</v>
      </c>
      <c r="B195" s="380" t="s">
        <v>88</v>
      </c>
      <c r="C195" s="380" t="s">
        <v>1712</v>
      </c>
      <c r="D195" s="380" t="s">
        <v>1328</v>
      </c>
      <c r="E195" s="380" t="s">
        <v>330</v>
      </c>
      <c r="F195" s="380" t="s">
        <v>1445</v>
      </c>
      <c r="G195" s="380" t="s">
        <v>757</v>
      </c>
      <c r="H195" s="380" t="s">
        <v>2149</v>
      </c>
      <c r="I195" s="380" t="s">
        <v>1914</v>
      </c>
      <c r="J195" s="380" t="s">
        <v>1940</v>
      </c>
      <c r="K195" s="380" t="s">
        <v>1916</v>
      </c>
      <c r="L195" s="403">
        <v>0</v>
      </c>
    </row>
    <row r="196" spans="1:12" ht="15" customHeight="1" x14ac:dyDescent="0.25">
      <c r="A196" s="380" t="s">
        <v>2150</v>
      </c>
      <c r="B196" s="380" t="s">
        <v>88</v>
      </c>
      <c r="C196" s="380" t="s">
        <v>1712</v>
      </c>
      <c r="D196" s="380" t="s">
        <v>1328</v>
      </c>
      <c r="E196" s="380" t="s">
        <v>330</v>
      </c>
      <c r="F196" s="380" t="s">
        <v>1445</v>
      </c>
      <c r="G196" s="380" t="s">
        <v>754</v>
      </c>
      <c r="H196" s="380" t="s">
        <v>2151</v>
      </c>
      <c r="I196" s="380" t="s">
        <v>1914</v>
      </c>
      <c r="J196" s="380" t="s">
        <v>1943</v>
      </c>
      <c r="K196" s="380" t="s">
        <v>1916</v>
      </c>
      <c r="L196" s="403">
        <f>EF!E120</f>
        <v>26</v>
      </c>
    </row>
    <row r="197" spans="1:12" ht="15" customHeight="1" x14ac:dyDescent="0.25">
      <c r="A197" s="380" t="s">
        <v>2152</v>
      </c>
      <c r="B197" s="380" t="s">
        <v>88</v>
      </c>
      <c r="C197" s="380" t="s">
        <v>1712</v>
      </c>
      <c r="D197" s="380" t="s">
        <v>1328</v>
      </c>
      <c r="E197" s="380" t="s">
        <v>330</v>
      </c>
      <c r="F197" s="380" t="s">
        <v>1445</v>
      </c>
      <c r="G197" s="380" t="s">
        <v>1292</v>
      </c>
      <c r="H197" s="380" t="s">
        <v>2153</v>
      </c>
      <c r="I197" s="380" t="s">
        <v>1914</v>
      </c>
      <c r="J197" s="380" t="s">
        <v>1946</v>
      </c>
      <c r="K197" s="380" t="s">
        <v>1916</v>
      </c>
      <c r="L197" s="403">
        <v>0</v>
      </c>
    </row>
    <row r="198" spans="1:12" ht="15" customHeight="1" x14ac:dyDescent="0.25">
      <c r="A198" s="380" t="s">
        <v>2154</v>
      </c>
      <c r="B198" s="380" t="s">
        <v>88</v>
      </c>
      <c r="C198" s="380" t="s">
        <v>1712</v>
      </c>
      <c r="D198" s="380" t="s">
        <v>1328</v>
      </c>
      <c r="E198" s="380" t="s">
        <v>330</v>
      </c>
      <c r="F198" s="380" t="s">
        <v>1445</v>
      </c>
      <c r="G198" s="380" t="s">
        <v>762</v>
      </c>
      <c r="H198" s="380" t="s">
        <v>2155</v>
      </c>
      <c r="I198" s="380" t="s">
        <v>1914</v>
      </c>
      <c r="J198" s="380" t="s">
        <v>1949</v>
      </c>
      <c r="K198" s="380" t="s">
        <v>1916</v>
      </c>
      <c r="L198" s="403">
        <v>0</v>
      </c>
    </row>
    <row r="199" spans="1:12" ht="15" customHeight="1" x14ac:dyDescent="0.25">
      <c r="A199" s="380" t="s">
        <v>2156</v>
      </c>
      <c r="B199" s="380" t="s">
        <v>88</v>
      </c>
      <c r="C199" s="380" t="s">
        <v>1712</v>
      </c>
      <c r="D199" s="380" t="s">
        <v>1328</v>
      </c>
      <c r="E199" s="380" t="s">
        <v>330</v>
      </c>
      <c r="F199" s="380" t="s">
        <v>1445</v>
      </c>
      <c r="G199" s="380" t="s">
        <v>1295</v>
      </c>
      <c r="H199" s="380" t="s">
        <v>2157</v>
      </c>
      <c r="I199" s="380" t="s">
        <v>1914</v>
      </c>
      <c r="J199" s="380" t="s">
        <v>1952</v>
      </c>
      <c r="K199" s="380" t="s">
        <v>1916</v>
      </c>
      <c r="L199" s="403">
        <v>0</v>
      </c>
    </row>
    <row r="200" spans="1:12" ht="15" customHeight="1" x14ac:dyDescent="0.25">
      <c r="A200" s="380" t="s">
        <v>2158</v>
      </c>
      <c r="B200" s="380" t="s">
        <v>88</v>
      </c>
      <c r="C200" s="380" t="s">
        <v>1712</v>
      </c>
      <c r="D200" s="380" t="s">
        <v>1328</v>
      </c>
      <c r="E200" s="380" t="s">
        <v>330</v>
      </c>
      <c r="F200" s="380" t="s">
        <v>1445</v>
      </c>
      <c r="G200" s="380" t="s">
        <v>1297</v>
      </c>
      <c r="H200" s="380" t="s">
        <v>2159</v>
      </c>
      <c r="I200" s="380" t="s">
        <v>1914</v>
      </c>
      <c r="J200" s="380" t="s">
        <v>1955</v>
      </c>
      <c r="K200" s="380" t="s">
        <v>1916</v>
      </c>
      <c r="L200" s="403">
        <v>0</v>
      </c>
    </row>
    <row r="201" spans="1:12" ht="15" customHeight="1" x14ac:dyDescent="0.25">
      <c r="A201" s="380" t="s">
        <v>2160</v>
      </c>
      <c r="B201" s="380" t="s">
        <v>88</v>
      </c>
      <c r="C201" s="380" t="s">
        <v>1712</v>
      </c>
      <c r="D201" s="380" t="s">
        <v>1328</v>
      </c>
      <c r="E201" s="380" t="s">
        <v>330</v>
      </c>
      <c r="F201" s="380" t="s">
        <v>1445</v>
      </c>
      <c r="G201" s="380" t="s">
        <v>1299</v>
      </c>
      <c r="H201" s="380" t="s">
        <v>2161</v>
      </c>
      <c r="I201" s="380" t="s">
        <v>1914</v>
      </c>
      <c r="J201" s="380" t="s">
        <v>1958</v>
      </c>
      <c r="K201" s="380" t="s">
        <v>1916</v>
      </c>
      <c r="L201" s="403">
        <v>0</v>
      </c>
    </row>
    <row r="202" spans="1:12" ht="15" customHeight="1" x14ac:dyDescent="0.25">
      <c r="A202" s="380" t="s">
        <v>2162</v>
      </c>
      <c r="B202" s="380" t="s">
        <v>88</v>
      </c>
      <c r="C202" s="380" t="s">
        <v>1712</v>
      </c>
      <c r="D202" s="380" t="s">
        <v>1328</v>
      </c>
      <c r="E202" s="380" t="s">
        <v>330</v>
      </c>
      <c r="F202" s="380" t="s">
        <v>1445</v>
      </c>
      <c r="G202" s="380" t="s">
        <v>1301</v>
      </c>
      <c r="H202" s="380" t="s">
        <v>2163</v>
      </c>
      <c r="I202" s="380" t="s">
        <v>1914</v>
      </c>
      <c r="J202" s="380" t="s">
        <v>1961</v>
      </c>
      <c r="K202" s="380" t="s">
        <v>1916</v>
      </c>
      <c r="L202" s="403">
        <v>0</v>
      </c>
    </row>
    <row r="203" spans="1:12" ht="15" customHeight="1" x14ac:dyDescent="0.25">
      <c r="A203" s="380" t="s">
        <v>2164</v>
      </c>
      <c r="B203" s="380" t="s">
        <v>88</v>
      </c>
      <c r="C203" s="380" t="s">
        <v>1712</v>
      </c>
      <c r="D203" s="380" t="s">
        <v>1338</v>
      </c>
      <c r="E203" s="380" t="s">
        <v>330</v>
      </c>
      <c r="F203" s="380" t="s">
        <v>1445</v>
      </c>
      <c r="G203" s="380" t="s">
        <v>1339</v>
      </c>
      <c r="H203" s="380" t="s">
        <v>2165</v>
      </c>
      <c r="I203" s="380" t="s">
        <v>1914</v>
      </c>
      <c r="J203" s="380" t="s">
        <v>1964</v>
      </c>
      <c r="K203" s="380"/>
      <c r="L203" s="403">
        <f>EF!G120</f>
        <v>0.3</v>
      </c>
    </row>
    <row r="204" spans="1:12" ht="15" customHeight="1" x14ac:dyDescent="0.25">
      <c r="A204" s="380" t="s">
        <v>2166</v>
      </c>
      <c r="B204" s="380" t="s">
        <v>88</v>
      </c>
      <c r="C204" s="380" t="s">
        <v>1712</v>
      </c>
      <c r="D204" s="380" t="s">
        <v>1966</v>
      </c>
      <c r="E204" s="380" t="s">
        <v>330</v>
      </c>
      <c r="F204" s="380" t="s">
        <v>1445</v>
      </c>
      <c r="G204" s="380" t="s">
        <v>1277</v>
      </c>
      <c r="H204" s="380" t="s">
        <v>2167</v>
      </c>
      <c r="I204" s="380" t="s">
        <v>1746</v>
      </c>
      <c r="J204" s="380" t="s">
        <v>1968</v>
      </c>
      <c r="K204" s="380" t="s">
        <v>1969</v>
      </c>
      <c r="L204" s="403">
        <f>EF!H120</f>
        <v>0</v>
      </c>
    </row>
    <row r="205" spans="1:12" ht="15" customHeight="1" x14ac:dyDescent="0.25">
      <c r="A205" s="380" t="s">
        <v>2168</v>
      </c>
      <c r="B205" s="380" t="s">
        <v>88</v>
      </c>
      <c r="C205" s="380" t="s">
        <v>1712</v>
      </c>
      <c r="D205" s="380" t="s">
        <v>1971</v>
      </c>
      <c r="E205" s="380" t="s">
        <v>330</v>
      </c>
      <c r="F205" s="380" t="s">
        <v>1445</v>
      </c>
      <c r="G205" s="380" t="s">
        <v>1277</v>
      </c>
      <c r="H205" s="380" t="s">
        <v>2169</v>
      </c>
      <c r="I205" s="380" t="s">
        <v>1566</v>
      </c>
      <c r="J205" s="380" t="s">
        <v>1973</v>
      </c>
      <c r="K205" s="380" t="s">
        <v>1969</v>
      </c>
      <c r="L205" s="403">
        <f>EF!I120</f>
        <v>0</v>
      </c>
    </row>
    <row r="206" spans="1:12" ht="15" customHeight="1" x14ac:dyDescent="0.25">
      <c r="A206" s="380" t="s">
        <v>2170</v>
      </c>
      <c r="B206" s="380" t="s">
        <v>88</v>
      </c>
      <c r="C206" s="380" t="s">
        <v>1712</v>
      </c>
      <c r="D206" s="380" t="s">
        <v>1890</v>
      </c>
      <c r="E206" s="380" t="s">
        <v>330</v>
      </c>
      <c r="F206" s="380" t="s">
        <v>1473</v>
      </c>
      <c r="G206" s="380" t="s">
        <v>1277</v>
      </c>
      <c r="H206" s="380" t="s">
        <v>2171</v>
      </c>
      <c r="I206" s="380" t="s">
        <v>1307</v>
      </c>
      <c r="J206" s="380" t="s">
        <v>2172</v>
      </c>
      <c r="K206" s="380" t="s">
        <v>1893</v>
      </c>
      <c r="L206" s="406">
        <v>1.4</v>
      </c>
    </row>
    <row r="207" spans="1:12" ht="15" customHeight="1" x14ac:dyDescent="0.25">
      <c r="A207" s="380" t="s">
        <v>2173</v>
      </c>
      <c r="B207" s="380" t="s">
        <v>88</v>
      </c>
      <c r="C207" s="380" t="s">
        <v>1712</v>
      </c>
      <c r="D207" s="380" t="s">
        <v>1895</v>
      </c>
      <c r="E207" s="380" t="s">
        <v>330</v>
      </c>
      <c r="F207" s="380" t="s">
        <v>1473</v>
      </c>
      <c r="G207" s="380" t="s">
        <v>1277</v>
      </c>
      <c r="H207" s="380" t="s">
        <v>2174</v>
      </c>
      <c r="I207" s="380" t="s">
        <v>1897</v>
      </c>
      <c r="J207" s="380" t="s">
        <v>1898</v>
      </c>
      <c r="K207" s="380"/>
      <c r="L207" s="404">
        <v>0.5</v>
      </c>
    </row>
    <row r="208" spans="1:12" ht="15" customHeight="1" x14ac:dyDescent="0.25">
      <c r="A208" s="380" t="s">
        <v>2175</v>
      </c>
      <c r="B208" s="380" t="s">
        <v>88</v>
      </c>
      <c r="C208" s="380" t="s">
        <v>1712</v>
      </c>
      <c r="D208" s="380" t="s">
        <v>1900</v>
      </c>
      <c r="E208" s="380" t="s">
        <v>330</v>
      </c>
      <c r="F208" s="380" t="s">
        <v>1473</v>
      </c>
      <c r="G208" s="380" t="s">
        <v>1277</v>
      </c>
      <c r="H208" s="380" t="s">
        <v>2176</v>
      </c>
      <c r="I208" s="380" t="s">
        <v>1902</v>
      </c>
      <c r="J208" s="380" t="s">
        <v>1903</v>
      </c>
      <c r="K208" s="380"/>
      <c r="L208" s="404">
        <v>0.4</v>
      </c>
    </row>
    <row r="209" spans="1:12" ht="15" customHeight="1" x14ac:dyDescent="0.25">
      <c r="A209" s="380" t="s">
        <v>2177</v>
      </c>
      <c r="B209" s="380" t="s">
        <v>88</v>
      </c>
      <c r="C209" s="380" t="s">
        <v>1712</v>
      </c>
      <c r="D209" s="380" t="s">
        <v>1905</v>
      </c>
      <c r="E209" s="380" t="s">
        <v>330</v>
      </c>
      <c r="F209" s="380" t="s">
        <v>1473</v>
      </c>
      <c r="G209" s="380" t="s">
        <v>1277</v>
      </c>
      <c r="H209" s="380" t="s">
        <v>2178</v>
      </c>
      <c r="I209" s="380" t="s">
        <v>1902</v>
      </c>
      <c r="J209" s="380" t="s">
        <v>1907</v>
      </c>
      <c r="K209" s="380"/>
      <c r="L209" s="404">
        <v>0.22</v>
      </c>
    </row>
    <row r="210" spans="1:12" ht="15" customHeight="1" x14ac:dyDescent="0.25">
      <c r="A210" s="380" t="s">
        <v>2179</v>
      </c>
      <c r="B210" s="380" t="s">
        <v>88</v>
      </c>
      <c r="C210" s="380" t="s">
        <v>1712</v>
      </c>
      <c r="D210" s="380" t="s">
        <v>1909</v>
      </c>
      <c r="E210" s="380" t="s">
        <v>330</v>
      </c>
      <c r="F210" s="380" t="s">
        <v>1473</v>
      </c>
      <c r="G210" s="380" t="s">
        <v>1277</v>
      </c>
      <c r="H210" s="380" t="s">
        <v>2180</v>
      </c>
      <c r="I210" s="380" t="s">
        <v>1902</v>
      </c>
      <c r="J210" s="380" t="s">
        <v>1911</v>
      </c>
      <c r="K210" s="380"/>
      <c r="L210" s="404">
        <v>0.05</v>
      </c>
    </row>
    <row r="211" spans="1:12" ht="15" customHeight="1" x14ac:dyDescent="0.25">
      <c r="A211" s="380" t="s">
        <v>2181</v>
      </c>
      <c r="B211" s="380" t="s">
        <v>88</v>
      </c>
      <c r="C211" s="380" t="s">
        <v>1712</v>
      </c>
      <c r="D211" s="380" t="s">
        <v>1317</v>
      </c>
      <c r="E211" s="380" t="s">
        <v>330</v>
      </c>
      <c r="F211" s="380" t="s">
        <v>1473</v>
      </c>
      <c r="G211" s="380" t="s">
        <v>757</v>
      </c>
      <c r="H211" s="380" t="s">
        <v>2182</v>
      </c>
      <c r="I211" s="380" t="s">
        <v>1914</v>
      </c>
      <c r="J211" s="380" t="s">
        <v>1915</v>
      </c>
      <c r="K211" s="380" t="s">
        <v>1916</v>
      </c>
      <c r="L211" s="403">
        <v>0</v>
      </c>
    </row>
    <row r="212" spans="1:12" ht="15" customHeight="1" x14ac:dyDescent="0.25">
      <c r="A212" s="380" t="s">
        <v>2183</v>
      </c>
      <c r="B212" s="380" t="s">
        <v>88</v>
      </c>
      <c r="C212" s="380" t="s">
        <v>1712</v>
      </c>
      <c r="D212" s="380" t="s">
        <v>1317</v>
      </c>
      <c r="E212" s="380" t="s">
        <v>330</v>
      </c>
      <c r="F212" s="380" t="s">
        <v>1473</v>
      </c>
      <c r="G212" s="380" t="s">
        <v>754</v>
      </c>
      <c r="H212" s="380" t="s">
        <v>2184</v>
      </c>
      <c r="I212" s="380" t="s">
        <v>1914</v>
      </c>
      <c r="J212" s="380" t="s">
        <v>1919</v>
      </c>
      <c r="K212" s="380" t="s">
        <v>1916</v>
      </c>
      <c r="L212" s="403">
        <f>EF!C121</f>
        <v>2</v>
      </c>
    </row>
    <row r="213" spans="1:12" ht="15" customHeight="1" x14ac:dyDescent="0.25">
      <c r="A213" s="380" t="s">
        <v>2185</v>
      </c>
      <c r="B213" s="380" t="s">
        <v>88</v>
      </c>
      <c r="C213" s="380" t="s">
        <v>1712</v>
      </c>
      <c r="D213" s="380" t="s">
        <v>1317</v>
      </c>
      <c r="E213" s="380" t="s">
        <v>330</v>
      </c>
      <c r="F213" s="380" t="s">
        <v>1473</v>
      </c>
      <c r="G213" s="380" t="s">
        <v>1292</v>
      </c>
      <c r="H213" s="380" t="s">
        <v>2186</v>
      </c>
      <c r="I213" s="380" t="s">
        <v>1914</v>
      </c>
      <c r="J213" s="380" t="s">
        <v>1922</v>
      </c>
      <c r="K213" s="380" t="s">
        <v>1916</v>
      </c>
      <c r="L213" s="403">
        <v>0</v>
      </c>
    </row>
    <row r="214" spans="1:12" ht="15" customHeight="1" x14ac:dyDescent="0.25">
      <c r="A214" s="380" t="s">
        <v>2187</v>
      </c>
      <c r="B214" s="380" t="s">
        <v>88</v>
      </c>
      <c r="C214" s="380" t="s">
        <v>1712</v>
      </c>
      <c r="D214" s="380" t="s">
        <v>1317</v>
      </c>
      <c r="E214" s="380" t="s">
        <v>330</v>
      </c>
      <c r="F214" s="380" t="s">
        <v>1473</v>
      </c>
      <c r="G214" s="380" t="s">
        <v>762</v>
      </c>
      <c r="H214" s="380" t="s">
        <v>2188</v>
      </c>
      <c r="I214" s="380" t="s">
        <v>1914</v>
      </c>
      <c r="J214" s="380" t="s">
        <v>1925</v>
      </c>
      <c r="K214" s="380" t="s">
        <v>1916</v>
      </c>
      <c r="L214" s="403">
        <v>0</v>
      </c>
    </row>
    <row r="215" spans="1:12" ht="15" customHeight="1" x14ac:dyDescent="0.25">
      <c r="A215" s="380" t="s">
        <v>2189</v>
      </c>
      <c r="B215" s="380" t="s">
        <v>88</v>
      </c>
      <c r="C215" s="380" t="s">
        <v>1712</v>
      </c>
      <c r="D215" s="380" t="s">
        <v>1317</v>
      </c>
      <c r="E215" s="380" t="s">
        <v>330</v>
      </c>
      <c r="F215" s="380" t="s">
        <v>1473</v>
      </c>
      <c r="G215" s="380" t="s">
        <v>1295</v>
      </c>
      <c r="H215" s="380" t="s">
        <v>2190</v>
      </c>
      <c r="I215" s="380" t="s">
        <v>1914</v>
      </c>
      <c r="J215" s="380" t="s">
        <v>1928</v>
      </c>
      <c r="K215" s="380" t="s">
        <v>1916</v>
      </c>
      <c r="L215" s="403">
        <v>0</v>
      </c>
    </row>
    <row r="216" spans="1:12" ht="15" customHeight="1" x14ac:dyDescent="0.25">
      <c r="A216" s="380" t="s">
        <v>2191</v>
      </c>
      <c r="B216" s="380" t="s">
        <v>88</v>
      </c>
      <c r="C216" s="380" t="s">
        <v>1712</v>
      </c>
      <c r="D216" s="380" t="s">
        <v>1317</v>
      </c>
      <c r="E216" s="380" t="s">
        <v>330</v>
      </c>
      <c r="F216" s="380" t="s">
        <v>1473</v>
      </c>
      <c r="G216" s="380" t="s">
        <v>1297</v>
      </c>
      <c r="H216" s="380" t="s">
        <v>2192</v>
      </c>
      <c r="I216" s="380" t="s">
        <v>1914</v>
      </c>
      <c r="J216" s="380" t="s">
        <v>1931</v>
      </c>
      <c r="K216" s="380" t="s">
        <v>1916</v>
      </c>
      <c r="L216" s="403">
        <v>0</v>
      </c>
    </row>
    <row r="217" spans="1:12" ht="15" customHeight="1" x14ac:dyDescent="0.25">
      <c r="A217" s="380" t="s">
        <v>2193</v>
      </c>
      <c r="B217" s="380" t="s">
        <v>88</v>
      </c>
      <c r="C217" s="380" t="s">
        <v>1712</v>
      </c>
      <c r="D217" s="380" t="s">
        <v>1317</v>
      </c>
      <c r="E217" s="380" t="s">
        <v>330</v>
      </c>
      <c r="F217" s="380" t="s">
        <v>1473</v>
      </c>
      <c r="G217" s="380" t="s">
        <v>1299</v>
      </c>
      <c r="H217" s="380" t="s">
        <v>2194</v>
      </c>
      <c r="I217" s="380" t="s">
        <v>1914</v>
      </c>
      <c r="J217" s="380" t="s">
        <v>1934</v>
      </c>
      <c r="K217" s="380" t="s">
        <v>1916</v>
      </c>
      <c r="L217" s="403">
        <v>0</v>
      </c>
    </row>
    <row r="218" spans="1:12" ht="15" customHeight="1" x14ac:dyDescent="0.25">
      <c r="A218" s="380" t="s">
        <v>2195</v>
      </c>
      <c r="B218" s="380" t="s">
        <v>88</v>
      </c>
      <c r="C218" s="380" t="s">
        <v>1712</v>
      </c>
      <c r="D218" s="380" t="s">
        <v>1317</v>
      </c>
      <c r="E218" s="380" t="s">
        <v>330</v>
      </c>
      <c r="F218" s="380" t="s">
        <v>1473</v>
      </c>
      <c r="G218" s="380" t="s">
        <v>1301</v>
      </c>
      <c r="H218" s="380" t="s">
        <v>2196</v>
      </c>
      <c r="I218" s="380" t="s">
        <v>1914</v>
      </c>
      <c r="J218" s="380" t="s">
        <v>1937</v>
      </c>
      <c r="K218" s="380" t="s">
        <v>1916</v>
      </c>
      <c r="L218" s="403">
        <v>0</v>
      </c>
    </row>
    <row r="219" spans="1:12" ht="15" customHeight="1" x14ac:dyDescent="0.25">
      <c r="A219" s="380" t="s">
        <v>2197</v>
      </c>
      <c r="B219" s="380" t="s">
        <v>88</v>
      </c>
      <c r="C219" s="380" t="s">
        <v>1712</v>
      </c>
      <c r="D219" s="380" t="s">
        <v>1328</v>
      </c>
      <c r="E219" s="380" t="s">
        <v>330</v>
      </c>
      <c r="F219" s="380" t="s">
        <v>1473</v>
      </c>
      <c r="G219" s="380" t="s">
        <v>757</v>
      </c>
      <c r="H219" s="380" t="s">
        <v>2198</v>
      </c>
      <c r="I219" s="380" t="s">
        <v>1914</v>
      </c>
      <c r="J219" s="380" t="s">
        <v>1940</v>
      </c>
      <c r="K219" s="380" t="s">
        <v>1916</v>
      </c>
      <c r="L219" s="403">
        <v>0</v>
      </c>
    </row>
    <row r="220" spans="1:12" ht="15" customHeight="1" x14ac:dyDescent="0.25">
      <c r="A220" s="380" t="s">
        <v>2199</v>
      </c>
      <c r="B220" s="380" t="s">
        <v>88</v>
      </c>
      <c r="C220" s="380" t="s">
        <v>1712</v>
      </c>
      <c r="D220" s="380" t="s">
        <v>1328</v>
      </c>
      <c r="E220" s="380" t="s">
        <v>330</v>
      </c>
      <c r="F220" s="380" t="s">
        <v>1473</v>
      </c>
      <c r="G220" s="380" t="s">
        <v>754</v>
      </c>
      <c r="H220" s="380" t="s">
        <v>2200</v>
      </c>
      <c r="I220" s="380" t="s">
        <v>1914</v>
      </c>
      <c r="J220" s="380" t="s">
        <v>1943</v>
      </c>
      <c r="K220" s="380" t="s">
        <v>1916</v>
      </c>
      <c r="L220" s="403">
        <v>0</v>
      </c>
    </row>
    <row r="221" spans="1:12" ht="15" customHeight="1" x14ac:dyDescent="0.25">
      <c r="A221" s="380" t="s">
        <v>2201</v>
      </c>
      <c r="B221" s="380" t="s">
        <v>88</v>
      </c>
      <c r="C221" s="380" t="s">
        <v>1712</v>
      </c>
      <c r="D221" s="380" t="s">
        <v>1328</v>
      </c>
      <c r="E221" s="380" t="s">
        <v>330</v>
      </c>
      <c r="F221" s="380" t="s">
        <v>1473</v>
      </c>
      <c r="G221" s="380" t="s">
        <v>1292</v>
      </c>
      <c r="H221" s="380" t="s">
        <v>2202</v>
      </c>
      <c r="I221" s="380" t="s">
        <v>1914</v>
      </c>
      <c r="J221" s="380" t="s">
        <v>1946</v>
      </c>
      <c r="K221" s="380" t="s">
        <v>1916</v>
      </c>
      <c r="L221" s="403">
        <v>0</v>
      </c>
    </row>
    <row r="222" spans="1:12" ht="15" customHeight="1" x14ac:dyDescent="0.25">
      <c r="A222" s="380" t="s">
        <v>2203</v>
      </c>
      <c r="B222" s="380" t="s">
        <v>88</v>
      </c>
      <c r="C222" s="380" t="s">
        <v>1712</v>
      </c>
      <c r="D222" s="380" t="s">
        <v>1328</v>
      </c>
      <c r="E222" s="380" t="s">
        <v>330</v>
      </c>
      <c r="F222" s="380" t="s">
        <v>1473</v>
      </c>
      <c r="G222" s="380" t="s">
        <v>762</v>
      </c>
      <c r="H222" s="380" t="s">
        <v>2204</v>
      </c>
      <c r="I222" s="380" t="s">
        <v>1914</v>
      </c>
      <c r="J222" s="380" t="s">
        <v>1949</v>
      </c>
      <c r="K222" s="380" t="s">
        <v>1916</v>
      </c>
      <c r="L222" s="403">
        <v>0</v>
      </c>
    </row>
    <row r="223" spans="1:12" ht="15" customHeight="1" x14ac:dyDescent="0.25">
      <c r="A223" s="380" t="s">
        <v>2205</v>
      </c>
      <c r="B223" s="380" t="s">
        <v>88</v>
      </c>
      <c r="C223" s="380" t="s">
        <v>1712</v>
      </c>
      <c r="D223" s="380" t="s">
        <v>1328</v>
      </c>
      <c r="E223" s="380" t="s">
        <v>330</v>
      </c>
      <c r="F223" s="380" t="s">
        <v>1473</v>
      </c>
      <c r="G223" s="380" t="s">
        <v>1295</v>
      </c>
      <c r="H223" s="380" t="s">
        <v>2206</v>
      </c>
      <c r="I223" s="380" t="s">
        <v>1914</v>
      </c>
      <c r="J223" s="380" t="s">
        <v>1952</v>
      </c>
      <c r="K223" s="380" t="s">
        <v>1916</v>
      </c>
      <c r="L223" s="403">
        <v>0</v>
      </c>
    </row>
    <row r="224" spans="1:12" ht="15" customHeight="1" x14ac:dyDescent="0.25">
      <c r="A224" s="380" t="s">
        <v>2207</v>
      </c>
      <c r="B224" s="380" t="s">
        <v>88</v>
      </c>
      <c r="C224" s="380" t="s">
        <v>1712</v>
      </c>
      <c r="D224" s="380" t="s">
        <v>1328</v>
      </c>
      <c r="E224" s="380" t="s">
        <v>330</v>
      </c>
      <c r="F224" s="380" t="s">
        <v>1473</v>
      </c>
      <c r="G224" s="380" t="s">
        <v>1297</v>
      </c>
      <c r="H224" s="380" t="s">
        <v>2208</v>
      </c>
      <c r="I224" s="380" t="s">
        <v>1914</v>
      </c>
      <c r="J224" s="380" t="s">
        <v>1955</v>
      </c>
      <c r="K224" s="380" t="s">
        <v>1916</v>
      </c>
      <c r="L224" s="403">
        <v>0</v>
      </c>
    </row>
    <row r="225" spans="1:12" ht="15" customHeight="1" x14ac:dyDescent="0.25">
      <c r="A225" s="380" t="s">
        <v>2209</v>
      </c>
      <c r="B225" s="380" t="s">
        <v>88</v>
      </c>
      <c r="C225" s="380" t="s">
        <v>1712</v>
      </c>
      <c r="D225" s="380" t="s">
        <v>1328</v>
      </c>
      <c r="E225" s="380" t="s">
        <v>330</v>
      </c>
      <c r="F225" s="380" t="s">
        <v>1473</v>
      </c>
      <c r="G225" s="380" t="s">
        <v>1299</v>
      </c>
      <c r="H225" s="380" t="s">
        <v>2210</v>
      </c>
      <c r="I225" s="380" t="s">
        <v>1914</v>
      </c>
      <c r="J225" s="380" t="s">
        <v>1958</v>
      </c>
      <c r="K225" s="380" t="s">
        <v>1916</v>
      </c>
      <c r="L225" s="403">
        <v>0</v>
      </c>
    </row>
    <row r="226" spans="1:12" ht="15" customHeight="1" x14ac:dyDescent="0.25">
      <c r="A226" s="380" t="s">
        <v>2211</v>
      </c>
      <c r="B226" s="380" t="s">
        <v>88</v>
      </c>
      <c r="C226" s="380" t="s">
        <v>1712</v>
      </c>
      <c r="D226" s="380" t="s">
        <v>1328</v>
      </c>
      <c r="E226" s="380" t="s">
        <v>330</v>
      </c>
      <c r="F226" s="380" t="s">
        <v>1473</v>
      </c>
      <c r="G226" s="380" t="s">
        <v>1301</v>
      </c>
      <c r="H226" s="380" t="s">
        <v>2212</v>
      </c>
      <c r="I226" s="380" t="s">
        <v>1914</v>
      </c>
      <c r="J226" s="380" t="s">
        <v>1961</v>
      </c>
      <c r="K226" s="380" t="s">
        <v>1916</v>
      </c>
      <c r="L226" s="403">
        <v>0</v>
      </c>
    </row>
    <row r="227" spans="1:12" ht="15" customHeight="1" x14ac:dyDescent="0.25">
      <c r="A227" s="380" t="s">
        <v>2213</v>
      </c>
      <c r="B227" s="380" t="s">
        <v>88</v>
      </c>
      <c r="C227" s="380" t="s">
        <v>1712</v>
      </c>
      <c r="D227" s="380" t="s">
        <v>1338</v>
      </c>
      <c r="E227" s="380" t="s">
        <v>330</v>
      </c>
      <c r="F227" s="380" t="s">
        <v>1473</v>
      </c>
      <c r="G227" s="380" t="s">
        <v>1339</v>
      </c>
      <c r="H227" s="380" t="s">
        <v>2214</v>
      </c>
      <c r="I227" s="380" t="s">
        <v>1914</v>
      </c>
      <c r="J227" s="380" t="s">
        <v>1964</v>
      </c>
      <c r="K227" s="380"/>
      <c r="L227" s="403">
        <f>EF!G121</f>
        <v>0.3</v>
      </c>
    </row>
    <row r="228" spans="1:12" ht="15" customHeight="1" x14ac:dyDescent="0.25">
      <c r="A228" s="380" t="s">
        <v>2215</v>
      </c>
      <c r="B228" s="380" t="s">
        <v>88</v>
      </c>
      <c r="C228" s="380" t="s">
        <v>1712</v>
      </c>
      <c r="D228" s="380" t="s">
        <v>1966</v>
      </c>
      <c r="E228" s="380" t="s">
        <v>330</v>
      </c>
      <c r="F228" s="380" t="s">
        <v>1473</v>
      </c>
      <c r="G228" s="380" t="s">
        <v>1277</v>
      </c>
      <c r="H228" s="380" t="s">
        <v>2216</v>
      </c>
      <c r="I228" s="380" t="s">
        <v>1746</v>
      </c>
      <c r="J228" s="380" t="s">
        <v>1968</v>
      </c>
      <c r="K228" s="380" t="s">
        <v>1969</v>
      </c>
      <c r="L228" s="403">
        <f>EF!H121</f>
        <v>-0.73299999999999998</v>
      </c>
    </row>
    <row r="229" spans="1:12" ht="15" customHeight="1" x14ac:dyDescent="0.25">
      <c r="A229" s="380" t="s">
        <v>2217</v>
      </c>
      <c r="B229" s="380" t="s">
        <v>88</v>
      </c>
      <c r="C229" s="380" t="s">
        <v>1712</v>
      </c>
      <c r="D229" s="380" t="s">
        <v>1971</v>
      </c>
      <c r="E229" s="380" t="s">
        <v>330</v>
      </c>
      <c r="F229" s="380" t="s">
        <v>1473</v>
      </c>
      <c r="G229" s="380" t="s">
        <v>1277</v>
      </c>
      <c r="H229" s="380" t="s">
        <v>2218</v>
      </c>
      <c r="I229" s="380" t="s">
        <v>1566</v>
      </c>
      <c r="J229" s="380" t="s">
        <v>1973</v>
      </c>
      <c r="K229" s="380" t="s">
        <v>1969</v>
      </c>
      <c r="L229" s="403">
        <f>EF!I121</f>
        <v>0</v>
      </c>
    </row>
    <row r="230" spans="1:12" ht="15" customHeight="1" x14ac:dyDescent="0.25">
      <c r="A230" s="380" t="s">
        <v>2219</v>
      </c>
      <c r="B230" s="380" t="s">
        <v>88</v>
      </c>
      <c r="C230" s="380" t="s">
        <v>1712</v>
      </c>
      <c r="D230" s="380" t="s">
        <v>1890</v>
      </c>
      <c r="E230" s="380" t="s">
        <v>330</v>
      </c>
      <c r="F230" s="380" t="s">
        <v>1501</v>
      </c>
      <c r="G230" s="380" t="s">
        <v>1277</v>
      </c>
      <c r="H230" s="380" t="s">
        <v>2220</v>
      </c>
      <c r="I230" s="380" t="s">
        <v>1307</v>
      </c>
      <c r="J230" s="380" t="s">
        <v>2221</v>
      </c>
      <c r="K230" s="380" t="s">
        <v>1893</v>
      </c>
      <c r="L230" s="406">
        <v>0.5</v>
      </c>
    </row>
    <row r="231" spans="1:12" ht="15" customHeight="1" x14ac:dyDescent="0.25">
      <c r="A231" s="380" t="s">
        <v>2222</v>
      </c>
      <c r="B231" s="380" t="s">
        <v>88</v>
      </c>
      <c r="C231" s="380" t="s">
        <v>1712</v>
      </c>
      <c r="D231" s="380" t="s">
        <v>1895</v>
      </c>
      <c r="E231" s="380" t="s">
        <v>330</v>
      </c>
      <c r="F231" s="380" t="s">
        <v>1501</v>
      </c>
      <c r="G231" s="380" t="s">
        <v>1277</v>
      </c>
      <c r="H231" s="380" t="s">
        <v>2223</v>
      </c>
      <c r="I231" s="380" t="s">
        <v>1897</v>
      </c>
      <c r="J231" s="380" t="s">
        <v>1898</v>
      </c>
      <c r="K231" s="380"/>
      <c r="L231" s="404">
        <v>0.4</v>
      </c>
    </row>
    <row r="232" spans="1:12" ht="15" customHeight="1" x14ac:dyDescent="0.25">
      <c r="A232" s="380" t="s">
        <v>2224</v>
      </c>
      <c r="B232" s="380" t="s">
        <v>88</v>
      </c>
      <c r="C232" s="380" t="s">
        <v>1712</v>
      </c>
      <c r="D232" s="380" t="s">
        <v>1900</v>
      </c>
      <c r="E232" s="380" t="s">
        <v>330</v>
      </c>
      <c r="F232" s="380" t="s">
        <v>1501</v>
      </c>
      <c r="G232" s="380" t="s">
        <v>1277</v>
      </c>
      <c r="H232" s="380" t="s">
        <v>2225</v>
      </c>
      <c r="I232" s="380" t="s">
        <v>1902</v>
      </c>
      <c r="J232" s="380" t="s">
        <v>1903</v>
      </c>
      <c r="K232" s="380"/>
      <c r="L232" s="404">
        <v>0.3</v>
      </c>
    </row>
    <row r="233" spans="1:12" ht="15" customHeight="1" x14ac:dyDescent="0.25">
      <c r="A233" s="380" t="s">
        <v>2226</v>
      </c>
      <c r="B233" s="380" t="s">
        <v>88</v>
      </c>
      <c r="C233" s="380" t="s">
        <v>1712</v>
      </c>
      <c r="D233" s="380" t="s">
        <v>1905</v>
      </c>
      <c r="E233" s="380" t="s">
        <v>330</v>
      </c>
      <c r="F233" s="380" t="s">
        <v>1501</v>
      </c>
      <c r="G233" s="380" t="s">
        <v>1277</v>
      </c>
      <c r="H233" s="380" t="s">
        <v>2227</v>
      </c>
      <c r="I233" s="380" t="s">
        <v>1902</v>
      </c>
      <c r="J233" s="380" t="s">
        <v>1907</v>
      </c>
      <c r="K233" s="380"/>
      <c r="L233" s="404">
        <v>0.15</v>
      </c>
    </row>
    <row r="234" spans="1:12" ht="15" customHeight="1" x14ac:dyDescent="0.25">
      <c r="A234" s="380" t="s">
        <v>2228</v>
      </c>
      <c r="B234" s="380" t="s">
        <v>88</v>
      </c>
      <c r="C234" s="380" t="s">
        <v>1712</v>
      </c>
      <c r="D234" s="380" t="s">
        <v>1909</v>
      </c>
      <c r="E234" s="380" t="s">
        <v>330</v>
      </c>
      <c r="F234" s="380" t="s">
        <v>1501</v>
      </c>
      <c r="G234" s="380" t="s">
        <v>1277</v>
      </c>
      <c r="H234" s="380" t="s">
        <v>2229</v>
      </c>
      <c r="I234" s="380" t="s">
        <v>1902</v>
      </c>
      <c r="J234" s="380" t="s">
        <v>1911</v>
      </c>
      <c r="K234" s="380"/>
      <c r="L234" s="404">
        <v>0.05</v>
      </c>
    </row>
    <row r="235" spans="1:12" ht="15" customHeight="1" x14ac:dyDescent="0.25">
      <c r="A235" s="380" t="s">
        <v>2230</v>
      </c>
      <c r="B235" s="380" t="s">
        <v>88</v>
      </c>
      <c r="C235" s="380" t="s">
        <v>1712</v>
      </c>
      <c r="D235" s="380" t="s">
        <v>1317</v>
      </c>
      <c r="E235" s="380" t="s">
        <v>330</v>
      </c>
      <c r="F235" s="380" t="s">
        <v>1501</v>
      </c>
      <c r="G235" s="380" t="s">
        <v>757</v>
      </c>
      <c r="H235" s="380" t="s">
        <v>2231</v>
      </c>
      <c r="I235" s="380" t="s">
        <v>1914</v>
      </c>
      <c r="J235" s="380" t="s">
        <v>1915</v>
      </c>
      <c r="K235" s="380" t="s">
        <v>1916</v>
      </c>
      <c r="L235" s="403">
        <v>0</v>
      </c>
    </row>
    <row r="236" spans="1:12" ht="15" customHeight="1" x14ac:dyDescent="0.25">
      <c r="A236" s="380" t="s">
        <v>2232</v>
      </c>
      <c r="B236" s="380" t="s">
        <v>88</v>
      </c>
      <c r="C236" s="380" t="s">
        <v>1712</v>
      </c>
      <c r="D236" s="380" t="s">
        <v>1317</v>
      </c>
      <c r="E236" s="380" t="s">
        <v>330</v>
      </c>
      <c r="F236" s="380" t="s">
        <v>1501</v>
      </c>
      <c r="G236" s="380" t="s">
        <v>754</v>
      </c>
      <c r="H236" s="380" t="s">
        <v>2233</v>
      </c>
      <c r="I236" s="380" t="s">
        <v>1914</v>
      </c>
      <c r="J236" s="380" t="s">
        <v>1919</v>
      </c>
      <c r="K236" s="380" t="s">
        <v>1916</v>
      </c>
      <c r="L236" s="403">
        <f>EF!C122</f>
        <v>2</v>
      </c>
    </row>
    <row r="237" spans="1:12" ht="15" customHeight="1" x14ac:dyDescent="0.25">
      <c r="A237" s="380" t="s">
        <v>2234</v>
      </c>
      <c r="B237" s="380" t="s">
        <v>88</v>
      </c>
      <c r="C237" s="380" t="s">
        <v>1712</v>
      </c>
      <c r="D237" s="380" t="s">
        <v>1317</v>
      </c>
      <c r="E237" s="380" t="s">
        <v>330</v>
      </c>
      <c r="F237" s="380" t="s">
        <v>1501</v>
      </c>
      <c r="G237" s="380" t="s">
        <v>1292</v>
      </c>
      <c r="H237" s="380" t="s">
        <v>2235</v>
      </c>
      <c r="I237" s="380" t="s">
        <v>1914</v>
      </c>
      <c r="J237" s="380" t="s">
        <v>1922</v>
      </c>
      <c r="K237" s="380" t="s">
        <v>1916</v>
      </c>
      <c r="L237" s="403">
        <v>0</v>
      </c>
    </row>
    <row r="238" spans="1:12" ht="15" customHeight="1" x14ac:dyDescent="0.25">
      <c r="A238" s="380" t="s">
        <v>2236</v>
      </c>
      <c r="B238" s="380" t="s">
        <v>88</v>
      </c>
      <c r="C238" s="380" t="s">
        <v>1712</v>
      </c>
      <c r="D238" s="380" t="s">
        <v>1317</v>
      </c>
      <c r="E238" s="380" t="s">
        <v>330</v>
      </c>
      <c r="F238" s="380" t="s">
        <v>1501</v>
      </c>
      <c r="G238" s="380" t="s">
        <v>762</v>
      </c>
      <c r="H238" s="380" t="s">
        <v>2237</v>
      </c>
      <c r="I238" s="380" t="s">
        <v>1914</v>
      </c>
      <c r="J238" s="380" t="s">
        <v>1925</v>
      </c>
      <c r="K238" s="380" t="s">
        <v>1916</v>
      </c>
      <c r="L238" s="403">
        <v>0</v>
      </c>
    </row>
    <row r="239" spans="1:12" ht="15" customHeight="1" x14ac:dyDescent="0.25">
      <c r="A239" s="380" t="s">
        <v>2238</v>
      </c>
      <c r="B239" s="380" t="s">
        <v>88</v>
      </c>
      <c r="C239" s="380" t="s">
        <v>1712</v>
      </c>
      <c r="D239" s="380" t="s">
        <v>1317</v>
      </c>
      <c r="E239" s="380" t="s">
        <v>330</v>
      </c>
      <c r="F239" s="380" t="s">
        <v>1501</v>
      </c>
      <c r="G239" s="380" t="s">
        <v>1295</v>
      </c>
      <c r="H239" s="380" t="s">
        <v>2239</v>
      </c>
      <c r="I239" s="380" t="s">
        <v>1914</v>
      </c>
      <c r="J239" s="380" t="s">
        <v>1928</v>
      </c>
      <c r="K239" s="380" t="s">
        <v>1916</v>
      </c>
      <c r="L239" s="403">
        <v>0</v>
      </c>
    </row>
    <row r="240" spans="1:12" ht="15" customHeight="1" x14ac:dyDescent="0.25">
      <c r="A240" s="380" t="s">
        <v>2240</v>
      </c>
      <c r="B240" s="380" t="s">
        <v>88</v>
      </c>
      <c r="C240" s="380" t="s">
        <v>1712</v>
      </c>
      <c r="D240" s="380" t="s">
        <v>1317</v>
      </c>
      <c r="E240" s="380" t="s">
        <v>330</v>
      </c>
      <c r="F240" s="380" t="s">
        <v>1501</v>
      </c>
      <c r="G240" s="380" t="s">
        <v>1297</v>
      </c>
      <c r="H240" s="380" t="s">
        <v>2241</v>
      </c>
      <c r="I240" s="380" t="s">
        <v>1914</v>
      </c>
      <c r="J240" s="380" t="s">
        <v>1931</v>
      </c>
      <c r="K240" s="380" t="s">
        <v>1916</v>
      </c>
      <c r="L240" s="403">
        <v>0</v>
      </c>
    </row>
    <row r="241" spans="1:12" ht="15" customHeight="1" x14ac:dyDescent="0.25">
      <c r="A241" s="380" t="s">
        <v>2242</v>
      </c>
      <c r="B241" s="380" t="s">
        <v>88</v>
      </c>
      <c r="C241" s="380" t="s">
        <v>1712</v>
      </c>
      <c r="D241" s="380" t="s">
        <v>1317</v>
      </c>
      <c r="E241" s="380" t="s">
        <v>330</v>
      </c>
      <c r="F241" s="380" t="s">
        <v>1501</v>
      </c>
      <c r="G241" s="380" t="s">
        <v>1299</v>
      </c>
      <c r="H241" s="380" t="s">
        <v>2243</v>
      </c>
      <c r="I241" s="380" t="s">
        <v>1914</v>
      </c>
      <c r="J241" s="380" t="s">
        <v>1934</v>
      </c>
      <c r="K241" s="380" t="s">
        <v>1916</v>
      </c>
      <c r="L241" s="403">
        <v>0</v>
      </c>
    </row>
    <row r="242" spans="1:12" ht="15" customHeight="1" x14ac:dyDescent="0.25">
      <c r="A242" s="380" t="s">
        <v>2244</v>
      </c>
      <c r="B242" s="380" t="s">
        <v>88</v>
      </c>
      <c r="C242" s="380" t="s">
        <v>1712</v>
      </c>
      <c r="D242" s="380" t="s">
        <v>1317</v>
      </c>
      <c r="E242" s="380" t="s">
        <v>330</v>
      </c>
      <c r="F242" s="380" t="s">
        <v>1501</v>
      </c>
      <c r="G242" s="380" t="s">
        <v>1301</v>
      </c>
      <c r="H242" s="380" t="s">
        <v>2245</v>
      </c>
      <c r="I242" s="380" t="s">
        <v>1914</v>
      </c>
      <c r="J242" s="380" t="s">
        <v>1937</v>
      </c>
      <c r="K242" s="380" t="s">
        <v>1916</v>
      </c>
      <c r="L242" s="403">
        <v>0</v>
      </c>
    </row>
    <row r="243" spans="1:12" ht="15" customHeight="1" x14ac:dyDescent="0.25">
      <c r="A243" s="380" t="s">
        <v>2246</v>
      </c>
      <c r="B243" s="380" t="s">
        <v>88</v>
      </c>
      <c r="C243" s="380" t="s">
        <v>1712</v>
      </c>
      <c r="D243" s="380" t="s">
        <v>1328</v>
      </c>
      <c r="E243" s="380" t="s">
        <v>330</v>
      </c>
      <c r="F243" s="380" t="s">
        <v>1501</v>
      </c>
      <c r="G243" s="380" t="s">
        <v>757</v>
      </c>
      <c r="H243" s="380" t="s">
        <v>2247</v>
      </c>
      <c r="I243" s="380" t="s">
        <v>1914</v>
      </c>
      <c r="J243" s="380" t="s">
        <v>1940</v>
      </c>
      <c r="K243" s="380" t="s">
        <v>1916</v>
      </c>
      <c r="L243" s="403">
        <v>0</v>
      </c>
    </row>
    <row r="244" spans="1:12" ht="15" customHeight="1" x14ac:dyDescent="0.25">
      <c r="A244" s="380" t="s">
        <v>2248</v>
      </c>
      <c r="B244" s="380" t="s">
        <v>88</v>
      </c>
      <c r="C244" s="380" t="s">
        <v>1712</v>
      </c>
      <c r="D244" s="380" t="s">
        <v>1328</v>
      </c>
      <c r="E244" s="380" t="s">
        <v>330</v>
      </c>
      <c r="F244" s="380" t="s">
        <v>1501</v>
      </c>
      <c r="G244" s="380" t="s">
        <v>754</v>
      </c>
      <c r="H244" s="380" t="s">
        <v>2249</v>
      </c>
      <c r="I244" s="380" t="s">
        <v>1914</v>
      </c>
      <c r="J244" s="380" t="s">
        <v>1943</v>
      </c>
      <c r="K244" s="380" t="s">
        <v>1916</v>
      </c>
      <c r="L244" s="403">
        <v>0</v>
      </c>
    </row>
    <row r="245" spans="1:12" ht="15" customHeight="1" x14ac:dyDescent="0.25">
      <c r="A245" s="380" t="s">
        <v>2250</v>
      </c>
      <c r="B245" s="380" t="s">
        <v>88</v>
      </c>
      <c r="C245" s="380" t="s">
        <v>1712</v>
      </c>
      <c r="D245" s="380" t="s">
        <v>1328</v>
      </c>
      <c r="E245" s="380" t="s">
        <v>330</v>
      </c>
      <c r="F245" s="380" t="s">
        <v>1501</v>
      </c>
      <c r="G245" s="380" t="s">
        <v>1292</v>
      </c>
      <c r="H245" s="380" t="s">
        <v>2251</v>
      </c>
      <c r="I245" s="380" t="s">
        <v>1914</v>
      </c>
      <c r="J245" s="380" t="s">
        <v>1946</v>
      </c>
      <c r="K245" s="380" t="s">
        <v>1916</v>
      </c>
      <c r="L245" s="403">
        <v>0</v>
      </c>
    </row>
    <row r="246" spans="1:12" ht="15" customHeight="1" x14ac:dyDescent="0.25">
      <c r="A246" s="380" t="s">
        <v>2252</v>
      </c>
      <c r="B246" s="380" t="s">
        <v>88</v>
      </c>
      <c r="C246" s="380" t="s">
        <v>1712</v>
      </c>
      <c r="D246" s="380" t="s">
        <v>1328</v>
      </c>
      <c r="E246" s="380" t="s">
        <v>330</v>
      </c>
      <c r="F246" s="380" t="s">
        <v>1501</v>
      </c>
      <c r="G246" s="380" t="s">
        <v>762</v>
      </c>
      <c r="H246" s="380" t="s">
        <v>2253</v>
      </c>
      <c r="I246" s="380" t="s">
        <v>1914</v>
      </c>
      <c r="J246" s="380" t="s">
        <v>1949</v>
      </c>
      <c r="K246" s="380" t="s">
        <v>1916</v>
      </c>
      <c r="L246" s="403">
        <v>0</v>
      </c>
    </row>
    <row r="247" spans="1:12" ht="15" customHeight="1" x14ac:dyDescent="0.25">
      <c r="A247" s="380" t="s">
        <v>2254</v>
      </c>
      <c r="B247" s="380" t="s">
        <v>88</v>
      </c>
      <c r="C247" s="380" t="s">
        <v>1712</v>
      </c>
      <c r="D247" s="380" t="s">
        <v>1328</v>
      </c>
      <c r="E247" s="380" t="s">
        <v>330</v>
      </c>
      <c r="F247" s="380" t="s">
        <v>1501</v>
      </c>
      <c r="G247" s="380" t="s">
        <v>1295</v>
      </c>
      <c r="H247" s="380" t="s">
        <v>2255</v>
      </c>
      <c r="I247" s="380" t="s">
        <v>1914</v>
      </c>
      <c r="J247" s="380" t="s">
        <v>1952</v>
      </c>
      <c r="K247" s="380" t="s">
        <v>1916</v>
      </c>
      <c r="L247" s="403">
        <v>0</v>
      </c>
    </row>
    <row r="248" spans="1:12" ht="15" customHeight="1" x14ac:dyDescent="0.25">
      <c r="A248" s="380" t="s">
        <v>2256</v>
      </c>
      <c r="B248" s="380" t="s">
        <v>88</v>
      </c>
      <c r="C248" s="380" t="s">
        <v>1712</v>
      </c>
      <c r="D248" s="380" t="s">
        <v>1328</v>
      </c>
      <c r="E248" s="380" t="s">
        <v>330</v>
      </c>
      <c r="F248" s="380" t="s">
        <v>1501</v>
      </c>
      <c r="G248" s="380" t="s">
        <v>1297</v>
      </c>
      <c r="H248" s="380" t="s">
        <v>2257</v>
      </c>
      <c r="I248" s="380" t="s">
        <v>1914</v>
      </c>
      <c r="J248" s="380" t="s">
        <v>1955</v>
      </c>
      <c r="K248" s="380" t="s">
        <v>1916</v>
      </c>
      <c r="L248" s="403">
        <v>0</v>
      </c>
    </row>
    <row r="249" spans="1:12" ht="15" customHeight="1" x14ac:dyDescent="0.25">
      <c r="A249" s="380" t="s">
        <v>2258</v>
      </c>
      <c r="B249" s="380" t="s">
        <v>88</v>
      </c>
      <c r="C249" s="380" t="s">
        <v>1712</v>
      </c>
      <c r="D249" s="380" t="s">
        <v>1328</v>
      </c>
      <c r="E249" s="380" t="s">
        <v>330</v>
      </c>
      <c r="F249" s="380" t="s">
        <v>1501</v>
      </c>
      <c r="G249" s="380" t="s">
        <v>1299</v>
      </c>
      <c r="H249" s="380" t="s">
        <v>2259</v>
      </c>
      <c r="I249" s="380" t="s">
        <v>1914</v>
      </c>
      <c r="J249" s="380" t="s">
        <v>1958</v>
      </c>
      <c r="K249" s="380" t="s">
        <v>1916</v>
      </c>
      <c r="L249" s="403">
        <v>0</v>
      </c>
    </row>
    <row r="250" spans="1:12" ht="15" customHeight="1" x14ac:dyDescent="0.25">
      <c r="A250" s="380" t="s">
        <v>2260</v>
      </c>
      <c r="B250" s="380" t="s">
        <v>88</v>
      </c>
      <c r="C250" s="380" t="s">
        <v>1712</v>
      </c>
      <c r="D250" s="380" t="s">
        <v>1328</v>
      </c>
      <c r="E250" s="380" t="s">
        <v>330</v>
      </c>
      <c r="F250" s="380" t="s">
        <v>1501</v>
      </c>
      <c r="G250" s="380" t="s">
        <v>1301</v>
      </c>
      <c r="H250" s="380" t="s">
        <v>2261</v>
      </c>
      <c r="I250" s="380" t="s">
        <v>1914</v>
      </c>
      <c r="J250" s="380" t="s">
        <v>1961</v>
      </c>
      <c r="K250" s="380" t="s">
        <v>1916</v>
      </c>
      <c r="L250" s="403">
        <v>0</v>
      </c>
    </row>
    <row r="251" spans="1:12" ht="15" customHeight="1" x14ac:dyDescent="0.25">
      <c r="A251" s="380" t="s">
        <v>2262</v>
      </c>
      <c r="B251" s="380" t="s">
        <v>88</v>
      </c>
      <c r="C251" s="380" t="s">
        <v>1712</v>
      </c>
      <c r="D251" s="380" t="s">
        <v>1338</v>
      </c>
      <c r="E251" s="380" t="s">
        <v>330</v>
      </c>
      <c r="F251" s="380" t="s">
        <v>1501</v>
      </c>
      <c r="G251" s="380" t="s">
        <v>1339</v>
      </c>
      <c r="H251" s="380" t="s">
        <v>2263</v>
      </c>
      <c r="I251" s="380" t="s">
        <v>1914</v>
      </c>
      <c r="J251" s="380" t="s">
        <v>1964</v>
      </c>
      <c r="K251" s="380"/>
      <c r="L251" s="403">
        <f>EF!G122</f>
        <v>0.35</v>
      </c>
    </row>
    <row r="252" spans="1:12" ht="15" customHeight="1" x14ac:dyDescent="0.25">
      <c r="A252" s="380" t="s">
        <v>2264</v>
      </c>
      <c r="B252" s="380" t="s">
        <v>88</v>
      </c>
      <c r="C252" s="380" t="s">
        <v>1712</v>
      </c>
      <c r="D252" s="380" t="s">
        <v>1966</v>
      </c>
      <c r="E252" s="380" t="s">
        <v>330</v>
      </c>
      <c r="F252" s="380" t="s">
        <v>1501</v>
      </c>
      <c r="G252" s="380" t="s">
        <v>1277</v>
      </c>
      <c r="H252" s="380" t="s">
        <v>2265</v>
      </c>
      <c r="I252" s="380" t="s">
        <v>1746</v>
      </c>
      <c r="J252" s="380" t="s">
        <v>1968</v>
      </c>
      <c r="K252" s="380" t="s">
        <v>1969</v>
      </c>
      <c r="L252" s="403">
        <f>EF!H122</f>
        <v>0</v>
      </c>
    </row>
    <row r="253" spans="1:12" ht="15" customHeight="1" x14ac:dyDescent="0.25">
      <c r="A253" s="380" t="s">
        <v>2266</v>
      </c>
      <c r="B253" s="380" t="s">
        <v>88</v>
      </c>
      <c r="C253" s="380" t="s">
        <v>1712</v>
      </c>
      <c r="D253" s="380" t="s">
        <v>1971</v>
      </c>
      <c r="E253" s="380" t="s">
        <v>330</v>
      </c>
      <c r="F253" s="380" t="s">
        <v>1501</v>
      </c>
      <c r="G253" s="380" t="s">
        <v>1277</v>
      </c>
      <c r="H253" s="380" t="s">
        <v>2267</v>
      </c>
      <c r="I253" s="380" t="s">
        <v>1566</v>
      </c>
      <c r="J253" s="380" t="s">
        <v>1973</v>
      </c>
      <c r="K253" s="380" t="s">
        <v>1969</v>
      </c>
      <c r="L253" s="403">
        <f>EF!I122</f>
        <v>0.97</v>
      </c>
    </row>
    <row r="254" spans="1:12" ht="15" customHeight="1" x14ac:dyDescent="0.25">
      <c r="A254" s="380" t="s">
        <v>2268</v>
      </c>
      <c r="B254" s="380" t="s">
        <v>88</v>
      </c>
      <c r="C254" s="380" t="s">
        <v>1712</v>
      </c>
      <c r="D254" s="380" t="s">
        <v>1890</v>
      </c>
      <c r="E254" s="380" t="s">
        <v>334</v>
      </c>
      <c r="F254" s="380" t="s">
        <v>1529</v>
      </c>
      <c r="G254" s="380" t="s">
        <v>1277</v>
      </c>
      <c r="H254" s="380" t="s">
        <v>2269</v>
      </c>
      <c r="I254" s="380" t="s">
        <v>1307</v>
      </c>
      <c r="J254" s="380" t="s">
        <v>2270</v>
      </c>
      <c r="K254" s="380" t="s">
        <v>1893</v>
      </c>
      <c r="L254" s="406">
        <v>0.28999999999999998</v>
      </c>
    </row>
    <row r="255" spans="1:12" ht="15" customHeight="1" x14ac:dyDescent="0.25">
      <c r="A255" s="380" t="s">
        <v>2271</v>
      </c>
      <c r="B255" s="380" t="s">
        <v>88</v>
      </c>
      <c r="C255" s="380" t="s">
        <v>1712</v>
      </c>
      <c r="D255" s="380" t="s">
        <v>1895</v>
      </c>
      <c r="E255" s="380" t="s">
        <v>334</v>
      </c>
      <c r="F255" s="380" t="s">
        <v>1529</v>
      </c>
      <c r="G255" s="380" t="s">
        <v>1277</v>
      </c>
      <c r="H255" s="380" t="s">
        <v>2272</v>
      </c>
      <c r="I255" s="380" t="s">
        <v>1897</v>
      </c>
      <c r="J255" s="380" t="s">
        <v>1898</v>
      </c>
      <c r="K255" s="380"/>
      <c r="L255" s="404">
        <v>0.8</v>
      </c>
    </row>
    <row r="256" spans="1:12" ht="15" customHeight="1" x14ac:dyDescent="0.25">
      <c r="A256" s="380" t="s">
        <v>2273</v>
      </c>
      <c r="B256" s="380" t="s">
        <v>88</v>
      </c>
      <c r="C256" s="380" t="s">
        <v>1712</v>
      </c>
      <c r="D256" s="380" t="s">
        <v>1900</v>
      </c>
      <c r="E256" s="380" t="s">
        <v>334</v>
      </c>
      <c r="F256" s="380" t="s">
        <v>1529</v>
      </c>
      <c r="G256" s="380" t="s">
        <v>1277</v>
      </c>
      <c r="H256" s="380" t="s">
        <v>2274</v>
      </c>
      <c r="I256" s="380" t="s">
        <v>1902</v>
      </c>
      <c r="J256" s="380" t="s">
        <v>1903</v>
      </c>
      <c r="K256" s="380"/>
      <c r="L256" s="404">
        <v>0.35</v>
      </c>
    </row>
    <row r="257" spans="1:12" ht="15" customHeight="1" x14ac:dyDescent="0.25">
      <c r="A257" s="380" t="s">
        <v>2275</v>
      </c>
      <c r="B257" s="380" t="s">
        <v>88</v>
      </c>
      <c r="C257" s="380" t="s">
        <v>1712</v>
      </c>
      <c r="D257" s="380" t="s">
        <v>1905</v>
      </c>
      <c r="E257" s="380" t="s">
        <v>334</v>
      </c>
      <c r="F257" s="380" t="s">
        <v>1529</v>
      </c>
      <c r="G257" s="380" t="s">
        <v>1277</v>
      </c>
      <c r="H257" s="380" t="s">
        <v>2276</v>
      </c>
      <c r="I257" s="380" t="s">
        <v>1902</v>
      </c>
      <c r="J257" s="380" t="s">
        <v>1907</v>
      </c>
      <c r="K257" s="380"/>
      <c r="L257" s="404">
        <v>0.18</v>
      </c>
    </row>
    <row r="258" spans="1:12" ht="15" customHeight="1" x14ac:dyDescent="0.25">
      <c r="A258" s="380" t="s">
        <v>2277</v>
      </c>
      <c r="B258" s="380" t="s">
        <v>88</v>
      </c>
      <c r="C258" s="380" t="s">
        <v>1712</v>
      </c>
      <c r="D258" s="380" t="s">
        <v>1909</v>
      </c>
      <c r="E258" s="380" t="s">
        <v>334</v>
      </c>
      <c r="F258" s="380" t="s">
        <v>1529</v>
      </c>
      <c r="G258" s="380" t="s">
        <v>1277</v>
      </c>
      <c r="H258" s="380" t="s">
        <v>2278</v>
      </c>
      <c r="I258" s="380" t="s">
        <v>1902</v>
      </c>
      <c r="J258" s="380" t="s">
        <v>1911</v>
      </c>
      <c r="K258" s="380"/>
      <c r="L258" s="404">
        <v>0.1</v>
      </c>
    </row>
    <row r="259" spans="1:12" ht="15" customHeight="1" x14ac:dyDescent="0.25">
      <c r="A259" s="380" t="s">
        <v>2279</v>
      </c>
      <c r="B259" s="380" t="s">
        <v>88</v>
      </c>
      <c r="C259" s="380" t="s">
        <v>1712</v>
      </c>
      <c r="D259" s="380" t="s">
        <v>1317</v>
      </c>
      <c r="E259" s="380" t="s">
        <v>334</v>
      </c>
      <c r="F259" s="380" t="s">
        <v>1529</v>
      </c>
      <c r="G259" s="380" t="s">
        <v>757</v>
      </c>
      <c r="H259" s="380" t="s">
        <v>2280</v>
      </c>
      <c r="I259" s="380" t="s">
        <v>1914</v>
      </c>
      <c r="J259" s="380" t="s">
        <v>1915</v>
      </c>
      <c r="K259" s="380" t="s">
        <v>1916</v>
      </c>
      <c r="L259" s="403">
        <v>0</v>
      </c>
    </row>
    <row r="260" spans="1:12" ht="15" customHeight="1" x14ac:dyDescent="0.25">
      <c r="A260" s="380" t="s">
        <v>2281</v>
      </c>
      <c r="B260" s="380" t="s">
        <v>88</v>
      </c>
      <c r="C260" s="380" t="s">
        <v>1712</v>
      </c>
      <c r="D260" s="380" t="s">
        <v>1317</v>
      </c>
      <c r="E260" s="380" t="s">
        <v>334</v>
      </c>
      <c r="F260" s="380" t="s">
        <v>1529</v>
      </c>
      <c r="G260" s="380" t="s">
        <v>754</v>
      </c>
      <c r="H260" s="380" t="s">
        <v>2282</v>
      </c>
      <c r="I260" s="380" t="s">
        <v>1914</v>
      </c>
      <c r="J260" s="380" t="s">
        <v>1919</v>
      </c>
      <c r="K260" s="380" t="s">
        <v>1916</v>
      </c>
      <c r="L260" s="403">
        <v>0</v>
      </c>
    </row>
    <row r="261" spans="1:12" ht="15" customHeight="1" x14ac:dyDescent="0.25">
      <c r="A261" s="380" t="s">
        <v>2283</v>
      </c>
      <c r="B261" s="380" t="s">
        <v>88</v>
      </c>
      <c r="C261" s="380" t="s">
        <v>1712</v>
      </c>
      <c r="D261" s="380" t="s">
        <v>1317</v>
      </c>
      <c r="E261" s="380" t="s">
        <v>334</v>
      </c>
      <c r="F261" s="380" t="s">
        <v>1529</v>
      </c>
      <c r="G261" s="380" t="s">
        <v>1292</v>
      </c>
      <c r="H261" s="380" t="s">
        <v>2284</v>
      </c>
      <c r="I261" s="380" t="s">
        <v>1914</v>
      </c>
      <c r="J261" s="380" t="s">
        <v>1922</v>
      </c>
      <c r="K261" s="380" t="s">
        <v>1916</v>
      </c>
      <c r="L261" s="403">
        <v>0</v>
      </c>
    </row>
    <row r="262" spans="1:12" ht="15" customHeight="1" x14ac:dyDescent="0.25">
      <c r="A262" s="380" t="s">
        <v>2285</v>
      </c>
      <c r="B262" s="380" t="s">
        <v>88</v>
      </c>
      <c r="C262" s="380" t="s">
        <v>1712</v>
      </c>
      <c r="D262" s="380" t="s">
        <v>1317</v>
      </c>
      <c r="E262" s="380" t="s">
        <v>334</v>
      </c>
      <c r="F262" s="380" t="s">
        <v>1529</v>
      </c>
      <c r="G262" s="380" t="s">
        <v>762</v>
      </c>
      <c r="H262" s="380" t="s">
        <v>2286</v>
      </c>
      <c r="I262" s="380" t="s">
        <v>1914</v>
      </c>
      <c r="J262" s="380" t="s">
        <v>1925</v>
      </c>
      <c r="K262" s="380" t="s">
        <v>1916</v>
      </c>
      <c r="L262" s="403">
        <f>EF!C123</f>
        <v>2</v>
      </c>
    </row>
    <row r="263" spans="1:12" ht="15" customHeight="1" x14ac:dyDescent="0.25">
      <c r="A263" s="380" t="s">
        <v>2287</v>
      </c>
      <c r="B263" s="380" t="s">
        <v>88</v>
      </c>
      <c r="C263" s="380" t="s">
        <v>1712</v>
      </c>
      <c r="D263" s="380" t="s">
        <v>1317</v>
      </c>
      <c r="E263" s="380" t="s">
        <v>334</v>
      </c>
      <c r="F263" s="380" t="s">
        <v>1529</v>
      </c>
      <c r="G263" s="380" t="s">
        <v>1295</v>
      </c>
      <c r="H263" s="380" t="s">
        <v>2288</v>
      </c>
      <c r="I263" s="380" t="s">
        <v>1914</v>
      </c>
      <c r="J263" s="380" t="s">
        <v>1928</v>
      </c>
      <c r="K263" s="380" t="s">
        <v>1916</v>
      </c>
      <c r="L263" s="403">
        <v>0</v>
      </c>
    </row>
    <row r="264" spans="1:12" ht="15" customHeight="1" x14ac:dyDescent="0.25">
      <c r="A264" s="380" t="s">
        <v>2289</v>
      </c>
      <c r="B264" s="380" t="s">
        <v>88</v>
      </c>
      <c r="C264" s="380" t="s">
        <v>1712</v>
      </c>
      <c r="D264" s="380" t="s">
        <v>1317</v>
      </c>
      <c r="E264" s="380" t="s">
        <v>334</v>
      </c>
      <c r="F264" s="380" t="s">
        <v>1529</v>
      </c>
      <c r="G264" s="380" t="s">
        <v>1297</v>
      </c>
      <c r="H264" s="380" t="s">
        <v>2290</v>
      </c>
      <c r="I264" s="380" t="s">
        <v>1914</v>
      </c>
      <c r="J264" s="380" t="s">
        <v>1931</v>
      </c>
      <c r="K264" s="380" t="s">
        <v>1916</v>
      </c>
      <c r="L264" s="403">
        <v>0</v>
      </c>
    </row>
    <row r="265" spans="1:12" ht="15" customHeight="1" x14ac:dyDescent="0.25">
      <c r="A265" s="380" t="s">
        <v>2291</v>
      </c>
      <c r="B265" s="380" t="s">
        <v>88</v>
      </c>
      <c r="C265" s="380" t="s">
        <v>1712</v>
      </c>
      <c r="D265" s="380" t="s">
        <v>1317</v>
      </c>
      <c r="E265" s="380" t="s">
        <v>334</v>
      </c>
      <c r="F265" s="380" t="s">
        <v>1529</v>
      </c>
      <c r="G265" s="380" t="s">
        <v>1299</v>
      </c>
      <c r="H265" s="380" t="s">
        <v>2292</v>
      </c>
      <c r="I265" s="380" t="s">
        <v>1914</v>
      </c>
      <c r="J265" s="380" t="s">
        <v>1934</v>
      </c>
      <c r="K265" s="380" t="s">
        <v>1916</v>
      </c>
      <c r="L265" s="403">
        <v>0</v>
      </c>
    </row>
    <row r="266" spans="1:12" ht="15" customHeight="1" x14ac:dyDescent="0.25">
      <c r="A266" s="380" t="s">
        <v>2293</v>
      </c>
      <c r="B266" s="380" t="s">
        <v>88</v>
      </c>
      <c r="C266" s="380" t="s">
        <v>1712</v>
      </c>
      <c r="D266" s="380" t="s">
        <v>1317</v>
      </c>
      <c r="E266" s="380" t="s">
        <v>334</v>
      </c>
      <c r="F266" s="380" t="s">
        <v>1529</v>
      </c>
      <c r="G266" s="380" t="s">
        <v>1301</v>
      </c>
      <c r="H266" s="380" t="s">
        <v>2294</v>
      </c>
      <c r="I266" s="380" t="s">
        <v>1914</v>
      </c>
      <c r="J266" s="380" t="s">
        <v>1937</v>
      </c>
      <c r="K266" s="380" t="s">
        <v>1916</v>
      </c>
      <c r="L266" s="403">
        <v>0</v>
      </c>
    </row>
    <row r="267" spans="1:12" ht="15" customHeight="1" x14ac:dyDescent="0.25">
      <c r="A267" s="380" t="s">
        <v>2295</v>
      </c>
      <c r="B267" s="380" t="s">
        <v>88</v>
      </c>
      <c r="C267" s="380" t="s">
        <v>1712</v>
      </c>
      <c r="D267" s="380" t="s">
        <v>1328</v>
      </c>
      <c r="E267" s="380" t="s">
        <v>334</v>
      </c>
      <c r="F267" s="380" t="s">
        <v>1529</v>
      </c>
      <c r="G267" s="380" t="s">
        <v>757</v>
      </c>
      <c r="H267" s="380" t="s">
        <v>2296</v>
      </c>
      <c r="I267" s="380" t="s">
        <v>1914</v>
      </c>
      <c r="J267" s="380" t="s">
        <v>1940</v>
      </c>
      <c r="K267" s="380" t="s">
        <v>1916</v>
      </c>
      <c r="L267" s="403">
        <v>0</v>
      </c>
    </row>
    <row r="268" spans="1:12" ht="15" customHeight="1" x14ac:dyDescent="0.25">
      <c r="A268" s="380" t="s">
        <v>2297</v>
      </c>
      <c r="B268" s="380" t="s">
        <v>88</v>
      </c>
      <c r="C268" s="380" t="s">
        <v>1712</v>
      </c>
      <c r="D268" s="380" t="s">
        <v>1328</v>
      </c>
      <c r="E268" s="380" t="s">
        <v>334</v>
      </c>
      <c r="F268" s="380" t="s">
        <v>1529</v>
      </c>
      <c r="G268" s="380" t="s">
        <v>754</v>
      </c>
      <c r="H268" s="380" t="s">
        <v>2298</v>
      </c>
      <c r="I268" s="380" t="s">
        <v>1914</v>
      </c>
      <c r="J268" s="380" t="s">
        <v>1943</v>
      </c>
      <c r="K268" s="380" t="s">
        <v>1916</v>
      </c>
      <c r="L268" s="403">
        <v>0</v>
      </c>
    </row>
    <row r="269" spans="1:12" ht="15" customHeight="1" x14ac:dyDescent="0.25">
      <c r="A269" s="380" t="s">
        <v>2299</v>
      </c>
      <c r="B269" s="380" t="s">
        <v>88</v>
      </c>
      <c r="C269" s="380" t="s">
        <v>1712</v>
      </c>
      <c r="D269" s="380" t="s">
        <v>1328</v>
      </c>
      <c r="E269" s="380" t="s">
        <v>334</v>
      </c>
      <c r="F269" s="380" t="s">
        <v>1529</v>
      </c>
      <c r="G269" s="380" t="s">
        <v>1292</v>
      </c>
      <c r="H269" s="380" t="s">
        <v>2300</v>
      </c>
      <c r="I269" s="380" t="s">
        <v>1914</v>
      </c>
      <c r="J269" s="380" t="s">
        <v>1946</v>
      </c>
      <c r="K269" s="380" t="s">
        <v>1916</v>
      </c>
      <c r="L269" s="403">
        <v>0</v>
      </c>
    </row>
    <row r="270" spans="1:12" ht="15" customHeight="1" x14ac:dyDescent="0.25">
      <c r="A270" s="380" t="s">
        <v>2301</v>
      </c>
      <c r="B270" s="380" t="s">
        <v>88</v>
      </c>
      <c r="C270" s="380" t="s">
        <v>1712</v>
      </c>
      <c r="D270" s="380" t="s">
        <v>1328</v>
      </c>
      <c r="E270" s="380" t="s">
        <v>334</v>
      </c>
      <c r="F270" s="380" t="s">
        <v>1529</v>
      </c>
      <c r="G270" s="380" t="s">
        <v>762</v>
      </c>
      <c r="H270" s="380" t="s">
        <v>2302</v>
      </c>
      <c r="I270" s="380" t="s">
        <v>1914</v>
      </c>
      <c r="J270" s="380" t="s">
        <v>1949</v>
      </c>
      <c r="K270" s="380" t="s">
        <v>1916</v>
      </c>
      <c r="L270" s="403">
        <v>0</v>
      </c>
    </row>
    <row r="271" spans="1:12" ht="15" customHeight="1" x14ac:dyDescent="0.25">
      <c r="A271" s="380" t="s">
        <v>2303</v>
      </c>
      <c r="B271" s="380" t="s">
        <v>88</v>
      </c>
      <c r="C271" s="380" t="s">
        <v>1712</v>
      </c>
      <c r="D271" s="380" t="s">
        <v>1328</v>
      </c>
      <c r="E271" s="380" t="s">
        <v>334</v>
      </c>
      <c r="F271" s="380" t="s">
        <v>1529</v>
      </c>
      <c r="G271" s="380" t="s">
        <v>1295</v>
      </c>
      <c r="H271" s="380" t="s">
        <v>2304</v>
      </c>
      <c r="I271" s="380" t="s">
        <v>1914</v>
      </c>
      <c r="J271" s="380" t="s">
        <v>1952</v>
      </c>
      <c r="K271" s="380" t="s">
        <v>1916</v>
      </c>
      <c r="L271" s="403">
        <v>0</v>
      </c>
    </row>
    <row r="272" spans="1:12" ht="15" customHeight="1" x14ac:dyDescent="0.25">
      <c r="A272" s="380" t="s">
        <v>2305</v>
      </c>
      <c r="B272" s="380" t="s">
        <v>88</v>
      </c>
      <c r="C272" s="380" t="s">
        <v>1712</v>
      </c>
      <c r="D272" s="380" t="s">
        <v>1328</v>
      </c>
      <c r="E272" s="380" t="s">
        <v>334</v>
      </c>
      <c r="F272" s="380" t="s">
        <v>1529</v>
      </c>
      <c r="G272" s="380" t="s">
        <v>1297</v>
      </c>
      <c r="H272" s="380" t="s">
        <v>2306</v>
      </c>
      <c r="I272" s="380" t="s">
        <v>1914</v>
      </c>
      <c r="J272" s="380" t="s">
        <v>1955</v>
      </c>
      <c r="K272" s="380" t="s">
        <v>1916</v>
      </c>
      <c r="L272" s="403">
        <v>0</v>
      </c>
    </row>
    <row r="273" spans="1:24" ht="15" customHeight="1" x14ac:dyDescent="0.25">
      <c r="A273" s="380" t="s">
        <v>2307</v>
      </c>
      <c r="B273" s="380" t="s">
        <v>88</v>
      </c>
      <c r="C273" s="380" t="s">
        <v>1712</v>
      </c>
      <c r="D273" s="380" t="s">
        <v>1328</v>
      </c>
      <c r="E273" s="380" t="s">
        <v>334</v>
      </c>
      <c r="F273" s="380" t="s">
        <v>1529</v>
      </c>
      <c r="G273" s="380" t="s">
        <v>1299</v>
      </c>
      <c r="H273" s="380" t="s">
        <v>2308</v>
      </c>
      <c r="I273" s="380" t="s">
        <v>1914</v>
      </c>
      <c r="J273" s="380" t="s">
        <v>1958</v>
      </c>
      <c r="K273" s="380" t="s">
        <v>1916</v>
      </c>
      <c r="L273" s="403">
        <v>0</v>
      </c>
    </row>
    <row r="274" spans="1:24" ht="15" customHeight="1" x14ac:dyDescent="0.25">
      <c r="A274" s="380" t="s">
        <v>2309</v>
      </c>
      <c r="B274" s="380" t="s">
        <v>88</v>
      </c>
      <c r="C274" s="380" t="s">
        <v>1712</v>
      </c>
      <c r="D274" s="380" t="s">
        <v>1328</v>
      </c>
      <c r="E274" s="380" t="s">
        <v>334</v>
      </c>
      <c r="F274" s="380" t="s">
        <v>1529</v>
      </c>
      <c r="G274" s="380" t="s">
        <v>1301</v>
      </c>
      <c r="H274" s="380" t="s">
        <v>2310</v>
      </c>
      <c r="I274" s="380" t="s">
        <v>1914</v>
      </c>
      <c r="J274" s="380" t="s">
        <v>1961</v>
      </c>
      <c r="K274" s="380" t="s">
        <v>1916</v>
      </c>
      <c r="L274" s="403">
        <v>0</v>
      </c>
    </row>
    <row r="275" spans="1:24" ht="15" customHeight="1" x14ac:dyDescent="0.25">
      <c r="A275" s="380" t="s">
        <v>2311</v>
      </c>
      <c r="B275" s="380" t="s">
        <v>88</v>
      </c>
      <c r="C275" s="380" t="s">
        <v>1712</v>
      </c>
      <c r="D275" s="380" t="s">
        <v>1338</v>
      </c>
      <c r="E275" s="380" t="s">
        <v>334</v>
      </c>
      <c r="F275" s="380" t="s">
        <v>1529</v>
      </c>
      <c r="G275" s="380" t="s">
        <v>1339</v>
      </c>
      <c r="H275" s="380" t="s">
        <v>2312</v>
      </c>
      <c r="I275" s="380" t="s">
        <v>1914</v>
      </c>
      <c r="J275" s="380" t="s">
        <v>1964</v>
      </c>
      <c r="K275" s="380"/>
      <c r="L275" s="403">
        <f>EF!G123</f>
        <v>54</v>
      </c>
    </row>
    <row r="276" spans="1:24" ht="15" customHeight="1" x14ac:dyDescent="0.25">
      <c r="A276" s="380" t="s">
        <v>2313</v>
      </c>
      <c r="B276" s="380" t="s">
        <v>88</v>
      </c>
      <c r="C276" s="380" t="s">
        <v>1712</v>
      </c>
      <c r="D276" s="380" t="s">
        <v>1966</v>
      </c>
      <c r="E276" s="380" t="s">
        <v>334</v>
      </c>
      <c r="F276" s="380" t="s">
        <v>1529</v>
      </c>
      <c r="G276" s="380" t="s">
        <v>1277</v>
      </c>
      <c r="H276" s="380" t="s">
        <v>2314</v>
      </c>
      <c r="I276" s="380" t="s">
        <v>1746</v>
      </c>
      <c r="J276" s="380" t="s">
        <v>1968</v>
      </c>
      <c r="K276" s="380" t="s">
        <v>1969</v>
      </c>
      <c r="L276" s="403">
        <f>EF!H123</f>
        <v>1.5</v>
      </c>
    </row>
    <row r="277" spans="1:24" ht="15" customHeight="1" x14ac:dyDescent="0.25">
      <c r="A277" s="380" t="s">
        <v>2315</v>
      </c>
      <c r="B277" s="380" t="s">
        <v>88</v>
      </c>
      <c r="C277" s="380" t="s">
        <v>1712</v>
      </c>
      <c r="D277" s="380" t="s">
        <v>1971</v>
      </c>
      <c r="E277" s="380" t="s">
        <v>334</v>
      </c>
      <c r="F277" s="380" t="s">
        <v>1529</v>
      </c>
      <c r="G277" s="380" t="s">
        <v>1277</v>
      </c>
      <c r="H277" s="380" t="s">
        <v>2316</v>
      </c>
      <c r="I277" s="380" t="s">
        <v>1566</v>
      </c>
      <c r="J277" s="380" t="s">
        <v>1973</v>
      </c>
      <c r="K277" s="380" t="s">
        <v>1969</v>
      </c>
      <c r="L277" s="403">
        <f>EF!I123</f>
        <v>0.85</v>
      </c>
    </row>
    <row r="279" spans="1:24" ht="21.75" customHeight="1" x14ac:dyDescent="0.25">
      <c r="A279" s="12" t="s">
        <v>2317</v>
      </c>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spans="1:24" ht="15" customHeight="1" x14ac:dyDescent="0.25">
      <c r="A280" s="380" t="s">
        <v>2318</v>
      </c>
      <c r="B280" s="380" t="s">
        <v>1869</v>
      </c>
      <c r="C280" s="380" t="s">
        <v>1712</v>
      </c>
      <c r="D280" s="380" t="s">
        <v>1890</v>
      </c>
      <c r="E280" s="380" t="s">
        <v>322</v>
      </c>
      <c r="F280" s="380" t="s">
        <v>1305</v>
      </c>
      <c r="G280" s="380" t="s">
        <v>1277</v>
      </c>
      <c r="H280" s="380" t="s">
        <v>2319</v>
      </c>
      <c r="I280" s="380" t="s">
        <v>1307</v>
      </c>
      <c r="J280" s="380" t="s">
        <v>1892</v>
      </c>
      <c r="K280" s="380" t="s">
        <v>1893</v>
      </c>
      <c r="L280" s="406">
        <v>0</v>
      </c>
    </row>
    <row r="281" spans="1:24" ht="15" customHeight="1" x14ac:dyDescent="0.25">
      <c r="A281" s="380" t="s">
        <v>2320</v>
      </c>
      <c r="B281" s="380" t="s">
        <v>1869</v>
      </c>
      <c r="C281" s="380" t="s">
        <v>1712</v>
      </c>
      <c r="D281" s="380" t="s">
        <v>1895</v>
      </c>
      <c r="E281" s="380" t="s">
        <v>322</v>
      </c>
      <c r="F281" s="380" t="s">
        <v>1305</v>
      </c>
      <c r="G281" s="380" t="s">
        <v>1277</v>
      </c>
      <c r="H281" s="380" t="s">
        <v>2321</v>
      </c>
      <c r="I281" s="380" t="s">
        <v>1897</v>
      </c>
      <c r="J281" s="380" t="s">
        <v>1898</v>
      </c>
      <c r="K281" s="380"/>
      <c r="L281" s="404">
        <v>1</v>
      </c>
    </row>
    <row r="282" spans="1:24" ht="15" customHeight="1" x14ac:dyDescent="0.25">
      <c r="A282" s="380" t="s">
        <v>2322</v>
      </c>
      <c r="B282" s="380" t="s">
        <v>1869</v>
      </c>
      <c r="C282" s="380" t="s">
        <v>1712</v>
      </c>
      <c r="D282" s="380" t="s">
        <v>1900</v>
      </c>
      <c r="E282" s="380" t="s">
        <v>322</v>
      </c>
      <c r="F282" s="380" t="s">
        <v>1305</v>
      </c>
      <c r="G282" s="380" t="s">
        <v>1277</v>
      </c>
      <c r="H282" s="380" t="s">
        <v>2323</v>
      </c>
      <c r="I282" s="380" t="s">
        <v>1902</v>
      </c>
      <c r="J282" s="380" t="s">
        <v>1903</v>
      </c>
      <c r="K282" s="380"/>
      <c r="L282" s="404">
        <v>0.2</v>
      </c>
    </row>
    <row r="283" spans="1:24" ht="15" customHeight="1" x14ac:dyDescent="0.25">
      <c r="A283" s="380" t="s">
        <v>2324</v>
      </c>
      <c r="B283" s="380" t="s">
        <v>1869</v>
      </c>
      <c r="C283" s="380" t="s">
        <v>1712</v>
      </c>
      <c r="D283" s="380" t="s">
        <v>1905</v>
      </c>
      <c r="E283" s="380" t="s">
        <v>322</v>
      </c>
      <c r="F283" s="380" t="s">
        <v>1305</v>
      </c>
      <c r="G283" s="380" t="s">
        <v>1277</v>
      </c>
      <c r="H283" s="380" t="s">
        <v>2325</v>
      </c>
      <c r="I283" s="380" t="s">
        <v>1902</v>
      </c>
      <c r="J283" s="380" t="s">
        <v>1907</v>
      </c>
      <c r="K283" s="380"/>
      <c r="L283" s="404">
        <v>0.1</v>
      </c>
    </row>
    <row r="284" spans="1:24" ht="15" customHeight="1" x14ac:dyDescent="0.25">
      <c r="A284" s="380" t="s">
        <v>2326</v>
      </c>
      <c r="B284" s="380" t="s">
        <v>1869</v>
      </c>
      <c r="C284" s="380" t="s">
        <v>1712</v>
      </c>
      <c r="D284" s="380" t="s">
        <v>1909</v>
      </c>
      <c r="E284" s="380" t="s">
        <v>322</v>
      </c>
      <c r="F284" s="380" t="s">
        <v>1305</v>
      </c>
      <c r="G284" s="380" t="s">
        <v>1277</v>
      </c>
      <c r="H284" s="380" t="s">
        <v>2327</v>
      </c>
      <c r="I284" s="380" t="s">
        <v>1902</v>
      </c>
      <c r="J284" s="380" t="s">
        <v>1911</v>
      </c>
      <c r="K284" s="380"/>
      <c r="L284" s="404">
        <v>0.05</v>
      </c>
    </row>
    <row r="285" spans="1:24" ht="15" customHeight="1" x14ac:dyDescent="0.25">
      <c r="A285" s="380" t="s">
        <v>2328</v>
      </c>
      <c r="B285" s="380" t="s">
        <v>1869</v>
      </c>
      <c r="C285" s="380" t="s">
        <v>1712</v>
      </c>
      <c r="D285" s="380" t="s">
        <v>1317</v>
      </c>
      <c r="E285" s="380" t="s">
        <v>322</v>
      </c>
      <c r="F285" s="380" t="s">
        <v>1305</v>
      </c>
      <c r="G285" s="380" t="s">
        <v>757</v>
      </c>
      <c r="H285" s="380" t="s">
        <v>2329</v>
      </c>
      <c r="I285" s="380" t="s">
        <v>1914</v>
      </c>
      <c r="J285" s="380" t="s">
        <v>1915</v>
      </c>
      <c r="K285" s="380" t="s">
        <v>1916</v>
      </c>
      <c r="L285" s="403">
        <v>0</v>
      </c>
    </row>
    <row r="286" spans="1:24" ht="15" customHeight="1" x14ac:dyDescent="0.25">
      <c r="A286" s="380" t="s">
        <v>2330</v>
      </c>
      <c r="B286" s="380" t="s">
        <v>1869</v>
      </c>
      <c r="C286" s="380" t="s">
        <v>1712</v>
      </c>
      <c r="D286" s="380" t="s">
        <v>1317</v>
      </c>
      <c r="E286" s="380" t="s">
        <v>322</v>
      </c>
      <c r="F286" s="380" t="s">
        <v>1305</v>
      </c>
      <c r="G286" s="380" t="s">
        <v>754</v>
      </c>
      <c r="H286" s="380" t="s">
        <v>2331</v>
      </c>
      <c r="I286" s="380" t="s">
        <v>1914</v>
      </c>
      <c r="J286" s="380" t="s">
        <v>1919</v>
      </c>
      <c r="K286" s="380" t="s">
        <v>1916</v>
      </c>
      <c r="L286" s="403">
        <v>5</v>
      </c>
    </row>
    <row r="287" spans="1:24" ht="15" customHeight="1" x14ac:dyDescent="0.25">
      <c r="A287" s="380" t="s">
        <v>2332</v>
      </c>
      <c r="B287" s="380" t="s">
        <v>1869</v>
      </c>
      <c r="C287" s="380" t="s">
        <v>1712</v>
      </c>
      <c r="D287" s="380" t="s">
        <v>1317</v>
      </c>
      <c r="E287" s="380" t="s">
        <v>322</v>
      </c>
      <c r="F287" s="380" t="s">
        <v>1305</v>
      </c>
      <c r="G287" s="380" t="s">
        <v>1292</v>
      </c>
      <c r="H287" s="380" t="s">
        <v>2333</v>
      </c>
      <c r="I287" s="380" t="s">
        <v>1914</v>
      </c>
      <c r="J287" s="380" t="s">
        <v>1922</v>
      </c>
      <c r="K287" s="380" t="s">
        <v>1916</v>
      </c>
      <c r="L287" s="403">
        <v>0</v>
      </c>
    </row>
    <row r="288" spans="1:24" ht="15" customHeight="1" x14ac:dyDescent="0.25">
      <c r="A288" s="380" t="s">
        <v>2334</v>
      </c>
      <c r="B288" s="380" t="s">
        <v>1869</v>
      </c>
      <c r="C288" s="380" t="s">
        <v>1712</v>
      </c>
      <c r="D288" s="380" t="s">
        <v>1317</v>
      </c>
      <c r="E288" s="380" t="s">
        <v>322</v>
      </c>
      <c r="F288" s="380" t="s">
        <v>1305</v>
      </c>
      <c r="G288" s="380" t="s">
        <v>762</v>
      </c>
      <c r="H288" s="380" t="s">
        <v>2335</v>
      </c>
      <c r="I288" s="380" t="s">
        <v>1914</v>
      </c>
      <c r="J288" s="380" t="s">
        <v>1925</v>
      </c>
      <c r="K288" s="380" t="s">
        <v>1916</v>
      </c>
      <c r="L288" s="403">
        <v>0</v>
      </c>
    </row>
    <row r="289" spans="1:12" ht="15" customHeight="1" x14ac:dyDescent="0.25">
      <c r="A289" s="380" t="s">
        <v>2336</v>
      </c>
      <c r="B289" s="380" t="s">
        <v>1869</v>
      </c>
      <c r="C289" s="380" t="s">
        <v>1712</v>
      </c>
      <c r="D289" s="380" t="s">
        <v>1317</v>
      </c>
      <c r="E289" s="380" t="s">
        <v>322</v>
      </c>
      <c r="F289" s="380" t="s">
        <v>1305</v>
      </c>
      <c r="G289" s="380" t="s">
        <v>1295</v>
      </c>
      <c r="H289" s="380" t="s">
        <v>2337</v>
      </c>
      <c r="I289" s="380" t="s">
        <v>1914</v>
      </c>
      <c r="J289" s="380" t="s">
        <v>1928</v>
      </c>
      <c r="K289" s="380" t="s">
        <v>1916</v>
      </c>
      <c r="L289" s="403">
        <v>0</v>
      </c>
    </row>
    <row r="290" spans="1:12" ht="15" customHeight="1" x14ac:dyDescent="0.25">
      <c r="A290" s="380" t="s">
        <v>2338</v>
      </c>
      <c r="B290" s="380" t="s">
        <v>1869</v>
      </c>
      <c r="C290" s="380" t="s">
        <v>1712</v>
      </c>
      <c r="D290" s="380" t="s">
        <v>1317</v>
      </c>
      <c r="E290" s="380" t="s">
        <v>322</v>
      </c>
      <c r="F290" s="380" t="s">
        <v>1305</v>
      </c>
      <c r="G290" s="380" t="s">
        <v>1297</v>
      </c>
      <c r="H290" s="380" t="s">
        <v>2339</v>
      </c>
      <c r="I290" s="380" t="s">
        <v>1914</v>
      </c>
      <c r="J290" s="380" t="s">
        <v>1931</v>
      </c>
      <c r="K290" s="380" t="s">
        <v>1916</v>
      </c>
      <c r="L290" s="403">
        <v>0</v>
      </c>
    </row>
    <row r="291" spans="1:12" ht="15" customHeight="1" x14ac:dyDescent="0.25">
      <c r="A291" s="380" t="s">
        <v>2340</v>
      </c>
      <c r="B291" s="380" t="s">
        <v>1869</v>
      </c>
      <c r="C291" s="380" t="s">
        <v>1712</v>
      </c>
      <c r="D291" s="380" t="s">
        <v>1317</v>
      </c>
      <c r="E291" s="380" t="s">
        <v>322</v>
      </c>
      <c r="F291" s="380" t="s">
        <v>1305</v>
      </c>
      <c r="G291" s="380" t="s">
        <v>1299</v>
      </c>
      <c r="H291" s="380" t="s">
        <v>2341</v>
      </c>
      <c r="I291" s="380" t="s">
        <v>1914</v>
      </c>
      <c r="J291" s="380" t="s">
        <v>1934</v>
      </c>
      <c r="K291" s="380" t="s">
        <v>1916</v>
      </c>
      <c r="L291" s="403">
        <v>0</v>
      </c>
    </row>
    <row r="292" spans="1:12" ht="15" customHeight="1" x14ac:dyDescent="0.25">
      <c r="A292" s="380" t="s">
        <v>2342</v>
      </c>
      <c r="B292" s="380" t="s">
        <v>1869</v>
      </c>
      <c r="C292" s="380" t="s">
        <v>1712</v>
      </c>
      <c r="D292" s="380" t="s">
        <v>1317</v>
      </c>
      <c r="E292" s="380" t="s">
        <v>322</v>
      </c>
      <c r="F292" s="380" t="s">
        <v>1305</v>
      </c>
      <c r="G292" s="380" t="s">
        <v>1301</v>
      </c>
      <c r="H292" s="380" t="s">
        <v>2343</v>
      </c>
      <c r="I292" s="380" t="s">
        <v>1914</v>
      </c>
      <c r="J292" s="380" t="s">
        <v>1937</v>
      </c>
      <c r="K292" s="380" t="s">
        <v>1916</v>
      </c>
      <c r="L292" s="403">
        <v>0</v>
      </c>
    </row>
    <row r="293" spans="1:12" ht="15" customHeight="1" x14ac:dyDescent="0.25">
      <c r="A293" s="380" t="s">
        <v>2344</v>
      </c>
      <c r="B293" s="380" t="s">
        <v>1869</v>
      </c>
      <c r="C293" s="380" t="s">
        <v>1712</v>
      </c>
      <c r="D293" s="380" t="s">
        <v>1328</v>
      </c>
      <c r="E293" s="380" t="s">
        <v>322</v>
      </c>
      <c r="F293" s="380" t="s">
        <v>1305</v>
      </c>
      <c r="G293" s="380" t="s">
        <v>757</v>
      </c>
      <c r="H293" s="380" t="s">
        <v>2345</v>
      </c>
      <c r="I293" s="380" t="s">
        <v>1914</v>
      </c>
      <c r="J293" s="380" t="s">
        <v>1940</v>
      </c>
      <c r="K293" s="380" t="s">
        <v>1916</v>
      </c>
      <c r="L293" s="403">
        <v>0</v>
      </c>
    </row>
    <row r="294" spans="1:12" ht="15" customHeight="1" x14ac:dyDescent="0.25">
      <c r="A294" s="380" t="s">
        <v>2346</v>
      </c>
      <c r="B294" s="380" t="s">
        <v>1869</v>
      </c>
      <c r="C294" s="380" t="s">
        <v>1712</v>
      </c>
      <c r="D294" s="380" t="s">
        <v>1328</v>
      </c>
      <c r="E294" s="380" t="s">
        <v>322</v>
      </c>
      <c r="F294" s="380" t="s">
        <v>1305</v>
      </c>
      <c r="G294" s="380" t="s">
        <v>754</v>
      </c>
      <c r="H294" s="380" t="s">
        <v>2347</v>
      </c>
      <c r="I294" s="380" t="s">
        <v>1914</v>
      </c>
      <c r="J294" s="380" t="s">
        <v>1943</v>
      </c>
      <c r="K294" s="380" t="s">
        <v>1916</v>
      </c>
      <c r="L294" s="403">
        <v>24</v>
      </c>
    </row>
    <row r="295" spans="1:12" ht="15" customHeight="1" x14ac:dyDescent="0.25">
      <c r="A295" s="380" t="s">
        <v>2348</v>
      </c>
      <c r="B295" s="380" t="s">
        <v>1869</v>
      </c>
      <c r="C295" s="380" t="s">
        <v>1712</v>
      </c>
      <c r="D295" s="380" t="s">
        <v>1328</v>
      </c>
      <c r="E295" s="380" t="s">
        <v>322</v>
      </c>
      <c r="F295" s="380" t="s">
        <v>1305</v>
      </c>
      <c r="G295" s="380" t="s">
        <v>1292</v>
      </c>
      <c r="H295" s="380" t="s">
        <v>2349</v>
      </c>
      <c r="I295" s="380" t="s">
        <v>1914</v>
      </c>
      <c r="J295" s="380" t="s">
        <v>1946</v>
      </c>
      <c r="K295" s="380" t="s">
        <v>1916</v>
      </c>
      <c r="L295" s="403">
        <v>0</v>
      </c>
    </row>
    <row r="296" spans="1:12" ht="15" customHeight="1" x14ac:dyDescent="0.25">
      <c r="A296" s="380" t="s">
        <v>2350</v>
      </c>
      <c r="B296" s="380" t="s">
        <v>1869</v>
      </c>
      <c r="C296" s="380" t="s">
        <v>1712</v>
      </c>
      <c r="D296" s="380" t="s">
        <v>1328</v>
      </c>
      <c r="E296" s="380" t="s">
        <v>322</v>
      </c>
      <c r="F296" s="380" t="s">
        <v>1305</v>
      </c>
      <c r="G296" s="380" t="s">
        <v>762</v>
      </c>
      <c r="H296" s="380" t="s">
        <v>2351</v>
      </c>
      <c r="I296" s="380" t="s">
        <v>1914</v>
      </c>
      <c r="J296" s="380" t="s">
        <v>1949</v>
      </c>
      <c r="K296" s="380" t="s">
        <v>1916</v>
      </c>
      <c r="L296" s="403">
        <v>0</v>
      </c>
    </row>
    <row r="297" spans="1:12" ht="15" customHeight="1" x14ac:dyDescent="0.25">
      <c r="A297" s="380" t="s">
        <v>2352</v>
      </c>
      <c r="B297" s="380" t="s">
        <v>1869</v>
      </c>
      <c r="C297" s="380" t="s">
        <v>1712</v>
      </c>
      <c r="D297" s="380" t="s">
        <v>1328</v>
      </c>
      <c r="E297" s="380" t="s">
        <v>322</v>
      </c>
      <c r="F297" s="380" t="s">
        <v>1305</v>
      </c>
      <c r="G297" s="380" t="s">
        <v>1295</v>
      </c>
      <c r="H297" s="380" t="s">
        <v>2353</v>
      </c>
      <c r="I297" s="380" t="s">
        <v>1914</v>
      </c>
      <c r="J297" s="380" t="s">
        <v>1952</v>
      </c>
      <c r="K297" s="380" t="s">
        <v>1916</v>
      </c>
      <c r="L297" s="403">
        <v>0</v>
      </c>
    </row>
    <row r="298" spans="1:12" ht="15" customHeight="1" x14ac:dyDescent="0.25">
      <c r="A298" s="380" t="s">
        <v>2354</v>
      </c>
      <c r="B298" s="380" t="s">
        <v>1869</v>
      </c>
      <c r="C298" s="380" t="s">
        <v>1712</v>
      </c>
      <c r="D298" s="380" t="s">
        <v>1328</v>
      </c>
      <c r="E298" s="380" t="s">
        <v>322</v>
      </c>
      <c r="F298" s="380" t="s">
        <v>1305</v>
      </c>
      <c r="G298" s="380" t="s">
        <v>1297</v>
      </c>
      <c r="H298" s="380" t="s">
        <v>2355</v>
      </c>
      <c r="I298" s="380" t="s">
        <v>1914</v>
      </c>
      <c r="J298" s="380" t="s">
        <v>1955</v>
      </c>
      <c r="K298" s="380" t="s">
        <v>1916</v>
      </c>
      <c r="L298" s="403">
        <v>0</v>
      </c>
    </row>
    <row r="299" spans="1:12" ht="15" customHeight="1" x14ac:dyDescent="0.25">
      <c r="A299" s="380" t="s">
        <v>2356</v>
      </c>
      <c r="B299" s="380" t="s">
        <v>1869</v>
      </c>
      <c r="C299" s="380" t="s">
        <v>1712</v>
      </c>
      <c r="D299" s="380" t="s">
        <v>1328</v>
      </c>
      <c r="E299" s="380" t="s">
        <v>322</v>
      </c>
      <c r="F299" s="380" t="s">
        <v>1305</v>
      </c>
      <c r="G299" s="380" t="s">
        <v>1299</v>
      </c>
      <c r="H299" s="380" t="s">
        <v>2357</v>
      </c>
      <c r="I299" s="380" t="s">
        <v>1914</v>
      </c>
      <c r="J299" s="380" t="s">
        <v>1958</v>
      </c>
      <c r="K299" s="380" t="s">
        <v>1916</v>
      </c>
      <c r="L299" s="403">
        <v>0</v>
      </c>
    </row>
    <row r="300" spans="1:12" ht="15" customHeight="1" x14ac:dyDescent="0.25">
      <c r="A300" s="380" t="s">
        <v>2358</v>
      </c>
      <c r="B300" s="380" t="s">
        <v>1869</v>
      </c>
      <c r="C300" s="380" t="s">
        <v>1712</v>
      </c>
      <c r="D300" s="380" t="s">
        <v>1328</v>
      </c>
      <c r="E300" s="380" t="s">
        <v>322</v>
      </c>
      <c r="F300" s="380" t="s">
        <v>1305</v>
      </c>
      <c r="G300" s="380" t="s">
        <v>1301</v>
      </c>
      <c r="H300" s="380" t="s">
        <v>2359</v>
      </c>
      <c r="I300" s="380" t="s">
        <v>1914</v>
      </c>
      <c r="J300" s="380" t="s">
        <v>1961</v>
      </c>
      <c r="K300" s="380" t="s">
        <v>1916</v>
      </c>
      <c r="L300" s="403">
        <v>0</v>
      </c>
    </row>
    <row r="301" spans="1:12" ht="15" customHeight="1" x14ac:dyDescent="0.25">
      <c r="A301" s="380" t="s">
        <v>2360</v>
      </c>
      <c r="B301" s="380" t="s">
        <v>1869</v>
      </c>
      <c r="C301" s="380" t="s">
        <v>1712</v>
      </c>
      <c r="D301" s="380" t="s">
        <v>1338</v>
      </c>
      <c r="E301" s="380" t="s">
        <v>322</v>
      </c>
      <c r="F301" s="380" t="s">
        <v>1305</v>
      </c>
      <c r="G301" s="380" t="s">
        <v>1339</v>
      </c>
      <c r="H301" s="380" t="s">
        <v>2361</v>
      </c>
      <c r="I301" s="380" t="s">
        <v>1914</v>
      </c>
      <c r="J301" s="380" t="s">
        <v>1964</v>
      </c>
      <c r="K301" s="380"/>
      <c r="L301" s="403">
        <v>2.5</v>
      </c>
    </row>
    <row r="302" spans="1:12" ht="15" customHeight="1" x14ac:dyDescent="0.25">
      <c r="A302" s="380" t="s">
        <v>2362</v>
      </c>
      <c r="B302" s="380" t="s">
        <v>1869</v>
      </c>
      <c r="C302" s="380" t="s">
        <v>1712</v>
      </c>
      <c r="D302" s="380" t="s">
        <v>1966</v>
      </c>
      <c r="E302" s="380" t="s">
        <v>322</v>
      </c>
      <c r="F302" s="380" t="s">
        <v>1305</v>
      </c>
      <c r="G302" s="380" t="s">
        <v>1277</v>
      </c>
      <c r="H302" s="380" t="s">
        <v>2363</v>
      </c>
      <c r="I302" s="380" t="s">
        <v>1746</v>
      </c>
      <c r="J302" s="380" t="s">
        <v>1968</v>
      </c>
      <c r="K302" s="380" t="s">
        <v>1969</v>
      </c>
      <c r="L302" s="403">
        <v>0</v>
      </c>
    </row>
    <row r="303" spans="1:12" ht="15" customHeight="1" x14ac:dyDescent="0.25">
      <c r="A303" s="380" t="s">
        <v>2364</v>
      </c>
      <c r="B303" s="380" t="s">
        <v>1869</v>
      </c>
      <c r="C303" s="380" t="s">
        <v>1712</v>
      </c>
      <c r="D303" s="380" t="s">
        <v>1971</v>
      </c>
      <c r="E303" s="380" t="s">
        <v>322</v>
      </c>
      <c r="F303" s="380" t="s">
        <v>1305</v>
      </c>
      <c r="G303" s="380" t="s">
        <v>1277</v>
      </c>
      <c r="H303" s="380" t="s">
        <v>2365</v>
      </c>
      <c r="I303" s="380" t="s">
        <v>1566</v>
      </c>
      <c r="J303" s="380" t="s">
        <v>1973</v>
      </c>
      <c r="K303" s="380" t="s">
        <v>1969</v>
      </c>
      <c r="L303" s="403">
        <v>0</v>
      </c>
    </row>
    <row r="304" spans="1:12" ht="15" customHeight="1" x14ac:dyDescent="0.25">
      <c r="A304" s="380" t="s">
        <v>2366</v>
      </c>
      <c r="B304" s="380" t="s">
        <v>1869</v>
      </c>
      <c r="C304" s="380" t="s">
        <v>1712</v>
      </c>
      <c r="D304" s="380" t="s">
        <v>1890</v>
      </c>
      <c r="E304" s="380" t="s">
        <v>322</v>
      </c>
      <c r="F304" s="380" t="s">
        <v>1361</v>
      </c>
      <c r="G304" s="380" t="s">
        <v>1277</v>
      </c>
      <c r="H304" s="380" t="s">
        <v>2367</v>
      </c>
      <c r="I304" s="380" t="s">
        <v>1307</v>
      </c>
      <c r="J304" s="380" t="s">
        <v>1976</v>
      </c>
      <c r="K304" s="380" t="s">
        <v>1893</v>
      </c>
      <c r="L304" s="406">
        <v>0.4</v>
      </c>
    </row>
    <row r="305" spans="1:12" ht="15" customHeight="1" x14ac:dyDescent="0.25">
      <c r="A305" s="380" t="s">
        <v>2368</v>
      </c>
      <c r="B305" s="380" t="s">
        <v>1869</v>
      </c>
      <c r="C305" s="380" t="s">
        <v>1712</v>
      </c>
      <c r="D305" s="380" t="s">
        <v>1895</v>
      </c>
      <c r="E305" s="380" t="s">
        <v>322</v>
      </c>
      <c r="F305" s="380" t="s">
        <v>1361</v>
      </c>
      <c r="G305" s="380" t="s">
        <v>1277</v>
      </c>
      <c r="H305" s="380" t="s">
        <v>2369</v>
      </c>
      <c r="I305" s="380" t="s">
        <v>1897</v>
      </c>
      <c r="J305" s="380" t="s">
        <v>1898</v>
      </c>
      <c r="K305" s="380"/>
      <c r="L305" s="404">
        <v>0.8</v>
      </c>
    </row>
    <row r="306" spans="1:12" ht="15" customHeight="1" x14ac:dyDescent="0.25">
      <c r="A306" s="380" t="s">
        <v>2370</v>
      </c>
      <c r="B306" s="380" t="s">
        <v>1869</v>
      </c>
      <c r="C306" s="380" t="s">
        <v>1712</v>
      </c>
      <c r="D306" s="380" t="s">
        <v>1900</v>
      </c>
      <c r="E306" s="380" t="s">
        <v>322</v>
      </c>
      <c r="F306" s="380" t="s">
        <v>1361</v>
      </c>
      <c r="G306" s="380" t="s">
        <v>1277</v>
      </c>
      <c r="H306" s="380" t="s">
        <v>2371</v>
      </c>
      <c r="I306" s="380" t="s">
        <v>1902</v>
      </c>
      <c r="J306" s="380" t="s">
        <v>1903</v>
      </c>
      <c r="K306" s="380"/>
      <c r="L306" s="404">
        <v>0.5</v>
      </c>
    </row>
    <row r="307" spans="1:12" ht="15" customHeight="1" x14ac:dyDescent="0.25">
      <c r="A307" s="380" t="s">
        <v>2372</v>
      </c>
      <c r="B307" s="380" t="s">
        <v>1869</v>
      </c>
      <c r="C307" s="380" t="s">
        <v>1712</v>
      </c>
      <c r="D307" s="380" t="s">
        <v>1905</v>
      </c>
      <c r="E307" s="380" t="s">
        <v>322</v>
      </c>
      <c r="F307" s="380" t="s">
        <v>1361</v>
      </c>
      <c r="G307" s="380" t="s">
        <v>1277</v>
      </c>
      <c r="H307" s="380" t="s">
        <v>2373</v>
      </c>
      <c r="I307" s="380" t="s">
        <v>1902</v>
      </c>
      <c r="J307" s="380" t="s">
        <v>1907</v>
      </c>
      <c r="K307" s="380"/>
      <c r="L307" s="404">
        <v>0.2</v>
      </c>
    </row>
    <row r="308" spans="1:12" ht="15" customHeight="1" x14ac:dyDescent="0.25">
      <c r="A308" s="380" t="s">
        <v>2374</v>
      </c>
      <c r="B308" s="380" t="s">
        <v>1869</v>
      </c>
      <c r="C308" s="380" t="s">
        <v>1712</v>
      </c>
      <c r="D308" s="380" t="s">
        <v>1909</v>
      </c>
      <c r="E308" s="380" t="s">
        <v>322</v>
      </c>
      <c r="F308" s="380" t="s">
        <v>1361</v>
      </c>
      <c r="G308" s="380" t="s">
        <v>1277</v>
      </c>
      <c r="H308" s="380" t="s">
        <v>2375</v>
      </c>
      <c r="I308" s="380" t="s">
        <v>1902</v>
      </c>
      <c r="J308" s="380" t="s">
        <v>1911</v>
      </c>
      <c r="K308" s="380"/>
      <c r="L308" s="404">
        <v>0.3</v>
      </c>
    </row>
    <row r="309" spans="1:12" ht="15" customHeight="1" x14ac:dyDescent="0.25">
      <c r="A309" s="380" t="s">
        <v>2376</v>
      </c>
      <c r="B309" s="380" t="s">
        <v>1869</v>
      </c>
      <c r="C309" s="380" t="s">
        <v>1712</v>
      </c>
      <c r="D309" s="380" t="s">
        <v>1317</v>
      </c>
      <c r="E309" s="380" t="s">
        <v>322</v>
      </c>
      <c r="F309" s="380" t="s">
        <v>1361</v>
      </c>
      <c r="G309" s="380" t="s">
        <v>757</v>
      </c>
      <c r="H309" s="380" t="s">
        <v>2377</v>
      </c>
      <c r="I309" s="380" t="s">
        <v>1914</v>
      </c>
      <c r="J309" s="380" t="s">
        <v>1915</v>
      </c>
      <c r="K309" s="380" t="s">
        <v>1916</v>
      </c>
      <c r="L309" s="403">
        <v>0</v>
      </c>
    </row>
    <row r="310" spans="1:12" ht="15" customHeight="1" x14ac:dyDescent="0.25">
      <c r="A310" s="380" t="s">
        <v>2378</v>
      </c>
      <c r="B310" s="380" t="s">
        <v>1869</v>
      </c>
      <c r="C310" s="380" t="s">
        <v>1712</v>
      </c>
      <c r="D310" s="380" t="s">
        <v>1317</v>
      </c>
      <c r="E310" s="380" t="s">
        <v>322</v>
      </c>
      <c r="F310" s="380" t="s">
        <v>1361</v>
      </c>
      <c r="G310" s="380" t="s">
        <v>754</v>
      </c>
      <c r="H310" s="380" t="s">
        <v>2379</v>
      </c>
      <c r="I310" s="380" t="s">
        <v>1914</v>
      </c>
      <c r="J310" s="380" t="s">
        <v>1919</v>
      </c>
      <c r="K310" s="380" t="s">
        <v>1916</v>
      </c>
      <c r="L310" s="403">
        <v>2.5</v>
      </c>
    </row>
    <row r="311" spans="1:12" ht="15" customHeight="1" x14ac:dyDescent="0.25">
      <c r="A311" s="380" t="s">
        <v>2380</v>
      </c>
      <c r="B311" s="380" t="s">
        <v>1869</v>
      </c>
      <c r="C311" s="380" t="s">
        <v>1712</v>
      </c>
      <c r="D311" s="380" t="s">
        <v>1317</v>
      </c>
      <c r="E311" s="380" t="s">
        <v>322</v>
      </c>
      <c r="F311" s="380" t="s">
        <v>1361</v>
      </c>
      <c r="G311" s="380" t="s">
        <v>1292</v>
      </c>
      <c r="H311" s="380" t="s">
        <v>2381</v>
      </c>
      <c r="I311" s="380" t="s">
        <v>1914</v>
      </c>
      <c r="J311" s="380" t="s">
        <v>1922</v>
      </c>
      <c r="K311" s="380" t="s">
        <v>1916</v>
      </c>
      <c r="L311" s="403">
        <v>0</v>
      </c>
    </row>
    <row r="312" spans="1:12" ht="15" customHeight="1" x14ac:dyDescent="0.25">
      <c r="A312" s="380" t="s">
        <v>2382</v>
      </c>
      <c r="B312" s="380" t="s">
        <v>1869</v>
      </c>
      <c r="C312" s="380" t="s">
        <v>1712</v>
      </c>
      <c r="D312" s="380" t="s">
        <v>1317</v>
      </c>
      <c r="E312" s="380" t="s">
        <v>322</v>
      </c>
      <c r="F312" s="380" t="s">
        <v>1361</v>
      </c>
      <c r="G312" s="380" t="s">
        <v>762</v>
      </c>
      <c r="H312" s="380" t="s">
        <v>2383</v>
      </c>
      <c r="I312" s="380" t="s">
        <v>1914</v>
      </c>
      <c r="J312" s="380" t="s">
        <v>1925</v>
      </c>
      <c r="K312" s="380" t="s">
        <v>1916</v>
      </c>
      <c r="L312" s="403">
        <v>0</v>
      </c>
    </row>
    <row r="313" spans="1:12" ht="15" customHeight="1" x14ac:dyDescent="0.25">
      <c r="A313" s="380" t="s">
        <v>2384</v>
      </c>
      <c r="B313" s="380" t="s">
        <v>1869</v>
      </c>
      <c r="C313" s="380" t="s">
        <v>1712</v>
      </c>
      <c r="D313" s="380" t="s">
        <v>1317</v>
      </c>
      <c r="E313" s="380" t="s">
        <v>322</v>
      </c>
      <c r="F313" s="380" t="s">
        <v>1361</v>
      </c>
      <c r="G313" s="380" t="s">
        <v>1295</v>
      </c>
      <c r="H313" s="380" t="s">
        <v>2385</v>
      </c>
      <c r="I313" s="380" t="s">
        <v>1914</v>
      </c>
      <c r="J313" s="380" t="s">
        <v>1928</v>
      </c>
      <c r="K313" s="380" t="s">
        <v>1916</v>
      </c>
      <c r="L313" s="403">
        <v>0</v>
      </c>
    </row>
    <row r="314" spans="1:12" ht="15" customHeight="1" x14ac:dyDescent="0.25">
      <c r="A314" s="380" t="s">
        <v>2386</v>
      </c>
      <c r="B314" s="380" t="s">
        <v>1869</v>
      </c>
      <c r="C314" s="380" t="s">
        <v>1712</v>
      </c>
      <c r="D314" s="380" t="s">
        <v>1317</v>
      </c>
      <c r="E314" s="380" t="s">
        <v>322</v>
      </c>
      <c r="F314" s="380" t="s">
        <v>1361</v>
      </c>
      <c r="G314" s="380" t="s">
        <v>1297</v>
      </c>
      <c r="H314" s="380" t="s">
        <v>2387</v>
      </c>
      <c r="I314" s="380" t="s">
        <v>1914</v>
      </c>
      <c r="J314" s="380" t="s">
        <v>1931</v>
      </c>
      <c r="K314" s="380" t="s">
        <v>1916</v>
      </c>
      <c r="L314" s="403">
        <v>0</v>
      </c>
    </row>
    <row r="315" spans="1:12" ht="15" customHeight="1" x14ac:dyDescent="0.25">
      <c r="A315" s="380" t="s">
        <v>2388</v>
      </c>
      <c r="B315" s="380" t="s">
        <v>1869</v>
      </c>
      <c r="C315" s="380" t="s">
        <v>1712</v>
      </c>
      <c r="D315" s="380" t="s">
        <v>1317</v>
      </c>
      <c r="E315" s="380" t="s">
        <v>322</v>
      </c>
      <c r="F315" s="380" t="s">
        <v>1361</v>
      </c>
      <c r="G315" s="380" t="s">
        <v>1299</v>
      </c>
      <c r="H315" s="380" t="s">
        <v>2389</v>
      </c>
      <c r="I315" s="380" t="s">
        <v>1914</v>
      </c>
      <c r="J315" s="380" t="s">
        <v>1934</v>
      </c>
      <c r="K315" s="380" t="s">
        <v>1916</v>
      </c>
      <c r="L315" s="403">
        <v>0</v>
      </c>
    </row>
    <row r="316" spans="1:12" ht="15" customHeight="1" x14ac:dyDescent="0.25">
      <c r="A316" s="380" t="s">
        <v>2390</v>
      </c>
      <c r="B316" s="380" t="s">
        <v>1869</v>
      </c>
      <c r="C316" s="380" t="s">
        <v>1712</v>
      </c>
      <c r="D316" s="380" t="s">
        <v>1317</v>
      </c>
      <c r="E316" s="380" t="s">
        <v>322</v>
      </c>
      <c r="F316" s="380" t="s">
        <v>1361</v>
      </c>
      <c r="G316" s="380" t="s">
        <v>1301</v>
      </c>
      <c r="H316" s="380" t="s">
        <v>2391</v>
      </c>
      <c r="I316" s="380" t="s">
        <v>1914</v>
      </c>
      <c r="J316" s="380" t="s">
        <v>1937</v>
      </c>
      <c r="K316" s="380" t="s">
        <v>1916</v>
      </c>
      <c r="L316" s="403">
        <v>0</v>
      </c>
    </row>
    <row r="317" spans="1:12" ht="15" customHeight="1" x14ac:dyDescent="0.25">
      <c r="A317" s="380" t="s">
        <v>2392</v>
      </c>
      <c r="B317" s="380" t="s">
        <v>1869</v>
      </c>
      <c r="C317" s="380" t="s">
        <v>1712</v>
      </c>
      <c r="D317" s="380" t="s">
        <v>1328</v>
      </c>
      <c r="E317" s="380" t="s">
        <v>322</v>
      </c>
      <c r="F317" s="380" t="s">
        <v>1361</v>
      </c>
      <c r="G317" s="380" t="s">
        <v>757</v>
      </c>
      <c r="H317" s="380" t="s">
        <v>2393</v>
      </c>
      <c r="I317" s="380" t="s">
        <v>1914</v>
      </c>
      <c r="J317" s="380" t="s">
        <v>1940</v>
      </c>
      <c r="K317" s="380" t="s">
        <v>1916</v>
      </c>
      <c r="L317" s="403">
        <v>0</v>
      </c>
    </row>
    <row r="318" spans="1:12" ht="15" customHeight="1" x14ac:dyDescent="0.25">
      <c r="A318" s="380" t="s">
        <v>2394</v>
      </c>
      <c r="B318" s="380" t="s">
        <v>1869</v>
      </c>
      <c r="C318" s="380" t="s">
        <v>1712</v>
      </c>
      <c r="D318" s="380" t="s">
        <v>1328</v>
      </c>
      <c r="E318" s="380" t="s">
        <v>322</v>
      </c>
      <c r="F318" s="380" t="s">
        <v>1361</v>
      </c>
      <c r="G318" s="380" t="s">
        <v>754</v>
      </c>
      <c r="H318" s="380" t="s">
        <v>2395</v>
      </c>
      <c r="I318" s="380" t="s">
        <v>1914</v>
      </c>
      <c r="J318" s="380" t="s">
        <v>1943</v>
      </c>
      <c r="K318" s="380" t="s">
        <v>1916</v>
      </c>
      <c r="L318" s="403">
        <v>0</v>
      </c>
    </row>
    <row r="319" spans="1:12" ht="15" customHeight="1" x14ac:dyDescent="0.25">
      <c r="A319" s="380" t="s">
        <v>2396</v>
      </c>
      <c r="B319" s="380" t="s">
        <v>1869</v>
      </c>
      <c r="C319" s="380" t="s">
        <v>1712</v>
      </c>
      <c r="D319" s="380" t="s">
        <v>1328</v>
      </c>
      <c r="E319" s="380" t="s">
        <v>322</v>
      </c>
      <c r="F319" s="380" t="s">
        <v>1361</v>
      </c>
      <c r="G319" s="380" t="s">
        <v>1292</v>
      </c>
      <c r="H319" s="380" t="s">
        <v>2397</v>
      </c>
      <c r="I319" s="380" t="s">
        <v>1914</v>
      </c>
      <c r="J319" s="380" t="s">
        <v>1946</v>
      </c>
      <c r="K319" s="380" t="s">
        <v>1916</v>
      </c>
      <c r="L319" s="403">
        <v>0</v>
      </c>
    </row>
    <row r="320" spans="1:12" ht="15" customHeight="1" x14ac:dyDescent="0.25">
      <c r="A320" s="380" t="s">
        <v>2398</v>
      </c>
      <c r="B320" s="380" t="s">
        <v>1869</v>
      </c>
      <c r="C320" s="380" t="s">
        <v>1712</v>
      </c>
      <c r="D320" s="380" t="s">
        <v>1328</v>
      </c>
      <c r="E320" s="380" t="s">
        <v>322</v>
      </c>
      <c r="F320" s="380" t="s">
        <v>1361</v>
      </c>
      <c r="G320" s="380" t="s">
        <v>762</v>
      </c>
      <c r="H320" s="380" t="s">
        <v>2399</v>
      </c>
      <c r="I320" s="380" t="s">
        <v>1914</v>
      </c>
      <c r="J320" s="380" t="s">
        <v>1949</v>
      </c>
      <c r="K320" s="380" t="s">
        <v>1916</v>
      </c>
      <c r="L320" s="403">
        <v>0</v>
      </c>
    </row>
    <row r="321" spans="1:12" ht="15" customHeight="1" x14ac:dyDescent="0.25">
      <c r="A321" s="380" t="s">
        <v>2400</v>
      </c>
      <c r="B321" s="380" t="s">
        <v>1869</v>
      </c>
      <c r="C321" s="380" t="s">
        <v>1712</v>
      </c>
      <c r="D321" s="380" t="s">
        <v>1328</v>
      </c>
      <c r="E321" s="380" t="s">
        <v>322</v>
      </c>
      <c r="F321" s="380" t="s">
        <v>1361</v>
      </c>
      <c r="G321" s="380" t="s">
        <v>1295</v>
      </c>
      <c r="H321" s="380" t="s">
        <v>2401</v>
      </c>
      <c r="I321" s="380" t="s">
        <v>1914</v>
      </c>
      <c r="J321" s="380" t="s">
        <v>1952</v>
      </c>
      <c r="K321" s="380" t="s">
        <v>1916</v>
      </c>
      <c r="L321" s="403">
        <v>0</v>
      </c>
    </row>
    <row r="322" spans="1:12" ht="15" customHeight="1" x14ac:dyDescent="0.25">
      <c r="A322" s="380" t="s">
        <v>2402</v>
      </c>
      <c r="B322" s="380" t="s">
        <v>1869</v>
      </c>
      <c r="C322" s="380" t="s">
        <v>1712</v>
      </c>
      <c r="D322" s="380" t="s">
        <v>1328</v>
      </c>
      <c r="E322" s="380" t="s">
        <v>322</v>
      </c>
      <c r="F322" s="380" t="s">
        <v>1361</v>
      </c>
      <c r="G322" s="380" t="s">
        <v>1297</v>
      </c>
      <c r="H322" s="380" t="s">
        <v>2403</v>
      </c>
      <c r="I322" s="380" t="s">
        <v>1914</v>
      </c>
      <c r="J322" s="380" t="s">
        <v>1955</v>
      </c>
      <c r="K322" s="380" t="s">
        <v>1916</v>
      </c>
      <c r="L322" s="403">
        <v>0</v>
      </c>
    </row>
    <row r="323" spans="1:12" ht="15" customHeight="1" x14ac:dyDescent="0.25">
      <c r="A323" s="380" t="s">
        <v>2404</v>
      </c>
      <c r="B323" s="380" t="s">
        <v>1869</v>
      </c>
      <c r="C323" s="380" t="s">
        <v>1712</v>
      </c>
      <c r="D323" s="380" t="s">
        <v>1328</v>
      </c>
      <c r="E323" s="380" t="s">
        <v>322</v>
      </c>
      <c r="F323" s="380" t="s">
        <v>1361</v>
      </c>
      <c r="G323" s="380" t="s">
        <v>1299</v>
      </c>
      <c r="H323" s="380" t="s">
        <v>2405</v>
      </c>
      <c r="I323" s="380" t="s">
        <v>1914</v>
      </c>
      <c r="J323" s="380" t="s">
        <v>1958</v>
      </c>
      <c r="K323" s="380" t="s">
        <v>1916</v>
      </c>
      <c r="L323" s="403">
        <v>0</v>
      </c>
    </row>
    <row r="324" spans="1:12" ht="15" customHeight="1" x14ac:dyDescent="0.25">
      <c r="A324" s="380" t="s">
        <v>2406</v>
      </c>
      <c r="B324" s="380" t="s">
        <v>1869</v>
      </c>
      <c r="C324" s="380" t="s">
        <v>1712</v>
      </c>
      <c r="D324" s="380" t="s">
        <v>1328</v>
      </c>
      <c r="E324" s="380" t="s">
        <v>322</v>
      </c>
      <c r="F324" s="380" t="s">
        <v>1361</v>
      </c>
      <c r="G324" s="380" t="s">
        <v>1301</v>
      </c>
      <c r="H324" s="380" t="s">
        <v>2407</v>
      </c>
      <c r="I324" s="380" t="s">
        <v>1914</v>
      </c>
      <c r="J324" s="380" t="s">
        <v>1961</v>
      </c>
      <c r="K324" s="380" t="s">
        <v>1916</v>
      </c>
      <c r="L324" s="403">
        <v>0</v>
      </c>
    </row>
    <row r="325" spans="1:12" ht="15" customHeight="1" x14ac:dyDescent="0.25">
      <c r="A325" s="380" t="s">
        <v>2408</v>
      </c>
      <c r="B325" s="380" t="s">
        <v>1869</v>
      </c>
      <c r="C325" s="380" t="s">
        <v>1712</v>
      </c>
      <c r="D325" s="380" t="s">
        <v>1338</v>
      </c>
      <c r="E325" s="380" t="s">
        <v>322</v>
      </c>
      <c r="F325" s="380" t="s">
        <v>1361</v>
      </c>
      <c r="G325" s="380" t="s">
        <v>1339</v>
      </c>
      <c r="H325" s="380" t="s">
        <v>2409</v>
      </c>
      <c r="I325" s="380" t="s">
        <v>1914</v>
      </c>
      <c r="J325" s="380" t="s">
        <v>1964</v>
      </c>
      <c r="K325" s="380"/>
      <c r="L325" s="403">
        <v>4.5</v>
      </c>
    </row>
    <row r="326" spans="1:12" ht="15" customHeight="1" x14ac:dyDescent="0.25">
      <c r="A326" s="380" t="s">
        <v>2410</v>
      </c>
      <c r="B326" s="380" t="s">
        <v>1869</v>
      </c>
      <c r="C326" s="380" t="s">
        <v>1712</v>
      </c>
      <c r="D326" s="380" t="s">
        <v>1966</v>
      </c>
      <c r="E326" s="380" t="s">
        <v>322</v>
      </c>
      <c r="F326" s="380" t="s">
        <v>1361</v>
      </c>
      <c r="G326" s="380" t="s">
        <v>1277</v>
      </c>
      <c r="H326" s="380" t="s">
        <v>2411</v>
      </c>
      <c r="I326" s="380" t="s">
        <v>1746</v>
      </c>
      <c r="J326" s="380" t="s">
        <v>1968</v>
      </c>
      <c r="K326" s="380" t="s">
        <v>1969</v>
      </c>
      <c r="L326" s="403">
        <v>0</v>
      </c>
    </row>
    <row r="327" spans="1:12" ht="15" customHeight="1" x14ac:dyDescent="0.25">
      <c r="A327" s="380" t="s">
        <v>2412</v>
      </c>
      <c r="B327" s="380" t="s">
        <v>1869</v>
      </c>
      <c r="C327" s="380" t="s">
        <v>1712</v>
      </c>
      <c r="D327" s="380" t="s">
        <v>1971</v>
      </c>
      <c r="E327" s="380" t="s">
        <v>322</v>
      </c>
      <c r="F327" s="380" t="s">
        <v>1361</v>
      </c>
      <c r="G327" s="380" t="s">
        <v>1277</v>
      </c>
      <c r="H327" s="380" t="s">
        <v>2413</v>
      </c>
      <c r="I327" s="380" t="s">
        <v>1566</v>
      </c>
      <c r="J327" s="380" t="s">
        <v>1973</v>
      </c>
      <c r="K327" s="380" t="s">
        <v>1969</v>
      </c>
      <c r="L327" s="403">
        <v>0</v>
      </c>
    </row>
    <row r="328" spans="1:12" ht="15" customHeight="1" x14ac:dyDescent="0.25">
      <c r="A328" s="380" t="s">
        <v>2414</v>
      </c>
      <c r="B328" s="380" t="s">
        <v>1869</v>
      </c>
      <c r="C328" s="380" t="s">
        <v>1712</v>
      </c>
      <c r="D328" s="380" t="s">
        <v>1890</v>
      </c>
      <c r="E328" s="380" t="s">
        <v>322</v>
      </c>
      <c r="F328" s="380" t="s">
        <v>1389</v>
      </c>
      <c r="G328" s="380" t="s">
        <v>1277</v>
      </c>
      <c r="H328" s="380" t="s">
        <v>2415</v>
      </c>
      <c r="I328" s="380" t="s">
        <v>1307</v>
      </c>
      <c r="J328" s="380" t="s">
        <v>2025</v>
      </c>
      <c r="K328" s="380" t="s">
        <v>1893</v>
      </c>
      <c r="L328" s="406">
        <v>0</v>
      </c>
    </row>
    <row r="329" spans="1:12" ht="15" customHeight="1" x14ac:dyDescent="0.25">
      <c r="A329" s="380" t="s">
        <v>2416</v>
      </c>
      <c r="B329" s="380" t="s">
        <v>1869</v>
      </c>
      <c r="C329" s="380" t="s">
        <v>1712</v>
      </c>
      <c r="D329" s="380" t="s">
        <v>1895</v>
      </c>
      <c r="E329" s="380" t="s">
        <v>322</v>
      </c>
      <c r="F329" s="380" t="s">
        <v>1389</v>
      </c>
      <c r="G329" s="380" t="s">
        <v>1277</v>
      </c>
      <c r="H329" s="380" t="s">
        <v>2417</v>
      </c>
      <c r="I329" s="380" t="s">
        <v>1897</v>
      </c>
      <c r="J329" s="380" t="s">
        <v>1898</v>
      </c>
      <c r="K329" s="380"/>
      <c r="L329" s="404">
        <v>1</v>
      </c>
    </row>
    <row r="330" spans="1:12" ht="15" customHeight="1" x14ac:dyDescent="0.25">
      <c r="A330" s="380" t="s">
        <v>2418</v>
      </c>
      <c r="B330" s="380" t="s">
        <v>1869</v>
      </c>
      <c r="C330" s="380" t="s">
        <v>1712</v>
      </c>
      <c r="D330" s="380" t="s">
        <v>1900</v>
      </c>
      <c r="E330" s="380" t="s">
        <v>322</v>
      </c>
      <c r="F330" s="380" t="s">
        <v>1389</v>
      </c>
      <c r="G330" s="380" t="s">
        <v>1277</v>
      </c>
      <c r="H330" s="380" t="s">
        <v>2419</v>
      </c>
      <c r="I330" s="380" t="s">
        <v>1902</v>
      </c>
      <c r="J330" s="380" t="s">
        <v>1903</v>
      </c>
      <c r="K330" s="380"/>
      <c r="L330" s="404">
        <v>0.2</v>
      </c>
    </row>
    <row r="331" spans="1:12" ht="15" customHeight="1" x14ac:dyDescent="0.25">
      <c r="A331" s="380" t="s">
        <v>2420</v>
      </c>
      <c r="B331" s="380" t="s">
        <v>1869</v>
      </c>
      <c r="C331" s="380" t="s">
        <v>1712</v>
      </c>
      <c r="D331" s="380" t="s">
        <v>1905</v>
      </c>
      <c r="E331" s="380" t="s">
        <v>322</v>
      </c>
      <c r="F331" s="380" t="s">
        <v>1389</v>
      </c>
      <c r="G331" s="380" t="s">
        <v>1277</v>
      </c>
      <c r="H331" s="380" t="s">
        <v>2421</v>
      </c>
      <c r="I331" s="380" t="s">
        <v>1902</v>
      </c>
      <c r="J331" s="380" t="s">
        <v>1907</v>
      </c>
      <c r="K331" s="380"/>
      <c r="L331" s="404">
        <v>0.1</v>
      </c>
    </row>
    <row r="332" spans="1:12" ht="15" customHeight="1" x14ac:dyDescent="0.25">
      <c r="A332" s="380" t="s">
        <v>2422</v>
      </c>
      <c r="B332" s="380" t="s">
        <v>1869</v>
      </c>
      <c r="C332" s="380" t="s">
        <v>1712</v>
      </c>
      <c r="D332" s="380" t="s">
        <v>1909</v>
      </c>
      <c r="E332" s="380" t="s">
        <v>322</v>
      </c>
      <c r="F332" s="380" t="s">
        <v>1389</v>
      </c>
      <c r="G332" s="380" t="s">
        <v>1277</v>
      </c>
      <c r="H332" s="380" t="s">
        <v>2423</v>
      </c>
      <c r="I332" s="380" t="s">
        <v>1902</v>
      </c>
      <c r="J332" s="380" t="s">
        <v>1911</v>
      </c>
      <c r="K332" s="380"/>
      <c r="L332" s="404">
        <v>0.05</v>
      </c>
    </row>
    <row r="333" spans="1:12" ht="15" customHeight="1" x14ac:dyDescent="0.25">
      <c r="A333" s="380" t="s">
        <v>2424</v>
      </c>
      <c r="B333" s="380" t="s">
        <v>1869</v>
      </c>
      <c r="C333" s="380" t="s">
        <v>1712</v>
      </c>
      <c r="D333" s="380" t="s">
        <v>1317</v>
      </c>
      <c r="E333" s="380" t="s">
        <v>322</v>
      </c>
      <c r="F333" s="380" t="s">
        <v>1389</v>
      </c>
      <c r="G333" s="380" t="s">
        <v>757</v>
      </c>
      <c r="H333" s="380" t="s">
        <v>2425</v>
      </c>
      <c r="I333" s="380" t="s">
        <v>1914</v>
      </c>
      <c r="J333" s="380" t="s">
        <v>1915</v>
      </c>
      <c r="K333" s="380" t="s">
        <v>1916</v>
      </c>
      <c r="L333" s="403">
        <v>4</v>
      </c>
    </row>
    <row r="334" spans="1:12" ht="15" customHeight="1" x14ac:dyDescent="0.25">
      <c r="A334" s="380" t="s">
        <v>2426</v>
      </c>
      <c r="B334" s="380" t="s">
        <v>1869</v>
      </c>
      <c r="C334" s="380" t="s">
        <v>1712</v>
      </c>
      <c r="D334" s="380" t="s">
        <v>1317</v>
      </c>
      <c r="E334" s="380" t="s">
        <v>322</v>
      </c>
      <c r="F334" s="380" t="s">
        <v>1389</v>
      </c>
      <c r="G334" s="380" t="s">
        <v>754</v>
      </c>
      <c r="H334" s="380" t="s">
        <v>2427</v>
      </c>
      <c r="I334" s="380" t="s">
        <v>1914</v>
      </c>
      <c r="J334" s="380" t="s">
        <v>1919</v>
      </c>
      <c r="K334" s="380" t="s">
        <v>1916</v>
      </c>
      <c r="L334" s="403">
        <v>0.5</v>
      </c>
    </row>
    <row r="335" spans="1:12" ht="15" customHeight="1" x14ac:dyDescent="0.25">
      <c r="A335" s="380" t="s">
        <v>2428</v>
      </c>
      <c r="B335" s="380" t="s">
        <v>1869</v>
      </c>
      <c r="C335" s="380" t="s">
        <v>1712</v>
      </c>
      <c r="D335" s="380" t="s">
        <v>1317</v>
      </c>
      <c r="E335" s="380" t="s">
        <v>322</v>
      </c>
      <c r="F335" s="380" t="s">
        <v>1389</v>
      </c>
      <c r="G335" s="380" t="s">
        <v>1292</v>
      </c>
      <c r="H335" s="380" t="s">
        <v>2429</v>
      </c>
      <c r="I335" s="380" t="s">
        <v>1914</v>
      </c>
      <c r="J335" s="380" t="s">
        <v>1922</v>
      </c>
      <c r="K335" s="380" t="s">
        <v>1916</v>
      </c>
      <c r="L335" s="403">
        <v>0</v>
      </c>
    </row>
    <row r="336" spans="1:12" ht="15" customHeight="1" x14ac:dyDescent="0.25">
      <c r="A336" s="380" t="s">
        <v>2430</v>
      </c>
      <c r="B336" s="380" t="s">
        <v>1869</v>
      </c>
      <c r="C336" s="380" t="s">
        <v>1712</v>
      </c>
      <c r="D336" s="380" t="s">
        <v>1317</v>
      </c>
      <c r="E336" s="380" t="s">
        <v>322</v>
      </c>
      <c r="F336" s="380" t="s">
        <v>1389</v>
      </c>
      <c r="G336" s="380" t="s">
        <v>762</v>
      </c>
      <c r="H336" s="380" t="s">
        <v>2431</v>
      </c>
      <c r="I336" s="380" t="s">
        <v>1914</v>
      </c>
      <c r="J336" s="380" t="s">
        <v>1925</v>
      </c>
      <c r="K336" s="380" t="s">
        <v>1916</v>
      </c>
      <c r="L336" s="403">
        <v>0</v>
      </c>
    </row>
    <row r="337" spans="1:12" ht="15" customHeight="1" x14ac:dyDescent="0.25">
      <c r="A337" s="380" t="s">
        <v>2432</v>
      </c>
      <c r="B337" s="380" t="s">
        <v>1869</v>
      </c>
      <c r="C337" s="380" t="s">
        <v>1712</v>
      </c>
      <c r="D337" s="380" t="s">
        <v>1317</v>
      </c>
      <c r="E337" s="380" t="s">
        <v>322</v>
      </c>
      <c r="F337" s="380" t="s">
        <v>1389</v>
      </c>
      <c r="G337" s="380" t="s">
        <v>1295</v>
      </c>
      <c r="H337" s="380" t="s">
        <v>2433</v>
      </c>
      <c r="I337" s="380" t="s">
        <v>1914</v>
      </c>
      <c r="J337" s="380" t="s">
        <v>1928</v>
      </c>
      <c r="K337" s="380" t="s">
        <v>1916</v>
      </c>
      <c r="L337" s="403">
        <v>0</v>
      </c>
    </row>
    <row r="338" spans="1:12" ht="15" customHeight="1" x14ac:dyDescent="0.25">
      <c r="A338" s="380" t="s">
        <v>2434</v>
      </c>
      <c r="B338" s="380" t="s">
        <v>1869</v>
      </c>
      <c r="C338" s="380" t="s">
        <v>1712</v>
      </c>
      <c r="D338" s="380" t="s">
        <v>1317</v>
      </c>
      <c r="E338" s="380" t="s">
        <v>322</v>
      </c>
      <c r="F338" s="380" t="s">
        <v>1389</v>
      </c>
      <c r="G338" s="380" t="s">
        <v>1297</v>
      </c>
      <c r="H338" s="380" t="s">
        <v>2435</v>
      </c>
      <c r="I338" s="380" t="s">
        <v>1914</v>
      </c>
      <c r="J338" s="380" t="s">
        <v>1931</v>
      </c>
      <c r="K338" s="380" t="s">
        <v>1916</v>
      </c>
      <c r="L338" s="403">
        <v>0</v>
      </c>
    </row>
    <row r="339" spans="1:12" ht="15" customHeight="1" x14ac:dyDescent="0.25">
      <c r="A339" s="380" t="s">
        <v>2436</v>
      </c>
      <c r="B339" s="380" t="s">
        <v>1869</v>
      </c>
      <c r="C339" s="380" t="s">
        <v>1712</v>
      </c>
      <c r="D339" s="380" t="s">
        <v>1317</v>
      </c>
      <c r="E339" s="380" t="s">
        <v>322</v>
      </c>
      <c r="F339" s="380" t="s">
        <v>1389</v>
      </c>
      <c r="G339" s="380" t="s">
        <v>1299</v>
      </c>
      <c r="H339" s="380" t="s">
        <v>2437</v>
      </c>
      <c r="I339" s="380" t="s">
        <v>1914</v>
      </c>
      <c r="J339" s="380" t="s">
        <v>1934</v>
      </c>
      <c r="K339" s="380" t="s">
        <v>1916</v>
      </c>
      <c r="L339" s="403">
        <v>0</v>
      </c>
    </row>
    <row r="340" spans="1:12" ht="15" customHeight="1" x14ac:dyDescent="0.25">
      <c r="A340" s="380" t="s">
        <v>2438</v>
      </c>
      <c r="B340" s="380" t="s">
        <v>1869</v>
      </c>
      <c r="C340" s="380" t="s">
        <v>1712</v>
      </c>
      <c r="D340" s="380" t="s">
        <v>1317</v>
      </c>
      <c r="E340" s="380" t="s">
        <v>322</v>
      </c>
      <c r="F340" s="380" t="s">
        <v>1389</v>
      </c>
      <c r="G340" s="380" t="s">
        <v>1301</v>
      </c>
      <c r="H340" s="380" t="s">
        <v>2439</v>
      </c>
      <c r="I340" s="380" t="s">
        <v>1914</v>
      </c>
      <c r="J340" s="380" t="s">
        <v>1937</v>
      </c>
      <c r="K340" s="380" t="s">
        <v>1916</v>
      </c>
      <c r="L340" s="403">
        <v>0</v>
      </c>
    </row>
    <row r="341" spans="1:12" ht="15" customHeight="1" x14ac:dyDescent="0.25">
      <c r="A341" s="380" t="s">
        <v>2440</v>
      </c>
      <c r="B341" s="380" t="s">
        <v>1869</v>
      </c>
      <c r="C341" s="380" t="s">
        <v>1712</v>
      </c>
      <c r="D341" s="380" t="s">
        <v>1328</v>
      </c>
      <c r="E341" s="380" t="s">
        <v>322</v>
      </c>
      <c r="F341" s="380" t="s">
        <v>1389</v>
      </c>
      <c r="G341" s="380" t="s">
        <v>757</v>
      </c>
      <c r="H341" s="380" t="s">
        <v>2441</v>
      </c>
      <c r="I341" s="380" t="s">
        <v>1914</v>
      </c>
      <c r="J341" s="380" t="s">
        <v>1940</v>
      </c>
      <c r="K341" s="380" t="s">
        <v>1916</v>
      </c>
      <c r="L341" s="403">
        <v>16</v>
      </c>
    </row>
    <row r="342" spans="1:12" ht="15" customHeight="1" x14ac:dyDescent="0.25">
      <c r="A342" s="380" t="s">
        <v>2442</v>
      </c>
      <c r="B342" s="380" t="s">
        <v>1869</v>
      </c>
      <c r="C342" s="380" t="s">
        <v>1712</v>
      </c>
      <c r="D342" s="380" t="s">
        <v>1328</v>
      </c>
      <c r="E342" s="380" t="s">
        <v>322</v>
      </c>
      <c r="F342" s="380" t="s">
        <v>1389</v>
      </c>
      <c r="G342" s="380" t="s">
        <v>754</v>
      </c>
      <c r="H342" s="380" t="s">
        <v>2443</v>
      </c>
      <c r="I342" s="380" t="s">
        <v>1914</v>
      </c>
      <c r="J342" s="380" t="s">
        <v>1943</v>
      </c>
      <c r="K342" s="380" t="s">
        <v>1916</v>
      </c>
      <c r="L342" s="403">
        <v>0</v>
      </c>
    </row>
    <row r="343" spans="1:12" ht="15" customHeight="1" x14ac:dyDescent="0.25">
      <c r="A343" s="380" t="s">
        <v>2444</v>
      </c>
      <c r="B343" s="380" t="s">
        <v>1869</v>
      </c>
      <c r="C343" s="380" t="s">
        <v>1712</v>
      </c>
      <c r="D343" s="380" t="s">
        <v>1328</v>
      </c>
      <c r="E343" s="380" t="s">
        <v>322</v>
      </c>
      <c r="F343" s="380" t="s">
        <v>1389</v>
      </c>
      <c r="G343" s="380" t="s">
        <v>1292</v>
      </c>
      <c r="H343" s="380" t="s">
        <v>2445</v>
      </c>
      <c r="I343" s="380" t="s">
        <v>1914</v>
      </c>
      <c r="J343" s="380" t="s">
        <v>1946</v>
      </c>
      <c r="K343" s="380" t="s">
        <v>1916</v>
      </c>
      <c r="L343" s="403">
        <v>0</v>
      </c>
    </row>
    <row r="344" spans="1:12" ht="15" customHeight="1" x14ac:dyDescent="0.25">
      <c r="A344" s="380" t="s">
        <v>2446</v>
      </c>
      <c r="B344" s="380" t="s">
        <v>1869</v>
      </c>
      <c r="C344" s="380" t="s">
        <v>1712</v>
      </c>
      <c r="D344" s="380" t="s">
        <v>1328</v>
      </c>
      <c r="E344" s="380" t="s">
        <v>322</v>
      </c>
      <c r="F344" s="380" t="s">
        <v>1389</v>
      </c>
      <c r="G344" s="380" t="s">
        <v>762</v>
      </c>
      <c r="H344" s="380" t="s">
        <v>2447</v>
      </c>
      <c r="I344" s="380" t="s">
        <v>1914</v>
      </c>
      <c r="J344" s="380" t="s">
        <v>1949</v>
      </c>
      <c r="K344" s="380" t="s">
        <v>1916</v>
      </c>
      <c r="L344" s="403">
        <v>0</v>
      </c>
    </row>
    <row r="345" spans="1:12" ht="15" customHeight="1" x14ac:dyDescent="0.25">
      <c r="A345" s="380" t="s">
        <v>2448</v>
      </c>
      <c r="B345" s="380" t="s">
        <v>1869</v>
      </c>
      <c r="C345" s="380" t="s">
        <v>1712</v>
      </c>
      <c r="D345" s="380" t="s">
        <v>1328</v>
      </c>
      <c r="E345" s="380" t="s">
        <v>322</v>
      </c>
      <c r="F345" s="380" t="s">
        <v>1389</v>
      </c>
      <c r="G345" s="380" t="s">
        <v>1295</v>
      </c>
      <c r="H345" s="380" t="s">
        <v>2449</v>
      </c>
      <c r="I345" s="380" t="s">
        <v>1914</v>
      </c>
      <c r="J345" s="380" t="s">
        <v>1952</v>
      </c>
      <c r="K345" s="380" t="s">
        <v>1916</v>
      </c>
      <c r="L345" s="403">
        <v>0</v>
      </c>
    </row>
    <row r="346" spans="1:12" ht="15" customHeight="1" x14ac:dyDescent="0.25">
      <c r="A346" s="380" t="s">
        <v>2450</v>
      </c>
      <c r="B346" s="380" t="s">
        <v>1869</v>
      </c>
      <c r="C346" s="380" t="s">
        <v>1712</v>
      </c>
      <c r="D346" s="380" t="s">
        <v>1328</v>
      </c>
      <c r="E346" s="380" t="s">
        <v>322</v>
      </c>
      <c r="F346" s="380" t="s">
        <v>1389</v>
      </c>
      <c r="G346" s="380" t="s">
        <v>1297</v>
      </c>
      <c r="H346" s="380" t="s">
        <v>2451</v>
      </c>
      <c r="I346" s="380" t="s">
        <v>1914</v>
      </c>
      <c r="J346" s="380" t="s">
        <v>1955</v>
      </c>
      <c r="K346" s="380" t="s">
        <v>1916</v>
      </c>
      <c r="L346" s="403">
        <v>0</v>
      </c>
    </row>
    <row r="347" spans="1:12" ht="15" customHeight="1" x14ac:dyDescent="0.25">
      <c r="A347" s="380" t="s">
        <v>2452</v>
      </c>
      <c r="B347" s="380" t="s">
        <v>1869</v>
      </c>
      <c r="C347" s="380" t="s">
        <v>1712</v>
      </c>
      <c r="D347" s="380" t="s">
        <v>1328</v>
      </c>
      <c r="E347" s="380" t="s">
        <v>322</v>
      </c>
      <c r="F347" s="380" t="s">
        <v>1389</v>
      </c>
      <c r="G347" s="380" t="s">
        <v>1299</v>
      </c>
      <c r="H347" s="380" t="s">
        <v>2453</v>
      </c>
      <c r="I347" s="380" t="s">
        <v>1914</v>
      </c>
      <c r="J347" s="380" t="s">
        <v>1958</v>
      </c>
      <c r="K347" s="380" t="s">
        <v>1916</v>
      </c>
      <c r="L347" s="403">
        <v>0</v>
      </c>
    </row>
    <row r="348" spans="1:12" ht="15" customHeight="1" x14ac:dyDescent="0.25">
      <c r="A348" s="380" t="s">
        <v>2454</v>
      </c>
      <c r="B348" s="380" t="s">
        <v>1869</v>
      </c>
      <c r="C348" s="380" t="s">
        <v>1712</v>
      </c>
      <c r="D348" s="380" t="s">
        <v>1328</v>
      </c>
      <c r="E348" s="380" t="s">
        <v>322</v>
      </c>
      <c r="F348" s="380" t="s">
        <v>1389</v>
      </c>
      <c r="G348" s="380" t="s">
        <v>1301</v>
      </c>
      <c r="H348" s="380" t="s">
        <v>2455</v>
      </c>
      <c r="I348" s="380" t="s">
        <v>1914</v>
      </c>
      <c r="J348" s="380" t="s">
        <v>1961</v>
      </c>
      <c r="K348" s="380" t="s">
        <v>1916</v>
      </c>
      <c r="L348" s="403">
        <v>0</v>
      </c>
    </row>
    <row r="349" spans="1:12" ht="15" customHeight="1" x14ac:dyDescent="0.25">
      <c r="A349" s="380" t="s">
        <v>2456</v>
      </c>
      <c r="B349" s="380" t="s">
        <v>1869</v>
      </c>
      <c r="C349" s="380" t="s">
        <v>1712</v>
      </c>
      <c r="D349" s="380" t="s">
        <v>1338</v>
      </c>
      <c r="E349" s="380" t="s">
        <v>322</v>
      </c>
      <c r="F349" s="380" t="s">
        <v>1389</v>
      </c>
      <c r="G349" s="380" t="s">
        <v>1339</v>
      </c>
      <c r="H349" s="380" t="s">
        <v>2457</v>
      </c>
      <c r="I349" s="380" t="s">
        <v>1914</v>
      </c>
      <c r="J349" s="380" t="s">
        <v>1964</v>
      </c>
      <c r="K349" s="380"/>
      <c r="L349" s="403">
        <v>1.5</v>
      </c>
    </row>
    <row r="350" spans="1:12" ht="15" customHeight="1" x14ac:dyDescent="0.25">
      <c r="A350" s="380" t="s">
        <v>2458</v>
      </c>
      <c r="B350" s="380" t="s">
        <v>1869</v>
      </c>
      <c r="C350" s="380" t="s">
        <v>1712</v>
      </c>
      <c r="D350" s="380" t="s">
        <v>1966</v>
      </c>
      <c r="E350" s="380" t="s">
        <v>322</v>
      </c>
      <c r="F350" s="380" t="s">
        <v>1389</v>
      </c>
      <c r="G350" s="380" t="s">
        <v>1277</v>
      </c>
      <c r="H350" s="380" t="s">
        <v>2459</v>
      </c>
      <c r="I350" s="380" t="s">
        <v>1746</v>
      </c>
      <c r="J350" s="380" t="s">
        <v>1968</v>
      </c>
      <c r="K350" s="380" t="s">
        <v>1969</v>
      </c>
      <c r="L350" s="403">
        <v>0.2</v>
      </c>
    </row>
    <row r="351" spans="1:12" ht="15" customHeight="1" x14ac:dyDescent="0.25">
      <c r="A351" s="380" t="s">
        <v>2460</v>
      </c>
      <c r="B351" s="380" t="s">
        <v>1869</v>
      </c>
      <c r="C351" s="380" t="s">
        <v>1712</v>
      </c>
      <c r="D351" s="380" t="s">
        <v>1971</v>
      </c>
      <c r="E351" s="380" t="s">
        <v>322</v>
      </c>
      <c r="F351" s="380" t="s">
        <v>1389</v>
      </c>
      <c r="G351" s="380" t="s">
        <v>1277</v>
      </c>
      <c r="H351" s="380" t="s">
        <v>2461</v>
      </c>
      <c r="I351" s="380" t="s">
        <v>1566</v>
      </c>
      <c r="J351" s="380" t="s">
        <v>1973</v>
      </c>
      <c r="K351" s="380" t="s">
        <v>1969</v>
      </c>
      <c r="L351" s="403">
        <v>0</v>
      </c>
    </row>
    <row r="352" spans="1:12" ht="15" customHeight="1" x14ac:dyDescent="0.25">
      <c r="A352" s="380" t="s">
        <v>2462</v>
      </c>
      <c r="B352" s="380" t="s">
        <v>1869</v>
      </c>
      <c r="C352" s="380" t="s">
        <v>1712</v>
      </c>
      <c r="D352" s="380" t="s">
        <v>1890</v>
      </c>
      <c r="E352" s="380" t="s">
        <v>327</v>
      </c>
      <c r="F352" s="380" t="s">
        <v>1417</v>
      </c>
      <c r="G352" s="380" t="s">
        <v>1277</v>
      </c>
      <c r="H352" s="380" t="s">
        <v>2463</v>
      </c>
      <c r="I352" s="380" t="s">
        <v>1307</v>
      </c>
      <c r="J352" s="380" t="s">
        <v>2074</v>
      </c>
      <c r="K352" s="380" t="s">
        <v>1893</v>
      </c>
      <c r="L352" s="406">
        <v>1.8</v>
      </c>
    </row>
    <row r="353" spans="1:12" ht="15" customHeight="1" x14ac:dyDescent="0.25">
      <c r="A353" s="380" t="s">
        <v>2464</v>
      </c>
      <c r="B353" s="380" t="s">
        <v>1869</v>
      </c>
      <c r="C353" s="380" t="s">
        <v>1712</v>
      </c>
      <c r="D353" s="380" t="s">
        <v>1895</v>
      </c>
      <c r="E353" s="380" t="s">
        <v>327</v>
      </c>
      <c r="F353" s="380" t="s">
        <v>1417</v>
      </c>
      <c r="G353" s="380" t="s">
        <v>1277</v>
      </c>
      <c r="H353" s="380" t="s">
        <v>2465</v>
      </c>
      <c r="I353" s="380" t="s">
        <v>1897</v>
      </c>
      <c r="J353" s="380" t="s">
        <v>1898</v>
      </c>
      <c r="K353" s="380"/>
      <c r="L353" s="404">
        <v>0.9</v>
      </c>
    </row>
    <row r="354" spans="1:12" ht="15" customHeight="1" x14ac:dyDescent="0.25">
      <c r="A354" s="380" t="s">
        <v>2466</v>
      </c>
      <c r="B354" s="380" t="s">
        <v>1869</v>
      </c>
      <c r="C354" s="380" t="s">
        <v>1712</v>
      </c>
      <c r="D354" s="380" t="s">
        <v>1900</v>
      </c>
      <c r="E354" s="380" t="s">
        <v>327</v>
      </c>
      <c r="F354" s="380" t="s">
        <v>1417</v>
      </c>
      <c r="G354" s="380" t="s">
        <v>1277</v>
      </c>
      <c r="H354" s="380" t="s">
        <v>2467</v>
      </c>
      <c r="I354" s="380" t="s">
        <v>1902</v>
      </c>
      <c r="J354" s="380" t="s">
        <v>1903</v>
      </c>
      <c r="K354" s="380"/>
      <c r="L354" s="404">
        <v>0.55000000000000004</v>
      </c>
    </row>
    <row r="355" spans="1:12" ht="15" customHeight="1" x14ac:dyDescent="0.25">
      <c r="A355" s="380" t="s">
        <v>2468</v>
      </c>
      <c r="B355" s="380" t="s">
        <v>1869</v>
      </c>
      <c r="C355" s="380" t="s">
        <v>1712</v>
      </c>
      <c r="D355" s="380" t="s">
        <v>1905</v>
      </c>
      <c r="E355" s="380" t="s">
        <v>327</v>
      </c>
      <c r="F355" s="380" t="s">
        <v>1417</v>
      </c>
      <c r="G355" s="380" t="s">
        <v>1277</v>
      </c>
      <c r="H355" s="380" t="s">
        <v>2469</v>
      </c>
      <c r="I355" s="380" t="s">
        <v>1902</v>
      </c>
      <c r="J355" s="380" t="s">
        <v>1907</v>
      </c>
      <c r="K355" s="380"/>
      <c r="L355" s="404">
        <v>0.35</v>
      </c>
    </row>
    <row r="356" spans="1:12" ht="15" customHeight="1" x14ac:dyDescent="0.25">
      <c r="A356" s="380" t="s">
        <v>2470</v>
      </c>
      <c r="B356" s="380" t="s">
        <v>1869</v>
      </c>
      <c r="C356" s="380" t="s">
        <v>1712</v>
      </c>
      <c r="D356" s="380" t="s">
        <v>1909</v>
      </c>
      <c r="E356" s="380" t="s">
        <v>327</v>
      </c>
      <c r="F356" s="380" t="s">
        <v>1417</v>
      </c>
      <c r="G356" s="380" t="s">
        <v>1277</v>
      </c>
      <c r="H356" s="380" t="s">
        <v>2471</v>
      </c>
      <c r="I356" s="380" t="s">
        <v>1902</v>
      </c>
      <c r="J356" s="380" t="s">
        <v>1911</v>
      </c>
      <c r="K356" s="380"/>
      <c r="L356" s="404">
        <v>0.05</v>
      </c>
    </row>
    <row r="357" spans="1:12" ht="15" customHeight="1" x14ac:dyDescent="0.25">
      <c r="A357" s="380" t="s">
        <v>2472</v>
      </c>
      <c r="B357" s="380" t="s">
        <v>1869</v>
      </c>
      <c r="C357" s="380" t="s">
        <v>1712</v>
      </c>
      <c r="D357" s="380" t="s">
        <v>1317</v>
      </c>
      <c r="E357" s="380" t="s">
        <v>327</v>
      </c>
      <c r="F357" s="380" t="s">
        <v>1417</v>
      </c>
      <c r="G357" s="380" t="s">
        <v>757</v>
      </c>
      <c r="H357" s="380" t="s">
        <v>2473</v>
      </c>
      <c r="I357" s="380" t="s">
        <v>1914</v>
      </c>
      <c r="J357" s="380" t="s">
        <v>1915</v>
      </c>
      <c r="K357" s="380" t="s">
        <v>1916</v>
      </c>
      <c r="L357" s="403">
        <v>2.5</v>
      </c>
    </row>
    <row r="358" spans="1:12" ht="15" customHeight="1" x14ac:dyDescent="0.25">
      <c r="A358" s="380" t="s">
        <v>2474</v>
      </c>
      <c r="B358" s="380" t="s">
        <v>1869</v>
      </c>
      <c r="C358" s="380" t="s">
        <v>1712</v>
      </c>
      <c r="D358" s="380" t="s">
        <v>1317</v>
      </c>
      <c r="E358" s="380" t="s">
        <v>327</v>
      </c>
      <c r="F358" s="380" t="s">
        <v>1417</v>
      </c>
      <c r="G358" s="380" t="s">
        <v>754</v>
      </c>
      <c r="H358" s="380" t="s">
        <v>2475</v>
      </c>
      <c r="I358" s="380" t="s">
        <v>1914</v>
      </c>
      <c r="J358" s="380" t="s">
        <v>1919</v>
      </c>
      <c r="K358" s="380" t="s">
        <v>1916</v>
      </c>
      <c r="L358" s="403">
        <v>0</v>
      </c>
    </row>
    <row r="359" spans="1:12" ht="15" customHeight="1" x14ac:dyDescent="0.25">
      <c r="A359" s="380" t="s">
        <v>2476</v>
      </c>
      <c r="B359" s="380" t="s">
        <v>1869</v>
      </c>
      <c r="C359" s="380" t="s">
        <v>1712</v>
      </c>
      <c r="D359" s="380" t="s">
        <v>1317</v>
      </c>
      <c r="E359" s="380" t="s">
        <v>327</v>
      </c>
      <c r="F359" s="380" t="s">
        <v>1417</v>
      </c>
      <c r="G359" s="380" t="s">
        <v>1292</v>
      </c>
      <c r="H359" s="380" t="s">
        <v>2477</v>
      </c>
      <c r="I359" s="380" t="s">
        <v>1914</v>
      </c>
      <c r="J359" s="380" t="s">
        <v>1922</v>
      </c>
      <c r="K359" s="380" t="s">
        <v>1916</v>
      </c>
      <c r="L359" s="403">
        <v>0</v>
      </c>
    </row>
    <row r="360" spans="1:12" ht="15" customHeight="1" x14ac:dyDescent="0.25">
      <c r="A360" s="380" t="s">
        <v>2478</v>
      </c>
      <c r="B360" s="380" t="s">
        <v>1869</v>
      </c>
      <c r="C360" s="380" t="s">
        <v>1712</v>
      </c>
      <c r="D360" s="380" t="s">
        <v>1317</v>
      </c>
      <c r="E360" s="380" t="s">
        <v>327</v>
      </c>
      <c r="F360" s="380" t="s">
        <v>1417</v>
      </c>
      <c r="G360" s="380" t="s">
        <v>762</v>
      </c>
      <c r="H360" s="380" t="s">
        <v>2479</v>
      </c>
      <c r="I360" s="380" t="s">
        <v>1914</v>
      </c>
      <c r="J360" s="380" t="s">
        <v>1925</v>
      </c>
      <c r="K360" s="380" t="s">
        <v>1916</v>
      </c>
      <c r="L360" s="403">
        <v>0</v>
      </c>
    </row>
    <row r="361" spans="1:12" ht="15" customHeight="1" x14ac:dyDescent="0.25">
      <c r="A361" s="380" t="s">
        <v>2480</v>
      </c>
      <c r="B361" s="380" t="s">
        <v>1869</v>
      </c>
      <c r="C361" s="380" t="s">
        <v>1712</v>
      </c>
      <c r="D361" s="380" t="s">
        <v>1317</v>
      </c>
      <c r="E361" s="380" t="s">
        <v>327</v>
      </c>
      <c r="F361" s="380" t="s">
        <v>1417</v>
      </c>
      <c r="G361" s="380" t="s">
        <v>1295</v>
      </c>
      <c r="H361" s="380" t="s">
        <v>2481</v>
      </c>
      <c r="I361" s="380" t="s">
        <v>1914</v>
      </c>
      <c r="J361" s="380" t="s">
        <v>1928</v>
      </c>
      <c r="K361" s="380" t="s">
        <v>1916</v>
      </c>
      <c r="L361" s="403">
        <v>0</v>
      </c>
    </row>
    <row r="362" spans="1:12" ht="15" customHeight="1" x14ac:dyDescent="0.25">
      <c r="A362" s="380" t="s">
        <v>2482</v>
      </c>
      <c r="B362" s="380" t="s">
        <v>1869</v>
      </c>
      <c r="C362" s="380" t="s">
        <v>1712</v>
      </c>
      <c r="D362" s="380" t="s">
        <v>1317</v>
      </c>
      <c r="E362" s="380" t="s">
        <v>327</v>
      </c>
      <c r="F362" s="380" t="s">
        <v>1417</v>
      </c>
      <c r="G362" s="380" t="s">
        <v>1297</v>
      </c>
      <c r="H362" s="380" t="s">
        <v>2483</v>
      </c>
      <c r="I362" s="380" t="s">
        <v>1914</v>
      </c>
      <c r="J362" s="380" t="s">
        <v>1931</v>
      </c>
      <c r="K362" s="380" t="s">
        <v>1916</v>
      </c>
      <c r="L362" s="403">
        <v>0</v>
      </c>
    </row>
    <row r="363" spans="1:12" ht="15" customHeight="1" x14ac:dyDescent="0.25">
      <c r="A363" s="380" t="s">
        <v>2484</v>
      </c>
      <c r="B363" s="380" t="s">
        <v>1869</v>
      </c>
      <c r="C363" s="380" t="s">
        <v>1712</v>
      </c>
      <c r="D363" s="380" t="s">
        <v>1317</v>
      </c>
      <c r="E363" s="380" t="s">
        <v>327</v>
      </c>
      <c r="F363" s="380" t="s">
        <v>1417</v>
      </c>
      <c r="G363" s="380" t="s">
        <v>1299</v>
      </c>
      <c r="H363" s="380" t="s">
        <v>2485</v>
      </c>
      <c r="I363" s="380" t="s">
        <v>1914</v>
      </c>
      <c r="J363" s="380" t="s">
        <v>1934</v>
      </c>
      <c r="K363" s="380" t="s">
        <v>1916</v>
      </c>
      <c r="L363" s="403">
        <v>0</v>
      </c>
    </row>
    <row r="364" spans="1:12" ht="15" customHeight="1" x14ac:dyDescent="0.25">
      <c r="A364" s="380" t="s">
        <v>2486</v>
      </c>
      <c r="B364" s="380" t="s">
        <v>1869</v>
      </c>
      <c r="C364" s="380" t="s">
        <v>1712</v>
      </c>
      <c r="D364" s="380" t="s">
        <v>1317</v>
      </c>
      <c r="E364" s="380" t="s">
        <v>327</v>
      </c>
      <c r="F364" s="380" t="s">
        <v>1417</v>
      </c>
      <c r="G364" s="380" t="s">
        <v>1301</v>
      </c>
      <c r="H364" s="380" t="s">
        <v>2487</v>
      </c>
      <c r="I364" s="380" t="s">
        <v>1914</v>
      </c>
      <c r="J364" s="380" t="s">
        <v>1937</v>
      </c>
      <c r="K364" s="380" t="s">
        <v>1916</v>
      </c>
      <c r="L364" s="403">
        <v>0</v>
      </c>
    </row>
    <row r="365" spans="1:12" ht="15" customHeight="1" x14ac:dyDescent="0.25">
      <c r="A365" s="380" t="s">
        <v>2488</v>
      </c>
      <c r="B365" s="380" t="s">
        <v>1869</v>
      </c>
      <c r="C365" s="380" t="s">
        <v>1712</v>
      </c>
      <c r="D365" s="380" t="s">
        <v>1328</v>
      </c>
      <c r="E365" s="380" t="s">
        <v>327</v>
      </c>
      <c r="F365" s="380" t="s">
        <v>1417</v>
      </c>
      <c r="G365" s="380" t="s">
        <v>757</v>
      </c>
      <c r="H365" s="380" t="s">
        <v>2489</v>
      </c>
      <c r="I365" s="380" t="s">
        <v>1914</v>
      </c>
      <c r="J365" s="380" t="s">
        <v>1940</v>
      </c>
      <c r="K365" s="380" t="s">
        <v>1916</v>
      </c>
      <c r="L365" s="403">
        <v>0</v>
      </c>
    </row>
    <row r="366" spans="1:12" ht="15" customHeight="1" x14ac:dyDescent="0.25">
      <c r="A366" s="380" t="s">
        <v>2490</v>
      </c>
      <c r="B366" s="380" t="s">
        <v>1869</v>
      </c>
      <c r="C366" s="380" t="s">
        <v>1712</v>
      </c>
      <c r="D366" s="380" t="s">
        <v>1328</v>
      </c>
      <c r="E366" s="380" t="s">
        <v>327</v>
      </c>
      <c r="F366" s="380" t="s">
        <v>1417</v>
      </c>
      <c r="G366" s="380" t="s">
        <v>754</v>
      </c>
      <c r="H366" s="380" t="s">
        <v>2491</v>
      </c>
      <c r="I366" s="380" t="s">
        <v>1914</v>
      </c>
      <c r="J366" s="380" t="s">
        <v>1943</v>
      </c>
      <c r="K366" s="380" t="s">
        <v>1916</v>
      </c>
      <c r="L366" s="403">
        <v>0</v>
      </c>
    </row>
    <row r="367" spans="1:12" ht="15" customHeight="1" x14ac:dyDescent="0.25">
      <c r="A367" s="380" t="s">
        <v>2492</v>
      </c>
      <c r="B367" s="380" t="s">
        <v>1869</v>
      </c>
      <c r="C367" s="380" t="s">
        <v>1712</v>
      </c>
      <c r="D367" s="380" t="s">
        <v>1328</v>
      </c>
      <c r="E367" s="380" t="s">
        <v>327</v>
      </c>
      <c r="F367" s="380" t="s">
        <v>1417</v>
      </c>
      <c r="G367" s="380" t="s">
        <v>1292</v>
      </c>
      <c r="H367" s="380" t="s">
        <v>2493</v>
      </c>
      <c r="I367" s="380" t="s">
        <v>1914</v>
      </c>
      <c r="J367" s="380" t="s">
        <v>1946</v>
      </c>
      <c r="K367" s="380" t="s">
        <v>1916</v>
      </c>
      <c r="L367" s="403">
        <v>0</v>
      </c>
    </row>
    <row r="368" spans="1:12" ht="15" customHeight="1" x14ac:dyDescent="0.25">
      <c r="A368" s="380" t="s">
        <v>2494</v>
      </c>
      <c r="B368" s="380" t="s">
        <v>1869</v>
      </c>
      <c r="C368" s="380" t="s">
        <v>1712</v>
      </c>
      <c r="D368" s="380" t="s">
        <v>1328</v>
      </c>
      <c r="E368" s="380" t="s">
        <v>327</v>
      </c>
      <c r="F368" s="380" t="s">
        <v>1417</v>
      </c>
      <c r="G368" s="380" t="s">
        <v>762</v>
      </c>
      <c r="H368" s="380" t="s">
        <v>2495</v>
      </c>
      <c r="I368" s="380" t="s">
        <v>1914</v>
      </c>
      <c r="J368" s="380" t="s">
        <v>1949</v>
      </c>
      <c r="K368" s="380" t="s">
        <v>1916</v>
      </c>
      <c r="L368" s="403">
        <v>0</v>
      </c>
    </row>
    <row r="369" spans="1:12" ht="15" customHeight="1" x14ac:dyDescent="0.25">
      <c r="A369" s="380" t="s">
        <v>2496</v>
      </c>
      <c r="B369" s="380" t="s">
        <v>1869</v>
      </c>
      <c r="C369" s="380" t="s">
        <v>1712</v>
      </c>
      <c r="D369" s="380" t="s">
        <v>1328</v>
      </c>
      <c r="E369" s="380" t="s">
        <v>327</v>
      </c>
      <c r="F369" s="380" t="s">
        <v>1417</v>
      </c>
      <c r="G369" s="380" t="s">
        <v>1295</v>
      </c>
      <c r="H369" s="380" t="s">
        <v>2497</v>
      </c>
      <c r="I369" s="380" t="s">
        <v>1914</v>
      </c>
      <c r="J369" s="380" t="s">
        <v>1952</v>
      </c>
      <c r="K369" s="380" t="s">
        <v>1916</v>
      </c>
      <c r="L369" s="403">
        <v>0</v>
      </c>
    </row>
    <row r="370" spans="1:12" ht="15" customHeight="1" x14ac:dyDescent="0.25">
      <c r="A370" s="380" t="s">
        <v>2498</v>
      </c>
      <c r="B370" s="380" t="s">
        <v>1869</v>
      </c>
      <c r="C370" s="380" t="s">
        <v>1712</v>
      </c>
      <c r="D370" s="380" t="s">
        <v>1328</v>
      </c>
      <c r="E370" s="380" t="s">
        <v>327</v>
      </c>
      <c r="F370" s="380" t="s">
        <v>1417</v>
      </c>
      <c r="G370" s="380" t="s">
        <v>1297</v>
      </c>
      <c r="H370" s="380" t="s">
        <v>2499</v>
      </c>
      <c r="I370" s="380" t="s">
        <v>1914</v>
      </c>
      <c r="J370" s="380" t="s">
        <v>1955</v>
      </c>
      <c r="K370" s="380" t="s">
        <v>1916</v>
      </c>
      <c r="L370" s="403">
        <v>0</v>
      </c>
    </row>
    <row r="371" spans="1:12" ht="15" customHeight="1" x14ac:dyDescent="0.25">
      <c r="A371" s="380" t="s">
        <v>2500</v>
      </c>
      <c r="B371" s="380" t="s">
        <v>1869</v>
      </c>
      <c r="C371" s="380" t="s">
        <v>1712</v>
      </c>
      <c r="D371" s="380" t="s">
        <v>1328</v>
      </c>
      <c r="E371" s="380" t="s">
        <v>327</v>
      </c>
      <c r="F371" s="380" t="s">
        <v>1417</v>
      </c>
      <c r="G371" s="380" t="s">
        <v>1299</v>
      </c>
      <c r="H371" s="380" t="s">
        <v>2501</v>
      </c>
      <c r="I371" s="380" t="s">
        <v>1914</v>
      </c>
      <c r="J371" s="380" t="s">
        <v>1958</v>
      </c>
      <c r="K371" s="380" t="s">
        <v>1916</v>
      </c>
      <c r="L371" s="403">
        <v>0</v>
      </c>
    </row>
    <row r="372" spans="1:12" ht="15" customHeight="1" x14ac:dyDescent="0.25">
      <c r="A372" s="380" t="s">
        <v>2502</v>
      </c>
      <c r="B372" s="380" t="s">
        <v>1869</v>
      </c>
      <c r="C372" s="380" t="s">
        <v>1712</v>
      </c>
      <c r="D372" s="380" t="s">
        <v>1328</v>
      </c>
      <c r="E372" s="380" t="s">
        <v>327</v>
      </c>
      <c r="F372" s="380" t="s">
        <v>1417</v>
      </c>
      <c r="G372" s="380" t="s">
        <v>1301</v>
      </c>
      <c r="H372" s="380" t="s">
        <v>2503</v>
      </c>
      <c r="I372" s="380" t="s">
        <v>1914</v>
      </c>
      <c r="J372" s="380" t="s">
        <v>1961</v>
      </c>
      <c r="K372" s="380" t="s">
        <v>1916</v>
      </c>
      <c r="L372" s="403">
        <v>0</v>
      </c>
    </row>
    <row r="373" spans="1:12" ht="15" customHeight="1" x14ac:dyDescent="0.25">
      <c r="A373" s="380" t="s">
        <v>2504</v>
      </c>
      <c r="B373" s="380" t="s">
        <v>1869</v>
      </c>
      <c r="C373" s="380" t="s">
        <v>1712</v>
      </c>
      <c r="D373" s="380" t="s">
        <v>1338</v>
      </c>
      <c r="E373" s="380" t="s">
        <v>327</v>
      </c>
      <c r="F373" s="380" t="s">
        <v>1417</v>
      </c>
      <c r="G373" s="380" t="s">
        <v>1339</v>
      </c>
      <c r="H373" s="380" t="s">
        <v>2505</v>
      </c>
      <c r="I373" s="380" t="s">
        <v>1914</v>
      </c>
      <c r="J373" s="380" t="s">
        <v>1964</v>
      </c>
      <c r="K373" s="380"/>
      <c r="L373" s="403">
        <v>0.45</v>
      </c>
    </row>
    <row r="374" spans="1:12" ht="15" customHeight="1" x14ac:dyDescent="0.25">
      <c r="A374" s="380" t="s">
        <v>2506</v>
      </c>
      <c r="B374" s="380" t="s">
        <v>1869</v>
      </c>
      <c r="C374" s="380" t="s">
        <v>1712</v>
      </c>
      <c r="D374" s="380" t="s">
        <v>1966</v>
      </c>
      <c r="E374" s="380" t="s">
        <v>327</v>
      </c>
      <c r="F374" s="380" t="s">
        <v>1417</v>
      </c>
      <c r="G374" s="380" t="s">
        <v>1277</v>
      </c>
      <c r="H374" s="380" t="s">
        <v>2507</v>
      </c>
      <c r="I374" s="380" t="s">
        <v>1746</v>
      </c>
      <c r="J374" s="380" t="s">
        <v>1968</v>
      </c>
      <c r="K374" s="380" t="s">
        <v>1969</v>
      </c>
      <c r="L374" s="403">
        <v>0.52600000000000002</v>
      </c>
    </row>
    <row r="375" spans="1:12" ht="15" customHeight="1" x14ac:dyDescent="0.25">
      <c r="A375" s="380" t="s">
        <v>2508</v>
      </c>
      <c r="B375" s="380" t="s">
        <v>1869</v>
      </c>
      <c r="C375" s="380" t="s">
        <v>1712</v>
      </c>
      <c r="D375" s="380" t="s">
        <v>1971</v>
      </c>
      <c r="E375" s="380" t="s">
        <v>327</v>
      </c>
      <c r="F375" s="380" t="s">
        <v>1417</v>
      </c>
      <c r="G375" s="380" t="s">
        <v>1277</v>
      </c>
      <c r="H375" s="380" t="s">
        <v>2509</v>
      </c>
      <c r="I375" s="380" t="s">
        <v>1566</v>
      </c>
      <c r="J375" s="380" t="s">
        <v>1973</v>
      </c>
      <c r="K375" s="380" t="s">
        <v>1969</v>
      </c>
      <c r="L375" s="403">
        <v>0</v>
      </c>
    </row>
    <row r="376" spans="1:12" ht="15" customHeight="1" x14ac:dyDescent="0.25">
      <c r="A376" s="380" t="s">
        <v>2510</v>
      </c>
      <c r="B376" s="380" t="s">
        <v>1869</v>
      </c>
      <c r="C376" s="380" t="s">
        <v>1712</v>
      </c>
      <c r="D376" s="380" t="s">
        <v>1890</v>
      </c>
      <c r="E376" s="380" t="s">
        <v>330</v>
      </c>
      <c r="F376" s="380" t="s">
        <v>1445</v>
      </c>
      <c r="G376" s="380" t="s">
        <v>1277</v>
      </c>
      <c r="H376" s="380" t="s">
        <v>2511</v>
      </c>
      <c r="I376" s="380" t="s">
        <v>1307</v>
      </c>
      <c r="J376" s="380" t="s">
        <v>2123</v>
      </c>
      <c r="K376" s="380" t="s">
        <v>1893</v>
      </c>
      <c r="L376" s="406">
        <v>0</v>
      </c>
    </row>
    <row r="377" spans="1:12" ht="15" customHeight="1" x14ac:dyDescent="0.25">
      <c r="A377" s="380" t="s">
        <v>2512</v>
      </c>
      <c r="B377" s="380" t="s">
        <v>1869</v>
      </c>
      <c r="C377" s="380" t="s">
        <v>1712</v>
      </c>
      <c r="D377" s="380" t="s">
        <v>1895</v>
      </c>
      <c r="E377" s="380" t="s">
        <v>330</v>
      </c>
      <c r="F377" s="380" t="s">
        <v>1445</v>
      </c>
      <c r="G377" s="380" t="s">
        <v>1277</v>
      </c>
      <c r="H377" s="380" t="s">
        <v>2513</v>
      </c>
      <c r="I377" s="380" t="s">
        <v>1897</v>
      </c>
      <c r="J377" s="380" t="s">
        <v>1898</v>
      </c>
      <c r="K377" s="380"/>
      <c r="L377" s="404">
        <v>0.5</v>
      </c>
    </row>
    <row r="378" spans="1:12" ht="15" customHeight="1" x14ac:dyDescent="0.25">
      <c r="A378" s="380" t="s">
        <v>2514</v>
      </c>
      <c r="B378" s="380" t="s">
        <v>1869</v>
      </c>
      <c r="C378" s="380" t="s">
        <v>1712</v>
      </c>
      <c r="D378" s="380" t="s">
        <v>1900</v>
      </c>
      <c r="E378" s="380" t="s">
        <v>330</v>
      </c>
      <c r="F378" s="380" t="s">
        <v>1445</v>
      </c>
      <c r="G378" s="380" t="s">
        <v>1277</v>
      </c>
      <c r="H378" s="380" t="s">
        <v>2515</v>
      </c>
      <c r="I378" s="380" t="s">
        <v>1902</v>
      </c>
      <c r="J378" s="380" t="s">
        <v>1903</v>
      </c>
      <c r="K378" s="380"/>
      <c r="L378" s="404">
        <v>0.4</v>
      </c>
    </row>
    <row r="379" spans="1:12" ht="15" customHeight="1" x14ac:dyDescent="0.25">
      <c r="A379" s="380" t="s">
        <v>2516</v>
      </c>
      <c r="B379" s="380" t="s">
        <v>1869</v>
      </c>
      <c r="C379" s="380" t="s">
        <v>1712</v>
      </c>
      <c r="D379" s="380" t="s">
        <v>1905</v>
      </c>
      <c r="E379" s="380" t="s">
        <v>330</v>
      </c>
      <c r="F379" s="380" t="s">
        <v>1445</v>
      </c>
      <c r="G379" s="380" t="s">
        <v>1277</v>
      </c>
      <c r="H379" s="380" t="s">
        <v>2517</v>
      </c>
      <c r="I379" s="380" t="s">
        <v>1902</v>
      </c>
      <c r="J379" s="380" t="s">
        <v>1907</v>
      </c>
      <c r="K379" s="380"/>
      <c r="L379" s="404">
        <v>0.2</v>
      </c>
    </row>
    <row r="380" spans="1:12" ht="15" customHeight="1" x14ac:dyDescent="0.25">
      <c r="A380" s="380" t="s">
        <v>2518</v>
      </c>
      <c r="B380" s="380" t="s">
        <v>1869</v>
      </c>
      <c r="C380" s="380" t="s">
        <v>1712</v>
      </c>
      <c r="D380" s="380" t="s">
        <v>1909</v>
      </c>
      <c r="E380" s="380" t="s">
        <v>330</v>
      </c>
      <c r="F380" s="380" t="s">
        <v>1445</v>
      </c>
      <c r="G380" s="380" t="s">
        <v>1277</v>
      </c>
      <c r="H380" s="380" t="s">
        <v>2519</v>
      </c>
      <c r="I380" s="380" t="s">
        <v>1902</v>
      </c>
      <c r="J380" s="380" t="s">
        <v>1911</v>
      </c>
      <c r="K380" s="380"/>
      <c r="L380" s="404">
        <v>0.05</v>
      </c>
    </row>
    <row r="381" spans="1:12" ht="15" customHeight="1" x14ac:dyDescent="0.25">
      <c r="A381" s="380" t="s">
        <v>2520</v>
      </c>
      <c r="B381" s="380" t="s">
        <v>1869</v>
      </c>
      <c r="C381" s="380" t="s">
        <v>1712</v>
      </c>
      <c r="D381" s="380" t="s">
        <v>1317</v>
      </c>
      <c r="E381" s="380" t="s">
        <v>330</v>
      </c>
      <c r="F381" s="380" t="s">
        <v>1445</v>
      </c>
      <c r="G381" s="380" t="s">
        <v>757</v>
      </c>
      <c r="H381" s="380" t="s">
        <v>2521</v>
      </c>
      <c r="I381" s="380" t="s">
        <v>1914</v>
      </c>
      <c r="J381" s="380" t="s">
        <v>1915</v>
      </c>
      <c r="K381" s="380" t="s">
        <v>1916</v>
      </c>
      <c r="L381" s="403">
        <v>0</v>
      </c>
    </row>
    <row r="382" spans="1:12" ht="15" customHeight="1" x14ac:dyDescent="0.25">
      <c r="A382" s="380" t="s">
        <v>2522</v>
      </c>
      <c r="B382" s="380" t="s">
        <v>1869</v>
      </c>
      <c r="C382" s="380" t="s">
        <v>1712</v>
      </c>
      <c r="D382" s="380" t="s">
        <v>1317</v>
      </c>
      <c r="E382" s="380" t="s">
        <v>330</v>
      </c>
      <c r="F382" s="380" t="s">
        <v>1445</v>
      </c>
      <c r="G382" s="380" t="s">
        <v>754</v>
      </c>
      <c r="H382" s="380" t="s">
        <v>2523</v>
      </c>
      <c r="I382" s="380" t="s">
        <v>1914</v>
      </c>
      <c r="J382" s="380" t="s">
        <v>1919</v>
      </c>
      <c r="K382" s="380" t="s">
        <v>1916</v>
      </c>
      <c r="L382" s="403">
        <v>12</v>
      </c>
    </row>
    <row r="383" spans="1:12" ht="15" customHeight="1" x14ac:dyDescent="0.25">
      <c r="A383" s="380" t="s">
        <v>2524</v>
      </c>
      <c r="B383" s="380" t="s">
        <v>1869</v>
      </c>
      <c r="C383" s="380" t="s">
        <v>1712</v>
      </c>
      <c r="D383" s="380" t="s">
        <v>1317</v>
      </c>
      <c r="E383" s="380" t="s">
        <v>330</v>
      </c>
      <c r="F383" s="380" t="s">
        <v>1445</v>
      </c>
      <c r="G383" s="380" t="s">
        <v>1292</v>
      </c>
      <c r="H383" s="380" t="s">
        <v>2525</v>
      </c>
      <c r="I383" s="380" t="s">
        <v>1914</v>
      </c>
      <c r="J383" s="380" t="s">
        <v>1922</v>
      </c>
      <c r="K383" s="380" t="s">
        <v>1916</v>
      </c>
      <c r="L383" s="403">
        <v>0</v>
      </c>
    </row>
    <row r="384" spans="1:12" ht="15" customHeight="1" x14ac:dyDescent="0.25">
      <c r="A384" s="380" t="s">
        <v>2526</v>
      </c>
      <c r="B384" s="380" t="s">
        <v>1869</v>
      </c>
      <c r="C384" s="380" t="s">
        <v>1712</v>
      </c>
      <c r="D384" s="380" t="s">
        <v>1317</v>
      </c>
      <c r="E384" s="380" t="s">
        <v>330</v>
      </c>
      <c r="F384" s="380" t="s">
        <v>1445</v>
      </c>
      <c r="G384" s="380" t="s">
        <v>762</v>
      </c>
      <c r="H384" s="380" t="s">
        <v>2527</v>
      </c>
      <c r="I384" s="380" t="s">
        <v>1914</v>
      </c>
      <c r="J384" s="380" t="s">
        <v>1925</v>
      </c>
      <c r="K384" s="380" t="s">
        <v>1916</v>
      </c>
      <c r="L384" s="403">
        <v>0</v>
      </c>
    </row>
    <row r="385" spans="1:12" ht="15" customHeight="1" x14ac:dyDescent="0.25">
      <c r="A385" s="380" t="s">
        <v>2528</v>
      </c>
      <c r="B385" s="380" t="s">
        <v>1869</v>
      </c>
      <c r="C385" s="380" t="s">
        <v>1712</v>
      </c>
      <c r="D385" s="380" t="s">
        <v>1317</v>
      </c>
      <c r="E385" s="380" t="s">
        <v>330</v>
      </c>
      <c r="F385" s="380" t="s">
        <v>1445</v>
      </c>
      <c r="G385" s="380" t="s">
        <v>1295</v>
      </c>
      <c r="H385" s="380" t="s">
        <v>2529</v>
      </c>
      <c r="I385" s="380" t="s">
        <v>1914</v>
      </c>
      <c r="J385" s="380" t="s">
        <v>1928</v>
      </c>
      <c r="K385" s="380" t="s">
        <v>1916</v>
      </c>
      <c r="L385" s="403">
        <v>0</v>
      </c>
    </row>
    <row r="386" spans="1:12" ht="15" customHeight="1" x14ac:dyDescent="0.25">
      <c r="A386" s="380" t="s">
        <v>2530</v>
      </c>
      <c r="B386" s="380" t="s">
        <v>1869</v>
      </c>
      <c r="C386" s="380" t="s">
        <v>1712</v>
      </c>
      <c r="D386" s="380" t="s">
        <v>1317</v>
      </c>
      <c r="E386" s="380" t="s">
        <v>330</v>
      </c>
      <c r="F386" s="380" t="s">
        <v>1445</v>
      </c>
      <c r="G386" s="380" t="s">
        <v>1297</v>
      </c>
      <c r="H386" s="380" t="s">
        <v>2531</v>
      </c>
      <c r="I386" s="380" t="s">
        <v>1914</v>
      </c>
      <c r="J386" s="380" t="s">
        <v>1931</v>
      </c>
      <c r="K386" s="380" t="s">
        <v>1916</v>
      </c>
      <c r="L386" s="403">
        <v>0</v>
      </c>
    </row>
    <row r="387" spans="1:12" ht="15" customHeight="1" x14ac:dyDescent="0.25">
      <c r="A387" s="380" t="s">
        <v>2532</v>
      </c>
      <c r="B387" s="380" t="s">
        <v>1869</v>
      </c>
      <c r="C387" s="380" t="s">
        <v>1712</v>
      </c>
      <c r="D387" s="380" t="s">
        <v>1317</v>
      </c>
      <c r="E387" s="380" t="s">
        <v>330</v>
      </c>
      <c r="F387" s="380" t="s">
        <v>1445</v>
      </c>
      <c r="G387" s="380" t="s">
        <v>1299</v>
      </c>
      <c r="H387" s="380" t="s">
        <v>2533</v>
      </c>
      <c r="I387" s="380" t="s">
        <v>1914</v>
      </c>
      <c r="J387" s="380" t="s">
        <v>1934</v>
      </c>
      <c r="K387" s="380" t="s">
        <v>1916</v>
      </c>
      <c r="L387" s="403">
        <v>0</v>
      </c>
    </row>
    <row r="388" spans="1:12" ht="15" customHeight="1" x14ac:dyDescent="0.25">
      <c r="A388" s="380" t="s">
        <v>2534</v>
      </c>
      <c r="B388" s="380" t="s">
        <v>1869</v>
      </c>
      <c r="C388" s="380" t="s">
        <v>1712</v>
      </c>
      <c r="D388" s="380" t="s">
        <v>1317</v>
      </c>
      <c r="E388" s="380" t="s">
        <v>330</v>
      </c>
      <c r="F388" s="380" t="s">
        <v>1445</v>
      </c>
      <c r="G388" s="380" t="s">
        <v>1301</v>
      </c>
      <c r="H388" s="380" t="s">
        <v>2535</v>
      </c>
      <c r="I388" s="380" t="s">
        <v>1914</v>
      </c>
      <c r="J388" s="380" t="s">
        <v>1937</v>
      </c>
      <c r="K388" s="380" t="s">
        <v>1916</v>
      </c>
      <c r="L388" s="403">
        <v>0</v>
      </c>
    </row>
    <row r="389" spans="1:12" ht="15" customHeight="1" x14ac:dyDescent="0.25">
      <c r="A389" s="380" t="s">
        <v>2536</v>
      </c>
      <c r="B389" s="380" t="s">
        <v>1869</v>
      </c>
      <c r="C389" s="380" t="s">
        <v>1712</v>
      </c>
      <c r="D389" s="380" t="s">
        <v>1328</v>
      </c>
      <c r="E389" s="380" t="s">
        <v>330</v>
      </c>
      <c r="F389" s="380" t="s">
        <v>1445</v>
      </c>
      <c r="G389" s="380" t="s">
        <v>757</v>
      </c>
      <c r="H389" s="380" t="s">
        <v>2537</v>
      </c>
      <c r="I389" s="380" t="s">
        <v>1914</v>
      </c>
      <c r="J389" s="380" t="s">
        <v>1940</v>
      </c>
      <c r="K389" s="380" t="s">
        <v>1916</v>
      </c>
      <c r="L389" s="403">
        <v>0</v>
      </c>
    </row>
    <row r="390" spans="1:12" ht="15" customHeight="1" x14ac:dyDescent="0.25">
      <c r="A390" s="380" t="s">
        <v>2538</v>
      </c>
      <c r="B390" s="380" t="s">
        <v>1869</v>
      </c>
      <c r="C390" s="380" t="s">
        <v>1712</v>
      </c>
      <c r="D390" s="380" t="s">
        <v>1328</v>
      </c>
      <c r="E390" s="380" t="s">
        <v>330</v>
      </c>
      <c r="F390" s="380" t="s">
        <v>1445</v>
      </c>
      <c r="G390" s="380" t="s">
        <v>754</v>
      </c>
      <c r="H390" s="380" t="s">
        <v>2539</v>
      </c>
      <c r="I390" s="380" t="s">
        <v>1914</v>
      </c>
      <c r="J390" s="380" t="s">
        <v>1943</v>
      </c>
      <c r="K390" s="380" t="s">
        <v>1916</v>
      </c>
      <c r="L390" s="403">
        <v>24</v>
      </c>
    </row>
    <row r="391" spans="1:12" ht="15" customHeight="1" x14ac:dyDescent="0.25">
      <c r="A391" s="380" t="s">
        <v>2540</v>
      </c>
      <c r="B391" s="380" t="s">
        <v>1869</v>
      </c>
      <c r="C391" s="380" t="s">
        <v>1712</v>
      </c>
      <c r="D391" s="380" t="s">
        <v>1328</v>
      </c>
      <c r="E391" s="380" t="s">
        <v>330</v>
      </c>
      <c r="F391" s="380" t="s">
        <v>1445</v>
      </c>
      <c r="G391" s="380" t="s">
        <v>1292</v>
      </c>
      <c r="H391" s="380" t="s">
        <v>2541</v>
      </c>
      <c r="I391" s="380" t="s">
        <v>1914</v>
      </c>
      <c r="J391" s="380" t="s">
        <v>1946</v>
      </c>
      <c r="K391" s="380" t="s">
        <v>1916</v>
      </c>
      <c r="L391" s="403">
        <v>0</v>
      </c>
    </row>
    <row r="392" spans="1:12" ht="15" customHeight="1" x14ac:dyDescent="0.25">
      <c r="A392" s="380" t="s">
        <v>2542</v>
      </c>
      <c r="B392" s="380" t="s">
        <v>1869</v>
      </c>
      <c r="C392" s="380" t="s">
        <v>1712</v>
      </c>
      <c r="D392" s="380" t="s">
        <v>1328</v>
      </c>
      <c r="E392" s="380" t="s">
        <v>330</v>
      </c>
      <c r="F392" s="380" t="s">
        <v>1445</v>
      </c>
      <c r="G392" s="380" t="s">
        <v>762</v>
      </c>
      <c r="H392" s="380" t="s">
        <v>2543</v>
      </c>
      <c r="I392" s="380" t="s">
        <v>1914</v>
      </c>
      <c r="J392" s="380" t="s">
        <v>1949</v>
      </c>
      <c r="K392" s="380" t="s">
        <v>1916</v>
      </c>
      <c r="L392" s="403">
        <v>0</v>
      </c>
    </row>
    <row r="393" spans="1:12" ht="15" customHeight="1" x14ac:dyDescent="0.25">
      <c r="A393" s="380" t="s">
        <v>2544</v>
      </c>
      <c r="B393" s="380" t="s">
        <v>1869</v>
      </c>
      <c r="C393" s="380" t="s">
        <v>1712</v>
      </c>
      <c r="D393" s="380" t="s">
        <v>1328</v>
      </c>
      <c r="E393" s="380" t="s">
        <v>330</v>
      </c>
      <c r="F393" s="380" t="s">
        <v>1445</v>
      </c>
      <c r="G393" s="380" t="s">
        <v>1295</v>
      </c>
      <c r="H393" s="380" t="s">
        <v>2545</v>
      </c>
      <c r="I393" s="380" t="s">
        <v>1914</v>
      </c>
      <c r="J393" s="380" t="s">
        <v>1952</v>
      </c>
      <c r="K393" s="380" t="s">
        <v>1916</v>
      </c>
      <c r="L393" s="403">
        <v>0</v>
      </c>
    </row>
    <row r="394" spans="1:12" ht="15" customHeight="1" x14ac:dyDescent="0.25">
      <c r="A394" s="380" t="s">
        <v>2546</v>
      </c>
      <c r="B394" s="380" t="s">
        <v>1869</v>
      </c>
      <c r="C394" s="380" t="s">
        <v>1712</v>
      </c>
      <c r="D394" s="380" t="s">
        <v>1328</v>
      </c>
      <c r="E394" s="380" t="s">
        <v>330</v>
      </c>
      <c r="F394" s="380" t="s">
        <v>1445</v>
      </c>
      <c r="G394" s="380" t="s">
        <v>1297</v>
      </c>
      <c r="H394" s="380" t="s">
        <v>2547</v>
      </c>
      <c r="I394" s="380" t="s">
        <v>1914</v>
      </c>
      <c r="J394" s="380" t="s">
        <v>1955</v>
      </c>
      <c r="K394" s="380" t="s">
        <v>1916</v>
      </c>
      <c r="L394" s="403">
        <v>0</v>
      </c>
    </row>
    <row r="395" spans="1:12" ht="15" customHeight="1" x14ac:dyDescent="0.25">
      <c r="A395" s="380" t="s">
        <v>2548</v>
      </c>
      <c r="B395" s="380" t="s">
        <v>1869</v>
      </c>
      <c r="C395" s="380" t="s">
        <v>1712</v>
      </c>
      <c r="D395" s="380" t="s">
        <v>1328</v>
      </c>
      <c r="E395" s="380" t="s">
        <v>330</v>
      </c>
      <c r="F395" s="380" t="s">
        <v>1445</v>
      </c>
      <c r="G395" s="380" t="s">
        <v>1299</v>
      </c>
      <c r="H395" s="380" t="s">
        <v>2549</v>
      </c>
      <c r="I395" s="380" t="s">
        <v>1914</v>
      </c>
      <c r="J395" s="380" t="s">
        <v>1958</v>
      </c>
      <c r="K395" s="380" t="s">
        <v>1916</v>
      </c>
      <c r="L395" s="403">
        <v>0</v>
      </c>
    </row>
    <row r="396" spans="1:12" ht="15" customHeight="1" x14ac:dyDescent="0.25">
      <c r="A396" s="380" t="s">
        <v>2550</v>
      </c>
      <c r="B396" s="380" t="s">
        <v>1869</v>
      </c>
      <c r="C396" s="380" t="s">
        <v>1712</v>
      </c>
      <c r="D396" s="380" t="s">
        <v>1328</v>
      </c>
      <c r="E396" s="380" t="s">
        <v>330</v>
      </c>
      <c r="F396" s="380" t="s">
        <v>1445</v>
      </c>
      <c r="G396" s="380" t="s">
        <v>1301</v>
      </c>
      <c r="H396" s="380" t="s">
        <v>2551</v>
      </c>
      <c r="I396" s="380" t="s">
        <v>1914</v>
      </c>
      <c r="J396" s="380" t="s">
        <v>1961</v>
      </c>
      <c r="K396" s="380" t="s">
        <v>1916</v>
      </c>
      <c r="L396" s="403">
        <v>0</v>
      </c>
    </row>
    <row r="397" spans="1:12" ht="15" customHeight="1" x14ac:dyDescent="0.25">
      <c r="A397" s="380" t="s">
        <v>2552</v>
      </c>
      <c r="B397" s="380" t="s">
        <v>1869</v>
      </c>
      <c r="C397" s="380" t="s">
        <v>1712</v>
      </c>
      <c r="D397" s="380" t="s">
        <v>1338</v>
      </c>
      <c r="E397" s="380" t="s">
        <v>330</v>
      </c>
      <c r="F397" s="380" t="s">
        <v>1445</v>
      </c>
      <c r="G397" s="380" t="s">
        <v>1339</v>
      </c>
      <c r="H397" s="380" t="s">
        <v>2553</v>
      </c>
      <c r="I397" s="380" t="s">
        <v>1914</v>
      </c>
      <c r="J397" s="380" t="s">
        <v>1964</v>
      </c>
      <c r="K397" s="380"/>
      <c r="L397" s="403">
        <v>0.3</v>
      </c>
    </row>
    <row r="398" spans="1:12" ht="15" customHeight="1" x14ac:dyDescent="0.25">
      <c r="A398" s="380" t="s">
        <v>2554</v>
      </c>
      <c r="B398" s="380" t="s">
        <v>1869</v>
      </c>
      <c r="C398" s="380" t="s">
        <v>1712</v>
      </c>
      <c r="D398" s="380" t="s">
        <v>1966</v>
      </c>
      <c r="E398" s="380" t="s">
        <v>330</v>
      </c>
      <c r="F398" s="380" t="s">
        <v>1445</v>
      </c>
      <c r="G398" s="380" t="s">
        <v>1277</v>
      </c>
      <c r="H398" s="380" t="s">
        <v>2555</v>
      </c>
      <c r="I398" s="380" t="s">
        <v>1746</v>
      </c>
      <c r="J398" s="380" t="s">
        <v>1968</v>
      </c>
      <c r="K398" s="380" t="s">
        <v>1969</v>
      </c>
      <c r="L398" s="403">
        <v>0</v>
      </c>
    </row>
    <row r="399" spans="1:12" ht="15" customHeight="1" x14ac:dyDescent="0.25">
      <c r="A399" s="380" t="s">
        <v>2556</v>
      </c>
      <c r="B399" s="380" t="s">
        <v>1869</v>
      </c>
      <c r="C399" s="380" t="s">
        <v>1712</v>
      </c>
      <c r="D399" s="380" t="s">
        <v>1971</v>
      </c>
      <c r="E399" s="380" t="s">
        <v>330</v>
      </c>
      <c r="F399" s="380" t="s">
        <v>1445</v>
      </c>
      <c r="G399" s="380" t="s">
        <v>1277</v>
      </c>
      <c r="H399" s="380" t="s">
        <v>2557</v>
      </c>
      <c r="I399" s="380" t="s">
        <v>1566</v>
      </c>
      <c r="J399" s="380" t="s">
        <v>1973</v>
      </c>
      <c r="K399" s="380" t="s">
        <v>1969</v>
      </c>
      <c r="L399" s="403">
        <v>0</v>
      </c>
    </row>
    <row r="400" spans="1:12" ht="15" customHeight="1" x14ac:dyDescent="0.25">
      <c r="A400" s="380" t="s">
        <v>2558</v>
      </c>
      <c r="B400" s="380" t="s">
        <v>1869</v>
      </c>
      <c r="C400" s="380" t="s">
        <v>1712</v>
      </c>
      <c r="D400" s="380" t="s">
        <v>1890</v>
      </c>
      <c r="E400" s="380" t="s">
        <v>330</v>
      </c>
      <c r="F400" s="380" t="s">
        <v>1473</v>
      </c>
      <c r="G400" s="380" t="s">
        <v>1277</v>
      </c>
      <c r="H400" s="380" t="s">
        <v>2559</v>
      </c>
      <c r="I400" s="380" t="s">
        <v>1307</v>
      </c>
      <c r="J400" s="380" t="s">
        <v>2172</v>
      </c>
      <c r="K400" s="380" t="s">
        <v>1893</v>
      </c>
      <c r="L400" s="406">
        <v>0</v>
      </c>
    </row>
    <row r="401" spans="1:12" ht="15" customHeight="1" x14ac:dyDescent="0.25">
      <c r="A401" s="380" t="s">
        <v>2560</v>
      </c>
      <c r="B401" s="380" t="s">
        <v>1869</v>
      </c>
      <c r="C401" s="380" t="s">
        <v>1712</v>
      </c>
      <c r="D401" s="380" t="s">
        <v>1895</v>
      </c>
      <c r="E401" s="380" t="s">
        <v>330</v>
      </c>
      <c r="F401" s="380" t="s">
        <v>1473</v>
      </c>
      <c r="G401" s="380" t="s">
        <v>1277</v>
      </c>
      <c r="H401" s="380" t="s">
        <v>2561</v>
      </c>
      <c r="I401" s="380" t="s">
        <v>1897</v>
      </c>
      <c r="J401" s="380" t="s">
        <v>1898</v>
      </c>
      <c r="K401" s="380"/>
      <c r="L401" s="404">
        <v>0.5</v>
      </c>
    </row>
    <row r="402" spans="1:12" ht="15" customHeight="1" x14ac:dyDescent="0.25">
      <c r="A402" s="380" t="s">
        <v>2562</v>
      </c>
      <c r="B402" s="380" t="s">
        <v>1869</v>
      </c>
      <c r="C402" s="380" t="s">
        <v>1712</v>
      </c>
      <c r="D402" s="380" t="s">
        <v>1900</v>
      </c>
      <c r="E402" s="380" t="s">
        <v>330</v>
      </c>
      <c r="F402" s="380" t="s">
        <v>1473</v>
      </c>
      <c r="G402" s="380" t="s">
        <v>1277</v>
      </c>
      <c r="H402" s="380" t="s">
        <v>2563</v>
      </c>
      <c r="I402" s="380" t="s">
        <v>1902</v>
      </c>
      <c r="J402" s="380" t="s">
        <v>1903</v>
      </c>
      <c r="K402" s="380"/>
      <c r="L402" s="404">
        <v>0.4</v>
      </c>
    </row>
    <row r="403" spans="1:12" ht="15" customHeight="1" x14ac:dyDescent="0.25">
      <c r="A403" s="380" t="s">
        <v>2564</v>
      </c>
      <c r="B403" s="380" t="s">
        <v>1869</v>
      </c>
      <c r="C403" s="380" t="s">
        <v>1712</v>
      </c>
      <c r="D403" s="380" t="s">
        <v>1905</v>
      </c>
      <c r="E403" s="380" t="s">
        <v>330</v>
      </c>
      <c r="F403" s="380" t="s">
        <v>1473</v>
      </c>
      <c r="G403" s="380" t="s">
        <v>1277</v>
      </c>
      <c r="H403" s="380" t="s">
        <v>2565</v>
      </c>
      <c r="I403" s="380" t="s">
        <v>1902</v>
      </c>
      <c r="J403" s="380" t="s">
        <v>1907</v>
      </c>
      <c r="K403" s="380"/>
      <c r="L403" s="404">
        <v>0.22</v>
      </c>
    </row>
    <row r="404" spans="1:12" ht="15" customHeight="1" x14ac:dyDescent="0.25">
      <c r="A404" s="380" t="s">
        <v>2566</v>
      </c>
      <c r="B404" s="380" t="s">
        <v>1869</v>
      </c>
      <c r="C404" s="380" t="s">
        <v>1712</v>
      </c>
      <c r="D404" s="380" t="s">
        <v>1909</v>
      </c>
      <c r="E404" s="380" t="s">
        <v>330</v>
      </c>
      <c r="F404" s="380" t="s">
        <v>1473</v>
      </c>
      <c r="G404" s="380" t="s">
        <v>1277</v>
      </c>
      <c r="H404" s="380" t="s">
        <v>2567</v>
      </c>
      <c r="I404" s="380" t="s">
        <v>1902</v>
      </c>
      <c r="J404" s="380" t="s">
        <v>1911</v>
      </c>
      <c r="K404" s="380"/>
      <c r="L404" s="404">
        <v>0.05</v>
      </c>
    </row>
    <row r="405" spans="1:12" ht="15" customHeight="1" x14ac:dyDescent="0.25">
      <c r="A405" s="380" t="s">
        <v>2568</v>
      </c>
      <c r="B405" s="380" t="s">
        <v>1869</v>
      </c>
      <c r="C405" s="380" t="s">
        <v>1712</v>
      </c>
      <c r="D405" s="380" t="s">
        <v>1317</v>
      </c>
      <c r="E405" s="380" t="s">
        <v>330</v>
      </c>
      <c r="F405" s="380" t="s">
        <v>1473</v>
      </c>
      <c r="G405" s="380" t="s">
        <v>757</v>
      </c>
      <c r="H405" s="380" t="s">
        <v>2569</v>
      </c>
      <c r="I405" s="380" t="s">
        <v>1914</v>
      </c>
      <c r="J405" s="380" t="s">
        <v>1915</v>
      </c>
      <c r="K405" s="380" t="s">
        <v>1916</v>
      </c>
      <c r="L405" s="403">
        <v>0</v>
      </c>
    </row>
    <row r="406" spans="1:12" ht="15" customHeight="1" x14ac:dyDescent="0.25">
      <c r="A406" s="380" t="s">
        <v>2570</v>
      </c>
      <c r="B406" s="380" t="s">
        <v>1869</v>
      </c>
      <c r="C406" s="380" t="s">
        <v>1712</v>
      </c>
      <c r="D406" s="380" t="s">
        <v>1317</v>
      </c>
      <c r="E406" s="380" t="s">
        <v>330</v>
      </c>
      <c r="F406" s="380" t="s">
        <v>1473</v>
      </c>
      <c r="G406" s="380" t="s">
        <v>754</v>
      </c>
      <c r="H406" s="380" t="s">
        <v>2571</v>
      </c>
      <c r="I406" s="380" t="s">
        <v>1914</v>
      </c>
      <c r="J406" s="380" t="s">
        <v>1919</v>
      </c>
      <c r="K406" s="380" t="s">
        <v>1916</v>
      </c>
      <c r="L406" s="403">
        <v>3</v>
      </c>
    </row>
    <row r="407" spans="1:12" ht="15" customHeight="1" x14ac:dyDescent="0.25">
      <c r="A407" s="380" t="s">
        <v>2572</v>
      </c>
      <c r="B407" s="380" t="s">
        <v>1869</v>
      </c>
      <c r="C407" s="380" t="s">
        <v>1712</v>
      </c>
      <c r="D407" s="380" t="s">
        <v>1317</v>
      </c>
      <c r="E407" s="380" t="s">
        <v>330</v>
      </c>
      <c r="F407" s="380" t="s">
        <v>1473</v>
      </c>
      <c r="G407" s="380" t="s">
        <v>1292</v>
      </c>
      <c r="H407" s="380" t="s">
        <v>2573</v>
      </c>
      <c r="I407" s="380" t="s">
        <v>1914</v>
      </c>
      <c r="J407" s="380" t="s">
        <v>1922</v>
      </c>
      <c r="K407" s="380" t="s">
        <v>1916</v>
      </c>
      <c r="L407" s="403">
        <v>0</v>
      </c>
    </row>
    <row r="408" spans="1:12" ht="15" customHeight="1" x14ac:dyDescent="0.25">
      <c r="A408" s="380" t="s">
        <v>2574</v>
      </c>
      <c r="B408" s="380" t="s">
        <v>1869</v>
      </c>
      <c r="C408" s="380" t="s">
        <v>1712</v>
      </c>
      <c r="D408" s="380" t="s">
        <v>1317</v>
      </c>
      <c r="E408" s="380" t="s">
        <v>330</v>
      </c>
      <c r="F408" s="380" t="s">
        <v>1473</v>
      </c>
      <c r="G408" s="380" t="s">
        <v>762</v>
      </c>
      <c r="H408" s="380" t="s">
        <v>2575</v>
      </c>
      <c r="I408" s="380" t="s">
        <v>1914</v>
      </c>
      <c r="J408" s="380" t="s">
        <v>1925</v>
      </c>
      <c r="K408" s="380" t="s">
        <v>1916</v>
      </c>
      <c r="L408" s="403">
        <v>0</v>
      </c>
    </row>
    <row r="409" spans="1:12" ht="15" customHeight="1" x14ac:dyDescent="0.25">
      <c r="A409" s="380" t="s">
        <v>2576</v>
      </c>
      <c r="B409" s="380" t="s">
        <v>1869</v>
      </c>
      <c r="C409" s="380" t="s">
        <v>1712</v>
      </c>
      <c r="D409" s="380" t="s">
        <v>1317</v>
      </c>
      <c r="E409" s="380" t="s">
        <v>330</v>
      </c>
      <c r="F409" s="380" t="s">
        <v>1473</v>
      </c>
      <c r="G409" s="380" t="s">
        <v>1295</v>
      </c>
      <c r="H409" s="380" t="s">
        <v>2577</v>
      </c>
      <c r="I409" s="380" t="s">
        <v>1914</v>
      </c>
      <c r="J409" s="380" t="s">
        <v>1928</v>
      </c>
      <c r="K409" s="380" t="s">
        <v>1916</v>
      </c>
      <c r="L409" s="403">
        <v>0</v>
      </c>
    </row>
    <row r="410" spans="1:12" ht="15" customHeight="1" x14ac:dyDescent="0.25">
      <c r="A410" s="380" t="s">
        <v>2578</v>
      </c>
      <c r="B410" s="380" t="s">
        <v>1869</v>
      </c>
      <c r="C410" s="380" t="s">
        <v>1712</v>
      </c>
      <c r="D410" s="380" t="s">
        <v>1317</v>
      </c>
      <c r="E410" s="380" t="s">
        <v>330</v>
      </c>
      <c r="F410" s="380" t="s">
        <v>1473</v>
      </c>
      <c r="G410" s="380" t="s">
        <v>1297</v>
      </c>
      <c r="H410" s="380" t="s">
        <v>2579</v>
      </c>
      <c r="I410" s="380" t="s">
        <v>1914</v>
      </c>
      <c r="J410" s="380" t="s">
        <v>1931</v>
      </c>
      <c r="K410" s="380" t="s">
        <v>1916</v>
      </c>
      <c r="L410" s="403">
        <v>0</v>
      </c>
    </row>
    <row r="411" spans="1:12" ht="15" customHeight="1" x14ac:dyDescent="0.25">
      <c r="A411" s="380" t="s">
        <v>2580</v>
      </c>
      <c r="B411" s="380" t="s">
        <v>1869</v>
      </c>
      <c r="C411" s="380" t="s">
        <v>1712</v>
      </c>
      <c r="D411" s="380" t="s">
        <v>1317</v>
      </c>
      <c r="E411" s="380" t="s">
        <v>330</v>
      </c>
      <c r="F411" s="380" t="s">
        <v>1473</v>
      </c>
      <c r="G411" s="380" t="s">
        <v>1299</v>
      </c>
      <c r="H411" s="380" t="s">
        <v>2581</v>
      </c>
      <c r="I411" s="380" t="s">
        <v>1914</v>
      </c>
      <c r="J411" s="380" t="s">
        <v>1934</v>
      </c>
      <c r="K411" s="380" t="s">
        <v>1916</v>
      </c>
      <c r="L411" s="403">
        <v>0</v>
      </c>
    </row>
    <row r="412" spans="1:12" ht="15" customHeight="1" x14ac:dyDescent="0.25">
      <c r="A412" s="380" t="s">
        <v>2582</v>
      </c>
      <c r="B412" s="380" t="s">
        <v>1869</v>
      </c>
      <c r="C412" s="380" t="s">
        <v>1712</v>
      </c>
      <c r="D412" s="380" t="s">
        <v>1317</v>
      </c>
      <c r="E412" s="380" t="s">
        <v>330</v>
      </c>
      <c r="F412" s="380" t="s">
        <v>1473</v>
      </c>
      <c r="G412" s="380" t="s">
        <v>1301</v>
      </c>
      <c r="H412" s="380" t="s">
        <v>2583</v>
      </c>
      <c r="I412" s="380" t="s">
        <v>1914</v>
      </c>
      <c r="J412" s="380" t="s">
        <v>1937</v>
      </c>
      <c r="K412" s="380" t="s">
        <v>1916</v>
      </c>
      <c r="L412" s="403">
        <v>0</v>
      </c>
    </row>
    <row r="413" spans="1:12" ht="15" customHeight="1" x14ac:dyDescent="0.25">
      <c r="A413" s="380" t="s">
        <v>2584</v>
      </c>
      <c r="B413" s="380" t="s">
        <v>1869</v>
      </c>
      <c r="C413" s="380" t="s">
        <v>1712</v>
      </c>
      <c r="D413" s="380" t="s">
        <v>1328</v>
      </c>
      <c r="E413" s="380" t="s">
        <v>330</v>
      </c>
      <c r="F413" s="380" t="s">
        <v>1473</v>
      </c>
      <c r="G413" s="380" t="s">
        <v>757</v>
      </c>
      <c r="H413" s="380" t="s">
        <v>2585</v>
      </c>
      <c r="I413" s="380" t="s">
        <v>1914</v>
      </c>
      <c r="J413" s="380" t="s">
        <v>1940</v>
      </c>
      <c r="K413" s="380" t="s">
        <v>1916</v>
      </c>
      <c r="L413" s="403">
        <v>0</v>
      </c>
    </row>
    <row r="414" spans="1:12" ht="15" customHeight="1" x14ac:dyDescent="0.25">
      <c r="A414" s="380" t="s">
        <v>2586</v>
      </c>
      <c r="B414" s="380" t="s">
        <v>1869</v>
      </c>
      <c r="C414" s="380" t="s">
        <v>1712</v>
      </c>
      <c r="D414" s="380" t="s">
        <v>1328</v>
      </c>
      <c r="E414" s="380" t="s">
        <v>330</v>
      </c>
      <c r="F414" s="380" t="s">
        <v>1473</v>
      </c>
      <c r="G414" s="380" t="s">
        <v>754</v>
      </c>
      <c r="H414" s="380" t="s">
        <v>2587</v>
      </c>
      <c r="I414" s="380" t="s">
        <v>1914</v>
      </c>
      <c r="J414" s="380" t="s">
        <v>1943</v>
      </c>
      <c r="K414" s="380" t="s">
        <v>1916</v>
      </c>
      <c r="L414" s="403">
        <v>0</v>
      </c>
    </row>
    <row r="415" spans="1:12" ht="15" customHeight="1" x14ac:dyDescent="0.25">
      <c r="A415" s="380" t="s">
        <v>2588</v>
      </c>
      <c r="B415" s="380" t="s">
        <v>1869</v>
      </c>
      <c r="C415" s="380" t="s">
        <v>1712</v>
      </c>
      <c r="D415" s="380" t="s">
        <v>1328</v>
      </c>
      <c r="E415" s="380" t="s">
        <v>330</v>
      </c>
      <c r="F415" s="380" t="s">
        <v>1473</v>
      </c>
      <c r="G415" s="380" t="s">
        <v>1292</v>
      </c>
      <c r="H415" s="380" t="s">
        <v>2589</v>
      </c>
      <c r="I415" s="380" t="s">
        <v>1914</v>
      </c>
      <c r="J415" s="380" t="s">
        <v>1946</v>
      </c>
      <c r="K415" s="380" t="s">
        <v>1916</v>
      </c>
      <c r="L415" s="403">
        <v>0</v>
      </c>
    </row>
    <row r="416" spans="1:12" ht="15" customHeight="1" x14ac:dyDescent="0.25">
      <c r="A416" s="380" t="s">
        <v>2590</v>
      </c>
      <c r="B416" s="380" t="s">
        <v>1869</v>
      </c>
      <c r="C416" s="380" t="s">
        <v>1712</v>
      </c>
      <c r="D416" s="380" t="s">
        <v>1328</v>
      </c>
      <c r="E416" s="380" t="s">
        <v>330</v>
      </c>
      <c r="F416" s="380" t="s">
        <v>1473</v>
      </c>
      <c r="G416" s="380" t="s">
        <v>762</v>
      </c>
      <c r="H416" s="380" t="s">
        <v>2591</v>
      </c>
      <c r="I416" s="380" t="s">
        <v>1914</v>
      </c>
      <c r="J416" s="380" t="s">
        <v>1949</v>
      </c>
      <c r="K416" s="380" t="s">
        <v>1916</v>
      </c>
      <c r="L416" s="403">
        <v>0</v>
      </c>
    </row>
    <row r="417" spans="1:12" ht="15" customHeight="1" x14ac:dyDescent="0.25">
      <c r="A417" s="380" t="s">
        <v>2592</v>
      </c>
      <c r="B417" s="380" t="s">
        <v>1869</v>
      </c>
      <c r="C417" s="380" t="s">
        <v>1712</v>
      </c>
      <c r="D417" s="380" t="s">
        <v>1328</v>
      </c>
      <c r="E417" s="380" t="s">
        <v>330</v>
      </c>
      <c r="F417" s="380" t="s">
        <v>1473</v>
      </c>
      <c r="G417" s="380" t="s">
        <v>1295</v>
      </c>
      <c r="H417" s="380" t="s">
        <v>2593</v>
      </c>
      <c r="I417" s="380" t="s">
        <v>1914</v>
      </c>
      <c r="J417" s="380" t="s">
        <v>1952</v>
      </c>
      <c r="K417" s="380" t="s">
        <v>1916</v>
      </c>
      <c r="L417" s="403">
        <v>0</v>
      </c>
    </row>
    <row r="418" spans="1:12" ht="15" customHeight="1" x14ac:dyDescent="0.25">
      <c r="A418" s="380" t="s">
        <v>2594</v>
      </c>
      <c r="B418" s="380" t="s">
        <v>1869</v>
      </c>
      <c r="C418" s="380" t="s">
        <v>1712</v>
      </c>
      <c r="D418" s="380" t="s">
        <v>1328</v>
      </c>
      <c r="E418" s="380" t="s">
        <v>330</v>
      </c>
      <c r="F418" s="380" t="s">
        <v>1473</v>
      </c>
      <c r="G418" s="380" t="s">
        <v>1297</v>
      </c>
      <c r="H418" s="380" t="s">
        <v>2595</v>
      </c>
      <c r="I418" s="380" t="s">
        <v>1914</v>
      </c>
      <c r="J418" s="380" t="s">
        <v>1955</v>
      </c>
      <c r="K418" s="380" t="s">
        <v>1916</v>
      </c>
      <c r="L418" s="403">
        <v>0</v>
      </c>
    </row>
    <row r="419" spans="1:12" ht="15" customHeight="1" x14ac:dyDescent="0.25">
      <c r="A419" s="380" t="s">
        <v>2596</v>
      </c>
      <c r="B419" s="380" t="s">
        <v>1869</v>
      </c>
      <c r="C419" s="380" t="s">
        <v>1712</v>
      </c>
      <c r="D419" s="380" t="s">
        <v>1328</v>
      </c>
      <c r="E419" s="380" t="s">
        <v>330</v>
      </c>
      <c r="F419" s="380" t="s">
        <v>1473</v>
      </c>
      <c r="G419" s="380" t="s">
        <v>1299</v>
      </c>
      <c r="H419" s="380" t="s">
        <v>2597</v>
      </c>
      <c r="I419" s="380" t="s">
        <v>1914</v>
      </c>
      <c r="J419" s="380" t="s">
        <v>1958</v>
      </c>
      <c r="K419" s="380" t="s">
        <v>1916</v>
      </c>
      <c r="L419" s="403">
        <v>0</v>
      </c>
    </row>
    <row r="420" spans="1:12" ht="15" customHeight="1" x14ac:dyDescent="0.25">
      <c r="A420" s="380" t="s">
        <v>2598</v>
      </c>
      <c r="B420" s="380" t="s">
        <v>1869</v>
      </c>
      <c r="C420" s="380" t="s">
        <v>1712</v>
      </c>
      <c r="D420" s="380" t="s">
        <v>1328</v>
      </c>
      <c r="E420" s="380" t="s">
        <v>330</v>
      </c>
      <c r="F420" s="380" t="s">
        <v>1473</v>
      </c>
      <c r="G420" s="380" t="s">
        <v>1301</v>
      </c>
      <c r="H420" s="380" t="s">
        <v>2599</v>
      </c>
      <c r="I420" s="380" t="s">
        <v>1914</v>
      </c>
      <c r="J420" s="380" t="s">
        <v>1961</v>
      </c>
      <c r="K420" s="380" t="s">
        <v>1916</v>
      </c>
      <c r="L420" s="403">
        <v>0</v>
      </c>
    </row>
    <row r="421" spans="1:12" ht="15" customHeight="1" x14ac:dyDescent="0.25">
      <c r="A421" s="380" t="s">
        <v>2600</v>
      </c>
      <c r="B421" s="380" t="s">
        <v>1869</v>
      </c>
      <c r="C421" s="380" t="s">
        <v>1712</v>
      </c>
      <c r="D421" s="380" t="s">
        <v>1338</v>
      </c>
      <c r="E421" s="380" t="s">
        <v>330</v>
      </c>
      <c r="F421" s="380" t="s">
        <v>1473</v>
      </c>
      <c r="G421" s="380" t="s">
        <v>1339</v>
      </c>
      <c r="H421" s="380" t="s">
        <v>2601</v>
      </c>
      <c r="I421" s="380" t="s">
        <v>1914</v>
      </c>
      <c r="J421" s="380" t="s">
        <v>1964</v>
      </c>
      <c r="K421" s="380"/>
      <c r="L421" s="403">
        <v>0.3</v>
      </c>
    </row>
    <row r="422" spans="1:12" ht="15" customHeight="1" x14ac:dyDescent="0.25">
      <c r="A422" s="380" t="s">
        <v>2602</v>
      </c>
      <c r="B422" s="380" t="s">
        <v>1869</v>
      </c>
      <c r="C422" s="380" t="s">
        <v>1712</v>
      </c>
      <c r="D422" s="380" t="s">
        <v>1966</v>
      </c>
      <c r="E422" s="380" t="s">
        <v>330</v>
      </c>
      <c r="F422" s="380" t="s">
        <v>1473</v>
      </c>
      <c r="G422" s="380" t="s">
        <v>1277</v>
      </c>
      <c r="H422" s="380" t="s">
        <v>2603</v>
      </c>
      <c r="I422" s="380" t="s">
        <v>1746</v>
      </c>
      <c r="J422" s="380" t="s">
        <v>1968</v>
      </c>
      <c r="K422" s="380" t="s">
        <v>1969</v>
      </c>
      <c r="L422" s="403">
        <v>-0.73299999999999998</v>
      </c>
    </row>
    <row r="423" spans="1:12" ht="15" customHeight="1" x14ac:dyDescent="0.25">
      <c r="A423" s="380" t="s">
        <v>2604</v>
      </c>
      <c r="B423" s="380" t="s">
        <v>1869</v>
      </c>
      <c r="C423" s="380" t="s">
        <v>1712</v>
      </c>
      <c r="D423" s="380" t="s">
        <v>1971</v>
      </c>
      <c r="E423" s="380" t="s">
        <v>330</v>
      </c>
      <c r="F423" s="380" t="s">
        <v>1473</v>
      </c>
      <c r="G423" s="380" t="s">
        <v>1277</v>
      </c>
      <c r="H423" s="380" t="s">
        <v>2605</v>
      </c>
      <c r="I423" s="380" t="s">
        <v>1566</v>
      </c>
      <c r="J423" s="380" t="s">
        <v>1973</v>
      </c>
      <c r="K423" s="380" t="s">
        <v>1969</v>
      </c>
      <c r="L423" s="403">
        <v>0</v>
      </c>
    </row>
    <row r="424" spans="1:12" ht="15" customHeight="1" x14ac:dyDescent="0.25">
      <c r="A424" s="380" t="s">
        <v>2606</v>
      </c>
      <c r="B424" s="380" t="s">
        <v>1869</v>
      </c>
      <c r="C424" s="380" t="s">
        <v>1712</v>
      </c>
      <c r="D424" s="380" t="s">
        <v>1890</v>
      </c>
      <c r="E424" s="380" t="s">
        <v>330</v>
      </c>
      <c r="F424" s="380" t="s">
        <v>1501</v>
      </c>
      <c r="G424" s="380" t="s">
        <v>1277</v>
      </c>
      <c r="H424" s="380" t="s">
        <v>2607</v>
      </c>
      <c r="I424" s="380" t="s">
        <v>1307</v>
      </c>
      <c r="J424" s="380" t="s">
        <v>2221</v>
      </c>
      <c r="K424" s="380" t="s">
        <v>1893</v>
      </c>
      <c r="L424" s="406">
        <v>0</v>
      </c>
    </row>
    <row r="425" spans="1:12" ht="15" customHeight="1" x14ac:dyDescent="0.25">
      <c r="A425" s="380" t="s">
        <v>2608</v>
      </c>
      <c r="B425" s="380" t="s">
        <v>1869</v>
      </c>
      <c r="C425" s="380" t="s">
        <v>1712</v>
      </c>
      <c r="D425" s="380" t="s">
        <v>1895</v>
      </c>
      <c r="E425" s="380" t="s">
        <v>330</v>
      </c>
      <c r="F425" s="380" t="s">
        <v>1501</v>
      </c>
      <c r="G425" s="380" t="s">
        <v>1277</v>
      </c>
      <c r="H425" s="380" t="s">
        <v>2609</v>
      </c>
      <c r="I425" s="380" t="s">
        <v>1897</v>
      </c>
      <c r="J425" s="380" t="s">
        <v>1898</v>
      </c>
      <c r="K425" s="380"/>
      <c r="L425" s="404">
        <v>0.4</v>
      </c>
    </row>
    <row r="426" spans="1:12" ht="15" customHeight="1" x14ac:dyDescent="0.25">
      <c r="A426" s="380" t="s">
        <v>2610</v>
      </c>
      <c r="B426" s="380" t="s">
        <v>1869</v>
      </c>
      <c r="C426" s="380" t="s">
        <v>1712</v>
      </c>
      <c r="D426" s="380" t="s">
        <v>1900</v>
      </c>
      <c r="E426" s="380" t="s">
        <v>330</v>
      </c>
      <c r="F426" s="380" t="s">
        <v>1501</v>
      </c>
      <c r="G426" s="380" t="s">
        <v>1277</v>
      </c>
      <c r="H426" s="380" t="s">
        <v>2611</v>
      </c>
      <c r="I426" s="380" t="s">
        <v>1902</v>
      </c>
      <c r="J426" s="380" t="s">
        <v>1903</v>
      </c>
      <c r="K426" s="380"/>
      <c r="L426" s="404">
        <v>0.3</v>
      </c>
    </row>
    <row r="427" spans="1:12" ht="15" customHeight="1" x14ac:dyDescent="0.25">
      <c r="A427" s="380" t="s">
        <v>2612</v>
      </c>
      <c r="B427" s="380" t="s">
        <v>1869</v>
      </c>
      <c r="C427" s="380" t="s">
        <v>1712</v>
      </c>
      <c r="D427" s="380" t="s">
        <v>1905</v>
      </c>
      <c r="E427" s="380" t="s">
        <v>330</v>
      </c>
      <c r="F427" s="380" t="s">
        <v>1501</v>
      </c>
      <c r="G427" s="380" t="s">
        <v>1277</v>
      </c>
      <c r="H427" s="380" t="s">
        <v>2613</v>
      </c>
      <c r="I427" s="380" t="s">
        <v>1902</v>
      </c>
      <c r="J427" s="380" t="s">
        <v>1907</v>
      </c>
      <c r="K427" s="380"/>
      <c r="L427" s="404">
        <v>0.15</v>
      </c>
    </row>
    <row r="428" spans="1:12" ht="15" customHeight="1" x14ac:dyDescent="0.25">
      <c r="A428" s="380" t="s">
        <v>2614</v>
      </c>
      <c r="B428" s="380" t="s">
        <v>1869</v>
      </c>
      <c r="C428" s="380" t="s">
        <v>1712</v>
      </c>
      <c r="D428" s="380" t="s">
        <v>1909</v>
      </c>
      <c r="E428" s="380" t="s">
        <v>330</v>
      </c>
      <c r="F428" s="380" t="s">
        <v>1501</v>
      </c>
      <c r="G428" s="380" t="s">
        <v>1277</v>
      </c>
      <c r="H428" s="380" t="s">
        <v>2615</v>
      </c>
      <c r="I428" s="380" t="s">
        <v>1902</v>
      </c>
      <c r="J428" s="380" t="s">
        <v>1911</v>
      </c>
      <c r="K428" s="380"/>
      <c r="L428" s="404">
        <v>0.05</v>
      </c>
    </row>
    <row r="429" spans="1:12" ht="15" customHeight="1" x14ac:dyDescent="0.25">
      <c r="A429" s="380" t="s">
        <v>2616</v>
      </c>
      <c r="B429" s="380" t="s">
        <v>1869</v>
      </c>
      <c r="C429" s="380" t="s">
        <v>1712</v>
      </c>
      <c r="D429" s="380" t="s">
        <v>1317</v>
      </c>
      <c r="E429" s="380" t="s">
        <v>330</v>
      </c>
      <c r="F429" s="380" t="s">
        <v>1501</v>
      </c>
      <c r="G429" s="380" t="s">
        <v>757</v>
      </c>
      <c r="H429" s="380" t="s">
        <v>2617</v>
      </c>
      <c r="I429" s="380" t="s">
        <v>1914</v>
      </c>
      <c r="J429" s="380" t="s">
        <v>1915</v>
      </c>
      <c r="K429" s="380" t="s">
        <v>1916</v>
      </c>
      <c r="L429" s="403">
        <v>0</v>
      </c>
    </row>
    <row r="430" spans="1:12" ht="15" customHeight="1" x14ac:dyDescent="0.25">
      <c r="A430" s="380" t="s">
        <v>2618</v>
      </c>
      <c r="B430" s="380" t="s">
        <v>1869</v>
      </c>
      <c r="C430" s="380" t="s">
        <v>1712</v>
      </c>
      <c r="D430" s="380" t="s">
        <v>1317</v>
      </c>
      <c r="E430" s="380" t="s">
        <v>330</v>
      </c>
      <c r="F430" s="380" t="s">
        <v>1501</v>
      </c>
      <c r="G430" s="380" t="s">
        <v>754</v>
      </c>
      <c r="H430" s="380" t="s">
        <v>2619</v>
      </c>
      <c r="I430" s="380" t="s">
        <v>1914</v>
      </c>
      <c r="J430" s="380" t="s">
        <v>1919</v>
      </c>
      <c r="K430" s="380" t="s">
        <v>1916</v>
      </c>
      <c r="L430" s="403">
        <v>1.5</v>
      </c>
    </row>
    <row r="431" spans="1:12" ht="15" customHeight="1" x14ac:dyDescent="0.25">
      <c r="A431" s="380" t="s">
        <v>2620</v>
      </c>
      <c r="B431" s="380" t="s">
        <v>1869</v>
      </c>
      <c r="C431" s="380" t="s">
        <v>1712</v>
      </c>
      <c r="D431" s="380" t="s">
        <v>1317</v>
      </c>
      <c r="E431" s="380" t="s">
        <v>330</v>
      </c>
      <c r="F431" s="380" t="s">
        <v>1501</v>
      </c>
      <c r="G431" s="380" t="s">
        <v>1292</v>
      </c>
      <c r="H431" s="380" t="s">
        <v>2621</v>
      </c>
      <c r="I431" s="380" t="s">
        <v>1914</v>
      </c>
      <c r="J431" s="380" t="s">
        <v>1922</v>
      </c>
      <c r="K431" s="380" t="s">
        <v>1916</v>
      </c>
      <c r="L431" s="403">
        <v>0</v>
      </c>
    </row>
    <row r="432" spans="1:12" ht="15" customHeight="1" x14ac:dyDescent="0.25">
      <c r="A432" s="380" t="s">
        <v>2622</v>
      </c>
      <c r="B432" s="380" t="s">
        <v>1869</v>
      </c>
      <c r="C432" s="380" t="s">
        <v>1712</v>
      </c>
      <c r="D432" s="380" t="s">
        <v>1317</v>
      </c>
      <c r="E432" s="380" t="s">
        <v>330</v>
      </c>
      <c r="F432" s="380" t="s">
        <v>1501</v>
      </c>
      <c r="G432" s="380" t="s">
        <v>762</v>
      </c>
      <c r="H432" s="380" t="s">
        <v>2623</v>
      </c>
      <c r="I432" s="380" t="s">
        <v>1914</v>
      </c>
      <c r="J432" s="380" t="s">
        <v>1925</v>
      </c>
      <c r="K432" s="380" t="s">
        <v>1916</v>
      </c>
      <c r="L432" s="403">
        <v>0</v>
      </c>
    </row>
    <row r="433" spans="1:12" ht="15" customHeight="1" x14ac:dyDescent="0.25">
      <c r="A433" s="380" t="s">
        <v>2624</v>
      </c>
      <c r="B433" s="380" t="s">
        <v>1869</v>
      </c>
      <c r="C433" s="380" t="s">
        <v>1712</v>
      </c>
      <c r="D433" s="380" t="s">
        <v>1317</v>
      </c>
      <c r="E433" s="380" t="s">
        <v>330</v>
      </c>
      <c r="F433" s="380" t="s">
        <v>1501</v>
      </c>
      <c r="G433" s="380" t="s">
        <v>1295</v>
      </c>
      <c r="H433" s="380" t="s">
        <v>2625</v>
      </c>
      <c r="I433" s="380" t="s">
        <v>1914</v>
      </c>
      <c r="J433" s="380" t="s">
        <v>1928</v>
      </c>
      <c r="K433" s="380" t="s">
        <v>1916</v>
      </c>
      <c r="L433" s="403">
        <v>0</v>
      </c>
    </row>
    <row r="434" spans="1:12" ht="15" customHeight="1" x14ac:dyDescent="0.25">
      <c r="A434" s="380" t="s">
        <v>2626</v>
      </c>
      <c r="B434" s="380" t="s">
        <v>1869</v>
      </c>
      <c r="C434" s="380" t="s">
        <v>1712</v>
      </c>
      <c r="D434" s="380" t="s">
        <v>1317</v>
      </c>
      <c r="E434" s="380" t="s">
        <v>330</v>
      </c>
      <c r="F434" s="380" t="s">
        <v>1501</v>
      </c>
      <c r="G434" s="380" t="s">
        <v>1297</v>
      </c>
      <c r="H434" s="380" t="s">
        <v>2627</v>
      </c>
      <c r="I434" s="380" t="s">
        <v>1914</v>
      </c>
      <c r="J434" s="380" t="s">
        <v>1931</v>
      </c>
      <c r="K434" s="380" t="s">
        <v>1916</v>
      </c>
      <c r="L434" s="403">
        <v>0</v>
      </c>
    </row>
    <row r="435" spans="1:12" ht="15" customHeight="1" x14ac:dyDescent="0.25">
      <c r="A435" s="380" t="s">
        <v>2628</v>
      </c>
      <c r="B435" s="380" t="s">
        <v>1869</v>
      </c>
      <c r="C435" s="380" t="s">
        <v>1712</v>
      </c>
      <c r="D435" s="380" t="s">
        <v>1317</v>
      </c>
      <c r="E435" s="380" t="s">
        <v>330</v>
      </c>
      <c r="F435" s="380" t="s">
        <v>1501</v>
      </c>
      <c r="G435" s="380" t="s">
        <v>1299</v>
      </c>
      <c r="H435" s="380" t="s">
        <v>2629</v>
      </c>
      <c r="I435" s="380" t="s">
        <v>1914</v>
      </c>
      <c r="J435" s="380" t="s">
        <v>1934</v>
      </c>
      <c r="K435" s="380" t="s">
        <v>1916</v>
      </c>
      <c r="L435" s="403">
        <v>0</v>
      </c>
    </row>
    <row r="436" spans="1:12" ht="15" customHeight="1" x14ac:dyDescent="0.25">
      <c r="A436" s="380" t="s">
        <v>2630</v>
      </c>
      <c r="B436" s="380" t="s">
        <v>1869</v>
      </c>
      <c r="C436" s="380" t="s">
        <v>1712</v>
      </c>
      <c r="D436" s="380" t="s">
        <v>1317</v>
      </c>
      <c r="E436" s="380" t="s">
        <v>330</v>
      </c>
      <c r="F436" s="380" t="s">
        <v>1501</v>
      </c>
      <c r="G436" s="380" t="s">
        <v>1301</v>
      </c>
      <c r="H436" s="380" t="s">
        <v>2631</v>
      </c>
      <c r="I436" s="380" t="s">
        <v>1914</v>
      </c>
      <c r="J436" s="380" t="s">
        <v>1937</v>
      </c>
      <c r="K436" s="380" t="s">
        <v>1916</v>
      </c>
      <c r="L436" s="403">
        <v>0</v>
      </c>
    </row>
    <row r="437" spans="1:12" ht="15" customHeight="1" x14ac:dyDescent="0.25">
      <c r="A437" s="380" t="s">
        <v>2632</v>
      </c>
      <c r="B437" s="380" t="s">
        <v>1869</v>
      </c>
      <c r="C437" s="380" t="s">
        <v>1712</v>
      </c>
      <c r="D437" s="380" t="s">
        <v>1328</v>
      </c>
      <c r="E437" s="380" t="s">
        <v>330</v>
      </c>
      <c r="F437" s="380" t="s">
        <v>1501</v>
      </c>
      <c r="G437" s="380" t="s">
        <v>757</v>
      </c>
      <c r="H437" s="380" t="s">
        <v>2633</v>
      </c>
      <c r="I437" s="380" t="s">
        <v>1914</v>
      </c>
      <c r="J437" s="380" t="s">
        <v>1940</v>
      </c>
      <c r="K437" s="380" t="s">
        <v>1916</v>
      </c>
      <c r="L437" s="403">
        <v>0</v>
      </c>
    </row>
    <row r="438" spans="1:12" ht="15" customHeight="1" x14ac:dyDescent="0.25">
      <c r="A438" s="380" t="s">
        <v>2634</v>
      </c>
      <c r="B438" s="380" t="s">
        <v>1869</v>
      </c>
      <c r="C438" s="380" t="s">
        <v>1712</v>
      </c>
      <c r="D438" s="380" t="s">
        <v>1328</v>
      </c>
      <c r="E438" s="380" t="s">
        <v>330</v>
      </c>
      <c r="F438" s="380" t="s">
        <v>1501</v>
      </c>
      <c r="G438" s="380" t="s">
        <v>754</v>
      </c>
      <c r="H438" s="380" t="s">
        <v>2635</v>
      </c>
      <c r="I438" s="380" t="s">
        <v>1914</v>
      </c>
      <c r="J438" s="380" t="s">
        <v>1943</v>
      </c>
      <c r="K438" s="380" t="s">
        <v>1916</v>
      </c>
      <c r="L438" s="403">
        <v>0</v>
      </c>
    </row>
    <row r="439" spans="1:12" ht="15" customHeight="1" x14ac:dyDescent="0.25">
      <c r="A439" s="380" t="s">
        <v>2636</v>
      </c>
      <c r="B439" s="380" t="s">
        <v>1869</v>
      </c>
      <c r="C439" s="380" t="s">
        <v>1712</v>
      </c>
      <c r="D439" s="380" t="s">
        <v>1328</v>
      </c>
      <c r="E439" s="380" t="s">
        <v>330</v>
      </c>
      <c r="F439" s="380" t="s">
        <v>1501</v>
      </c>
      <c r="G439" s="380" t="s">
        <v>1292</v>
      </c>
      <c r="H439" s="380" t="s">
        <v>2637</v>
      </c>
      <c r="I439" s="380" t="s">
        <v>1914</v>
      </c>
      <c r="J439" s="380" t="s">
        <v>1946</v>
      </c>
      <c r="K439" s="380" t="s">
        <v>1916</v>
      </c>
      <c r="L439" s="403">
        <v>0</v>
      </c>
    </row>
    <row r="440" spans="1:12" ht="15" customHeight="1" x14ac:dyDescent="0.25">
      <c r="A440" s="380" t="s">
        <v>2638</v>
      </c>
      <c r="B440" s="380" t="s">
        <v>1869</v>
      </c>
      <c r="C440" s="380" t="s">
        <v>1712</v>
      </c>
      <c r="D440" s="380" t="s">
        <v>1328</v>
      </c>
      <c r="E440" s="380" t="s">
        <v>330</v>
      </c>
      <c r="F440" s="380" t="s">
        <v>1501</v>
      </c>
      <c r="G440" s="380" t="s">
        <v>762</v>
      </c>
      <c r="H440" s="380" t="s">
        <v>2639</v>
      </c>
      <c r="I440" s="380" t="s">
        <v>1914</v>
      </c>
      <c r="J440" s="380" t="s">
        <v>1949</v>
      </c>
      <c r="K440" s="380" t="s">
        <v>1916</v>
      </c>
      <c r="L440" s="403">
        <v>0</v>
      </c>
    </row>
    <row r="441" spans="1:12" ht="15" customHeight="1" x14ac:dyDescent="0.25">
      <c r="A441" s="380" t="s">
        <v>2640</v>
      </c>
      <c r="B441" s="380" t="s">
        <v>1869</v>
      </c>
      <c r="C441" s="380" t="s">
        <v>1712</v>
      </c>
      <c r="D441" s="380" t="s">
        <v>1328</v>
      </c>
      <c r="E441" s="380" t="s">
        <v>330</v>
      </c>
      <c r="F441" s="380" t="s">
        <v>1501</v>
      </c>
      <c r="G441" s="380" t="s">
        <v>1295</v>
      </c>
      <c r="H441" s="380" t="s">
        <v>2641</v>
      </c>
      <c r="I441" s="380" t="s">
        <v>1914</v>
      </c>
      <c r="J441" s="380" t="s">
        <v>1952</v>
      </c>
      <c r="K441" s="380" t="s">
        <v>1916</v>
      </c>
      <c r="L441" s="403">
        <v>0</v>
      </c>
    </row>
    <row r="442" spans="1:12" ht="15" customHeight="1" x14ac:dyDescent="0.25">
      <c r="A442" s="380" t="s">
        <v>2642</v>
      </c>
      <c r="B442" s="380" t="s">
        <v>1869</v>
      </c>
      <c r="C442" s="380" t="s">
        <v>1712</v>
      </c>
      <c r="D442" s="380" t="s">
        <v>1328</v>
      </c>
      <c r="E442" s="380" t="s">
        <v>330</v>
      </c>
      <c r="F442" s="380" t="s">
        <v>1501</v>
      </c>
      <c r="G442" s="380" t="s">
        <v>1297</v>
      </c>
      <c r="H442" s="380" t="s">
        <v>2643</v>
      </c>
      <c r="I442" s="380" t="s">
        <v>1914</v>
      </c>
      <c r="J442" s="380" t="s">
        <v>1955</v>
      </c>
      <c r="K442" s="380" t="s">
        <v>1916</v>
      </c>
      <c r="L442" s="403">
        <v>0</v>
      </c>
    </row>
    <row r="443" spans="1:12" ht="15" customHeight="1" x14ac:dyDescent="0.25">
      <c r="A443" s="380" t="s">
        <v>2644</v>
      </c>
      <c r="B443" s="380" t="s">
        <v>1869</v>
      </c>
      <c r="C443" s="380" t="s">
        <v>1712</v>
      </c>
      <c r="D443" s="380" t="s">
        <v>1328</v>
      </c>
      <c r="E443" s="380" t="s">
        <v>330</v>
      </c>
      <c r="F443" s="380" t="s">
        <v>1501</v>
      </c>
      <c r="G443" s="380" t="s">
        <v>1299</v>
      </c>
      <c r="H443" s="380" t="s">
        <v>2645</v>
      </c>
      <c r="I443" s="380" t="s">
        <v>1914</v>
      </c>
      <c r="J443" s="380" t="s">
        <v>1958</v>
      </c>
      <c r="K443" s="380" t="s">
        <v>1916</v>
      </c>
      <c r="L443" s="403">
        <v>0</v>
      </c>
    </row>
    <row r="444" spans="1:12" ht="15" customHeight="1" x14ac:dyDescent="0.25">
      <c r="A444" s="380" t="s">
        <v>2646</v>
      </c>
      <c r="B444" s="380" t="s">
        <v>1869</v>
      </c>
      <c r="C444" s="380" t="s">
        <v>1712</v>
      </c>
      <c r="D444" s="380" t="s">
        <v>1328</v>
      </c>
      <c r="E444" s="380" t="s">
        <v>330</v>
      </c>
      <c r="F444" s="380" t="s">
        <v>1501</v>
      </c>
      <c r="G444" s="380" t="s">
        <v>1301</v>
      </c>
      <c r="H444" s="380" t="s">
        <v>2647</v>
      </c>
      <c r="I444" s="380" t="s">
        <v>1914</v>
      </c>
      <c r="J444" s="380" t="s">
        <v>1961</v>
      </c>
      <c r="K444" s="380" t="s">
        <v>1916</v>
      </c>
      <c r="L444" s="403">
        <v>0</v>
      </c>
    </row>
    <row r="445" spans="1:12" ht="15" customHeight="1" x14ac:dyDescent="0.25">
      <c r="A445" s="380" t="s">
        <v>2648</v>
      </c>
      <c r="B445" s="380" t="s">
        <v>1869</v>
      </c>
      <c r="C445" s="380" t="s">
        <v>1712</v>
      </c>
      <c r="D445" s="380" t="s">
        <v>1338</v>
      </c>
      <c r="E445" s="380" t="s">
        <v>330</v>
      </c>
      <c r="F445" s="380" t="s">
        <v>1501</v>
      </c>
      <c r="G445" s="380" t="s">
        <v>1339</v>
      </c>
      <c r="H445" s="380" t="s">
        <v>2649</v>
      </c>
      <c r="I445" s="380" t="s">
        <v>1914</v>
      </c>
      <c r="J445" s="380" t="s">
        <v>1964</v>
      </c>
      <c r="K445" s="380"/>
      <c r="L445" s="403">
        <v>0.3</v>
      </c>
    </row>
    <row r="446" spans="1:12" ht="15" customHeight="1" x14ac:dyDescent="0.25">
      <c r="A446" s="380" t="s">
        <v>2650</v>
      </c>
      <c r="B446" s="380" t="s">
        <v>1869</v>
      </c>
      <c r="C446" s="380" t="s">
        <v>1712</v>
      </c>
      <c r="D446" s="380" t="s">
        <v>1966</v>
      </c>
      <c r="E446" s="380" t="s">
        <v>330</v>
      </c>
      <c r="F446" s="380" t="s">
        <v>1501</v>
      </c>
      <c r="G446" s="380" t="s">
        <v>1277</v>
      </c>
      <c r="H446" s="380" t="s">
        <v>2651</v>
      </c>
      <c r="I446" s="380" t="s">
        <v>1746</v>
      </c>
      <c r="J446" s="380" t="s">
        <v>1968</v>
      </c>
      <c r="K446" s="380" t="s">
        <v>1969</v>
      </c>
      <c r="L446" s="403">
        <v>0</v>
      </c>
    </row>
    <row r="447" spans="1:12" ht="15" customHeight="1" x14ac:dyDescent="0.25">
      <c r="A447" s="380" t="s">
        <v>2652</v>
      </c>
      <c r="B447" s="380" t="s">
        <v>1869</v>
      </c>
      <c r="C447" s="380" t="s">
        <v>1712</v>
      </c>
      <c r="D447" s="380" t="s">
        <v>1971</v>
      </c>
      <c r="E447" s="380" t="s">
        <v>330</v>
      </c>
      <c r="F447" s="380" t="s">
        <v>1501</v>
      </c>
      <c r="G447" s="380" t="s">
        <v>1277</v>
      </c>
      <c r="H447" s="380" t="s">
        <v>2653</v>
      </c>
      <c r="I447" s="380" t="s">
        <v>1566</v>
      </c>
      <c r="J447" s="380" t="s">
        <v>1973</v>
      </c>
      <c r="K447" s="380" t="s">
        <v>2654</v>
      </c>
      <c r="L447" s="403">
        <v>0.97</v>
      </c>
    </row>
    <row r="448" spans="1:12" ht="15" customHeight="1" x14ac:dyDescent="0.25">
      <c r="A448" s="380" t="s">
        <v>2655</v>
      </c>
      <c r="B448" s="380" t="s">
        <v>1869</v>
      </c>
      <c r="C448" s="380" t="s">
        <v>1712</v>
      </c>
      <c r="D448" s="380" t="s">
        <v>1890</v>
      </c>
      <c r="E448" s="380" t="s">
        <v>334</v>
      </c>
      <c r="F448" s="380" t="s">
        <v>1529</v>
      </c>
      <c r="G448" s="380" t="s">
        <v>1277</v>
      </c>
      <c r="H448" s="380" t="s">
        <v>2656</v>
      </c>
      <c r="I448" s="380" t="s">
        <v>1307</v>
      </c>
      <c r="J448" s="380" t="s">
        <v>2270</v>
      </c>
      <c r="K448" s="380" t="s">
        <v>1893</v>
      </c>
      <c r="L448" s="406">
        <v>0</v>
      </c>
    </row>
    <row r="449" spans="1:12" ht="15" customHeight="1" x14ac:dyDescent="0.25">
      <c r="A449" s="380" t="s">
        <v>2657</v>
      </c>
      <c r="B449" s="380" t="s">
        <v>1869</v>
      </c>
      <c r="C449" s="380" t="s">
        <v>1712</v>
      </c>
      <c r="D449" s="380" t="s">
        <v>1895</v>
      </c>
      <c r="E449" s="380" t="s">
        <v>334</v>
      </c>
      <c r="F449" s="380" t="s">
        <v>1529</v>
      </c>
      <c r="G449" s="380" t="s">
        <v>1277</v>
      </c>
      <c r="H449" s="380" t="s">
        <v>2658</v>
      </c>
      <c r="I449" s="380" t="s">
        <v>1897</v>
      </c>
      <c r="J449" s="380" t="s">
        <v>1898</v>
      </c>
      <c r="K449" s="380"/>
      <c r="L449" s="404">
        <v>0.8</v>
      </c>
    </row>
    <row r="450" spans="1:12" ht="15" customHeight="1" x14ac:dyDescent="0.25">
      <c r="A450" s="380" t="s">
        <v>2659</v>
      </c>
      <c r="B450" s="380" t="s">
        <v>1869</v>
      </c>
      <c r="C450" s="380" t="s">
        <v>1712</v>
      </c>
      <c r="D450" s="380" t="s">
        <v>1900</v>
      </c>
      <c r="E450" s="380" t="s">
        <v>334</v>
      </c>
      <c r="F450" s="380" t="s">
        <v>1529</v>
      </c>
      <c r="G450" s="380" t="s">
        <v>1277</v>
      </c>
      <c r="H450" s="380" t="s">
        <v>2660</v>
      </c>
      <c r="I450" s="380" t="s">
        <v>1902</v>
      </c>
      <c r="J450" s="380" t="s">
        <v>1903</v>
      </c>
      <c r="K450" s="380"/>
      <c r="L450" s="404">
        <v>0.35</v>
      </c>
    </row>
    <row r="451" spans="1:12" ht="15" customHeight="1" x14ac:dyDescent="0.25">
      <c r="A451" s="380" t="s">
        <v>2661</v>
      </c>
      <c r="B451" s="380" t="s">
        <v>1869</v>
      </c>
      <c r="C451" s="380" t="s">
        <v>1712</v>
      </c>
      <c r="D451" s="380" t="s">
        <v>1905</v>
      </c>
      <c r="E451" s="380" t="s">
        <v>334</v>
      </c>
      <c r="F451" s="380" t="s">
        <v>1529</v>
      </c>
      <c r="G451" s="380" t="s">
        <v>1277</v>
      </c>
      <c r="H451" s="380" t="s">
        <v>2662</v>
      </c>
      <c r="I451" s="380" t="s">
        <v>1902</v>
      </c>
      <c r="J451" s="380" t="s">
        <v>1907</v>
      </c>
      <c r="K451" s="380"/>
      <c r="L451" s="404">
        <v>0.18</v>
      </c>
    </row>
    <row r="452" spans="1:12" ht="15" customHeight="1" x14ac:dyDescent="0.25">
      <c r="A452" s="380" t="s">
        <v>2663</v>
      </c>
      <c r="B452" s="380" t="s">
        <v>1869</v>
      </c>
      <c r="C452" s="380" t="s">
        <v>1712</v>
      </c>
      <c r="D452" s="380" t="s">
        <v>1909</v>
      </c>
      <c r="E452" s="380" t="s">
        <v>334</v>
      </c>
      <c r="F452" s="380" t="s">
        <v>1529</v>
      </c>
      <c r="G452" s="380" t="s">
        <v>1277</v>
      </c>
      <c r="H452" s="380" t="s">
        <v>2664</v>
      </c>
      <c r="I452" s="380" t="s">
        <v>1902</v>
      </c>
      <c r="J452" s="380" t="s">
        <v>1911</v>
      </c>
      <c r="K452" s="380"/>
      <c r="L452" s="404">
        <v>0.1</v>
      </c>
    </row>
    <row r="453" spans="1:12" ht="15" customHeight="1" x14ac:dyDescent="0.25">
      <c r="A453" s="380" t="s">
        <v>2665</v>
      </c>
      <c r="B453" s="380" t="s">
        <v>1869</v>
      </c>
      <c r="C453" s="380" t="s">
        <v>1712</v>
      </c>
      <c r="D453" s="380" t="s">
        <v>1317</v>
      </c>
      <c r="E453" s="380" t="s">
        <v>334</v>
      </c>
      <c r="F453" s="380" t="s">
        <v>1529</v>
      </c>
      <c r="G453" s="380" t="s">
        <v>757</v>
      </c>
      <c r="H453" s="380" t="s">
        <v>2666</v>
      </c>
      <c r="I453" s="380" t="s">
        <v>1914</v>
      </c>
      <c r="J453" s="380" t="s">
        <v>1915</v>
      </c>
      <c r="K453" s="380" t="s">
        <v>1916</v>
      </c>
      <c r="L453" s="403">
        <v>0</v>
      </c>
    </row>
    <row r="454" spans="1:12" ht="15" customHeight="1" x14ac:dyDescent="0.25">
      <c r="A454" s="380" t="s">
        <v>2667</v>
      </c>
      <c r="B454" s="380" t="s">
        <v>1869</v>
      </c>
      <c r="C454" s="380" t="s">
        <v>1712</v>
      </c>
      <c r="D454" s="380" t="s">
        <v>1317</v>
      </c>
      <c r="E454" s="380" t="s">
        <v>334</v>
      </c>
      <c r="F454" s="380" t="s">
        <v>1529</v>
      </c>
      <c r="G454" s="380" t="s">
        <v>754</v>
      </c>
      <c r="H454" s="380" t="s">
        <v>2668</v>
      </c>
      <c r="I454" s="380" t="s">
        <v>1914</v>
      </c>
      <c r="J454" s="380" t="s">
        <v>1919</v>
      </c>
      <c r="K454" s="380" t="s">
        <v>1916</v>
      </c>
      <c r="L454" s="403">
        <v>2</v>
      </c>
    </row>
    <row r="455" spans="1:12" ht="15" customHeight="1" x14ac:dyDescent="0.25">
      <c r="A455" s="380" t="s">
        <v>2669</v>
      </c>
      <c r="B455" s="380" t="s">
        <v>1869</v>
      </c>
      <c r="C455" s="380" t="s">
        <v>1712</v>
      </c>
      <c r="D455" s="380" t="s">
        <v>1317</v>
      </c>
      <c r="E455" s="380" t="s">
        <v>334</v>
      </c>
      <c r="F455" s="380" t="s">
        <v>1529</v>
      </c>
      <c r="G455" s="380" t="s">
        <v>1292</v>
      </c>
      <c r="H455" s="380" t="s">
        <v>2670</v>
      </c>
      <c r="I455" s="380" t="s">
        <v>1914</v>
      </c>
      <c r="J455" s="380" t="s">
        <v>1922</v>
      </c>
      <c r="K455" s="380" t="s">
        <v>1916</v>
      </c>
      <c r="L455" s="403">
        <v>0</v>
      </c>
    </row>
    <row r="456" spans="1:12" ht="15" customHeight="1" x14ac:dyDescent="0.25">
      <c r="A456" s="380" t="s">
        <v>2671</v>
      </c>
      <c r="B456" s="380" t="s">
        <v>1869</v>
      </c>
      <c r="C456" s="380" t="s">
        <v>1712</v>
      </c>
      <c r="D456" s="380" t="s">
        <v>1317</v>
      </c>
      <c r="E456" s="380" t="s">
        <v>334</v>
      </c>
      <c r="F456" s="380" t="s">
        <v>1529</v>
      </c>
      <c r="G456" s="380" t="s">
        <v>762</v>
      </c>
      <c r="H456" s="380" t="s">
        <v>2672</v>
      </c>
      <c r="I456" s="380" t="s">
        <v>1914</v>
      </c>
      <c r="J456" s="380" t="s">
        <v>1925</v>
      </c>
      <c r="K456" s="380" t="s">
        <v>1916</v>
      </c>
      <c r="L456" s="403">
        <v>0</v>
      </c>
    </row>
    <row r="457" spans="1:12" ht="15" customHeight="1" x14ac:dyDescent="0.25">
      <c r="A457" s="380" t="s">
        <v>2673</v>
      </c>
      <c r="B457" s="380" t="s">
        <v>1869</v>
      </c>
      <c r="C457" s="380" t="s">
        <v>1712</v>
      </c>
      <c r="D457" s="380" t="s">
        <v>1317</v>
      </c>
      <c r="E457" s="380" t="s">
        <v>334</v>
      </c>
      <c r="F457" s="380" t="s">
        <v>1529</v>
      </c>
      <c r="G457" s="380" t="s">
        <v>1295</v>
      </c>
      <c r="H457" s="380" t="s">
        <v>2674</v>
      </c>
      <c r="I457" s="380" t="s">
        <v>1914</v>
      </c>
      <c r="J457" s="380" t="s">
        <v>1928</v>
      </c>
      <c r="K457" s="380" t="s">
        <v>1916</v>
      </c>
      <c r="L457" s="403">
        <v>0</v>
      </c>
    </row>
    <row r="458" spans="1:12" ht="15" customHeight="1" x14ac:dyDescent="0.25">
      <c r="A458" s="380" t="s">
        <v>2675</v>
      </c>
      <c r="B458" s="380" t="s">
        <v>1869</v>
      </c>
      <c r="C458" s="380" t="s">
        <v>1712</v>
      </c>
      <c r="D458" s="380" t="s">
        <v>1317</v>
      </c>
      <c r="E458" s="380" t="s">
        <v>334</v>
      </c>
      <c r="F458" s="380" t="s">
        <v>1529</v>
      </c>
      <c r="G458" s="380" t="s">
        <v>1297</v>
      </c>
      <c r="H458" s="380" t="s">
        <v>2676</v>
      </c>
      <c r="I458" s="380" t="s">
        <v>1914</v>
      </c>
      <c r="J458" s="380" t="s">
        <v>1931</v>
      </c>
      <c r="K458" s="380" t="s">
        <v>1916</v>
      </c>
      <c r="L458" s="403">
        <v>0</v>
      </c>
    </row>
    <row r="459" spans="1:12" ht="15" customHeight="1" x14ac:dyDescent="0.25">
      <c r="A459" s="380" t="s">
        <v>2677</v>
      </c>
      <c r="B459" s="380" t="s">
        <v>1869</v>
      </c>
      <c r="C459" s="380" t="s">
        <v>1712</v>
      </c>
      <c r="D459" s="380" t="s">
        <v>1317</v>
      </c>
      <c r="E459" s="380" t="s">
        <v>334</v>
      </c>
      <c r="F459" s="380" t="s">
        <v>1529</v>
      </c>
      <c r="G459" s="380" t="s">
        <v>1299</v>
      </c>
      <c r="H459" s="380" t="s">
        <v>2678</v>
      </c>
      <c r="I459" s="380" t="s">
        <v>1914</v>
      </c>
      <c r="J459" s="380" t="s">
        <v>1934</v>
      </c>
      <c r="K459" s="380" t="s">
        <v>1916</v>
      </c>
      <c r="L459" s="403">
        <v>0</v>
      </c>
    </row>
    <row r="460" spans="1:12" ht="15" customHeight="1" x14ac:dyDescent="0.25">
      <c r="A460" s="380" t="s">
        <v>2679</v>
      </c>
      <c r="B460" s="380" t="s">
        <v>1869</v>
      </c>
      <c r="C460" s="380" t="s">
        <v>1712</v>
      </c>
      <c r="D460" s="380" t="s">
        <v>1317</v>
      </c>
      <c r="E460" s="380" t="s">
        <v>334</v>
      </c>
      <c r="F460" s="380" t="s">
        <v>1529</v>
      </c>
      <c r="G460" s="380" t="s">
        <v>1301</v>
      </c>
      <c r="H460" s="380" t="s">
        <v>2680</v>
      </c>
      <c r="I460" s="380" t="s">
        <v>1914</v>
      </c>
      <c r="J460" s="380" t="s">
        <v>1937</v>
      </c>
      <c r="K460" s="380" t="s">
        <v>1916</v>
      </c>
      <c r="L460" s="403">
        <v>0</v>
      </c>
    </row>
    <row r="461" spans="1:12" ht="15" customHeight="1" x14ac:dyDescent="0.25">
      <c r="A461" s="380" t="s">
        <v>2681</v>
      </c>
      <c r="B461" s="380" t="s">
        <v>1869</v>
      </c>
      <c r="C461" s="380" t="s">
        <v>1712</v>
      </c>
      <c r="D461" s="380" t="s">
        <v>1328</v>
      </c>
      <c r="E461" s="380" t="s">
        <v>334</v>
      </c>
      <c r="F461" s="380" t="s">
        <v>1529</v>
      </c>
      <c r="G461" s="380" t="s">
        <v>757</v>
      </c>
      <c r="H461" s="380" t="s">
        <v>2682</v>
      </c>
      <c r="I461" s="380" t="s">
        <v>1914</v>
      </c>
      <c r="J461" s="380" t="s">
        <v>1940</v>
      </c>
      <c r="K461" s="380" t="s">
        <v>1916</v>
      </c>
      <c r="L461" s="403">
        <v>0</v>
      </c>
    </row>
    <row r="462" spans="1:12" ht="15" customHeight="1" x14ac:dyDescent="0.25">
      <c r="A462" s="380" t="s">
        <v>2683</v>
      </c>
      <c r="B462" s="380" t="s">
        <v>1869</v>
      </c>
      <c r="C462" s="380" t="s">
        <v>1712</v>
      </c>
      <c r="D462" s="380" t="s">
        <v>1328</v>
      </c>
      <c r="E462" s="380" t="s">
        <v>334</v>
      </c>
      <c r="F462" s="380" t="s">
        <v>1529</v>
      </c>
      <c r="G462" s="380" t="s">
        <v>754</v>
      </c>
      <c r="H462" s="380" t="s">
        <v>2684</v>
      </c>
      <c r="I462" s="380" t="s">
        <v>1914</v>
      </c>
      <c r="J462" s="380" t="s">
        <v>1943</v>
      </c>
      <c r="K462" s="380" t="s">
        <v>1916</v>
      </c>
      <c r="L462" s="403">
        <v>0</v>
      </c>
    </row>
    <row r="463" spans="1:12" ht="15" customHeight="1" x14ac:dyDescent="0.25">
      <c r="A463" s="380" t="s">
        <v>2685</v>
      </c>
      <c r="B463" s="380" t="s">
        <v>1869</v>
      </c>
      <c r="C463" s="380" t="s">
        <v>1712</v>
      </c>
      <c r="D463" s="380" t="s">
        <v>1328</v>
      </c>
      <c r="E463" s="380" t="s">
        <v>334</v>
      </c>
      <c r="F463" s="380" t="s">
        <v>1529</v>
      </c>
      <c r="G463" s="380" t="s">
        <v>1292</v>
      </c>
      <c r="H463" s="380" t="s">
        <v>2686</v>
      </c>
      <c r="I463" s="380" t="s">
        <v>1914</v>
      </c>
      <c r="J463" s="380" t="s">
        <v>1946</v>
      </c>
      <c r="K463" s="380" t="s">
        <v>1916</v>
      </c>
      <c r="L463" s="403">
        <v>0</v>
      </c>
    </row>
    <row r="464" spans="1:12" ht="15" customHeight="1" x14ac:dyDescent="0.25">
      <c r="A464" s="380" t="s">
        <v>2687</v>
      </c>
      <c r="B464" s="380" t="s">
        <v>1869</v>
      </c>
      <c r="C464" s="380" t="s">
        <v>1712</v>
      </c>
      <c r="D464" s="380" t="s">
        <v>1328</v>
      </c>
      <c r="E464" s="380" t="s">
        <v>334</v>
      </c>
      <c r="F464" s="380" t="s">
        <v>1529</v>
      </c>
      <c r="G464" s="380" t="s">
        <v>762</v>
      </c>
      <c r="H464" s="380" t="s">
        <v>2688</v>
      </c>
      <c r="I464" s="380" t="s">
        <v>1914</v>
      </c>
      <c r="J464" s="380" t="s">
        <v>1949</v>
      </c>
      <c r="K464" s="380" t="s">
        <v>1916</v>
      </c>
      <c r="L464" s="403">
        <v>0</v>
      </c>
    </row>
    <row r="465" spans="1:24" ht="15" customHeight="1" x14ac:dyDescent="0.25">
      <c r="A465" s="380" t="s">
        <v>2689</v>
      </c>
      <c r="B465" s="380" t="s">
        <v>1869</v>
      </c>
      <c r="C465" s="380" t="s">
        <v>1712</v>
      </c>
      <c r="D465" s="380" t="s">
        <v>1328</v>
      </c>
      <c r="E465" s="380" t="s">
        <v>334</v>
      </c>
      <c r="F465" s="380" t="s">
        <v>1529</v>
      </c>
      <c r="G465" s="380" t="s">
        <v>1295</v>
      </c>
      <c r="H465" s="380" t="s">
        <v>2690</v>
      </c>
      <c r="I465" s="380" t="s">
        <v>1914</v>
      </c>
      <c r="J465" s="380" t="s">
        <v>1952</v>
      </c>
      <c r="K465" s="380" t="s">
        <v>1916</v>
      </c>
      <c r="L465" s="403">
        <v>0</v>
      </c>
    </row>
    <row r="466" spans="1:24" ht="15" customHeight="1" x14ac:dyDescent="0.25">
      <c r="A466" s="380" t="s">
        <v>2691</v>
      </c>
      <c r="B466" s="380" t="s">
        <v>1869</v>
      </c>
      <c r="C466" s="380" t="s">
        <v>1712</v>
      </c>
      <c r="D466" s="380" t="s">
        <v>1328</v>
      </c>
      <c r="E466" s="380" t="s">
        <v>334</v>
      </c>
      <c r="F466" s="380" t="s">
        <v>1529</v>
      </c>
      <c r="G466" s="380" t="s">
        <v>1297</v>
      </c>
      <c r="H466" s="380" t="s">
        <v>2692</v>
      </c>
      <c r="I466" s="380" t="s">
        <v>1914</v>
      </c>
      <c r="J466" s="380" t="s">
        <v>1955</v>
      </c>
      <c r="K466" s="380" t="s">
        <v>1916</v>
      </c>
      <c r="L466" s="403">
        <v>0</v>
      </c>
    </row>
    <row r="467" spans="1:24" ht="15" customHeight="1" x14ac:dyDescent="0.25">
      <c r="A467" s="380" t="s">
        <v>2693</v>
      </c>
      <c r="B467" s="380" t="s">
        <v>1869</v>
      </c>
      <c r="C467" s="380" t="s">
        <v>1712</v>
      </c>
      <c r="D467" s="380" t="s">
        <v>1328</v>
      </c>
      <c r="E467" s="380" t="s">
        <v>334</v>
      </c>
      <c r="F467" s="380" t="s">
        <v>1529</v>
      </c>
      <c r="G467" s="380" t="s">
        <v>1299</v>
      </c>
      <c r="H467" s="380" t="s">
        <v>2694</v>
      </c>
      <c r="I467" s="380" t="s">
        <v>1914</v>
      </c>
      <c r="J467" s="380" t="s">
        <v>1958</v>
      </c>
      <c r="K467" s="380" t="s">
        <v>1916</v>
      </c>
      <c r="L467" s="403">
        <v>0</v>
      </c>
    </row>
    <row r="468" spans="1:24" ht="15" customHeight="1" x14ac:dyDescent="0.25">
      <c r="A468" s="380" t="s">
        <v>2695</v>
      </c>
      <c r="B468" s="380" t="s">
        <v>1869</v>
      </c>
      <c r="C468" s="380" t="s">
        <v>1712</v>
      </c>
      <c r="D468" s="380" t="s">
        <v>1328</v>
      </c>
      <c r="E468" s="380" t="s">
        <v>334</v>
      </c>
      <c r="F468" s="380" t="s">
        <v>1529</v>
      </c>
      <c r="G468" s="380" t="s">
        <v>1301</v>
      </c>
      <c r="H468" s="380" t="s">
        <v>2696</v>
      </c>
      <c r="I468" s="380" t="s">
        <v>1914</v>
      </c>
      <c r="J468" s="380" t="s">
        <v>1961</v>
      </c>
      <c r="K468" s="380" t="s">
        <v>1916</v>
      </c>
      <c r="L468" s="403">
        <v>0</v>
      </c>
    </row>
    <row r="469" spans="1:24" ht="15" customHeight="1" x14ac:dyDescent="0.25">
      <c r="A469" s="380" t="s">
        <v>2697</v>
      </c>
      <c r="B469" s="380" t="s">
        <v>1869</v>
      </c>
      <c r="C469" s="380" t="s">
        <v>1712</v>
      </c>
      <c r="D469" s="380" t="s">
        <v>1338</v>
      </c>
      <c r="E469" s="380" t="s">
        <v>334</v>
      </c>
      <c r="F469" s="380" t="s">
        <v>1529</v>
      </c>
      <c r="G469" s="380" t="s">
        <v>1339</v>
      </c>
      <c r="H469" s="380" t="s">
        <v>2698</v>
      </c>
      <c r="I469" s="380" t="s">
        <v>1914</v>
      </c>
      <c r="J469" s="380" t="s">
        <v>1964</v>
      </c>
      <c r="K469" s="380"/>
      <c r="L469" s="403">
        <v>52</v>
      </c>
    </row>
    <row r="470" spans="1:24" ht="15" customHeight="1" x14ac:dyDescent="0.25">
      <c r="A470" s="380" t="s">
        <v>2699</v>
      </c>
      <c r="B470" s="380" t="s">
        <v>1869</v>
      </c>
      <c r="C470" s="380" t="s">
        <v>1712</v>
      </c>
      <c r="D470" s="380" t="s">
        <v>1966</v>
      </c>
      <c r="E470" s="380" t="s">
        <v>334</v>
      </c>
      <c r="F470" s="380" t="s">
        <v>1529</v>
      </c>
      <c r="G470" s="380" t="s">
        <v>1277</v>
      </c>
      <c r="H470" s="380" t="s">
        <v>2700</v>
      </c>
      <c r="I470" s="380" t="s">
        <v>1746</v>
      </c>
      <c r="J470" s="380" t="s">
        <v>1968</v>
      </c>
      <c r="K470" s="380" t="s">
        <v>1969</v>
      </c>
      <c r="L470" s="403">
        <v>1.5</v>
      </c>
    </row>
    <row r="471" spans="1:24" ht="15" customHeight="1" x14ac:dyDescent="0.25">
      <c r="A471" s="380" t="s">
        <v>2701</v>
      </c>
      <c r="B471" s="380" t="s">
        <v>1869</v>
      </c>
      <c r="C471" s="380" t="s">
        <v>1712</v>
      </c>
      <c r="D471" s="380" t="s">
        <v>1971</v>
      </c>
      <c r="E471" s="380" t="s">
        <v>334</v>
      </c>
      <c r="F471" s="380" t="s">
        <v>1529</v>
      </c>
      <c r="G471" s="380" t="s">
        <v>1277</v>
      </c>
      <c r="H471" s="380" t="s">
        <v>2702</v>
      </c>
      <c r="I471" s="380" t="s">
        <v>1566</v>
      </c>
      <c r="J471" s="380" t="s">
        <v>1973</v>
      </c>
      <c r="K471" s="380" t="s">
        <v>2703</v>
      </c>
      <c r="L471" s="403">
        <v>0.8</v>
      </c>
    </row>
    <row r="473" spans="1:24" ht="21.75" customHeight="1" x14ac:dyDescent="0.25">
      <c r="A473" s="12" t="s">
        <v>2704</v>
      </c>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spans="1:24" ht="15" customHeight="1" x14ac:dyDescent="0.25">
      <c r="A474" s="380" t="s">
        <v>2705</v>
      </c>
      <c r="B474" s="380" t="s">
        <v>1874</v>
      </c>
      <c r="C474" s="380" t="s">
        <v>1712</v>
      </c>
      <c r="D474" s="380" t="s">
        <v>1890</v>
      </c>
      <c r="E474" s="380" t="s">
        <v>322</v>
      </c>
      <c r="F474" s="380" t="s">
        <v>1305</v>
      </c>
      <c r="G474" s="380" t="s">
        <v>1277</v>
      </c>
      <c r="H474" s="380" t="s">
        <v>2706</v>
      </c>
      <c r="I474" s="380" t="s">
        <v>1307</v>
      </c>
      <c r="J474" s="380" t="s">
        <v>1892</v>
      </c>
      <c r="K474" s="380" t="s">
        <v>1893</v>
      </c>
      <c r="L474" s="406">
        <v>0.2</v>
      </c>
    </row>
    <row r="475" spans="1:24" ht="15" customHeight="1" x14ac:dyDescent="0.25">
      <c r="A475" s="380" t="s">
        <v>2707</v>
      </c>
      <c r="B475" s="380" t="s">
        <v>1874</v>
      </c>
      <c r="C475" s="380" t="s">
        <v>1712</v>
      </c>
      <c r="D475" s="380" t="s">
        <v>1895</v>
      </c>
      <c r="E475" s="380" t="s">
        <v>322</v>
      </c>
      <c r="F475" s="380" t="s">
        <v>1305</v>
      </c>
      <c r="G475" s="380" t="s">
        <v>1277</v>
      </c>
      <c r="H475" s="380" t="s">
        <v>2708</v>
      </c>
      <c r="I475" s="380" t="s">
        <v>1897</v>
      </c>
      <c r="J475" s="380" t="s">
        <v>1898</v>
      </c>
      <c r="K475" s="380"/>
      <c r="L475" s="404">
        <v>1</v>
      </c>
    </row>
    <row r="476" spans="1:24" ht="15" customHeight="1" x14ac:dyDescent="0.25">
      <c r="A476" s="380" t="s">
        <v>2709</v>
      </c>
      <c r="B476" s="380" t="s">
        <v>1874</v>
      </c>
      <c r="C476" s="380" t="s">
        <v>1712</v>
      </c>
      <c r="D476" s="380" t="s">
        <v>1900</v>
      </c>
      <c r="E476" s="380" t="s">
        <v>322</v>
      </c>
      <c r="F476" s="380" t="s">
        <v>1305</v>
      </c>
      <c r="G476" s="380" t="s">
        <v>1277</v>
      </c>
      <c r="H476" s="380" t="s">
        <v>2710</v>
      </c>
      <c r="I476" s="380" t="s">
        <v>1902</v>
      </c>
      <c r="J476" s="380" t="s">
        <v>1903</v>
      </c>
      <c r="K476" s="380"/>
      <c r="L476" s="404">
        <v>0.2</v>
      </c>
    </row>
    <row r="477" spans="1:24" ht="15" customHeight="1" x14ac:dyDescent="0.25">
      <c r="A477" s="380" t="s">
        <v>2711</v>
      </c>
      <c r="B477" s="380" t="s">
        <v>1874</v>
      </c>
      <c r="C477" s="380" t="s">
        <v>1712</v>
      </c>
      <c r="D477" s="380" t="s">
        <v>1905</v>
      </c>
      <c r="E477" s="380" t="s">
        <v>322</v>
      </c>
      <c r="F477" s="380" t="s">
        <v>1305</v>
      </c>
      <c r="G477" s="380" t="s">
        <v>1277</v>
      </c>
      <c r="H477" s="380" t="s">
        <v>2712</v>
      </c>
      <c r="I477" s="380" t="s">
        <v>1902</v>
      </c>
      <c r="J477" s="380" t="s">
        <v>1907</v>
      </c>
      <c r="K477" s="380"/>
      <c r="L477" s="404">
        <v>0.02</v>
      </c>
    </row>
    <row r="478" spans="1:24" ht="15" customHeight="1" x14ac:dyDescent="0.25">
      <c r="A478" s="380" t="s">
        <v>2713</v>
      </c>
      <c r="B478" s="380" t="s">
        <v>1874</v>
      </c>
      <c r="C478" s="380" t="s">
        <v>1712</v>
      </c>
      <c r="D478" s="380" t="s">
        <v>1909</v>
      </c>
      <c r="E478" s="380" t="s">
        <v>322</v>
      </c>
      <c r="F478" s="380" t="s">
        <v>1305</v>
      </c>
      <c r="G478" s="380" t="s">
        <v>1277</v>
      </c>
      <c r="H478" s="380" t="s">
        <v>2714</v>
      </c>
      <c r="I478" s="380" t="s">
        <v>1902</v>
      </c>
      <c r="J478" s="380" t="s">
        <v>1911</v>
      </c>
      <c r="K478" s="380"/>
      <c r="L478" s="404">
        <v>0.2</v>
      </c>
    </row>
    <row r="479" spans="1:24" ht="15" customHeight="1" x14ac:dyDescent="0.25">
      <c r="A479" s="380" t="s">
        <v>2715</v>
      </c>
      <c r="B479" s="380" t="s">
        <v>1874</v>
      </c>
      <c r="C479" s="380" t="s">
        <v>1712</v>
      </c>
      <c r="D479" s="380" t="s">
        <v>1317</v>
      </c>
      <c r="E479" s="380" t="s">
        <v>322</v>
      </c>
      <c r="F479" s="380" t="s">
        <v>1305</v>
      </c>
      <c r="G479" s="380" t="s">
        <v>757</v>
      </c>
      <c r="H479" s="380" t="s">
        <v>2716</v>
      </c>
      <c r="I479" s="380" t="s">
        <v>1914</v>
      </c>
      <c r="J479" s="380" t="s">
        <v>1915</v>
      </c>
      <c r="K479" s="380" t="s">
        <v>1916</v>
      </c>
      <c r="L479" s="403">
        <v>0</v>
      </c>
    </row>
    <row r="480" spans="1:24" ht="15" customHeight="1" x14ac:dyDescent="0.25">
      <c r="A480" s="380" t="s">
        <v>2717</v>
      </c>
      <c r="B480" s="380" t="s">
        <v>1874</v>
      </c>
      <c r="C480" s="380" t="s">
        <v>1712</v>
      </c>
      <c r="D480" s="380" t="s">
        <v>1317</v>
      </c>
      <c r="E480" s="380" t="s">
        <v>322</v>
      </c>
      <c r="F480" s="380" t="s">
        <v>1305</v>
      </c>
      <c r="G480" s="380" t="s">
        <v>754</v>
      </c>
      <c r="H480" s="380" t="s">
        <v>2718</v>
      </c>
      <c r="I480" s="380" t="s">
        <v>1914</v>
      </c>
      <c r="J480" s="380" t="s">
        <v>1919</v>
      </c>
      <c r="K480" s="380" t="s">
        <v>1916</v>
      </c>
      <c r="L480" s="403">
        <v>5</v>
      </c>
    </row>
    <row r="481" spans="1:12" ht="15" customHeight="1" x14ac:dyDescent="0.25">
      <c r="A481" s="380" t="s">
        <v>2719</v>
      </c>
      <c r="B481" s="380" t="s">
        <v>1874</v>
      </c>
      <c r="C481" s="380" t="s">
        <v>1712</v>
      </c>
      <c r="D481" s="380" t="s">
        <v>1317</v>
      </c>
      <c r="E481" s="380" t="s">
        <v>322</v>
      </c>
      <c r="F481" s="380" t="s">
        <v>1305</v>
      </c>
      <c r="G481" s="380" t="s">
        <v>1292</v>
      </c>
      <c r="H481" s="380" t="s">
        <v>2720</v>
      </c>
      <c r="I481" s="380" t="s">
        <v>1914</v>
      </c>
      <c r="J481" s="380" t="s">
        <v>1922</v>
      </c>
      <c r="K481" s="380" t="s">
        <v>1916</v>
      </c>
      <c r="L481" s="403">
        <v>0</v>
      </c>
    </row>
    <row r="482" spans="1:12" ht="15" customHeight="1" x14ac:dyDescent="0.25">
      <c r="A482" s="380" t="s">
        <v>2721</v>
      </c>
      <c r="B482" s="380" t="s">
        <v>1874</v>
      </c>
      <c r="C482" s="380" t="s">
        <v>1712</v>
      </c>
      <c r="D482" s="380" t="s">
        <v>1317</v>
      </c>
      <c r="E482" s="380" t="s">
        <v>322</v>
      </c>
      <c r="F482" s="380" t="s">
        <v>1305</v>
      </c>
      <c r="G482" s="380" t="s">
        <v>762</v>
      </c>
      <c r="H482" s="380" t="s">
        <v>2722</v>
      </c>
      <c r="I482" s="380" t="s">
        <v>1914</v>
      </c>
      <c r="J482" s="380" t="s">
        <v>1925</v>
      </c>
      <c r="K482" s="380" t="s">
        <v>1916</v>
      </c>
      <c r="L482" s="403">
        <v>0</v>
      </c>
    </row>
    <row r="483" spans="1:12" ht="15" customHeight="1" x14ac:dyDescent="0.25">
      <c r="A483" s="380" t="s">
        <v>2723</v>
      </c>
      <c r="B483" s="380" t="s">
        <v>1874</v>
      </c>
      <c r="C483" s="380" t="s">
        <v>1712</v>
      </c>
      <c r="D483" s="380" t="s">
        <v>1317</v>
      </c>
      <c r="E483" s="380" t="s">
        <v>322</v>
      </c>
      <c r="F483" s="380" t="s">
        <v>1305</v>
      </c>
      <c r="G483" s="380" t="s">
        <v>1295</v>
      </c>
      <c r="H483" s="380" t="s">
        <v>2724</v>
      </c>
      <c r="I483" s="380" t="s">
        <v>1914</v>
      </c>
      <c r="J483" s="380" t="s">
        <v>1928</v>
      </c>
      <c r="K483" s="380" t="s">
        <v>1916</v>
      </c>
      <c r="L483" s="403">
        <v>0</v>
      </c>
    </row>
    <row r="484" spans="1:12" ht="15" customHeight="1" x14ac:dyDescent="0.25">
      <c r="A484" s="380" t="s">
        <v>2725</v>
      </c>
      <c r="B484" s="380" t="s">
        <v>1874</v>
      </c>
      <c r="C484" s="380" t="s">
        <v>1712</v>
      </c>
      <c r="D484" s="380" t="s">
        <v>1317</v>
      </c>
      <c r="E484" s="380" t="s">
        <v>322</v>
      </c>
      <c r="F484" s="380" t="s">
        <v>1305</v>
      </c>
      <c r="G484" s="380" t="s">
        <v>1297</v>
      </c>
      <c r="H484" s="380" t="s">
        <v>2726</v>
      </c>
      <c r="I484" s="380" t="s">
        <v>1914</v>
      </c>
      <c r="J484" s="380" t="s">
        <v>1931</v>
      </c>
      <c r="K484" s="380" t="s">
        <v>1916</v>
      </c>
      <c r="L484" s="403">
        <v>0</v>
      </c>
    </row>
    <row r="485" spans="1:12" ht="15" customHeight="1" x14ac:dyDescent="0.25">
      <c r="A485" s="380" t="s">
        <v>2727</v>
      </c>
      <c r="B485" s="380" t="s">
        <v>1874</v>
      </c>
      <c r="C485" s="380" t="s">
        <v>1712</v>
      </c>
      <c r="D485" s="380" t="s">
        <v>1317</v>
      </c>
      <c r="E485" s="380" t="s">
        <v>322</v>
      </c>
      <c r="F485" s="380" t="s">
        <v>1305</v>
      </c>
      <c r="G485" s="380" t="s">
        <v>1299</v>
      </c>
      <c r="H485" s="380" t="s">
        <v>2728</v>
      </c>
      <c r="I485" s="380" t="s">
        <v>1914</v>
      </c>
      <c r="J485" s="380" t="s">
        <v>1934</v>
      </c>
      <c r="K485" s="380" t="s">
        <v>1916</v>
      </c>
      <c r="L485" s="403">
        <v>0</v>
      </c>
    </row>
    <row r="486" spans="1:12" ht="15" customHeight="1" x14ac:dyDescent="0.25">
      <c r="A486" s="380" t="s">
        <v>2729</v>
      </c>
      <c r="B486" s="380" t="s">
        <v>1874</v>
      </c>
      <c r="C486" s="380" t="s">
        <v>1712</v>
      </c>
      <c r="D486" s="380" t="s">
        <v>1317</v>
      </c>
      <c r="E486" s="380" t="s">
        <v>322</v>
      </c>
      <c r="F486" s="380" t="s">
        <v>1305</v>
      </c>
      <c r="G486" s="380" t="s">
        <v>1301</v>
      </c>
      <c r="H486" s="380" t="s">
        <v>2730</v>
      </c>
      <c r="I486" s="380" t="s">
        <v>1914</v>
      </c>
      <c r="J486" s="380" t="s">
        <v>1937</v>
      </c>
      <c r="K486" s="380" t="s">
        <v>1916</v>
      </c>
      <c r="L486" s="403">
        <v>0</v>
      </c>
    </row>
    <row r="487" spans="1:12" ht="15" customHeight="1" x14ac:dyDescent="0.25">
      <c r="A487" s="380" t="s">
        <v>2731</v>
      </c>
      <c r="B487" s="380" t="s">
        <v>1874</v>
      </c>
      <c r="C487" s="380" t="s">
        <v>1712</v>
      </c>
      <c r="D487" s="380" t="s">
        <v>1328</v>
      </c>
      <c r="E487" s="380" t="s">
        <v>322</v>
      </c>
      <c r="F487" s="380" t="s">
        <v>1305</v>
      </c>
      <c r="G487" s="380" t="s">
        <v>757</v>
      </c>
      <c r="H487" s="380" t="s">
        <v>2732</v>
      </c>
      <c r="I487" s="380" t="s">
        <v>1914</v>
      </c>
      <c r="J487" s="380" t="s">
        <v>1940</v>
      </c>
      <c r="K487" s="380" t="s">
        <v>1916</v>
      </c>
      <c r="L487" s="403">
        <v>0</v>
      </c>
    </row>
    <row r="488" spans="1:12" ht="15" customHeight="1" x14ac:dyDescent="0.25">
      <c r="A488" s="380" t="s">
        <v>2733</v>
      </c>
      <c r="B488" s="380" t="s">
        <v>1874</v>
      </c>
      <c r="C488" s="380" t="s">
        <v>1712</v>
      </c>
      <c r="D488" s="380" t="s">
        <v>1328</v>
      </c>
      <c r="E488" s="380" t="s">
        <v>322</v>
      </c>
      <c r="F488" s="380" t="s">
        <v>1305</v>
      </c>
      <c r="G488" s="380" t="s">
        <v>754</v>
      </c>
      <c r="H488" s="380" t="s">
        <v>2734</v>
      </c>
      <c r="I488" s="380" t="s">
        <v>1914</v>
      </c>
      <c r="J488" s="380" t="s">
        <v>1943</v>
      </c>
      <c r="K488" s="380" t="s">
        <v>1916</v>
      </c>
      <c r="L488" s="403">
        <v>24</v>
      </c>
    </row>
    <row r="489" spans="1:12" ht="15" customHeight="1" x14ac:dyDescent="0.25">
      <c r="A489" s="380" t="s">
        <v>2735</v>
      </c>
      <c r="B489" s="380" t="s">
        <v>1874</v>
      </c>
      <c r="C489" s="380" t="s">
        <v>1712</v>
      </c>
      <c r="D489" s="380" t="s">
        <v>1328</v>
      </c>
      <c r="E489" s="380" t="s">
        <v>322</v>
      </c>
      <c r="F489" s="380" t="s">
        <v>1305</v>
      </c>
      <c r="G489" s="380" t="s">
        <v>1292</v>
      </c>
      <c r="H489" s="380" t="s">
        <v>2736</v>
      </c>
      <c r="I489" s="380" t="s">
        <v>1914</v>
      </c>
      <c r="J489" s="380" t="s">
        <v>1946</v>
      </c>
      <c r="K489" s="380" t="s">
        <v>1916</v>
      </c>
      <c r="L489" s="403">
        <v>0</v>
      </c>
    </row>
    <row r="490" spans="1:12" ht="15" customHeight="1" x14ac:dyDescent="0.25">
      <c r="A490" s="380" t="s">
        <v>2737</v>
      </c>
      <c r="B490" s="380" t="s">
        <v>1874</v>
      </c>
      <c r="C490" s="380" t="s">
        <v>1712</v>
      </c>
      <c r="D490" s="380" t="s">
        <v>1328</v>
      </c>
      <c r="E490" s="380" t="s">
        <v>322</v>
      </c>
      <c r="F490" s="380" t="s">
        <v>1305</v>
      </c>
      <c r="G490" s="380" t="s">
        <v>762</v>
      </c>
      <c r="H490" s="380" t="s">
        <v>2738</v>
      </c>
      <c r="I490" s="380" t="s">
        <v>1914</v>
      </c>
      <c r="J490" s="380" t="s">
        <v>1949</v>
      </c>
      <c r="K490" s="380" t="s">
        <v>1916</v>
      </c>
      <c r="L490" s="403">
        <v>0</v>
      </c>
    </row>
    <row r="491" spans="1:12" ht="15" customHeight="1" x14ac:dyDescent="0.25">
      <c r="A491" s="380" t="s">
        <v>2739</v>
      </c>
      <c r="B491" s="380" t="s">
        <v>1874</v>
      </c>
      <c r="C491" s="380" t="s">
        <v>1712</v>
      </c>
      <c r="D491" s="380" t="s">
        <v>1328</v>
      </c>
      <c r="E491" s="380" t="s">
        <v>322</v>
      </c>
      <c r="F491" s="380" t="s">
        <v>1305</v>
      </c>
      <c r="G491" s="380" t="s">
        <v>1295</v>
      </c>
      <c r="H491" s="380" t="s">
        <v>2740</v>
      </c>
      <c r="I491" s="380" t="s">
        <v>1914</v>
      </c>
      <c r="J491" s="380" t="s">
        <v>1952</v>
      </c>
      <c r="K491" s="380" t="s">
        <v>1916</v>
      </c>
      <c r="L491" s="403">
        <v>0</v>
      </c>
    </row>
    <row r="492" spans="1:12" ht="15" customHeight="1" x14ac:dyDescent="0.25">
      <c r="A492" s="380" t="s">
        <v>2741</v>
      </c>
      <c r="B492" s="380" t="s">
        <v>1874</v>
      </c>
      <c r="C492" s="380" t="s">
        <v>1712</v>
      </c>
      <c r="D492" s="380" t="s">
        <v>1328</v>
      </c>
      <c r="E492" s="380" t="s">
        <v>322</v>
      </c>
      <c r="F492" s="380" t="s">
        <v>1305</v>
      </c>
      <c r="G492" s="380" t="s">
        <v>1297</v>
      </c>
      <c r="H492" s="380" t="s">
        <v>2742</v>
      </c>
      <c r="I492" s="380" t="s">
        <v>1914</v>
      </c>
      <c r="J492" s="380" t="s">
        <v>1955</v>
      </c>
      <c r="K492" s="380" t="s">
        <v>1916</v>
      </c>
      <c r="L492" s="403">
        <v>0</v>
      </c>
    </row>
    <row r="493" spans="1:12" ht="15" customHeight="1" x14ac:dyDescent="0.25">
      <c r="A493" s="380" t="s">
        <v>2743</v>
      </c>
      <c r="B493" s="380" t="s">
        <v>1874</v>
      </c>
      <c r="C493" s="380" t="s">
        <v>1712</v>
      </c>
      <c r="D493" s="380" t="s">
        <v>1328</v>
      </c>
      <c r="E493" s="380" t="s">
        <v>322</v>
      </c>
      <c r="F493" s="380" t="s">
        <v>1305</v>
      </c>
      <c r="G493" s="380" t="s">
        <v>1299</v>
      </c>
      <c r="H493" s="380" t="s">
        <v>2744</v>
      </c>
      <c r="I493" s="380" t="s">
        <v>1914</v>
      </c>
      <c r="J493" s="380" t="s">
        <v>1958</v>
      </c>
      <c r="K493" s="380" t="s">
        <v>1916</v>
      </c>
      <c r="L493" s="403">
        <v>0</v>
      </c>
    </row>
    <row r="494" spans="1:12" ht="15" customHeight="1" x14ac:dyDescent="0.25">
      <c r="A494" s="380" t="s">
        <v>2745</v>
      </c>
      <c r="B494" s="380" t="s">
        <v>1874</v>
      </c>
      <c r="C494" s="380" t="s">
        <v>1712</v>
      </c>
      <c r="D494" s="380" t="s">
        <v>1328</v>
      </c>
      <c r="E494" s="380" t="s">
        <v>322</v>
      </c>
      <c r="F494" s="380" t="s">
        <v>1305</v>
      </c>
      <c r="G494" s="380" t="s">
        <v>1301</v>
      </c>
      <c r="H494" s="380" t="s">
        <v>2746</v>
      </c>
      <c r="I494" s="380" t="s">
        <v>1914</v>
      </c>
      <c r="J494" s="380" t="s">
        <v>1961</v>
      </c>
      <c r="K494" s="380" t="s">
        <v>1916</v>
      </c>
      <c r="L494" s="403">
        <v>0</v>
      </c>
    </row>
    <row r="495" spans="1:12" ht="15" customHeight="1" x14ac:dyDescent="0.25">
      <c r="A495" s="380" t="s">
        <v>2747</v>
      </c>
      <c r="B495" s="380" t="s">
        <v>1874</v>
      </c>
      <c r="C495" s="380" t="s">
        <v>1712</v>
      </c>
      <c r="D495" s="380" t="s">
        <v>1338</v>
      </c>
      <c r="E495" s="380" t="s">
        <v>322</v>
      </c>
      <c r="F495" s="380" t="s">
        <v>1305</v>
      </c>
      <c r="G495" s="380" t="s">
        <v>1339</v>
      </c>
      <c r="H495" s="380" t="s">
        <v>2748</v>
      </c>
      <c r="I495" s="380" t="s">
        <v>1914</v>
      </c>
      <c r="J495" s="380" t="s">
        <v>1964</v>
      </c>
      <c r="K495" s="380"/>
      <c r="L495" s="403">
        <v>2.5</v>
      </c>
    </row>
    <row r="496" spans="1:12" ht="15" customHeight="1" x14ac:dyDescent="0.25">
      <c r="A496" s="380" t="s">
        <v>2749</v>
      </c>
      <c r="B496" s="380" t="s">
        <v>1874</v>
      </c>
      <c r="C496" s="380" t="s">
        <v>1712</v>
      </c>
      <c r="D496" s="380" t="s">
        <v>1966</v>
      </c>
      <c r="E496" s="380" t="s">
        <v>322</v>
      </c>
      <c r="F496" s="380" t="s">
        <v>1305</v>
      </c>
      <c r="G496" s="380" t="s">
        <v>1277</v>
      </c>
      <c r="H496" s="380" t="s">
        <v>2750</v>
      </c>
      <c r="I496" s="380" t="s">
        <v>1746</v>
      </c>
      <c r="J496" s="380" t="s">
        <v>1968</v>
      </c>
      <c r="K496" s="380" t="s">
        <v>1969</v>
      </c>
      <c r="L496" s="403">
        <v>0</v>
      </c>
    </row>
    <row r="497" spans="1:12" ht="15" customHeight="1" x14ac:dyDescent="0.25">
      <c r="A497" s="380" t="s">
        <v>2751</v>
      </c>
      <c r="B497" s="380" t="s">
        <v>1874</v>
      </c>
      <c r="C497" s="380" t="s">
        <v>1712</v>
      </c>
      <c r="D497" s="380" t="s">
        <v>1971</v>
      </c>
      <c r="E497" s="380" t="s">
        <v>322</v>
      </c>
      <c r="F497" s="380" t="s">
        <v>1305</v>
      </c>
      <c r="G497" s="380" t="s">
        <v>1277</v>
      </c>
      <c r="H497" s="380" t="s">
        <v>2752</v>
      </c>
      <c r="I497" s="380" t="s">
        <v>1566</v>
      </c>
      <c r="J497" s="380" t="s">
        <v>1973</v>
      </c>
      <c r="K497" s="380" t="s">
        <v>1969</v>
      </c>
      <c r="L497" s="403">
        <v>0</v>
      </c>
    </row>
    <row r="498" spans="1:12" ht="15" customHeight="1" x14ac:dyDescent="0.25">
      <c r="A498" s="380" t="s">
        <v>2753</v>
      </c>
      <c r="B498" s="380" t="s">
        <v>1874</v>
      </c>
      <c r="C498" s="380" t="s">
        <v>1712</v>
      </c>
      <c r="D498" s="380" t="s">
        <v>1890</v>
      </c>
      <c r="E498" s="380" t="s">
        <v>322</v>
      </c>
      <c r="F498" s="380" t="s">
        <v>1361</v>
      </c>
      <c r="G498" s="380" t="s">
        <v>1277</v>
      </c>
      <c r="H498" s="380" t="s">
        <v>2754</v>
      </c>
      <c r="I498" s="380" t="s">
        <v>1307</v>
      </c>
      <c r="J498" s="380" t="s">
        <v>1976</v>
      </c>
      <c r="K498" s="380" t="s">
        <v>1893</v>
      </c>
      <c r="L498" s="406">
        <v>1</v>
      </c>
    </row>
    <row r="499" spans="1:12" ht="15" customHeight="1" x14ac:dyDescent="0.25">
      <c r="A499" s="380" t="s">
        <v>2755</v>
      </c>
      <c r="B499" s="380" t="s">
        <v>1874</v>
      </c>
      <c r="C499" s="380" t="s">
        <v>1712</v>
      </c>
      <c r="D499" s="380" t="s">
        <v>1895</v>
      </c>
      <c r="E499" s="380" t="s">
        <v>322</v>
      </c>
      <c r="F499" s="380" t="s">
        <v>1361</v>
      </c>
      <c r="G499" s="380" t="s">
        <v>1277</v>
      </c>
      <c r="H499" s="380" t="s">
        <v>2756</v>
      </c>
      <c r="I499" s="380" t="s">
        <v>1897</v>
      </c>
      <c r="J499" s="380" t="s">
        <v>1898</v>
      </c>
      <c r="K499" s="380"/>
      <c r="L499" s="404">
        <v>0.8</v>
      </c>
    </row>
    <row r="500" spans="1:12" ht="15" customHeight="1" x14ac:dyDescent="0.25">
      <c r="A500" s="380" t="s">
        <v>2757</v>
      </c>
      <c r="B500" s="380" t="s">
        <v>1874</v>
      </c>
      <c r="C500" s="380" t="s">
        <v>1712</v>
      </c>
      <c r="D500" s="380" t="s">
        <v>1900</v>
      </c>
      <c r="E500" s="380" t="s">
        <v>322</v>
      </c>
      <c r="F500" s="380" t="s">
        <v>1361</v>
      </c>
      <c r="G500" s="380" t="s">
        <v>1277</v>
      </c>
      <c r="H500" s="380" t="s">
        <v>2758</v>
      </c>
      <c r="I500" s="380" t="s">
        <v>1902</v>
      </c>
      <c r="J500" s="380" t="s">
        <v>1903</v>
      </c>
      <c r="K500" s="380"/>
      <c r="L500" s="404">
        <v>0.2</v>
      </c>
    </row>
    <row r="501" spans="1:12" ht="15" customHeight="1" x14ac:dyDescent="0.25">
      <c r="A501" s="380" t="s">
        <v>2759</v>
      </c>
      <c r="B501" s="380" t="s">
        <v>1874</v>
      </c>
      <c r="C501" s="380" t="s">
        <v>1712</v>
      </c>
      <c r="D501" s="380" t="s">
        <v>1905</v>
      </c>
      <c r="E501" s="380" t="s">
        <v>322</v>
      </c>
      <c r="F501" s="380" t="s">
        <v>1361</v>
      </c>
      <c r="G501" s="380" t="s">
        <v>1277</v>
      </c>
      <c r="H501" s="380" t="s">
        <v>2760</v>
      </c>
      <c r="I501" s="380" t="s">
        <v>1902</v>
      </c>
      <c r="J501" s="380" t="s">
        <v>1907</v>
      </c>
      <c r="K501" s="380"/>
      <c r="L501" s="404">
        <v>0.05</v>
      </c>
    </row>
    <row r="502" spans="1:12" ht="15" customHeight="1" x14ac:dyDescent="0.25">
      <c r="A502" s="380" t="s">
        <v>2761</v>
      </c>
      <c r="B502" s="380" t="s">
        <v>1874</v>
      </c>
      <c r="C502" s="380" t="s">
        <v>1712</v>
      </c>
      <c r="D502" s="380" t="s">
        <v>1909</v>
      </c>
      <c r="E502" s="380" t="s">
        <v>322</v>
      </c>
      <c r="F502" s="380" t="s">
        <v>1361</v>
      </c>
      <c r="G502" s="380" t="s">
        <v>1277</v>
      </c>
      <c r="H502" s="380" t="s">
        <v>2762</v>
      </c>
      <c r="I502" s="380" t="s">
        <v>1902</v>
      </c>
      <c r="J502" s="380" t="s">
        <v>1911</v>
      </c>
      <c r="K502" s="380"/>
      <c r="L502" s="404">
        <v>0.3</v>
      </c>
    </row>
    <row r="503" spans="1:12" ht="15" customHeight="1" x14ac:dyDescent="0.25">
      <c r="A503" s="380" t="s">
        <v>2763</v>
      </c>
      <c r="B503" s="380" t="s">
        <v>1874</v>
      </c>
      <c r="C503" s="380" t="s">
        <v>1712</v>
      </c>
      <c r="D503" s="380" t="s">
        <v>1317</v>
      </c>
      <c r="E503" s="380" t="s">
        <v>322</v>
      </c>
      <c r="F503" s="380" t="s">
        <v>1361</v>
      </c>
      <c r="G503" s="380" t="s">
        <v>757</v>
      </c>
      <c r="H503" s="380" t="s">
        <v>2764</v>
      </c>
      <c r="I503" s="380" t="s">
        <v>1914</v>
      </c>
      <c r="J503" s="380" t="s">
        <v>1915</v>
      </c>
      <c r="K503" s="380" t="s">
        <v>1916</v>
      </c>
      <c r="L503" s="403">
        <v>0</v>
      </c>
    </row>
    <row r="504" spans="1:12" ht="15" customHeight="1" x14ac:dyDescent="0.25">
      <c r="A504" s="380" t="s">
        <v>2765</v>
      </c>
      <c r="B504" s="380" t="s">
        <v>1874</v>
      </c>
      <c r="C504" s="380" t="s">
        <v>1712</v>
      </c>
      <c r="D504" s="380" t="s">
        <v>1317</v>
      </c>
      <c r="E504" s="380" t="s">
        <v>322</v>
      </c>
      <c r="F504" s="380" t="s">
        <v>1361</v>
      </c>
      <c r="G504" s="380" t="s">
        <v>754</v>
      </c>
      <c r="H504" s="380" t="s">
        <v>2766</v>
      </c>
      <c r="I504" s="380" t="s">
        <v>1914</v>
      </c>
      <c r="J504" s="380" t="s">
        <v>1919</v>
      </c>
      <c r="K504" s="380" t="s">
        <v>1916</v>
      </c>
      <c r="L504" s="403">
        <v>2.5</v>
      </c>
    </row>
    <row r="505" spans="1:12" ht="15" customHeight="1" x14ac:dyDescent="0.25">
      <c r="A505" s="380" t="s">
        <v>2767</v>
      </c>
      <c r="B505" s="380" t="s">
        <v>1874</v>
      </c>
      <c r="C505" s="380" t="s">
        <v>1712</v>
      </c>
      <c r="D505" s="380" t="s">
        <v>1317</v>
      </c>
      <c r="E505" s="380" t="s">
        <v>322</v>
      </c>
      <c r="F505" s="380" t="s">
        <v>1361</v>
      </c>
      <c r="G505" s="380" t="s">
        <v>1292</v>
      </c>
      <c r="H505" s="380" t="s">
        <v>2768</v>
      </c>
      <c r="I505" s="380" t="s">
        <v>1914</v>
      </c>
      <c r="J505" s="380" t="s">
        <v>1922</v>
      </c>
      <c r="K505" s="380" t="s">
        <v>1916</v>
      </c>
      <c r="L505" s="403">
        <v>0</v>
      </c>
    </row>
    <row r="506" spans="1:12" ht="15" customHeight="1" x14ac:dyDescent="0.25">
      <c r="A506" s="380" t="s">
        <v>2769</v>
      </c>
      <c r="B506" s="380" t="s">
        <v>1874</v>
      </c>
      <c r="C506" s="380" t="s">
        <v>1712</v>
      </c>
      <c r="D506" s="380" t="s">
        <v>1317</v>
      </c>
      <c r="E506" s="380" t="s">
        <v>322</v>
      </c>
      <c r="F506" s="380" t="s">
        <v>1361</v>
      </c>
      <c r="G506" s="380" t="s">
        <v>762</v>
      </c>
      <c r="H506" s="380" t="s">
        <v>2770</v>
      </c>
      <c r="I506" s="380" t="s">
        <v>1914</v>
      </c>
      <c r="J506" s="380" t="s">
        <v>1925</v>
      </c>
      <c r="K506" s="380" t="s">
        <v>1916</v>
      </c>
      <c r="L506" s="403">
        <v>0</v>
      </c>
    </row>
    <row r="507" spans="1:12" ht="15" customHeight="1" x14ac:dyDescent="0.25">
      <c r="A507" s="380" t="s">
        <v>2771</v>
      </c>
      <c r="B507" s="380" t="s">
        <v>1874</v>
      </c>
      <c r="C507" s="380" t="s">
        <v>1712</v>
      </c>
      <c r="D507" s="380" t="s">
        <v>1317</v>
      </c>
      <c r="E507" s="380" t="s">
        <v>322</v>
      </c>
      <c r="F507" s="380" t="s">
        <v>1361</v>
      </c>
      <c r="G507" s="380" t="s">
        <v>1295</v>
      </c>
      <c r="H507" s="380" t="s">
        <v>2772</v>
      </c>
      <c r="I507" s="380" t="s">
        <v>1914</v>
      </c>
      <c r="J507" s="380" t="s">
        <v>1928</v>
      </c>
      <c r="K507" s="380" t="s">
        <v>1916</v>
      </c>
      <c r="L507" s="403">
        <v>0</v>
      </c>
    </row>
    <row r="508" spans="1:12" ht="15" customHeight="1" x14ac:dyDescent="0.25">
      <c r="A508" s="380" t="s">
        <v>2773</v>
      </c>
      <c r="B508" s="380" t="s">
        <v>1874</v>
      </c>
      <c r="C508" s="380" t="s">
        <v>1712</v>
      </c>
      <c r="D508" s="380" t="s">
        <v>1317</v>
      </c>
      <c r="E508" s="380" t="s">
        <v>322</v>
      </c>
      <c r="F508" s="380" t="s">
        <v>1361</v>
      </c>
      <c r="G508" s="380" t="s">
        <v>1297</v>
      </c>
      <c r="H508" s="380" t="s">
        <v>2774</v>
      </c>
      <c r="I508" s="380" t="s">
        <v>1914</v>
      </c>
      <c r="J508" s="380" t="s">
        <v>1931</v>
      </c>
      <c r="K508" s="380" t="s">
        <v>1916</v>
      </c>
      <c r="L508" s="403">
        <v>0</v>
      </c>
    </row>
    <row r="509" spans="1:12" ht="15" customHeight="1" x14ac:dyDescent="0.25">
      <c r="A509" s="380" t="s">
        <v>2775</v>
      </c>
      <c r="B509" s="380" t="s">
        <v>1874</v>
      </c>
      <c r="C509" s="380" t="s">
        <v>1712</v>
      </c>
      <c r="D509" s="380" t="s">
        <v>1317</v>
      </c>
      <c r="E509" s="380" t="s">
        <v>322</v>
      </c>
      <c r="F509" s="380" t="s">
        <v>1361</v>
      </c>
      <c r="G509" s="380" t="s">
        <v>1299</v>
      </c>
      <c r="H509" s="380" t="s">
        <v>2776</v>
      </c>
      <c r="I509" s="380" t="s">
        <v>1914</v>
      </c>
      <c r="J509" s="380" t="s">
        <v>1934</v>
      </c>
      <c r="K509" s="380" t="s">
        <v>1916</v>
      </c>
      <c r="L509" s="403">
        <v>0</v>
      </c>
    </row>
    <row r="510" spans="1:12" ht="15" customHeight="1" x14ac:dyDescent="0.25">
      <c r="A510" s="380" t="s">
        <v>2777</v>
      </c>
      <c r="B510" s="380" t="s">
        <v>1874</v>
      </c>
      <c r="C510" s="380" t="s">
        <v>1712</v>
      </c>
      <c r="D510" s="380" t="s">
        <v>1317</v>
      </c>
      <c r="E510" s="380" t="s">
        <v>322</v>
      </c>
      <c r="F510" s="380" t="s">
        <v>1361</v>
      </c>
      <c r="G510" s="380" t="s">
        <v>1301</v>
      </c>
      <c r="H510" s="380" t="s">
        <v>2778</v>
      </c>
      <c r="I510" s="380" t="s">
        <v>1914</v>
      </c>
      <c r="J510" s="380" t="s">
        <v>1937</v>
      </c>
      <c r="K510" s="380" t="s">
        <v>1916</v>
      </c>
      <c r="L510" s="403">
        <v>0</v>
      </c>
    </row>
    <row r="511" spans="1:12" ht="15" customHeight="1" x14ac:dyDescent="0.25">
      <c r="A511" s="380" t="s">
        <v>2779</v>
      </c>
      <c r="B511" s="380" t="s">
        <v>1874</v>
      </c>
      <c r="C511" s="380" t="s">
        <v>1712</v>
      </c>
      <c r="D511" s="380" t="s">
        <v>1328</v>
      </c>
      <c r="E511" s="380" t="s">
        <v>322</v>
      </c>
      <c r="F511" s="380" t="s">
        <v>1361</v>
      </c>
      <c r="G511" s="380" t="s">
        <v>757</v>
      </c>
      <c r="H511" s="380" t="s">
        <v>2780</v>
      </c>
      <c r="I511" s="380" t="s">
        <v>1914</v>
      </c>
      <c r="J511" s="380" t="s">
        <v>1940</v>
      </c>
      <c r="K511" s="380" t="s">
        <v>1916</v>
      </c>
      <c r="L511" s="403">
        <v>0</v>
      </c>
    </row>
    <row r="512" spans="1:12" ht="15" customHeight="1" x14ac:dyDescent="0.25">
      <c r="A512" s="380" t="s">
        <v>2781</v>
      </c>
      <c r="B512" s="380" t="s">
        <v>1874</v>
      </c>
      <c r="C512" s="380" t="s">
        <v>1712</v>
      </c>
      <c r="D512" s="380" t="s">
        <v>1328</v>
      </c>
      <c r="E512" s="380" t="s">
        <v>322</v>
      </c>
      <c r="F512" s="380" t="s">
        <v>1361</v>
      </c>
      <c r="G512" s="380" t="s">
        <v>754</v>
      </c>
      <c r="H512" s="380" t="s">
        <v>2782</v>
      </c>
      <c r="I512" s="380" t="s">
        <v>1914</v>
      </c>
      <c r="J512" s="380" t="s">
        <v>1943</v>
      </c>
      <c r="K512" s="380" t="s">
        <v>1916</v>
      </c>
      <c r="L512" s="403">
        <v>0</v>
      </c>
    </row>
    <row r="513" spans="1:12" ht="15" customHeight="1" x14ac:dyDescent="0.25">
      <c r="A513" s="380" t="s">
        <v>2783</v>
      </c>
      <c r="B513" s="380" t="s">
        <v>1874</v>
      </c>
      <c r="C513" s="380" t="s">
        <v>1712</v>
      </c>
      <c r="D513" s="380" t="s">
        <v>1328</v>
      </c>
      <c r="E513" s="380" t="s">
        <v>322</v>
      </c>
      <c r="F513" s="380" t="s">
        <v>1361</v>
      </c>
      <c r="G513" s="380" t="s">
        <v>1292</v>
      </c>
      <c r="H513" s="380" t="s">
        <v>2784</v>
      </c>
      <c r="I513" s="380" t="s">
        <v>1914</v>
      </c>
      <c r="J513" s="380" t="s">
        <v>1946</v>
      </c>
      <c r="K513" s="380" t="s">
        <v>1916</v>
      </c>
      <c r="L513" s="403">
        <v>0</v>
      </c>
    </row>
    <row r="514" spans="1:12" ht="15" customHeight="1" x14ac:dyDescent="0.25">
      <c r="A514" s="380" t="s">
        <v>2785</v>
      </c>
      <c r="B514" s="380" t="s">
        <v>1874</v>
      </c>
      <c r="C514" s="380" t="s">
        <v>1712</v>
      </c>
      <c r="D514" s="380" t="s">
        <v>1328</v>
      </c>
      <c r="E514" s="380" t="s">
        <v>322</v>
      </c>
      <c r="F514" s="380" t="s">
        <v>1361</v>
      </c>
      <c r="G514" s="380" t="s">
        <v>762</v>
      </c>
      <c r="H514" s="380" t="s">
        <v>2786</v>
      </c>
      <c r="I514" s="380" t="s">
        <v>1914</v>
      </c>
      <c r="J514" s="380" t="s">
        <v>1949</v>
      </c>
      <c r="K514" s="380" t="s">
        <v>1916</v>
      </c>
      <c r="L514" s="403">
        <v>0</v>
      </c>
    </row>
    <row r="515" spans="1:12" ht="15" customHeight="1" x14ac:dyDescent="0.25">
      <c r="A515" s="380" t="s">
        <v>2787</v>
      </c>
      <c r="B515" s="380" t="s">
        <v>1874</v>
      </c>
      <c r="C515" s="380" t="s">
        <v>1712</v>
      </c>
      <c r="D515" s="380" t="s">
        <v>1328</v>
      </c>
      <c r="E515" s="380" t="s">
        <v>322</v>
      </c>
      <c r="F515" s="380" t="s">
        <v>1361</v>
      </c>
      <c r="G515" s="380" t="s">
        <v>1295</v>
      </c>
      <c r="H515" s="380" t="s">
        <v>2788</v>
      </c>
      <c r="I515" s="380" t="s">
        <v>1914</v>
      </c>
      <c r="J515" s="380" t="s">
        <v>1952</v>
      </c>
      <c r="K515" s="380" t="s">
        <v>1916</v>
      </c>
      <c r="L515" s="403">
        <v>0</v>
      </c>
    </row>
    <row r="516" spans="1:12" ht="15" customHeight="1" x14ac:dyDescent="0.25">
      <c r="A516" s="380" t="s">
        <v>2789</v>
      </c>
      <c r="B516" s="380" t="s">
        <v>1874</v>
      </c>
      <c r="C516" s="380" t="s">
        <v>1712</v>
      </c>
      <c r="D516" s="380" t="s">
        <v>1328</v>
      </c>
      <c r="E516" s="380" t="s">
        <v>322</v>
      </c>
      <c r="F516" s="380" t="s">
        <v>1361</v>
      </c>
      <c r="G516" s="380" t="s">
        <v>1297</v>
      </c>
      <c r="H516" s="380" t="s">
        <v>2790</v>
      </c>
      <c r="I516" s="380" t="s">
        <v>1914</v>
      </c>
      <c r="J516" s="380" t="s">
        <v>1955</v>
      </c>
      <c r="K516" s="380" t="s">
        <v>1916</v>
      </c>
      <c r="L516" s="403">
        <v>0</v>
      </c>
    </row>
    <row r="517" spans="1:12" ht="15" customHeight="1" x14ac:dyDescent="0.25">
      <c r="A517" s="380" t="s">
        <v>2791</v>
      </c>
      <c r="B517" s="380" t="s">
        <v>1874</v>
      </c>
      <c r="C517" s="380" t="s">
        <v>1712</v>
      </c>
      <c r="D517" s="380" t="s">
        <v>1328</v>
      </c>
      <c r="E517" s="380" t="s">
        <v>322</v>
      </c>
      <c r="F517" s="380" t="s">
        <v>1361</v>
      </c>
      <c r="G517" s="380" t="s">
        <v>1299</v>
      </c>
      <c r="H517" s="380" t="s">
        <v>2792</v>
      </c>
      <c r="I517" s="380" t="s">
        <v>1914</v>
      </c>
      <c r="J517" s="380" t="s">
        <v>1958</v>
      </c>
      <c r="K517" s="380" t="s">
        <v>1916</v>
      </c>
      <c r="L517" s="403">
        <v>0</v>
      </c>
    </row>
    <row r="518" spans="1:12" ht="15" customHeight="1" x14ac:dyDescent="0.25">
      <c r="A518" s="380" t="s">
        <v>2793</v>
      </c>
      <c r="B518" s="380" t="s">
        <v>1874</v>
      </c>
      <c r="C518" s="380" t="s">
        <v>1712</v>
      </c>
      <c r="D518" s="380" t="s">
        <v>1328</v>
      </c>
      <c r="E518" s="380" t="s">
        <v>322</v>
      </c>
      <c r="F518" s="380" t="s">
        <v>1361</v>
      </c>
      <c r="G518" s="380" t="s">
        <v>1301</v>
      </c>
      <c r="H518" s="380" t="s">
        <v>2794</v>
      </c>
      <c r="I518" s="380" t="s">
        <v>1914</v>
      </c>
      <c r="J518" s="380" t="s">
        <v>1961</v>
      </c>
      <c r="K518" s="380" t="s">
        <v>1916</v>
      </c>
      <c r="L518" s="403">
        <v>0</v>
      </c>
    </row>
    <row r="519" spans="1:12" ht="15" customHeight="1" x14ac:dyDescent="0.25">
      <c r="A519" s="380" t="s">
        <v>2795</v>
      </c>
      <c r="B519" s="380" t="s">
        <v>1874</v>
      </c>
      <c r="C519" s="380" t="s">
        <v>1712</v>
      </c>
      <c r="D519" s="380" t="s">
        <v>1338</v>
      </c>
      <c r="E519" s="380" t="s">
        <v>322</v>
      </c>
      <c r="F519" s="380" t="s">
        <v>1361</v>
      </c>
      <c r="G519" s="380" t="s">
        <v>1339</v>
      </c>
      <c r="H519" s="380" t="s">
        <v>2796</v>
      </c>
      <c r="I519" s="380" t="s">
        <v>1914</v>
      </c>
      <c r="J519" s="380" t="s">
        <v>1964</v>
      </c>
      <c r="K519" s="380"/>
      <c r="L519" s="403">
        <v>4.5</v>
      </c>
    </row>
    <row r="520" spans="1:12" ht="15" customHeight="1" x14ac:dyDescent="0.25">
      <c r="A520" s="380" t="s">
        <v>2797</v>
      </c>
      <c r="B520" s="380" t="s">
        <v>1874</v>
      </c>
      <c r="C520" s="380" t="s">
        <v>1712</v>
      </c>
      <c r="D520" s="380" t="s">
        <v>1966</v>
      </c>
      <c r="E520" s="380" t="s">
        <v>322</v>
      </c>
      <c r="F520" s="380" t="s">
        <v>1361</v>
      </c>
      <c r="G520" s="380" t="s">
        <v>1277</v>
      </c>
      <c r="H520" s="380" t="s">
        <v>2798</v>
      </c>
      <c r="I520" s="380" t="s">
        <v>1746</v>
      </c>
      <c r="J520" s="380" t="s">
        <v>1968</v>
      </c>
      <c r="K520" s="380" t="s">
        <v>1969</v>
      </c>
      <c r="L520" s="403">
        <v>0</v>
      </c>
    </row>
    <row r="521" spans="1:12" ht="15" customHeight="1" x14ac:dyDescent="0.25">
      <c r="A521" s="380" t="s">
        <v>2799</v>
      </c>
      <c r="B521" s="380" t="s">
        <v>1874</v>
      </c>
      <c r="C521" s="380" t="s">
        <v>1712</v>
      </c>
      <c r="D521" s="380" t="s">
        <v>1971</v>
      </c>
      <c r="E521" s="380" t="s">
        <v>322</v>
      </c>
      <c r="F521" s="380" t="s">
        <v>1361</v>
      </c>
      <c r="G521" s="380" t="s">
        <v>1277</v>
      </c>
      <c r="H521" s="380" t="s">
        <v>2800</v>
      </c>
      <c r="I521" s="380" t="s">
        <v>1566</v>
      </c>
      <c r="J521" s="380" t="s">
        <v>1973</v>
      </c>
      <c r="K521" s="380" t="s">
        <v>1969</v>
      </c>
      <c r="L521" s="403">
        <v>0</v>
      </c>
    </row>
    <row r="522" spans="1:12" ht="15" customHeight="1" x14ac:dyDescent="0.25">
      <c r="A522" s="380" t="s">
        <v>2801</v>
      </c>
      <c r="B522" s="380" t="s">
        <v>1874</v>
      </c>
      <c r="C522" s="380" t="s">
        <v>1712</v>
      </c>
      <c r="D522" s="380" t="s">
        <v>1890</v>
      </c>
      <c r="E522" s="380" t="s">
        <v>322</v>
      </c>
      <c r="F522" s="380" t="s">
        <v>1389</v>
      </c>
      <c r="G522" s="380" t="s">
        <v>1277</v>
      </c>
      <c r="H522" s="380" t="s">
        <v>2802</v>
      </c>
      <c r="I522" s="380" t="s">
        <v>1307</v>
      </c>
      <c r="J522" s="380" t="s">
        <v>2025</v>
      </c>
      <c r="K522" s="380" t="s">
        <v>1893</v>
      </c>
      <c r="L522" s="406">
        <v>0</v>
      </c>
    </row>
    <row r="523" spans="1:12" ht="15" customHeight="1" x14ac:dyDescent="0.25">
      <c r="A523" s="380" t="s">
        <v>2803</v>
      </c>
      <c r="B523" s="380" t="s">
        <v>1874</v>
      </c>
      <c r="C523" s="380" t="s">
        <v>1712</v>
      </c>
      <c r="D523" s="380" t="s">
        <v>1895</v>
      </c>
      <c r="E523" s="380" t="s">
        <v>322</v>
      </c>
      <c r="F523" s="380" t="s">
        <v>1389</v>
      </c>
      <c r="G523" s="380" t="s">
        <v>1277</v>
      </c>
      <c r="H523" s="380" t="s">
        <v>2804</v>
      </c>
      <c r="I523" s="380" t="s">
        <v>1897</v>
      </c>
      <c r="J523" s="380" t="s">
        <v>1898</v>
      </c>
      <c r="K523" s="380"/>
      <c r="L523" s="404">
        <v>1</v>
      </c>
    </row>
    <row r="524" spans="1:12" ht="15" customHeight="1" x14ac:dyDescent="0.25">
      <c r="A524" s="380" t="s">
        <v>2805</v>
      </c>
      <c r="B524" s="380" t="s">
        <v>1874</v>
      </c>
      <c r="C524" s="380" t="s">
        <v>1712</v>
      </c>
      <c r="D524" s="380" t="s">
        <v>1900</v>
      </c>
      <c r="E524" s="380" t="s">
        <v>322</v>
      </c>
      <c r="F524" s="380" t="s">
        <v>1389</v>
      </c>
      <c r="G524" s="380" t="s">
        <v>1277</v>
      </c>
      <c r="H524" s="380" t="s">
        <v>2806</v>
      </c>
      <c r="I524" s="380" t="s">
        <v>1902</v>
      </c>
      <c r="J524" s="380" t="s">
        <v>1903</v>
      </c>
      <c r="K524" s="380"/>
      <c r="L524" s="404">
        <v>0.2</v>
      </c>
    </row>
    <row r="525" spans="1:12" ht="15" customHeight="1" x14ac:dyDescent="0.25">
      <c r="A525" s="380" t="s">
        <v>2807</v>
      </c>
      <c r="B525" s="380" t="s">
        <v>1874</v>
      </c>
      <c r="C525" s="380" t="s">
        <v>1712</v>
      </c>
      <c r="D525" s="380" t="s">
        <v>1905</v>
      </c>
      <c r="E525" s="380" t="s">
        <v>322</v>
      </c>
      <c r="F525" s="380" t="s">
        <v>1389</v>
      </c>
      <c r="G525" s="380" t="s">
        <v>1277</v>
      </c>
      <c r="H525" s="380" t="s">
        <v>2808</v>
      </c>
      <c r="I525" s="380" t="s">
        <v>1902</v>
      </c>
      <c r="J525" s="380" t="s">
        <v>1907</v>
      </c>
      <c r="K525" s="380"/>
      <c r="L525" s="404">
        <v>0.1</v>
      </c>
    </row>
    <row r="526" spans="1:12" ht="15" customHeight="1" x14ac:dyDescent="0.25">
      <c r="A526" s="380" t="s">
        <v>2809</v>
      </c>
      <c r="B526" s="380" t="s">
        <v>1874</v>
      </c>
      <c r="C526" s="380" t="s">
        <v>1712</v>
      </c>
      <c r="D526" s="380" t="s">
        <v>1909</v>
      </c>
      <c r="E526" s="380" t="s">
        <v>322</v>
      </c>
      <c r="F526" s="380" t="s">
        <v>1389</v>
      </c>
      <c r="G526" s="380" t="s">
        <v>1277</v>
      </c>
      <c r="H526" s="380" t="s">
        <v>2810</v>
      </c>
      <c r="I526" s="380" t="s">
        <v>1902</v>
      </c>
      <c r="J526" s="380" t="s">
        <v>1911</v>
      </c>
      <c r="K526" s="380"/>
      <c r="L526" s="404">
        <v>0.05</v>
      </c>
    </row>
    <row r="527" spans="1:12" ht="15" customHeight="1" x14ac:dyDescent="0.25">
      <c r="A527" s="380" t="s">
        <v>2811</v>
      </c>
      <c r="B527" s="380" t="s">
        <v>1874</v>
      </c>
      <c r="C527" s="380" t="s">
        <v>1712</v>
      </c>
      <c r="D527" s="380" t="s">
        <v>1317</v>
      </c>
      <c r="E527" s="380" t="s">
        <v>322</v>
      </c>
      <c r="F527" s="380" t="s">
        <v>1389</v>
      </c>
      <c r="G527" s="380" t="s">
        <v>757</v>
      </c>
      <c r="H527" s="380" t="s">
        <v>2812</v>
      </c>
      <c r="I527" s="380" t="s">
        <v>1914</v>
      </c>
      <c r="J527" s="380" t="s">
        <v>1915</v>
      </c>
      <c r="K527" s="380" t="s">
        <v>1916</v>
      </c>
      <c r="L527" s="403">
        <v>4</v>
      </c>
    </row>
    <row r="528" spans="1:12" ht="15" customHeight="1" x14ac:dyDescent="0.25">
      <c r="A528" s="380" t="s">
        <v>2813</v>
      </c>
      <c r="B528" s="380" t="s">
        <v>1874</v>
      </c>
      <c r="C528" s="380" t="s">
        <v>1712</v>
      </c>
      <c r="D528" s="380" t="s">
        <v>1317</v>
      </c>
      <c r="E528" s="380" t="s">
        <v>322</v>
      </c>
      <c r="F528" s="380" t="s">
        <v>1389</v>
      </c>
      <c r="G528" s="380" t="s">
        <v>754</v>
      </c>
      <c r="H528" s="380" t="s">
        <v>2814</v>
      </c>
      <c r="I528" s="380" t="s">
        <v>1914</v>
      </c>
      <c r="J528" s="380" t="s">
        <v>1919</v>
      </c>
      <c r="K528" s="380" t="s">
        <v>1916</v>
      </c>
      <c r="L528" s="403">
        <v>0.5</v>
      </c>
    </row>
    <row r="529" spans="1:12" ht="15" customHeight="1" x14ac:dyDescent="0.25">
      <c r="A529" s="380" t="s">
        <v>2815</v>
      </c>
      <c r="B529" s="380" t="s">
        <v>1874</v>
      </c>
      <c r="C529" s="380" t="s">
        <v>1712</v>
      </c>
      <c r="D529" s="380" t="s">
        <v>1317</v>
      </c>
      <c r="E529" s="380" t="s">
        <v>322</v>
      </c>
      <c r="F529" s="380" t="s">
        <v>1389</v>
      </c>
      <c r="G529" s="380" t="s">
        <v>1292</v>
      </c>
      <c r="H529" s="380" t="s">
        <v>2816</v>
      </c>
      <c r="I529" s="380" t="s">
        <v>1914</v>
      </c>
      <c r="J529" s="380" t="s">
        <v>1922</v>
      </c>
      <c r="K529" s="380" t="s">
        <v>1916</v>
      </c>
      <c r="L529" s="403">
        <v>0</v>
      </c>
    </row>
    <row r="530" spans="1:12" ht="15" customHeight="1" x14ac:dyDescent="0.25">
      <c r="A530" s="380" t="s">
        <v>2817</v>
      </c>
      <c r="B530" s="380" t="s">
        <v>1874</v>
      </c>
      <c r="C530" s="380" t="s">
        <v>1712</v>
      </c>
      <c r="D530" s="380" t="s">
        <v>1317</v>
      </c>
      <c r="E530" s="380" t="s">
        <v>322</v>
      </c>
      <c r="F530" s="380" t="s">
        <v>1389</v>
      </c>
      <c r="G530" s="380" t="s">
        <v>762</v>
      </c>
      <c r="H530" s="380" t="s">
        <v>2818</v>
      </c>
      <c r="I530" s="380" t="s">
        <v>1914</v>
      </c>
      <c r="J530" s="380" t="s">
        <v>1925</v>
      </c>
      <c r="K530" s="380" t="s">
        <v>1916</v>
      </c>
      <c r="L530" s="403">
        <v>0</v>
      </c>
    </row>
    <row r="531" spans="1:12" ht="15" customHeight="1" x14ac:dyDescent="0.25">
      <c r="A531" s="380" t="s">
        <v>2819</v>
      </c>
      <c r="B531" s="380" t="s">
        <v>1874</v>
      </c>
      <c r="C531" s="380" t="s">
        <v>1712</v>
      </c>
      <c r="D531" s="380" t="s">
        <v>1317</v>
      </c>
      <c r="E531" s="380" t="s">
        <v>322</v>
      </c>
      <c r="F531" s="380" t="s">
        <v>1389</v>
      </c>
      <c r="G531" s="380" t="s">
        <v>1295</v>
      </c>
      <c r="H531" s="380" t="s">
        <v>2820</v>
      </c>
      <c r="I531" s="380" t="s">
        <v>1914</v>
      </c>
      <c r="J531" s="380" t="s">
        <v>1928</v>
      </c>
      <c r="K531" s="380" t="s">
        <v>1916</v>
      </c>
      <c r="L531" s="403">
        <v>0</v>
      </c>
    </row>
    <row r="532" spans="1:12" ht="15" customHeight="1" x14ac:dyDescent="0.25">
      <c r="A532" s="380" t="s">
        <v>2821</v>
      </c>
      <c r="B532" s="380" t="s">
        <v>1874</v>
      </c>
      <c r="C532" s="380" t="s">
        <v>1712</v>
      </c>
      <c r="D532" s="380" t="s">
        <v>1317</v>
      </c>
      <c r="E532" s="380" t="s">
        <v>322</v>
      </c>
      <c r="F532" s="380" t="s">
        <v>1389</v>
      </c>
      <c r="G532" s="380" t="s">
        <v>1297</v>
      </c>
      <c r="H532" s="380" t="s">
        <v>2822</v>
      </c>
      <c r="I532" s="380" t="s">
        <v>1914</v>
      </c>
      <c r="J532" s="380" t="s">
        <v>1931</v>
      </c>
      <c r="K532" s="380" t="s">
        <v>1916</v>
      </c>
      <c r="L532" s="403">
        <v>0</v>
      </c>
    </row>
    <row r="533" spans="1:12" ht="15" customHeight="1" x14ac:dyDescent="0.25">
      <c r="A533" s="380" t="s">
        <v>2823</v>
      </c>
      <c r="B533" s="380" t="s">
        <v>1874</v>
      </c>
      <c r="C533" s="380" t="s">
        <v>1712</v>
      </c>
      <c r="D533" s="380" t="s">
        <v>1317</v>
      </c>
      <c r="E533" s="380" t="s">
        <v>322</v>
      </c>
      <c r="F533" s="380" t="s">
        <v>1389</v>
      </c>
      <c r="G533" s="380" t="s">
        <v>1299</v>
      </c>
      <c r="H533" s="380" t="s">
        <v>2824</v>
      </c>
      <c r="I533" s="380" t="s">
        <v>1914</v>
      </c>
      <c r="J533" s="380" t="s">
        <v>1934</v>
      </c>
      <c r="K533" s="380" t="s">
        <v>1916</v>
      </c>
      <c r="L533" s="403">
        <v>0</v>
      </c>
    </row>
    <row r="534" spans="1:12" ht="15" customHeight="1" x14ac:dyDescent="0.25">
      <c r="A534" s="380" t="s">
        <v>2825</v>
      </c>
      <c r="B534" s="380" t="s">
        <v>1874</v>
      </c>
      <c r="C534" s="380" t="s">
        <v>1712</v>
      </c>
      <c r="D534" s="380" t="s">
        <v>1317</v>
      </c>
      <c r="E534" s="380" t="s">
        <v>322</v>
      </c>
      <c r="F534" s="380" t="s">
        <v>1389</v>
      </c>
      <c r="G534" s="380" t="s">
        <v>1301</v>
      </c>
      <c r="H534" s="380" t="s">
        <v>2826</v>
      </c>
      <c r="I534" s="380" t="s">
        <v>1914</v>
      </c>
      <c r="J534" s="380" t="s">
        <v>1937</v>
      </c>
      <c r="K534" s="380" t="s">
        <v>1916</v>
      </c>
      <c r="L534" s="403">
        <v>0</v>
      </c>
    </row>
    <row r="535" spans="1:12" ht="15" customHeight="1" x14ac:dyDescent="0.25">
      <c r="A535" s="380" t="s">
        <v>2827</v>
      </c>
      <c r="B535" s="380" t="s">
        <v>1874</v>
      </c>
      <c r="C535" s="380" t="s">
        <v>1712</v>
      </c>
      <c r="D535" s="380" t="s">
        <v>1328</v>
      </c>
      <c r="E535" s="380" t="s">
        <v>322</v>
      </c>
      <c r="F535" s="380" t="s">
        <v>1389</v>
      </c>
      <c r="G535" s="380" t="s">
        <v>757</v>
      </c>
      <c r="H535" s="380" t="s">
        <v>2828</v>
      </c>
      <c r="I535" s="380" t="s">
        <v>1914</v>
      </c>
      <c r="J535" s="380" t="s">
        <v>1940</v>
      </c>
      <c r="K535" s="380" t="s">
        <v>1916</v>
      </c>
      <c r="L535" s="403">
        <v>16</v>
      </c>
    </row>
    <row r="536" spans="1:12" ht="15" customHeight="1" x14ac:dyDescent="0.25">
      <c r="A536" s="380" t="s">
        <v>2829</v>
      </c>
      <c r="B536" s="380" t="s">
        <v>1874</v>
      </c>
      <c r="C536" s="380" t="s">
        <v>1712</v>
      </c>
      <c r="D536" s="380" t="s">
        <v>1328</v>
      </c>
      <c r="E536" s="380" t="s">
        <v>322</v>
      </c>
      <c r="F536" s="380" t="s">
        <v>1389</v>
      </c>
      <c r="G536" s="380" t="s">
        <v>754</v>
      </c>
      <c r="H536" s="380" t="s">
        <v>2830</v>
      </c>
      <c r="I536" s="380" t="s">
        <v>1914</v>
      </c>
      <c r="J536" s="380" t="s">
        <v>1943</v>
      </c>
      <c r="K536" s="380" t="s">
        <v>1916</v>
      </c>
      <c r="L536" s="403">
        <v>0</v>
      </c>
    </row>
    <row r="537" spans="1:12" ht="15" customHeight="1" x14ac:dyDescent="0.25">
      <c r="A537" s="380" t="s">
        <v>2831</v>
      </c>
      <c r="B537" s="380" t="s">
        <v>1874</v>
      </c>
      <c r="C537" s="380" t="s">
        <v>1712</v>
      </c>
      <c r="D537" s="380" t="s">
        <v>1328</v>
      </c>
      <c r="E537" s="380" t="s">
        <v>322</v>
      </c>
      <c r="F537" s="380" t="s">
        <v>1389</v>
      </c>
      <c r="G537" s="380" t="s">
        <v>1292</v>
      </c>
      <c r="H537" s="380" t="s">
        <v>2832</v>
      </c>
      <c r="I537" s="380" t="s">
        <v>1914</v>
      </c>
      <c r="J537" s="380" t="s">
        <v>1946</v>
      </c>
      <c r="K537" s="380" t="s">
        <v>1916</v>
      </c>
      <c r="L537" s="403">
        <v>0</v>
      </c>
    </row>
    <row r="538" spans="1:12" ht="15" customHeight="1" x14ac:dyDescent="0.25">
      <c r="A538" s="380" t="s">
        <v>2833</v>
      </c>
      <c r="B538" s="380" t="s">
        <v>1874</v>
      </c>
      <c r="C538" s="380" t="s">
        <v>1712</v>
      </c>
      <c r="D538" s="380" t="s">
        <v>1328</v>
      </c>
      <c r="E538" s="380" t="s">
        <v>322</v>
      </c>
      <c r="F538" s="380" t="s">
        <v>1389</v>
      </c>
      <c r="G538" s="380" t="s">
        <v>762</v>
      </c>
      <c r="H538" s="380" t="s">
        <v>2834</v>
      </c>
      <c r="I538" s="380" t="s">
        <v>1914</v>
      </c>
      <c r="J538" s="380" t="s">
        <v>1949</v>
      </c>
      <c r="K538" s="380" t="s">
        <v>1916</v>
      </c>
      <c r="L538" s="403">
        <v>0</v>
      </c>
    </row>
    <row r="539" spans="1:12" ht="15" customHeight="1" x14ac:dyDescent="0.25">
      <c r="A539" s="380" t="s">
        <v>2835</v>
      </c>
      <c r="B539" s="380" t="s">
        <v>1874</v>
      </c>
      <c r="C539" s="380" t="s">
        <v>1712</v>
      </c>
      <c r="D539" s="380" t="s">
        <v>1328</v>
      </c>
      <c r="E539" s="380" t="s">
        <v>322</v>
      </c>
      <c r="F539" s="380" t="s">
        <v>1389</v>
      </c>
      <c r="G539" s="380" t="s">
        <v>1295</v>
      </c>
      <c r="H539" s="380" t="s">
        <v>2836</v>
      </c>
      <c r="I539" s="380" t="s">
        <v>1914</v>
      </c>
      <c r="J539" s="380" t="s">
        <v>1952</v>
      </c>
      <c r="K539" s="380" t="s">
        <v>1916</v>
      </c>
      <c r="L539" s="403">
        <v>0</v>
      </c>
    </row>
    <row r="540" spans="1:12" ht="15" customHeight="1" x14ac:dyDescent="0.25">
      <c r="A540" s="380" t="s">
        <v>2837</v>
      </c>
      <c r="B540" s="380" t="s">
        <v>1874</v>
      </c>
      <c r="C540" s="380" t="s">
        <v>1712</v>
      </c>
      <c r="D540" s="380" t="s">
        <v>1328</v>
      </c>
      <c r="E540" s="380" t="s">
        <v>322</v>
      </c>
      <c r="F540" s="380" t="s">
        <v>1389</v>
      </c>
      <c r="G540" s="380" t="s">
        <v>1297</v>
      </c>
      <c r="H540" s="380" t="s">
        <v>2838</v>
      </c>
      <c r="I540" s="380" t="s">
        <v>1914</v>
      </c>
      <c r="J540" s="380" t="s">
        <v>1955</v>
      </c>
      <c r="K540" s="380" t="s">
        <v>1916</v>
      </c>
      <c r="L540" s="403">
        <v>0</v>
      </c>
    </row>
    <row r="541" spans="1:12" ht="15" customHeight="1" x14ac:dyDescent="0.25">
      <c r="A541" s="380" t="s">
        <v>2839</v>
      </c>
      <c r="B541" s="380" t="s">
        <v>1874</v>
      </c>
      <c r="C541" s="380" t="s">
        <v>1712</v>
      </c>
      <c r="D541" s="380" t="s">
        <v>1328</v>
      </c>
      <c r="E541" s="380" t="s">
        <v>322</v>
      </c>
      <c r="F541" s="380" t="s">
        <v>1389</v>
      </c>
      <c r="G541" s="380" t="s">
        <v>1299</v>
      </c>
      <c r="H541" s="380" t="s">
        <v>2840</v>
      </c>
      <c r="I541" s="380" t="s">
        <v>1914</v>
      </c>
      <c r="J541" s="380" t="s">
        <v>1958</v>
      </c>
      <c r="K541" s="380" t="s">
        <v>1916</v>
      </c>
      <c r="L541" s="403">
        <v>0</v>
      </c>
    </row>
    <row r="542" spans="1:12" ht="15" customHeight="1" x14ac:dyDescent="0.25">
      <c r="A542" s="380" t="s">
        <v>2841</v>
      </c>
      <c r="B542" s="380" t="s">
        <v>1874</v>
      </c>
      <c r="C542" s="380" t="s">
        <v>1712</v>
      </c>
      <c r="D542" s="380" t="s">
        <v>1328</v>
      </c>
      <c r="E542" s="380" t="s">
        <v>322</v>
      </c>
      <c r="F542" s="380" t="s">
        <v>1389</v>
      </c>
      <c r="G542" s="380" t="s">
        <v>1301</v>
      </c>
      <c r="H542" s="380" t="s">
        <v>2842</v>
      </c>
      <c r="I542" s="380" t="s">
        <v>1914</v>
      </c>
      <c r="J542" s="380" t="s">
        <v>1961</v>
      </c>
      <c r="K542" s="380" t="s">
        <v>1916</v>
      </c>
      <c r="L542" s="403">
        <v>0</v>
      </c>
    </row>
    <row r="543" spans="1:12" ht="15" customHeight="1" x14ac:dyDescent="0.25">
      <c r="A543" s="380" t="s">
        <v>2843</v>
      </c>
      <c r="B543" s="380" t="s">
        <v>1874</v>
      </c>
      <c r="C543" s="380" t="s">
        <v>1712</v>
      </c>
      <c r="D543" s="380" t="s">
        <v>1338</v>
      </c>
      <c r="E543" s="380" t="s">
        <v>322</v>
      </c>
      <c r="F543" s="380" t="s">
        <v>1389</v>
      </c>
      <c r="G543" s="380" t="s">
        <v>1339</v>
      </c>
      <c r="H543" s="380" t="s">
        <v>2844</v>
      </c>
      <c r="I543" s="380" t="s">
        <v>1914</v>
      </c>
      <c r="J543" s="380" t="s">
        <v>1964</v>
      </c>
      <c r="K543" s="380"/>
      <c r="L543" s="403">
        <v>1.5</v>
      </c>
    </row>
    <row r="544" spans="1:12" ht="15" customHeight="1" x14ac:dyDescent="0.25">
      <c r="A544" s="380" t="s">
        <v>2845</v>
      </c>
      <c r="B544" s="380" t="s">
        <v>1874</v>
      </c>
      <c r="C544" s="380" t="s">
        <v>1712</v>
      </c>
      <c r="D544" s="380" t="s">
        <v>1966</v>
      </c>
      <c r="E544" s="380" t="s">
        <v>322</v>
      </c>
      <c r="F544" s="380" t="s">
        <v>1389</v>
      </c>
      <c r="G544" s="380" t="s">
        <v>1277</v>
      </c>
      <c r="H544" s="380" t="s">
        <v>2846</v>
      </c>
      <c r="I544" s="380" t="s">
        <v>1746</v>
      </c>
      <c r="J544" s="380" t="s">
        <v>1968</v>
      </c>
      <c r="K544" s="380" t="s">
        <v>1969</v>
      </c>
      <c r="L544" s="403">
        <v>0.2</v>
      </c>
    </row>
    <row r="545" spans="1:12" ht="15" customHeight="1" x14ac:dyDescent="0.25">
      <c r="A545" s="380" t="s">
        <v>2847</v>
      </c>
      <c r="B545" s="380" t="s">
        <v>1874</v>
      </c>
      <c r="C545" s="380" t="s">
        <v>1712</v>
      </c>
      <c r="D545" s="380" t="s">
        <v>1971</v>
      </c>
      <c r="E545" s="380" t="s">
        <v>322</v>
      </c>
      <c r="F545" s="380" t="s">
        <v>1389</v>
      </c>
      <c r="G545" s="380" t="s">
        <v>1277</v>
      </c>
      <c r="H545" s="380" t="s">
        <v>2848</v>
      </c>
      <c r="I545" s="380" t="s">
        <v>1566</v>
      </c>
      <c r="J545" s="380" t="s">
        <v>1973</v>
      </c>
      <c r="K545" s="380" t="s">
        <v>1969</v>
      </c>
      <c r="L545" s="403">
        <v>0</v>
      </c>
    </row>
    <row r="546" spans="1:12" ht="15" customHeight="1" x14ac:dyDescent="0.25">
      <c r="A546" s="380" t="s">
        <v>2849</v>
      </c>
      <c r="B546" s="380" t="s">
        <v>1874</v>
      </c>
      <c r="C546" s="380" t="s">
        <v>1712</v>
      </c>
      <c r="D546" s="380" t="s">
        <v>1890</v>
      </c>
      <c r="E546" s="380" t="s">
        <v>327</v>
      </c>
      <c r="F546" s="380" t="s">
        <v>1417</v>
      </c>
      <c r="G546" s="380" t="s">
        <v>1277</v>
      </c>
      <c r="H546" s="380" t="s">
        <v>2850</v>
      </c>
      <c r="I546" s="380" t="s">
        <v>1307</v>
      </c>
      <c r="J546" s="380" t="s">
        <v>2074</v>
      </c>
      <c r="K546" s="380" t="s">
        <v>1893</v>
      </c>
      <c r="L546" s="406">
        <v>15.5</v>
      </c>
    </row>
    <row r="547" spans="1:12" ht="15" customHeight="1" x14ac:dyDescent="0.25">
      <c r="A547" s="380" t="s">
        <v>2851</v>
      </c>
      <c r="B547" s="380" t="s">
        <v>1874</v>
      </c>
      <c r="C547" s="380" t="s">
        <v>1712</v>
      </c>
      <c r="D547" s="380" t="s">
        <v>1895</v>
      </c>
      <c r="E547" s="380" t="s">
        <v>327</v>
      </c>
      <c r="F547" s="380" t="s">
        <v>1417</v>
      </c>
      <c r="G547" s="380" t="s">
        <v>1277</v>
      </c>
      <c r="H547" s="380" t="s">
        <v>2852</v>
      </c>
      <c r="I547" s="380" t="s">
        <v>1897</v>
      </c>
      <c r="J547" s="380" t="s">
        <v>1898</v>
      </c>
      <c r="K547" s="380"/>
      <c r="L547" s="404">
        <v>0.9</v>
      </c>
    </row>
    <row r="548" spans="1:12" ht="15" customHeight="1" x14ac:dyDescent="0.25">
      <c r="A548" s="380" t="s">
        <v>2853</v>
      </c>
      <c r="B548" s="380" t="s">
        <v>1874</v>
      </c>
      <c r="C548" s="380" t="s">
        <v>1712</v>
      </c>
      <c r="D548" s="380" t="s">
        <v>1900</v>
      </c>
      <c r="E548" s="380" t="s">
        <v>327</v>
      </c>
      <c r="F548" s="380" t="s">
        <v>1417</v>
      </c>
      <c r="G548" s="380" t="s">
        <v>1277</v>
      </c>
      <c r="H548" s="380" t="s">
        <v>2854</v>
      </c>
      <c r="I548" s="380" t="s">
        <v>1902</v>
      </c>
      <c r="J548" s="380" t="s">
        <v>1903</v>
      </c>
      <c r="K548" s="380"/>
      <c r="L548" s="404">
        <v>0.05</v>
      </c>
    </row>
    <row r="549" spans="1:12" ht="15" customHeight="1" x14ac:dyDescent="0.25">
      <c r="A549" s="380" t="s">
        <v>2855</v>
      </c>
      <c r="B549" s="380" t="s">
        <v>1874</v>
      </c>
      <c r="C549" s="380" t="s">
        <v>1712</v>
      </c>
      <c r="D549" s="380" t="s">
        <v>1905</v>
      </c>
      <c r="E549" s="380" t="s">
        <v>327</v>
      </c>
      <c r="F549" s="380" t="s">
        <v>1417</v>
      </c>
      <c r="G549" s="380" t="s">
        <v>1277</v>
      </c>
      <c r="H549" s="380" t="s">
        <v>2856</v>
      </c>
      <c r="I549" s="380" t="s">
        <v>1902</v>
      </c>
      <c r="J549" s="380" t="s">
        <v>1907</v>
      </c>
      <c r="K549" s="380"/>
      <c r="L549" s="404">
        <v>0.01</v>
      </c>
    </row>
    <row r="550" spans="1:12" ht="15" customHeight="1" x14ac:dyDescent="0.25">
      <c r="A550" s="380" t="s">
        <v>2857</v>
      </c>
      <c r="B550" s="380" t="s">
        <v>1874</v>
      </c>
      <c r="C550" s="380" t="s">
        <v>1712</v>
      </c>
      <c r="D550" s="380" t="s">
        <v>1909</v>
      </c>
      <c r="E550" s="380" t="s">
        <v>327</v>
      </c>
      <c r="F550" s="380" t="s">
        <v>1417</v>
      </c>
      <c r="G550" s="380" t="s">
        <v>1277</v>
      </c>
      <c r="H550" s="380" t="s">
        <v>2858</v>
      </c>
      <c r="I550" s="380" t="s">
        <v>1902</v>
      </c>
      <c r="J550" s="380" t="s">
        <v>1911</v>
      </c>
      <c r="K550" s="380"/>
      <c r="L550" s="404">
        <v>0.05</v>
      </c>
    </row>
    <row r="551" spans="1:12" ht="15" customHeight="1" x14ac:dyDescent="0.25">
      <c r="A551" s="380" t="s">
        <v>2859</v>
      </c>
      <c r="B551" s="380" t="s">
        <v>1874</v>
      </c>
      <c r="C551" s="380" t="s">
        <v>1712</v>
      </c>
      <c r="D551" s="380" t="s">
        <v>1317</v>
      </c>
      <c r="E551" s="380" t="s">
        <v>327</v>
      </c>
      <c r="F551" s="380" t="s">
        <v>1417</v>
      </c>
      <c r="G551" s="380" t="s">
        <v>757</v>
      </c>
      <c r="H551" s="380" t="s">
        <v>2860</v>
      </c>
      <c r="I551" s="380" t="s">
        <v>1914</v>
      </c>
      <c r="J551" s="380" t="s">
        <v>1915</v>
      </c>
      <c r="K551" s="380" t="s">
        <v>1916</v>
      </c>
      <c r="L551" s="403">
        <v>0</v>
      </c>
    </row>
    <row r="552" spans="1:12" ht="15" customHeight="1" x14ac:dyDescent="0.25">
      <c r="A552" s="380" t="s">
        <v>2861</v>
      </c>
      <c r="B552" s="380" t="s">
        <v>1874</v>
      </c>
      <c r="C552" s="380" t="s">
        <v>1712</v>
      </c>
      <c r="D552" s="380" t="s">
        <v>1317</v>
      </c>
      <c r="E552" s="380" t="s">
        <v>327</v>
      </c>
      <c r="F552" s="380" t="s">
        <v>1417</v>
      </c>
      <c r="G552" s="380" t="s">
        <v>754</v>
      </c>
      <c r="H552" s="380" t="s">
        <v>2862</v>
      </c>
      <c r="I552" s="380" t="s">
        <v>1914</v>
      </c>
      <c r="J552" s="380" t="s">
        <v>1919</v>
      </c>
      <c r="K552" s="380" t="s">
        <v>1916</v>
      </c>
      <c r="L552" s="403">
        <v>2.5</v>
      </c>
    </row>
    <row r="553" spans="1:12" ht="15" customHeight="1" x14ac:dyDescent="0.25">
      <c r="A553" s="380" t="s">
        <v>2863</v>
      </c>
      <c r="B553" s="380" t="s">
        <v>1874</v>
      </c>
      <c r="C553" s="380" t="s">
        <v>1712</v>
      </c>
      <c r="D553" s="380" t="s">
        <v>1317</v>
      </c>
      <c r="E553" s="380" t="s">
        <v>327</v>
      </c>
      <c r="F553" s="380" t="s">
        <v>1417</v>
      </c>
      <c r="G553" s="380" t="s">
        <v>1292</v>
      </c>
      <c r="H553" s="380" t="s">
        <v>2864</v>
      </c>
      <c r="I553" s="380" t="s">
        <v>1914</v>
      </c>
      <c r="J553" s="380" t="s">
        <v>1922</v>
      </c>
      <c r="K553" s="380" t="s">
        <v>1916</v>
      </c>
      <c r="L553" s="403">
        <v>0</v>
      </c>
    </row>
    <row r="554" spans="1:12" ht="15" customHeight="1" x14ac:dyDescent="0.25">
      <c r="A554" s="380" t="s">
        <v>2865</v>
      </c>
      <c r="B554" s="380" t="s">
        <v>1874</v>
      </c>
      <c r="C554" s="380" t="s">
        <v>1712</v>
      </c>
      <c r="D554" s="380" t="s">
        <v>1317</v>
      </c>
      <c r="E554" s="380" t="s">
        <v>327</v>
      </c>
      <c r="F554" s="380" t="s">
        <v>1417</v>
      </c>
      <c r="G554" s="380" t="s">
        <v>762</v>
      </c>
      <c r="H554" s="380" t="s">
        <v>2866</v>
      </c>
      <c r="I554" s="380" t="s">
        <v>1914</v>
      </c>
      <c r="J554" s="380" t="s">
        <v>1925</v>
      </c>
      <c r="K554" s="380" t="s">
        <v>1916</v>
      </c>
      <c r="L554" s="403">
        <v>0</v>
      </c>
    </row>
    <row r="555" spans="1:12" ht="15" customHeight="1" x14ac:dyDescent="0.25">
      <c r="A555" s="380" t="s">
        <v>2867</v>
      </c>
      <c r="B555" s="380" t="s">
        <v>1874</v>
      </c>
      <c r="C555" s="380" t="s">
        <v>1712</v>
      </c>
      <c r="D555" s="380" t="s">
        <v>1317</v>
      </c>
      <c r="E555" s="380" t="s">
        <v>327</v>
      </c>
      <c r="F555" s="380" t="s">
        <v>1417</v>
      </c>
      <c r="G555" s="380" t="s">
        <v>1295</v>
      </c>
      <c r="H555" s="380" t="s">
        <v>2868</v>
      </c>
      <c r="I555" s="380" t="s">
        <v>1914</v>
      </c>
      <c r="J555" s="380" t="s">
        <v>1928</v>
      </c>
      <c r="K555" s="380" t="s">
        <v>1916</v>
      </c>
      <c r="L555" s="403">
        <v>0</v>
      </c>
    </row>
    <row r="556" spans="1:12" ht="15" customHeight="1" x14ac:dyDescent="0.25">
      <c r="A556" s="380" t="s">
        <v>2869</v>
      </c>
      <c r="B556" s="380" t="s">
        <v>1874</v>
      </c>
      <c r="C556" s="380" t="s">
        <v>1712</v>
      </c>
      <c r="D556" s="380" t="s">
        <v>1317</v>
      </c>
      <c r="E556" s="380" t="s">
        <v>327</v>
      </c>
      <c r="F556" s="380" t="s">
        <v>1417</v>
      </c>
      <c r="G556" s="380" t="s">
        <v>1297</v>
      </c>
      <c r="H556" s="380" t="s">
        <v>2870</v>
      </c>
      <c r="I556" s="380" t="s">
        <v>1914</v>
      </c>
      <c r="J556" s="380" t="s">
        <v>1931</v>
      </c>
      <c r="K556" s="380" t="s">
        <v>1916</v>
      </c>
      <c r="L556" s="403">
        <v>0</v>
      </c>
    </row>
    <row r="557" spans="1:12" ht="15" customHeight="1" x14ac:dyDescent="0.25">
      <c r="A557" s="380" t="s">
        <v>2871</v>
      </c>
      <c r="B557" s="380" t="s">
        <v>1874</v>
      </c>
      <c r="C557" s="380" t="s">
        <v>1712</v>
      </c>
      <c r="D557" s="380" t="s">
        <v>1317</v>
      </c>
      <c r="E557" s="380" t="s">
        <v>327</v>
      </c>
      <c r="F557" s="380" t="s">
        <v>1417</v>
      </c>
      <c r="G557" s="380" t="s">
        <v>1299</v>
      </c>
      <c r="H557" s="380" t="s">
        <v>2872</v>
      </c>
      <c r="I557" s="380" t="s">
        <v>1914</v>
      </c>
      <c r="J557" s="380" t="s">
        <v>1934</v>
      </c>
      <c r="K557" s="380" t="s">
        <v>1916</v>
      </c>
      <c r="L557" s="403">
        <v>0</v>
      </c>
    </row>
    <row r="558" spans="1:12" ht="15" customHeight="1" x14ac:dyDescent="0.25">
      <c r="A558" s="380" t="s">
        <v>2873</v>
      </c>
      <c r="B558" s="380" t="s">
        <v>1874</v>
      </c>
      <c r="C558" s="380" t="s">
        <v>1712</v>
      </c>
      <c r="D558" s="380" t="s">
        <v>1317</v>
      </c>
      <c r="E558" s="380" t="s">
        <v>327</v>
      </c>
      <c r="F558" s="380" t="s">
        <v>1417</v>
      </c>
      <c r="G558" s="380" t="s">
        <v>1301</v>
      </c>
      <c r="H558" s="380" t="s">
        <v>2874</v>
      </c>
      <c r="I558" s="380" t="s">
        <v>1914</v>
      </c>
      <c r="J558" s="380" t="s">
        <v>1937</v>
      </c>
      <c r="K558" s="380" t="s">
        <v>1916</v>
      </c>
      <c r="L558" s="403">
        <v>0</v>
      </c>
    </row>
    <row r="559" spans="1:12" ht="15" customHeight="1" x14ac:dyDescent="0.25">
      <c r="A559" s="380" t="s">
        <v>2875</v>
      </c>
      <c r="B559" s="380" t="s">
        <v>1874</v>
      </c>
      <c r="C559" s="380" t="s">
        <v>1712</v>
      </c>
      <c r="D559" s="380" t="s">
        <v>1328</v>
      </c>
      <c r="E559" s="380" t="s">
        <v>327</v>
      </c>
      <c r="F559" s="380" t="s">
        <v>1417</v>
      </c>
      <c r="G559" s="380" t="s">
        <v>757</v>
      </c>
      <c r="H559" s="380" t="s">
        <v>2876</v>
      </c>
      <c r="I559" s="380" t="s">
        <v>1914</v>
      </c>
      <c r="J559" s="380" t="s">
        <v>1940</v>
      </c>
      <c r="K559" s="380" t="s">
        <v>1916</v>
      </c>
      <c r="L559" s="403">
        <v>0</v>
      </c>
    </row>
    <row r="560" spans="1:12" ht="15" customHeight="1" x14ac:dyDescent="0.25">
      <c r="A560" s="380" t="s">
        <v>2877</v>
      </c>
      <c r="B560" s="380" t="s">
        <v>1874</v>
      </c>
      <c r="C560" s="380" t="s">
        <v>1712</v>
      </c>
      <c r="D560" s="380" t="s">
        <v>1328</v>
      </c>
      <c r="E560" s="380" t="s">
        <v>327</v>
      </c>
      <c r="F560" s="380" t="s">
        <v>1417</v>
      </c>
      <c r="G560" s="380" t="s">
        <v>754</v>
      </c>
      <c r="H560" s="380" t="s">
        <v>2878</v>
      </c>
      <c r="I560" s="380" t="s">
        <v>1914</v>
      </c>
      <c r="J560" s="380" t="s">
        <v>1943</v>
      </c>
      <c r="K560" s="380" t="s">
        <v>1916</v>
      </c>
      <c r="L560" s="403">
        <v>0</v>
      </c>
    </row>
    <row r="561" spans="1:12" ht="15" customHeight="1" x14ac:dyDescent="0.25">
      <c r="A561" s="380" t="s">
        <v>2879</v>
      </c>
      <c r="B561" s="380" t="s">
        <v>1874</v>
      </c>
      <c r="C561" s="380" t="s">
        <v>1712</v>
      </c>
      <c r="D561" s="380" t="s">
        <v>1328</v>
      </c>
      <c r="E561" s="380" t="s">
        <v>327</v>
      </c>
      <c r="F561" s="380" t="s">
        <v>1417</v>
      </c>
      <c r="G561" s="380" t="s">
        <v>1292</v>
      </c>
      <c r="H561" s="380" t="s">
        <v>2880</v>
      </c>
      <c r="I561" s="380" t="s">
        <v>1914</v>
      </c>
      <c r="J561" s="380" t="s">
        <v>1946</v>
      </c>
      <c r="K561" s="380" t="s">
        <v>1916</v>
      </c>
      <c r="L561" s="403">
        <v>0</v>
      </c>
    </row>
    <row r="562" spans="1:12" ht="15" customHeight="1" x14ac:dyDescent="0.25">
      <c r="A562" s="380" t="s">
        <v>2881</v>
      </c>
      <c r="B562" s="380" t="s">
        <v>1874</v>
      </c>
      <c r="C562" s="380" t="s">
        <v>1712</v>
      </c>
      <c r="D562" s="380" t="s">
        <v>1328</v>
      </c>
      <c r="E562" s="380" t="s">
        <v>327</v>
      </c>
      <c r="F562" s="380" t="s">
        <v>1417</v>
      </c>
      <c r="G562" s="380" t="s">
        <v>762</v>
      </c>
      <c r="H562" s="380" t="s">
        <v>2882</v>
      </c>
      <c r="I562" s="380" t="s">
        <v>1914</v>
      </c>
      <c r="J562" s="380" t="s">
        <v>1949</v>
      </c>
      <c r="K562" s="380" t="s">
        <v>1916</v>
      </c>
      <c r="L562" s="403">
        <v>0</v>
      </c>
    </row>
    <row r="563" spans="1:12" ht="15" customHeight="1" x14ac:dyDescent="0.25">
      <c r="A563" s="380" t="s">
        <v>2883</v>
      </c>
      <c r="B563" s="380" t="s">
        <v>1874</v>
      </c>
      <c r="C563" s="380" t="s">
        <v>1712</v>
      </c>
      <c r="D563" s="380" t="s">
        <v>1328</v>
      </c>
      <c r="E563" s="380" t="s">
        <v>327</v>
      </c>
      <c r="F563" s="380" t="s">
        <v>1417</v>
      </c>
      <c r="G563" s="380" t="s">
        <v>1295</v>
      </c>
      <c r="H563" s="380" t="s">
        <v>2884</v>
      </c>
      <c r="I563" s="380" t="s">
        <v>1914</v>
      </c>
      <c r="J563" s="380" t="s">
        <v>1952</v>
      </c>
      <c r="K563" s="380" t="s">
        <v>1916</v>
      </c>
      <c r="L563" s="403">
        <v>0</v>
      </c>
    </row>
    <row r="564" spans="1:12" ht="15" customHeight="1" x14ac:dyDescent="0.25">
      <c r="A564" s="380" t="s">
        <v>2885</v>
      </c>
      <c r="B564" s="380" t="s">
        <v>1874</v>
      </c>
      <c r="C564" s="380" t="s">
        <v>1712</v>
      </c>
      <c r="D564" s="380" t="s">
        <v>1328</v>
      </c>
      <c r="E564" s="380" t="s">
        <v>327</v>
      </c>
      <c r="F564" s="380" t="s">
        <v>1417</v>
      </c>
      <c r="G564" s="380" t="s">
        <v>1297</v>
      </c>
      <c r="H564" s="380" t="s">
        <v>2886</v>
      </c>
      <c r="I564" s="380" t="s">
        <v>1914</v>
      </c>
      <c r="J564" s="380" t="s">
        <v>1955</v>
      </c>
      <c r="K564" s="380" t="s">
        <v>1916</v>
      </c>
      <c r="L564" s="403">
        <v>0</v>
      </c>
    </row>
    <row r="565" spans="1:12" ht="15" customHeight="1" x14ac:dyDescent="0.25">
      <c r="A565" s="380" t="s">
        <v>2887</v>
      </c>
      <c r="B565" s="380" t="s">
        <v>1874</v>
      </c>
      <c r="C565" s="380" t="s">
        <v>1712</v>
      </c>
      <c r="D565" s="380" t="s">
        <v>1328</v>
      </c>
      <c r="E565" s="380" t="s">
        <v>327</v>
      </c>
      <c r="F565" s="380" t="s">
        <v>1417</v>
      </c>
      <c r="G565" s="380" t="s">
        <v>1299</v>
      </c>
      <c r="H565" s="380" t="s">
        <v>2888</v>
      </c>
      <c r="I565" s="380" t="s">
        <v>1914</v>
      </c>
      <c r="J565" s="380" t="s">
        <v>1958</v>
      </c>
      <c r="K565" s="380" t="s">
        <v>1916</v>
      </c>
      <c r="L565" s="403">
        <v>0</v>
      </c>
    </row>
    <row r="566" spans="1:12" ht="15" customHeight="1" x14ac:dyDescent="0.25">
      <c r="A566" s="380" t="s">
        <v>2889</v>
      </c>
      <c r="B566" s="380" t="s">
        <v>1874</v>
      </c>
      <c r="C566" s="380" t="s">
        <v>1712</v>
      </c>
      <c r="D566" s="380" t="s">
        <v>1328</v>
      </c>
      <c r="E566" s="380" t="s">
        <v>327</v>
      </c>
      <c r="F566" s="380" t="s">
        <v>1417</v>
      </c>
      <c r="G566" s="380" t="s">
        <v>1301</v>
      </c>
      <c r="H566" s="380" t="s">
        <v>2890</v>
      </c>
      <c r="I566" s="380" t="s">
        <v>1914</v>
      </c>
      <c r="J566" s="380" t="s">
        <v>1961</v>
      </c>
      <c r="K566" s="380" t="s">
        <v>1916</v>
      </c>
      <c r="L566" s="403">
        <v>0</v>
      </c>
    </row>
    <row r="567" spans="1:12" ht="15" customHeight="1" x14ac:dyDescent="0.25">
      <c r="A567" s="380" t="s">
        <v>2891</v>
      </c>
      <c r="B567" s="380" t="s">
        <v>1874</v>
      </c>
      <c r="C567" s="380" t="s">
        <v>1712</v>
      </c>
      <c r="D567" s="380" t="s">
        <v>1338</v>
      </c>
      <c r="E567" s="380" t="s">
        <v>327</v>
      </c>
      <c r="F567" s="380" t="s">
        <v>1417</v>
      </c>
      <c r="G567" s="380" t="s">
        <v>1339</v>
      </c>
      <c r="H567" s="380" t="s">
        <v>2892</v>
      </c>
      <c r="I567" s="380" t="s">
        <v>1914</v>
      </c>
      <c r="J567" s="380" t="s">
        <v>1964</v>
      </c>
      <c r="K567" s="380"/>
      <c r="L567" s="403">
        <v>0.45</v>
      </c>
    </row>
    <row r="568" spans="1:12" ht="15" customHeight="1" x14ac:dyDescent="0.25">
      <c r="A568" s="380" t="s">
        <v>2893</v>
      </c>
      <c r="B568" s="380" t="s">
        <v>1874</v>
      </c>
      <c r="C568" s="380" t="s">
        <v>1712</v>
      </c>
      <c r="D568" s="380" t="s">
        <v>1966</v>
      </c>
      <c r="E568" s="380" t="s">
        <v>327</v>
      </c>
      <c r="F568" s="380" t="s">
        <v>1417</v>
      </c>
      <c r="G568" s="380" t="s">
        <v>1277</v>
      </c>
      <c r="H568" s="380" t="s">
        <v>2894</v>
      </c>
      <c r="I568" s="380" t="s">
        <v>1746</v>
      </c>
      <c r="J568" s="380" t="s">
        <v>1968</v>
      </c>
      <c r="K568" s="380" t="s">
        <v>1969</v>
      </c>
      <c r="L568" s="403">
        <v>0.52600000000000002</v>
      </c>
    </row>
    <row r="569" spans="1:12" ht="15" customHeight="1" x14ac:dyDescent="0.25">
      <c r="A569" s="380" t="s">
        <v>2895</v>
      </c>
      <c r="B569" s="380" t="s">
        <v>1874</v>
      </c>
      <c r="C569" s="380" t="s">
        <v>1712</v>
      </c>
      <c r="D569" s="380" t="s">
        <v>1971</v>
      </c>
      <c r="E569" s="380" t="s">
        <v>327</v>
      </c>
      <c r="F569" s="380" t="s">
        <v>1417</v>
      </c>
      <c r="G569" s="380" t="s">
        <v>1277</v>
      </c>
      <c r="H569" s="380" t="s">
        <v>2896</v>
      </c>
      <c r="I569" s="380" t="s">
        <v>1566</v>
      </c>
      <c r="J569" s="380" t="s">
        <v>1973</v>
      </c>
      <c r="K569" s="380" t="s">
        <v>1969</v>
      </c>
      <c r="L569" s="403">
        <v>0</v>
      </c>
    </row>
    <row r="570" spans="1:12" ht="15" customHeight="1" x14ac:dyDescent="0.25">
      <c r="A570" s="380" t="s">
        <v>2897</v>
      </c>
      <c r="B570" s="380" t="s">
        <v>1874</v>
      </c>
      <c r="C570" s="380" t="s">
        <v>1712</v>
      </c>
      <c r="D570" s="380" t="s">
        <v>1890</v>
      </c>
      <c r="E570" s="380" t="s">
        <v>330</v>
      </c>
      <c r="F570" s="380" t="s">
        <v>1445</v>
      </c>
      <c r="G570" s="380" t="s">
        <v>1277</v>
      </c>
      <c r="H570" s="380" t="s">
        <v>2898</v>
      </c>
      <c r="I570" s="380" t="s">
        <v>1307</v>
      </c>
      <c r="J570" s="380" t="s">
        <v>2123</v>
      </c>
      <c r="K570" s="380" t="s">
        <v>1893</v>
      </c>
      <c r="L570" s="406">
        <v>1.1000000000000001</v>
      </c>
    </row>
    <row r="571" spans="1:12" ht="15" customHeight="1" x14ac:dyDescent="0.25">
      <c r="A571" s="380" t="s">
        <v>2899</v>
      </c>
      <c r="B571" s="380" t="s">
        <v>1874</v>
      </c>
      <c r="C571" s="380" t="s">
        <v>1712</v>
      </c>
      <c r="D571" s="380" t="s">
        <v>1895</v>
      </c>
      <c r="E571" s="380" t="s">
        <v>330</v>
      </c>
      <c r="F571" s="380" t="s">
        <v>1445</v>
      </c>
      <c r="G571" s="380" t="s">
        <v>1277</v>
      </c>
      <c r="H571" s="380" t="s">
        <v>2900</v>
      </c>
      <c r="I571" s="380" t="s">
        <v>1897</v>
      </c>
      <c r="J571" s="380" t="s">
        <v>1898</v>
      </c>
      <c r="K571" s="380"/>
      <c r="L571" s="404">
        <v>0.5</v>
      </c>
    </row>
    <row r="572" spans="1:12" ht="15" customHeight="1" x14ac:dyDescent="0.25">
      <c r="A572" s="380" t="s">
        <v>2901</v>
      </c>
      <c r="B572" s="380" t="s">
        <v>1874</v>
      </c>
      <c r="C572" s="380" t="s">
        <v>1712</v>
      </c>
      <c r="D572" s="380" t="s">
        <v>1900</v>
      </c>
      <c r="E572" s="380" t="s">
        <v>330</v>
      </c>
      <c r="F572" s="380" t="s">
        <v>1445</v>
      </c>
      <c r="G572" s="380" t="s">
        <v>1277</v>
      </c>
      <c r="H572" s="380" t="s">
        <v>2902</v>
      </c>
      <c r="I572" s="380" t="s">
        <v>1902</v>
      </c>
      <c r="J572" s="380" t="s">
        <v>1903</v>
      </c>
      <c r="K572" s="380"/>
      <c r="L572" s="404">
        <v>0.3</v>
      </c>
    </row>
    <row r="573" spans="1:12" ht="15" customHeight="1" x14ac:dyDescent="0.25">
      <c r="A573" s="380" t="s">
        <v>2903</v>
      </c>
      <c r="B573" s="380" t="s">
        <v>1874</v>
      </c>
      <c r="C573" s="380" t="s">
        <v>1712</v>
      </c>
      <c r="D573" s="380" t="s">
        <v>1905</v>
      </c>
      <c r="E573" s="380" t="s">
        <v>330</v>
      </c>
      <c r="F573" s="380" t="s">
        <v>1445</v>
      </c>
      <c r="G573" s="380" t="s">
        <v>1277</v>
      </c>
      <c r="H573" s="380" t="s">
        <v>2904</v>
      </c>
      <c r="I573" s="380" t="s">
        <v>1902</v>
      </c>
      <c r="J573" s="380" t="s">
        <v>1907</v>
      </c>
      <c r="K573" s="380"/>
      <c r="L573" s="404">
        <v>0.08</v>
      </c>
    </row>
    <row r="574" spans="1:12" ht="15" customHeight="1" x14ac:dyDescent="0.25">
      <c r="A574" s="380" t="s">
        <v>2905</v>
      </c>
      <c r="B574" s="380" t="s">
        <v>1874</v>
      </c>
      <c r="C574" s="380" t="s">
        <v>1712</v>
      </c>
      <c r="D574" s="380" t="s">
        <v>1909</v>
      </c>
      <c r="E574" s="380" t="s">
        <v>330</v>
      </c>
      <c r="F574" s="380" t="s">
        <v>1445</v>
      </c>
      <c r="G574" s="380" t="s">
        <v>1277</v>
      </c>
      <c r="H574" s="380" t="s">
        <v>2906</v>
      </c>
      <c r="I574" s="380" t="s">
        <v>1902</v>
      </c>
      <c r="J574" s="380" t="s">
        <v>1911</v>
      </c>
      <c r="K574" s="380"/>
      <c r="L574" s="404">
        <v>0.05</v>
      </c>
    </row>
    <row r="575" spans="1:12" ht="15" customHeight="1" x14ac:dyDescent="0.25">
      <c r="A575" s="380" t="s">
        <v>2907</v>
      </c>
      <c r="B575" s="380" t="s">
        <v>1874</v>
      </c>
      <c r="C575" s="380" t="s">
        <v>1712</v>
      </c>
      <c r="D575" s="380" t="s">
        <v>1317</v>
      </c>
      <c r="E575" s="380" t="s">
        <v>330</v>
      </c>
      <c r="F575" s="380" t="s">
        <v>1445</v>
      </c>
      <c r="G575" s="380" t="s">
        <v>757</v>
      </c>
      <c r="H575" s="380" t="s">
        <v>2908</v>
      </c>
      <c r="I575" s="380" t="s">
        <v>1914</v>
      </c>
      <c r="J575" s="380" t="s">
        <v>1915</v>
      </c>
      <c r="K575" s="380" t="s">
        <v>1916</v>
      </c>
      <c r="L575" s="403">
        <v>0</v>
      </c>
    </row>
    <row r="576" spans="1:12" ht="15" customHeight="1" x14ac:dyDescent="0.25">
      <c r="A576" s="380" t="s">
        <v>2909</v>
      </c>
      <c r="B576" s="380" t="s">
        <v>1874</v>
      </c>
      <c r="C576" s="380" t="s">
        <v>1712</v>
      </c>
      <c r="D576" s="380" t="s">
        <v>1317</v>
      </c>
      <c r="E576" s="380" t="s">
        <v>330</v>
      </c>
      <c r="F576" s="380" t="s">
        <v>1445</v>
      </c>
      <c r="G576" s="380" t="s">
        <v>754</v>
      </c>
      <c r="H576" s="380" t="s">
        <v>2910</v>
      </c>
      <c r="I576" s="380" t="s">
        <v>1914</v>
      </c>
      <c r="J576" s="380" t="s">
        <v>1919</v>
      </c>
      <c r="K576" s="380" t="s">
        <v>1916</v>
      </c>
      <c r="L576" s="403">
        <v>12</v>
      </c>
    </row>
    <row r="577" spans="1:12" ht="15" customHeight="1" x14ac:dyDescent="0.25">
      <c r="A577" s="380" t="s">
        <v>2911</v>
      </c>
      <c r="B577" s="380" t="s">
        <v>1874</v>
      </c>
      <c r="C577" s="380" t="s">
        <v>1712</v>
      </c>
      <c r="D577" s="380" t="s">
        <v>1317</v>
      </c>
      <c r="E577" s="380" t="s">
        <v>330</v>
      </c>
      <c r="F577" s="380" t="s">
        <v>1445</v>
      </c>
      <c r="G577" s="380" t="s">
        <v>1292</v>
      </c>
      <c r="H577" s="380" t="s">
        <v>2912</v>
      </c>
      <c r="I577" s="380" t="s">
        <v>1914</v>
      </c>
      <c r="J577" s="380" t="s">
        <v>1922</v>
      </c>
      <c r="K577" s="380" t="s">
        <v>1916</v>
      </c>
      <c r="L577" s="403">
        <v>0</v>
      </c>
    </row>
    <row r="578" spans="1:12" ht="15" customHeight="1" x14ac:dyDescent="0.25">
      <c r="A578" s="380" t="s">
        <v>2913</v>
      </c>
      <c r="B578" s="380" t="s">
        <v>1874</v>
      </c>
      <c r="C578" s="380" t="s">
        <v>1712</v>
      </c>
      <c r="D578" s="380" t="s">
        <v>1317</v>
      </c>
      <c r="E578" s="380" t="s">
        <v>330</v>
      </c>
      <c r="F578" s="380" t="s">
        <v>1445</v>
      </c>
      <c r="G578" s="380" t="s">
        <v>762</v>
      </c>
      <c r="H578" s="380" t="s">
        <v>2914</v>
      </c>
      <c r="I578" s="380" t="s">
        <v>1914</v>
      </c>
      <c r="J578" s="380" t="s">
        <v>1925</v>
      </c>
      <c r="K578" s="380" t="s">
        <v>1916</v>
      </c>
      <c r="L578" s="403">
        <v>0</v>
      </c>
    </row>
    <row r="579" spans="1:12" ht="15" customHeight="1" x14ac:dyDescent="0.25">
      <c r="A579" s="380" t="s">
        <v>2915</v>
      </c>
      <c r="B579" s="380" t="s">
        <v>1874</v>
      </c>
      <c r="C579" s="380" t="s">
        <v>1712</v>
      </c>
      <c r="D579" s="380" t="s">
        <v>1317</v>
      </c>
      <c r="E579" s="380" t="s">
        <v>330</v>
      </c>
      <c r="F579" s="380" t="s">
        <v>1445</v>
      </c>
      <c r="G579" s="380" t="s">
        <v>1295</v>
      </c>
      <c r="H579" s="380" t="s">
        <v>2916</v>
      </c>
      <c r="I579" s="380" t="s">
        <v>1914</v>
      </c>
      <c r="J579" s="380" t="s">
        <v>1928</v>
      </c>
      <c r="K579" s="380" t="s">
        <v>1916</v>
      </c>
      <c r="L579" s="403">
        <v>0</v>
      </c>
    </row>
    <row r="580" spans="1:12" ht="15" customHeight="1" x14ac:dyDescent="0.25">
      <c r="A580" s="380" t="s">
        <v>2917</v>
      </c>
      <c r="B580" s="380" t="s">
        <v>1874</v>
      </c>
      <c r="C580" s="380" t="s">
        <v>1712</v>
      </c>
      <c r="D580" s="380" t="s">
        <v>1317</v>
      </c>
      <c r="E580" s="380" t="s">
        <v>330</v>
      </c>
      <c r="F580" s="380" t="s">
        <v>1445</v>
      </c>
      <c r="G580" s="380" t="s">
        <v>1297</v>
      </c>
      <c r="H580" s="380" t="s">
        <v>2918</v>
      </c>
      <c r="I580" s="380" t="s">
        <v>1914</v>
      </c>
      <c r="J580" s="380" t="s">
        <v>1931</v>
      </c>
      <c r="K580" s="380" t="s">
        <v>1916</v>
      </c>
      <c r="L580" s="403">
        <v>0</v>
      </c>
    </row>
    <row r="581" spans="1:12" ht="15" customHeight="1" x14ac:dyDescent="0.25">
      <c r="A581" s="380" t="s">
        <v>2919</v>
      </c>
      <c r="B581" s="380" t="s">
        <v>1874</v>
      </c>
      <c r="C581" s="380" t="s">
        <v>1712</v>
      </c>
      <c r="D581" s="380" t="s">
        <v>1317</v>
      </c>
      <c r="E581" s="380" t="s">
        <v>330</v>
      </c>
      <c r="F581" s="380" t="s">
        <v>1445</v>
      </c>
      <c r="G581" s="380" t="s">
        <v>1299</v>
      </c>
      <c r="H581" s="380" t="s">
        <v>2920</v>
      </c>
      <c r="I581" s="380" t="s">
        <v>1914</v>
      </c>
      <c r="J581" s="380" t="s">
        <v>1934</v>
      </c>
      <c r="K581" s="380" t="s">
        <v>1916</v>
      </c>
      <c r="L581" s="403">
        <v>0</v>
      </c>
    </row>
    <row r="582" spans="1:12" ht="15" customHeight="1" x14ac:dyDescent="0.25">
      <c r="A582" s="380" t="s">
        <v>2921</v>
      </c>
      <c r="B582" s="380" t="s">
        <v>1874</v>
      </c>
      <c r="C582" s="380" t="s">
        <v>1712</v>
      </c>
      <c r="D582" s="380" t="s">
        <v>1317</v>
      </c>
      <c r="E582" s="380" t="s">
        <v>330</v>
      </c>
      <c r="F582" s="380" t="s">
        <v>1445</v>
      </c>
      <c r="G582" s="380" t="s">
        <v>1301</v>
      </c>
      <c r="H582" s="380" t="s">
        <v>2922</v>
      </c>
      <c r="I582" s="380" t="s">
        <v>1914</v>
      </c>
      <c r="J582" s="380" t="s">
        <v>1937</v>
      </c>
      <c r="K582" s="380" t="s">
        <v>1916</v>
      </c>
      <c r="L582" s="403">
        <v>0</v>
      </c>
    </row>
    <row r="583" spans="1:12" ht="15" customHeight="1" x14ac:dyDescent="0.25">
      <c r="A583" s="380" t="s">
        <v>2923</v>
      </c>
      <c r="B583" s="380" t="s">
        <v>1874</v>
      </c>
      <c r="C583" s="380" t="s">
        <v>1712</v>
      </c>
      <c r="D583" s="380" t="s">
        <v>1328</v>
      </c>
      <c r="E583" s="380" t="s">
        <v>330</v>
      </c>
      <c r="F583" s="380" t="s">
        <v>1445</v>
      </c>
      <c r="G583" s="380" t="s">
        <v>757</v>
      </c>
      <c r="H583" s="380" t="s">
        <v>2924</v>
      </c>
      <c r="I583" s="380" t="s">
        <v>1914</v>
      </c>
      <c r="J583" s="380" t="s">
        <v>1940</v>
      </c>
      <c r="K583" s="380" t="s">
        <v>1916</v>
      </c>
      <c r="L583" s="403">
        <v>0</v>
      </c>
    </row>
    <row r="584" spans="1:12" ht="15" customHeight="1" x14ac:dyDescent="0.25">
      <c r="A584" s="380" t="s">
        <v>2925</v>
      </c>
      <c r="B584" s="380" t="s">
        <v>1874</v>
      </c>
      <c r="C584" s="380" t="s">
        <v>1712</v>
      </c>
      <c r="D584" s="380" t="s">
        <v>1328</v>
      </c>
      <c r="E584" s="380" t="s">
        <v>330</v>
      </c>
      <c r="F584" s="380" t="s">
        <v>1445</v>
      </c>
      <c r="G584" s="380" t="s">
        <v>754</v>
      </c>
      <c r="H584" s="380" t="s">
        <v>2926</v>
      </c>
      <c r="I584" s="380" t="s">
        <v>1914</v>
      </c>
      <c r="J584" s="380" t="s">
        <v>1943</v>
      </c>
      <c r="K584" s="380" t="s">
        <v>1916</v>
      </c>
      <c r="L584" s="403">
        <v>24</v>
      </c>
    </row>
    <row r="585" spans="1:12" ht="15" customHeight="1" x14ac:dyDescent="0.25">
      <c r="A585" s="380" t="s">
        <v>2927</v>
      </c>
      <c r="B585" s="380" t="s">
        <v>1874</v>
      </c>
      <c r="C585" s="380" t="s">
        <v>1712</v>
      </c>
      <c r="D585" s="380" t="s">
        <v>1328</v>
      </c>
      <c r="E585" s="380" t="s">
        <v>330</v>
      </c>
      <c r="F585" s="380" t="s">
        <v>1445</v>
      </c>
      <c r="G585" s="380" t="s">
        <v>1292</v>
      </c>
      <c r="H585" s="380" t="s">
        <v>2928</v>
      </c>
      <c r="I585" s="380" t="s">
        <v>1914</v>
      </c>
      <c r="J585" s="380" t="s">
        <v>1946</v>
      </c>
      <c r="K585" s="380" t="s">
        <v>1916</v>
      </c>
      <c r="L585" s="403">
        <v>0</v>
      </c>
    </row>
    <row r="586" spans="1:12" ht="15" customHeight="1" x14ac:dyDescent="0.25">
      <c r="A586" s="380" t="s">
        <v>2929</v>
      </c>
      <c r="B586" s="380" t="s">
        <v>1874</v>
      </c>
      <c r="C586" s="380" t="s">
        <v>1712</v>
      </c>
      <c r="D586" s="380" t="s">
        <v>1328</v>
      </c>
      <c r="E586" s="380" t="s">
        <v>330</v>
      </c>
      <c r="F586" s="380" t="s">
        <v>1445</v>
      </c>
      <c r="G586" s="380" t="s">
        <v>762</v>
      </c>
      <c r="H586" s="380" t="s">
        <v>2930</v>
      </c>
      <c r="I586" s="380" t="s">
        <v>1914</v>
      </c>
      <c r="J586" s="380" t="s">
        <v>1949</v>
      </c>
      <c r="K586" s="380" t="s">
        <v>1916</v>
      </c>
      <c r="L586" s="403">
        <v>0</v>
      </c>
    </row>
    <row r="587" spans="1:12" ht="15" customHeight="1" x14ac:dyDescent="0.25">
      <c r="A587" s="380" t="s">
        <v>2931</v>
      </c>
      <c r="B587" s="380" t="s">
        <v>1874</v>
      </c>
      <c r="C587" s="380" t="s">
        <v>1712</v>
      </c>
      <c r="D587" s="380" t="s">
        <v>1328</v>
      </c>
      <c r="E587" s="380" t="s">
        <v>330</v>
      </c>
      <c r="F587" s="380" t="s">
        <v>1445</v>
      </c>
      <c r="G587" s="380" t="s">
        <v>1295</v>
      </c>
      <c r="H587" s="380" t="s">
        <v>2932</v>
      </c>
      <c r="I587" s="380" t="s">
        <v>1914</v>
      </c>
      <c r="J587" s="380" t="s">
        <v>1952</v>
      </c>
      <c r="K587" s="380" t="s">
        <v>1916</v>
      </c>
      <c r="L587" s="403">
        <v>0</v>
      </c>
    </row>
    <row r="588" spans="1:12" ht="15" customHeight="1" x14ac:dyDescent="0.25">
      <c r="A588" s="380" t="s">
        <v>2933</v>
      </c>
      <c r="B588" s="380" t="s">
        <v>1874</v>
      </c>
      <c r="C588" s="380" t="s">
        <v>1712</v>
      </c>
      <c r="D588" s="380" t="s">
        <v>1328</v>
      </c>
      <c r="E588" s="380" t="s">
        <v>330</v>
      </c>
      <c r="F588" s="380" t="s">
        <v>1445</v>
      </c>
      <c r="G588" s="380" t="s">
        <v>1297</v>
      </c>
      <c r="H588" s="380" t="s">
        <v>2934</v>
      </c>
      <c r="I588" s="380" t="s">
        <v>1914</v>
      </c>
      <c r="J588" s="380" t="s">
        <v>1955</v>
      </c>
      <c r="K588" s="380" t="s">
        <v>1916</v>
      </c>
      <c r="L588" s="403">
        <v>0</v>
      </c>
    </row>
    <row r="589" spans="1:12" ht="15" customHeight="1" x14ac:dyDescent="0.25">
      <c r="A589" s="380" t="s">
        <v>2935</v>
      </c>
      <c r="B589" s="380" t="s">
        <v>1874</v>
      </c>
      <c r="C589" s="380" t="s">
        <v>1712</v>
      </c>
      <c r="D589" s="380" t="s">
        <v>1328</v>
      </c>
      <c r="E589" s="380" t="s">
        <v>330</v>
      </c>
      <c r="F589" s="380" t="s">
        <v>1445</v>
      </c>
      <c r="G589" s="380" t="s">
        <v>1299</v>
      </c>
      <c r="H589" s="380" t="s">
        <v>2936</v>
      </c>
      <c r="I589" s="380" t="s">
        <v>1914</v>
      </c>
      <c r="J589" s="380" t="s">
        <v>1958</v>
      </c>
      <c r="K589" s="380" t="s">
        <v>1916</v>
      </c>
      <c r="L589" s="403">
        <v>0</v>
      </c>
    </row>
    <row r="590" spans="1:12" ht="15" customHeight="1" x14ac:dyDescent="0.25">
      <c r="A590" s="380" t="s">
        <v>2937</v>
      </c>
      <c r="B590" s="380" t="s">
        <v>1874</v>
      </c>
      <c r="C590" s="380" t="s">
        <v>1712</v>
      </c>
      <c r="D590" s="380" t="s">
        <v>1328</v>
      </c>
      <c r="E590" s="380" t="s">
        <v>330</v>
      </c>
      <c r="F590" s="380" t="s">
        <v>1445</v>
      </c>
      <c r="G590" s="380" t="s">
        <v>1301</v>
      </c>
      <c r="H590" s="380" t="s">
        <v>2938</v>
      </c>
      <c r="I590" s="380" t="s">
        <v>1914</v>
      </c>
      <c r="J590" s="380" t="s">
        <v>1961</v>
      </c>
      <c r="K590" s="380" t="s">
        <v>1916</v>
      </c>
      <c r="L590" s="403">
        <v>0</v>
      </c>
    </row>
    <row r="591" spans="1:12" ht="15" customHeight="1" x14ac:dyDescent="0.25">
      <c r="A591" s="380" t="s">
        <v>2939</v>
      </c>
      <c r="B591" s="380" t="s">
        <v>1874</v>
      </c>
      <c r="C591" s="380" t="s">
        <v>1712</v>
      </c>
      <c r="D591" s="380" t="s">
        <v>1338</v>
      </c>
      <c r="E591" s="380" t="s">
        <v>330</v>
      </c>
      <c r="F591" s="380" t="s">
        <v>1445</v>
      </c>
      <c r="G591" s="380" t="s">
        <v>1339</v>
      </c>
      <c r="H591" s="380" t="s">
        <v>2940</v>
      </c>
      <c r="I591" s="380" t="s">
        <v>1914</v>
      </c>
      <c r="J591" s="380" t="s">
        <v>1964</v>
      </c>
      <c r="K591" s="380"/>
      <c r="L591" s="403">
        <v>0.3</v>
      </c>
    </row>
    <row r="592" spans="1:12" ht="15" customHeight="1" x14ac:dyDescent="0.25">
      <c r="A592" s="380" t="s">
        <v>2941</v>
      </c>
      <c r="B592" s="380" t="s">
        <v>1874</v>
      </c>
      <c r="C592" s="380" t="s">
        <v>1712</v>
      </c>
      <c r="D592" s="380" t="s">
        <v>1966</v>
      </c>
      <c r="E592" s="380" t="s">
        <v>330</v>
      </c>
      <c r="F592" s="380" t="s">
        <v>1445</v>
      </c>
      <c r="G592" s="380" t="s">
        <v>1277</v>
      </c>
      <c r="H592" s="380" t="s">
        <v>2942</v>
      </c>
      <c r="I592" s="380" t="s">
        <v>1746</v>
      </c>
      <c r="J592" s="380" t="s">
        <v>1968</v>
      </c>
      <c r="K592" s="380" t="s">
        <v>1969</v>
      </c>
      <c r="L592" s="403">
        <v>0</v>
      </c>
    </row>
    <row r="593" spans="1:12" ht="15" customHeight="1" x14ac:dyDescent="0.25">
      <c r="A593" s="380" t="s">
        <v>2943</v>
      </c>
      <c r="B593" s="380" t="s">
        <v>1874</v>
      </c>
      <c r="C593" s="380" t="s">
        <v>1712</v>
      </c>
      <c r="D593" s="380" t="s">
        <v>1971</v>
      </c>
      <c r="E593" s="380" t="s">
        <v>330</v>
      </c>
      <c r="F593" s="380" t="s">
        <v>1445</v>
      </c>
      <c r="G593" s="380" t="s">
        <v>1277</v>
      </c>
      <c r="H593" s="380" t="s">
        <v>2944</v>
      </c>
      <c r="I593" s="380" t="s">
        <v>1566</v>
      </c>
      <c r="J593" s="380" t="s">
        <v>1973</v>
      </c>
      <c r="K593" s="380" t="s">
        <v>1969</v>
      </c>
      <c r="L593" s="403">
        <v>0</v>
      </c>
    </row>
    <row r="594" spans="1:12" ht="15" customHeight="1" x14ac:dyDescent="0.25">
      <c r="A594" s="380" t="s">
        <v>2945</v>
      </c>
      <c r="B594" s="380" t="s">
        <v>1874</v>
      </c>
      <c r="C594" s="380" t="s">
        <v>1712</v>
      </c>
      <c r="D594" s="380" t="s">
        <v>1890</v>
      </c>
      <c r="E594" s="380" t="s">
        <v>330</v>
      </c>
      <c r="F594" s="380" t="s">
        <v>1473</v>
      </c>
      <c r="G594" s="380" t="s">
        <v>1277</v>
      </c>
      <c r="H594" s="380" t="s">
        <v>2946</v>
      </c>
      <c r="I594" s="380" t="s">
        <v>1307</v>
      </c>
      <c r="J594" s="380" t="s">
        <v>2172</v>
      </c>
      <c r="K594" s="380" t="s">
        <v>1893</v>
      </c>
      <c r="L594" s="406">
        <v>1.5</v>
      </c>
    </row>
    <row r="595" spans="1:12" ht="15" customHeight="1" x14ac:dyDescent="0.25">
      <c r="A595" s="380" t="s">
        <v>2947</v>
      </c>
      <c r="B595" s="380" t="s">
        <v>1874</v>
      </c>
      <c r="C595" s="380" t="s">
        <v>1712</v>
      </c>
      <c r="D595" s="380" t="s">
        <v>1895</v>
      </c>
      <c r="E595" s="380" t="s">
        <v>330</v>
      </c>
      <c r="F595" s="380" t="s">
        <v>1473</v>
      </c>
      <c r="G595" s="380" t="s">
        <v>1277</v>
      </c>
      <c r="H595" s="380" t="s">
        <v>2948</v>
      </c>
      <c r="I595" s="380" t="s">
        <v>1897</v>
      </c>
      <c r="J595" s="380" t="s">
        <v>1898</v>
      </c>
      <c r="K595" s="380"/>
      <c r="L595" s="404">
        <v>0.5</v>
      </c>
    </row>
    <row r="596" spans="1:12" ht="15" customHeight="1" x14ac:dyDescent="0.25">
      <c r="A596" s="380" t="s">
        <v>2949</v>
      </c>
      <c r="B596" s="380" t="s">
        <v>1874</v>
      </c>
      <c r="C596" s="380" t="s">
        <v>1712</v>
      </c>
      <c r="D596" s="380" t="s">
        <v>1900</v>
      </c>
      <c r="E596" s="380" t="s">
        <v>330</v>
      </c>
      <c r="F596" s="380" t="s">
        <v>1473</v>
      </c>
      <c r="G596" s="380" t="s">
        <v>1277</v>
      </c>
      <c r="H596" s="380" t="s">
        <v>2950</v>
      </c>
      <c r="I596" s="380" t="s">
        <v>1902</v>
      </c>
      <c r="J596" s="380" t="s">
        <v>1903</v>
      </c>
      <c r="K596" s="380"/>
      <c r="L596" s="404">
        <v>0.3</v>
      </c>
    </row>
    <row r="597" spans="1:12" ht="15" customHeight="1" x14ac:dyDescent="0.25">
      <c r="A597" s="380" t="s">
        <v>2951</v>
      </c>
      <c r="B597" s="380" t="s">
        <v>1874</v>
      </c>
      <c r="C597" s="380" t="s">
        <v>1712</v>
      </c>
      <c r="D597" s="380" t="s">
        <v>1905</v>
      </c>
      <c r="E597" s="380" t="s">
        <v>330</v>
      </c>
      <c r="F597" s="380" t="s">
        <v>1473</v>
      </c>
      <c r="G597" s="380" t="s">
        <v>1277</v>
      </c>
      <c r="H597" s="380" t="s">
        <v>2952</v>
      </c>
      <c r="I597" s="380" t="s">
        <v>1902</v>
      </c>
      <c r="J597" s="380" t="s">
        <v>1907</v>
      </c>
      <c r="K597" s="380"/>
      <c r="L597" s="404">
        <v>0.1</v>
      </c>
    </row>
    <row r="598" spans="1:12" ht="15" customHeight="1" x14ac:dyDescent="0.25">
      <c r="A598" s="380" t="s">
        <v>2953</v>
      </c>
      <c r="B598" s="380" t="s">
        <v>1874</v>
      </c>
      <c r="C598" s="380" t="s">
        <v>1712</v>
      </c>
      <c r="D598" s="380" t="s">
        <v>1909</v>
      </c>
      <c r="E598" s="380" t="s">
        <v>330</v>
      </c>
      <c r="F598" s="380" t="s">
        <v>1473</v>
      </c>
      <c r="G598" s="380" t="s">
        <v>1277</v>
      </c>
      <c r="H598" s="380" t="s">
        <v>2954</v>
      </c>
      <c r="I598" s="380" t="s">
        <v>1902</v>
      </c>
      <c r="J598" s="380" t="s">
        <v>1911</v>
      </c>
      <c r="K598" s="380"/>
      <c r="L598" s="404">
        <v>0.05</v>
      </c>
    </row>
    <row r="599" spans="1:12" ht="15" customHeight="1" x14ac:dyDescent="0.25">
      <c r="A599" s="380" t="s">
        <v>2955</v>
      </c>
      <c r="B599" s="380" t="s">
        <v>1874</v>
      </c>
      <c r="C599" s="380" t="s">
        <v>1712</v>
      </c>
      <c r="D599" s="380" t="s">
        <v>1317</v>
      </c>
      <c r="E599" s="380" t="s">
        <v>330</v>
      </c>
      <c r="F599" s="380" t="s">
        <v>1473</v>
      </c>
      <c r="G599" s="380" t="s">
        <v>757</v>
      </c>
      <c r="H599" s="380" t="s">
        <v>2956</v>
      </c>
      <c r="I599" s="380" t="s">
        <v>1914</v>
      </c>
      <c r="J599" s="380" t="s">
        <v>1915</v>
      </c>
      <c r="K599" s="380" t="s">
        <v>1916</v>
      </c>
      <c r="L599" s="403">
        <v>0</v>
      </c>
    </row>
    <row r="600" spans="1:12" ht="15" customHeight="1" x14ac:dyDescent="0.25">
      <c r="A600" s="380" t="s">
        <v>2957</v>
      </c>
      <c r="B600" s="380" t="s">
        <v>1874</v>
      </c>
      <c r="C600" s="380" t="s">
        <v>1712</v>
      </c>
      <c r="D600" s="380" t="s">
        <v>1317</v>
      </c>
      <c r="E600" s="380" t="s">
        <v>330</v>
      </c>
      <c r="F600" s="380" t="s">
        <v>1473</v>
      </c>
      <c r="G600" s="380" t="s">
        <v>754</v>
      </c>
      <c r="H600" s="380" t="s">
        <v>2958</v>
      </c>
      <c r="I600" s="380" t="s">
        <v>1914</v>
      </c>
      <c r="J600" s="380" t="s">
        <v>1919</v>
      </c>
      <c r="K600" s="380" t="s">
        <v>1916</v>
      </c>
      <c r="L600" s="403">
        <v>3</v>
      </c>
    </row>
    <row r="601" spans="1:12" ht="15" customHeight="1" x14ac:dyDescent="0.25">
      <c r="A601" s="380" t="s">
        <v>2959</v>
      </c>
      <c r="B601" s="380" t="s">
        <v>1874</v>
      </c>
      <c r="C601" s="380" t="s">
        <v>1712</v>
      </c>
      <c r="D601" s="380" t="s">
        <v>1317</v>
      </c>
      <c r="E601" s="380" t="s">
        <v>330</v>
      </c>
      <c r="F601" s="380" t="s">
        <v>1473</v>
      </c>
      <c r="G601" s="380" t="s">
        <v>1292</v>
      </c>
      <c r="H601" s="380" t="s">
        <v>2960</v>
      </c>
      <c r="I601" s="380" t="s">
        <v>1914</v>
      </c>
      <c r="J601" s="380" t="s">
        <v>1922</v>
      </c>
      <c r="K601" s="380" t="s">
        <v>1916</v>
      </c>
      <c r="L601" s="403">
        <v>0</v>
      </c>
    </row>
    <row r="602" spans="1:12" ht="15" customHeight="1" x14ac:dyDescent="0.25">
      <c r="A602" s="380" t="s">
        <v>2961</v>
      </c>
      <c r="B602" s="380" t="s">
        <v>1874</v>
      </c>
      <c r="C602" s="380" t="s">
        <v>1712</v>
      </c>
      <c r="D602" s="380" t="s">
        <v>1317</v>
      </c>
      <c r="E602" s="380" t="s">
        <v>330</v>
      </c>
      <c r="F602" s="380" t="s">
        <v>1473</v>
      </c>
      <c r="G602" s="380" t="s">
        <v>762</v>
      </c>
      <c r="H602" s="380" t="s">
        <v>2962</v>
      </c>
      <c r="I602" s="380" t="s">
        <v>1914</v>
      </c>
      <c r="J602" s="380" t="s">
        <v>1925</v>
      </c>
      <c r="K602" s="380" t="s">
        <v>1916</v>
      </c>
      <c r="L602" s="403">
        <v>0</v>
      </c>
    </row>
    <row r="603" spans="1:12" ht="15" customHeight="1" x14ac:dyDescent="0.25">
      <c r="A603" s="380" t="s">
        <v>2963</v>
      </c>
      <c r="B603" s="380" t="s">
        <v>1874</v>
      </c>
      <c r="C603" s="380" t="s">
        <v>1712</v>
      </c>
      <c r="D603" s="380" t="s">
        <v>1317</v>
      </c>
      <c r="E603" s="380" t="s">
        <v>330</v>
      </c>
      <c r="F603" s="380" t="s">
        <v>1473</v>
      </c>
      <c r="G603" s="380" t="s">
        <v>1295</v>
      </c>
      <c r="H603" s="380" t="s">
        <v>2964</v>
      </c>
      <c r="I603" s="380" t="s">
        <v>1914</v>
      </c>
      <c r="J603" s="380" t="s">
        <v>1928</v>
      </c>
      <c r="K603" s="380" t="s">
        <v>1916</v>
      </c>
      <c r="L603" s="403">
        <v>0</v>
      </c>
    </row>
    <row r="604" spans="1:12" ht="15" customHeight="1" x14ac:dyDescent="0.25">
      <c r="A604" s="380" t="s">
        <v>2965</v>
      </c>
      <c r="B604" s="380" t="s">
        <v>1874</v>
      </c>
      <c r="C604" s="380" t="s">
        <v>1712</v>
      </c>
      <c r="D604" s="380" t="s">
        <v>1317</v>
      </c>
      <c r="E604" s="380" t="s">
        <v>330</v>
      </c>
      <c r="F604" s="380" t="s">
        <v>1473</v>
      </c>
      <c r="G604" s="380" t="s">
        <v>1297</v>
      </c>
      <c r="H604" s="380" t="s">
        <v>2966</v>
      </c>
      <c r="I604" s="380" t="s">
        <v>1914</v>
      </c>
      <c r="J604" s="380" t="s">
        <v>1931</v>
      </c>
      <c r="K604" s="380" t="s">
        <v>1916</v>
      </c>
      <c r="L604" s="403">
        <v>0</v>
      </c>
    </row>
    <row r="605" spans="1:12" ht="15" customHeight="1" x14ac:dyDescent="0.25">
      <c r="A605" s="380" t="s">
        <v>2967</v>
      </c>
      <c r="B605" s="380" t="s">
        <v>1874</v>
      </c>
      <c r="C605" s="380" t="s">
        <v>1712</v>
      </c>
      <c r="D605" s="380" t="s">
        <v>1317</v>
      </c>
      <c r="E605" s="380" t="s">
        <v>330</v>
      </c>
      <c r="F605" s="380" t="s">
        <v>1473</v>
      </c>
      <c r="G605" s="380" t="s">
        <v>1299</v>
      </c>
      <c r="H605" s="380" t="s">
        <v>2968</v>
      </c>
      <c r="I605" s="380" t="s">
        <v>1914</v>
      </c>
      <c r="J605" s="380" t="s">
        <v>1934</v>
      </c>
      <c r="K605" s="380" t="s">
        <v>1916</v>
      </c>
      <c r="L605" s="403">
        <v>0</v>
      </c>
    </row>
    <row r="606" spans="1:12" ht="15" customHeight="1" x14ac:dyDescent="0.25">
      <c r="A606" s="380" t="s">
        <v>2969</v>
      </c>
      <c r="B606" s="380" t="s">
        <v>1874</v>
      </c>
      <c r="C606" s="380" t="s">
        <v>1712</v>
      </c>
      <c r="D606" s="380" t="s">
        <v>1317</v>
      </c>
      <c r="E606" s="380" t="s">
        <v>330</v>
      </c>
      <c r="F606" s="380" t="s">
        <v>1473</v>
      </c>
      <c r="G606" s="380" t="s">
        <v>1301</v>
      </c>
      <c r="H606" s="380" t="s">
        <v>2970</v>
      </c>
      <c r="I606" s="380" t="s">
        <v>1914</v>
      </c>
      <c r="J606" s="380" t="s">
        <v>1937</v>
      </c>
      <c r="K606" s="380" t="s">
        <v>1916</v>
      </c>
      <c r="L606" s="403">
        <v>0</v>
      </c>
    </row>
    <row r="607" spans="1:12" ht="15" customHeight="1" x14ac:dyDescent="0.25">
      <c r="A607" s="380" t="s">
        <v>2971</v>
      </c>
      <c r="B607" s="380" t="s">
        <v>1874</v>
      </c>
      <c r="C607" s="380" t="s">
        <v>1712</v>
      </c>
      <c r="D607" s="380" t="s">
        <v>1328</v>
      </c>
      <c r="E607" s="380" t="s">
        <v>330</v>
      </c>
      <c r="F607" s="380" t="s">
        <v>1473</v>
      </c>
      <c r="G607" s="380" t="s">
        <v>757</v>
      </c>
      <c r="H607" s="380" t="s">
        <v>2972</v>
      </c>
      <c r="I607" s="380" t="s">
        <v>1914</v>
      </c>
      <c r="J607" s="380" t="s">
        <v>1940</v>
      </c>
      <c r="K607" s="380" t="s">
        <v>1916</v>
      </c>
      <c r="L607" s="403">
        <v>0</v>
      </c>
    </row>
    <row r="608" spans="1:12" ht="15" customHeight="1" x14ac:dyDescent="0.25">
      <c r="A608" s="380" t="s">
        <v>2973</v>
      </c>
      <c r="B608" s="380" t="s">
        <v>1874</v>
      </c>
      <c r="C608" s="380" t="s">
        <v>1712</v>
      </c>
      <c r="D608" s="380" t="s">
        <v>1328</v>
      </c>
      <c r="E608" s="380" t="s">
        <v>330</v>
      </c>
      <c r="F608" s="380" t="s">
        <v>1473</v>
      </c>
      <c r="G608" s="380" t="s">
        <v>754</v>
      </c>
      <c r="H608" s="380" t="s">
        <v>2974</v>
      </c>
      <c r="I608" s="380" t="s">
        <v>1914</v>
      </c>
      <c r="J608" s="380" t="s">
        <v>1943</v>
      </c>
      <c r="K608" s="380" t="s">
        <v>1916</v>
      </c>
      <c r="L608" s="403">
        <v>0</v>
      </c>
    </row>
    <row r="609" spans="1:12" ht="15" customHeight="1" x14ac:dyDescent="0.25">
      <c r="A609" s="380" t="s">
        <v>2975</v>
      </c>
      <c r="B609" s="380" t="s">
        <v>1874</v>
      </c>
      <c r="C609" s="380" t="s">
        <v>1712</v>
      </c>
      <c r="D609" s="380" t="s">
        <v>1328</v>
      </c>
      <c r="E609" s="380" t="s">
        <v>330</v>
      </c>
      <c r="F609" s="380" t="s">
        <v>1473</v>
      </c>
      <c r="G609" s="380" t="s">
        <v>1292</v>
      </c>
      <c r="H609" s="380" t="s">
        <v>2976</v>
      </c>
      <c r="I609" s="380" t="s">
        <v>1914</v>
      </c>
      <c r="J609" s="380" t="s">
        <v>1946</v>
      </c>
      <c r="K609" s="380" t="s">
        <v>1916</v>
      </c>
      <c r="L609" s="403">
        <v>0</v>
      </c>
    </row>
    <row r="610" spans="1:12" ht="15" customHeight="1" x14ac:dyDescent="0.25">
      <c r="A610" s="380" t="s">
        <v>2977</v>
      </c>
      <c r="B610" s="380" t="s">
        <v>1874</v>
      </c>
      <c r="C610" s="380" t="s">
        <v>1712</v>
      </c>
      <c r="D610" s="380" t="s">
        <v>1328</v>
      </c>
      <c r="E610" s="380" t="s">
        <v>330</v>
      </c>
      <c r="F610" s="380" t="s">
        <v>1473</v>
      </c>
      <c r="G610" s="380" t="s">
        <v>762</v>
      </c>
      <c r="H610" s="380" t="s">
        <v>2978</v>
      </c>
      <c r="I610" s="380" t="s">
        <v>1914</v>
      </c>
      <c r="J610" s="380" t="s">
        <v>1949</v>
      </c>
      <c r="K610" s="380" t="s">
        <v>1916</v>
      </c>
      <c r="L610" s="403">
        <v>0</v>
      </c>
    </row>
    <row r="611" spans="1:12" ht="15" customHeight="1" x14ac:dyDescent="0.25">
      <c r="A611" s="380" t="s">
        <v>2979</v>
      </c>
      <c r="B611" s="380" t="s">
        <v>1874</v>
      </c>
      <c r="C611" s="380" t="s">
        <v>1712</v>
      </c>
      <c r="D611" s="380" t="s">
        <v>1328</v>
      </c>
      <c r="E611" s="380" t="s">
        <v>330</v>
      </c>
      <c r="F611" s="380" t="s">
        <v>1473</v>
      </c>
      <c r="G611" s="380" t="s">
        <v>1295</v>
      </c>
      <c r="H611" s="380" t="s">
        <v>2980</v>
      </c>
      <c r="I611" s="380" t="s">
        <v>1914</v>
      </c>
      <c r="J611" s="380" t="s">
        <v>1952</v>
      </c>
      <c r="K611" s="380" t="s">
        <v>1916</v>
      </c>
      <c r="L611" s="403">
        <v>0</v>
      </c>
    </row>
    <row r="612" spans="1:12" ht="15" customHeight="1" x14ac:dyDescent="0.25">
      <c r="A612" s="380" t="s">
        <v>2981</v>
      </c>
      <c r="B612" s="380" t="s">
        <v>1874</v>
      </c>
      <c r="C612" s="380" t="s">
        <v>1712</v>
      </c>
      <c r="D612" s="380" t="s">
        <v>1328</v>
      </c>
      <c r="E612" s="380" t="s">
        <v>330</v>
      </c>
      <c r="F612" s="380" t="s">
        <v>1473</v>
      </c>
      <c r="G612" s="380" t="s">
        <v>1297</v>
      </c>
      <c r="H612" s="380" t="s">
        <v>2982</v>
      </c>
      <c r="I612" s="380" t="s">
        <v>1914</v>
      </c>
      <c r="J612" s="380" t="s">
        <v>1955</v>
      </c>
      <c r="K612" s="380" t="s">
        <v>1916</v>
      </c>
      <c r="L612" s="403">
        <v>0</v>
      </c>
    </row>
    <row r="613" spans="1:12" ht="15" customHeight="1" x14ac:dyDescent="0.25">
      <c r="A613" s="380" t="s">
        <v>2983</v>
      </c>
      <c r="B613" s="380" t="s">
        <v>1874</v>
      </c>
      <c r="C613" s="380" t="s">
        <v>1712</v>
      </c>
      <c r="D613" s="380" t="s">
        <v>1328</v>
      </c>
      <c r="E613" s="380" t="s">
        <v>330</v>
      </c>
      <c r="F613" s="380" t="s">
        <v>1473</v>
      </c>
      <c r="G613" s="380" t="s">
        <v>1299</v>
      </c>
      <c r="H613" s="380" t="s">
        <v>2984</v>
      </c>
      <c r="I613" s="380" t="s">
        <v>1914</v>
      </c>
      <c r="J613" s="380" t="s">
        <v>1958</v>
      </c>
      <c r="K613" s="380" t="s">
        <v>1916</v>
      </c>
      <c r="L613" s="403">
        <v>0</v>
      </c>
    </row>
    <row r="614" spans="1:12" ht="15" customHeight="1" x14ac:dyDescent="0.25">
      <c r="A614" s="380" t="s">
        <v>2985</v>
      </c>
      <c r="B614" s="380" t="s">
        <v>1874</v>
      </c>
      <c r="C614" s="380" t="s">
        <v>1712</v>
      </c>
      <c r="D614" s="380" t="s">
        <v>1328</v>
      </c>
      <c r="E614" s="380" t="s">
        <v>330</v>
      </c>
      <c r="F614" s="380" t="s">
        <v>1473</v>
      </c>
      <c r="G614" s="380" t="s">
        <v>1301</v>
      </c>
      <c r="H614" s="380" t="s">
        <v>2986</v>
      </c>
      <c r="I614" s="380" t="s">
        <v>1914</v>
      </c>
      <c r="J614" s="380" t="s">
        <v>1961</v>
      </c>
      <c r="K614" s="380" t="s">
        <v>1916</v>
      </c>
      <c r="L614" s="403">
        <v>0</v>
      </c>
    </row>
    <row r="615" spans="1:12" ht="15" customHeight="1" x14ac:dyDescent="0.25">
      <c r="A615" s="380" t="s">
        <v>2987</v>
      </c>
      <c r="B615" s="380" t="s">
        <v>1874</v>
      </c>
      <c r="C615" s="380" t="s">
        <v>1712</v>
      </c>
      <c r="D615" s="380" t="s">
        <v>1338</v>
      </c>
      <c r="E615" s="380" t="s">
        <v>330</v>
      </c>
      <c r="F615" s="380" t="s">
        <v>1473</v>
      </c>
      <c r="G615" s="380" t="s">
        <v>1339</v>
      </c>
      <c r="H615" s="380" t="s">
        <v>2988</v>
      </c>
      <c r="I615" s="380" t="s">
        <v>1914</v>
      </c>
      <c r="J615" s="380" t="s">
        <v>1964</v>
      </c>
      <c r="K615" s="380"/>
      <c r="L615" s="403">
        <v>0.3</v>
      </c>
    </row>
    <row r="616" spans="1:12" ht="15" customHeight="1" x14ac:dyDescent="0.25">
      <c r="A616" s="380" t="s">
        <v>2989</v>
      </c>
      <c r="B616" s="380" t="s">
        <v>1874</v>
      </c>
      <c r="C616" s="380" t="s">
        <v>1712</v>
      </c>
      <c r="D616" s="380" t="s">
        <v>1966</v>
      </c>
      <c r="E616" s="380" t="s">
        <v>330</v>
      </c>
      <c r="F616" s="380" t="s">
        <v>1473</v>
      </c>
      <c r="G616" s="380" t="s">
        <v>1277</v>
      </c>
      <c r="H616" s="380" t="s">
        <v>2990</v>
      </c>
      <c r="I616" s="380" t="s">
        <v>1746</v>
      </c>
      <c r="J616" s="380" t="s">
        <v>1968</v>
      </c>
      <c r="K616" s="380" t="s">
        <v>1969</v>
      </c>
      <c r="L616" s="403">
        <v>-0.73299999999999998</v>
      </c>
    </row>
    <row r="617" spans="1:12" ht="15" customHeight="1" x14ac:dyDescent="0.25">
      <c r="A617" s="380" t="s">
        <v>2991</v>
      </c>
      <c r="B617" s="380" t="s">
        <v>1874</v>
      </c>
      <c r="C617" s="380" t="s">
        <v>1712</v>
      </c>
      <c r="D617" s="380" t="s">
        <v>1971</v>
      </c>
      <c r="E617" s="380" t="s">
        <v>330</v>
      </c>
      <c r="F617" s="380" t="s">
        <v>1473</v>
      </c>
      <c r="G617" s="380" t="s">
        <v>1277</v>
      </c>
      <c r="H617" s="380" t="s">
        <v>2992</v>
      </c>
      <c r="I617" s="380" t="s">
        <v>1566</v>
      </c>
      <c r="J617" s="380" t="s">
        <v>1973</v>
      </c>
      <c r="K617" s="380" t="s">
        <v>1969</v>
      </c>
      <c r="L617" s="403">
        <v>0</v>
      </c>
    </row>
    <row r="618" spans="1:12" ht="15" customHeight="1" x14ac:dyDescent="0.25">
      <c r="A618" s="380" t="s">
        <v>2993</v>
      </c>
      <c r="B618" s="380" t="s">
        <v>1874</v>
      </c>
      <c r="C618" s="380" t="s">
        <v>1712</v>
      </c>
      <c r="D618" s="380" t="s">
        <v>1890</v>
      </c>
      <c r="E618" s="380" t="s">
        <v>330</v>
      </c>
      <c r="F618" s="380" t="s">
        <v>1501</v>
      </c>
      <c r="G618" s="380" t="s">
        <v>1277</v>
      </c>
      <c r="H618" s="380" t="s">
        <v>2994</v>
      </c>
      <c r="I618" s="380" t="s">
        <v>1307</v>
      </c>
      <c r="J618" s="380" t="s">
        <v>2221</v>
      </c>
      <c r="K618" s="380" t="s">
        <v>1893</v>
      </c>
      <c r="L618" s="406">
        <v>0.4</v>
      </c>
    </row>
    <row r="619" spans="1:12" ht="15" customHeight="1" x14ac:dyDescent="0.25">
      <c r="A619" s="380" t="s">
        <v>2995</v>
      </c>
      <c r="B619" s="380" t="s">
        <v>1874</v>
      </c>
      <c r="C619" s="380" t="s">
        <v>1712</v>
      </c>
      <c r="D619" s="380" t="s">
        <v>1895</v>
      </c>
      <c r="E619" s="380" t="s">
        <v>330</v>
      </c>
      <c r="F619" s="380" t="s">
        <v>1501</v>
      </c>
      <c r="G619" s="380" t="s">
        <v>1277</v>
      </c>
      <c r="H619" s="380" t="s">
        <v>2996</v>
      </c>
      <c r="I619" s="380" t="s">
        <v>1897</v>
      </c>
      <c r="J619" s="380" t="s">
        <v>1898</v>
      </c>
      <c r="K619" s="380"/>
      <c r="L619" s="404">
        <v>0.4</v>
      </c>
    </row>
    <row r="620" spans="1:12" ht="15" customHeight="1" x14ac:dyDescent="0.25">
      <c r="A620" s="380" t="s">
        <v>2997</v>
      </c>
      <c r="B620" s="380" t="s">
        <v>1874</v>
      </c>
      <c r="C620" s="380" t="s">
        <v>1712</v>
      </c>
      <c r="D620" s="380" t="s">
        <v>1900</v>
      </c>
      <c r="E620" s="380" t="s">
        <v>330</v>
      </c>
      <c r="F620" s="380" t="s">
        <v>1501</v>
      </c>
      <c r="G620" s="380" t="s">
        <v>1277</v>
      </c>
      <c r="H620" s="380" t="s">
        <v>2998</v>
      </c>
      <c r="I620" s="380" t="s">
        <v>1902</v>
      </c>
      <c r="J620" s="380" t="s">
        <v>1903</v>
      </c>
      <c r="K620" s="380"/>
      <c r="L620" s="404">
        <v>0.2</v>
      </c>
    </row>
    <row r="621" spans="1:12" ht="15" customHeight="1" x14ac:dyDescent="0.25">
      <c r="A621" s="380" t="s">
        <v>2999</v>
      </c>
      <c r="B621" s="380" t="s">
        <v>1874</v>
      </c>
      <c r="C621" s="380" t="s">
        <v>1712</v>
      </c>
      <c r="D621" s="380" t="s">
        <v>1905</v>
      </c>
      <c r="E621" s="380" t="s">
        <v>330</v>
      </c>
      <c r="F621" s="380" t="s">
        <v>1501</v>
      </c>
      <c r="G621" s="380" t="s">
        <v>1277</v>
      </c>
      <c r="H621" s="380" t="s">
        <v>3000</v>
      </c>
      <c r="I621" s="380" t="s">
        <v>1902</v>
      </c>
      <c r="J621" s="380" t="s">
        <v>1907</v>
      </c>
      <c r="K621" s="380"/>
      <c r="L621" s="404">
        <v>0.03</v>
      </c>
    </row>
    <row r="622" spans="1:12" ht="15" customHeight="1" x14ac:dyDescent="0.25">
      <c r="A622" s="380" t="s">
        <v>3001</v>
      </c>
      <c r="B622" s="380" t="s">
        <v>1874</v>
      </c>
      <c r="C622" s="380" t="s">
        <v>1712</v>
      </c>
      <c r="D622" s="380" t="s">
        <v>1909</v>
      </c>
      <c r="E622" s="380" t="s">
        <v>330</v>
      </c>
      <c r="F622" s="380" t="s">
        <v>1501</v>
      </c>
      <c r="G622" s="380" t="s">
        <v>1277</v>
      </c>
      <c r="H622" s="380" t="s">
        <v>3002</v>
      </c>
      <c r="I622" s="380" t="s">
        <v>1902</v>
      </c>
      <c r="J622" s="380" t="s">
        <v>1911</v>
      </c>
      <c r="K622" s="380"/>
      <c r="L622" s="404">
        <v>0.05</v>
      </c>
    </row>
    <row r="623" spans="1:12" ht="15" customHeight="1" x14ac:dyDescent="0.25">
      <c r="A623" s="380" t="s">
        <v>3003</v>
      </c>
      <c r="B623" s="380" t="s">
        <v>1874</v>
      </c>
      <c r="C623" s="380" t="s">
        <v>1712</v>
      </c>
      <c r="D623" s="380" t="s">
        <v>1317</v>
      </c>
      <c r="E623" s="380" t="s">
        <v>330</v>
      </c>
      <c r="F623" s="380" t="s">
        <v>1501</v>
      </c>
      <c r="G623" s="380" t="s">
        <v>757</v>
      </c>
      <c r="H623" s="380" t="s">
        <v>3004</v>
      </c>
      <c r="I623" s="380" t="s">
        <v>1914</v>
      </c>
      <c r="J623" s="380" t="s">
        <v>1915</v>
      </c>
      <c r="K623" s="380" t="s">
        <v>1916</v>
      </c>
      <c r="L623" s="403">
        <v>0</v>
      </c>
    </row>
    <row r="624" spans="1:12" ht="15" customHeight="1" x14ac:dyDescent="0.25">
      <c r="A624" s="380" t="s">
        <v>3005</v>
      </c>
      <c r="B624" s="380" t="s">
        <v>1874</v>
      </c>
      <c r="C624" s="380" t="s">
        <v>1712</v>
      </c>
      <c r="D624" s="380" t="s">
        <v>1317</v>
      </c>
      <c r="E624" s="380" t="s">
        <v>330</v>
      </c>
      <c r="F624" s="380" t="s">
        <v>1501</v>
      </c>
      <c r="G624" s="380" t="s">
        <v>754</v>
      </c>
      <c r="H624" s="380" t="s">
        <v>3006</v>
      </c>
      <c r="I624" s="380" t="s">
        <v>1914</v>
      </c>
      <c r="J624" s="380" t="s">
        <v>1919</v>
      </c>
      <c r="K624" s="380" t="s">
        <v>1916</v>
      </c>
      <c r="L624" s="403">
        <v>1.5</v>
      </c>
    </row>
    <row r="625" spans="1:12" ht="15" customHeight="1" x14ac:dyDescent="0.25">
      <c r="A625" s="380" t="s">
        <v>3007</v>
      </c>
      <c r="B625" s="380" t="s">
        <v>1874</v>
      </c>
      <c r="C625" s="380" t="s">
        <v>1712</v>
      </c>
      <c r="D625" s="380" t="s">
        <v>1317</v>
      </c>
      <c r="E625" s="380" t="s">
        <v>330</v>
      </c>
      <c r="F625" s="380" t="s">
        <v>1501</v>
      </c>
      <c r="G625" s="380" t="s">
        <v>1292</v>
      </c>
      <c r="H625" s="380" t="s">
        <v>3008</v>
      </c>
      <c r="I625" s="380" t="s">
        <v>1914</v>
      </c>
      <c r="J625" s="380" t="s">
        <v>1922</v>
      </c>
      <c r="K625" s="380" t="s">
        <v>1916</v>
      </c>
      <c r="L625" s="403">
        <v>0</v>
      </c>
    </row>
    <row r="626" spans="1:12" ht="15" customHeight="1" x14ac:dyDescent="0.25">
      <c r="A626" s="380" t="s">
        <v>3009</v>
      </c>
      <c r="B626" s="380" t="s">
        <v>1874</v>
      </c>
      <c r="C626" s="380" t="s">
        <v>1712</v>
      </c>
      <c r="D626" s="380" t="s">
        <v>1317</v>
      </c>
      <c r="E626" s="380" t="s">
        <v>330</v>
      </c>
      <c r="F626" s="380" t="s">
        <v>1501</v>
      </c>
      <c r="G626" s="380" t="s">
        <v>762</v>
      </c>
      <c r="H626" s="380" t="s">
        <v>3010</v>
      </c>
      <c r="I626" s="380" t="s">
        <v>1914</v>
      </c>
      <c r="J626" s="380" t="s">
        <v>1925</v>
      </c>
      <c r="K626" s="380" t="s">
        <v>1916</v>
      </c>
      <c r="L626" s="403">
        <v>0</v>
      </c>
    </row>
    <row r="627" spans="1:12" ht="15" customHeight="1" x14ac:dyDescent="0.25">
      <c r="A627" s="380" t="s">
        <v>3011</v>
      </c>
      <c r="B627" s="380" t="s">
        <v>1874</v>
      </c>
      <c r="C627" s="380" t="s">
        <v>1712</v>
      </c>
      <c r="D627" s="380" t="s">
        <v>1317</v>
      </c>
      <c r="E627" s="380" t="s">
        <v>330</v>
      </c>
      <c r="F627" s="380" t="s">
        <v>1501</v>
      </c>
      <c r="G627" s="380" t="s">
        <v>1295</v>
      </c>
      <c r="H627" s="380" t="s">
        <v>3012</v>
      </c>
      <c r="I627" s="380" t="s">
        <v>1914</v>
      </c>
      <c r="J627" s="380" t="s">
        <v>1928</v>
      </c>
      <c r="K627" s="380" t="s">
        <v>1916</v>
      </c>
      <c r="L627" s="403">
        <v>0</v>
      </c>
    </row>
    <row r="628" spans="1:12" ht="15" customHeight="1" x14ac:dyDescent="0.25">
      <c r="A628" s="380" t="s">
        <v>3013</v>
      </c>
      <c r="B628" s="380" t="s">
        <v>1874</v>
      </c>
      <c r="C628" s="380" t="s">
        <v>1712</v>
      </c>
      <c r="D628" s="380" t="s">
        <v>1317</v>
      </c>
      <c r="E628" s="380" t="s">
        <v>330</v>
      </c>
      <c r="F628" s="380" t="s">
        <v>1501</v>
      </c>
      <c r="G628" s="380" t="s">
        <v>1297</v>
      </c>
      <c r="H628" s="380" t="s">
        <v>3014</v>
      </c>
      <c r="I628" s="380" t="s">
        <v>1914</v>
      </c>
      <c r="J628" s="380" t="s">
        <v>1931</v>
      </c>
      <c r="K628" s="380" t="s">
        <v>1916</v>
      </c>
      <c r="L628" s="403">
        <v>0</v>
      </c>
    </row>
    <row r="629" spans="1:12" ht="15" customHeight="1" x14ac:dyDescent="0.25">
      <c r="A629" s="380" t="s">
        <v>3015</v>
      </c>
      <c r="B629" s="380" t="s">
        <v>1874</v>
      </c>
      <c r="C629" s="380" t="s">
        <v>1712</v>
      </c>
      <c r="D629" s="380" t="s">
        <v>1317</v>
      </c>
      <c r="E629" s="380" t="s">
        <v>330</v>
      </c>
      <c r="F629" s="380" t="s">
        <v>1501</v>
      </c>
      <c r="G629" s="380" t="s">
        <v>1299</v>
      </c>
      <c r="H629" s="380" t="s">
        <v>3016</v>
      </c>
      <c r="I629" s="380" t="s">
        <v>1914</v>
      </c>
      <c r="J629" s="380" t="s">
        <v>1934</v>
      </c>
      <c r="K629" s="380" t="s">
        <v>1916</v>
      </c>
      <c r="L629" s="403">
        <v>0</v>
      </c>
    </row>
    <row r="630" spans="1:12" ht="15" customHeight="1" x14ac:dyDescent="0.25">
      <c r="A630" s="380" t="s">
        <v>3017</v>
      </c>
      <c r="B630" s="380" t="s">
        <v>1874</v>
      </c>
      <c r="C630" s="380" t="s">
        <v>1712</v>
      </c>
      <c r="D630" s="380" t="s">
        <v>1317</v>
      </c>
      <c r="E630" s="380" t="s">
        <v>330</v>
      </c>
      <c r="F630" s="380" t="s">
        <v>1501</v>
      </c>
      <c r="G630" s="380" t="s">
        <v>1301</v>
      </c>
      <c r="H630" s="380" t="s">
        <v>3018</v>
      </c>
      <c r="I630" s="380" t="s">
        <v>1914</v>
      </c>
      <c r="J630" s="380" t="s">
        <v>1937</v>
      </c>
      <c r="K630" s="380" t="s">
        <v>1916</v>
      </c>
      <c r="L630" s="403">
        <v>0</v>
      </c>
    </row>
    <row r="631" spans="1:12" ht="15" customHeight="1" x14ac:dyDescent="0.25">
      <c r="A631" s="380" t="s">
        <v>3019</v>
      </c>
      <c r="B631" s="380" t="s">
        <v>1874</v>
      </c>
      <c r="C631" s="380" t="s">
        <v>1712</v>
      </c>
      <c r="D631" s="380" t="s">
        <v>1328</v>
      </c>
      <c r="E631" s="380" t="s">
        <v>330</v>
      </c>
      <c r="F631" s="380" t="s">
        <v>1501</v>
      </c>
      <c r="G631" s="380" t="s">
        <v>757</v>
      </c>
      <c r="H631" s="380" t="s">
        <v>3020</v>
      </c>
      <c r="I631" s="380" t="s">
        <v>1914</v>
      </c>
      <c r="J631" s="380" t="s">
        <v>1940</v>
      </c>
      <c r="K631" s="380" t="s">
        <v>1916</v>
      </c>
      <c r="L631" s="403">
        <v>0</v>
      </c>
    </row>
    <row r="632" spans="1:12" ht="15" customHeight="1" x14ac:dyDescent="0.25">
      <c r="A632" s="380" t="s">
        <v>3021</v>
      </c>
      <c r="B632" s="380" t="s">
        <v>1874</v>
      </c>
      <c r="C632" s="380" t="s">
        <v>1712</v>
      </c>
      <c r="D632" s="380" t="s">
        <v>1328</v>
      </c>
      <c r="E632" s="380" t="s">
        <v>330</v>
      </c>
      <c r="F632" s="380" t="s">
        <v>1501</v>
      </c>
      <c r="G632" s="380" t="s">
        <v>754</v>
      </c>
      <c r="H632" s="380" t="s">
        <v>3022</v>
      </c>
      <c r="I632" s="380" t="s">
        <v>1914</v>
      </c>
      <c r="J632" s="380" t="s">
        <v>1943</v>
      </c>
      <c r="K632" s="380" t="s">
        <v>1916</v>
      </c>
      <c r="L632" s="403">
        <v>0</v>
      </c>
    </row>
    <row r="633" spans="1:12" ht="15" customHeight="1" x14ac:dyDescent="0.25">
      <c r="A633" s="380" t="s">
        <v>3023</v>
      </c>
      <c r="B633" s="380" t="s">
        <v>1874</v>
      </c>
      <c r="C633" s="380" t="s">
        <v>1712</v>
      </c>
      <c r="D633" s="380" t="s">
        <v>1328</v>
      </c>
      <c r="E633" s="380" t="s">
        <v>330</v>
      </c>
      <c r="F633" s="380" t="s">
        <v>1501</v>
      </c>
      <c r="G633" s="380" t="s">
        <v>1292</v>
      </c>
      <c r="H633" s="380" t="s">
        <v>3024</v>
      </c>
      <c r="I633" s="380" t="s">
        <v>1914</v>
      </c>
      <c r="J633" s="380" t="s">
        <v>1946</v>
      </c>
      <c r="K633" s="380" t="s">
        <v>1916</v>
      </c>
      <c r="L633" s="403">
        <v>0</v>
      </c>
    </row>
    <row r="634" spans="1:12" ht="15" customHeight="1" x14ac:dyDescent="0.25">
      <c r="A634" s="380" t="s">
        <v>3025</v>
      </c>
      <c r="B634" s="380" t="s">
        <v>1874</v>
      </c>
      <c r="C634" s="380" t="s">
        <v>1712</v>
      </c>
      <c r="D634" s="380" t="s">
        <v>1328</v>
      </c>
      <c r="E634" s="380" t="s">
        <v>330</v>
      </c>
      <c r="F634" s="380" t="s">
        <v>1501</v>
      </c>
      <c r="G634" s="380" t="s">
        <v>762</v>
      </c>
      <c r="H634" s="380" t="s">
        <v>3026</v>
      </c>
      <c r="I634" s="380" t="s">
        <v>1914</v>
      </c>
      <c r="J634" s="380" t="s">
        <v>1949</v>
      </c>
      <c r="K634" s="380" t="s">
        <v>1916</v>
      </c>
      <c r="L634" s="403">
        <v>0</v>
      </c>
    </row>
    <row r="635" spans="1:12" ht="15" customHeight="1" x14ac:dyDescent="0.25">
      <c r="A635" s="380" t="s">
        <v>3027</v>
      </c>
      <c r="B635" s="380" t="s">
        <v>1874</v>
      </c>
      <c r="C635" s="380" t="s">
        <v>1712</v>
      </c>
      <c r="D635" s="380" t="s">
        <v>1328</v>
      </c>
      <c r="E635" s="380" t="s">
        <v>330</v>
      </c>
      <c r="F635" s="380" t="s">
        <v>1501</v>
      </c>
      <c r="G635" s="380" t="s">
        <v>1295</v>
      </c>
      <c r="H635" s="380" t="s">
        <v>3028</v>
      </c>
      <c r="I635" s="380" t="s">
        <v>1914</v>
      </c>
      <c r="J635" s="380" t="s">
        <v>1952</v>
      </c>
      <c r="K635" s="380" t="s">
        <v>1916</v>
      </c>
      <c r="L635" s="403">
        <v>0</v>
      </c>
    </row>
    <row r="636" spans="1:12" ht="15" customHeight="1" x14ac:dyDescent="0.25">
      <c r="A636" s="380" t="s">
        <v>3029</v>
      </c>
      <c r="B636" s="380" t="s">
        <v>1874</v>
      </c>
      <c r="C636" s="380" t="s">
        <v>1712</v>
      </c>
      <c r="D636" s="380" t="s">
        <v>1328</v>
      </c>
      <c r="E636" s="380" t="s">
        <v>330</v>
      </c>
      <c r="F636" s="380" t="s">
        <v>1501</v>
      </c>
      <c r="G636" s="380" t="s">
        <v>1297</v>
      </c>
      <c r="H636" s="380" t="s">
        <v>3030</v>
      </c>
      <c r="I636" s="380" t="s">
        <v>1914</v>
      </c>
      <c r="J636" s="380" t="s">
        <v>1955</v>
      </c>
      <c r="K636" s="380" t="s">
        <v>1916</v>
      </c>
      <c r="L636" s="403">
        <v>0</v>
      </c>
    </row>
    <row r="637" spans="1:12" ht="15" customHeight="1" x14ac:dyDescent="0.25">
      <c r="A637" s="380" t="s">
        <v>3031</v>
      </c>
      <c r="B637" s="380" t="s">
        <v>1874</v>
      </c>
      <c r="C637" s="380" t="s">
        <v>1712</v>
      </c>
      <c r="D637" s="380" t="s">
        <v>1328</v>
      </c>
      <c r="E637" s="380" t="s">
        <v>330</v>
      </c>
      <c r="F637" s="380" t="s">
        <v>1501</v>
      </c>
      <c r="G637" s="380" t="s">
        <v>1299</v>
      </c>
      <c r="H637" s="380" t="s">
        <v>3032</v>
      </c>
      <c r="I637" s="380" t="s">
        <v>1914</v>
      </c>
      <c r="J637" s="380" t="s">
        <v>1958</v>
      </c>
      <c r="K637" s="380" t="s">
        <v>1916</v>
      </c>
      <c r="L637" s="403">
        <v>0</v>
      </c>
    </row>
    <row r="638" spans="1:12" ht="15" customHeight="1" x14ac:dyDescent="0.25">
      <c r="A638" s="380" t="s">
        <v>3033</v>
      </c>
      <c r="B638" s="380" t="s">
        <v>1874</v>
      </c>
      <c r="C638" s="380" t="s">
        <v>1712</v>
      </c>
      <c r="D638" s="380" t="s">
        <v>1328</v>
      </c>
      <c r="E638" s="380" t="s">
        <v>330</v>
      </c>
      <c r="F638" s="380" t="s">
        <v>1501</v>
      </c>
      <c r="G638" s="380" t="s">
        <v>1301</v>
      </c>
      <c r="H638" s="380" t="s">
        <v>3034</v>
      </c>
      <c r="I638" s="380" t="s">
        <v>1914</v>
      </c>
      <c r="J638" s="380" t="s">
        <v>1961</v>
      </c>
      <c r="K638" s="380" t="s">
        <v>1916</v>
      </c>
      <c r="L638" s="403">
        <v>0</v>
      </c>
    </row>
    <row r="639" spans="1:12" ht="15" customHeight="1" x14ac:dyDescent="0.25">
      <c r="A639" s="380" t="s">
        <v>3035</v>
      </c>
      <c r="B639" s="380" t="s">
        <v>1874</v>
      </c>
      <c r="C639" s="380" t="s">
        <v>1712</v>
      </c>
      <c r="D639" s="380" t="s">
        <v>1338</v>
      </c>
      <c r="E639" s="380" t="s">
        <v>330</v>
      </c>
      <c r="F639" s="380" t="s">
        <v>1501</v>
      </c>
      <c r="G639" s="380" t="s">
        <v>1339</v>
      </c>
      <c r="H639" s="380" t="s">
        <v>3036</v>
      </c>
      <c r="I639" s="380" t="s">
        <v>1914</v>
      </c>
      <c r="J639" s="380" t="s">
        <v>1964</v>
      </c>
      <c r="K639" s="380"/>
      <c r="L639" s="403">
        <v>0.3</v>
      </c>
    </row>
    <row r="640" spans="1:12" ht="15" customHeight="1" x14ac:dyDescent="0.25">
      <c r="A640" s="380" t="s">
        <v>3037</v>
      </c>
      <c r="B640" s="380" t="s">
        <v>1874</v>
      </c>
      <c r="C640" s="380" t="s">
        <v>1712</v>
      </c>
      <c r="D640" s="380" t="s">
        <v>1966</v>
      </c>
      <c r="E640" s="380" t="s">
        <v>330</v>
      </c>
      <c r="F640" s="380" t="s">
        <v>1501</v>
      </c>
      <c r="G640" s="380" t="s">
        <v>1277</v>
      </c>
      <c r="H640" s="380" t="s">
        <v>3038</v>
      </c>
      <c r="I640" s="380" t="s">
        <v>1746</v>
      </c>
      <c r="J640" s="380" t="s">
        <v>1968</v>
      </c>
      <c r="K640" s="380" t="s">
        <v>1969</v>
      </c>
      <c r="L640" s="403">
        <v>0</v>
      </c>
    </row>
    <row r="641" spans="1:12" ht="15" customHeight="1" x14ac:dyDescent="0.25">
      <c r="A641" s="380" t="s">
        <v>3039</v>
      </c>
      <c r="B641" s="380" t="s">
        <v>1874</v>
      </c>
      <c r="C641" s="380" t="s">
        <v>1712</v>
      </c>
      <c r="D641" s="380" t="s">
        <v>1971</v>
      </c>
      <c r="E641" s="380" t="s">
        <v>330</v>
      </c>
      <c r="F641" s="380" t="s">
        <v>1501</v>
      </c>
      <c r="G641" s="380" t="s">
        <v>1277</v>
      </c>
      <c r="H641" s="380" t="s">
        <v>3040</v>
      </c>
      <c r="I641" s="380" t="s">
        <v>1566</v>
      </c>
      <c r="J641" s="380" t="s">
        <v>1973</v>
      </c>
      <c r="K641" s="380" t="s">
        <v>2654</v>
      </c>
      <c r="L641" s="403">
        <v>0.97</v>
      </c>
    </row>
    <row r="642" spans="1:12" ht="15" customHeight="1" x14ac:dyDescent="0.25">
      <c r="A642" s="380" t="s">
        <v>3041</v>
      </c>
      <c r="B642" s="380" t="s">
        <v>1874</v>
      </c>
      <c r="C642" s="380" t="s">
        <v>1712</v>
      </c>
      <c r="D642" s="380" t="s">
        <v>1890</v>
      </c>
      <c r="E642" s="380" t="s">
        <v>334</v>
      </c>
      <c r="F642" s="380" t="s">
        <v>1529</v>
      </c>
      <c r="G642" s="380" t="s">
        <v>1277</v>
      </c>
      <c r="H642" s="380" t="s">
        <v>3042</v>
      </c>
      <c r="I642" s="380" t="s">
        <v>1307</v>
      </c>
      <c r="J642" s="380" t="s">
        <v>2270</v>
      </c>
      <c r="K642" s="380" t="s">
        <v>1893</v>
      </c>
      <c r="L642" s="406">
        <v>0</v>
      </c>
    </row>
    <row r="643" spans="1:12" ht="15" customHeight="1" x14ac:dyDescent="0.25">
      <c r="A643" s="380" t="s">
        <v>3043</v>
      </c>
      <c r="B643" s="380" t="s">
        <v>1874</v>
      </c>
      <c r="C643" s="380" t="s">
        <v>1712</v>
      </c>
      <c r="D643" s="380" t="s">
        <v>1895</v>
      </c>
      <c r="E643" s="380" t="s">
        <v>334</v>
      </c>
      <c r="F643" s="380" t="s">
        <v>1529</v>
      </c>
      <c r="G643" s="380" t="s">
        <v>1277</v>
      </c>
      <c r="H643" s="380" t="s">
        <v>3044</v>
      </c>
      <c r="I643" s="380" t="s">
        <v>1897</v>
      </c>
      <c r="J643" s="380" t="s">
        <v>1898</v>
      </c>
      <c r="K643" s="380"/>
      <c r="L643" s="404">
        <v>0.8</v>
      </c>
    </row>
    <row r="644" spans="1:12" ht="15" customHeight="1" x14ac:dyDescent="0.25">
      <c r="A644" s="380" t="s">
        <v>3045</v>
      </c>
      <c r="B644" s="380" t="s">
        <v>1874</v>
      </c>
      <c r="C644" s="380" t="s">
        <v>1712</v>
      </c>
      <c r="D644" s="380" t="s">
        <v>1900</v>
      </c>
      <c r="E644" s="380" t="s">
        <v>334</v>
      </c>
      <c r="F644" s="380" t="s">
        <v>1529</v>
      </c>
      <c r="G644" s="380" t="s">
        <v>1277</v>
      </c>
      <c r="H644" s="380" t="s">
        <v>3046</v>
      </c>
      <c r="I644" s="380" t="s">
        <v>1902</v>
      </c>
      <c r="J644" s="380" t="s">
        <v>1903</v>
      </c>
      <c r="K644" s="380"/>
      <c r="L644" s="404">
        <v>0.35</v>
      </c>
    </row>
    <row r="645" spans="1:12" ht="15" customHeight="1" x14ac:dyDescent="0.25">
      <c r="A645" s="380" t="s">
        <v>3047</v>
      </c>
      <c r="B645" s="380" t="s">
        <v>1874</v>
      </c>
      <c r="C645" s="380" t="s">
        <v>1712</v>
      </c>
      <c r="D645" s="380" t="s">
        <v>1905</v>
      </c>
      <c r="E645" s="380" t="s">
        <v>334</v>
      </c>
      <c r="F645" s="380" t="s">
        <v>1529</v>
      </c>
      <c r="G645" s="380" t="s">
        <v>1277</v>
      </c>
      <c r="H645" s="380" t="s">
        <v>3048</v>
      </c>
      <c r="I645" s="380" t="s">
        <v>1902</v>
      </c>
      <c r="J645" s="380" t="s">
        <v>1907</v>
      </c>
      <c r="K645" s="380"/>
      <c r="L645" s="404">
        <v>0.18</v>
      </c>
    </row>
    <row r="646" spans="1:12" ht="15" customHeight="1" x14ac:dyDescent="0.25">
      <c r="A646" s="380" t="s">
        <v>3049</v>
      </c>
      <c r="B646" s="380" t="s">
        <v>1874</v>
      </c>
      <c r="C646" s="380" t="s">
        <v>1712</v>
      </c>
      <c r="D646" s="380" t="s">
        <v>1909</v>
      </c>
      <c r="E646" s="380" t="s">
        <v>334</v>
      </c>
      <c r="F646" s="380" t="s">
        <v>1529</v>
      </c>
      <c r="G646" s="380" t="s">
        <v>1277</v>
      </c>
      <c r="H646" s="380" t="s">
        <v>3050</v>
      </c>
      <c r="I646" s="380" t="s">
        <v>1902</v>
      </c>
      <c r="J646" s="380" t="s">
        <v>1911</v>
      </c>
      <c r="K646" s="380"/>
      <c r="L646" s="404">
        <v>0.3</v>
      </c>
    </row>
    <row r="647" spans="1:12" ht="15" customHeight="1" x14ac:dyDescent="0.25">
      <c r="A647" s="380" t="s">
        <v>3051</v>
      </c>
      <c r="B647" s="380" t="s">
        <v>1874</v>
      </c>
      <c r="C647" s="380" t="s">
        <v>1712</v>
      </c>
      <c r="D647" s="380" t="s">
        <v>1317</v>
      </c>
      <c r="E647" s="380" t="s">
        <v>334</v>
      </c>
      <c r="F647" s="380" t="s">
        <v>1529</v>
      </c>
      <c r="G647" s="380" t="s">
        <v>757</v>
      </c>
      <c r="H647" s="380" t="s">
        <v>3052</v>
      </c>
      <c r="I647" s="380" t="s">
        <v>1914</v>
      </c>
      <c r="J647" s="380" t="s">
        <v>1915</v>
      </c>
      <c r="K647" s="380" t="s">
        <v>1916</v>
      </c>
      <c r="L647" s="403">
        <v>0</v>
      </c>
    </row>
    <row r="648" spans="1:12" ht="15" customHeight="1" x14ac:dyDescent="0.25">
      <c r="A648" s="380" t="s">
        <v>3053</v>
      </c>
      <c r="B648" s="380" t="s">
        <v>1874</v>
      </c>
      <c r="C648" s="380" t="s">
        <v>1712</v>
      </c>
      <c r="D648" s="380" t="s">
        <v>1317</v>
      </c>
      <c r="E648" s="380" t="s">
        <v>334</v>
      </c>
      <c r="F648" s="380" t="s">
        <v>1529</v>
      </c>
      <c r="G648" s="380" t="s">
        <v>754</v>
      </c>
      <c r="H648" s="380" t="s">
        <v>3054</v>
      </c>
      <c r="I648" s="380" t="s">
        <v>1914</v>
      </c>
      <c r="J648" s="380" t="s">
        <v>1919</v>
      </c>
      <c r="K648" s="380" t="s">
        <v>1916</v>
      </c>
      <c r="L648" s="403">
        <v>2</v>
      </c>
    </row>
    <row r="649" spans="1:12" ht="15" customHeight="1" x14ac:dyDescent="0.25">
      <c r="A649" s="380" t="s">
        <v>3055</v>
      </c>
      <c r="B649" s="380" t="s">
        <v>1874</v>
      </c>
      <c r="C649" s="380" t="s">
        <v>1712</v>
      </c>
      <c r="D649" s="380" t="s">
        <v>1317</v>
      </c>
      <c r="E649" s="380" t="s">
        <v>334</v>
      </c>
      <c r="F649" s="380" t="s">
        <v>1529</v>
      </c>
      <c r="G649" s="380" t="s">
        <v>1292</v>
      </c>
      <c r="H649" s="380" t="s">
        <v>3056</v>
      </c>
      <c r="I649" s="380" t="s">
        <v>1914</v>
      </c>
      <c r="J649" s="380" t="s">
        <v>1922</v>
      </c>
      <c r="K649" s="380" t="s">
        <v>1916</v>
      </c>
      <c r="L649" s="403">
        <v>0</v>
      </c>
    </row>
    <row r="650" spans="1:12" ht="15" customHeight="1" x14ac:dyDescent="0.25">
      <c r="A650" s="380" t="s">
        <v>3057</v>
      </c>
      <c r="B650" s="380" t="s">
        <v>1874</v>
      </c>
      <c r="C650" s="380" t="s">
        <v>1712</v>
      </c>
      <c r="D650" s="380" t="s">
        <v>1317</v>
      </c>
      <c r="E650" s="380" t="s">
        <v>334</v>
      </c>
      <c r="F650" s="380" t="s">
        <v>1529</v>
      </c>
      <c r="G650" s="380" t="s">
        <v>762</v>
      </c>
      <c r="H650" s="380" t="s">
        <v>3058</v>
      </c>
      <c r="I650" s="380" t="s">
        <v>1914</v>
      </c>
      <c r="J650" s="380" t="s">
        <v>1925</v>
      </c>
      <c r="K650" s="380" t="s">
        <v>1916</v>
      </c>
      <c r="L650" s="403">
        <v>0</v>
      </c>
    </row>
    <row r="651" spans="1:12" ht="15" customHeight="1" x14ac:dyDescent="0.25">
      <c r="A651" s="380" t="s">
        <v>3059</v>
      </c>
      <c r="B651" s="380" t="s">
        <v>1874</v>
      </c>
      <c r="C651" s="380" t="s">
        <v>1712</v>
      </c>
      <c r="D651" s="380" t="s">
        <v>1317</v>
      </c>
      <c r="E651" s="380" t="s">
        <v>334</v>
      </c>
      <c r="F651" s="380" t="s">
        <v>1529</v>
      </c>
      <c r="G651" s="380" t="s">
        <v>1295</v>
      </c>
      <c r="H651" s="380" t="s">
        <v>3060</v>
      </c>
      <c r="I651" s="380" t="s">
        <v>1914</v>
      </c>
      <c r="J651" s="380" t="s">
        <v>1928</v>
      </c>
      <c r="K651" s="380" t="s">
        <v>1916</v>
      </c>
      <c r="L651" s="403">
        <v>0</v>
      </c>
    </row>
    <row r="652" spans="1:12" ht="15" customHeight="1" x14ac:dyDescent="0.25">
      <c r="A652" s="380" t="s">
        <v>3061</v>
      </c>
      <c r="B652" s="380" t="s">
        <v>1874</v>
      </c>
      <c r="C652" s="380" t="s">
        <v>1712</v>
      </c>
      <c r="D652" s="380" t="s">
        <v>1317</v>
      </c>
      <c r="E652" s="380" t="s">
        <v>334</v>
      </c>
      <c r="F652" s="380" t="s">
        <v>1529</v>
      </c>
      <c r="G652" s="380" t="s">
        <v>1297</v>
      </c>
      <c r="H652" s="380" t="s">
        <v>3062</v>
      </c>
      <c r="I652" s="380" t="s">
        <v>1914</v>
      </c>
      <c r="J652" s="380" t="s">
        <v>1931</v>
      </c>
      <c r="K652" s="380" t="s">
        <v>1916</v>
      </c>
      <c r="L652" s="403">
        <v>0</v>
      </c>
    </row>
    <row r="653" spans="1:12" ht="15" customHeight="1" x14ac:dyDescent="0.25">
      <c r="A653" s="380" t="s">
        <v>3063</v>
      </c>
      <c r="B653" s="380" t="s">
        <v>1874</v>
      </c>
      <c r="C653" s="380" t="s">
        <v>1712</v>
      </c>
      <c r="D653" s="380" t="s">
        <v>1317</v>
      </c>
      <c r="E653" s="380" t="s">
        <v>334</v>
      </c>
      <c r="F653" s="380" t="s">
        <v>1529</v>
      </c>
      <c r="G653" s="380" t="s">
        <v>1299</v>
      </c>
      <c r="H653" s="380" t="s">
        <v>3064</v>
      </c>
      <c r="I653" s="380" t="s">
        <v>1914</v>
      </c>
      <c r="J653" s="380" t="s">
        <v>1934</v>
      </c>
      <c r="K653" s="380" t="s">
        <v>1916</v>
      </c>
      <c r="L653" s="403">
        <v>0</v>
      </c>
    </row>
    <row r="654" spans="1:12" ht="15" customHeight="1" x14ac:dyDescent="0.25">
      <c r="A654" s="380" t="s">
        <v>3065</v>
      </c>
      <c r="B654" s="380" t="s">
        <v>1874</v>
      </c>
      <c r="C654" s="380" t="s">
        <v>1712</v>
      </c>
      <c r="D654" s="380" t="s">
        <v>1317</v>
      </c>
      <c r="E654" s="380" t="s">
        <v>334</v>
      </c>
      <c r="F654" s="380" t="s">
        <v>1529</v>
      </c>
      <c r="G654" s="380" t="s">
        <v>1301</v>
      </c>
      <c r="H654" s="380" t="s">
        <v>3066</v>
      </c>
      <c r="I654" s="380" t="s">
        <v>1914</v>
      </c>
      <c r="J654" s="380" t="s">
        <v>1937</v>
      </c>
      <c r="K654" s="380" t="s">
        <v>1916</v>
      </c>
      <c r="L654" s="403">
        <v>0</v>
      </c>
    </row>
    <row r="655" spans="1:12" ht="15" customHeight="1" x14ac:dyDescent="0.25">
      <c r="A655" s="380" t="s">
        <v>3067</v>
      </c>
      <c r="B655" s="380" t="s">
        <v>1874</v>
      </c>
      <c r="C655" s="380" t="s">
        <v>1712</v>
      </c>
      <c r="D655" s="380" t="s">
        <v>1328</v>
      </c>
      <c r="E655" s="380" t="s">
        <v>334</v>
      </c>
      <c r="F655" s="380" t="s">
        <v>1529</v>
      </c>
      <c r="G655" s="380" t="s">
        <v>757</v>
      </c>
      <c r="H655" s="380" t="s">
        <v>3068</v>
      </c>
      <c r="I655" s="380" t="s">
        <v>1914</v>
      </c>
      <c r="J655" s="380" t="s">
        <v>1940</v>
      </c>
      <c r="K655" s="380" t="s">
        <v>1916</v>
      </c>
      <c r="L655" s="403">
        <v>0</v>
      </c>
    </row>
    <row r="656" spans="1:12" ht="15" customHeight="1" x14ac:dyDescent="0.25">
      <c r="A656" s="380" t="s">
        <v>3069</v>
      </c>
      <c r="B656" s="380" t="s">
        <v>1874</v>
      </c>
      <c r="C656" s="380" t="s">
        <v>1712</v>
      </c>
      <c r="D656" s="380" t="s">
        <v>1328</v>
      </c>
      <c r="E656" s="380" t="s">
        <v>334</v>
      </c>
      <c r="F656" s="380" t="s">
        <v>1529</v>
      </c>
      <c r="G656" s="380" t="s">
        <v>754</v>
      </c>
      <c r="H656" s="380" t="s">
        <v>3070</v>
      </c>
      <c r="I656" s="380" t="s">
        <v>1914</v>
      </c>
      <c r="J656" s="380" t="s">
        <v>1943</v>
      </c>
      <c r="K656" s="380" t="s">
        <v>1916</v>
      </c>
      <c r="L656" s="403">
        <v>0</v>
      </c>
    </row>
    <row r="657" spans="1:24" ht="15" customHeight="1" x14ac:dyDescent="0.25">
      <c r="A657" s="380" t="s">
        <v>3071</v>
      </c>
      <c r="B657" s="380" t="s">
        <v>1874</v>
      </c>
      <c r="C657" s="380" t="s">
        <v>1712</v>
      </c>
      <c r="D657" s="380" t="s">
        <v>1328</v>
      </c>
      <c r="E657" s="380" t="s">
        <v>334</v>
      </c>
      <c r="F657" s="380" t="s">
        <v>1529</v>
      </c>
      <c r="G657" s="380" t="s">
        <v>1292</v>
      </c>
      <c r="H657" s="380" t="s">
        <v>3072</v>
      </c>
      <c r="I657" s="380" t="s">
        <v>1914</v>
      </c>
      <c r="J657" s="380" t="s">
        <v>1946</v>
      </c>
      <c r="K657" s="380" t="s">
        <v>1916</v>
      </c>
      <c r="L657" s="403">
        <v>0</v>
      </c>
    </row>
    <row r="658" spans="1:24" ht="15" customHeight="1" x14ac:dyDescent="0.25">
      <c r="A658" s="380" t="s">
        <v>3073</v>
      </c>
      <c r="B658" s="380" t="s">
        <v>1874</v>
      </c>
      <c r="C658" s="380" t="s">
        <v>1712</v>
      </c>
      <c r="D658" s="380" t="s">
        <v>1328</v>
      </c>
      <c r="E658" s="380" t="s">
        <v>334</v>
      </c>
      <c r="F658" s="380" t="s">
        <v>1529</v>
      </c>
      <c r="G658" s="380" t="s">
        <v>762</v>
      </c>
      <c r="H658" s="380" t="s">
        <v>3074</v>
      </c>
      <c r="I658" s="380" t="s">
        <v>1914</v>
      </c>
      <c r="J658" s="380" t="s">
        <v>1949</v>
      </c>
      <c r="K658" s="380" t="s">
        <v>1916</v>
      </c>
      <c r="L658" s="403">
        <v>0</v>
      </c>
    </row>
    <row r="659" spans="1:24" ht="15" customHeight="1" x14ac:dyDescent="0.25">
      <c r="A659" s="380" t="s">
        <v>3075</v>
      </c>
      <c r="B659" s="380" t="s">
        <v>1874</v>
      </c>
      <c r="C659" s="380" t="s">
        <v>1712</v>
      </c>
      <c r="D659" s="380" t="s">
        <v>1328</v>
      </c>
      <c r="E659" s="380" t="s">
        <v>334</v>
      </c>
      <c r="F659" s="380" t="s">
        <v>1529</v>
      </c>
      <c r="G659" s="380" t="s">
        <v>1295</v>
      </c>
      <c r="H659" s="380" t="s">
        <v>3076</v>
      </c>
      <c r="I659" s="380" t="s">
        <v>1914</v>
      </c>
      <c r="J659" s="380" t="s">
        <v>1952</v>
      </c>
      <c r="K659" s="380" t="s">
        <v>1916</v>
      </c>
      <c r="L659" s="403">
        <v>0</v>
      </c>
    </row>
    <row r="660" spans="1:24" ht="15" customHeight="1" x14ac:dyDescent="0.25">
      <c r="A660" s="380" t="s">
        <v>3077</v>
      </c>
      <c r="B660" s="380" t="s">
        <v>1874</v>
      </c>
      <c r="C660" s="380" t="s">
        <v>1712</v>
      </c>
      <c r="D660" s="380" t="s">
        <v>1328</v>
      </c>
      <c r="E660" s="380" t="s">
        <v>334</v>
      </c>
      <c r="F660" s="380" t="s">
        <v>1529</v>
      </c>
      <c r="G660" s="380" t="s">
        <v>1297</v>
      </c>
      <c r="H660" s="380" t="s">
        <v>3078</v>
      </c>
      <c r="I660" s="380" t="s">
        <v>1914</v>
      </c>
      <c r="J660" s="380" t="s">
        <v>1955</v>
      </c>
      <c r="K660" s="380" t="s">
        <v>1916</v>
      </c>
      <c r="L660" s="403">
        <v>0</v>
      </c>
    </row>
    <row r="661" spans="1:24" ht="15" customHeight="1" x14ac:dyDescent="0.25">
      <c r="A661" s="380" t="s">
        <v>3079</v>
      </c>
      <c r="B661" s="380" t="s">
        <v>1874</v>
      </c>
      <c r="C661" s="380" t="s">
        <v>1712</v>
      </c>
      <c r="D661" s="380" t="s">
        <v>1328</v>
      </c>
      <c r="E661" s="380" t="s">
        <v>334</v>
      </c>
      <c r="F661" s="380" t="s">
        <v>1529</v>
      </c>
      <c r="G661" s="380" t="s">
        <v>1299</v>
      </c>
      <c r="H661" s="380" t="s">
        <v>3080</v>
      </c>
      <c r="I661" s="380" t="s">
        <v>1914</v>
      </c>
      <c r="J661" s="380" t="s">
        <v>1958</v>
      </c>
      <c r="K661" s="380" t="s">
        <v>1916</v>
      </c>
      <c r="L661" s="403">
        <v>0</v>
      </c>
    </row>
    <row r="662" spans="1:24" ht="15" customHeight="1" x14ac:dyDescent="0.25">
      <c r="A662" s="380" t="s">
        <v>3081</v>
      </c>
      <c r="B662" s="380" t="s">
        <v>1874</v>
      </c>
      <c r="C662" s="380" t="s">
        <v>1712</v>
      </c>
      <c r="D662" s="380" t="s">
        <v>1328</v>
      </c>
      <c r="E662" s="380" t="s">
        <v>334</v>
      </c>
      <c r="F662" s="380" t="s">
        <v>1529</v>
      </c>
      <c r="G662" s="380" t="s">
        <v>1301</v>
      </c>
      <c r="H662" s="380" t="s">
        <v>3082</v>
      </c>
      <c r="I662" s="380" t="s">
        <v>1914</v>
      </c>
      <c r="J662" s="380" t="s">
        <v>1961</v>
      </c>
      <c r="K662" s="380" t="s">
        <v>1916</v>
      </c>
      <c r="L662" s="403">
        <v>0</v>
      </c>
    </row>
    <row r="663" spans="1:24" ht="15" customHeight="1" x14ac:dyDescent="0.25">
      <c r="A663" s="380" t="s">
        <v>3083</v>
      </c>
      <c r="B663" s="380" t="s">
        <v>1874</v>
      </c>
      <c r="C663" s="380" t="s">
        <v>1712</v>
      </c>
      <c r="D663" s="380" t="s">
        <v>1338</v>
      </c>
      <c r="E663" s="380" t="s">
        <v>334</v>
      </c>
      <c r="F663" s="380" t="s">
        <v>1529</v>
      </c>
      <c r="G663" s="380" t="s">
        <v>1339</v>
      </c>
      <c r="H663" s="380" t="s">
        <v>3084</v>
      </c>
      <c r="I663" s="380" t="s">
        <v>1914</v>
      </c>
      <c r="J663" s="380" t="s">
        <v>1964</v>
      </c>
      <c r="K663" s="380"/>
      <c r="L663" s="403">
        <v>52</v>
      </c>
    </row>
    <row r="664" spans="1:24" ht="15" customHeight="1" x14ac:dyDescent="0.25">
      <c r="A664" s="380" t="s">
        <v>3085</v>
      </c>
      <c r="B664" s="380" t="s">
        <v>1874</v>
      </c>
      <c r="C664" s="380" t="s">
        <v>1712</v>
      </c>
      <c r="D664" s="380" t="s">
        <v>1966</v>
      </c>
      <c r="E664" s="380" t="s">
        <v>334</v>
      </c>
      <c r="F664" s="380" t="s">
        <v>1529</v>
      </c>
      <c r="G664" s="380" t="s">
        <v>1277</v>
      </c>
      <c r="H664" s="380" t="s">
        <v>3086</v>
      </c>
      <c r="I664" s="380" t="s">
        <v>1746</v>
      </c>
      <c r="J664" s="380" t="s">
        <v>1968</v>
      </c>
      <c r="K664" s="380" t="s">
        <v>1969</v>
      </c>
      <c r="L664" s="403">
        <v>1.5</v>
      </c>
    </row>
    <row r="665" spans="1:24" ht="15" customHeight="1" x14ac:dyDescent="0.25">
      <c r="A665" s="380" t="s">
        <v>3087</v>
      </c>
      <c r="B665" s="380" t="s">
        <v>1874</v>
      </c>
      <c r="C665" s="380" t="s">
        <v>1712</v>
      </c>
      <c r="D665" s="380" t="s">
        <v>1971</v>
      </c>
      <c r="E665" s="380" t="s">
        <v>334</v>
      </c>
      <c r="F665" s="380" t="s">
        <v>1529</v>
      </c>
      <c r="G665" s="380" t="s">
        <v>1277</v>
      </c>
      <c r="H665" s="380" t="s">
        <v>3088</v>
      </c>
      <c r="I665" s="380" t="s">
        <v>1566</v>
      </c>
      <c r="J665" s="380" t="s">
        <v>1973</v>
      </c>
      <c r="K665" s="380" t="s">
        <v>2703</v>
      </c>
      <c r="L665" s="403">
        <v>0.8</v>
      </c>
    </row>
    <row r="667" spans="1:24" ht="21.75" customHeight="1" x14ac:dyDescent="0.25">
      <c r="A667" s="12" t="s">
        <v>3089</v>
      </c>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spans="1:24" ht="15" customHeight="1" x14ac:dyDescent="0.25">
      <c r="A668" s="380" t="s">
        <v>3090</v>
      </c>
      <c r="B668" s="380" t="s">
        <v>1879</v>
      </c>
      <c r="C668" s="380" t="s">
        <v>1712</v>
      </c>
      <c r="D668" s="380" t="s">
        <v>1890</v>
      </c>
      <c r="E668" s="380" t="s">
        <v>322</v>
      </c>
      <c r="F668" s="380" t="s">
        <v>1305</v>
      </c>
      <c r="G668" s="380" t="s">
        <v>1277</v>
      </c>
      <c r="H668" s="380" t="s">
        <v>3091</v>
      </c>
      <c r="I668" s="380" t="s">
        <v>1307</v>
      </c>
      <c r="J668" s="380" t="s">
        <v>1892</v>
      </c>
      <c r="K668" s="380" t="s">
        <v>1893</v>
      </c>
      <c r="L668" s="406">
        <v>0</v>
      </c>
    </row>
    <row r="669" spans="1:24" ht="15" customHeight="1" x14ac:dyDescent="0.25">
      <c r="A669" s="380" t="s">
        <v>3092</v>
      </c>
      <c r="B669" s="380" t="s">
        <v>1879</v>
      </c>
      <c r="C669" s="380" t="s">
        <v>1712</v>
      </c>
      <c r="D669" s="380" t="s">
        <v>1895</v>
      </c>
      <c r="E669" s="380" t="s">
        <v>322</v>
      </c>
      <c r="F669" s="380" t="s">
        <v>1305</v>
      </c>
      <c r="G669" s="380" t="s">
        <v>1277</v>
      </c>
      <c r="H669" s="380" t="s">
        <v>3093</v>
      </c>
      <c r="I669" s="380" t="s">
        <v>1897</v>
      </c>
      <c r="J669" s="380" t="s">
        <v>1898</v>
      </c>
      <c r="K669" s="380"/>
      <c r="L669" s="404">
        <v>1</v>
      </c>
    </row>
    <row r="670" spans="1:24" ht="15" customHeight="1" x14ac:dyDescent="0.25">
      <c r="A670" s="380" t="s">
        <v>3094</v>
      </c>
      <c r="B670" s="380" t="s">
        <v>1879</v>
      </c>
      <c r="C670" s="380" t="s">
        <v>1712</v>
      </c>
      <c r="D670" s="380" t="s">
        <v>1900</v>
      </c>
      <c r="E670" s="380" t="s">
        <v>322</v>
      </c>
      <c r="F670" s="380" t="s">
        <v>1305</v>
      </c>
      <c r="G670" s="380" t="s">
        <v>1277</v>
      </c>
      <c r="H670" s="380" t="s">
        <v>3095</v>
      </c>
      <c r="I670" s="380" t="s">
        <v>1902</v>
      </c>
      <c r="J670" s="380" t="s">
        <v>1903</v>
      </c>
      <c r="K670" s="380"/>
      <c r="L670" s="404">
        <v>0.2</v>
      </c>
    </row>
    <row r="671" spans="1:24" ht="15" customHeight="1" x14ac:dyDescent="0.25">
      <c r="A671" s="380" t="s">
        <v>3096</v>
      </c>
      <c r="B671" s="380" t="s">
        <v>1879</v>
      </c>
      <c r="C671" s="380" t="s">
        <v>1712</v>
      </c>
      <c r="D671" s="380" t="s">
        <v>1905</v>
      </c>
      <c r="E671" s="380" t="s">
        <v>322</v>
      </c>
      <c r="F671" s="380" t="s">
        <v>1305</v>
      </c>
      <c r="G671" s="380" t="s">
        <v>1277</v>
      </c>
      <c r="H671" s="380" t="s">
        <v>3097</v>
      </c>
      <c r="I671" s="380" t="s">
        <v>1902</v>
      </c>
      <c r="J671" s="380" t="s">
        <v>1907</v>
      </c>
      <c r="K671" s="380"/>
      <c r="L671" s="404">
        <v>0.1</v>
      </c>
    </row>
    <row r="672" spans="1:24" ht="15" customHeight="1" x14ac:dyDescent="0.25">
      <c r="A672" s="380" t="s">
        <v>3098</v>
      </c>
      <c r="B672" s="380" t="s">
        <v>1879</v>
      </c>
      <c r="C672" s="380" t="s">
        <v>1712</v>
      </c>
      <c r="D672" s="380" t="s">
        <v>1909</v>
      </c>
      <c r="E672" s="380" t="s">
        <v>322</v>
      </c>
      <c r="F672" s="380" t="s">
        <v>1305</v>
      </c>
      <c r="G672" s="380" t="s">
        <v>1277</v>
      </c>
      <c r="H672" s="380" t="s">
        <v>3099</v>
      </c>
      <c r="I672" s="380" t="s">
        <v>1902</v>
      </c>
      <c r="J672" s="380" t="s">
        <v>1911</v>
      </c>
      <c r="K672" s="380"/>
      <c r="L672" s="404">
        <v>0.05</v>
      </c>
    </row>
    <row r="673" spans="1:12" ht="15" customHeight="1" x14ac:dyDescent="0.25">
      <c r="A673" s="380" t="s">
        <v>3100</v>
      </c>
      <c r="B673" s="380" t="s">
        <v>1879</v>
      </c>
      <c r="C673" s="380" t="s">
        <v>1712</v>
      </c>
      <c r="D673" s="380" t="s">
        <v>1317</v>
      </c>
      <c r="E673" s="380" t="s">
        <v>322</v>
      </c>
      <c r="F673" s="380" t="s">
        <v>1305</v>
      </c>
      <c r="G673" s="380" t="s">
        <v>757</v>
      </c>
      <c r="H673" s="380" t="s">
        <v>3101</v>
      </c>
      <c r="I673" s="380" t="s">
        <v>1914</v>
      </c>
      <c r="J673" s="380" t="s">
        <v>1915</v>
      </c>
      <c r="K673" s="380" t="s">
        <v>1916</v>
      </c>
      <c r="L673" s="403">
        <v>0</v>
      </c>
    </row>
    <row r="674" spans="1:12" ht="15" customHeight="1" x14ac:dyDescent="0.25">
      <c r="A674" s="380" t="s">
        <v>3102</v>
      </c>
      <c r="B674" s="380" t="s">
        <v>1879</v>
      </c>
      <c r="C674" s="380" t="s">
        <v>1712</v>
      </c>
      <c r="D674" s="380" t="s">
        <v>1317</v>
      </c>
      <c r="E674" s="380" t="s">
        <v>322</v>
      </c>
      <c r="F674" s="380" t="s">
        <v>1305</v>
      </c>
      <c r="G674" s="380" t="s">
        <v>754</v>
      </c>
      <c r="H674" s="380" t="s">
        <v>3103</v>
      </c>
      <c r="I674" s="380" t="s">
        <v>1914</v>
      </c>
      <c r="J674" s="380" t="s">
        <v>1919</v>
      </c>
      <c r="K674" s="380" t="s">
        <v>1916</v>
      </c>
      <c r="L674" s="403">
        <v>5</v>
      </c>
    </row>
    <row r="675" spans="1:12" ht="15" customHeight="1" x14ac:dyDescent="0.25">
      <c r="A675" s="380" t="s">
        <v>3104</v>
      </c>
      <c r="B675" s="380" t="s">
        <v>1879</v>
      </c>
      <c r="C675" s="380" t="s">
        <v>1712</v>
      </c>
      <c r="D675" s="380" t="s">
        <v>1317</v>
      </c>
      <c r="E675" s="380" t="s">
        <v>322</v>
      </c>
      <c r="F675" s="380" t="s">
        <v>1305</v>
      </c>
      <c r="G675" s="380" t="s">
        <v>1292</v>
      </c>
      <c r="H675" s="380" t="s">
        <v>3105</v>
      </c>
      <c r="I675" s="380" t="s">
        <v>1914</v>
      </c>
      <c r="J675" s="380" t="s">
        <v>1922</v>
      </c>
      <c r="K675" s="380" t="s">
        <v>1916</v>
      </c>
      <c r="L675" s="403">
        <v>0</v>
      </c>
    </row>
    <row r="676" spans="1:12" ht="15" customHeight="1" x14ac:dyDescent="0.25">
      <c r="A676" s="380" t="s">
        <v>3106</v>
      </c>
      <c r="B676" s="380" t="s">
        <v>1879</v>
      </c>
      <c r="C676" s="380" t="s">
        <v>1712</v>
      </c>
      <c r="D676" s="380" t="s">
        <v>1317</v>
      </c>
      <c r="E676" s="380" t="s">
        <v>322</v>
      </c>
      <c r="F676" s="380" t="s">
        <v>1305</v>
      </c>
      <c r="G676" s="380" t="s">
        <v>762</v>
      </c>
      <c r="H676" s="380" t="s">
        <v>3107</v>
      </c>
      <c r="I676" s="380" t="s">
        <v>1914</v>
      </c>
      <c r="J676" s="380" t="s">
        <v>1925</v>
      </c>
      <c r="K676" s="380" t="s">
        <v>1916</v>
      </c>
      <c r="L676" s="403">
        <v>0</v>
      </c>
    </row>
    <row r="677" spans="1:12" ht="15" customHeight="1" x14ac:dyDescent="0.25">
      <c r="A677" s="380" t="s">
        <v>3108</v>
      </c>
      <c r="B677" s="380" t="s">
        <v>1879</v>
      </c>
      <c r="C677" s="380" t="s">
        <v>1712</v>
      </c>
      <c r="D677" s="380" t="s">
        <v>1317</v>
      </c>
      <c r="E677" s="380" t="s">
        <v>322</v>
      </c>
      <c r="F677" s="380" t="s">
        <v>1305</v>
      </c>
      <c r="G677" s="380" t="s">
        <v>1295</v>
      </c>
      <c r="H677" s="380" t="s">
        <v>3109</v>
      </c>
      <c r="I677" s="380" t="s">
        <v>1914</v>
      </c>
      <c r="J677" s="380" t="s">
        <v>1928</v>
      </c>
      <c r="K677" s="380" t="s">
        <v>1916</v>
      </c>
      <c r="L677" s="403">
        <v>0</v>
      </c>
    </row>
    <row r="678" spans="1:12" ht="15" customHeight="1" x14ac:dyDescent="0.25">
      <c r="A678" s="380" t="s">
        <v>3110</v>
      </c>
      <c r="B678" s="380" t="s">
        <v>1879</v>
      </c>
      <c r="C678" s="380" t="s">
        <v>1712</v>
      </c>
      <c r="D678" s="380" t="s">
        <v>1317</v>
      </c>
      <c r="E678" s="380" t="s">
        <v>322</v>
      </c>
      <c r="F678" s="380" t="s">
        <v>1305</v>
      </c>
      <c r="G678" s="380" t="s">
        <v>1297</v>
      </c>
      <c r="H678" s="380" t="s">
        <v>3111</v>
      </c>
      <c r="I678" s="380" t="s">
        <v>1914</v>
      </c>
      <c r="J678" s="380" t="s">
        <v>1931</v>
      </c>
      <c r="K678" s="380" t="s">
        <v>1916</v>
      </c>
      <c r="L678" s="403">
        <v>0</v>
      </c>
    </row>
    <row r="679" spans="1:12" ht="15" customHeight="1" x14ac:dyDescent="0.25">
      <c r="A679" s="380" t="s">
        <v>3112</v>
      </c>
      <c r="B679" s="380" t="s">
        <v>1879</v>
      </c>
      <c r="C679" s="380" t="s">
        <v>1712</v>
      </c>
      <c r="D679" s="380" t="s">
        <v>1317</v>
      </c>
      <c r="E679" s="380" t="s">
        <v>322</v>
      </c>
      <c r="F679" s="380" t="s">
        <v>1305</v>
      </c>
      <c r="G679" s="380" t="s">
        <v>1299</v>
      </c>
      <c r="H679" s="380" t="s">
        <v>3113</v>
      </c>
      <c r="I679" s="380" t="s">
        <v>1914</v>
      </c>
      <c r="J679" s="380" t="s">
        <v>1934</v>
      </c>
      <c r="K679" s="380" t="s">
        <v>1916</v>
      </c>
      <c r="L679" s="403">
        <v>0</v>
      </c>
    </row>
    <row r="680" spans="1:12" ht="15" customHeight="1" x14ac:dyDescent="0.25">
      <c r="A680" s="380" t="s">
        <v>3114</v>
      </c>
      <c r="B680" s="380" t="s">
        <v>1879</v>
      </c>
      <c r="C680" s="380" t="s">
        <v>1712</v>
      </c>
      <c r="D680" s="380" t="s">
        <v>1317</v>
      </c>
      <c r="E680" s="380" t="s">
        <v>322</v>
      </c>
      <c r="F680" s="380" t="s">
        <v>1305</v>
      </c>
      <c r="G680" s="380" t="s">
        <v>1301</v>
      </c>
      <c r="H680" s="380" t="s">
        <v>3115</v>
      </c>
      <c r="I680" s="380" t="s">
        <v>1914</v>
      </c>
      <c r="J680" s="380" t="s">
        <v>1937</v>
      </c>
      <c r="K680" s="380" t="s">
        <v>1916</v>
      </c>
      <c r="L680" s="403">
        <v>0</v>
      </c>
    </row>
    <row r="681" spans="1:12" ht="15" customHeight="1" x14ac:dyDescent="0.25">
      <c r="A681" s="380" t="s">
        <v>3116</v>
      </c>
      <c r="B681" s="380" t="s">
        <v>1879</v>
      </c>
      <c r="C681" s="380" t="s">
        <v>1712</v>
      </c>
      <c r="D681" s="380" t="s">
        <v>1328</v>
      </c>
      <c r="E681" s="380" t="s">
        <v>322</v>
      </c>
      <c r="F681" s="380" t="s">
        <v>1305</v>
      </c>
      <c r="G681" s="380" t="s">
        <v>757</v>
      </c>
      <c r="H681" s="380" t="s">
        <v>3117</v>
      </c>
      <c r="I681" s="380" t="s">
        <v>1914</v>
      </c>
      <c r="J681" s="380" t="s">
        <v>1940</v>
      </c>
      <c r="K681" s="380" t="s">
        <v>1916</v>
      </c>
      <c r="L681" s="403">
        <v>0</v>
      </c>
    </row>
    <row r="682" spans="1:12" ht="15" customHeight="1" x14ac:dyDescent="0.25">
      <c r="A682" s="380" t="s">
        <v>3118</v>
      </c>
      <c r="B682" s="380" t="s">
        <v>1879</v>
      </c>
      <c r="C682" s="380" t="s">
        <v>1712</v>
      </c>
      <c r="D682" s="380" t="s">
        <v>1328</v>
      </c>
      <c r="E682" s="380" t="s">
        <v>322</v>
      </c>
      <c r="F682" s="380" t="s">
        <v>1305</v>
      </c>
      <c r="G682" s="380" t="s">
        <v>754</v>
      </c>
      <c r="H682" s="380" t="s">
        <v>3119</v>
      </c>
      <c r="I682" s="380" t="s">
        <v>1914</v>
      </c>
      <c r="J682" s="380" t="s">
        <v>1943</v>
      </c>
      <c r="K682" s="380" t="s">
        <v>1916</v>
      </c>
      <c r="L682" s="403">
        <v>24</v>
      </c>
    </row>
    <row r="683" spans="1:12" ht="15" customHeight="1" x14ac:dyDescent="0.25">
      <c r="A683" s="380" t="s">
        <v>3120</v>
      </c>
      <c r="B683" s="380" t="s">
        <v>1879</v>
      </c>
      <c r="C683" s="380" t="s">
        <v>1712</v>
      </c>
      <c r="D683" s="380" t="s">
        <v>1328</v>
      </c>
      <c r="E683" s="380" t="s">
        <v>322</v>
      </c>
      <c r="F683" s="380" t="s">
        <v>1305</v>
      </c>
      <c r="G683" s="380" t="s">
        <v>1292</v>
      </c>
      <c r="H683" s="380" t="s">
        <v>3121</v>
      </c>
      <c r="I683" s="380" t="s">
        <v>1914</v>
      </c>
      <c r="J683" s="380" t="s">
        <v>1946</v>
      </c>
      <c r="K683" s="380" t="s">
        <v>1916</v>
      </c>
      <c r="L683" s="403">
        <v>0</v>
      </c>
    </row>
    <row r="684" spans="1:12" ht="15" customHeight="1" x14ac:dyDescent="0.25">
      <c r="A684" s="380" t="s">
        <v>3122</v>
      </c>
      <c r="B684" s="380" t="s">
        <v>1879</v>
      </c>
      <c r="C684" s="380" t="s">
        <v>1712</v>
      </c>
      <c r="D684" s="380" t="s">
        <v>1328</v>
      </c>
      <c r="E684" s="380" t="s">
        <v>322</v>
      </c>
      <c r="F684" s="380" t="s">
        <v>1305</v>
      </c>
      <c r="G684" s="380" t="s">
        <v>762</v>
      </c>
      <c r="H684" s="380" t="s">
        <v>3123</v>
      </c>
      <c r="I684" s="380" t="s">
        <v>1914</v>
      </c>
      <c r="J684" s="380" t="s">
        <v>1949</v>
      </c>
      <c r="K684" s="380" t="s">
        <v>1916</v>
      </c>
      <c r="L684" s="403">
        <v>0</v>
      </c>
    </row>
    <row r="685" spans="1:12" ht="15" customHeight="1" x14ac:dyDescent="0.25">
      <c r="A685" s="380" t="s">
        <v>3124</v>
      </c>
      <c r="B685" s="380" t="s">
        <v>1879</v>
      </c>
      <c r="C685" s="380" t="s">
        <v>1712</v>
      </c>
      <c r="D685" s="380" t="s">
        <v>1328</v>
      </c>
      <c r="E685" s="380" t="s">
        <v>322</v>
      </c>
      <c r="F685" s="380" t="s">
        <v>1305</v>
      </c>
      <c r="G685" s="380" t="s">
        <v>1295</v>
      </c>
      <c r="H685" s="380" t="s">
        <v>3125</v>
      </c>
      <c r="I685" s="380" t="s">
        <v>1914</v>
      </c>
      <c r="J685" s="380" t="s">
        <v>1952</v>
      </c>
      <c r="K685" s="380" t="s">
        <v>1916</v>
      </c>
      <c r="L685" s="403">
        <v>0</v>
      </c>
    </row>
    <row r="686" spans="1:12" ht="15" customHeight="1" x14ac:dyDescent="0.25">
      <c r="A686" s="380" t="s">
        <v>3126</v>
      </c>
      <c r="B686" s="380" t="s">
        <v>1879</v>
      </c>
      <c r="C686" s="380" t="s">
        <v>1712</v>
      </c>
      <c r="D686" s="380" t="s">
        <v>1328</v>
      </c>
      <c r="E686" s="380" t="s">
        <v>322</v>
      </c>
      <c r="F686" s="380" t="s">
        <v>1305</v>
      </c>
      <c r="G686" s="380" t="s">
        <v>1297</v>
      </c>
      <c r="H686" s="380" t="s">
        <v>3127</v>
      </c>
      <c r="I686" s="380" t="s">
        <v>1914</v>
      </c>
      <c r="J686" s="380" t="s">
        <v>1955</v>
      </c>
      <c r="K686" s="380" t="s">
        <v>1916</v>
      </c>
      <c r="L686" s="403">
        <v>0</v>
      </c>
    </row>
    <row r="687" spans="1:12" ht="15" customHeight="1" x14ac:dyDescent="0.25">
      <c r="A687" s="380" t="s">
        <v>3128</v>
      </c>
      <c r="B687" s="380" t="s">
        <v>1879</v>
      </c>
      <c r="C687" s="380" t="s">
        <v>1712</v>
      </c>
      <c r="D687" s="380" t="s">
        <v>1328</v>
      </c>
      <c r="E687" s="380" t="s">
        <v>322</v>
      </c>
      <c r="F687" s="380" t="s">
        <v>1305</v>
      </c>
      <c r="G687" s="380" t="s">
        <v>1299</v>
      </c>
      <c r="H687" s="380" t="s">
        <v>3129</v>
      </c>
      <c r="I687" s="380" t="s">
        <v>1914</v>
      </c>
      <c r="J687" s="380" t="s">
        <v>1958</v>
      </c>
      <c r="K687" s="380" t="s">
        <v>1916</v>
      </c>
      <c r="L687" s="403">
        <v>0</v>
      </c>
    </row>
    <row r="688" spans="1:12" ht="15" customHeight="1" x14ac:dyDescent="0.25">
      <c r="A688" s="380" t="s">
        <v>3130</v>
      </c>
      <c r="B688" s="380" t="s">
        <v>1879</v>
      </c>
      <c r="C688" s="380" t="s">
        <v>1712</v>
      </c>
      <c r="D688" s="380" t="s">
        <v>1328</v>
      </c>
      <c r="E688" s="380" t="s">
        <v>322</v>
      </c>
      <c r="F688" s="380" t="s">
        <v>1305</v>
      </c>
      <c r="G688" s="380" t="s">
        <v>1301</v>
      </c>
      <c r="H688" s="380" t="s">
        <v>3131</v>
      </c>
      <c r="I688" s="380" t="s">
        <v>1914</v>
      </c>
      <c r="J688" s="380" t="s">
        <v>1961</v>
      </c>
      <c r="K688" s="380" t="s">
        <v>1916</v>
      </c>
      <c r="L688" s="403">
        <v>0</v>
      </c>
    </row>
    <row r="689" spans="1:12" ht="15" customHeight="1" x14ac:dyDescent="0.25">
      <c r="A689" s="380" t="s">
        <v>3132</v>
      </c>
      <c r="B689" s="380" t="s">
        <v>1879</v>
      </c>
      <c r="C689" s="380" t="s">
        <v>1712</v>
      </c>
      <c r="D689" s="380" t="s">
        <v>1338</v>
      </c>
      <c r="E689" s="380" t="s">
        <v>322</v>
      </c>
      <c r="F689" s="380" t="s">
        <v>1305</v>
      </c>
      <c r="G689" s="380" t="s">
        <v>1339</v>
      </c>
      <c r="H689" s="380" t="s">
        <v>3133</v>
      </c>
      <c r="I689" s="380" t="s">
        <v>1914</v>
      </c>
      <c r="J689" s="380" t="s">
        <v>1964</v>
      </c>
      <c r="K689" s="380"/>
      <c r="L689" s="403">
        <v>2.5</v>
      </c>
    </row>
    <row r="690" spans="1:12" ht="15" customHeight="1" x14ac:dyDescent="0.25">
      <c r="A690" s="380" t="s">
        <v>3134</v>
      </c>
      <c r="B690" s="380" t="s">
        <v>1879</v>
      </c>
      <c r="C690" s="380" t="s">
        <v>1712</v>
      </c>
      <c r="D690" s="380" t="s">
        <v>1966</v>
      </c>
      <c r="E690" s="380" t="s">
        <v>322</v>
      </c>
      <c r="F690" s="380" t="s">
        <v>1305</v>
      </c>
      <c r="G690" s="380" t="s">
        <v>1277</v>
      </c>
      <c r="H690" s="380" t="s">
        <v>3135</v>
      </c>
      <c r="I690" s="380" t="s">
        <v>1746</v>
      </c>
      <c r="J690" s="380" t="s">
        <v>1968</v>
      </c>
      <c r="K690" s="380" t="s">
        <v>1969</v>
      </c>
      <c r="L690" s="403">
        <v>0</v>
      </c>
    </row>
    <row r="691" spans="1:12" ht="15" customHeight="1" x14ac:dyDescent="0.25">
      <c r="A691" s="380" t="s">
        <v>3136</v>
      </c>
      <c r="B691" s="380" t="s">
        <v>1879</v>
      </c>
      <c r="C691" s="380" t="s">
        <v>1712</v>
      </c>
      <c r="D691" s="380" t="s">
        <v>1971</v>
      </c>
      <c r="E691" s="380" t="s">
        <v>322</v>
      </c>
      <c r="F691" s="380" t="s">
        <v>1305</v>
      </c>
      <c r="G691" s="380" t="s">
        <v>1277</v>
      </c>
      <c r="H691" s="380" t="s">
        <v>3137</v>
      </c>
      <c r="I691" s="380" t="s">
        <v>1566</v>
      </c>
      <c r="J691" s="380" t="s">
        <v>1973</v>
      </c>
      <c r="K691" s="380" t="s">
        <v>1969</v>
      </c>
      <c r="L691" s="403">
        <v>0</v>
      </c>
    </row>
    <row r="692" spans="1:12" ht="15" customHeight="1" x14ac:dyDescent="0.25">
      <c r="A692" s="380" t="s">
        <v>3138</v>
      </c>
      <c r="B692" s="380" t="s">
        <v>1879</v>
      </c>
      <c r="C692" s="380" t="s">
        <v>1712</v>
      </c>
      <c r="D692" s="380" t="s">
        <v>1890</v>
      </c>
      <c r="E692" s="380" t="s">
        <v>322</v>
      </c>
      <c r="F692" s="380" t="s">
        <v>1361</v>
      </c>
      <c r="G692" s="380" t="s">
        <v>1277</v>
      </c>
      <c r="H692" s="380" t="s">
        <v>3139</v>
      </c>
      <c r="I692" s="380" t="s">
        <v>1307</v>
      </c>
      <c r="J692" s="380" t="s">
        <v>1976</v>
      </c>
      <c r="K692" s="380" t="s">
        <v>1893</v>
      </c>
      <c r="L692" s="406">
        <v>0.35</v>
      </c>
    </row>
    <row r="693" spans="1:12" ht="15" customHeight="1" x14ac:dyDescent="0.25">
      <c r="A693" s="380" t="s">
        <v>3140</v>
      </c>
      <c r="B693" s="380" t="s">
        <v>1879</v>
      </c>
      <c r="C693" s="380" t="s">
        <v>1712</v>
      </c>
      <c r="D693" s="380" t="s">
        <v>1895</v>
      </c>
      <c r="E693" s="380" t="s">
        <v>322</v>
      </c>
      <c r="F693" s="380" t="s">
        <v>1361</v>
      </c>
      <c r="G693" s="380" t="s">
        <v>1277</v>
      </c>
      <c r="H693" s="380" t="s">
        <v>3141</v>
      </c>
      <c r="I693" s="380" t="s">
        <v>1897</v>
      </c>
      <c r="J693" s="380" t="s">
        <v>1898</v>
      </c>
      <c r="K693" s="380"/>
      <c r="L693" s="404">
        <v>0.8</v>
      </c>
    </row>
    <row r="694" spans="1:12" ht="15" customHeight="1" x14ac:dyDescent="0.25">
      <c r="A694" s="380" t="s">
        <v>3142</v>
      </c>
      <c r="B694" s="380" t="s">
        <v>1879</v>
      </c>
      <c r="C694" s="380" t="s">
        <v>1712</v>
      </c>
      <c r="D694" s="380" t="s">
        <v>1900</v>
      </c>
      <c r="E694" s="380" t="s">
        <v>322</v>
      </c>
      <c r="F694" s="380" t="s">
        <v>1361</v>
      </c>
      <c r="G694" s="380" t="s">
        <v>1277</v>
      </c>
      <c r="H694" s="380" t="s">
        <v>3143</v>
      </c>
      <c r="I694" s="380" t="s">
        <v>1902</v>
      </c>
      <c r="J694" s="380" t="s">
        <v>1903</v>
      </c>
      <c r="K694" s="380"/>
      <c r="L694" s="404">
        <v>0.3</v>
      </c>
    </row>
    <row r="695" spans="1:12" ht="15" customHeight="1" x14ac:dyDescent="0.25">
      <c r="A695" s="380" t="s">
        <v>3144</v>
      </c>
      <c r="B695" s="380" t="s">
        <v>1879</v>
      </c>
      <c r="C695" s="380" t="s">
        <v>1712</v>
      </c>
      <c r="D695" s="380" t="s">
        <v>1905</v>
      </c>
      <c r="E695" s="380" t="s">
        <v>322</v>
      </c>
      <c r="F695" s="380" t="s">
        <v>1361</v>
      </c>
      <c r="G695" s="380" t="s">
        <v>1277</v>
      </c>
      <c r="H695" s="380" t="s">
        <v>3145</v>
      </c>
      <c r="I695" s="380" t="s">
        <v>1902</v>
      </c>
      <c r="J695" s="380" t="s">
        <v>1907</v>
      </c>
      <c r="K695" s="380"/>
      <c r="L695" s="404">
        <v>0.05</v>
      </c>
    </row>
    <row r="696" spans="1:12" ht="15" customHeight="1" x14ac:dyDescent="0.25">
      <c r="A696" s="380" t="s">
        <v>3146</v>
      </c>
      <c r="B696" s="380" t="s">
        <v>1879</v>
      </c>
      <c r="C696" s="380" t="s">
        <v>1712</v>
      </c>
      <c r="D696" s="380" t="s">
        <v>1909</v>
      </c>
      <c r="E696" s="380" t="s">
        <v>322</v>
      </c>
      <c r="F696" s="380" t="s">
        <v>1361</v>
      </c>
      <c r="G696" s="380" t="s">
        <v>1277</v>
      </c>
      <c r="H696" s="380" t="s">
        <v>3147</v>
      </c>
      <c r="I696" s="380" t="s">
        <v>1902</v>
      </c>
      <c r="J696" s="380" t="s">
        <v>1911</v>
      </c>
      <c r="K696" s="380"/>
      <c r="L696" s="404">
        <v>0.2</v>
      </c>
    </row>
    <row r="697" spans="1:12" ht="15" customHeight="1" x14ac:dyDescent="0.25">
      <c r="A697" s="380" t="s">
        <v>3148</v>
      </c>
      <c r="B697" s="380" t="s">
        <v>1879</v>
      </c>
      <c r="C697" s="380" t="s">
        <v>1712</v>
      </c>
      <c r="D697" s="380" t="s">
        <v>1317</v>
      </c>
      <c r="E697" s="380" t="s">
        <v>322</v>
      </c>
      <c r="F697" s="380" t="s">
        <v>1361</v>
      </c>
      <c r="G697" s="380" t="s">
        <v>757</v>
      </c>
      <c r="H697" s="380" t="s">
        <v>3149</v>
      </c>
      <c r="I697" s="380" t="s">
        <v>1914</v>
      </c>
      <c r="J697" s="380" t="s">
        <v>1915</v>
      </c>
      <c r="K697" s="380" t="s">
        <v>1916</v>
      </c>
      <c r="L697" s="403">
        <v>0</v>
      </c>
    </row>
    <row r="698" spans="1:12" ht="15" customHeight="1" x14ac:dyDescent="0.25">
      <c r="A698" s="380" t="s">
        <v>3150</v>
      </c>
      <c r="B698" s="380" t="s">
        <v>1879</v>
      </c>
      <c r="C698" s="380" t="s">
        <v>1712</v>
      </c>
      <c r="D698" s="380" t="s">
        <v>1317</v>
      </c>
      <c r="E698" s="380" t="s">
        <v>322</v>
      </c>
      <c r="F698" s="380" t="s">
        <v>1361</v>
      </c>
      <c r="G698" s="380" t="s">
        <v>754</v>
      </c>
      <c r="H698" s="380" t="s">
        <v>3151</v>
      </c>
      <c r="I698" s="380" t="s">
        <v>1914</v>
      </c>
      <c r="J698" s="380" t="s">
        <v>1919</v>
      </c>
      <c r="K698" s="380" t="s">
        <v>1916</v>
      </c>
      <c r="L698" s="403">
        <v>2.5</v>
      </c>
    </row>
    <row r="699" spans="1:12" ht="15" customHeight="1" x14ac:dyDescent="0.25">
      <c r="A699" s="380" t="s">
        <v>3152</v>
      </c>
      <c r="B699" s="380" t="s">
        <v>1879</v>
      </c>
      <c r="C699" s="380" t="s">
        <v>1712</v>
      </c>
      <c r="D699" s="380" t="s">
        <v>1317</v>
      </c>
      <c r="E699" s="380" t="s">
        <v>322</v>
      </c>
      <c r="F699" s="380" t="s">
        <v>1361</v>
      </c>
      <c r="G699" s="380" t="s">
        <v>1292</v>
      </c>
      <c r="H699" s="380" t="s">
        <v>3153</v>
      </c>
      <c r="I699" s="380" t="s">
        <v>1914</v>
      </c>
      <c r="J699" s="380" t="s">
        <v>1922</v>
      </c>
      <c r="K699" s="380" t="s">
        <v>1916</v>
      </c>
      <c r="L699" s="403">
        <v>0</v>
      </c>
    </row>
    <row r="700" spans="1:12" ht="15" customHeight="1" x14ac:dyDescent="0.25">
      <c r="A700" s="380" t="s">
        <v>3154</v>
      </c>
      <c r="B700" s="380" t="s">
        <v>1879</v>
      </c>
      <c r="C700" s="380" t="s">
        <v>1712</v>
      </c>
      <c r="D700" s="380" t="s">
        <v>1317</v>
      </c>
      <c r="E700" s="380" t="s">
        <v>322</v>
      </c>
      <c r="F700" s="380" t="s">
        <v>1361</v>
      </c>
      <c r="G700" s="380" t="s">
        <v>762</v>
      </c>
      <c r="H700" s="380" t="s">
        <v>3155</v>
      </c>
      <c r="I700" s="380" t="s">
        <v>1914</v>
      </c>
      <c r="J700" s="380" t="s">
        <v>1925</v>
      </c>
      <c r="K700" s="380" t="s">
        <v>1916</v>
      </c>
      <c r="L700" s="403">
        <v>0</v>
      </c>
    </row>
    <row r="701" spans="1:12" ht="15" customHeight="1" x14ac:dyDescent="0.25">
      <c r="A701" s="380" t="s">
        <v>3156</v>
      </c>
      <c r="B701" s="380" t="s">
        <v>1879</v>
      </c>
      <c r="C701" s="380" t="s">
        <v>1712</v>
      </c>
      <c r="D701" s="380" t="s">
        <v>1317</v>
      </c>
      <c r="E701" s="380" t="s">
        <v>322</v>
      </c>
      <c r="F701" s="380" t="s">
        <v>1361</v>
      </c>
      <c r="G701" s="380" t="s">
        <v>1295</v>
      </c>
      <c r="H701" s="380" t="s">
        <v>3157</v>
      </c>
      <c r="I701" s="380" t="s">
        <v>1914</v>
      </c>
      <c r="J701" s="380" t="s">
        <v>1928</v>
      </c>
      <c r="K701" s="380" t="s">
        <v>1916</v>
      </c>
      <c r="L701" s="403">
        <v>0</v>
      </c>
    </row>
    <row r="702" spans="1:12" ht="15" customHeight="1" x14ac:dyDescent="0.25">
      <c r="A702" s="380" t="s">
        <v>3158</v>
      </c>
      <c r="B702" s="380" t="s">
        <v>1879</v>
      </c>
      <c r="C702" s="380" t="s">
        <v>1712</v>
      </c>
      <c r="D702" s="380" t="s">
        <v>1317</v>
      </c>
      <c r="E702" s="380" t="s">
        <v>322</v>
      </c>
      <c r="F702" s="380" t="s">
        <v>1361</v>
      </c>
      <c r="G702" s="380" t="s">
        <v>1297</v>
      </c>
      <c r="H702" s="380" t="s">
        <v>3159</v>
      </c>
      <c r="I702" s="380" t="s">
        <v>1914</v>
      </c>
      <c r="J702" s="380" t="s">
        <v>1931</v>
      </c>
      <c r="K702" s="380" t="s">
        <v>1916</v>
      </c>
      <c r="L702" s="403">
        <v>0</v>
      </c>
    </row>
    <row r="703" spans="1:12" ht="15" customHeight="1" x14ac:dyDescent="0.25">
      <c r="A703" s="380" t="s">
        <v>3160</v>
      </c>
      <c r="B703" s="380" t="s">
        <v>1879</v>
      </c>
      <c r="C703" s="380" t="s">
        <v>1712</v>
      </c>
      <c r="D703" s="380" t="s">
        <v>1317</v>
      </c>
      <c r="E703" s="380" t="s">
        <v>322</v>
      </c>
      <c r="F703" s="380" t="s">
        <v>1361</v>
      </c>
      <c r="G703" s="380" t="s">
        <v>1299</v>
      </c>
      <c r="H703" s="380" t="s">
        <v>3161</v>
      </c>
      <c r="I703" s="380" t="s">
        <v>1914</v>
      </c>
      <c r="J703" s="380" t="s">
        <v>1934</v>
      </c>
      <c r="K703" s="380" t="s">
        <v>1916</v>
      </c>
      <c r="L703" s="403">
        <v>0</v>
      </c>
    </row>
    <row r="704" spans="1:12" ht="15" customHeight="1" x14ac:dyDescent="0.25">
      <c r="A704" s="380" t="s">
        <v>3162</v>
      </c>
      <c r="B704" s="380" t="s">
        <v>1879</v>
      </c>
      <c r="C704" s="380" t="s">
        <v>1712</v>
      </c>
      <c r="D704" s="380" t="s">
        <v>1317</v>
      </c>
      <c r="E704" s="380" t="s">
        <v>322</v>
      </c>
      <c r="F704" s="380" t="s">
        <v>1361</v>
      </c>
      <c r="G704" s="380" t="s">
        <v>1301</v>
      </c>
      <c r="H704" s="380" t="s">
        <v>3163</v>
      </c>
      <c r="I704" s="380" t="s">
        <v>1914</v>
      </c>
      <c r="J704" s="380" t="s">
        <v>1937</v>
      </c>
      <c r="K704" s="380" t="s">
        <v>1916</v>
      </c>
      <c r="L704" s="403">
        <v>0</v>
      </c>
    </row>
    <row r="705" spans="1:12" ht="15" customHeight="1" x14ac:dyDescent="0.25">
      <c r="A705" s="380" t="s">
        <v>3164</v>
      </c>
      <c r="B705" s="380" t="s">
        <v>1879</v>
      </c>
      <c r="C705" s="380" t="s">
        <v>1712</v>
      </c>
      <c r="D705" s="380" t="s">
        <v>1328</v>
      </c>
      <c r="E705" s="380" t="s">
        <v>322</v>
      </c>
      <c r="F705" s="380" t="s">
        <v>1361</v>
      </c>
      <c r="G705" s="380" t="s">
        <v>757</v>
      </c>
      <c r="H705" s="380" t="s">
        <v>3165</v>
      </c>
      <c r="I705" s="380" t="s">
        <v>1914</v>
      </c>
      <c r="J705" s="380" t="s">
        <v>1940</v>
      </c>
      <c r="K705" s="380" t="s">
        <v>1916</v>
      </c>
      <c r="L705" s="403">
        <v>0</v>
      </c>
    </row>
    <row r="706" spans="1:12" ht="15" customHeight="1" x14ac:dyDescent="0.25">
      <c r="A706" s="380" t="s">
        <v>3166</v>
      </c>
      <c r="B706" s="380" t="s">
        <v>1879</v>
      </c>
      <c r="C706" s="380" t="s">
        <v>1712</v>
      </c>
      <c r="D706" s="380" t="s">
        <v>1328</v>
      </c>
      <c r="E706" s="380" t="s">
        <v>322</v>
      </c>
      <c r="F706" s="380" t="s">
        <v>1361</v>
      </c>
      <c r="G706" s="380" t="s">
        <v>754</v>
      </c>
      <c r="H706" s="380" t="s">
        <v>3167</v>
      </c>
      <c r="I706" s="380" t="s">
        <v>1914</v>
      </c>
      <c r="J706" s="380" t="s">
        <v>1943</v>
      </c>
      <c r="K706" s="380" t="s">
        <v>1916</v>
      </c>
      <c r="L706" s="403">
        <v>0</v>
      </c>
    </row>
    <row r="707" spans="1:12" ht="15" customHeight="1" x14ac:dyDescent="0.25">
      <c r="A707" s="380" t="s">
        <v>3168</v>
      </c>
      <c r="B707" s="380" t="s">
        <v>1879</v>
      </c>
      <c r="C707" s="380" t="s">
        <v>1712</v>
      </c>
      <c r="D707" s="380" t="s">
        <v>1328</v>
      </c>
      <c r="E707" s="380" t="s">
        <v>322</v>
      </c>
      <c r="F707" s="380" t="s">
        <v>1361</v>
      </c>
      <c r="G707" s="380" t="s">
        <v>1292</v>
      </c>
      <c r="H707" s="380" t="s">
        <v>3169</v>
      </c>
      <c r="I707" s="380" t="s">
        <v>1914</v>
      </c>
      <c r="J707" s="380" t="s">
        <v>1946</v>
      </c>
      <c r="K707" s="380" t="s">
        <v>1916</v>
      </c>
      <c r="L707" s="403">
        <v>0</v>
      </c>
    </row>
    <row r="708" spans="1:12" ht="15" customHeight="1" x14ac:dyDescent="0.25">
      <c r="A708" s="380" t="s">
        <v>3170</v>
      </c>
      <c r="B708" s="380" t="s">
        <v>1879</v>
      </c>
      <c r="C708" s="380" t="s">
        <v>1712</v>
      </c>
      <c r="D708" s="380" t="s">
        <v>1328</v>
      </c>
      <c r="E708" s="380" t="s">
        <v>322</v>
      </c>
      <c r="F708" s="380" t="s">
        <v>1361</v>
      </c>
      <c r="G708" s="380" t="s">
        <v>762</v>
      </c>
      <c r="H708" s="380" t="s">
        <v>3171</v>
      </c>
      <c r="I708" s="380" t="s">
        <v>1914</v>
      </c>
      <c r="J708" s="380" t="s">
        <v>1949</v>
      </c>
      <c r="K708" s="380" t="s">
        <v>1916</v>
      </c>
      <c r="L708" s="403">
        <v>0</v>
      </c>
    </row>
    <row r="709" spans="1:12" ht="15" customHeight="1" x14ac:dyDescent="0.25">
      <c r="A709" s="380" t="s">
        <v>3172</v>
      </c>
      <c r="B709" s="380" t="s">
        <v>1879</v>
      </c>
      <c r="C709" s="380" t="s">
        <v>1712</v>
      </c>
      <c r="D709" s="380" t="s">
        <v>1328</v>
      </c>
      <c r="E709" s="380" t="s">
        <v>322</v>
      </c>
      <c r="F709" s="380" t="s">
        <v>1361</v>
      </c>
      <c r="G709" s="380" t="s">
        <v>1295</v>
      </c>
      <c r="H709" s="380" t="s">
        <v>3173</v>
      </c>
      <c r="I709" s="380" t="s">
        <v>1914</v>
      </c>
      <c r="J709" s="380" t="s">
        <v>1952</v>
      </c>
      <c r="K709" s="380" t="s">
        <v>1916</v>
      </c>
      <c r="L709" s="403">
        <v>0</v>
      </c>
    </row>
    <row r="710" spans="1:12" ht="15" customHeight="1" x14ac:dyDescent="0.25">
      <c r="A710" s="380" t="s">
        <v>3174</v>
      </c>
      <c r="B710" s="380" t="s">
        <v>1879</v>
      </c>
      <c r="C710" s="380" t="s">
        <v>1712</v>
      </c>
      <c r="D710" s="380" t="s">
        <v>1328</v>
      </c>
      <c r="E710" s="380" t="s">
        <v>322</v>
      </c>
      <c r="F710" s="380" t="s">
        <v>1361</v>
      </c>
      <c r="G710" s="380" t="s">
        <v>1297</v>
      </c>
      <c r="H710" s="380" t="s">
        <v>3175</v>
      </c>
      <c r="I710" s="380" t="s">
        <v>1914</v>
      </c>
      <c r="J710" s="380" t="s">
        <v>1955</v>
      </c>
      <c r="K710" s="380" t="s">
        <v>1916</v>
      </c>
      <c r="L710" s="403">
        <v>0</v>
      </c>
    </row>
    <row r="711" spans="1:12" ht="15" customHeight="1" x14ac:dyDescent="0.25">
      <c r="A711" s="380" t="s">
        <v>3176</v>
      </c>
      <c r="B711" s="380" t="s">
        <v>1879</v>
      </c>
      <c r="C711" s="380" t="s">
        <v>1712</v>
      </c>
      <c r="D711" s="380" t="s">
        <v>1328</v>
      </c>
      <c r="E711" s="380" t="s">
        <v>322</v>
      </c>
      <c r="F711" s="380" t="s">
        <v>1361</v>
      </c>
      <c r="G711" s="380" t="s">
        <v>1299</v>
      </c>
      <c r="H711" s="380" t="s">
        <v>3177</v>
      </c>
      <c r="I711" s="380" t="s">
        <v>1914</v>
      </c>
      <c r="J711" s="380" t="s">
        <v>1958</v>
      </c>
      <c r="K711" s="380" t="s">
        <v>1916</v>
      </c>
      <c r="L711" s="403">
        <v>0</v>
      </c>
    </row>
    <row r="712" spans="1:12" ht="15" customHeight="1" x14ac:dyDescent="0.25">
      <c r="A712" s="380" t="s">
        <v>3178</v>
      </c>
      <c r="B712" s="380" t="s">
        <v>1879</v>
      </c>
      <c r="C712" s="380" t="s">
        <v>1712</v>
      </c>
      <c r="D712" s="380" t="s">
        <v>1328</v>
      </c>
      <c r="E712" s="380" t="s">
        <v>322</v>
      </c>
      <c r="F712" s="380" t="s">
        <v>1361</v>
      </c>
      <c r="G712" s="380" t="s">
        <v>1301</v>
      </c>
      <c r="H712" s="380" t="s">
        <v>3179</v>
      </c>
      <c r="I712" s="380" t="s">
        <v>1914</v>
      </c>
      <c r="J712" s="380" t="s">
        <v>1961</v>
      </c>
      <c r="K712" s="380" t="s">
        <v>1916</v>
      </c>
      <c r="L712" s="403">
        <v>0</v>
      </c>
    </row>
    <row r="713" spans="1:12" ht="15" customHeight="1" x14ac:dyDescent="0.25">
      <c r="A713" s="380" t="s">
        <v>3180</v>
      </c>
      <c r="B713" s="380" t="s">
        <v>1879</v>
      </c>
      <c r="C713" s="380" t="s">
        <v>1712</v>
      </c>
      <c r="D713" s="380" t="s">
        <v>1338</v>
      </c>
      <c r="E713" s="380" t="s">
        <v>322</v>
      </c>
      <c r="F713" s="380" t="s">
        <v>1361</v>
      </c>
      <c r="G713" s="380" t="s">
        <v>1339</v>
      </c>
      <c r="H713" s="380" t="s">
        <v>3181</v>
      </c>
      <c r="I713" s="380" t="s">
        <v>1914</v>
      </c>
      <c r="J713" s="380" t="s">
        <v>1964</v>
      </c>
      <c r="K713" s="380"/>
      <c r="L713" s="403">
        <v>4.5</v>
      </c>
    </row>
    <row r="714" spans="1:12" ht="15" customHeight="1" x14ac:dyDescent="0.25">
      <c r="A714" s="380" t="s">
        <v>3182</v>
      </c>
      <c r="B714" s="380" t="s">
        <v>1879</v>
      </c>
      <c r="C714" s="380" t="s">
        <v>1712</v>
      </c>
      <c r="D714" s="380" t="s">
        <v>1966</v>
      </c>
      <c r="E714" s="380" t="s">
        <v>322</v>
      </c>
      <c r="F714" s="380" t="s">
        <v>1361</v>
      </c>
      <c r="G714" s="380" t="s">
        <v>1277</v>
      </c>
      <c r="H714" s="380" t="s">
        <v>3183</v>
      </c>
      <c r="I714" s="380" t="s">
        <v>1746</v>
      </c>
      <c r="J714" s="380" t="s">
        <v>1968</v>
      </c>
      <c r="K714" s="380" t="s">
        <v>1969</v>
      </c>
      <c r="L714" s="403">
        <v>0</v>
      </c>
    </row>
    <row r="715" spans="1:12" ht="15" customHeight="1" x14ac:dyDescent="0.25">
      <c r="A715" s="380" t="s">
        <v>3184</v>
      </c>
      <c r="B715" s="380" t="s">
        <v>1879</v>
      </c>
      <c r="C715" s="380" t="s">
        <v>1712</v>
      </c>
      <c r="D715" s="380" t="s">
        <v>1971</v>
      </c>
      <c r="E715" s="380" t="s">
        <v>322</v>
      </c>
      <c r="F715" s="380" t="s">
        <v>1361</v>
      </c>
      <c r="G715" s="380" t="s">
        <v>1277</v>
      </c>
      <c r="H715" s="380" t="s">
        <v>3185</v>
      </c>
      <c r="I715" s="380" t="s">
        <v>1566</v>
      </c>
      <c r="J715" s="380" t="s">
        <v>1973</v>
      </c>
      <c r="K715" s="380" t="s">
        <v>1969</v>
      </c>
      <c r="L715" s="403">
        <v>0</v>
      </c>
    </row>
    <row r="716" spans="1:12" ht="15" customHeight="1" x14ac:dyDescent="0.25">
      <c r="A716" s="380" t="s">
        <v>3186</v>
      </c>
      <c r="B716" s="380" t="s">
        <v>1879</v>
      </c>
      <c r="C716" s="380" t="s">
        <v>1712</v>
      </c>
      <c r="D716" s="380" t="s">
        <v>1890</v>
      </c>
      <c r="E716" s="380" t="s">
        <v>322</v>
      </c>
      <c r="F716" s="380" t="s">
        <v>1389</v>
      </c>
      <c r="G716" s="380" t="s">
        <v>1277</v>
      </c>
      <c r="H716" s="380" t="s">
        <v>3187</v>
      </c>
      <c r="I716" s="380" t="s">
        <v>1307</v>
      </c>
      <c r="J716" s="380" t="s">
        <v>2025</v>
      </c>
      <c r="K716" s="380" t="s">
        <v>1893</v>
      </c>
      <c r="L716" s="406">
        <v>0</v>
      </c>
    </row>
    <row r="717" spans="1:12" ht="15" customHeight="1" x14ac:dyDescent="0.25">
      <c r="A717" s="380" t="s">
        <v>3188</v>
      </c>
      <c r="B717" s="380" t="s">
        <v>1879</v>
      </c>
      <c r="C717" s="380" t="s">
        <v>1712</v>
      </c>
      <c r="D717" s="380" t="s">
        <v>1895</v>
      </c>
      <c r="E717" s="380" t="s">
        <v>322</v>
      </c>
      <c r="F717" s="380" t="s">
        <v>1389</v>
      </c>
      <c r="G717" s="380" t="s">
        <v>1277</v>
      </c>
      <c r="H717" s="380" t="s">
        <v>3189</v>
      </c>
      <c r="I717" s="380" t="s">
        <v>1897</v>
      </c>
      <c r="J717" s="380" t="s">
        <v>1898</v>
      </c>
      <c r="K717" s="380"/>
      <c r="L717" s="404">
        <v>1</v>
      </c>
    </row>
    <row r="718" spans="1:12" ht="15" customHeight="1" x14ac:dyDescent="0.25">
      <c r="A718" s="380" t="s">
        <v>3190</v>
      </c>
      <c r="B718" s="380" t="s">
        <v>1879</v>
      </c>
      <c r="C718" s="380" t="s">
        <v>1712</v>
      </c>
      <c r="D718" s="380" t="s">
        <v>1900</v>
      </c>
      <c r="E718" s="380" t="s">
        <v>322</v>
      </c>
      <c r="F718" s="380" t="s">
        <v>1389</v>
      </c>
      <c r="G718" s="380" t="s">
        <v>1277</v>
      </c>
      <c r="H718" s="380" t="s">
        <v>3191</v>
      </c>
      <c r="I718" s="380" t="s">
        <v>1902</v>
      </c>
      <c r="J718" s="380" t="s">
        <v>1903</v>
      </c>
      <c r="K718" s="380"/>
      <c r="L718" s="404">
        <v>0.2</v>
      </c>
    </row>
    <row r="719" spans="1:12" ht="15" customHeight="1" x14ac:dyDescent="0.25">
      <c r="A719" s="380" t="s">
        <v>3192</v>
      </c>
      <c r="B719" s="380" t="s">
        <v>1879</v>
      </c>
      <c r="C719" s="380" t="s">
        <v>1712</v>
      </c>
      <c r="D719" s="380" t="s">
        <v>1905</v>
      </c>
      <c r="E719" s="380" t="s">
        <v>322</v>
      </c>
      <c r="F719" s="380" t="s">
        <v>1389</v>
      </c>
      <c r="G719" s="380" t="s">
        <v>1277</v>
      </c>
      <c r="H719" s="380" t="s">
        <v>3193</v>
      </c>
      <c r="I719" s="380" t="s">
        <v>1902</v>
      </c>
      <c r="J719" s="380" t="s">
        <v>1907</v>
      </c>
      <c r="K719" s="380"/>
      <c r="L719" s="404">
        <v>0.1</v>
      </c>
    </row>
    <row r="720" spans="1:12" ht="15" customHeight="1" x14ac:dyDescent="0.25">
      <c r="A720" s="380" t="s">
        <v>3194</v>
      </c>
      <c r="B720" s="380" t="s">
        <v>1879</v>
      </c>
      <c r="C720" s="380" t="s">
        <v>1712</v>
      </c>
      <c r="D720" s="380" t="s">
        <v>1909</v>
      </c>
      <c r="E720" s="380" t="s">
        <v>322</v>
      </c>
      <c r="F720" s="380" t="s">
        <v>1389</v>
      </c>
      <c r="G720" s="380" t="s">
        <v>1277</v>
      </c>
      <c r="H720" s="380" t="s">
        <v>3195</v>
      </c>
      <c r="I720" s="380" t="s">
        <v>1902</v>
      </c>
      <c r="J720" s="380" t="s">
        <v>1911</v>
      </c>
      <c r="K720" s="380"/>
      <c r="L720" s="404">
        <v>0.05</v>
      </c>
    </row>
    <row r="721" spans="1:12" ht="15" customHeight="1" x14ac:dyDescent="0.25">
      <c r="A721" s="380" t="s">
        <v>3196</v>
      </c>
      <c r="B721" s="380" t="s">
        <v>1879</v>
      </c>
      <c r="C721" s="380" t="s">
        <v>1712</v>
      </c>
      <c r="D721" s="380" t="s">
        <v>1317</v>
      </c>
      <c r="E721" s="380" t="s">
        <v>322</v>
      </c>
      <c r="F721" s="380" t="s">
        <v>1389</v>
      </c>
      <c r="G721" s="380" t="s">
        <v>757</v>
      </c>
      <c r="H721" s="380" t="s">
        <v>3197</v>
      </c>
      <c r="I721" s="380" t="s">
        <v>1914</v>
      </c>
      <c r="J721" s="380" t="s">
        <v>1915</v>
      </c>
      <c r="K721" s="380" t="s">
        <v>1916</v>
      </c>
      <c r="L721" s="403">
        <v>4</v>
      </c>
    </row>
    <row r="722" spans="1:12" ht="15" customHeight="1" x14ac:dyDescent="0.25">
      <c r="A722" s="380" t="s">
        <v>3198</v>
      </c>
      <c r="B722" s="380" t="s">
        <v>1879</v>
      </c>
      <c r="C722" s="380" t="s">
        <v>1712</v>
      </c>
      <c r="D722" s="380" t="s">
        <v>1317</v>
      </c>
      <c r="E722" s="380" t="s">
        <v>322</v>
      </c>
      <c r="F722" s="380" t="s">
        <v>1389</v>
      </c>
      <c r="G722" s="380" t="s">
        <v>754</v>
      </c>
      <c r="H722" s="380" t="s">
        <v>3199</v>
      </c>
      <c r="I722" s="380" t="s">
        <v>1914</v>
      </c>
      <c r="J722" s="380" t="s">
        <v>1919</v>
      </c>
      <c r="K722" s="380" t="s">
        <v>1916</v>
      </c>
      <c r="L722" s="403">
        <v>0.5</v>
      </c>
    </row>
    <row r="723" spans="1:12" ht="15" customHeight="1" x14ac:dyDescent="0.25">
      <c r="A723" s="380" t="s">
        <v>3200</v>
      </c>
      <c r="B723" s="380" t="s">
        <v>1879</v>
      </c>
      <c r="C723" s="380" t="s">
        <v>1712</v>
      </c>
      <c r="D723" s="380" t="s">
        <v>1317</v>
      </c>
      <c r="E723" s="380" t="s">
        <v>322</v>
      </c>
      <c r="F723" s="380" t="s">
        <v>1389</v>
      </c>
      <c r="G723" s="380" t="s">
        <v>1292</v>
      </c>
      <c r="H723" s="380" t="s">
        <v>3201</v>
      </c>
      <c r="I723" s="380" t="s">
        <v>1914</v>
      </c>
      <c r="J723" s="380" t="s">
        <v>1922</v>
      </c>
      <c r="K723" s="380" t="s">
        <v>1916</v>
      </c>
      <c r="L723" s="403">
        <v>0</v>
      </c>
    </row>
    <row r="724" spans="1:12" ht="15" customHeight="1" x14ac:dyDescent="0.25">
      <c r="A724" s="380" t="s">
        <v>3202</v>
      </c>
      <c r="B724" s="380" t="s">
        <v>1879</v>
      </c>
      <c r="C724" s="380" t="s">
        <v>1712</v>
      </c>
      <c r="D724" s="380" t="s">
        <v>1317</v>
      </c>
      <c r="E724" s="380" t="s">
        <v>322</v>
      </c>
      <c r="F724" s="380" t="s">
        <v>1389</v>
      </c>
      <c r="G724" s="380" t="s">
        <v>762</v>
      </c>
      <c r="H724" s="380" t="s">
        <v>3203</v>
      </c>
      <c r="I724" s="380" t="s">
        <v>1914</v>
      </c>
      <c r="J724" s="380" t="s">
        <v>1925</v>
      </c>
      <c r="K724" s="380" t="s">
        <v>1916</v>
      </c>
      <c r="L724" s="403">
        <v>0</v>
      </c>
    </row>
    <row r="725" spans="1:12" ht="15" customHeight="1" x14ac:dyDescent="0.25">
      <c r="A725" s="380" t="s">
        <v>3204</v>
      </c>
      <c r="B725" s="380" t="s">
        <v>1879</v>
      </c>
      <c r="C725" s="380" t="s">
        <v>1712</v>
      </c>
      <c r="D725" s="380" t="s">
        <v>1317</v>
      </c>
      <c r="E725" s="380" t="s">
        <v>322</v>
      </c>
      <c r="F725" s="380" t="s">
        <v>1389</v>
      </c>
      <c r="G725" s="380" t="s">
        <v>1295</v>
      </c>
      <c r="H725" s="380" t="s">
        <v>3205</v>
      </c>
      <c r="I725" s="380" t="s">
        <v>1914</v>
      </c>
      <c r="J725" s="380" t="s">
        <v>1928</v>
      </c>
      <c r="K725" s="380" t="s">
        <v>1916</v>
      </c>
      <c r="L725" s="403">
        <v>0</v>
      </c>
    </row>
    <row r="726" spans="1:12" ht="15" customHeight="1" x14ac:dyDescent="0.25">
      <c r="A726" s="380" t="s">
        <v>3206</v>
      </c>
      <c r="B726" s="380" t="s">
        <v>1879</v>
      </c>
      <c r="C726" s="380" t="s">
        <v>1712</v>
      </c>
      <c r="D726" s="380" t="s">
        <v>1317</v>
      </c>
      <c r="E726" s="380" t="s">
        <v>322</v>
      </c>
      <c r="F726" s="380" t="s">
        <v>1389</v>
      </c>
      <c r="G726" s="380" t="s">
        <v>1297</v>
      </c>
      <c r="H726" s="380" t="s">
        <v>3207</v>
      </c>
      <c r="I726" s="380" t="s">
        <v>1914</v>
      </c>
      <c r="J726" s="380" t="s">
        <v>1931</v>
      </c>
      <c r="K726" s="380" t="s">
        <v>1916</v>
      </c>
      <c r="L726" s="403">
        <v>0</v>
      </c>
    </row>
    <row r="727" spans="1:12" ht="15" customHeight="1" x14ac:dyDescent="0.25">
      <c r="A727" s="380" t="s">
        <v>3208</v>
      </c>
      <c r="B727" s="380" t="s">
        <v>1879</v>
      </c>
      <c r="C727" s="380" t="s">
        <v>1712</v>
      </c>
      <c r="D727" s="380" t="s">
        <v>1317</v>
      </c>
      <c r="E727" s="380" t="s">
        <v>322</v>
      </c>
      <c r="F727" s="380" t="s">
        <v>1389</v>
      </c>
      <c r="G727" s="380" t="s">
        <v>1299</v>
      </c>
      <c r="H727" s="380" t="s">
        <v>3209</v>
      </c>
      <c r="I727" s="380" t="s">
        <v>1914</v>
      </c>
      <c r="J727" s="380" t="s">
        <v>1934</v>
      </c>
      <c r="K727" s="380" t="s">
        <v>1916</v>
      </c>
      <c r="L727" s="403">
        <v>0</v>
      </c>
    </row>
    <row r="728" spans="1:12" ht="15" customHeight="1" x14ac:dyDescent="0.25">
      <c r="A728" s="380" t="s">
        <v>3210</v>
      </c>
      <c r="B728" s="380" t="s">
        <v>1879</v>
      </c>
      <c r="C728" s="380" t="s">
        <v>1712</v>
      </c>
      <c r="D728" s="380" t="s">
        <v>1317</v>
      </c>
      <c r="E728" s="380" t="s">
        <v>322</v>
      </c>
      <c r="F728" s="380" t="s">
        <v>1389</v>
      </c>
      <c r="G728" s="380" t="s">
        <v>1301</v>
      </c>
      <c r="H728" s="380" t="s">
        <v>3211</v>
      </c>
      <c r="I728" s="380" t="s">
        <v>1914</v>
      </c>
      <c r="J728" s="380" t="s">
        <v>1937</v>
      </c>
      <c r="K728" s="380" t="s">
        <v>1916</v>
      </c>
      <c r="L728" s="403">
        <v>0</v>
      </c>
    </row>
    <row r="729" spans="1:12" ht="15" customHeight="1" x14ac:dyDescent="0.25">
      <c r="A729" s="380" t="s">
        <v>3212</v>
      </c>
      <c r="B729" s="380" t="s">
        <v>1879</v>
      </c>
      <c r="C729" s="380" t="s">
        <v>1712</v>
      </c>
      <c r="D729" s="380" t="s">
        <v>1328</v>
      </c>
      <c r="E729" s="380" t="s">
        <v>322</v>
      </c>
      <c r="F729" s="380" t="s">
        <v>1389</v>
      </c>
      <c r="G729" s="380" t="s">
        <v>757</v>
      </c>
      <c r="H729" s="380" t="s">
        <v>3213</v>
      </c>
      <c r="I729" s="380" t="s">
        <v>1914</v>
      </c>
      <c r="J729" s="380" t="s">
        <v>1940</v>
      </c>
      <c r="K729" s="380" t="s">
        <v>1916</v>
      </c>
      <c r="L729" s="403">
        <v>16</v>
      </c>
    </row>
    <row r="730" spans="1:12" ht="15" customHeight="1" x14ac:dyDescent="0.25">
      <c r="A730" s="380" t="s">
        <v>3214</v>
      </c>
      <c r="B730" s="380" t="s">
        <v>1879</v>
      </c>
      <c r="C730" s="380" t="s">
        <v>1712</v>
      </c>
      <c r="D730" s="380" t="s">
        <v>1328</v>
      </c>
      <c r="E730" s="380" t="s">
        <v>322</v>
      </c>
      <c r="F730" s="380" t="s">
        <v>1389</v>
      </c>
      <c r="G730" s="380" t="s">
        <v>754</v>
      </c>
      <c r="H730" s="380" t="s">
        <v>3215</v>
      </c>
      <c r="I730" s="380" t="s">
        <v>1914</v>
      </c>
      <c r="J730" s="380" t="s">
        <v>1943</v>
      </c>
      <c r="K730" s="380" t="s">
        <v>1916</v>
      </c>
      <c r="L730" s="403">
        <v>0</v>
      </c>
    </row>
    <row r="731" spans="1:12" ht="15" customHeight="1" x14ac:dyDescent="0.25">
      <c r="A731" s="380" t="s">
        <v>3216</v>
      </c>
      <c r="B731" s="380" t="s">
        <v>1879</v>
      </c>
      <c r="C731" s="380" t="s">
        <v>1712</v>
      </c>
      <c r="D731" s="380" t="s">
        <v>1328</v>
      </c>
      <c r="E731" s="380" t="s">
        <v>322</v>
      </c>
      <c r="F731" s="380" t="s">
        <v>1389</v>
      </c>
      <c r="G731" s="380" t="s">
        <v>1292</v>
      </c>
      <c r="H731" s="380" t="s">
        <v>3217</v>
      </c>
      <c r="I731" s="380" t="s">
        <v>1914</v>
      </c>
      <c r="J731" s="380" t="s">
        <v>1946</v>
      </c>
      <c r="K731" s="380" t="s">
        <v>1916</v>
      </c>
      <c r="L731" s="403">
        <v>0</v>
      </c>
    </row>
    <row r="732" spans="1:12" ht="15" customHeight="1" x14ac:dyDescent="0.25">
      <c r="A732" s="380" t="s">
        <v>3218</v>
      </c>
      <c r="B732" s="380" t="s">
        <v>1879</v>
      </c>
      <c r="C732" s="380" t="s">
        <v>1712</v>
      </c>
      <c r="D732" s="380" t="s">
        <v>1328</v>
      </c>
      <c r="E732" s="380" t="s">
        <v>322</v>
      </c>
      <c r="F732" s="380" t="s">
        <v>1389</v>
      </c>
      <c r="G732" s="380" t="s">
        <v>762</v>
      </c>
      <c r="H732" s="380" t="s">
        <v>3219</v>
      </c>
      <c r="I732" s="380" t="s">
        <v>1914</v>
      </c>
      <c r="J732" s="380" t="s">
        <v>1949</v>
      </c>
      <c r="K732" s="380" t="s">
        <v>1916</v>
      </c>
      <c r="L732" s="403">
        <v>0</v>
      </c>
    </row>
    <row r="733" spans="1:12" ht="15" customHeight="1" x14ac:dyDescent="0.25">
      <c r="A733" s="380" t="s">
        <v>3220</v>
      </c>
      <c r="B733" s="380" t="s">
        <v>1879</v>
      </c>
      <c r="C733" s="380" t="s">
        <v>1712</v>
      </c>
      <c r="D733" s="380" t="s">
        <v>1328</v>
      </c>
      <c r="E733" s="380" t="s">
        <v>322</v>
      </c>
      <c r="F733" s="380" t="s">
        <v>1389</v>
      </c>
      <c r="G733" s="380" t="s">
        <v>1295</v>
      </c>
      <c r="H733" s="380" t="s">
        <v>3221</v>
      </c>
      <c r="I733" s="380" t="s">
        <v>1914</v>
      </c>
      <c r="J733" s="380" t="s">
        <v>1952</v>
      </c>
      <c r="K733" s="380" t="s">
        <v>1916</v>
      </c>
      <c r="L733" s="403">
        <v>0</v>
      </c>
    </row>
    <row r="734" spans="1:12" ht="15" customHeight="1" x14ac:dyDescent="0.25">
      <c r="A734" s="380" t="s">
        <v>3222</v>
      </c>
      <c r="B734" s="380" t="s">
        <v>1879</v>
      </c>
      <c r="C734" s="380" t="s">
        <v>1712</v>
      </c>
      <c r="D734" s="380" t="s">
        <v>1328</v>
      </c>
      <c r="E734" s="380" t="s">
        <v>322</v>
      </c>
      <c r="F734" s="380" t="s">
        <v>1389</v>
      </c>
      <c r="G734" s="380" t="s">
        <v>1297</v>
      </c>
      <c r="H734" s="380" t="s">
        <v>3223</v>
      </c>
      <c r="I734" s="380" t="s">
        <v>1914</v>
      </c>
      <c r="J734" s="380" t="s">
        <v>1955</v>
      </c>
      <c r="K734" s="380" t="s">
        <v>1916</v>
      </c>
      <c r="L734" s="403">
        <v>0</v>
      </c>
    </row>
    <row r="735" spans="1:12" ht="15" customHeight="1" x14ac:dyDescent="0.25">
      <c r="A735" s="380" t="s">
        <v>3224</v>
      </c>
      <c r="B735" s="380" t="s">
        <v>1879</v>
      </c>
      <c r="C735" s="380" t="s">
        <v>1712</v>
      </c>
      <c r="D735" s="380" t="s">
        <v>1328</v>
      </c>
      <c r="E735" s="380" t="s">
        <v>322</v>
      </c>
      <c r="F735" s="380" t="s">
        <v>1389</v>
      </c>
      <c r="G735" s="380" t="s">
        <v>1299</v>
      </c>
      <c r="H735" s="380" t="s">
        <v>3225</v>
      </c>
      <c r="I735" s="380" t="s">
        <v>1914</v>
      </c>
      <c r="J735" s="380" t="s">
        <v>1958</v>
      </c>
      <c r="K735" s="380" t="s">
        <v>1916</v>
      </c>
      <c r="L735" s="403">
        <v>0</v>
      </c>
    </row>
    <row r="736" spans="1:12" ht="15" customHeight="1" x14ac:dyDescent="0.25">
      <c r="A736" s="380" t="s">
        <v>3226</v>
      </c>
      <c r="B736" s="380" t="s">
        <v>1879</v>
      </c>
      <c r="C736" s="380" t="s">
        <v>1712</v>
      </c>
      <c r="D736" s="380" t="s">
        <v>1328</v>
      </c>
      <c r="E736" s="380" t="s">
        <v>322</v>
      </c>
      <c r="F736" s="380" t="s">
        <v>1389</v>
      </c>
      <c r="G736" s="380" t="s">
        <v>1301</v>
      </c>
      <c r="H736" s="380" t="s">
        <v>3227</v>
      </c>
      <c r="I736" s="380" t="s">
        <v>1914</v>
      </c>
      <c r="J736" s="380" t="s">
        <v>1961</v>
      </c>
      <c r="K736" s="380" t="s">
        <v>1916</v>
      </c>
      <c r="L736" s="403">
        <v>0</v>
      </c>
    </row>
    <row r="737" spans="1:12" ht="15" customHeight="1" x14ac:dyDescent="0.25">
      <c r="A737" s="380" t="s">
        <v>3228</v>
      </c>
      <c r="B737" s="380" t="s">
        <v>1879</v>
      </c>
      <c r="C737" s="380" t="s">
        <v>1712</v>
      </c>
      <c r="D737" s="380" t="s">
        <v>1338</v>
      </c>
      <c r="E737" s="380" t="s">
        <v>322</v>
      </c>
      <c r="F737" s="380" t="s">
        <v>1389</v>
      </c>
      <c r="G737" s="380" t="s">
        <v>1339</v>
      </c>
      <c r="H737" s="380" t="s">
        <v>3229</v>
      </c>
      <c r="I737" s="380" t="s">
        <v>1914</v>
      </c>
      <c r="J737" s="380" t="s">
        <v>1964</v>
      </c>
      <c r="K737" s="380"/>
      <c r="L737" s="403">
        <v>1.5</v>
      </c>
    </row>
    <row r="738" spans="1:12" ht="15" customHeight="1" x14ac:dyDescent="0.25">
      <c r="A738" s="380" t="s">
        <v>3230</v>
      </c>
      <c r="B738" s="380" t="s">
        <v>1879</v>
      </c>
      <c r="C738" s="380" t="s">
        <v>1712</v>
      </c>
      <c r="D738" s="380" t="s">
        <v>1966</v>
      </c>
      <c r="E738" s="380" t="s">
        <v>322</v>
      </c>
      <c r="F738" s="380" t="s">
        <v>1389</v>
      </c>
      <c r="G738" s="380" t="s">
        <v>1277</v>
      </c>
      <c r="H738" s="380" t="s">
        <v>3231</v>
      </c>
      <c r="I738" s="380" t="s">
        <v>1746</v>
      </c>
      <c r="J738" s="380" t="s">
        <v>1968</v>
      </c>
      <c r="K738" s="380" t="s">
        <v>1969</v>
      </c>
      <c r="L738" s="403">
        <v>0.2</v>
      </c>
    </row>
    <row r="739" spans="1:12" ht="15" customHeight="1" x14ac:dyDescent="0.25">
      <c r="A739" s="380" t="s">
        <v>3232</v>
      </c>
      <c r="B739" s="380" t="s">
        <v>1879</v>
      </c>
      <c r="C739" s="380" t="s">
        <v>1712</v>
      </c>
      <c r="D739" s="380" t="s">
        <v>1971</v>
      </c>
      <c r="E739" s="380" t="s">
        <v>322</v>
      </c>
      <c r="F739" s="380" t="s">
        <v>1389</v>
      </c>
      <c r="G739" s="380" t="s">
        <v>1277</v>
      </c>
      <c r="H739" s="380" t="s">
        <v>3233</v>
      </c>
      <c r="I739" s="380" t="s">
        <v>1566</v>
      </c>
      <c r="J739" s="380" t="s">
        <v>1973</v>
      </c>
      <c r="K739" s="380" t="s">
        <v>1969</v>
      </c>
      <c r="L739" s="403">
        <v>0</v>
      </c>
    </row>
    <row r="740" spans="1:12" ht="15" customHeight="1" x14ac:dyDescent="0.25">
      <c r="A740" s="380" t="s">
        <v>3234</v>
      </c>
      <c r="B740" s="380" t="s">
        <v>1879</v>
      </c>
      <c r="C740" s="380" t="s">
        <v>1712</v>
      </c>
      <c r="D740" s="380" t="s">
        <v>1890</v>
      </c>
      <c r="E740" s="380" t="s">
        <v>327</v>
      </c>
      <c r="F740" s="380" t="s">
        <v>1417</v>
      </c>
      <c r="G740" s="380" t="s">
        <v>1277</v>
      </c>
      <c r="H740" s="380" t="s">
        <v>3235</v>
      </c>
      <c r="I740" s="380" t="s">
        <v>1307</v>
      </c>
      <c r="J740" s="380" t="s">
        <v>2074</v>
      </c>
      <c r="K740" s="380" t="s">
        <v>1893</v>
      </c>
      <c r="L740" s="406">
        <v>3.5</v>
      </c>
    </row>
    <row r="741" spans="1:12" ht="15" customHeight="1" x14ac:dyDescent="0.25">
      <c r="A741" s="380" t="s">
        <v>3236</v>
      </c>
      <c r="B741" s="380" t="s">
        <v>1879</v>
      </c>
      <c r="C741" s="380" t="s">
        <v>1712</v>
      </c>
      <c r="D741" s="380" t="s">
        <v>1895</v>
      </c>
      <c r="E741" s="380" t="s">
        <v>327</v>
      </c>
      <c r="F741" s="380" t="s">
        <v>1417</v>
      </c>
      <c r="G741" s="380" t="s">
        <v>1277</v>
      </c>
      <c r="H741" s="380" t="s">
        <v>3237</v>
      </c>
      <c r="I741" s="380" t="s">
        <v>1897</v>
      </c>
      <c r="J741" s="380" t="s">
        <v>1898</v>
      </c>
      <c r="K741" s="380"/>
      <c r="L741" s="404">
        <v>0.9</v>
      </c>
    </row>
    <row r="742" spans="1:12" ht="15" customHeight="1" x14ac:dyDescent="0.25">
      <c r="A742" s="380" t="s">
        <v>3238</v>
      </c>
      <c r="B742" s="380" t="s">
        <v>1879</v>
      </c>
      <c r="C742" s="380" t="s">
        <v>1712</v>
      </c>
      <c r="D742" s="380" t="s">
        <v>1900</v>
      </c>
      <c r="E742" s="380" t="s">
        <v>327</v>
      </c>
      <c r="F742" s="380" t="s">
        <v>1417</v>
      </c>
      <c r="G742" s="380" t="s">
        <v>1277</v>
      </c>
      <c r="H742" s="380" t="s">
        <v>3239</v>
      </c>
      <c r="I742" s="380" t="s">
        <v>1902</v>
      </c>
      <c r="J742" s="380" t="s">
        <v>1903</v>
      </c>
      <c r="K742" s="380"/>
      <c r="L742" s="404">
        <v>0.1</v>
      </c>
    </row>
    <row r="743" spans="1:12" ht="15" customHeight="1" x14ac:dyDescent="0.25">
      <c r="A743" s="380" t="s">
        <v>3240</v>
      </c>
      <c r="B743" s="380" t="s">
        <v>1879</v>
      </c>
      <c r="C743" s="380" t="s">
        <v>1712</v>
      </c>
      <c r="D743" s="380" t="s">
        <v>1905</v>
      </c>
      <c r="E743" s="380" t="s">
        <v>327</v>
      </c>
      <c r="F743" s="380" t="s">
        <v>1417</v>
      </c>
      <c r="G743" s="380" t="s">
        <v>1277</v>
      </c>
      <c r="H743" s="380" t="s">
        <v>3241</v>
      </c>
      <c r="I743" s="380" t="s">
        <v>1902</v>
      </c>
      <c r="J743" s="380" t="s">
        <v>1907</v>
      </c>
      <c r="K743" s="380"/>
      <c r="L743" s="404">
        <v>0.02</v>
      </c>
    </row>
    <row r="744" spans="1:12" ht="15" customHeight="1" x14ac:dyDescent="0.25">
      <c r="A744" s="380" t="s">
        <v>3242</v>
      </c>
      <c r="B744" s="380" t="s">
        <v>1879</v>
      </c>
      <c r="C744" s="380" t="s">
        <v>1712</v>
      </c>
      <c r="D744" s="380" t="s">
        <v>1909</v>
      </c>
      <c r="E744" s="380" t="s">
        <v>327</v>
      </c>
      <c r="F744" s="380" t="s">
        <v>1417</v>
      </c>
      <c r="G744" s="380" t="s">
        <v>1277</v>
      </c>
      <c r="H744" s="380" t="s">
        <v>3243</v>
      </c>
      <c r="I744" s="380" t="s">
        <v>1902</v>
      </c>
      <c r="J744" s="380" t="s">
        <v>1911</v>
      </c>
      <c r="K744" s="380"/>
      <c r="L744" s="404">
        <v>0.05</v>
      </c>
    </row>
    <row r="745" spans="1:12" ht="15" customHeight="1" x14ac:dyDescent="0.25">
      <c r="A745" s="380" t="s">
        <v>3244</v>
      </c>
      <c r="B745" s="380" t="s">
        <v>1879</v>
      </c>
      <c r="C745" s="380" t="s">
        <v>1712</v>
      </c>
      <c r="D745" s="380" t="s">
        <v>1317</v>
      </c>
      <c r="E745" s="380" t="s">
        <v>327</v>
      </c>
      <c r="F745" s="380" t="s">
        <v>1417</v>
      </c>
      <c r="G745" s="380" t="s">
        <v>757</v>
      </c>
      <c r="H745" s="380" t="s">
        <v>3245</v>
      </c>
      <c r="I745" s="380" t="s">
        <v>1914</v>
      </c>
      <c r="J745" s="380" t="s">
        <v>1915</v>
      </c>
      <c r="K745" s="380" t="s">
        <v>1916</v>
      </c>
      <c r="L745" s="403">
        <v>0</v>
      </c>
    </row>
    <row r="746" spans="1:12" ht="15" customHeight="1" x14ac:dyDescent="0.25">
      <c r="A746" s="380" t="s">
        <v>3246</v>
      </c>
      <c r="B746" s="380" t="s">
        <v>1879</v>
      </c>
      <c r="C746" s="380" t="s">
        <v>1712</v>
      </c>
      <c r="D746" s="380" t="s">
        <v>1317</v>
      </c>
      <c r="E746" s="380" t="s">
        <v>327</v>
      </c>
      <c r="F746" s="380" t="s">
        <v>1417</v>
      </c>
      <c r="G746" s="380" t="s">
        <v>754</v>
      </c>
      <c r="H746" s="380" t="s">
        <v>3247</v>
      </c>
      <c r="I746" s="380" t="s">
        <v>1914</v>
      </c>
      <c r="J746" s="380" t="s">
        <v>1919</v>
      </c>
      <c r="K746" s="380" t="s">
        <v>1916</v>
      </c>
      <c r="L746" s="403">
        <v>2.5</v>
      </c>
    </row>
    <row r="747" spans="1:12" ht="15" customHeight="1" x14ac:dyDescent="0.25">
      <c r="A747" s="380" t="s">
        <v>3248</v>
      </c>
      <c r="B747" s="380" t="s">
        <v>1879</v>
      </c>
      <c r="C747" s="380" t="s">
        <v>1712</v>
      </c>
      <c r="D747" s="380" t="s">
        <v>1317</v>
      </c>
      <c r="E747" s="380" t="s">
        <v>327</v>
      </c>
      <c r="F747" s="380" t="s">
        <v>1417</v>
      </c>
      <c r="G747" s="380" t="s">
        <v>1292</v>
      </c>
      <c r="H747" s="380" t="s">
        <v>3249</v>
      </c>
      <c r="I747" s="380" t="s">
        <v>1914</v>
      </c>
      <c r="J747" s="380" t="s">
        <v>1922</v>
      </c>
      <c r="K747" s="380" t="s">
        <v>1916</v>
      </c>
      <c r="L747" s="403">
        <v>0</v>
      </c>
    </row>
    <row r="748" spans="1:12" ht="15" customHeight="1" x14ac:dyDescent="0.25">
      <c r="A748" s="380" t="s">
        <v>3250</v>
      </c>
      <c r="B748" s="380" t="s">
        <v>1879</v>
      </c>
      <c r="C748" s="380" t="s">
        <v>1712</v>
      </c>
      <c r="D748" s="380" t="s">
        <v>1317</v>
      </c>
      <c r="E748" s="380" t="s">
        <v>327</v>
      </c>
      <c r="F748" s="380" t="s">
        <v>1417</v>
      </c>
      <c r="G748" s="380" t="s">
        <v>762</v>
      </c>
      <c r="H748" s="380" t="s">
        <v>3251</v>
      </c>
      <c r="I748" s="380" t="s">
        <v>1914</v>
      </c>
      <c r="J748" s="380" t="s">
        <v>1925</v>
      </c>
      <c r="K748" s="380" t="s">
        <v>1916</v>
      </c>
      <c r="L748" s="403">
        <v>0</v>
      </c>
    </row>
    <row r="749" spans="1:12" ht="15" customHeight="1" x14ac:dyDescent="0.25">
      <c r="A749" s="380" t="s">
        <v>3252</v>
      </c>
      <c r="B749" s="380" t="s">
        <v>1879</v>
      </c>
      <c r="C749" s="380" t="s">
        <v>1712</v>
      </c>
      <c r="D749" s="380" t="s">
        <v>1317</v>
      </c>
      <c r="E749" s="380" t="s">
        <v>327</v>
      </c>
      <c r="F749" s="380" t="s">
        <v>1417</v>
      </c>
      <c r="G749" s="380" t="s">
        <v>1295</v>
      </c>
      <c r="H749" s="380" t="s">
        <v>3253</v>
      </c>
      <c r="I749" s="380" t="s">
        <v>1914</v>
      </c>
      <c r="J749" s="380" t="s">
        <v>1928</v>
      </c>
      <c r="K749" s="380" t="s">
        <v>1916</v>
      </c>
      <c r="L749" s="403">
        <v>0</v>
      </c>
    </row>
    <row r="750" spans="1:12" ht="15" customHeight="1" x14ac:dyDescent="0.25">
      <c r="A750" s="380" t="s">
        <v>3254</v>
      </c>
      <c r="B750" s="380" t="s">
        <v>1879</v>
      </c>
      <c r="C750" s="380" t="s">
        <v>1712</v>
      </c>
      <c r="D750" s="380" t="s">
        <v>1317</v>
      </c>
      <c r="E750" s="380" t="s">
        <v>327</v>
      </c>
      <c r="F750" s="380" t="s">
        <v>1417</v>
      </c>
      <c r="G750" s="380" t="s">
        <v>1297</v>
      </c>
      <c r="H750" s="380" t="s">
        <v>3255</v>
      </c>
      <c r="I750" s="380" t="s">
        <v>1914</v>
      </c>
      <c r="J750" s="380" t="s">
        <v>1931</v>
      </c>
      <c r="K750" s="380" t="s">
        <v>1916</v>
      </c>
      <c r="L750" s="403">
        <v>0</v>
      </c>
    </row>
    <row r="751" spans="1:12" ht="15" customHeight="1" x14ac:dyDescent="0.25">
      <c r="A751" s="380" t="s">
        <v>3256</v>
      </c>
      <c r="B751" s="380" t="s">
        <v>1879</v>
      </c>
      <c r="C751" s="380" t="s">
        <v>1712</v>
      </c>
      <c r="D751" s="380" t="s">
        <v>1317</v>
      </c>
      <c r="E751" s="380" t="s">
        <v>327</v>
      </c>
      <c r="F751" s="380" t="s">
        <v>1417</v>
      </c>
      <c r="G751" s="380" t="s">
        <v>1299</v>
      </c>
      <c r="H751" s="380" t="s">
        <v>3257</v>
      </c>
      <c r="I751" s="380" t="s">
        <v>1914</v>
      </c>
      <c r="J751" s="380" t="s">
        <v>1934</v>
      </c>
      <c r="K751" s="380" t="s">
        <v>1916</v>
      </c>
      <c r="L751" s="403">
        <v>0</v>
      </c>
    </row>
    <row r="752" spans="1:12" ht="15" customHeight="1" x14ac:dyDescent="0.25">
      <c r="A752" s="380" t="s">
        <v>3258</v>
      </c>
      <c r="B752" s="380" t="s">
        <v>1879</v>
      </c>
      <c r="C752" s="380" t="s">
        <v>1712</v>
      </c>
      <c r="D752" s="380" t="s">
        <v>1317</v>
      </c>
      <c r="E752" s="380" t="s">
        <v>327</v>
      </c>
      <c r="F752" s="380" t="s">
        <v>1417</v>
      </c>
      <c r="G752" s="380" t="s">
        <v>1301</v>
      </c>
      <c r="H752" s="380" t="s">
        <v>3259</v>
      </c>
      <c r="I752" s="380" t="s">
        <v>1914</v>
      </c>
      <c r="J752" s="380" t="s">
        <v>1937</v>
      </c>
      <c r="K752" s="380" t="s">
        <v>1916</v>
      </c>
      <c r="L752" s="403">
        <v>0</v>
      </c>
    </row>
    <row r="753" spans="1:12" ht="15" customHeight="1" x14ac:dyDescent="0.25">
      <c r="A753" s="380" t="s">
        <v>3260</v>
      </c>
      <c r="B753" s="380" t="s">
        <v>1879</v>
      </c>
      <c r="C753" s="380" t="s">
        <v>1712</v>
      </c>
      <c r="D753" s="380" t="s">
        <v>1328</v>
      </c>
      <c r="E753" s="380" t="s">
        <v>327</v>
      </c>
      <c r="F753" s="380" t="s">
        <v>1417</v>
      </c>
      <c r="G753" s="380" t="s">
        <v>757</v>
      </c>
      <c r="H753" s="380" t="s">
        <v>3261</v>
      </c>
      <c r="I753" s="380" t="s">
        <v>1914</v>
      </c>
      <c r="J753" s="380" t="s">
        <v>1940</v>
      </c>
      <c r="K753" s="380" t="s">
        <v>1916</v>
      </c>
      <c r="L753" s="403">
        <v>0</v>
      </c>
    </row>
    <row r="754" spans="1:12" ht="15" customHeight="1" x14ac:dyDescent="0.25">
      <c r="A754" s="380" t="s">
        <v>3262</v>
      </c>
      <c r="B754" s="380" t="s">
        <v>1879</v>
      </c>
      <c r="C754" s="380" t="s">
        <v>1712</v>
      </c>
      <c r="D754" s="380" t="s">
        <v>1328</v>
      </c>
      <c r="E754" s="380" t="s">
        <v>327</v>
      </c>
      <c r="F754" s="380" t="s">
        <v>1417</v>
      </c>
      <c r="G754" s="380" t="s">
        <v>754</v>
      </c>
      <c r="H754" s="380" t="s">
        <v>3263</v>
      </c>
      <c r="I754" s="380" t="s">
        <v>1914</v>
      </c>
      <c r="J754" s="380" t="s">
        <v>1943</v>
      </c>
      <c r="K754" s="380" t="s">
        <v>1916</v>
      </c>
      <c r="L754" s="403">
        <v>0</v>
      </c>
    </row>
    <row r="755" spans="1:12" ht="15" customHeight="1" x14ac:dyDescent="0.25">
      <c r="A755" s="380" t="s">
        <v>3264</v>
      </c>
      <c r="B755" s="380" t="s">
        <v>1879</v>
      </c>
      <c r="C755" s="380" t="s">
        <v>1712</v>
      </c>
      <c r="D755" s="380" t="s">
        <v>1328</v>
      </c>
      <c r="E755" s="380" t="s">
        <v>327</v>
      </c>
      <c r="F755" s="380" t="s">
        <v>1417</v>
      </c>
      <c r="G755" s="380" t="s">
        <v>1292</v>
      </c>
      <c r="H755" s="380" t="s">
        <v>3265</v>
      </c>
      <c r="I755" s="380" t="s">
        <v>1914</v>
      </c>
      <c r="J755" s="380" t="s">
        <v>1946</v>
      </c>
      <c r="K755" s="380" t="s">
        <v>1916</v>
      </c>
      <c r="L755" s="403">
        <v>0</v>
      </c>
    </row>
    <row r="756" spans="1:12" ht="15" customHeight="1" x14ac:dyDescent="0.25">
      <c r="A756" s="380" t="s">
        <v>3266</v>
      </c>
      <c r="B756" s="380" t="s">
        <v>1879</v>
      </c>
      <c r="C756" s="380" t="s">
        <v>1712</v>
      </c>
      <c r="D756" s="380" t="s">
        <v>1328</v>
      </c>
      <c r="E756" s="380" t="s">
        <v>327</v>
      </c>
      <c r="F756" s="380" t="s">
        <v>1417</v>
      </c>
      <c r="G756" s="380" t="s">
        <v>762</v>
      </c>
      <c r="H756" s="380" t="s">
        <v>3267</v>
      </c>
      <c r="I756" s="380" t="s">
        <v>1914</v>
      </c>
      <c r="J756" s="380" t="s">
        <v>1949</v>
      </c>
      <c r="K756" s="380" t="s">
        <v>1916</v>
      </c>
      <c r="L756" s="403">
        <v>0</v>
      </c>
    </row>
    <row r="757" spans="1:12" ht="15" customHeight="1" x14ac:dyDescent="0.25">
      <c r="A757" s="380" t="s">
        <v>3268</v>
      </c>
      <c r="B757" s="380" t="s">
        <v>1879</v>
      </c>
      <c r="C757" s="380" t="s">
        <v>1712</v>
      </c>
      <c r="D757" s="380" t="s">
        <v>1328</v>
      </c>
      <c r="E757" s="380" t="s">
        <v>327</v>
      </c>
      <c r="F757" s="380" t="s">
        <v>1417</v>
      </c>
      <c r="G757" s="380" t="s">
        <v>1295</v>
      </c>
      <c r="H757" s="380" t="s">
        <v>3269</v>
      </c>
      <c r="I757" s="380" t="s">
        <v>1914</v>
      </c>
      <c r="J757" s="380" t="s">
        <v>1952</v>
      </c>
      <c r="K757" s="380" t="s">
        <v>1916</v>
      </c>
      <c r="L757" s="403">
        <v>0</v>
      </c>
    </row>
    <row r="758" spans="1:12" ht="15" customHeight="1" x14ac:dyDescent="0.25">
      <c r="A758" s="380" t="s">
        <v>3270</v>
      </c>
      <c r="B758" s="380" t="s">
        <v>1879</v>
      </c>
      <c r="C758" s="380" t="s">
        <v>1712</v>
      </c>
      <c r="D758" s="380" t="s">
        <v>1328</v>
      </c>
      <c r="E758" s="380" t="s">
        <v>327</v>
      </c>
      <c r="F758" s="380" t="s">
        <v>1417</v>
      </c>
      <c r="G758" s="380" t="s">
        <v>1297</v>
      </c>
      <c r="H758" s="380" t="s">
        <v>3271</v>
      </c>
      <c r="I758" s="380" t="s">
        <v>1914</v>
      </c>
      <c r="J758" s="380" t="s">
        <v>1955</v>
      </c>
      <c r="K758" s="380" t="s">
        <v>1916</v>
      </c>
      <c r="L758" s="403">
        <v>0</v>
      </c>
    </row>
    <row r="759" spans="1:12" ht="15" customHeight="1" x14ac:dyDescent="0.25">
      <c r="A759" s="380" t="s">
        <v>3272</v>
      </c>
      <c r="B759" s="380" t="s">
        <v>1879</v>
      </c>
      <c r="C759" s="380" t="s">
        <v>1712</v>
      </c>
      <c r="D759" s="380" t="s">
        <v>1328</v>
      </c>
      <c r="E759" s="380" t="s">
        <v>327</v>
      </c>
      <c r="F759" s="380" t="s">
        <v>1417</v>
      </c>
      <c r="G759" s="380" t="s">
        <v>1299</v>
      </c>
      <c r="H759" s="380" t="s">
        <v>3273</v>
      </c>
      <c r="I759" s="380" t="s">
        <v>1914</v>
      </c>
      <c r="J759" s="380" t="s">
        <v>1958</v>
      </c>
      <c r="K759" s="380" t="s">
        <v>1916</v>
      </c>
      <c r="L759" s="403">
        <v>0</v>
      </c>
    </row>
    <row r="760" spans="1:12" ht="15" customHeight="1" x14ac:dyDescent="0.25">
      <c r="A760" s="380" t="s">
        <v>3274</v>
      </c>
      <c r="B760" s="380" t="s">
        <v>1879</v>
      </c>
      <c r="C760" s="380" t="s">
        <v>1712</v>
      </c>
      <c r="D760" s="380" t="s">
        <v>1328</v>
      </c>
      <c r="E760" s="380" t="s">
        <v>327</v>
      </c>
      <c r="F760" s="380" t="s">
        <v>1417</v>
      </c>
      <c r="G760" s="380" t="s">
        <v>1301</v>
      </c>
      <c r="H760" s="380" t="s">
        <v>3275</v>
      </c>
      <c r="I760" s="380" t="s">
        <v>1914</v>
      </c>
      <c r="J760" s="380" t="s">
        <v>1961</v>
      </c>
      <c r="K760" s="380" t="s">
        <v>1916</v>
      </c>
      <c r="L760" s="403">
        <v>0</v>
      </c>
    </row>
    <row r="761" spans="1:12" ht="15" customHeight="1" x14ac:dyDescent="0.25">
      <c r="A761" s="380" t="s">
        <v>3276</v>
      </c>
      <c r="B761" s="380" t="s">
        <v>1879</v>
      </c>
      <c r="C761" s="380" t="s">
        <v>1712</v>
      </c>
      <c r="D761" s="380" t="s">
        <v>1338</v>
      </c>
      <c r="E761" s="380" t="s">
        <v>327</v>
      </c>
      <c r="F761" s="380" t="s">
        <v>1417</v>
      </c>
      <c r="G761" s="380" t="s">
        <v>1339</v>
      </c>
      <c r="H761" s="380" t="s">
        <v>3277</v>
      </c>
      <c r="I761" s="380" t="s">
        <v>1914</v>
      </c>
      <c r="J761" s="380" t="s">
        <v>1964</v>
      </c>
      <c r="K761" s="380"/>
      <c r="L761" s="403">
        <v>0.45</v>
      </c>
    </row>
    <row r="762" spans="1:12" ht="15" customHeight="1" x14ac:dyDescent="0.25">
      <c r="A762" s="380" t="s">
        <v>3278</v>
      </c>
      <c r="B762" s="380" t="s">
        <v>1879</v>
      </c>
      <c r="C762" s="380" t="s">
        <v>1712</v>
      </c>
      <c r="D762" s="380" t="s">
        <v>1966</v>
      </c>
      <c r="E762" s="380" t="s">
        <v>327</v>
      </c>
      <c r="F762" s="380" t="s">
        <v>1417</v>
      </c>
      <c r="G762" s="380" t="s">
        <v>1277</v>
      </c>
      <c r="H762" s="380" t="s">
        <v>3279</v>
      </c>
      <c r="I762" s="380" t="s">
        <v>1746</v>
      </c>
      <c r="J762" s="380" t="s">
        <v>1968</v>
      </c>
      <c r="K762" s="380" t="s">
        <v>1969</v>
      </c>
      <c r="L762" s="403">
        <v>0.52600000000000002</v>
      </c>
    </row>
    <row r="763" spans="1:12" ht="15" customHeight="1" x14ac:dyDescent="0.25">
      <c r="A763" s="380" t="s">
        <v>3280</v>
      </c>
      <c r="B763" s="380" t="s">
        <v>1879</v>
      </c>
      <c r="C763" s="380" t="s">
        <v>1712</v>
      </c>
      <c r="D763" s="380" t="s">
        <v>1971</v>
      </c>
      <c r="E763" s="380" t="s">
        <v>327</v>
      </c>
      <c r="F763" s="380" t="s">
        <v>1417</v>
      </c>
      <c r="G763" s="380" t="s">
        <v>1277</v>
      </c>
      <c r="H763" s="380" t="s">
        <v>3281</v>
      </c>
      <c r="I763" s="380" t="s">
        <v>1566</v>
      </c>
      <c r="J763" s="380" t="s">
        <v>1973</v>
      </c>
      <c r="K763" s="380" t="s">
        <v>1969</v>
      </c>
      <c r="L763" s="403">
        <v>0</v>
      </c>
    </row>
    <row r="764" spans="1:12" ht="15" customHeight="1" x14ac:dyDescent="0.25">
      <c r="A764" s="380" t="s">
        <v>3282</v>
      </c>
      <c r="B764" s="380" t="s">
        <v>1879</v>
      </c>
      <c r="C764" s="380" t="s">
        <v>1712</v>
      </c>
      <c r="D764" s="380" t="s">
        <v>1890</v>
      </c>
      <c r="E764" s="380" t="s">
        <v>330</v>
      </c>
      <c r="F764" s="380" t="s">
        <v>1445</v>
      </c>
      <c r="G764" s="380" t="s">
        <v>1277</v>
      </c>
      <c r="H764" s="380" t="s">
        <v>3283</v>
      </c>
      <c r="I764" s="380" t="s">
        <v>1307</v>
      </c>
      <c r="J764" s="380" t="s">
        <v>2123</v>
      </c>
      <c r="K764" s="380" t="s">
        <v>1893</v>
      </c>
      <c r="L764" s="406">
        <v>0.45</v>
      </c>
    </row>
    <row r="765" spans="1:12" ht="15" customHeight="1" x14ac:dyDescent="0.25">
      <c r="A765" s="380" t="s">
        <v>3284</v>
      </c>
      <c r="B765" s="380" t="s">
        <v>1879</v>
      </c>
      <c r="C765" s="380" t="s">
        <v>1712</v>
      </c>
      <c r="D765" s="380" t="s">
        <v>1895</v>
      </c>
      <c r="E765" s="380" t="s">
        <v>330</v>
      </c>
      <c r="F765" s="380" t="s">
        <v>1445</v>
      </c>
      <c r="G765" s="380" t="s">
        <v>1277</v>
      </c>
      <c r="H765" s="380" t="s">
        <v>3285</v>
      </c>
      <c r="I765" s="380" t="s">
        <v>1897</v>
      </c>
      <c r="J765" s="380" t="s">
        <v>1898</v>
      </c>
      <c r="K765" s="380"/>
      <c r="L765" s="404">
        <v>0.5</v>
      </c>
    </row>
    <row r="766" spans="1:12" ht="15" customHeight="1" x14ac:dyDescent="0.25">
      <c r="A766" s="380" t="s">
        <v>3286</v>
      </c>
      <c r="B766" s="380" t="s">
        <v>1879</v>
      </c>
      <c r="C766" s="380" t="s">
        <v>1712</v>
      </c>
      <c r="D766" s="380" t="s">
        <v>1900</v>
      </c>
      <c r="E766" s="380" t="s">
        <v>330</v>
      </c>
      <c r="F766" s="380" t="s">
        <v>1445</v>
      </c>
      <c r="G766" s="380" t="s">
        <v>1277</v>
      </c>
      <c r="H766" s="380" t="s">
        <v>3287</v>
      </c>
      <c r="I766" s="380" t="s">
        <v>1902</v>
      </c>
      <c r="J766" s="380" t="s">
        <v>1903</v>
      </c>
      <c r="K766" s="380"/>
      <c r="L766" s="404">
        <v>0.4</v>
      </c>
    </row>
    <row r="767" spans="1:12" ht="15" customHeight="1" x14ac:dyDescent="0.25">
      <c r="A767" s="380" t="s">
        <v>3288</v>
      </c>
      <c r="B767" s="380" t="s">
        <v>1879</v>
      </c>
      <c r="C767" s="380" t="s">
        <v>1712</v>
      </c>
      <c r="D767" s="380" t="s">
        <v>1905</v>
      </c>
      <c r="E767" s="380" t="s">
        <v>330</v>
      </c>
      <c r="F767" s="380" t="s">
        <v>1445</v>
      </c>
      <c r="G767" s="380" t="s">
        <v>1277</v>
      </c>
      <c r="H767" s="380" t="s">
        <v>3289</v>
      </c>
      <c r="I767" s="380" t="s">
        <v>1902</v>
      </c>
      <c r="J767" s="380" t="s">
        <v>1907</v>
      </c>
      <c r="K767" s="380"/>
      <c r="L767" s="404">
        <v>0.08</v>
      </c>
    </row>
    <row r="768" spans="1:12" ht="15" customHeight="1" x14ac:dyDescent="0.25">
      <c r="A768" s="380" t="s">
        <v>3290</v>
      </c>
      <c r="B768" s="380" t="s">
        <v>1879</v>
      </c>
      <c r="C768" s="380" t="s">
        <v>1712</v>
      </c>
      <c r="D768" s="380" t="s">
        <v>1909</v>
      </c>
      <c r="E768" s="380" t="s">
        <v>330</v>
      </c>
      <c r="F768" s="380" t="s">
        <v>1445</v>
      </c>
      <c r="G768" s="380" t="s">
        <v>1277</v>
      </c>
      <c r="H768" s="380" t="s">
        <v>3291</v>
      </c>
      <c r="I768" s="380" t="s">
        <v>1902</v>
      </c>
      <c r="J768" s="380" t="s">
        <v>1911</v>
      </c>
      <c r="K768" s="380"/>
      <c r="L768" s="404">
        <v>0.05</v>
      </c>
    </row>
    <row r="769" spans="1:12" ht="15" customHeight="1" x14ac:dyDescent="0.25">
      <c r="A769" s="380" t="s">
        <v>3292</v>
      </c>
      <c r="B769" s="380" t="s">
        <v>1879</v>
      </c>
      <c r="C769" s="380" t="s">
        <v>1712</v>
      </c>
      <c r="D769" s="380" t="s">
        <v>1317</v>
      </c>
      <c r="E769" s="380" t="s">
        <v>330</v>
      </c>
      <c r="F769" s="380" t="s">
        <v>1445</v>
      </c>
      <c r="G769" s="380" t="s">
        <v>757</v>
      </c>
      <c r="H769" s="380" t="s">
        <v>3293</v>
      </c>
      <c r="I769" s="380" t="s">
        <v>1914</v>
      </c>
      <c r="J769" s="380" t="s">
        <v>1915</v>
      </c>
      <c r="K769" s="380" t="s">
        <v>1916</v>
      </c>
      <c r="L769" s="403">
        <v>0</v>
      </c>
    </row>
    <row r="770" spans="1:12" ht="15" customHeight="1" x14ac:dyDescent="0.25">
      <c r="A770" s="380" t="s">
        <v>3294</v>
      </c>
      <c r="B770" s="380" t="s">
        <v>1879</v>
      </c>
      <c r="C770" s="380" t="s">
        <v>1712</v>
      </c>
      <c r="D770" s="380" t="s">
        <v>1317</v>
      </c>
      <c r="E770" s="380" t="s">
        <v>330</v>
      </c>
      <c r="F770" s="380" t="s">
        <v>1445</v>
      </c>
      <c r="G770" s="380" t="s">
        <v>754</v>
      </c>
      <c r="H770" s="380" t="s">
        <v>3295</v>
      </c>
      <c r="I770" s="380" t="s">
        <v>1914</v>
      </c>
      <c r="J770" s="380" t="s">
        <v>1919</v>
      </c>
      <c r="K770" s="380" t="s">
        <v>1916</v>
      </c>
      <c r="L770" s="403">
        <v>12</v>
      </c>
    </row>
    <row r="771" spans="1:12" ht="15" customHeight="1" x14ac:dyDescent="0.25">
      <c r="A771" s="380" t="s">
        <v>3296</v>
      </c>
      <c r="B771" s="380" t="s">
        <v>1879</v>
      </c>
      <c r="C771" s="380" t="s">
        <v>1712</v>
      </c>
      <c r="D771" s="380" t="s">
        <v>1317</v>
      </c>
      <c r="E771" s="380" t="s">
        <v>330</v>
      </c>
      <c r="F771" s="380" t="s">
        <v>1445</v>
      </c>
      <c r="G771" s="380" t="s">
        <v>1292</v>
      </c>
      <c r="H771" s="380" t="s">
        <v>3297</v>
      </c>
      <c r="I771" s="380" t="s">
        <v>1914</v>
      </c>
      <c r="J771" s="380" t="s">
        <v>1922</v>
      </c>
      <c r="K771" s="380" t="s">
        <v>1916</v>
      </c>
      <c r="L771" s="403">
        <v>0</v>
      </c>
    </row>
    <row r="772" spans="1:12" ht="15" customHeight="1" x14ac:dyDescent="0.25">
      <c r="A772" s="380" t="s">
        <v>3298</v>
      </c>
      <c r="B772" s="380" t="s">
        <v>1879</v>
      </c>
      <c r="C772" s="380" t="s">
        <v>1712</v>
      </c>
      <c r="D772" s="380" t="s">
        <v>1317</v>
      </c>
      <c r="E772" s="380" t="s">
        <v>330</v>
      </c>
      <c r="F772" s="380" t="s">
        <v>1445</v>
      </c>
      <c r="G772" s="380" t="s">
        <v>762</v>
      </c>
      <c r="H772" s="380" t="s">
        <v>3299</v>
      </c>
      <c r="I772" s="380" t="s">
        <v>1914</v>
      </c>
      <c r="J772" s="380" t="s">
        <v>1925</v>
      </c>
      <c r="K772" s="380" t="s">
        <v>1916</v>
      </c>
      <c r="L772" s="403">
        <v>0</v>
      </c>
    </row>
    <row r="773" spans="1:12" ht="15" customHeight="1" x14ac:dyDescent="0.25">
      <c r="A773" s="380" t="s">
        <v>3300</v>
      </c>
      <c r="B773" s="380" t="s">
        <v>1879</v>
      </c>
      <c r="C773" s="380" t="s">
        <v>1712</v>
      </c>
      <c r="D773" s="380" t="s">
        <v>1317</v>
      </c>
      <c r="E773" s="380" t="s">
        <v>330</v>
      </c>
      <c r="F773" s="380" t="s">
        <v>1445</v>
      </c>
      <c r="G773" s="380" t="s">
        <v>1295</v>
      </c>
      <c r="H773" s="380" t="s">
        <v>3301</v>
      </c>
      <c r="I773" s="380" t="s">
        <v>1914</v>
      </c>
      <c r="J773" s="380" t="s">
        <v>1928</v>
      </c>
      <c r="K773" s="380" t="s">
        <v>1916</v>
      </c>
      <c r="L773" s="403">
        <v>0</v>
      </c>
    </row>
    <row r="774" spans="1:12" ht="15" customHeight="1" x14ac:dyDescent="0.25">
      <c r="A774" s="380" t="s">
        <v>3302</v>
      </c>
      <c r="B774" s="380" t="s">
        <v>1879</v>
      </c>
      <c r="C774" s="380" t="s">
        <v>1712</v>
      </c>
      <c r="D774" s="380" t="s">
        <v>1317</v>
      </c>
      <c r="E774" s="380" t="s">
        <v>330</v>
      </c>
      <c r="F774" s="380" t="s">
        <v>1445</v>
      </c>
      <c r="G774" s="380" t="s">
        <v>1297</v>
      </c>
      <c r="H774" s="380" t="s">
        <v>3303</v>
      </c>
      <c r="I774" s="380" t="s">
        <v>1914</v>
      </c>
      <c r="J774" s="380" t="s">
        <v>1931</v>
      </c>
      <c r="K774" s="380" t="s">
        <v>1916</v>
      </c>
      <c r="L774" s="403">
        <v>0</v>
      </c>
    </row>
    <row r="775" spans="1:12" ht="15" customHeight="1" x14ac:dyDescent="0.25">
      <c r="A775" s="380" t="s">
        <v>3304</v>
      </c>
      <c r="B775" s="380" t="s">
        <v>1879</v>
      </c>
      <c r="C775" s="380" t="s">
        <v>1712</v>
      </c>
      <c r="D775" s="380" t="s">
        <v>1317</v>
      </c>
      <c r="E775" s="380" t="s">
        <v>330</v>
      </c>
      <c r="F775" s="380" t="s">
        <v>1445</v>
      </c>
      <c r="G775" s="380" t="s">
        <v>1299</v>
      </c>
      <c r="H775" s="380" t="s">
        <v>3305</v>
      </c>
      <c r="I775" s="380" t="s">
        <v>1914</v>
      </c>
      <c r="J775" s="380" t="s">
        <v>1934</v>
      </c>
      <c r="K775" s="380" t="s">
        <v>1916</v>
      </c>
      <c r="L775" s="403">
        <v>0</v>
      </c>
    </row>
    <row r="776" spans="1:12" ht="15" customHeight="1" x14ac:dyDescent="0.25">
      <c r="A776" s="380" t="s">
        <v>3306</v>
      </c>
      <c r="B776" s="380" t="s">
        <v>1879</v>
      </c>
      <c r="C776" s="380" t="s">
        <v>1712</v>
      </c>
      <c r="D776" s="380" t="s">
        <v>1317</v>
      </c>
      <c r="E776" s="380" t="s">
        <v>330</v>
      </c>
      <c r="F776" s="380" t="s">
        <v>1445</v>
      </c>
      <c r="G776" s="380" t="s">
        <v>1301</v>
      </c>
      <c r="H776" s="380" t="s">
        <v>3307</v>
      </c>
      <c r="I776" s="380" t="s">
        <v>1914</v>
      </c>
      <c r="J776" s="380" t="s">
        <v>1937</v>
      </c>
      <c r="K776" s="380" t="s">
        <v>1916</v>
      </c>
      <c r="L776" s="403">
        <v>0</v>
      </c>
    </row>
    <row r="777" spans="1:12" ht="15" customHeight="1" x14ac:dyDescent="0.25">
      <c r="A777" s="380" t="s">
        <v>3308</v>
      </c>
      <c r="B777" s="380" t="s">
        <v>1879</v>
      </c>
      <c r="C777" s="380" t="s">
        <v>1712</v>
      </c>
      <c r="D777" s="380" t="s">
        <v>1328</v>
      </c>
      <c r="E777" s="380" t="s">
        <v>330</v>
      </c>
      <c r="F777" s="380" t="s">
        <v>1445</v>
      </c>
      <c r="G777" s="380" t="s">
        <v>757</v>
      </c>
      <c r="H777" s="380" t="s">
        <v>3309</v>
      </c>
      <c r="I777" s="380" t="s">
        <v>1914</v>
      </c>
      <c r="J777" s="380" t="s">
        <v>1940</v>
      </c>
      <c r="K777" s="380" t="s">
        <v>1916</v>
      </c>
      <c r="L777" s="403">
        <v>0</v>
      </c>
    </row>
    <row r="778" spans="1:12" ht="15" customHeight="1" x14ac:dyDescent="0.25">
      <c r="A778" s="380" t="s">
        <v>3310</v>
      </c>
      <c r="B778" s="380" t="s">
        <v>1879</v>
      </c>
      <c r="C778" s="380" t="s">
        <v>1712</v>
      </c>
      <c r="D778" s="380" t="s">
        <v>1328</v>
      </c>
      <c r="E778" s="380" t="s">
        <v>330</v>
      </c>
      <c r="F778" s="380" t="s">
        <v>1445</v>
      </c>
      <c r="G778" s="380" t="s">
        <v>754</v>
      </c>
      <c r="H778" s="380" t="s">
        <v>3311</v>
      </c>
      <c r="I778" s="380" t="s">
        <v>1914</v>
      </c>
      <c r="J778" s="380" t="s">
        <v>1943</v>
      </c>
      <c r="K778" s="380" t="s">
        <v>1916</v>
      </c>
      <c r="L778" s="403">
        <v>24</v>
      </c>
    </row>
    <row r="779" spans="1:12" ht="15" customHeight="1" x14ac:dyDescent="0.25">
      <c r="A779" s="380" t="s">
        <v>3312</v>
      </c>
      <c r="B779" s="380" t="s">
        <v>1879</v>
      </c>
      <c r="C779" s="380" t="s">
        <v>1712</v>
      </c>
      <c r="D779" s="380" t="s">
        <v>1328</v>
      </c>
      <c r="E779" s="380" t="s">
        <v>330</v>
      </c>
      <c r="F779" s="380" t="s">
        <v>1445</v>
      </c>
      <c r="G779" s="380" t="s">
        <v>1292</v>
      </c>
      <c r="H779" s="380" t="s">
        <v>3313</v>
      </c>
      <c r="I779" s="380" t="s">
        <v>1914</v>
      </c>
      <c r="J779" s="380" t="s">
        <v>1946</v>
      </c>
      <c r="K779" s="380" t="s">
        <v>1916</v>
      </c>
      <c r="L779" s="403">
        <v>0</v>
      </c>
    </row>
    <row r="780" spans="1:12" ht="15" customHeight="1" x14ac:dyDescent="0.25">
      <c r="A780" s="380" t="s">
        <v>3314</v>
      </c>
      <c r="B780" s="380" t="s">
        <v>1879</v>
      </c>
      <c r="C780" s="380" t="s">
        <v>1712</v>
      </c>
      <c r="D780" s="380" t="s">
        <v>1328</v>
      </c>
      <c r="E780" s="380" t="s">
        <v>330</v>
      </c>
      <c r="F780" s="380" t="s">
        <v>1445</v>
      </c>
      <c r="G780" s="380" t="s">
        <v>762</v>
      </c>
      <c r="H780" s="380" t="s">
        <v>3315</v>
      </c>
      <c r="I780" s="380" t="s">
        <v>1914</v>
      </c>
      <c r="J780" s="380" t="s">
        <v>1949</v>
      </c>
      <c r="K780" s="380" t="s">
        <v>1916</v>
      </c>
      <c r="L780" s="403">
        <v>0</v>
      </c>
    </row>
    <row r="781" spans="1:12" ht="15" customHeight="1" x14ac:dyDescent="0.25">
      <c r="A781" s="380" t="s">
        <v>3316</v>
      </c>
      <c r="B781" s="380" t="s">
        <v>1879</v>
      </c>
      <c r="C781" s="380" t="s">
        <v>1712</v>
      </c>
      <c r="D781" s="380" t="s">
        <v>1328</v>
      </c>
      <c r="E781" s="380" t="s">
        <v>330</v>
      </c>
      <c r="F781" s="380" t="s">
        <v>1445</v>
      </c>
      <c r="G781" s="380" t="s">
        <v>1295</v>
      </c>
      <c r="H781" s="380" t="s">
        <v>3317</v>
      </c>
      <c r="I781" s="380" t="s">
        <v>1914</v>
      </c>
      <c r="J781" s="380" t="s">
        <v>1952</v>
      </c>
      <c r="K781" s="380" t="s">
        <v>1916</v>
      </c>
      <c r="L781" s="403">
        <v>0</v>
      </c>
    </row>
    <row r="782" spans="1:12" ht="15" customHeight="1" x14ac:dyDescent="0.25">
      <c r="A782" s="380" t="s">
        <v>3318</v>
      </c>
      <c r="B782" s="380" t="s">
        <v>1879</v>
      </c>
      <c r="C782" s="380" t="s">
        <v>1712</v>
      </c>
      <c r="D782" s="380" t="s">
        <v>1328</v>
      </c>
      <c r="E782" s="380" t="s">
        <v>330</v>
      </c>
      <c r="F782" s="380" t="s">
        <v>1445</v>
      </c>
      <c r="G782" s="380" t="s">
        <v>1297</v>
      </c>
      <c r="H782" s="380" t="s">
        <v>3319</v>
      </c>
      <c r="I782" s="380" t="s">
        <v>1914</v>
      </c>
      <c r="J782" s="380" t="s">
        <v>1955</v>
      </c>
      <c r="K782" s="380" t="s">
        <v>1916</v>
      </c>
      <c r="L782" s="403">
        <v>0</v>
      </c>
    </row>
    <row r="783" spans="1:12" ht="15" customHeight="1" x14ac:dyDescent="0.25">
      <c r="A783" s="380" t="s">
        <v>3320</v>
      </c>
      <c r="B783" s="380" t="s">
        <v>1879</v>
      </c>
      <c r="C783" s="380" t="s">
        <v>1712</v>
      </c>
      <c r="D783" s="380" t="s">
        <v>1328</v>
      </c>
      <c r="E783" s="380" t="s">
        <v>330</v>
      </c>
      <c r="F783" s="380" t="s">
        <v>1445</v>
      </c>
      <c r="G783" s="380" t="s">
        <v>1299</v>
      </c>
      <c r="H783" s="380" t="s">
        <v>3321</v>
      </c>
      <c r="I783" s="380" t="s">
        <v>1914</v>
      </c>
      <c r="J783" s="380" t="s">
        <v>1958</v>
      </c>
      <c r="K783" s="380" t="s">
        <v>1916</v>
      </c>
      <c r="L783" s="403">
        <v>0</v>
      </c>
    </row>
    <row r="784" spans="1:12" ht="15" customHeight="1" x14ac:dyDescent="0.25">
      <c r="A784" s="380" t="s">
        <v>3322</v>
      </c>
      <c r="B784" s="380" t="s">
        <v>1879</v>
      </c>
      <c r="C784" s="380" t="s">
        <v>1712</v>
      </c>
      <c r="D784" s="380" t="s">
        <v>1328</v>
      </c>
      <c r="E784" s="380" t="s">
        <v>330</v>
      </c>
      <c r="F784" s="380" t="s">
        <v>1445</v>
      </c>
      <c r="G784" s="380" t="s">
        <v>1301</v>
      </c>
      <c r="H784" s="380" t="s">
        <v>3323</v>
      </c>
      <c r="I784" s="380" t="s">
        <v>1914</v>
      </c>
      <c r="J784" s="380" t="s">
        <v>1961</v>
      </c>
      <c r="K784" s="380" t="s">
        <v>1916</v>
      </c>
      <c r="L784" s="403">
        <v>0</v>
      </c>
    </row>
    <row r="785" spans="1:12" ht="15" customHeight="1" x14ac:dyDescent="0.25">
      <c r="A785" s="380" t="s">
        <v>3324</v>
      </c>
      <c r="B785" s="380" t="s">
        <v>1879</v>
      </c>
      <c r="C785" s="380" t="s">
        <v>1712</v>
      </c>
      <c r="D785" s="380" t="s">
        <v>1338</v>
      </c>
      <c r="E785" s="380" t="s">
        <v>330</v>
      </c>
      <c r="F785" s="380" t="s">
        <v>1445</v>
      </c>
      <c r="G785" s="380" t="s">
        <v>1339</v>
      </c>
      <c r="H785" s="380" t="s">
        <v>3325</v>
      </c>
      <c r="I785" s="380" t="s">
        <v>1914</v>
      </c>
      <c r="J785" s="380" t="s">
        <v>1964</v>
      </c>
      <c r="K785" s="380"/>
      <c r="L785" s="403">
        <v>0.3</v>
      </c>
    </row>
    <row r="786" spans="1:12" ht="15" customHeight="1" x14ac:dyDescent="0.25">
      <c r="A786" s="380" t="s">
        <v>3326</v>
      </c>
      <c r="B786" s="380" t="s">
        <v>1879</v>
      </c>
      <c r="C786" s="380" t="s">
        <v>1712</v>
      </c>
      <c r="D786" s="380" t="s">
        <v>1966</v>
      </c>
      <c r="E786" s="380" t="s">
        <v>330</v>
      </c>
      <c r="F786" s="380" t="s">
        <v>1445</v>
      </c>
      <c r="G786" s="380" t="s">
        <v>1277</v>
      </c>
      <c r="H786" s="380" t="s">
        <v>3327</v>
      </c>
      <c r="I786" s="380" t="s">
        <v>1746</v>
      </c>
      <c r="J786" s="380" t="s">
        <v>1968</v>
      </c>
      <c r="K786" s="380" t="s">
        <v>1969</v>
      </c>
      <c r="L786" s="403">
        <v>0</v>
      </c>
    </row>
    <row r="787" spans="1:12" ht="15" customHeight="1" x14ac:dyDescent="0.25">
      <c r="A787" s="380" t="s">
        <v>3328</v>
      </c>
      <c r="B787" s="380" t="s">
        <v>1879</v>
      </c>
      <c r="C787" s="380" t="s">
        <v>1712</v>
      </c>
      <c r="D787" s="380" t="s">
        <v>1971</v>
      </c>
      <c r="E787" s="380" t="s">
        <v>330</v>
      </c>
      <c r="F787" s="380" t="s">
        <v>1445</v>
      </c>
      <c r="G787" s="380" t="s">
        <v>1277</v>
      </c>
      <c r="H787" s="380" t="s">
        <v>3329</v>
      </c>
      <c r="I787" s="380" t="s">
        <v>1566</v>
      </c>
      <c r="J787" s="380" t="s">
        <v>1973</v>
      </c>
      <c r="K787" s="380" t="s">
        <v>1969</v>
      </c>
      <c r="L787" s="403">
        <v>0</v>
      </c>
    </row>
    <row r="788" spans="1:12" ht="15" customHeight="1" x14ac:dyDescent="0.25">
      <c r="A788" s="380" t="s">
        <v>3330</v>
      </c>
      <c r="B788" s="380" t="s">
        <v>1879</v>
      </c>
      <c r="C788" s="380" t="s">
        <v>1712</v>
      </c>
      <c r="D788" s="380" t="s">
        <v>1890</v>
      </c>
      <c r="E788" s="380" t="s">
        <v>330</v>
      </c>
      <c r="F788" s="380" t="s">
        <v>1473</v>
      </c>
      <c r="G788" s="380" t="s">
        <v>1277</v>
      </c>
      <c r="H788" s="380" t="s">
        <v>3331</v>
      </c>
      <c r="I788" s="380" t="s">
        <v>1307</v>
      </c>
      <c r="J788" s="380" t="s">
        <v>2172</v>
      </c>
      <c r="K788" s="380" t="s">
        <v>1893</v>
      </c>
      <c r="L788" s="406">
        <v>0.65</v>
      </c>
    </row>
    <row r="789" spans="1:12" ht="15" customHeight="1" x14ac:dyDescent="0.25">
      <c r="A789" s="380" t="s">
        <v>3332</v>
      </c>
      <c r="B789" s="380" t="s">
        <v>1879</v>
      </c>
      <c r="C789" s="380" t="s">
        <v>1712</v>
      </c>
      <c r="D789" s="380" t="s">
        <v>1895</v>
      </c>
      <c r="E789" s="380" t="s">
        <v>330</v>
      </c>
      <c r="F789" s="380" t="s">
        <v>1473</v>
      </c>
      <c r="G789" s="380" t="s">
        <v>1277</v>
      </c>
      <c r="H789" s="380" t="s">
        <v>3333</v>
      </c>
      <c r="I789" s="380" t="s">
        <v>1897</v>
      </c>
      <c r="J789" s="380" t="s">
        <v>1898</v>
      </c>
      <c r="K789" s="380"/>
      <c r="L789" s="404">
        <v>0.5</v>
      </c>
    </row>
    <row r="790" spans="1:12" ht="15" customHeight="1" x14ac:dyDescent="0.25">
      <c r="A790" s="380" t="s">
        <v>3334</v>
      </c>
      <c r="B790" s="380" t="s">
        <v>1879</v>
      </c>
      <c r="C790" s="380" t="s">
        <v>1712</v>
      </c>
      <c r="D790" s="380" t="s">
        <v>1900</v>
      </c>
      <c r="E790" s="380" t="s">
        <v>330</v>
      </c>
      <c r="F790" s="380" t="s">
        <v>1473</v>
      </c>
      <c r="G790" s="380" t="s">
        <v>1277</v>
      </c>
      <c r="H790" s="380" t="s">
        <v>3335</v>
      </c>
      <c r="I790" s="380" t="s">
        <v>1902</v>
      </c>
      <c r="J790" s="380" t="s">
        <v>1903</v>
      </c>
      <c r="K790" s="380"/>
      <c r="L790" s="404">
        <v>0.4</v>
      </c>
    </row>
    <row r="791" spans="1:12" ht="15" customHeight="1" x14ac:dyDescent="0.25">
      <c r="A791" s="380" t="s">
        <v>3336</v>
      </c>
      <c r="B791" s="380" t="s">
        <v>1879</v>
      </c>
      <c r="C791" s="380" t="s">
        <v>1712</v>
      </c>
      <c r="D791" s="380" t="s">
        <v>1905</v>
      </c>
      <c r="E791" s="380" t="s">
        <v>330</v>
      </c>
      <c r="F791" s="380" t="s">
        <v>1473</v>
      </c>
      <c r="G791" s="380" t="s">
        <v>1277</v>
      </c>
      <c r="H791" s="380" t="s">
        <v>3337</v>
      </c>
      <c r="I791" s="380" t="s">
        <v>1902</v>
      </c>
      <c r="J791" s="380" t="s">
        <v>1907</v>
      </c>
      <c r="K791" s="380"/>
      <c r="L791" s="404">
        <v>0.05</v>
      </c>
    </row>
    <row r="792" spans="1:12" ht="15" customHeight="1" x14ac:dyDescent="0.25">
      <c r="A792" s="380" t="s">
        <v>3338</v>
      </c>
      <c r="B792" s="380" t="s">
        <v>1879</v>
      </c>
      <c r="C792" s="380" t="s">
        <v>1712</v>
      </c>
      <c r="D792" s="380" t="s">
        <v>1909</v>
      </c>
      <c r="E792" s="380" t="s">
        <v>330</v>
      </c>
      <c r="F792" s="380" t="s">
        <v>1473</v>
      </c>
      <c r="G792" s="380" t="s">
        <v>1277</v>
      </c>
      <c r="H792" s="380" t="s">
        <v>3339</v>
      </c>
      <c r="I792" s="380" t="s">
        <v>1902</v>
      </c>
      <c r="J792" s="380" t="s">
        <v>1911</v>
      </c>
      <c r="K792" s="380"/>
      <c r="L792" s="404">
        <v>0.05</v>
      </c>
    </row>
    <row r="793" spans="1:12" ht="15" customHeight="1" x14ac:dyDescent="0.25">
      <c r="A793" s="380" t="s">
        <v>3340</v>
      </c>
      <c r="B793" s="380" t="s">
        <v>1879</v>
      </c>
      <c r="C793" s="380" t="s">
        <v>1712</v>
      </c>
      <c r="D793" s="380" t="s">
        <v>1317</v>
      </c>
      <c r="E793" s="380" t="s">
        <v>330</v>
      </c>
      <c r="F793" s="380" t="s">
        <v>1473</v>
      </c>
      <c r="G793" s="380" t="s">
        <v>757</v>
      </c>
      <c r="H793" s="380" t="s">
        <v>3341</v>
      </c>
      <c r="I793" s="380" t="s">
        <v>1914</v>
      </c>
      <c r="J793" s="380" t="s">
        <v>1915</v>
      </c>
      <c r="K793" s="380" t="s">
        <v>1916</v>
      </c>
      <c r="L793" s="403">
        <v>0</v>
      </c>
    </row>
    <row r="794" spans="1:12" ht="15" customHeight="1" x14ac:dyDescent="0.25">
      <c r="A794" s="380" t="s">
        <v>3342</v>
      </c>
      <c r="B794" s="380" t="s">
        <v>1879</v>
      </c>
      <c r="C794" s="380" t="s">
        <v>1712</v>
      </c>
      <c r="D794" s="380" t="s">
        <v>1317</v>
      </c>
      <c r="E794" s="380" t="s">
        <v>330</v>
      </c>
      <c r="F794" s="380" t="s">
        <v>1473</v>
      </c>
      <c r="G794" s="380" t="s">
        <v>754</v>
      </c>
      <c r="H794" s="380" t="s">
        <v>3343</v>
      </c>
      <c r="I794" s="380" t="s">
        <v>1914</v>
      </c>
      <c r="J794" s="380" t="s">
        <v>1919</v>
      </c>
      <c r="K794" s="380" t="s">
        <v>1916</v>
      </c>
      <c r="L794" s="403">
        <v>3</v>
      </c>
    </row>
    <row r="795" spans="1:12" ht="15" customHeight="1" x14ac:dyDescent="0.25">
      <c r="A795" s="380" t="s">
        <v>3344</v>
      </c>
      <c r="B795" s="380" t="s">
        <v>1879</v>
      </c>
      <c r="C795" s="380" t="s">
        <v>1712</v>
      </c>
      <c r="D795" s="380" t="s">
        <v>1317</v>
      </c>
      <c r="E795" s="380" t="s">
        <v>330</v>
      </c>
      <c r="F795" s="380" t="s">
        <v>1473</v>
      </c>
      <c r="G795" s="380" t="s">
        <v>1292</v>
      </c>
      <c r="H795" s="380" t="s">
        <v>3345</v>
      </c>
      <c r="I795" s="380" t="s">
        <v>1914</v>
      </c>
      <c r="J795" s="380" t="s">
        <v>1922</v>
      </c>
      <c r="K795" s="380" t="s">
        <v>1916</v>
      </c>
      <c r="L795" s="403">
        <v>0</v>
      </c>
    </row>
    <row r="796" spans="1:12" ht="15" customHeight="1" x14ac:dyDescent="0.25">
      <c r="A796" s="380" t="s">
        <v>3346</v>
      </c>
      <c r="B796" s="380" t="s">
        <v>1879</v>
      </c>
      <c r="C796" s="380" t="s">
        <v>1712</v>
      </c>
      <c r="D796" s="380" t="s">
        <v>1317</v>
      </c>
      <c r="E796" s="380" t="s">
        <v>330</v>
      </c>
      <c r="F796" s="380" t="s">
        <v>1473</v>
      </c>
      <c r="G796" s="380" t="s">
        <v>762</v>
      </c>
      <c r="H796" s="380" t="s">
        <v>3347</v>
      </c>
      <c r="I796" s="380" t="s">
        <v>1914</v>
      </c>
      <c r="J796" s="380" t="s">
        <v>1925</v>
      </c>
      <c r="K796" s="380" t="s">
        <v>1916</v>
      </c>
      <c r="L796" s="403">
        <v>0</v>
      </c>
    </row>
    <row r="797" spans="1:12" ht="15" customHeight="1" x14ac:dyDescent="0.25">
      <c r="A797" s="380" t="s">
        <v>3348</v>
      </c>
      <c r="B797" s="380" t="s">
        <v>1879</v>
      </c>
      <c r="C797" s="380" t="s">
        <v>1712</v>
      </c>
      <c r="D797" s="380" t="s">
        <v>1317</v>
      </c>
      <c r="E797" s="380" t="s">
        <v>330</v>
      </c>
      <c r="F797" s="380" t="s">
        <v>1473</v>
      </c>
      <c r="G797" s="380" t="s">
        <v>1295</v>
      </c>
      <c r="H797" s="380" t="s">
        <v>3349</v>
      </c>
      <c r="I797" s="380" t="s">
        <v>1914</v>
      </c>
      <c r="J797" s="380" t="s">
        <v>1928</v>
      </c>
      <c r="K797" s="380" t="s">
        <v>1916</v>
      </c>
      <c r="L797" s="403">
        <v>0</v>
      </c>
    </row>
    <row r="798" spans="1:12" ht="15" customHeight="1" x14ac:dyDescent="0.25">
      <c r="A798" s="380" t="s">
        <v>3350</v>
      </c>
      <c r="B798" s="380" t="s">
        <v>1879</v>
      </c>
      <c r="C798" s="380" t="s">
        <v>1712</v>
      </c>
      <c r="D798" s="380" t="s">
        <v>1317</v>
      </c>
      <c r="E798" s="380" t="s">
        <v>330</v>
      </c>
      <c r="F798" s="380" t="s">
        <v>1473</v>
      </c>
      <c r="G798" s="380" t="s">
        <v>1297</v>
      </c>
      <c r="H798" s="380" t="s">
        <v>3351</v>
      </c>
      <c r="I798" s="380" t="s">
        <v>1914</v>
      </c>
      <c r="J798" s="380" t="s">
        <v>1931</v>
      </c>
      <c r="K798" s="380" t="s">
        <v>1916</v>
      </c>
      <c r="L798" s="403">
        <v>0</v>
      </c>
    </row>
    <row r="799" spans="1:12" ht="15" customHeight="1" x14ac:dyDescent="0.25">
      <c r="A799" s="380" t="s">
        <v>3352</v>
      </c>
      <c r="B799" s="380" t="s">
        <v>1879</v>
      </c>
      <c r="C799" s="380" t="s">
        <v>1712</v>
      </c>
      <c r="D799" s="380" t="s">
        <v>1317</v>
      </c>
      <c r="E799" s="380" t="s">
        <v>330</v>
      </c>
      <c r="F799" s="380" t="s">
        <v>1473</v>
      </c>
      <c r="G799" s="380" t="s">
        <v>1299</v>
      </c>
      <c r="H799" s="380" t="s">
        <v>3353</v>
      </c>
      <c r="I799" s="380" t="s">
        <v>1914</v>
      </c>
      <c r="J799" s="380" t="s">
        <v>1934</v>
      </c>
      <c r="K799" s="380" t="s">
        <v>1916</v>
      </c>
      <c r="L799" s="403">
        <v>0</v>
      </c>
    </row>
    <row r="800" spans="1:12" ht="15" customHeight="1" x14ac:dyDescent="0.25">
      <c r="A800" s="380" t="s">
        <v>3354</v>
      </c>
      <c r="B800" s="380" t="s">
        <v>1879</v>
      </c>
      <c r="C800" s="380" t="s">
        <v>1712</v>
      </c>
      <c r="D800" s="380" t="s">
        <v>1317</v>
      </c>
      <c r="E800" s="380" t="s">
        <v>330</v>
      </c>
      <c r="F800" s="380" t="s">
        <v>1473</v>
      </c>
      <c r="G800" s="380" t="s">
        <v>1301</v>
      </c>
      <c r="H800" s="380" t="s">
        <v>3355</v>
      </c>
      <c r="I800" s="380" t="s">
        <v>1914</v>
      </c>
      <c r="J800" s="380" t="s">
        <v>1937</v>
      </c>
      <c r="K800" s="380" t="s">
        <v>1916</v>
      </c>
      <c r="L800" s="403">
        <v>0</v>
      </c>
    </row>
    <row r="801" spans="1:12" ht="15" customHeight="1" x14ac:dyDescent="0.25">
      <c r="A801" s="380" t="s">
        <v>3356</v>
      </c>
      <c r="B801" s="380" t="s">
        <v>1879</v>
      </c>
      <c r="C801" s="380" t="s">
        <v>1712</v>
      </c>
      <c r="D801" s="380" t="s">
        <v>1328</v>
      </c>
      <c r="E801" s="380" t="s">
        <v>330</v>
      </c>
      <c r="F801" s="380" t="s">
        <v>1473</v>
      </c>
      <c r="G801" s="380" t="s">
        <v>757</v>
      </c>
      <c r="H801" s="380" t="s">
        <v>3357</v>
      </c>
      <c r="I801" s="380" t="s">
        <v>1914</v>
      </c>
      <c r="J801" s="380" t="s">
        <v>1940</v>
      </c>
      <c r="K801" s="380" t="s">
        <v>1916</v>
      </c>
      <c r="L801" s="403">
        <v>0</v>
      </c>
    </row>
    <row r="802" spans="1:12" ht="15" customHeight="1" x14ac:dyDescent="0.25">
      <c r="A802" s="380" t="s">
        <v>3358</v>
      </c>
      <c r="B802" s="380" t="s">
        <v>1879</v>
      </c>
      <c r="C802" s="380" t="s">
        <v>1712</v>
      </c>
      <c r="D802" s="380" t="s">
        <v>1328</v>
      </c>
      <c r="E802" s="380" t="s">
        <v>330</v>
      </c>
      <c r="F802" s="380" t="s">
        <v>1473</v>
      </c>
      <c r="G802" s="380" t="s">
        <v>754</v>
      </c>
      <c r="H802" s="380" t="s">
        <v>3359</v>
      </c>
      <c r="I802" s="380" t="s">
        <v>1914</v>
      </c>
      <c r="J802" s="380" t="s">
        <v>1943</v>
      </c>
      <c r="K802" s="380" t="s">
        <v>1916</v>
      </c>
      <c r="L802" s="403">
        <v>0</v>
      </c>
    </row>
    <row r="803" spans="1:12" ht="15" customHeight="1" x14ac:dyDescent="0.25">
      <c r="A803" s="380" t="s">
        <v>3360</v>
      </c>
      <c r="B803" s="380" t="s">
        <v>1879</v>
      </c>
      <c r="C803" s="380" t="s">
        <v>1712</v>
      </c>
      <c r="D803" s="380" t="s">
        <v>1328</v>
      </c>
      <c r="E803" s="380" t="s">
        <v>330</v>
      </c>
      <c r="F803" s="380" t="s">
        <v>1473</v>
      </c>
      <c r="G803" s="380" t="s">
        <v>1292</v>
      </c>
      <c r="H803" s="380" t="s">
        <v>3361</v>
      </c>
      <c r="I803" s="380" t="s">
        <v>1914</v>
      </c>
      <c r="J803" s="380" t="s">
        <v>1946</v>
      </c>
      <c r="K803" s="380" t="s">
        <v>1916</v>
      </c>
      <c r="L803" s="403">
        <v>0</v>
      </c>
    </row>
    <row r="804" spans="1:12" ht="15" customHeight="1" x14ac:dyDescent="0.25">
      <c r="A804" s="380" t="s">
        <v>3362</v>
      </c>
      <c r="B804" s="380" t="s">
        <v>1879</v>
      </c>
      <c r="C804" s="380" t="s">
        <v>1712</v>
      </c>
      <c r="D804" s="380" t="s">
        <v>1328</v>
      </c>
      <c r="E804" s="380" t="s">
        <v>330</v>
      </c>
      <c r="F804" s="380" t="s">
        <v>1473</v>
      </c>
      <c r="G804" s="380" t="s">
        <v>762</v>
      </c>
      <c r="H804" s="380" t="s">
        <v>3363</v>
      </c>
      <c r="I804" s="380" t="s">
        <v>1914</v>
      </c>
      <c r="J804" s="380" t="s">
        <v>1949</v>
      </c>
      <c r="K804" s="380" t="s">
        <v>1916</v>
      </c>
      <c r="L804" s="403">
        <v>0</v>
      </c>
    </row>
    <row r="805" spans="1:12" ht="15" customHeight="1" x14ac:dyDescent="0.25">
      <c r="A805" s="380" t="s">
        <v>3364</v>
      </c>
      <c r="B805" s="380" t="s">
        <v>1879</v>
      </c>
      <c r="C805" s="380" t="s">
        <v>1712</v>
      </c>
      <c r="D805" s="380" t="s">
        <v>1328</v>
      </c>
      <c r="E805" s="380" t="s">
        <v>330</v>
      </c>
      <c r="F805" s="380" t="s">
        <v>1473</v>
      </c>
      <c r="G805" s="380" t="s">
        <v>1295</v>
      </c>
      <c r="H805" s="380" t="s">
        <v>3365</v>
      </c>
      <c r="I805" s="380" t="s">
        <v>1914</v>
      </c>
      <c r="J805" s="380" t="s">
        <v>1952</v>
      </c>
      <c r="K805" s="380" t="s">
        <v>1916</v>
      </c>
      <c r="L805" s="403">
        <v>0</v>
      </c>
    </row>
    <row r="806" spans="1:12" ht="15" customHeight="1" x14ac:dyDescent="0.25">
      <c r="A806" s="380" t="s">
        <v>3366</v>
      </c>
      <c r="B806" s="380" t="s">
        <v>1879</v>
      </c>
      <c r="C806" s="380" t="s">
        <v>1712</v>
      </c>
      <c r="D806" s="380" t="s">
        <v>1328</v>
      </c>
      <c r="E806" s="380" t="s">
        <v>330</v>
      </c>
      <c r="F806" s="380" t="s">
        <v>1473</v>
      </c>
      <c r="G806" s="380" t="s">
        <v>1297</v>
      </c>
      <c r="H806" s="380" t="s">
        <v>3367</v>
      </c>
      <c r="I806" s="380" t="s">
        <v>1914</v>
      </c>
      <c r="J806" s="380" t="s">
        <v>1955</v>
      </c>
      <c r="K806" s="380" t="s">
        <v>1916</v>
      </c>
      <c r="L806" s="403">
        <v>0</v>
      </c>
    </row>
    <row r="807" spans="1:12" ht="15" customHeight="1" x14ac:dyDescent="0.25">
      <c r="A807" s="380" t="s">
        <v>3368</v>
      </c>
      <c r="B807" s="380" t="s">
        <v>1879</v>
      </c>
      <c r="C807" s="380" t="s">
        <v>1712</v>
      </c>
      <c r="D807" s="380" t="s">
        <v>1328</v>
      </c>
      <c r="E807" s="380" t="s">
        <v>330</v>
      </c>
      <c r="F807" s="380" t="s">
        <v>1473</v>
      </c>
      <c r="G807" s="380" t="s">
        <v>1299</v>
      </c>
      <c r="H807" s="380" t="s">
        <v>3369</v>
      </c>
      <c r="I807" s="380" t="s">
        <v>1914</v>
      </c>
      <c r="J807" s="380" t="s">
        <v>1958</v>
      </c>
      <c r="K807" s="380" t="s">
        <v>1916</v>
      </c>
      <c r="L807" s="403">
        <v>0</v>
      </c>
    </row>
    <row r="808" spans="1:12" ht="15" customHeight="1" x14ac:dyDescent="0.25">
      <c r="A808" s="380" t="s">
        <v>3370</v>
      </c>
      <c r="B808" s="380" t="s">
        <v>1879</v>
      </c>
      <c r="C808" s="380" t="s">
        <v>1712</v>
      </c>
      <c r="D808" s="380" t="s">
        <v>1328</v>
      </c>
      <c r="E808" s="380" t="s">
        <v>330</v>
      </c>
      <c r="F808" s="380" t="s">
        <v>1473</v>
      </c>
      <c r="G808" s="380" t="s">
        <v>1301</v>
      </c>
      <c r="H808" s="380" t="s">
        <v>3371</v>
      </c>
      <c r="I808" s="380" t="s">
        <v>1914</v>
      </c>
      <c r="J808" s="380" t="s">
        <v>1961</v>
      </c>
      <c r="K808" s="380" t="s">
        <v>1916</v>
      </c>
      <c r="L808" s="403">
        <v>0</v>
      </c>
    </row>
    <row r="809" spans="1:12" ht="15" customHeight="1" x14ac:dyDescent="0.25">
      <c r="A809" s="380" t="s">
        <v>3372</v>
      </c>
      <c r="B809" s="380" t="s">
        <v>1879</v>
      </c>
      <c r="C809" s="380" t="s">
        <v>1712</v>
      </c>
      <c r="D809" s="380" t="s">
        <v>1338</v>
      </c>
      <c r="E809" s="380" t="s">
        <v>330</v>
      </c>
      <c r="F809" s="380" t="s">
        <v>1473</v>
      </c>
      <c r="G809" s="380" t="s">
        <v>1339</v>
      </c>
      <c r="H809" s="380" t="s">
        <v>3373</v>
      </c>
      <c r="I809" s="380" t="s">
        <v>1914</v>
      </c>
      <c r="J809" s="380" t="s">
        <v>1964</v>
      </c>
      <c r="K809" s="380"/>
      <c r="L809" s="403">
        <v>0.3</v>
      </c>
    </row>
    <row r="810" spans="1:12" ht="15" customHeight="1" x14ac:dyDescent="0.25">
      <c r="A810" s="380" t="s">
        <v>3374</v>
      </c>
      <c r="B810" s="380" t="s">
        <v>1879</v>
      </c>
      <c r="C810" s="380" t="s">
        <v>1712</v>
      </c>
      <c r="D810" s="380" t="s">
        <v>1966</v>
      </c>
      <c r="E810" s="380" t="s">
        <v>330</v>
      </c>
      <c r="F810" s="380" t="s">
        <v>1473</v>
      </c>
      <c r="G810" s="380" t="s">
        <v>1277</v>
      </c>
      <c r="H810" s="380" t="s">
        <v>3375</v>
      </c>
      <c r="I810" s="380" t="s">
        <v>1746</v>
      </c>
      <c r="J810" s="380" t="s">
        <v>1968</v>
      </c>
      <c r="K810" s="380" t="s">
        <v>1969</v>
      </c>
      <c r="L810" s="403">
        <v>-0.73299999999999998</v>
      </c>
    </row>
    <row r="811" spans="1:12" ht="15" customHeight="1" x14ac:dyDescent="0.25">
      <c r="A811" s="380" t="s">
        <v>3376</v>
      </c>
      <c r="B811" s="380" t="s">
        <v>1879</v>
      </c>
      <c r="C811" s="380" t="s">
        <v>1712</v>
      </c>
      <c r="D811" s="380" t="s">
        <v>1971</v>
      </c>
      <c r="E811" s="380" t="s">
        <v>330</v>
      </c>
      <c r="F811" s="380" t="s">
        <v>1473</v>
      </c>
      <c r="G811" s="380" t="s">
        <v>1277</v>
      </c>
      <c r="H811" s="380" t="s">
        <v>3377</v>
      </c>
      <c r="I811" s="380" t="s">
        <v>1566</v>
      </c>
      <c r="J811" s="380" t="s">
        <v>1973</v>
      </c>
      <c r="K811" s="380" t="s">
        <v>1969</v>
      </c>
      <c r="L811" s="403">
        <v>0</v>
      </c>
    </row>
    <row r="812" spans="1:12" ht="15" customHeight="1" x14ac:dyDescent="0.25">
      <c r="A812" s="380" t="s">
        <v>3378</v>
      </c>
      <c r="B812" s="380" t="s">
        <v>1879</v>
      </c>
      <c r="C812" s="380" t="s">
        <v>1712</v>
      </c>
      <c r="D812" s="380" t="s">
        <v>1890</v>
      </c>
      <c r="E812" s="380" t="s">
        <v>330</v>
      </c>
      <c r="F812" s="380" t="s">
        <v>1501</v>
      </c>
      <c r="G812" s="380" t="s">
        <v>1277</v>
      </c>
      <c r="H812" s="380" t="s">
        <v>3379</v>
      </c>
      <c r="I812" s="380" t="s">
        <v>1307</v>
      </c>
      <c r="J812" s="380" t="s">
        <v>2221</v>
      </c>
      <c r="K812" s="380" t="s">
        <v>1893</v>
      </c>
      <c r="L812" s="406">
        <v>0</v>
      </c>
    </row>
    <row r="813" spans="1:12" ht="15" customHeight="1" x14ac:dyDescent="0.25">
      <c r="A813" s="380" t="s">
        <v>3380</v>
      </c>
      <c r="B813" s="380" t="s">
        <v>1879</v>
      </c>
      <c r="C813" s="380" t="s">
        <v>1712</v>
      </c>
      <c r="D813" s="380" t="s">
        <v>1895</v>
      </c>
      <c r="E813" s="380" t="s">
        <v>330</v>
      </c>
      <c r="F813" s="380" t="s">
        <v>1501</v>
      </c>
      <c r="G813" s="380" t="s">
        <v>1277</v>
      </c>
      <c r="H813" s="380" t="s">
        <v>3381</v>
      </c>
      <c r="I813" s="380" t="s">
        <v>1897</v>
      </c>
      <c r="J813" s="380" t="s">
        <v>1898</v>
      </c>
      <c r="K813" s="380"/>
      <c r="L813" s="404">
        <v>0.4</v>
      </c>
    </row>
    <row r="814" spans="1:12" ht="15" customHeight="1" x14ac:dyDescent="0.25">
      <c r="A814" s="380" t="s">
        <v>3382</v>
      </c>
      <c r="B814" s="380" t="s">
        <v>1879</v>
      </c>
      <c r="C814" s="380" t="s">
        <v>1712</v>
      </c>
      <c r="D814" s="380" t="s">
        <v>1900</v>
      </c>
      <c r="E814" s="380" t="s">
        <v>330</v>
      </c>
      <c r="F814" s="380" t="s">
        <v>1501</v>
      </c>
      <c r="G814" s="380" t="s">
        <v>1277</v>
      </c>
      <c r="H814" s="380" t="s">
        <v>3383</v>
      </c>
      <c r="I814" s="380" t="s">
        <v>1902</v>
      </c>
      <c r="J814" s="380" t="s">
        <v>1903</v>
      </c>
      <c r="K814" s="380"/>
      <c r="L814" s="404">
        <v>0.2</v>
      </c>
    </row>
    <row r="815" spans="1:12" ht="15" customHeight="1" x14ac:dyDescent="0.25">
      <c r="A815" s="380" t="s">
        <v>3384</v>
      </c>
      <c r="B815" s="380" t="s">
        <v>1879</v>
      </c>
      <c r="C815" s="380" t="s">
        <v>1712</v>
      </c>
      <c r="D815" s="380" t="s">
        <v>1905</v>
      </c>
      <c r="E815" s="380" t="s">
        <v>330</v>
      </c>
      <c r="F815" s="380" t="s">
        <v>1501</v>
      </c>
      <c r="G815" s="380" t="s">
        <v>1277</v>
      </c>
      <c r="H815" s="380" t="s">
        <v>3385</v>
      </c>
      <c r="I815" s="380" t="s">
        <v>1902</v>
      </c>
      <c r="J815" s="380" t="s">
        <v>1907</v>
      </c>
      <c r="K815" s="380"/>
      <c r="L815" s="404">
        <v>0.05</v>
      </c>
    </row>
    <row r="816" spans="1:12" ht="15" customHeight="1" x14ac:dyDescent="0.25">
      <c r="A816" s="380" t="s">
        <v>3386</v>
      </c>
      <c r="B816" s="380" t="s">
        <v>1879</v>
      </c>
      <c r="C816" s="380" t="s">
        <v>1712</v>
      </c>
      <c r="D816" s="380" t="s">
        <v>1909</v>
      </c>
      <c r="E816" s="380" t="s">
        <v>330</v>
      </c>
      <c r="F816" s="380" t="s">
        <v>1501</v>
      </c>
      <c r="G816" s="380" t="s">
        <v>1277</v>
      </c>
      <c r="H816" s="380" t="s">
        <v>3387</v>
      </c>
      <c r="I816" s="380" t="s">
        <v>1902</v>
      </c>
      <c r="J816" s="380" t="s">
        <v>1911</v>
      </c>
      <c r="K816" s="380"/>
      <c r="L816" s="404">
        <v>0.05</v>
      </c>
    </row>
    <row r="817" spans="1:12" ht="15" customHeight="1" x14ac:dyDescent="0.25">
      <c r="A817" s="380" t="s">
        <v>3388</v>
      </c>
      <c r="B817" s="380" t="s">
        <v>1879</v>
      </c>
      <c r="C817" s="380" t="s">
        <v>1712</v>
      </c>
      <c r="D817" s="380" t="s">
        <v>1317</v>
      </c>
      <c r="E817" s="380" t="s">
        <v>330</v>
      </c>
      <c r="F817" s="380" t="s">
        <v>1501</v>
      </c>
      <c r="G817" s="380" t="s">
        <v>757</v>
      </c>
      <c r="H817" s="380" t="s">
        <v>3389</v>
      </c>
      <c r="I817" s="380" t="s">
        <v>1914</v>
      </c>
      <c r="J817" s="380" t="s">
        <v>1915</v>
      </c>
      <c r="K817" s="380" t="s">
        <v>1916</v>
      </c>
      <c r="L817" s="403">
        <v>0</v>
      </c>
    </row>
    <row r="818" spans="1:12" ht="15" customHeight="1" x14ac:dyDescent="0.25">
      <c r="A818" s="380" t="s">
        <v>3390</v>
      </c>
      <c r="B818" s="380" t="s">
        <v>1879</v>
      </c>
      <c r="C818" s="380" t="s">
        <v>1712</v>
      </c>
      <c r="D818" s="380" t="s">
        <v>1317</v>
      </c>
      <c r="E818" s="380" t="s">
        <v>330</v>
      </c>
      <c r="F818" s="380" t="s">
        <v>1501</v>
      </c>
      <c r="G818" s="380" t="s">
        <v>754</v>
      </c>
      <c r="H818" s="380" t="s">
        <v>3391</v>
      </c>
      <c r="I818" s="380" t="s">
        <v>1914</v>
      </c>
      <c r="J818" s="380" t="s">
        <v>1919</v>
      </c>
      <c r="K818" s="380" t="s">
        <v>1916</v>
      </c>
      <c r="L818" s="403">
        <v>1.5</v>
      </c>
    </row>
    <row r="819" spans="1:12" ht="15" customHeight="1" x14ac:dyDescent="0.25">
      <c r="A819" s="380" t="s">
        <v>3392</v>
      </c>
      <c r="B819" s="380" t="s">
        <v>1879</v>
      </c>
      <c r="C819" s="380" t="s">
        <v>1712</v>
      </c>
      <c r="D819" s="380" t="s">
        <v>1317</v>
      </c>
      <c r="E819" s="380" t="s">
        <v>330</v>
      </c>
      <c r="F819" s="380" t="s">
        <v>1501</v>
      </c>
      <c r="G819" s="380" t="s">
        <v>1292</v>
      </c>
      <c r="H819" s="380" t="s">
        <v>3393</v>
      </c>
      <c r="I819" s="380" t="s">
        <v>1914</v>
      </c>
      <c r="J819" s="380" t="s">
        <v>1922</v>
      </c>
      <c r="K819" s="380" t="s">
        <v>1916</v>
      </c>
      <c r="L819" s="403">
        <v>0</v>
      </c>
    </row>
    <row r="820" spans="1:12" ht="15" customHeight="1" x14ac:dyDescent="0.25">
      <c r="A820" s="380" t="s">
        <v>3394</v>
      </c>
      <c r="B820" s="380" t="s">
        <v>1879</v>
      </c>
      <c r="C820" s="380" t="s">
        <v>1712</v>
      </c>
      <c r="D820" s="380" t="s">
        <v>1317</v>
      </c>
      <c r="E820" s="380" t="s">
        <v>330</v>
      </c>
      <c r="F820" s="380" t="s">
        <v>1501</v>
      </c>
      <c r="G820" s="380" t="s">
        <v>762</v>
      </c>
      <c r="H820" s="380" t="s">
        <v>3395</v>
      </c>
      <c r="I820" s="380" t="s">
        <v>1914</v>
      </c>
      <c r="J820" s="380" t="s">
        <v>1925</v>
      </c>
      <c r="K820" s="380" t="s">
        <v>1916</v>
      </c>
      <c r="L820" s="403">
        <v>0</v>
      </c>
    </row>
    <row r="821" spans="1:12" ht="15" customHeight="1" x14ac:dyDescent="0.25">
      <c r="A821" s="380" t="s">
        <v>3396</v>
      </c>
      <c r="B821" s="380" t="s">
        <v>1879</v>
      </c>
      <c r="C821" s="380" t="s">
        <v>1712</v>
      </c>
      <c r="D821" s="380" t="s">
        <v>1317</v>
      </c>
      <c r="E821" s="380" t="s">
        <v>330</v>
      </c>
      <c r="F821" s="380" t="s">
        <v>1501</v>
      </c>
      <c r="G821" s="380" t="s">
        <v>1295</v>
      </c>
      <c r="H821" s="380" t="s">
        <v>3397</v>
      </c>
      <c r="I821" s="380" t="s">
        <v>1914</v>
      </c>
      <c r="J821" s="380" t="s">
        <v>1928</v>
      </c>
      <c r="K821" s="380" t="s">
        <v>1916</v>
      </c>
      <c r="L821" s="403">
        <v>0</v>
      </c>
    </row>
    <row r="822" spans="1:12" ht="15" customHeight="1" x14ac:dyDescent="0.25">
      <c r="A822" s="380" t="s">
        <v>3398</v>
      </c>
      <c r="B822" s="380" t="s">
        <v>1879</v>
      </c>
      <c r="C822" s="380" t="s">
        <v>1712</v>
      </c>
      <c r="D822" s="380" t="s">
        <v>1317</v>
      </c>
      <c r="E822" s="380" t="s">
        <v>330</v>
      </c>
      <c r="F822" s="380" t="s">
        <v>1501</v>
      </c>
      <c r="G822" s="380" t="s">
        <v>1297</v>
      </c>
      <c r="H822" s="380" t="s">
        <v>3399</v>
      </c>
      <c r="I822" s="380" t="s">
        <v>1914</v>
      </c>
      <c r="J822" s="380" t="s">
        <v>1931</v>
      </c>
      <c r="K822" s="380" t="s">
        <v>1916</v>
      </c>
      <c r="L822" s="403">
        <v>0</v>
      </c>
    </row>
    <row r="823" spans="1:12" ht="15" customHeight="1" x14ac:dyDescent="0.25">
      <c r="A823" s="380" t="s">
        <v>3400</v>
      </c>
      <c r="B823" s="380" t="s">
        <v>1879</v>
      </c>
      <c r="C823" s="380" t="s">
        <v>1712</v>
      </c>
      <c r="D823" s="380" t="s">
        <v>1317</v>
      </c>
      <c r="E823" s="380" t="s">
        <v>330</v>
      </c>
      <c r="F823" s="380" t="s">
        <v>1501</v>
      </c>
      <c r="G823" s="380" t="s">
        <v>1299</v>
      </c>
      <c r="H823" s="380" t="s">
        <v>3401</v>
      </c>
      <c r="I823" s="380" t="s">
        <v>1914</v>
      </c>
      <c r="J823" s="380" t="s">
        <v>1934</v>
      </c>
      <c r="K823" s="380" t="s">
        <v>1916</v>
      </c>
      <c r="L823" s="403">
        <v>0</v>
      </c>
    </row>
    <row r="824" spans="1:12" ht="15" customHeight="1" x14ac:dyDescent="0.25">
      <c r="A824" s="380" t="s">
        <v>3402</v>
      </c>
      <c r="B824" s="380" t="s">
        <v>1879</v>
      </c>
      <c r="C824" s="380" t="s">
        <v>1712</v>
      </c>
      <c r="D824" s="380" t="s">
        <v>1317</v>
      </c>
      <c r="E824" s="380" t="s">
        <v>330</v>
      </c>
      <c r="F824" s="380" t="s">
        <v>1501</v>
      </c>
      <c r="G824" s="380" t="s">
        <v>1301</v>
      </c>
      <c r="H824" s="380" t="s">
        <v>3403</v>
      </c>
      <c r="I824" s="380" t="s">
        <v>1914</v>
      </c>
      <c r="J824" s="380" t="s">
        <v>1937</v>
      </c>
      <c r="K824" s="380" t="s">
        <v>1916</v>
      </c>
      <c r="L824" s="403">
        <v>0</v>
      </c>
    </row>
    <row r="825" spans="1:12" ht="15" customHeight="1" x14ac:dyDescent="0.25">
      <c r="A825" s="380" t="s">
        <v>3404</v>
      </c>
      <c r="B825" s="380" t="s">
        <v>1879</v>
      </c>
      <c r="C825" s="380" t="s">
        <v>1712</v>
      </c>
      <c r="D825" s="380" t="s">
        <v>1328</v>
      </c>
      <c r="E825" s="380" t="s">
        <v>330</v>
      </c>
      <c r="F825" s="380" t="s">
        <v>1501</v>
      </c>
      <c r="G825" s="380" t="s">
        <v>757</v>
      </c>
      <c r="H825" s="380" t="s">
        <v>3405</v>
      </c>
      <c r="I825" s="380" t="s">
        <v>1914</v>
      </c>
      <c r="J825" s="380" t="s">
        <v>1940</v>
      </c>
      <c r="K825" s="380" t="s">
        <v>1916</v>
      </c>
      <c r="L825" s="403">
        <v>0</v>
      </c>
    </row>
    <row r="826" spans="1:12" ht="15" customHeight="1" x14ac:dyDescent="0.25">
      <c r="A826" s="380" t="s">
        <v>3406</v>
      </c>
      <c r="B826" s="380" t="s">
        <v>1879</v>
      </c>
      <c r="C826" s="380" t="s">
        <v>1712</v>
      </c>
      <c r="D826" s="380" t="s">
        <v>1328</v>
      </c>
      <c r="E826" s="380" t="s">
        <v>330</v>
      </c>
      <c r="F826" s="380" t="s">
        <v>1501</v>
      </c>
      <c r="G826" s="380" t="s">
        <v>754</v>
      </c>
      <c r="H826" s="380" t="s">
        <v>3407</v>
      </c>
      <c r="I826" s="380" t="s">
        <v>1914</v>
      </c>
      <c r="J826" s="380" t="s">
        <v>1943</v>
      </c>
      <c r="K826" s="380" t="s">
        <v>1916</v>
      </c>
      <c r="L826" s="403">
        <v>0</v>
      </c>
    </row>
    <row r="827" spans="1:12" ht="15" customHeight="1" x14ac:dyDescent="0.25">
      <c r="A827" s="380" t="s">
        <v>3408</v>
      </c>
      <c r="B827" s="380" t="s">
        <v>1879</v>
      </c>
      <c r="C827" s="380" t="s">
        <v>1712</v>
      </c>
      <c r="D827" s="380" t="s">
        <v>1328</v>
      </c>
      <c r="E827" s="380" t="s">
        <v>330</v>
      </c>
      <c r="F827" s="380" t="s">
        <v>1501</v>
      </c>
      <c r="G827" s="380" t="s">
        <v>1292</v>
      </c>
      <c r="H827" s="380" t="s">
        <v>3409</v>
      </c>
      <c r="I827" s="380" t="s">
        <v>1914</v>
      </c>
      <c r="J827" s="380" t="s">
        <v>1946</v>
      </c>
      <c r="K827" s="380" t="s">
        <v>1916</v>
      </c>
      <c r="L827" s="403">
        <v>0</v>
      </c>
    </row>
    <row r="828" spans="1:12" ht="15" customHeight="1" x14ac:dyDescent="0.25">
      <c r="A828" s="380" t="s">
        <v>3410</v>
      </c>
      <c r="B828" s="380" t="s">
        <v>1879</v>
      </c>
      <c r="C828" s="380" t="s">
        <v>1712</v>
      </c>
      <c r="D828" s="380" t="s">
        <v>1328</v>
      </c>
      <c r="E828" s="380" t="s">
        <v>330</v>
      </c>
      <c r="F828" s="380" t="s">
        <v>1501</v>
      </c>
      <c r="G828" s="380" t="s">
        <v>762</v>
      </c>
      <c r="H828" s="380" t="s">
        <v>3411</v>
      </c>
      <c r="I828" s="380" t="s">
        <v>1914</v>
      </c>
      <c r="J828" s="380" t="s">
        <v>1949</v>
      </c>
      <c r="K828" s="380" t="s">
        <v>1916</v>
      </c>
      <c r="L828" s="403">
        <v>0</v>
      </c>
    </row>
    <row r="829" spans="1:12" ht="15" customHeight="1" x14ac:dyDescent="0.25">
      <c r="A829" s="380" t="s">
        <v>3412</v>
      </c>
      <c r="B829" s="380" t="s">
        <v>1879</v>
      </c>
      <c r="C829" s="380" t="s">
        <v>1712</v>
      </c>
      <c r="D829" s="380" t="s">
        <v>1328</v>
      </c>
      <c r="E829" s="380" t="s">
        <v>330</v>
      </c>
      <c r="F829" s="380" t="s">
        <v>1501</v>
      </c>
      <c r="G829" s="380" t="s">
        <v>1295</v>
      </c>
      <c r="H829" s="380" t="s">
        <v>3413</v>
      </c>
      <c r="I829" s="380" t="s">
        <v>1914</v>
      </c>
      <c r="J829" s="380" t="s">
        <v>1952</v>
      </c>
      <c r="K829" s="380" t="s">
        <v>1916</v>
      </c>
      <c r="L829" s="403">
        <v>0</v>
      </c>
    </row>
    <row r="830" spans="1:12" ht="15" customHeight="1" x14ac:dyDescent="0.25">
      <c r="A830" s="380" t="s">
        <v>3414</v>
      </c>
      <c r="B830" s="380" t="s">
        <v>1879</v>
      </c>
      <c r="C830" s="380" t="s">
        <v>1712</v>
      </c>
      <c r="D830" s="380" t="s">
        <v>1328</v>
      </c>
      <c r="E830" s="380" t="s">
        <v>330</v>
      </c>
      <c r="F830" s="380" t="s">
        <v>1501</v>
      </c>
      <c r="G830" s="380" t="s">
        <v>1297</v>
      </c>
      <c r="H830" s="380" t="s">
        <v>3415</v>
      </c>
      <c r="I830" s="380" t="s">
        <v>1914</v>
      </c>
      <c r="J830" s="380" t="s">
        <v>1955</v>
      </c>
      <c r="K830" s="380" t="s">
        <v>1916</v>
      </c>
      <c r="L830" s="403">
        <v>0</v>
      </c>
    </row>
    <row r="831" spans="1:12" ht="15" customHeight="1" x14ac:dyDescent="0.25">
      <c r="A831" s="380" t="s">
        <v>3416</v>
      </c>
      <c r="B831" s="380" t="s">
        <v>1879</v>
      </c>
      <c r="C831" s="380" t="s">
        <v>1712</v>
      </c>
      <c r="D831" s="380" t="s">
        <v>1328</v>
      </c>
      <c r="E831" s="380" t="s">
        <v>330</v>
      </c>
      <c r="F831" s="380" t="s">
        <v>1501</v>
      </c>
      <c r="G831" s="380" t="s">
        <v>1299</v>
      </c>
      <c r="H831" s="380" t="s">
        <v>3417</v>
      </c>
      <c r="I831" s="380" t="s">
        <v>1914</v>
      </c>
      <c r="J831" s="380" t="s">
        <v>1958</v>
      </c>
      <c r="K831" s="380" t="s">
        <v>1916</v>
      </c>
      <c r="L831" s="403">
        <v>0</v>
      </c>
    </row>
    <row r="832" spans="1:12" ht="15" customHeight="1" x14ac:dyDescent="0.25">
      <c r="A832" s="380" t="s">
        <v>3418</v>
      </c>
      <c r="B832" s="380" t="s">
        <v>1879</v>
      </c>
      <c r="C832" s="380" t="s">
        <v>1712</v>
      </c>
      <c r="D832" s="380" t="s">
        <v>1328</v>
      </c>
      <c r="E832" s="380" t="s">
        <v>330</v>
      </c>
      <c r="F832" s="380" t="s">
        <v>1501</v>
      </c>
      <c r="G832" s="380" t="s">
        <v>1301</v>
      </c>
      <c r="H832" s="380" t="s">
        <v>3419</v>
      </c>
      <c r="I832" s="380" t="s">
        <v>1914</v>
      </c>
      <c r="J832" s="380" t="s">
        <v>1961</v>
      </c>
      <c r="K832" s="380" t="s">
        <v>1916</v>
      </c>
      <c r="L832" s="403">
        <v>0</v>
      </c>
    </row>
    <row r="833" spans="1:12" ht="15" customHeight="1" x14ac:dyDescent="0.25">
      <c r="A833" s="380" t="s">
        <v>3420</v>
      </c>
      <c r="B833" s="380" t="s">
        <v>1879</v>
      </c>
      <c r="C833" s="380" t="s">
        <v>1712</v>
      </c>
      <c r="D833" s="380" t="s">
        <v>1338</v>
      </c>
      <c r="E833" s="380" t="s">
        <v>330</v>
      </c>
      <c r="F833" s="380" t="s">
        <v>1501</v>
      </c>
      <c r="G833" s="380" t="s">
        <v>1339</v>
      </c>
      <c r="H833" s="380" t="s">
        <v>3421</v>
      </c>
      <c r="I833" s="380" t="s">
        <v>1914</v>
      </c>
      <c r="J833" s="380" t="s">
        <v>1964</v>
      </c>
      <c r="K833" s="380"/>
      <c r="L833" s="403">
        <v>0.3</v>
      </c>
    </row>
    <row r="834" spans="1:12" ht="15" customHeight="1" x14ac:dyDescent="0.25">
      <c r="A834" s="380" t="s">
        <v>3422</v>
      </c>
      <c r="B834" s="380" t="s">
        <v>1879</v>
      </c>
      <c r="C834" s="380" t="s">
        <v>1712</v>
      </c>
      <c r="D834" s="380" t="s">
        <v>1966</v>
      </c>
      <c r="E834" s="380" t="s">
        <v>330</v>
      </c>
      <c r="F834" s="380" t="s">
        <v>1501</v>
      </c>
      <c r="G834" s="380" t="s">
        <v>1277</v>
      </c>
      <c r="H834" s="380" t="s">
        <v>3423</v>
      </c>
      <c r="I834" s="380" t="s">
        <v>1746</v>
      </c>
      <c r="J834" s="380" t="s">
        <v>1968</v>
      </c>
      <c r="K834" s="380" t="s">
        <v>1969</v>
      </c>
      <c r="L834" s="403">
        <v>0</v>
      </c>
    </row>
    <row r="835" spans="1:12" ht="15" customHeight="1" x14ac:dyDescent="0.25">
      <c r="A835" s="380" t="s">
        <v>3424</v>
      </c>
      <c r="B835" s="380" t="s">
        <v>1879</v>
      </c>
      <c r="C835" s="380" t="s">
        <v>1712</v>
      </c>
      <c r="D835" s="380" t="s">
        <v>1971</v>
      </c>
      <c r="E835" s="380" t="s">
        <v>330</v>
      </c>
      <c r="F835" s="380" t="s">
        <v>1501</v>
      </c>
      <c r="G835" s="380" t="s">
        <v>1277</v>
      </c>
      <c r="H835" s="380" t="s">
        <v>3425</v>
      </c>
      <c r="I835" s="380" t="s">
        <v>1566</v>
      </c>
      <c r="J835" s="380" t="s">
        <v>1973</v>
      </c>
      <c r="K835" s="380" t="s">
        <v>2654</v>
      </c>
      <c r="L835" s="403">
        <v>0.97</v>
      </c>
    </row>
    <row r="836" spans="1:12" ht="15" customHeight="1" x14ac:dyDescent="0.25">
      <c r="A836" s="380" t="s">
        <v>3426</v>
      </c>
      <c r="B836" s="380" t="s">
        <v>1879</v>
      </c>
      <c r="C836" s="380" t="s">
        <v>1712</v>
      </c>
      <c r="D836" s="380" t="s">
        <v>1890</v>
      </c>
      <c r="E836" s="380" t="s">
        <v>334</v>
      </c>
      <c r="F836" s="380" t="s">
        <v>1529</v>
      </c>
      <c r="G836" s="380" t="s">
        <v>1277</v>
      </c>
      <c r="H836" s="380" t="s">
        <v>3427</v>
      </c>
      <c r="I836" s="380" t="s">
        <v>1307</v>
      </c>
      <c r="J836" s="380" t="s">
        <v>2270</v>
      </c>
      <c r="K836" s="380" t="s">
        <v>1893</v>
      </c>
      <c r="L836" s="406">
        <v>0</v>
      </c>
    </row>
    <row r="837" spans="1:12" ht="15" customHeight="1" x14ac:dyDescent="0.25">
      <c r="A837" s="380" t="s">
        <v>3428</v>
      </c>
      <c r="B837" s="380" t="s">
        <v>1879</v>
      </c>
      <c r="C837" s="380" t="s">
        <v>1712</v>
      </c>
      <c r="D837" s="380" t="s">
        <v>1895</v>
      </c>
      <c r="E837" s="380" t="s">
        <v>334</v>
      </c>
      <c r="F837" s="380" t="s">
        <v>1529</v>
      </c>
      <c r="G837" s="380" t="s">
        <v>1277</v>
      </c>
      <c r="H837" s="380" t="s">
        <v>3429</v>
      </c>
      <c r="I837" s="380" t="s">
        <v>1897</v>
      </c>
      <c r="J837" s="380" t="s">
        <v>1898</v>
      </c>
      <c r="K837" s="380"/>
      <c r="L837" s="404">
        <v>0.8</v>
      </c>
    </row>
    <row r="838" spans="1:12" ht="15" customHeight="1" x14ac:dyDescent="0.25">
      <c r="A838" s="380" t="s">
        <v>3430</v>
      </c>
      <c r="B838" s="380" t="s">
        <v>1879</v>
      </c>
      <c r="C838" s="380" t="s">
        <v>1712</v>
      </c>
      <c r="D838" s="380" t="s">
        <v>1900</v>
      </c>
      <c r="E838" s="380" t="s">
        <v>334</v>
      </c>
      <c r="F838" s="380" t="s">
        <v>1529</v>
      </c>
      <c r="G838" s="380" t="s">
        <v>1277</v>
      </c>
      <c r="H838" s="380" t="s">
        <v>3431</v>
      </c>
      <c r="I838" s="380" t="s">
        <v>1902</v>
      </c>
      <c r="J838" s="380" t="s">
        <v>1903</v>
      </c>
      <c r="K838" s="380"/>
      <c r="L838" s="404">
        <v>0.35</v>
      </c>
    </row>
    <row r="839" spans="1:12" ht="15" customHeight="1" x14ac:dyDescent="0.25">
      <c r="A839" s="380" t="s">
        <v>3432</v>
      </c>
      <c r="B839" s="380" t="s">
        <v>1879</v>
      </c>
      <c r="C839" s="380" t="s">
        <v>1712</v>
      </c>
      <c r="D839" s="380" t="s">
        <v>1905</v>
      </c>
      <c r="E839" s="380" t="s">
        <v>334</v>
      </c>
      <c r="F839" s="380" t="s">
        <v>1529</v>
      </c>
      <c r="G839" s="380" t="s">
        <v>1277</v>
      </c>
      <c r="H839" s="380" t="s">
        <v>3433</v>
      </c>
      <c r="I839" s="380" t="s">
        <v>1902</v>
      </c>
      <c r="J839" s="380" t="s">
        <v>1907</v>
      </c>
      <c r="K839" s="380"/>
      <c r="L839" s="404">
        <v>0.18</v>
      </c>
    </row>
    <row r="840" spans="1:12" ht="15" customHeight="1" x14ac:dyDescent="0.25">
      <c r="A840" s="380" t="s">
        <v>3434</v>
      </c>
      <c r="B840" s="380" t="s">
        <v>1879</v>
      </c>
      <c r="C840" s="380" t="s">
        <v>1712</v>
      </c>
      <c r="D840" s="380" t="s">
        <v>1909</v>
      </c>
      <c r="E840" s="380" t="s">
        <v>334</v>
      </c>
      <c r="F840" s="380" t="s">
        <v>1529</v>
      </c>
      <c r="G840" s="380" t="s">
        <v>1277</v>
      </c>
      <c r="H840" s="380" t="s">
        <v>3435</v>
      </c>
      <c r="I840" s="380" t="s">
        <v>1902</v>
      </c>
      <c r="J840" s="380" t="s">
        <v>1911</v>
      </c>
      <c r="K840" s="380"/>
      <c r="L840" s="404">
        <v>0.3</v>
      </c>
    </row>
    <row r="841" spans="1:12" ht="15" customHeight="1" x14ac:dyDescent="0.25">
      <c r="A841" s="380" t="s">
        <v>3436</v>
      </c>
      <c r="B841" s="380" t="s">
        <v>1879</v>
      </c>
      <c r="C841" s="380" t="s">
        <v>1712</v>
      </c>
      <c r="D841" s="380" t="s">
        <v>1317</v>
      </c>
      <c r="E841" s="380" t="s">
        <v>334</v>
      </c>
      <c r="F841" s="380" t="s">
        <v>1529</v>
      </c>
      <c r="G841" s="380" t="s">
        <v>757</v>
      </c>
      <c r="H841" s="380" t="s">
        <v>3437</v>
      </c>
      <c r="I841" s="380" t="s">
        <v>1914</v>
      </c>
      <c r="J841" s="380" t="s">
        <v>1915</v>
      </c>
      <c r="K841" s="380" t="s">
        <v>1916</v>
      </c>
      <c r="L841" s="403">
        <v>0</v>
      </c>
    </row>
    <row r="842" spans="1:12" ht="15" customHeight="1" x14ac:dyDescent="0.25">
      <c r="A842" s="380" t="s">
        <v>3438</v>
      </c>
      <c r="B842" s="380" t="s">
        <v>1879</v>
      </c>
      <c r="C842" s="380" t="s">
        <v>1712</v>
      </c>
      <c r="D842" s="380" t="s">
        <v>1317</v>
      </c>
      <c r="E842" s="380" t="s">
        <v>334</v>
      </c>
      <c r="F842" s="380" t="s">
        <v>1529</v>
      </c>
      <c r="G842" s="380" t="s">
        <v>754</v>
      </c>
      <c r="H842" s="380" t="s">
        <v>3439</v>
      </c>
      <c r="I842" s="380" t="s">
        <v>1914</v>
      </c>
      <c r="J842" s="380" t="s">
        <v>1919</v>
      </c>
      <c r="K842" s="380" t="s">
        <v>1916</v>
      </c>
      <c r="L842" s="403">
        <v>2</v>
      </c>
    </row>
    <row r="843" spans="1:12" ht="15" customHeight="1" x14ac:dyDescent="0.25">
      <c r="A843" s="380" t="s">
        <v>3440</v>
      </c>
      <c r="B843" s="380" t="s">
        <v>1879</v>
      </c>
      <c r="C843" s="380" t="s">
        <v>1712</v>
      </c>
      <c r="D843" s="380" t="s">
        <v>1317</v>
      </c>
      <c r="E843" s="380" t="s">
        <v>334</v>
      </c>
      <c r="F843" s="380" t="s">
        <v>1529</v>
      </c>
      <c r="G843" s="380" t="s">
        <v>1292</v>
      </c>
      <c r="H843" s="380" t="s">
        <v>3441</v>
      </c>
      <c r="I843" s="380" t="s">
        <v>1914</v>
      </c>
      <c r="J843" s="380" t="s">
        <v>1922</v>
      </c>
      <c r="K843" s="380" t="s">
        <v>1916</v>
      </c>
      <c r="L843" s="403">
        <v>0</v>
      </c>
    </row>
    <row r="844" spans="1:12" ht="15" customHeight="1" x14ac:dyDescent="0.25">
      <c r="A844" s="380" t="s">
        <v>3442</v>
      </c>
      <c r="B844" s="380" t="s">
        <v>1879</v>
      </c>
      <c r="C844" s="380" t="s">
        <v>1712</v>
      </c>
      <c r="D844" s="380" t="s">
        <v>1317</v>
      </c>
      <c r="E844" s="380" t="s">
        <v>334</v>
      </c>
      <c r="F844" s="380" t="s">
        <v>1529</v>
      </c>
      <c r="G844" s="380" t="s">
        <v>762</v>
      </c>
      <c r="H844" s="380" t="s">
        <v>3443</v>
      </c>
      <c r="I844" s="380" t="s">
        <v>1914</v>
      </c>
      <c r="J844" s="380" t="s">
        <v>1925</v>
      </c>
      <c r="K844" s="380" t="s">
        <v>1916</v>
      </c>
      <c r="L844" s="403">
        <v>0</v>
      </c>
    </row>
    <row r="845" spans="1:12" ht="15" customHeight="1" x14ac:dyDescent="0.25">
      <c r="A845" s="380" t="s">
        <v>3444</v>
      </c>
      <c r="B845" s="380" t="s">
        <v>1879</v>
      </c>
      <c r="C845" s="380" t="s">
        <v>1712</v>
      </c>
      <c r="D845" s="380" t="s">
        <v>1317</v>
      </c>
      <c r="E845" s="380" t="s">
        <v>334</v>
      </c>
      <c r="F845" s="380" t="s">
        <v>1529</v>
      </c>
      <c r="G845" s="380" t="s">
        <v>1295</v>
      </c>
      <c r="H845" s="380" t="s">
        <v>3445</v>
      </c>
      <c r="I845" s="380" t="s">
        <v>1914</v>
      </c>
      <c r="J845" s="380" t="s">
        <v>1928</v>
      </c>
      <c r="K845" s="380" t="s">
        <v>1916</v>
      </c>
      <c r="L845" s="403">
        <v>0</v>
      </c>
    </row>
    <row r="846" spans="1:12" ht="15" customHeight="1" x14ac:dyDescent="0.25">
      <c r="A846" s="380" t="s">
        <v>3446</v>
      </c>
      <c r="B846" s="380" t="s">
        <v>1879</v>
      </c>
      <c r="C846" s="380" t="s">
        <v>1712</v>
      </c>
      <c r="D846" s="380" t="s">
        <v>1317</v>
      </c>
      <c r="E846" s="380" t="s">
        <v>334</v>
      </c>
      <c r="F846" s="380" t="s">
        <v>1529</v>
      </c>
      <c r="G846" s="380" t="s">
        <v>1297</v>
      </c>
      <c r="H846" s="380" t="s">
        <v>3447</v>
      </c>
      <c r="I846" s="380" t="s">
        <v>1914</v>
      </c>
      <c r="J846" s="380" t="s">
        <v>1931</v>
      </c>
      <c r="K846" s="380" t="s">
        <v>1916</v>
      </c>
      <c r="L846" s="403">
        <v>0</v>
      </c>
    </row>
    <row r="847" spans="1:12" ht="15" customHeight="1" x14ac:dyDescent="0.25">
      <c r="A847" s="380" t="s">
        <v>3448</v>
      </c>
      <c r="B847" s="380" t="s">
        <v>1879</v>
      </c>
      <c r="C847" s="380" t="s">
        <v>1712</v>
      </c>
      <c r="D847" s="380" t="s">
        <v>1317</v>
      </c>
      <c r="E847" s="380" t="s">
        <v>334</v>
      </c>
      <c r="F847" s="380" t="s">
        <v>1529</v>
      </c>
      <c r="G847" s="380" t="s">
        <v>1299</v>
      </c>
      <c r="H847" s="380" t="s">
        <v>3449</v>
      </c>
      <c r="I847" s="380" t="s">
        <v>1914</v>
      </c>
      <c r="J847" s="380" t="s">
        <v>1934</v>
      </c>
      <c r="K847" s="380" t="s">
        <v>1916</v>
      </c>
      <c r="L847" s="403">
        <v>0</v>
      </c>
    </row>
    <row r="848" spans="1:12" ht="15" customHeight="1" x14ac:dyDescent="0.25">
      <c r="A848" s="380" t="s">
        <v>3450</v>
      </c>
      <c r="B848" s="380" t="s">
        <v>1879</v>
      </c>
      <c r="C848" s="380" t="s">
        <v>1712</v>
      </c>
      <c r="D848" s="380" t="s">
        <v>1317</v>
      </c>
      <c r="E848" s="380" t="s">
        <v>334</v>
      </c>
      <c r="F848" s="380" t="s">
        <v>1529</v>
      </c>
      <c r="G848" s="380" t="s">
        <v>1301</v>
      </c>
      <c r="H848" s="380" t="s">
        <v>3451</v>
      </c>
      <c r="I848" s="380" t="s">
        <v>1914</v>
      </c>
      <c r="J848" s="380" t="s">
        <v>1937</v>
      </c>
      <c r="K848" s="380" t="s">
        <v>1916</v>
      </c>
      <c r="L848" s="403">
        <v>0</v>
      </c>
    </row>
    <row r="849" spans="1:24" ht="15" customHeight="1" x14ac:dyDescent="0.25">
      <c r="A849" s="380" t="s">
        <v>3452</v>
      </c>
      <c r="B849" s="380" t="s">
        <v>1879</v>
      </c>
      <c r="C849" s="380" t="s">
        <v>1712</v>
      </c>
      <c r="D849" s="380" t="s">
        <v>1328</v>
      </c>
      <c r="E849" s="380" t="s">
        <v>334</v>
      </c>
      <c r="F849" s="380" t="s">
        <v>1529</v>
      </c>
      <c r="G849" s="380" t="s">
        <v>757</v>
      </c>
      <c r="H849" s="380" t="s">
        <v>3453</v>
      </c>
      <c r="I849" s="380" t="s">
        <v>1914</v>
      </c>
      <c r="J849" s="380" t="s">
        <v>1940</v>
      </c>
      <c r="K849" s="380" t="s">
        <v>1916</v>
      </c>
      <c r="L849" s="403">
        <v>0</v>
      </c>
    </row>
    <row r="850" spans="1:24" ht="15" customHeight="1" x14ac:dyDescent="0.25">
      <c r="A850" s="380" t="s">
        <v>3454</v>
      </c>
      <c r="B850" s="380" t="s">
        <v>1879</v>
      </c>
      <c r="C850" s="380" t="s">
        <v>1712</v>
      </c>
      <c r="D850" s="380" t="s">
        <v>1328</v>
      </c>
      <c r="E850" s="380" t="s">
        <v>334</v>
      </c>
      <c r="F850" s="380" t="s">
        <v>1529</v>
      </c>
      <c r="G850" s="380" t="s">
        <v>754</v>
      </c>
      <c r="H850" s="380" t="s">
        <v>3455</v>
      </c>
      <c r="I850" s="380" t="s">
        <v>1914</v>
      </c>
      <c r="J850" s="380" t="s">
        <v>1943</v>
      </c>
      <c r="K850" s="380" t="s">
        <v>1916</v>
      </c>
      <c r="L850" s="403">
        <v>0</v>
      </c>
    </row>
    <row r="851" spans="1:24" ht="15" customHeight="1" x14ac:dyDescent="0.25">
      <c r="A851" s="380" t="s">
        <v>3456</v>
      </c>
      <c r="B851" s="380" t="s">
        <v>1879</v>
      </c>
      <c r="C851" s="380" t="s">
        <v>1712</v>
      </c>
      <c r="D851" s="380" t="s">
        <v>1328</v>
      </c>
      <c r="E851" s="380" t="s">
        <v>334</v>
      </c>
      <c r="F851" s="380" t="s">
        <v>1529</v>
      </c>
      <c r="G851" s="380" t="s">
        <v>1292</v>
      </c>
      <c r="H851" s="380" t="s">
        <v>3457</v>
      </c>
      <c r="I851" s="380" t="s">
        <v>1914</v>
      </c>
      <c r="J851" s="380" t="s">
        <v>1946</v>
      </c>
      <c r="K851" s="380" t="s">
        <v>1916</v>
      </c>
      <c r="L851" s="403">
        <v>0</v>
      </c>
    </row>
    <row r="852" spans="1:24" ht="15" customHeight="1" x14ac:dyDescent="0.25">
      <c r="A852" s="380" t="s">
        <v>3458</v>
      </c>
      <c r="B852" s="380" t="s">
        <v>1879</v>
      </c>
      <c r="C852" s="380" t="s">
        <v>1712</v>
      </c>
      <c r="D852" s="380" t="s">
        <v>1328</v>
      </c>
      <c r="E852" s="380" t="s">
        <v>334</v>
      </c>
      <c r="F852" s="380" t="s">
        <v>1529</v>
      </c>
      <c r="G852" s="380" t="s">
        <v>762</v>
      </c>
      <c r="H852" s="380" t="s">
        <v>3459</v>
      </c>
      <c r="I852" s="380" t="s">
        <v>1914</v>
      </c>
      <c r="J852" s="380" t="s">
        <v>1949</v>
      </c>
      <c r="K852" s="380" t="s">
        <v>1916</v>
      </c>
      <c r="L852" s="403">
        <v>0</v>
      </c>
    </row>
    <row r="853" spans="1:24" ht="15" customHeight="1" x14ac:dyDescent="0.25">
      <c r="A853" s="380" t="s">
        <v>3460</v>
      </c>
      <c r="B853" s="380" t="s">
        <v>1879</v>
      </c>
      <c r="C853" s="380" t="s">
        <v>1712</v>
      </c>
      <c r="D853" s="380" t="s">
        <v>1328</v>
      </c>
      <c r="E853" s="380" t="s">
        <v>334</v>
      </c>
      <c r="F853" s="380" t="s">
        <v>1529</v>
      </c>
      <c r="G853" s="380" t="s">
        <v>1295</v>
      </c>
      <c r="H853" s="380" t="s">
        <v>3461</v>
      </c>
      <c r="I853" s="380" t="s">
        <v>1914</v>
      </c>
      <c r="J853" s="380" t="s">
        <v>1952</v>
      </c>
      <c r="K853" s="380" t="s">
        <v>1916</v>
      </c>
      <c r="L853" s="403">
        <v>0</v>
      </c>
    </row>
    <row r="854" spans="1:24" ht="15" customHeight="1" x14ac:dyDescent="0.25">
      <c r="A854" s="380" t="s">
        <v>3462</v>
      </c>
      <c r="B854" s="380" t="s">
        <v>1879</v>
      </c>
      <c r="C854" s="380" t="s">
        <v>1712</v>
      </c>
      <c r="D854" s="380" t="s">
        <v>1328</v>
      </c>
      <c r="E854" s="380" t="s">
        <v>334</v>
      </c>
      <c r="F854" s="380" t="s">
        <v>1529</v>
      </c>
      <c r="G854" s="380" t="s">
        <v>1297</v>
      </c>
      <c r="H854" s="380" t="s">
        <v>3463</v>
      </c>
      <c r="I854" s="380" t="s">
        <v>1914</v>
      </c>
      <c r="J854" s="380" t="s">
        <v>1955</v>
      </c>
      <c r="K854" s="380" t="s">
        <v>1916</v>
      </c>
      <c r="L854" s="403">
        <v>0</v>
      </c>
    </row>
    <row r="855" spans="1:24" ht="15" customHeight="1" x14ac:dyDescent="0.25">
      <c r="A855" s="380" t="s">
        <v>3464</v>
      </c>
      <c r="B855" s="380" t="s">
        <v>1879</v>
      </c>
      <c r="C855" s="380" t="s">
        <v>1712</v>
      </c>
      <c r="D855" s="380" t="s">
        <v>1328</v>
      </c>
      <c r="E855" s="380" t="s">
        <v>334</v>
      </c>
      <c r="F855" s="380" t="s">
        <v>1529</v>
      </c>
      <c r="G855" s="380" t="s">
        <v>1299</v>
      </c>
      <c r="H855" s="380" t="s">
        <v>3465</v>
      </c>
      <c r="I855" s="380" t="s">
        <v>1914</v>
      </c>
      <c r="J855" s="380" t="s">
        <v>1958</v>
      </c>
      <c r="K855" s="380" t="s">
        <v>1916</v>
      </c>
      <c r="L855" s="403">
        <v>0</v>
      </c>
    </row>
    <row r="856" spans="1:24" ht="15" customHeight="1" x14ac:dyDescent="0.25">
      <c r="A856" s="380" t="s">
        <v>3466</v>
      </c>
      <c r="B856" s="380" t="s">
        <v>1879</v>
      </c>
      <c r="C856" s="380" t="s">
        <v>1712</v>
      </c>
      <c r="D856" s="380" t="s">
        <v>1328</v>
      </c>
      <c r="E856" s="380" t="s">
        <v>334</v>
      </c>
      <c r="F856" s="380" t="s">
        <v>1529</v>
      </c>
      <c r="G856" s="380" t="s">
        <v>1301</v>
      </c>
      <c r="H856" s="380" t="s">
        <v>3467</v>
      </c>
      <c r="I856" s="380" t="s">
        <v>1914</v>
      </c>
      <c r="J856" s="380" t="s">
        <v>1961</v>
      </c>
      <c r="K856" s="380" t="s">
        <v>1916</v>
      </c>
      <c r="L856" s="403">
        <v>0</v>
      </c>
    </row>
    <row r="857" spans="1:24" ht="15" customHeight="1" x14ac:dyDescent="0.25">
      <c r="A857" s="380" t="s">
        <v>3468</v>
      </c>
      <c r="B857" s="380" t="s">
        <v>1879</v>
      </c>
      <c r="C857" s="380" t="s">
        <v>1712</v>
      </c>
      <c r="D857" s="380" t="s">
        <v>1338</v>
      </c>
      <c r="E857" s="380" t="s">
        <v>334</v>
      </c>
      <c r="F857" s="380" t="s">
        <v>1529</v>
      </c>
      <c r="G857" s="380" t="s">
        <v>1339</v>
      </c>
      <c r="H857" s="380" t="s">
        <v>3469</v>
      </c>
      <c r="I857" s="380" t="s">
        <v>1914</v>
      </c>
      <c r="J857" s="380" t="s">
        <v>1964</v>
      </c>
      <c r="K857" s="380"/>
      <c r="L857" s="403">
        <v>52</v>
      </c>
    </row>
    <row r="858" spans="1:24" ht="15" customHeight="1" x14ac:dyDescent="0.25">
      <c r="A858" s="380" t="s">
        <v>3470</v>
      </c>
      <c r="B858" s="380" t="s">
        <v>1879</v>
      </c>
      <c r="C858" s="380" t="s">
        <v>1712</v>
      </c>
      <c r="D858" s="380" t="s">
        <v>1966</v>
      </c>
      <c r="E858" s="380" t="s">
        <v>334</v>
      </c>
      <c r="F858" s="380" t="s">
        <v>1529</v>
      </c>
      <c r="G858" s="380" t="s">
        <v>1277</v>
      </c>
      <c r="H858" s="380" t="s">
        <v>3471</v>
      </c>
      <c r="I858" s="380" t="s">
        <v>1746</v>
      </c>
      <c r="J858" s="380" t="s">
        <v>1968</v>
      </c>
      <c r="K858" s="380" t="s">
        <v>1969</v>
      </c>
      <c r="L858" s="403">
        <v>1.5</v>
      </c>
    </row>
    <row r="859" spans="1:24" ht="15" customHeight="1" x14ac:dyDescent="0.25">
      <c r="A859" s="380" t="s">
        <v>3472</v>
      </c>
      <c r="B859" s="380" t="s">
        <v>1879</v>
      </c>
      <c r="C859" s="380" t="s">
        <v>1712</v>
      </c>
      <c r="D859" s="380" t="s">
        <v>1971</v>
      </c>
      <c r="E859" s="380" t="s">
        <v>334</v>
      </c>
      <c r="F859" s="380" t="s">
        <v>1529</v>
      </c>
      <c r="G859" s="380" t="s">
        <v>1277</v>
      </c>
      <c r="H859" s="380" t="s">
        <v>3473</v>
      </c>
      <c r="I859" s="380" t="s">
        <v>1566</v>
      </c>
      <c r="J859" s="380" t="s">
        <v>1973</v>
      </c>
      <c r="K859" s="380" t="s">
        <v>2703</v>
      </c>
      <c r="L859" s="403">
        <v>0.8</v>
      </c>
    </row>
    <row r="861" spans="1:24" ht="21.75" customHeight="1" x14ac:dyDescent="0.25">
      <c r="A861" s="12" t="s">
        <v>3474</v>
      </c>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spans="1:24" ht="15" customHeight="1" x14ac:dyDescent="0.25">
      <c r="A862" s="380" t="s">
        <v>3475</v>
      </c>
      <c r="B862" s="380" t="s">
        <v>1884</v>
      </c>
      <c r="C862" s="380" t="s">
        <v>1712</v>
      </c>
      <c r="D862" s="380" t="s">
        <v>1890</v>
      </c>
      <c r="E862" s="380" t="s">
        <v>322</v>
      </c>
      <c r="F862" s="380" t="s">
        <v>1305</v>
      </c>
      <c r="G862" s="380" t="s">
        <v>1277</v>
      </c>
      <c r="H862" s="380" t="s">
        <v>3476</v>
      </c>
      <c r="I862" s="380" t="s">
        <v>1307</v>
      </c>
      <c r="J862" s="380" t="s">
        <v>1892</v>
      </c>
      <c r="K862" s="380" t="s">
        <v>1893</v>
      </c>
      <c r="L862" s="406">
        <v>32</v>
      </c>
    </row>
    <row r="863" spans="1:24" ht="15" customHeight="1" x14ac:dyDescent="0.25">
      <c r="A863" s="380" t="s">
        <v>3477</v>
      </c>
      <c r="B863" s="380" t="s">
        <v>1884</v>
      </c>
      <c r="C863" s="380" t="s">
        <v>1712</v>
      </c>
      <c r="D863" s="380" t="s">
        <v>1895</v>
      </c>
      <c r="E863" s="380" t="s">
        <v>322</v>
      </c>
      <c r="F863" s="380" t="s">
        <v>1305</v>
      </c>
      <c r="G863" s="380" t="s">
        <v>1277</v>
      </c>
      <c r="H863" s="380" t="s">
        <v>3478</v>
      </c>
      <c r="I863" s="380" t="s">
        <v>1897</v>
      </c>
      <c r="J863" s="380" t="s">
        <v>1898</v>
      </c>
      <c r="K863" s="380"/>
      <c r="L863" s="404">
        <v>1</v>
      </c>
    </row>
    <row r="864" spans="1:24" ht="15" customHeight="1" x14ac:dyDescent="0.25">
      <c r="A864" s="380" t="s">
        <v>3479</v>
      </c>
      <c r="B864" s="380" t="s">
        <v>1884</v>
      </c>
      <c r="C864" s="380" t="s">
        <v>1712</v>
      </c>
      <c r="D864" s="380" t="s">
        <v>1900</v>
      </c>
      <c r="E864" s="380" t="s">
        <v>322</v>
      </c>
      <c r="F864" s="380" t="s">
        <v>1305</v>
      </c>
      <c r="G864" s="380" t="s">
        <v>1277</v>
      </c>
      <c r="H864" s="380" t="s">
        <v>3480</v>
      </c>
      <c r="I864" s="380" t="s">
        <v>1902</v>
      </c>
      <c r="J864" s="380" t="s">
        <v>1903</v>
      </c>
      <c r="K864" s="380"/>
      <c r="L864" s="404">
        <v>0.1</v>
      </c>
    </row>
    <row r="865" spans="1:12" ht="15" customHeight="1" x14ac:dyDescent="0.25">
      <c r="A865" s="380" t="s">
        <v>3481</v>
      </c>
      <c r="B865" s="380" t="s">
        <v>1884</v>
      </c>
      <c r="C865" s="380" t="s">
        <v>1712</v>
      </c>
      <c r="D865" s="380" t="s">
        <v>1905</v>
      </c>
      <c r="E865" s="380" t="s">
        <v>322</v>
      </c>
      <c r="F865" s="380" t="s">
        <v>1305</v>
      </c>
      <c r="G865" s="380" t="s">
        <v>1277</v>
      </c>
      <c r="H865" s="380" t="s">
        <v>3482</v>
      </c>
      <c r="I865" s="380" t="s">
        <v>1902</v>
      </c>
      <c r="J865" s="380" t="s">
        <v>1907</v>
      </c>
      <c r="K865" s="380"/>
      <c r="L865" s="404">
        <v>0.04</v>
      </c>
    </row>
    <row r="866" spans="1:12" ht="15" customHeight="1" x14ac:dyDescent="0.25">
      <c r="A866" s="380" t="s">
        <v>3483</v>
      </c>
      <c r="B866" s="380" t="s">
        <v>1884</v>
      </c>
      <c r="C866" s="380" t="s">
        <v>1712</v>
      </c>
      <c r="D866" s="380" t="s">
        <v>1909</v>
      </c>
      <c r="E866" s="380" t="s">
        <v>322</v>
      </c>
      <c r="F866" s="380" t="s">
        <v>1305</v>
      </c>
      <c r="G866" s="380" t="s">
        <v>1277</v>
      </c>
      <c r="H866" s="380" t="s">
        <v>3484</v>
      </c>
      <c r="I866" s="380" t="s">
        <v>1902</v>
      </c>
      <c r="J866" s="380" t="s">
        <v>1911</v>
      </c>
      <c r="K866" s="380"/>
      <c r="L866" s="404">
        <v>0.05</v>
      </c>
    </row>
    <row r="867" spans="1:12" ht="15" customHeight="1" x14ac:dyDescent="0.25">
      <c r="A867" s="380" t="s">
        <v>3485</v>
      </c>
      <c r="B867" s="380" t="s">
        <v>1884</v>
      </c>
      <c r="C867" s="380" t="s">
        <v>1712</v>
      </c>
      <c r="D867" s="380" t="s">
        <v>1317</v>
      </c>
      <c r="E867" s="380" t="s">
        <v>322</v>
      </c>
      <c r="F867" s="380" t="s">
        <v>1305</v>
      </c>
      <c r="G867" s="380" t="s">
        <v>757</v>
      </c>
      <c r="H867" s="380" t="s">
        <v>3486</v>
      </c>
      <c r="I867" s="380" t="s">
        <v>1914</v>
      </c>
      <c r="J867" s="380" t="s">
        <v>1915</v>
      </c>
      <c r="K867" s="380" t="s">
        <v>1916</v>
      </c>
      <c r="L867" s="403">
        <v>5</v>
      </c>
    </row>
    <row r="868" spans="1:12" ht="15" customHeight="1" x14ac:dyDescent="0.25">
      <c r="A868" s="380" t="s">
        <v>3487</v>
      </c>
      <c r="B868" s="380" t="s">
        <v>1884</v>
      </c>
      <c r="C868" s="380" t="s">
        <v>1712</v>
      </c>
      <c r="D868" s="380" t="s">
        <v>1317</v>
      </c>
      <c r="E868" s="380" t="s">
        <v>322</v>
      </c>
      <c r="F868" s="380" t="s">
        <v>1305</v>
      </c>
      <c r="G868" s="380" t="s">
        <v>754</v>
      </c>
      <c r="H868" s="380" t="s">
        <v>3488</v>
      </c>
      <c r="I868" s="380" t="s">
        <v>1914</v>
      </c>
      <c r="J868" s="380" t="s">
        <v>1919</v>
      </c>
      <c r="K868" s="380" t="s">
        <v>1916</v>
      </c>
      <c r="L868" s="403">
        <v>1</v>
      </c>
    </row>
    <row r="869" spans="1:12" ht="15" customHeight="1" x14ac:dyDescent="0.25">
      <c r="A869" s="380" t="s">
        <v>3489</v>
      </c>
      <c r="B869" s="380" t="s">
        <v>1884</v>
      </c>
      <c r="C869" s="380" t="s">
        <v>1712</v>
      </c>
      <c r="D869" s="380" t="s">
        <v>1317</v>
      </c>
      <c r="E869" s="380" t="s">
        <v>322</v>
      </c>
      <c r="F869" s="380" t="s">
        <v>1305</v>
      </c>
      <c r="G869" s="380" t="s">
        <v>1292</v>
      </c>
      <c r="H869" s="380" t="s">
        <v>3490</v>
      </c>
      <c r="I869" s="380" t="s">
        <v>1914</v>
      </c>
      <c r="J869" s="380" t="s">
        <v>1922</v>
      </c>
      <c r="K869" s="380" t="s">
        <v>1916</v>
      </c>
      <c r="L869" s="403">
        <v>0</v>
      </c>
    </row>
    <row r="870" spans="1:12" ht="15" customHeight="1" x14ac:dyDescent="0.25">
      <c r="A870" s="380" t="s">
        <v>3491</v>
      </c>
      <c r="B870" s="380" t="s">
        <v>1884</v>
      </c>
      <c r="C870" s="380" t="s">
        <v>1712</v>
      </c>
      <c r="D870" s="380" t="s">
        <v>1317</v>
      </c>
      <c r="E870" s="380" t="s">
        <v>322</v>
      </c>
      <c r="F870" s="380" t="s">
        <v>1305</v>
      </c>
      <c r="G870" s="380" t="s">
        <v>762</v>
      </c>
      <c r="H870" s="380" t="s">
        <v>3492</v>
      </c>
      <c r="I870" s="380" t="s">
        <v>1914</v>
      </c>
      <c r="J870" s="380" t="s">
        <v>1925</v>
      </c>
      <c r="K870" s="380" t="s">
        <v>1916</v>
      </c>
      <c r="L870" s="403">
        <v>0</v>
      </c>
    </row>
    <row r="871" spans="1:12" ht="15" customHeight="1" x14ac:dyDescent="0.25">
      <c r="A871" s="380" t="s">
        <v>3493</v>
      </c>
      <c r="B871" s="380" t="s">
        <v>1884</v>
      </c>
      <c r="C871" s="380" t="s">
        <v>1712</v>
      </c>
      <c r="D871" s="380" t="s">
        <v>1317</v>
      </c>
      <c r="E871" s="380" t="s">
        <v>322</v>
      </c>
      <c r="F871" s="380" t="s">
        <v>1305</v>
      </c>
      <c r="G871" s="380" t="s">
        <v>1295</v>
      </c>
      <c r="H871" s="380" t="s">
        <v>3494</v>
      </c>
      <c r="I871" s="380" t="s">
        <v>1914</v>
      </c>
      <c r="J871" s="380" t="s">
        <v>1928</v>
      </c>
      <c r="K871" s="380" t="s">
        <v>1916</v>
      </c>
      <c r="L871" s="403">
        <v>0</v>
      </c>
    </row>
    <row r="872" spans="1:12" ht="15" customHeight="1" x14ac:dyDescent="0.25">
      <c r="A872" s="380" t="s">
        <v>3495</v>
      </c>
      <c r="B872" s="380" t="s">
        <v>1884</v>
      </c>
      <c r="C872" s="380" t="s">
        <v>1712</v>
      </c>
      <c r="D872" s="380" t="s">
        <v>1317</v>
      </c>
      <c r="E872" s="380" t="s">
        <v>322</v>
      </c>
      <c r="F872" s="380" t="s">
        <v>1305</v>
      </c>
      <c r="G872" s="380" t="s">
        <v>1297</v>
      </c>
      <c r="H872" s="380" t="s">
        <v>3496</v>
      </c>
      <c r="I872" s="380" t="s">
        <v>1914</v>
      </c>
      <c r="J872" s="380" t="s">
        <v>1931</v>
      </c>
      <c r="K872" s="380" t="s">
        <v>1916</v>
      </c>
      <c r="L872" s="403">
        <v>0</v>
      </c>
    </row>
    <row r="873" spans="1:12" ht="15" customHeight="1" x14ac:dyDescent="0.25">
      <c r="A873" s="380" t="s">
        <v>3497</v>
      </c>
      <c r="B873" s="380" t="s">
        <v>1884</v>
      </c>
      <c r="C873" s="380" t="s">
        <v>1712</v>
      </c>
      <c r="D873" s="380" t="s">
        <v>1317</v>
      </c>
      <c r="E873" s="380" t="s">
        <v>322</v>
      </c>
      <c r="F873" s="380" t="s">
        <v>1305</v>
      </c>
      <c r="G873" s="380" t="s">
        <v>1299</v>
      </c>
      <c r="H873" s="380" t="s">
        <v>3498</v>
      </c>
      <c r="I873" s="380" t="s">
        <v>1914</v>
      </c>
      <c r="J873" s="380" t="s">
        <v>1934</v>
      </c>
      <c r="K873" s="380" t="s">
        <v>1916</v>
      </c>
      <c r="L873" s="403">
        <v>0</v>
      </c>
    </row>
    <row r="874" spans="1:12" ht="15" customHeight="1" x14ac:dyDescent="0.25">
      <c r="A874" s="380" t="s">
        <v>3499</v>
      </c>
      <c r="B874" s="380" t="s">
        <v>1884</v>
      </c>
      <c r="C874" s="380" t="s">
        <v>1712</v>
      </c>
      <c r="D874" s="380" t="s">
        <v>1317</v>
      </c>
      <c r="E874" s="380" t="s">
        <v>322</v>
      </c>
      <c r="F874" s="380" t="s">
        <v>1305</v>
      </c>
      <c r="G874" s="380" t="s">
        <v>1301</v>
      </c>
      <c r="H874" s="380" t="s">
        <v>3500</v>
      </c>
      <c r="I874" s="380" t="s">
        <v>1914</v>
      </c>
      <c r="J874" s="380" t="s">
        <v>1937</v>
      </c>
      <c r="K874" s="380" t="s">
        <v>1916</v>
      </c>
      <c r="L874" s="403">
        <v>0</v>
      </c>
    </row>
    <row r="875" spans="1:12" ht="15" customHeight="1" x14ac:dyDescent="0.25">
      <c r="A875" s="380" t="s">
        <v>3501</v>
      </c>
      <c r="B875" s="380" t="s">
        <v>1884</v>
      </c>
      <c r="C875" s="380" t="s">
        <v>1712</v>
      </c>
      <c r="D875" s="380" t="s">
        <v>1328</v>
      </c>
      <c r="E875" s="380" t="s">
        <v>322</v>
      </c>
      <c r="F875" s="380" t="s">
        <v>1305</v>
      </c>
      <c r="G875" s="380" t="s">
        <v>757</v>
      </c>
      <c r="H875" s="380" t="s">
        <v>3502</v>
      </c>
      <c r="I875" s="380" t="s">
        <v>1914</v>
      </c>
      <c r="J875" s="380" t="s">
        <v>1940</v>
      </c>
      <c r="K875" s="380" t="s">
        <v>1916</v>
      </c>
      <c r="L875" s="403">
        <v>20</v>
      </c>
    </row>
    <row r="876" spans="1:12" ht="15" customHeight="1" x14ac:dyDescent="0.25">
      <c r="A876" s="380" t="s">
        <v>3503</v>
      </c>
      <c r="B876" s="380" t="s">
        <v>1884</v>
      </c>
      <c r="C876" s="380" t="s">
        <v>1712</v>
      </c>
      <c r="D876" s="380" t="s">
        <v>1328</v>
      </c>
      <c r="E876" s="380" t="s">
        <v>322</v>
      </c>
      <c r="F876" s="380" t="s">
        <v>1305</v>
      </c>
      <c r="G876" s="380" t="s">
        <v>754</v>
      </c>
      <c r="H876" s="380" t="s">
        <v>3504</v>
      </c>
      <c r="I876" s="380" t="s">
        <v>1914</v>
      </c>
      <c r="J876" s="380" t="s">
        <v>1943</v>
      </c>
      <c r="K876" s="380" t="s">
        <v>1916</v>
      </c>
      <c r="L876" s="403">
        <v>0</v>
      </c>
    </row>
    <row r="877" spans="1:12" ht="15" customHeight="1" x14ac:dyDescent="0.25">
      <c r="A877" s="380" t="s">
        <v>3505</v>
      </c>
      <c r="B877" s="380" t="s">
        <v>1884</v>
      </c>
      <c r="C877" s="380" t="s">
        <v>1712</v>
      </c>
      <c r="D877" s="380" t="s">
        <v>1328</v>
      </c>
      <c r="E877" s="380" t="s">
        <v>322</v>
      </c>
      <c r="F877" s="380" t="s">
        <v>1305</v>
      </c>
      <c r="G877" s="380" t="s">
        <v>1292</v>
      </c>
      <c r="H877" s="380" t="s">
        <v>3506</v>
      </c>
      <c r="I877" s="380" t="s">
        <v>1914</v>
      </c>
      <c r="J877" s="380" t="s">
        <v>1946</v>
      </c>
      <c r="K877" s="380" t="s">
        <v>1916</v>
      </c>
      <c r="L877" s="403">
        <v>0</v>
      </c>
    </row>
    <row r="878" spans="1:12" ht="15" customHeight="1" x14ac:dyDescent="0.25">
      <c r="A878" s="380" t="s">
        <v>3507</v>
      </c>
      <c r="B878" s="380" t="s">
        <v>1884</v>
      </c>
      <c r="C878" s="380" t="s">
        <v>1712</v>
      </c>
      <c r="D878" s="380" t="s">
        <v>1328</v>
      </c>
      <c r="E878" s="380" t="s">
        <v>322</v>
      </c>
      <c r="F878" s="380" t="s">
        <v>1305</v>
      </c>
      <c r="G878" s="380" t="s">
        <v>762</v>
      </c>
      <c r="H878" s="380" t="s">
        <v>3508</v>
      </c>
      <c r="I878" s="380" t="s">
        <v>1914</v>
      </c>
      <c r="J878" s="380" t="s">
        <v>1949</v>
      </c>
      <c r="K878" s="380" t="s">
        <v>1916</v>
      </c>
      <c r="L878" s="403">
        <v>0</v>
      </c>
    </row>
    <row r="879" spans="1:12" ht="15" customHeight="1" x14ac:dyDescent="0.25">
      <c r="A879" s="380" t="s">
        <v>3509</v>
      </c>
      <c r="B879" s="380" t="s">
        <v>1884</v>
      </c>
      <c r="C879" s="380" t="s">
        <v>1712</v>
      </c>
      <c r="D879" s="380" t="s">
        <v>1328</v>
      </c>
      <c r="E879" s="380" t="s">
        <v>322</v>
      </c>
      <c r="F879" s="380" t="s">
        <v>1305</v>
      </c>
      <c r="G879" s="380" t="s">
        <v>1295</v>
      </c>
      <c r="H879" s="380" t="s">
        <v>3510</v>
      </c>
      <c r="I879" s="380" t="s">
        <v>1914</v>
      </c>
      <c r="J879" s="380" t="s">
        <v>1952</v>
      </c>
      <c r="K879" s="380" t="s">
        <v>1916</v>
      </c>
      <c r="L879" s="403">
        <v>0</v>
      </c>
    </row>
    <row r="880" spans="1:12" ht="15" customHeight="1" x14ac:dyDescent="0.25">
      <c r="A880" s="380" t="s">
        <v>3511</v>
      </c>
      <c r="B880" s="380" t="s">
        <v>1884</v>
      </c>
      <c r="C880" s="380" t="s">
        <v>1712</v>
      </c>
      <c r="D880" s="380" t="s">
        <v>1328</v>
      </c>
      <c r="E880" s="380" t="s">
        <v>322</v>
      </c>
      <c r="F880" s="380" t="s">
        <v>1305</v>
      </c>
      <c r="G880" s="380" t="s">
        <v>1297</v>
      </c>
      <c r="H880" s="380" t="s">
        <v>3512</v>
      </c>
      <c r="I880" s="380" t="s">
        <v>1914</v>
      </c>
      <c r="J880" s="380" t="s">
        <v>1955</v>
      </c>
      <c r="K880" s="380" t="s">
        <v>1916</v>
      </c>
      <c r="L880" s="403">
        <v>0</v>
      </c>
    </row>
    <row r="881" spans="1:12" ht="15" customHeight="1" x14ac:dyDescent="0.25">
      <c r="A881" s="380" t="s">
        <v>3513</v>
      </c>
      <c r="B881" s="380" t="s">
        <v>1884</v>
      </c>
      <c r="C881" s="380" t="s">
        <v>1712</v>
      </c>
      <c r="D881" s="380" t="s">
        <v>1328</v>
      </c>
      <c r="E881" s="380" t="s">
        <v>322</v>
      </c>
      <c r="F881" s="380" t="s">
        <v>1305</v>
      </c>
      <c r="G881" s="380" t="s">
        <v>1299</v>
      </c>
      <c r="H881" s="380" t="s">
        <v>3514</v>
      </c>
      <c r="I881" s="380" t="s">
        <v>1914</v>
      </c>
      <c r="J881" s="380" t="s">
        <v>1958</v>
      </c>
      <c r="K881" s="380" t="s">
        <v>1916</v>
      </c>
      <c r="L881" s="403">
        <v>0</v>
      </c>
    </row>
    <row r="882" spans="1:12" ht="15" customHeight="1" x14ac:dyDescent="0.25">
      <c r="A882" s="380" t="s">
        <v>3515</v>
      </c>
      <c r="B882" s="380" t="s">
        <v>1884</v>
      </c>
      <c r="C882" s="380" t="s">
        <v>1712</v>
      </c>
      <c r="D882" s="380" t="s">
        <v>1328</v>
      </c>
      <c r="E882" s="380" t="s">
        <v>322</v>
      </c>
      <c r="F882" s="380" t="s">
        <v>1305</v>
      </c>
      <c r="G882" s="380" t="s">
        <v>1301</v>
      </c>
      <c r="H882" s="380" t="s">
        <v>3516</v>
      </c>
      <c r="I882" s="380" t="s">
        <v>1914</v>
      </c>
      <c r="J882" s="380" t="s">
        <v>1961</v>
      </c>
      <c r="K882" s="380" t="s">
        <v>1916</v>
      </c>
      <c r="L882" s="403">
        <v>0</v>
      </c>
    </row>
    <row r="883" spans="1:12" ht="15" customHeight="1" x14ac:dyDescent="0.25">
      <c r="A883" s="380" t="s">
        <v>3517</v>
      </c>
      <c r="B883" s="380" t="s">
        <v>1884</v>
      </c>
      <c r="C883" s="380" t="s">
        <v>1712</v>
      </c>
      <c r="D883" s="380" t="s">
        <v>1338</v>
      </c>
      <c r="E883" s="380" t="s">
        <v>322</v>
      </c>
      <c r="F883" s="380" t="s">
        <v>1305</v>
      </c>
      <c r="G883" s="380" t="s">
        <v>1339</v>
      </c>
      <c r="H883" s="380" t="s">
        <v>3518</v>
      </c>
      <c r="I883" s="380" t="s">
        <v>1914</v>
      </c>
      <c r="J883" s="380" t="s">
        <v>1964</v>
      </c>
      <c r="K883" s="380"/>
      <c r="L883" s="403">
        <v>3.5</v>
      </c>
    </row>
    <row r="884" spans="1:12" ht="15" customHeight="1" x14ac:dyDescent="0.25">
      <c r="A884" s="380" t="s">
        <v>3519</v>
      </c>
      <c r="B884" s="380" t="s">
        <v>1884</v>
      </c>
      <c r="C884" s="380" t="s">
        <v>1712</v>
      </c>
      <c r="D884" s="380" t="s">
        <v>1966</v>
      </c>
      <c r="E884" s="380" t="s">
        <v>322</v>
      </c>
      <c r="F884" s="380" t="s">
        <v>1305</v>
      </c>
      <c r="G884" s="380" t="s">
        <v>1277</v>
      </c>
      <c r="H884" s="380" t="s">
        <v>3520</v>
      </c>
      <c r="I884" s="380" t="s">
        <v>1746</v>
      </c>
      <c r="J884" s="380" t="s">
        <v>1968</v>
      </c>
      <c r="K884" s="380" t="s">
        <v>1969</v>
      </c>
      <c r="L884" s="403">
        <v>0.1</v>
      </c>
    </row>
    <row r="885" spans="1:12" ht="15" customHeight="1" x14ac:dyDescent="0.25">
      <c r="A885" s="380" t="s">
        <v>3521</v>
      </c>
      <c r="B885" s="380" t="s">
        <v>1884</v>
      </c>
      <c r="C885" s="380" t="s">
        <v>1712</v>
      </c>
      <c r="D885" s="380" t="s">
        <v>1971</v>
      </c>
      <c r="E885" s="380" t="s">
        <v>322</v>
      </c>
      <c r="F885" s="380" t="s">
        <v>1305</v>
      </c>
      <c r="G885" s="380" t="s">
        <v>1277</v>
      </c>
      <c r="H885" s="380" t="s">
        <v>3522</v>
      </c>
      <c r="I885" s="380" t="s">
        <v>1566</v>
      </c>
      <c r="J885" s="380" t="s">
        <v>1973</v>
      </c>
      <c r="K885" s="380" t="s">
        <v>1969</v>
      </c>
      <c r="L885" s="403">
        <v>0</v>
      </c>
    </row>
    <row r="886" spans="1:12" ht="15" customHeight="1" x14ac:dyDescent="0.25">
      <c r="A886" s="380" t="s">
        <v>3523</v>
      </c>
      <c r="B886" s="380" t="s">
        <v>1884</v>
      </c>
      <c r="C886" s="380" t="s">
        <v>1712</v>
      </c>
      <c r="D886" s="380" t="s">
        <v>1890</v>
      </c>
      <c r="E886" s="380" t="s">
        <v>322</v>
      </c>
      <c r="F886" s="380" t="s">
        <v>1361</v>
      </c>
      <c r="G886" s="380" t="s">
        <v>1277</v>
      </c>
      <c r="H886" s="380" t="s">
        <v>3524</v>
      </c>
      <c r="I886" s="380" t="s">
        <v>1307</v>
      </c>
      <c r="J886" s="380" t="s">
        <v>1976</v>
      </c>
      <c r="K886" s="380" t="s">
        <v>1893</v>
      </c>
      <c r="L886" s="406">
        <v>8</v>
      </c>
    </row>
    <row r="887" spans="1:12" ht="15" customHeight="1" x14ac:dyDescent="0.25">
      <c r="A887" s="380" t="s">
        <v>3525</v>
      </c>
      <c r="B887" s="380" t="s">
        <v>1884</v>
      </c>
      <c r="C887" s="380" t="s">
        <v>1712</v>
      </c>
      <c r="D887" s="380" t="s">
        <v>1895</v>
      </c>
      <c r="E887" s="380" t="s">
        <v>322</v>
      </c>
      <c r="F887" s="380" t="s">
        <v>1361</v>
      </c>
      <c r="G887" s="380" t="s">
        <v>1277</v>
      </c>
      <c r="H887" s="380" t="s">
        <v>3526</v>
      </c>
      <c r="I887" s="380" t="s">
        <v>1897</v>
      </c>
      <c r="J887" s="380" t="s">
        <v>1898</v>
      </c>
      <c r="K887" s="380"/>
      <c r="L887" s="404">
        <v>0.8</v>
      </c>
    </row>
    <row r="888" spans="1:12" ht="15" customHeight="1" x14ac:dyDescent="0.25">
      <c r="A888" s="380" t="s">
        <v>3527</v>
      </c>
      <c r="B888" s="380" t="s">
        <v>1884</v>
      </c>
      <c r="C888" s="380" t="s">
        <v>1712</v>
      </c>
      <c r="D888" s="380" t="s">
        <v>1900</v>
      </c>
      <c r="E888" s="380" t="s">
        <v>322</v>
      </c>
      <c r="F888" s="380" t="s">
        <v>1361</v>
      </c>
      <c r="G888" s="380" t="s">
        <v>1277</v>
      </c>
      <c r="H888" s="380" t="s">
        <v>3528</v>
      </c>
      <c r="I888" s="380" t="s">
        <v>1902</v>
      </c>
      <c r="J888" s="380" t="s">
        <v>1903</v>
      </c>
      <c r="K888" s="380"/>
      <c r="L888" s="404">
        <v>0.1</v>
      </c>
    </row>
    <row r="889" spans="1:12" ht="15" customHeight="1" x14ac:dyDescent="0.25">
      <c r="A889" s="380" t="s">
        <v>3529</v>
      </c>
      <c r="B889" s="380" t="s">
        <v>1884</v>
      </c>
      <c r="C889" s="380" t="s">
        <v>1712</v>
      </c>
      <c r="D889" s="380" t="s">
        <v>1905</v>
      </c>
      <c r="E889" s="380" t="s">
        <v>322</v>
      </c>
      <c r="F889" s="380" t="s">
        <v>1361</v>
      </c>
      <c r="G889" s="380" t="s">
        <v>1277</v>
      </c>
      <c r="H889" s="380" t="s">
        <v>3530</v>
      </c>
      <c r="I889" s="380" t="s">
        <v>1902</v>
      </c>
      <c r="J889" s="380" t="s">
        <v>1907</v>
      </c>
      <c r="K889" s="380"/>
      <c r="L889" s="404">
        <v>0.03</v>
      </c>
    </row>
    <row r="890" spans="1:12" ht="15" customHeight="1" x14ac:dyDescent="0.25">
      <c r="A890" s="380" t="s">
        <v>3531</v>
      </c>
      <c r="B890" s="380" t="s">
        <v>1884</v>
      </c>
      <c r="C890" s="380" t="s">
        <v>1712</v>
      </c>
      <c r="D890" s="380" t="s">
        <v>1909</v>
      </c>
      <c r="E890" s="380" t="s">
        <v>322</v>
      </c>
      <c r="F890" s="380" t="s">
        <v>1361</v>
      </c>
      <c r="G890" s="380" t="s">
        <v>1277</v>
      </c>
      <c r="H890" s="380" t="s">
        <v>3532</v>
      </c>
      <c r="I890" s="380" t="s">
        <v>1902</v>
      </c>
      <c r="J890" s="380" t="s">
        <v>1911</v>
      </c>
      <c r="K890" s="380"/>
      <c r="L890" s="404">
        <v>0.1</v>
      </c>
    </row>
    <row r="891" spans="1:12" ht="15" customHeight="1" x14ac:dyDescent="0.25">
      <c r="A891" s="380" t="s">
        <v>3533</v>
      </c>
      <c r="B891" s="380" t="s">
        <v>1884</v>
      </c>
      <c r="C891" s="380" t="s">
        <v>1712</v>
      </c>
      <c r="D891" s="380" t="s">
        <v>1317</v>
      </c>
      <c r="E891" s="380" t="s">
        <v>322</v>
      </c>
      <c r="F891" s="380" t="s">
        <v>1361</v>
      </c>
      <c r="G891" s="380" t="s">
        <v>757</v>
      </c>
      <c r="H891" s="380" t="s">
        <v>3534</v>
      </c>
      <c r="I891" s="380" t="s">
        <v>1914</v>
      </c>
      <c r="J891" s="380" t="s">
        <v>1915</v>
      </c>
      <c r="K891" s="380" t="s">
        <v>1916</v>
      </c>
      <c r="L891" s="403">
        <v>1.5</v>
      </c>
    </row>
    <row r="892" spans="1:12" ht="15" customHeight="1" x14ac:dyDescent="0.25">
      <c r="A892" s="380" t="s">
        <v>3535</v>
      </c>
      <c r="B892" s="380" t="s">
        <v>1884</v>
      </c>
      <c r="C892" s="380" t="s">
        <v>1712</v>
      </c>
      <c r="D892" s="380" t="s">
        <v>1317</v>
      </c>
      <c r="E892" s="380" t="s">
        <v>322</v>
      </c>
      <c r="F892" s="380" t="s">
        <v>1361</v>
      </c>
      <c r="G892" s="380" t="s">
        <v>754</v>
      </c>
      <c r="H892" s="380" t="s">
        <v>3536</v>
      </c>
      <c r="I892" s="380" t="s">
        <v>1914</v>
      </c>
      <c r="J892" s="380" t="s">
        <v>1919</v>
      </c>
      <c r="K892" s="380" t="s">
        <v>1916</v>
      </c>
      <c r="L892" s="403">
        <v>0.5</v>
      </c>
    </row>
    <row r="893" spans="1:12" ht="15" customHeight="1" x14ac:dyDescent="0.25">
      <c r="A893" s="380" t="s">
        <v>3537</v>
      </c>
      <c r="B893" s="380" t="s">
        <v>1884</v>
      </c>
      <c r="C893" s="380" t="s">
        <v>1712</v>
      </c>
      <c r="D893" s="380" t="s">
        <v>1317</v>
      </c>
      <c r="E893" s="380" t="s">
        <v>322</v>
      </c>
      <c r="F893" s="380" t="s">
        <v>1361</v>
      </c>
      <c r="G893" s="380" t="s">
        <v>1292</v>
      </c>
      <c r="H893" s="380" t="s">
        <v>3538</v>
      </c>
      <c r="I893" s="380" t="s">
        <v>1914</v>
      </c>
      <c r="J893" s="380" t="s">
        <v>1922</v>
      </c>
      <c r="K893" s="380" t="s">
        <v>1916</v>
      </c>
      <c r="L893" s="403">
        <v>0</v>
      </c>
    </row>
    <row r="894" spans="1:12" ht="15" customHeight="1" x14ac:dyDescent="0.25">
      <c r="A894" s="380" t="s">
        <v>3539</v>
      </c>
      <c r="B894" s="380" t="s">
        <v>1884</v>
      </c>
      <c r="C894" s="380" t="s">
        <v>1712</v>
      </c>
      <c r="D894" s="380" t="s">
        <v>1317</v>
      </c>
      <c r="E894" s="380" t="s">
        <v>322</v>
      </c>
      <c r="F894" s="380" t="s">
        <v>1361</v>
      </c>
      <c r="G894" s="380" t="s">
        <v>762</v>
      </c>
      <c r="H894" s="380" t="s">
        <v>3540</v>
      </c>
      <c r="I894" s="380" t="s">
        <v>1914</v>
      </c>
      <c r="J894" s="380" t="s">
        <v>1925</v>
      </c>
      <c r="K894" s="380" t="s">
        <v>1916</v>
      </c>
      <c r="L894" s="403">
        <v>0</v>
      </c>
    </row>
    <row r="895" spans="1:12" ht="15" customHeight="1" x14ac:dyDescent="0.25">
      <c r="A895" s="380" t="s">
        <v>3541</v>
      </c>
      <c r="B895" s="380" t="s">
        <v>1884</v>
      </c>
      <c r="C895" s="380" t="s">
        <v>1712</v>
      </c>
      <c r="D895" s="380" t="s">
        <v>1317</v>
      </c>
      <c r="E895" s="380" t="s">
        <v>322</v>
      </c>
      <c r="F895" s="380" t="s">
        <v>1361</v>
      </c>
      <c r="G895" s="380" t="s">
        <v>1295</v>
      </c>
      <c r="H895" s="380" t="s">
        <v>3542</v>
      </c>
      <c r="I895" s="380" t="s">
        <v>1914</v>
      </c>
      <c r="J895" s="380" t="s">
        <v>1928</v>
      </c>
      <c r="K895" s="380" t="s">
        <v>1916</v>
      </c>
      <c r="L895" s="403">
        <v>0</v>
      </c>
    </row>
    <row r="896" spans="1:12" ht="15" customHeight="1" x14ac:dyDescent="0.25">
      <c r="A896" s="380" t="s">
        <v>3543</v>
      </c>
      <c r="B896" s="380" t="s">
        <v>1884</v>
      </c>
      <c r="C896" s="380" t="s">
        <v>1712</v>
      </c>
      <c r="D896" s="380" t="s">
        <v>1317</v>
      </c>
      <c r="E896" s="380" t="s">
        <v>322</v>
      </c>
      <c r="F896" s="380" t="s">
        <v>1361</v>
      </c>
      <c r="G896" s="380" t="s">
        <v>1297</v>
      </c>
      <c r="H896" s="380" t="s">
        <v>3544</v>
      </c>
      <c r="I896" s="380" t="s">
        <v>1914</v>
      </c>
      <c r="J896" s="380" t="s">
        <v>1931</v>
      </c>
      <c r="K896" s="380" t="s">
        <v>1916</v>
      </c>
      <c r="L896" s="403">
        <v>0</v>
      </c>
    </row>
    <row r="897" spans="1:12" ht="15" customHeight="1" x14ac:dyDescent="0.25">
      <c r="A897" s="380" t="s">
        <v>3545</v>
      </c>
      <c r="B897" s="380" t="s">
        <v>1884</v>
      </c>
      <c r="C897" s="380" t="s">
        <v>1712</v>
      </c>
      <c r="D897" s="380" t="s">
        <v>1317</v>
      </c>
      <c r="E897" s="380" t="s">
        <v>322</v>
      </c>
      <c r="F897" s="380" t="s">
        <v>1361</v>
      </c>
      <c r="G897" s="380" t="s">
        <v>1299</v>
      </c>
      <c r="H897" s="380" t="s">
        <v>3546</v>
      </c>
      <c r="I897" s="380" t="s">
        <v>1914</v>
      </c>
      <c r="J897" s="380" t="s">
        <v>1934</v>
      </c>
      <c r="K897" s="380" t="s">
        <v>1916</v>
      </c>
      <c r="L897" s="403">
        <v>0</v>
      </c>
    </row>
    <row r="898" spans="1:12" ht="15" customHeight="1" x14ac:dyDescent="0.25">
      <c r="A898" s="380" t="s">
        <v>3547</v>
      </c>
      <c r="B898" s="380" t="s">
        <v>1884</v>
      </c>
      <c r="C898" s="380" t="s">
        <v>1712</v>
      </c>
      <c r="D898" s="380" t="s">
        <v>1317</v>
      </c>
      <c r="E898" s="380" t="s">
        <v>322</v>
      </c>
      <c r="F898" s="380" t="s">
        <v>1361</v>
      </c>
      <c r="G898" s="380" t="s">
        <v>1301</v>
      </c>
      <c r="H898" s="380" t="s">
        <v>3548</v>
      </c>
      <c r="I898" s="380" t="s">
        <v>1914</v>
      </c>
      <c r="J898" s="380" t="s">
        <v>1937</v>
      </c>
      <c r="K898" s="380" t="s">
        <v>1916</v>
      </c>
      <c r="L898" s="403">
        <v>0</v>
      </c>
    </row>
    <row r="899" spans="1:12" ht="15" customHeight="1" x14ac:dyDescent="0.25">
      <c r="A899" s="380" t="s">
        <v>3549</v>
      </c>
      <c r="B899" s="380" t="s">
        <v>1884</v>
      </c>
      <c r="C899" s="380" t="s">
        <v>1712</v>
      </c>
      <c r="D899" s="380" t="s">
        <v>1328</v>
      </c>
      <c r="E899" s="380" t="s">
        <v>322</v>
      </c>
      <c r="F899" s="380" t="s">
        <v>1361</v>
      </c>
      <c r="G899" s="380" t="s">
        <v>757</v>
      </c>
      <c r="H899" s="380" t="s">
        <v>3550</v>
      </c>
      <c r="I899" s="380" t="s">
        <v>1914</v>
      </c>
      <c r="J899" s="380" t="s">
        <v>1940</v>
      </c>
      <c r="K899" s="380" t="s">
        <v>1916</v>
      </c>
      <c r="L899" s="403">
        <v>0</v>
      </c>
    </row>
    <row r="900" spans="1:12" ht="15" customHeight="1" x14ac:dyDescent="0.25">
      <c r="A900" s="380" t="s">
        <v>3551</v>
      </c>
      <c r="B900" s="380" t="s">
        <v>1884</v>
      </c>
      <c r="C900" s="380" t="s">
        <v>1712</v>
      </c>
      <c r="D900" s="380" t="s">
        <v>1328</v>
      </c>
      <c r="E900" s="380" t="s">
        <v>322</v>
      </c>
      <c r="F900" s="380" t="s">
        <v>1361</v>
      </c>
      <c r="G900" s="380" t="s">
        <v>754</v>
      </c>
      <c r="H900" s="380" t="s">
        <v>3552</v>
      </c>
      <c r="I900" s="380" t="s">
        <v>1914</v>
      </c>
      <c r="J900" s="380" t="s">
        <v>1943</v>
      </c>
      <c r="K900" s="380" t="s">
        <v>1916</v>
      </c>
      <c r="L900" s="403">
        <v>0</v>
      </c>
    </row>
    <row r="901" spans="1:12" ht="15" customHeight="1" x14ac:dyDescent="0.25">
      <c r="A901" s="380" t="s">
        <v>3553</v>
      </c>
      <c r="B901" s="380" t="s">
        <v>1884</v>
      </c>
      <c r="C901" s="380" t="s">
        <v>1712</v>
      </c>
      <c r="D901" s="380" t="s">
        <v>1328</v>
      </c>
      <c r="E901" s="380" t="s">
        <v>322</v>
      </c>
      <c r="F901" s="380" t="s">
        <v>1361</v>
      </c>
      <c r="G901" s="380" t="s">
        <v>1292</v>
      </c>
      <c r="H901" s="380" t="s">
        <v>3554</v>
      </c>
      <c r="I901" s="380" t="s">
        <v>1914</v>
      </c>
      <c r="J901" s="380" t="s">
        <v>1946</v>
      </c>
      <c r="K901" s="380" t="s">
        <v>1916</v>
      </c>
      <c r="L901" s="403">
        <v>0</v>
      </c>
    </row>
    <row r="902" spans="1:12" ht="15" customHeight="1" x14ac:dyDescent="0.25">
      <c r="A902" s="380" t="s">
        <v>3555</v>
      </c>
      <c r="B902" s="380" t="s">
        <v>1884</v>
      </c>
      <c r="C902" s="380" t="s">
        <v>1712</v>
      </c>
      <c r="D902" s="380" t="s">
        <v>1328</v>
      </c>
      <c r="E902" s="380" t="s">
        <v>322</v>
      </c>
      <c r="F902" s="380" t="s">
        <v>1361</v>
      </c>
      <c r="G902" s="380" t="s">
        <v>762</v>
      </c>
      <c r="H902" s="380" t="s">
        <v>3556</v>
      </c>
      <c r="I902" s="380" t="s">
        <v>1914</v>
      </c>
      <c r="J902" s="380" t="s">
        <v>1949</v>
      </c>
      <c r="K902" s="380" t="s">
        <v>1916</v>
      </c>
      <c r="L902" s="403">
        <v>0</v>
      </c>
    </row>
    <row r="903" spans="1:12" ht="15" customHeight="1" x14ac:dyDescent="0.25">
      <c r="A903" s="380" t="s">
        <v>3557</v>
      </c>
      <c r="B903" s="380" t="s">
        <v>1884</v>
      </c>
      <c r="C903" s="380" t="s">
        <v>1712</v>
      </c>
      <c r="D903" s="380" t="s">
        <v>1328</v>
      </c>
      <c r="E903" s="380" t="s">
        <v>322</v>
      </c>
      <c r="F903" s="380" t="s">
        <v>1361</v>
      </c>
      <c r="G903" s="380" t="s">
        <v>1295</v>
      </c>
      <c r="H903" s="380" t="s">
        <v>3558</v>
      </c>
      <c r="I903" s="380" t="s">
        <v>1914</v>
      </c>
      <c r="J903" s="380" t="s">
        <v>1952</v>
      </c>
      <c r="K903" s="380" t="s">
        <v>1916</v>
      </c>
      <c r="L903" s="403">
        <v>0</v>
      </c>
    </row>
    <row r="904" spans="1:12" ht="15" customHeight="1" x14ac:dyDescent="0.25">
      <c r="A904" s="380" t="s">
        <v>3559</v>
      </c>
      <c r="B904" s="380" t="s">
        <v>1884</v>
      </c>
      <c r="C904" s="380" t="s">
        <v>1712</v>
      </c>
      <c r="D904" s="380" t="s">
        <v>1328</v>
      </c>
      <c r="E904" s="380" t="s">
        <v>322</v>
      </c>
      <c r="F904" s="380" t="s">
        <v>1361</v>
      </c>
      <c r="G904" s="380" t="s">
        <v>1297</v>
      </c>
      <c r="H904" s="380" t="s">
        <v>3560</v>
      </c>
      <c r="I904" s="380" t="s">
        <v>1914</v>
      </c>
      <c r="J904" s="380" t="s">
        <v>1955</v>
      </c>
      <c r="K904" s="380" t="s">
        <v>1916</v>
      </c>
      <c r="L904" s="403">
        <v>0</v>
      </c>
    </row>
    <row r="905" spans="1:12" ht="15" customHeight="1" x14ac:dyDescent="0.25">
      <c r="A905" s="380" t="s">
        <v>3561</v>
      </c>
      <c r="B905" s="380" t="s">
        <v>1884</v>
      </c>
      <c r="C905" s="380" t="s">
        <v>1712</v>
      </c>
      <c r="D905" s="380" t="s">
        <v>1328</v>
      </c>
      <c r="E905" s="380" t="s">
        <v>322</v>
      </c>
      <c r="F905" s="380" t="s">
        <v>1361</v>
      </c>
      <c r="G905" s="380" t="s">
        <v>1299</v>
      </c>
      <c r="H905" s="380" t="s">
        <v>3562</v>
      </c>
      <c r="I905" s="380" t="s">
        <v>1914</v>
      </c>
      <c r="J905" s="380" t="s">
        <v>1958</v>
      </c>
      <c r="K905" s="380" t="s">
        <v>1916</v>
      </c>
      <c r="L905" s="403">
        <v>0</v>
      </c>
    </row>
    <row r="906" spans="1:12" ht="15" customHeight="1" x14ac:dyDescent="0.25">
      <c r="A906" s="380" t="s">
        <v>3563</v>
      </c>
      <c r="B906" s="380" t="s">
        <v>1884</v>
      </c>
      <c r="C906" s="380" t="s">
        <v>1712</v>
      </c>
      <c r="D906" s="380" t="s">
        <v>1328</v>
      </c>
      <c r="E906" s="380" t="s">
        <v>322</v>
      </c>
      <c r="F906" s="380" t="s">
        <v>1361</v>
      </c>
      <c r="G906" s="380" t="s">
        <v>1301</v>
      </c>
      <c r="H906" s="380" t="s">
        <v>3564</v>
      </c>
      <c r="I906" s="380" t="s">
        <v>1914</v>
      </c>
      <c r="J906" s="380" t="s">
        <v>1961</v>
      </c>
      <c r="K906" s="380" t="s">
        <v>1916</v>
      </c>
      <c r="L906" s="403">
        <v>0</v>
      </c>
    </row>
    <row r="907" spans="1:12" ht="15" customHeight="1" x14ac:dyDescent="0.25">
      <c r="A907" s="380" t="s">
        <v>3565</v>
      </c>
      <c r="B907" s="380" t="s">
        <v>1884</v>
      </c>
      <c r="C907" s="380" t="s">
        <v>1712</v>
      </c>
      <c r="D907" s="380" t="s">
        <v>1338</v>
      </c>
      <c r="E907" s="380" t="s">
        <v>322</v>
      </c>
      <c r="F907" s="380" t="s">
        <v>1361</v>
      </c>
      <c r="G907" s="380" t="s">
        <v>1339</v>
      </c>
      <c r="H907" s="380" t="s">
        <v>3566</v>
      </c>
      <c r="I907" s="380" t="s">
        <v>1914</v>
      </c>
      <c r="J907" s="380" t="s">
        <v>1964</v>
      </c>
      <c r="K907" s="380"/>
      <c r="L907" s="403">
        <v>5</v>
      </c>
    </row>
    <row r="908" spans="1:12" ht="15" customHeight="1" x14ac:dyDescent="0.25">
      <c r="A908" s="380" t="s">
        <v>3567</v>
      </c>
      <c r="B908" s="380" t="s">
        <v>1884</v>
      </c>
      <c r="C908" s="380" t="s">
        <v>1712</v>
      </c>
      <c r="D908" s="380" t="s">
        <v>1966</v>
      </c>
      <c r="E908" s="380" t="s">
        <v>322</v>
      </c>
      <c r="F908" s="380" t="s">
        <v>1361</v>
      </c>
      <c r="G908" s="380" t="s">
        <v>1277</v>
      </c>
      <c r="H908" s="380" t="s">
        <v>3568</v>
      </c>
      <c r="I908" s="380" t="s">
        <v>1746</v>
      </c>
      <c r="J908" s="380" t="s">
        <v>1968</v>
      </c>
      <c r="K908" s="380" t="s">
        <v>1969</v>
      </c>
      <c r="L908" s="403">
        <v>0</v>
      </c>
    </row>
    <row r="909" spans="1:12" ht="15" customHeight="1" x14ac:dyDescent="0.25">
      <c r="A909" s="380" t="s">
        <v>3569</v>
      </c>
      <c r="B909" s="380" t="s">
        <v>1884</v>
      </c>
      <c r="C909" s="380" t="s">
        <v>1712</v>
      </c>
      <c r="D909" s="380" t="s">
        <v>1971</v>
      </c>
      <c r="E909" s="380" t="s">
        <v>322</v>
      </c>
      <c r="F909" s="380" t="s">
        <v>1361</v>
      </c>
      <c r="G909" s="380" t="s">
        <v>1277</v>
      </c>
      <c r="H909" s="380" t="s">
        <v>3570</v>
      </c>
      <c r="I909" s="380" t="s">
        <v>1566</v>
      </c>
      <c r="J909" s="380" t="s">
        <v>1973</v>
      </c>
      <c r="K909" s="380" t="s">
        <v>1969</v>
      </c>
      <c r="L909" s="403">
        <v>0</v>
      </c>
    </row>
    <row r="910" spans="1:12" ht="15" customHeight="1" x14ac:dyDescent="0.25">
      <c r="A910" s="380" t="s">
        <v>3571</v>
      </c>
      <c r="B910" s="380" t="s">
        <v>1884</v>
      </c>
      <c r="C910" s="380" t="s">
        <v>1712</v>
      </c>
      <c r="D910" s="380" t="s">
        <v>1890</v>
      </c>
      <c r="E910" s="380" t="s">
        <v>322</v>
      </c>
      <c r="F910" s="380" t="s">
        <v>1389</v>
      </c>
      <c r="G910" s="380" t="s">
        <v>1277</v>
      </c>
      <c r="H910" s="380" t="s">
        <v>3572</v>
      </c>
      <c r="I910" s="380" t="s">
        <v>1307</v>
      </c>
      <c r="J910" s="380" t="s">
        <v>2025</v>
      </c>
      <c r="K910" s="380" t="s">
        <v>1893</v>
      </c>
      <c r="L910" s="406">
        <v>110</v>
      </c>
    </row>
    <row r="911" spans="1:12" ht="15" customHeight="1" x14ac:dyDescent="0.25">
      <c r="A911" s="380" t="s">
        <v>3573</v>
      </c>
      <c r="B911" s="380" t="s">
        <v>1884</v>
      </c>
      <c r="C911" s="380" t="s">
        <v>1712</v>
      </c>
      <c r="D911" s="380" t="s">
        <v>1895</v>
      </c>
      <c r="E911" s="380" t="s">
        <v>322</v>
      </c>
      <c r="F911" s="380" t="s">
        <v>1389</v>
      </c>
      <c r="G911" s="380" t="s">
        <v>1277</v>
      </c>
      <c r="H911" s="380" t="s">
        <v>3574</v>
      </c>
      <c r="I911" s="380" t="s">
        <v>1897</v>
      </c>
      <c r="J911" s="380" t="s">
        <v>1898</v>
      </c>
      <c r="K911" s="380"/>
      <c r="L911" s="404">
        <v>1</v>
      </c>
    </row>
    <row r="912" spans="1:12" ht="15" customHeight="1" x14ac:dyDescent="0.25">
      <c r="A912" s="380" t="s">
        <v>3575</v>
      </c>
      <c r="B912" s="380" t="s">
        <v>1884</v>
      </c>
      <c r="C912" s="380" t="s">
        <v>1712</v>
      </c>
      <c r="D912" s="380" t="s">
        <v>1900</v>
      </c>
      <c r="E912" s="380" t="s">
        <v>322</v>
      </c>
      <c r="F912" s="380" t="s">
        <v>1389</v>
      </c>
      <c r="G912" s="380" t="s">
        <v>1277</v>
      </c>
      <c r="H912" s="380" t="s">
        <v>3576</v>
      </c>
      <c r="I912" s="380" t="s">
        <v>1902</v>
      </c>
      <c r="J912" s="380" t="s">
        <v>1903</v>
      </c>
      <c r="K912" s="380"/>
      <c r="L912" s="404">
        <v>0.15</v>
      </c>
    </row>
    <row r="913" spans="1:12" ht="15" customHeight="1" x14ac:dyDescent="0.25">
      <c r="A913" s="380" t="s">
        <v>3577</v>
      </c>
      <c r="B913" s="380" t="s">
        <v>1884</v>
      </c>
      <c r="C913" s="380" t="s">
        <v>1712</v>
      </c>
      <c r="D913" s="380" t="s">
        <v>1905</v>
      </c>
      <c r="E913" s="380" t="s">
        <v>322</v>
      </c>
      <c r="F913" s="380" t="s">
        <v>1389</v>
      </c>
      <c r="G913" s="380" t="s">
        <v>1277</v>
      </c>
      <c r="H913" s="380" t="s">
        <v>3578</v>
      </c>
      <c r="I913" s="380" t="s">
        <v>1902</v>
      </c>
      <c r="J913" s="380" t="s">
        <v>1907</v>
      </c>
      <c r="K913" s="380"/>
      <c r="L913" s="404">
        <v>0.06</v>
      </c>
    </row>
    <row r="914" spans="1:12" ht="15" customHeight="1" x14ac:dyDescent="0.25">
      <c r="A914" s="380" t="s">
        <v>3579</v>
      </c>
      <c r="B914" s="380" t="s">
        <v>1884</v>
      </c>
      <c r="C914" s="380" t="s">
        <v>1712</v>
      </c>
      <c r="D914" s="380" t="s">
        <v>1909</v>
      </c>
      <c r="E914" s="380" t="s">
        <v>322</v>
      </c>
      <c r="F914" s="380" t="s">
        <v>1389</v>
      </c>
      <c r="G914" s="380" t="s">
        <v>1277</v>
      </c>
      <c r="H914" s="380" t="s">
        <v>3580</v>
      </c>
      <c r="I914" s="380" t="s">
        <v>1902</v>
      </c>
      <c r="J914" s="380" t="s">
        <v>1911</v>
      </c>
      <c r="K914" s="380"/>
      <c r="L914" s="404">
        <v>0.05</v>
      </c>
    </row>
    <row r="915" spans="1:12" ht="15" customHeight="1" x14ac:dyDescent="0.25">
      <c r="A915" s="380" t="s">
        <v>3581</v>
      </c>
      <c r="B915" s="380" t="s">
        <v>1884</v>
      </c>
      <c r="C915" s="380" t="s">
        <v>1712</v>
      </c>
      <c r="D915" s="380" t="s">
        <v>1317</v>
      </c>
      <c r="E915" s="380" t="s">
        <v>322</v>
      </c>
      <c r="F915" s="380" t="s">
        <v>1389</v>
      </c>
      <c r="G915" s="380" t="s">
        <v>757</v>
      </c>
      <c r="H915" s="380" t="s">
        <v>3582</v>
      </c>
      <c r="I915" s="380" t="s">
        <v>1914</v>
      </c>
      <c r="J915" s="380" t="s">
        <v>1915</v>
      </c>
      <c r="K915" s="380" t="s">
        <v>1916</v>
      </c>
      <c r="L915" s="403">
        <v>4.5</v>
      </c>
    </row>
    <row r="916" spans="1:12" ht="15" customHeight="1" x14ac:dyDescent="0.25">
      <c r="A916" s="380" t="s">
        <v>3583</v>
      </c>
      <c r="B916" s="380" t="s">
        <v>1884</v>
      </c>
      <c r="C916" s="380" t="s">
        <v>1712</v>
      </c>
      <c r="D916" s="380" t="s">
        <v>1317</v>
      </c>
      <c r="E916" s="380" t="s">
        <v>322</v>
      </c>
      <c r="F916" s="380" t="s">
        <v>1389</v>
      </c>
      <c r="G916" s="380" t="s">
        <v>754</v>
      </c>
      <c r="H916" s="380" t="s">
        <v>3584</v>
      </c>
      <c r="I916" s="380" t="s">
        <v>1914</v>
      </c>
      <c r="J916" s="380" t="s">
        <v>1919</v>
      </c>
      <c r="K916" s="380" t="s">
        <v>1916</v>
      </c>
      <c r="L916" s="403">
        <v>0.5</v>
      </c>
    </row>
    <row r="917" spans="1:12" ht="15" customHeight="1" x14ac:dyDescent="0.25">
      <c r="A917" s="380" t="s">
        <v>3585</v>
      </c>
      <c r="B917" s="380" t="s">
        <v>1884</v>
      </c>
      <c r="C917" s="380" t="s">
        <v>1712</v>
      </c>
      <c r="D917" s="380" t="s">
        <v>1317</v>
      </c>
      <c r="E917" s="380" t="s">
        <v>322</v>
      </c>
      <c r="F917" s="380" t="s">
        <v>1389</v>
      </c>
      <c r="G917" s="380" t="s">
        <v>1292</v>
      </c>
      <c r="H917" s="380" t="s">
        <v>3586</v>
      </c>
      <c r="I917" s="380" t="s">
        <v>1914</v>
      </c>
      <c r="J917" s="380" t="s">
        <v>1922</v>
      </c>
      <c r="K917" s="380" t="s">
        <v>1916</v>
      </c>
      <c r="L917" s="403">
        <v>0</v>
      </c>
    </row>
    <row r="918" spans="1:12" ht="15" customHeight="1" x14ac:dyDescent="0.25">
      <c r="A918" s="380" t="s">
        <v>3587</v>
      </c>
      <c r="B918" s="380" t="s">
        <v>1884</v>
      </c>
      <c r="C918" s="380" t="s">
        <v>1712</v>
      </c>
      <c r="D918" s="380" t="s">
        <v>1317</v>
      </c>
      <c r="E918" s="380" t="s">
        <v>322</v>
      </c>
      <c r="F918" s="380" t="s">
        <v>1389</v>
      </c>
      <c r="G918" s="380" t="s">
        <v>762</v>
      </c>
      <c r="H918" s="380" t="s">
        <v>3588</v>
      </c>
      <c r="I918" s="380" t="s">
        <v>1914</v>
      </c>
      <c r="J918" s="380" t="s">
        <v>1925</v>
      </c>
      <c r="K918" s="380" t="s">
        <v>1916</v>
      </c>
      <c r="L918" s="403">
        <v>0.2</v>
      </c>
    </row>
    <row r="919" spans="1:12" ht="15" customHeight="1" x14ac:dyDescent="0.25">
      <c r="A919" s="380" t="s">
        <v>3589</v>
      </c>
      <c r="B919" s="380" t="s">
        <v>1884</v>
      </c>
      <c r="C919" s="380" t="s">
        <v>1712</v>
      </c>
      <c r="D919" s="380" t="s">
        <v>1317</v>
      </c>
      <c r="E919" s="380" t="s">
        <v>322</v>
      </c>
      <c r="F919" s="380" t="s">
        <v>1389</v>
      </c>
      <c r="G919" s="380" t="s">
        <v>1295</v>
      </c>
      <c r="H919" s="380" t="s">
        <v>3590</v>
      </c>
      <c r="I919" s="380" t="s">
        <v>1914</v>
      </c>
      <c r="J919" s="380" t="s">
        <v>1928</v>
      </c>
      <c r="K919" s="380" t="s">
        <v>1916</v>
      </c>
      <c r="L919" s="403">
        <v>0</v>
      </c>
    </row>
    <row r="920" spans="1:12" ht="15" customHeight="1" x14ac:dyDescent="0.25">
      <c r="A920" s="380" t="s">
        <v>3591</v>
      </c>
      <c r="B920" s="380" t="s">
        <v>1884</v>
      </c>
      <c r="C920" s="380" t="s">
        <v>1712</v>
      </c>
      <c r="D920" s="380" t="s">
        <v>1317</v>
      </c>
      <c r="E920" s="380" t="s">
        <v>322</v>
      </c>
      <c r="F920" s="380" t="s">
        <v>1389</v>
      </c>
      <c r="G920" s="380" t="s">
        <v>1297</v>
      </c>
      <c r="H920" s="380" t="s">
        <v>3592</v>
      </c>
      <c r="I920" s="380" t="s">
        <v>1914</v>
      </c>
      <c r="J920" s="380" t="s">
        <v>1931</v>
      </c>
      <c r="K920" s="380" t="s">
        <v>1916</v>
      </c>
      <c r="L920" s="403">
        <v>0</v>
      </c>
    </row>
    <row r="921" spans="1:12" ht="15" customHeight="1" x14ac:dyDescent="0.25">
      <c r="A921" s="380" t="s">
        <v>3593</v>
      </c>
      <c r="B921" s="380" t="s">
        <v>1884</v>
      </c>
      <c r="C921" s="380" t="s">
        <v>1712</v>
      </c>
      <c r="D921" s="380" t="s">
        <v>1317</v>
      </c>
      <c r="E921" s="380" t="s">
        <v>322</v>
      </c>
      <c r="F921" s="380" t="s">
        <v>1389</v>
      </c>
      <c r="G921" s="380" t="s">
        <v>1299</v>
      </c>
      <c r="H921" s="380" t="s">
        <v>3594</v>
      </c>
      <c r="I921" s="380" t="s">
        <v>1914</v>
      </c>
      <c r="J921" s="380" t="s">
        <v>1934</v>
      </c>
      <c r="K921" s="380" t="s">
        <v>1916</v>
      </c>
      <c r="L921" s="403">
        <v>0</v>
      </c>
    </row>
    <row r="922" spans="1:12" ht="15" customHeight="1" x14ac:dyDescent="0.25">
      <c r="A922" s="380" t="s">
        <v>3595</v>
      </c>
      <c r="B922" s="380" t="s">
        <v>1884</v>
      </c>
      <c r="C922" s="380" t="s">
        <v>1712</v>
      </c>
      <c r="D922" s="380" t="s">
        <v>1317</v>
      </c>
      <c r="E922" s="380" t="s">
        <v>322</v>
      </c>
      <c r="F922" s="380" t="s">
        <v>1389</v>
      </c>
      <c r="G922" s="380" t="s">
        <v>1301</v>
      </c>
      <c r="H922" s="380" t="s">
        <v>3596</v>
      </c>
      <c r="I922" s="380" t="s">
        <v>1914</v>
      </c>
      <c r="J922" s="380" t="s">
        <v>1937</v>
      </c>
      <c r="K922" s="380" t="s">
        <v>1916</v>
      </c>
      <c r="L922" s="403">
        <v>0</v>
      </c>
    </row>
    <row r="923" spans="1:12" ht="15" customHeight="1" x14ac:dyDescent="0.25">
      <c r="A923" s="380" t="s">
        <v>3597</v>
      </c>
      <c r="B923" s="380" t="s">
        <v>1884</v>
      </c>
      <c r="C923" s="380" t="s">
        <v>1712</v>
      </c>
      <c r="D923" s="380" t="s">
        <v>1328</v>
      </c>
      <c r="E923" s="380" t="s">
        <v>322</v>
      </c>
      <c r="F923" s="380" t="s">
        <v>1389</v>
      </c>
      <c r="G923" s="380" t="s">
        <v>757</v>
      </c>
      <c r="H923" s="380" t="s">
        <v>3598</v>
      </c>
      <c r="I923" s="380" t="s">
        <v>1914</v>
      </c>
      <c r="J923" s="380" t="s">
        <v>1940</v>
      </c>
      <c r="K923" s="380" t="s">
        <v>1916</v>
      </c>
      <c r="L923" s="403">
        <v>18</v>
      </c>
    </row>
    <row r="924" spans="1:12" ht="15" customHeight="1" x14ac:dyDescent="0.25">
      <c r="A924" s="380" t="s">
        <v>3599</v>
      </c>
      <c r="B924" s="380" t="s">
        <v>1884</v>
      </c>
      <c r="C924" s="380" t="s">
        <v>1712</v>
      </c>
      <c r="D924" s="380" t="s">
        <v>1328</v>
      </c>
      <c r="E924" s="380" t="s">
        <v>322</v>
      </c>
      <c r="F924" s="380" t="s">
        <v>1389</v>
      </c>
      <c r="G924" s="380" t="s">
        <v>754</v>
      </c>
      <c r="H924" s="380" t="s">
        <v>3600</v>
      </c>
      <c r="I924" s="380" t="s">
        <v>1914</v>
      </c>
      <c r="J924" s="380" t="s">
        <v>1943</v>
      </c>
      <c r="K924" s="380" t="s">
        <v>1916</v>
      </c>
      <c r="L924" s="403">
        <v>0</v>
      </c>
    </row>
    <row r="925" spans="1:12" ht="15" customHeight="1" x14ac:dyDescent="0.25">
      <c r="A925" s="380" t="s">
        <v>3601</v>
      </c>
      <c r="B925" s="380" t="s">
        <v>1884</v>
      </c>
      <c r="C925" s="380" t="s">
        <v>1712</v>
      </c>
      <c r="D925" s="380" t="s">
        <v>1328</v>
      </c>
      <c r="E925" s="380" t="s">
        <v>322</v>
      </c>
      <c r="F925" s="380" t="s">
        <v>1389</v>
      </c>
      <c r="G925" s="380" t="s">
        <v>1292</v>
      </c>
      <c r="H925" s="380" t="s">
        <v>3602</v>
      </c>
      <c r="I925" s="380" t="s">
        <v>1914</v>
      </c>
      <c r="J925" s="380" t="s">
        <v>1946</v>
      </c>
      <c r="K925" s="380" t="s">
        <v>1916</v>
      </c>
      <c r="L925" s="403">
        <v>0</v>
      </c>
    </row>
    <row r="926" spans="1:12" ht="15" customHeight="1" x14ac:dyDescent="0.25">
      <c r="A926" s="380" t="s">
        <v>3603</v>
      </c>
      <c r="B926" s="380" t="s">
        <v>1884</v>
      </c>
      <c r="C926" s="380" t="s">
        <v>1712</v>
      </c>
      <c r="D926" s="380" t="s">
        <v>1328</v>
      </c>
      <c r="E926" s="380" t="s">
        <v>322</v>
      </c>
      <c r="F926" s="380" t="s">
        <v>1389</v>
      </c>
      <c r="G926" s="380" t="s">
        <v>762</v>
      </c>
      <c r="H926" s="380" t="s">
        <v>3604</v>
      </c>
      <c r="I926" s="380" t="s">
        <v>1914</v>
      </c>
      <c r="J926" s="380" t="s">
        <v>1949</v>
      </c>
      <c r="K926" s="380" t="s">
        <v>1916</v>
      </c>
      <c r="L926" s="403">
        <v>0</v>
      </c>
    </row>
    <row r="927" spans="1:12" ht="15" customHeight="1" x14ac:dyDescent="0.25">
      <c r="A927" s="380" t="s">
        <v>3605</v>
      </c>
      <c r="B927" s="380" t="s">
        <v>1884</v>
      </c>
      <c r="C927" s="380" t="s">
        <v>1712</v>
      </c>
      <c r="D927" s="380" t="s">
        <v>1328</v>
      </c>
      <c r="E927" s="380" t="s">
        <v>322</v>
      </c>
      <c r="F927" s="380" t="s">
        <v>1389</v>
      </c>
      <c r="G927" s="380" t="s">
        <v>1295</v>
      </c>
      <c r="H927" s="380" t="s">
        <v>3606</v>
      </c>
      <c r="I927" s="380" t="s">
        <v>1914</v>
      </c>
      <c r="J927" s="380" t="s">
        <v>1952</v>
      </c>
      <c r="K927" s="380" t="s">
        <v>1916</v>
      </c>
      <c r="L927" s="403">
        <v>0</v>
      </c>
    </row>
    <row r="928" spans="1:12" ht="15" customHeight="1" x14ac:dyDescent="0.25">
      <c r="A928" s="380" t="s">
        <v>3607</v>
      </c>
      <c r="B928" s="380" t="s">
        <v>1884</v>
      </c>
      <c r="C928" s="380" t="s">
        <v>1712</v>
      </c>
      <c r="D928" s="380" t="s">
        <v>1328</v>
      </c>
      <c r="E928" s="380" t="s">
        <v>322</v>
      </c>
      <c r="F928" s="380" t="s">
        <v>1389</v>
      </c>
      <c r="G928" s="380" t="s">
        <v>1297</v>
      </c>
      <c r="H928" s="380" t="s">
        <v>3608</v>
      </c>
      <c r="I928" s="380" t="s">
        <v>1914</v>
      </c>
      <c r="J928" s="380" t="s">
        <v>1955</v>
      </c>
      <c r="K928" s="380" t="s">
        <v>1916</v>
      </c>
      <c r="L928" s="403">
        <v>0</v>
      </c>
    </row>
    <row r="929" spans="1:12" ht="15" customHeight="1" x14ac:dyDescent="0.25">
      <c r="A929" s="380" t="s">
        <v>3609</v>
      </c>
      <c r="B929" s="380" t="s">
        <v>1884</v>
      </c>
      <c r="C929" s="380" t="s">
        <v>1712</v>
      </c>
      <c r="D929" s="380" t="s">
        <v>1328</v>
      </c>
      <c r="E929" s="380" t="s">
        <v>322</v>
      </c>
      <c r="F929" s="380" t="s">
        <v>1389</v>
      </c>
      <c r="G929" s="380" t="s">
        <v>1299</v>
      </c>
      <c r="H929" s="380" t="s">
        <v>3610</v>
      </c>
      <c r="I929" s="380" t="s">
        <v>1914</v>
      </c>
      <c r="J929" s="380" t="s">
        <v>1958</v>
      </c>
      <c r="K929" s="380" t="s">
        <v>1916</v>
      </c>
      <c r="L929" s="403">
        <v>0</v>
      </c>
    </row>
    <row r="930" spans="1:12" ht="15" customHeight="1" x14ac:dyDescent="0.25">
      <c r="A930" s="380" t="s">
        <v>3611</v>
      </c>
      <c r="B930" s="380" t="s">
        <v>1884</v>
      </c>
      <c r="C930" s="380" t="s">
        <v>1712</v>
      </c>
      <c r="D930" s="380" t="s">
        <v>1328</v>
      </c>
      <c r="E930" s="380" t="s">
        <v>322</v>
      </c>
      <c r="F930" s="380" t="s">
        <v>1389</v>
      </c>
      <c r="G930" s="380" t="s">
        <v>1301</v>
      </c>
      <c r="H930" s="380" t="s">
        <v>3612</v>
      </c>
      <c r="I930" s="380" t="s">
        <v>1914</v>
      </c>
      <c r="J930" s="380" t="s">
        <v>1961</v>
      </c>
      <c r="K930" s="380" t="s">
        <v>1916</v>
      </c>
      <c r="L930" s="403">
        <v>0</v>
      </c>
    </row>
    <row r="931" spans="1:12" ht="15" customHeight="1" x14ac:dyDescent="0.25">
      <c r="A931" s="380" t="s">
        <v>3613</v>
      </c>
      <c r="B931" s="380" t="s">
        <v>1884</v>
      </c>
      <c r="C931" s="380" t="s">
        <v>1712</v>
      </c>
      <c r="D931" s="380" t="s">
        <v>1338</v>
      </c>
      <c r="E931" s="380" t="s">
        <v>322</v>
      </c>
      <c r="F931" s="380" t="s">
        <v>1389</v>
      </c>
      <c r="G931" s="380" t="s">
        <v>1339</v>
      </c>
      <c r="H931" s="380" t="s">
        <v>3614</v>
      </c>
      <c r="I931" s="380" t="s">
        <v>1914</v>
      </c>
      <c r="J931" s="380" t="s">
        <v>1964</v>
      </c>
      <c r="K931" s="380"/>
      <c r="L931" s="403">
        <v>1.5</v>
      </c>
    </row>
    <row r="932" spans="1:12" ht="15" customHeight="1" x14ac:dyDescent="0.25">
      <c r="A932" s="380" t="s">
        <v>3615</v>
      </c>
      <c r="B932" s="380" t="s">
        <v>1884</v>
      </c>
      <c r="C932" s="380" t="s">
        <v>1712</v>
      </c>
      <c r="D932" s="380" t="s">
        <v>1966</v>
      </c>
      <c r="E932" s="380" t="s">
        <v>322</v>
      </c>
      <c r="F932" s="380" t="s">
        <v>1389</v>
      </c>
      <c r="G932" s="380" t="s">
        <v>1277</v>
      </c>
      <c r="H932" s="380" t="s">
        <v>3616</v>
      </c>
      <c r="I932" s="380" t="s">
        <v>1746</v>
      </c>
      <c r="J932" s="380" t="s">
        <v>1968</v>
      </c>
      <c r="K932" s="380" t="s">
        <v>1969</v>
      </c>
      <c r="L932" s="403">
        <v>0.25</v>
      </c>
    </row>
    <row r="933" spans="1:12" ht="15" customHeight="1" x14ac:dyDescent="0.25">
      <c r="A933" s="380" t="s">
        <v>3617</v>
      </c>
      <c r="B933" s="380" t="s">
        <v>1884</v>
      </c>
      <c r="C933" s="380" t="s">
        <v>1712</v>
      </c>
      <c r="D933" s="380" t="s">
        <v>1971</v>
      </c>
      <c r="E933" s="380" t="s">
        <v>322</v>
      </c>
      <c r="F933" s="380" t="s">
        <v>1389</v>
      </c>
      <c r="G933" s="380" t="s">
        <v>1277</v>
      </c>
      <c r="H933" s="380" t="s">
        <v>3618</v>
      </c>
      <c r="I933" s="380" t="s">
        <v>1566</v>
      </c>
      <c r="J933" s="380" t="s">
        <v>1973</v>
      </c>
      <c r="K933" s="380" t="s">
        <v>1969</v>
      </c>
      <c r="L933" s="403">
        <v>0</v>
      </c>
    </row>
    <row r="934" spans="1:12" ht="15" customHeight="1" x14ac:dyDescent="0.25">
      <c r="A934" s="380" t="s">
        <v>3619</v>
      </c>
      <c r="B934" s="380" t="s">
        <v>1884</v>
      </c>
      <c r="C934" s="380" t="s">
        <v>1712</v>
      </c>
      <c r="D934" s="380" t="s">
        <v>1890</v>
      </c>
      <c r="E934" s="380" t="s">
        <v>327</v>
      </c>
      <c r="F934" s="380" t="s">
        <v>1417</v>
      </c>
      <c r="G934" s="380" t="s">
        <v>1277</v>
      </c>
      <c r="H934" s="380" t="s">
        <v>3620</v>
      </c>
      <c r="I934" s="380" t="s">
        <v>1307</v>
      </c>
      <c r="J934" s="380" t="s">
        <v>2074</v>
      </c>
      <c r="K934" s="380" t="s">
        <v>1893</v>
      </c>
      <c r="L934" s="406">
        <v>440</v>
      </c>
    </row>
    <row r="935" spans="1:12" ht="15" customHeight="1" x14ac:dyDescent="0.25">
      <c r="A935" s="380" t="s">
        <v>3621</v>
      </c>
      <c r="B935" s="380" t="s">
        <v>1884</v>
      </c>
      <c r="C935" s="380" t="s">
        <v>1712</v>
      </c>
      <c r="D935" s="380" t="s">
        <v>1895</v>
      </c>
      <c r="E935" s="380" t="s">
        <v>327</v>
      </c>
      <c r="F935" s="380" t="s">
        <v>1417</v>
      </c>
      <c r="G935" s="380" t="s">
        <v>1277</v>
      </c>
      <c r="H935" s="380" t="s">
        <v>3622</v>
      </c>
      <c r="I935" s="380" t="s">
        <v>1897</v>
      </c>
      <c r="J935" s="380" t="s">
        <v>1898</v>
      </c>
      <c r="K935" s="380"/>
      <c r="L935" s="404">
        <v>0.9</v>
      </c>
    </row>
    <row r="936" spans="1:12" ht="15" customHeight="1" x14ac:dyDescent="0.25">
      <c r="A936" s="380" t="s">
        <v>3623</v>
      </c>
      <c r="B936" s="380" t="s">
        <v>1884</v>
      </c>
      <c r="C936" s="380" t="s">
        <v>1712</v>
      </c>
      <c r="D936" s="380" t="s">
        <v>1900</v>
      </c>
      <c r="E936" s="380" t="s">
        <v>327</v>
      </c>
      <c r="F936" s="380" t="s">
        <v>1417</v>
      </c>
      <c r="G936" s="380" t="s">
        <v>1277</v>
      </c>
      <c r="H936" s="380" t="s">
        <v>3624</v>
      </c>
      <c r="I936" s="380" t="s">
        <v>1902</v>
      </c>
      <c r="J936" s="380" t="s">
        <v>1903</v>
      </c>
      <c r="K936" s="380"/>
      <c r="L936" s="404">
        <v>0.02</v>
      </c>
    </row>
    <row r="937" spans="1:12" ht="15" customHeight="1" x14ac:dyDescent="0.25">
      <c r="A937" s="380" t="s">
        <v>3625</v>
      </c>
      <c r="B937" s="380" t="s">
        <v>1884</v>
      </c>
      <c r="C937" s="380" t="s">
        <v>1712</v>
      </c>
      <c r="D937" s="380" t="s">
        <v>1905</v>
      </c>
      <c r="E937" s="380" t="s">
        <v>327</v>
      </c>
      <c r="F937" s="380" t="s">
        <v>1417</v>
      </c>
      <c r="G937" s="380" t="s">
        <v>1277</v>
      </c>
      <c r="H937" s="380" t="s">
        <v>3626</v>
      </c>
      <c r="I937" s="380" t="s">
        <v>1902</v>
      </c>
      <c r="J937" s="380" t="s">
        <v>1907</v>
      </c>
      <c r="K937" s="380"/>
      <c r="L937" s="404">
        <v>5.0000000000000001E-3</v>
      </c>
    </row>
    <row r="938" spans="1:12" ht="15" customHeight="1" x14ac:dyDescent="0.25">
      <c r="A938" s="380" t="s">
        <v>3627</v>
      </c>
      <c r="B938" s="380" t="s">
        <v>1884</v>
      </c>
      <c r="C938" s="380" t="s">
        <v>1712</v>
      </c>
      <c r="D938" s="380" t="s">
        <v>1909</v>
      </c>
      <c r="E938" s="380" t="s">
        <v>327</v>
      </c>
      <c r="F938" s="380" t="s">
        <v>1417</v>
      </c>
      <c r="G938" s="380" t="s">
        <v>1277</v>
      </c>
      <c r="H938" s="380" t="s">
        <v>3628</v>
      </c>
      <c r="I938" s="380" t="s">
        <v>1902</v>
      </c>
      <c r="J938" s="380" t="s">
        <v>1911</v>
      </c>
      <c r="K938" s="380"/>
      <c r="L938" s="404">
        <v>0.01</v>
      </c>
    </row>
    <row r="939" spans="1:12" ht="15" customHeight="1" x14ac:dyDescent="0.25">
      <c r="A939" s="380" t="s">
        <v>3629</v>
      </c>
      <c r="B939" s="380" t="s">
        <v>1884</v>
      </c>
      <c r="C939" s="380" t="s">
        <v>1712</v>
      </c>
      <c r="D939" s="380" t="s">
        <v>1317</v>
      </c>
      <c r="E939" s="380" t="s">
        <v>327</v>
      </c>
      <c r="F939" s="380" t="s">
        <v>1417</v>
      </c>
      <c r="G939" s="380" t="s">
        <v>757</v>
      </c>
      <c r="H939" s="380" t="s">
        <v>3630</v>
      </c>
      <c r="I939" s="380" t="s">
        <v>1914</v>
      </c>
      <c r="J939" s="380" t="s">
        <v>1915</v>
      </c>
      <c r="K939" s="380" t="s">
        <v>1916</v>
      </c>
      <c r="L939" s="403">
        <v>3</v>
      </c>
    </row>
    <row r="940" spans="1:12" ht="15" customHeight="1" x14ac:dyDescent="0.25">
      <c r="A940" s="380" t="s">
        <v>3631</v>
      </c>
      <c r="B940" s="380" t="s">
        <v>1884</v>
      </c>
      <c r="C940" s="380" t="s">
        <v>1712</v>
      </c>
      <c r="D940" s="380" t="s">
        <v>1317</v>
      </c>
      <c r="E940" s="380" t="s">
        <v>327</v>
      </c>
      <c r="F940" s="380" t="s">
        <v>1417</v>
      </c>
      <c r="G940" s="380" t="s">
        <v>754</v>
      </c>
      <c r="H940" s="380" t="s">
        <v>3632</v>
      </c>
      <c r="I940" s="380" t="s">
        <v>1914</v>
      </c>
      <c r="J940" s="380" t="s">
        <v>1919</v>
      </c>
      <c r="K940" s="380" t="s">
        <v>1916</v>
      </c>
      <c r="L940" s="403">
        <v>0.2</v>
      </c>
    </row>
    <row r="941" spans="1:12" ht="15" customHeight="1" x14ac:dyDescent="0.25">
      <c r="A941" s="380" t="s">
        <v>3633</v>
      </c>
      <c r="B941" s="380" t="s">
        <v>1884</v>
      </c>
      <c r="C941" s="380" t="s">
        <v>1712</v>
      </c>
      <c r="D941" s="380" t="s">
        <v>1317</v>
      </c>
      <c r="E941" s="380" t="s">
        <v>327</v>
      </c>
      <c r="F941" s="380" t="s">
        <v>1417</v>
      </c>
      <c r="G941" s="380" t="s">
        <v>1292</v>
      </c>
      <c r="H941" s="380" t="s">
        <v>3634</v>
      </c>
      <c r="I941" s="380" t="s">
        <v>1914</v>
      </c>
      <c r="J941" s="380" t="s">
        <v>1922</v>
      </c>
      <c r="K941" s="380" t="s">
        <v>1916</v>
      </c>
      <c r="L941" s="403">
        <v>0</v>
      </c>
    </row>
    <row r="942" spans="1:12" ht="15" customHeight="1" x14ac:dyDescent="0.25">
      <c r="A942" s="380" t="s">
        <v>3635</v>
      </c>
      <c r="B942" s="380" t="s">
        <v>1884</v>
      </c>
      <c r="C942" s="380" t="s">
        <v>1712</v>
      </c>
      <c r="D942" s="380" t="s">
        <v>1317</v>
      </c>
      <c r="E942" s="380" t="s">
        <v>327</v>
      </c>
      <c r="F942" s="380" t="s">
        <v>1417</v>
      </c>
      <c r="G942" s="380" t="s">
        <v>762</v>
      </c>
      <c r="H942" s="380" t="s">
        <v>3636</v>
      </c>
      <c r="I942" s="380" t="s">
        <v>1914</v>
      </c>
      <c r="J942" s="380" t="s">
        <v>1925</v>
      </c>
      <c r="K942" s="380" t="s">
        <v>1916</v>
      </c>
      <c r="L942" s="403">
        <v>0</v>
      </c>
    </row>
    <row r="943" spans="1:12" ht="15" customHeight="1" x14ac:dyDescent="0.25">
      <c r="A943" s="380" t="s">
        <v>3637</v>
      </c>
      <c r="B943" s="380" t="s">
        <v>1884</v>
      </c>
      <c r="C943" s="380" t="s">
        <v>1712</v>
      </c>
      <c r="D943" s="380" t="s">
        <v>1317</v>
      </c>
      <c r="E943" s="380" t="s">
        <v>327</v>
      </c>
      <c r="F943" s="380" t="s">
        <v>1417</v>
      </c>
      <c r="G943" s="380" t="s">
        <v>1295</v>
      </c>
      <c r="H943" s="380" t="s">
        <v>3638</v>
      </c>
      <c r="I943" s="380" t="s">
        <v>1914</v>
      </c>
      <c r="J943" s="380" t="s">
        <v>1928</v>
      </c>
      <c r="K943" s="380" t="s">
        <v>1916</v>
      </c>
      <c r="L943" s="403">
        <v>0</v>
      </c>
    </row>
    <row r="944" spans="1:12" ht="15" customHeight="1" x14ac:dyDescent="0.25">
      <c r="A944" s="380" t="s">
        <v>3639</v>
      </c>
      <c r="B944" s="380" t="s">
        <v>1884</v>
      </c>
      <c r="C944" s="380" t="s">
        <v>1712</v>
      </c>
      <c r="D944" s="380" t="s">
        <v>1317</v>
      </c>
      <c r="E944" s="380" t="s">
        <v>327</v>
      </c>
      <c r="F944" s="380" t="s">
        <v>1417</v>
      </c>
      <c r="G944" s="380" t="s">
        <v>1297</v>
      </c>
      <c r="H944" s="380" t="s">
        <v>3640</v>
      </c>
      <c r="I944" s="380" t="s">
        <v>1914</v>
      </c>
      <c r="J944" s="380" t="s">
        <v>1931</v>
      </c>
      <c r="K944" s="380" t="s">
        <v>1916</v>
      </c>
      <c r="L944" s="403">
        <v>0</v>
      </c>
    </row>
    <row r="945" spans="1:12" ht="15" customHeight="1" x14ac:dyDescent="0.25">
      <c r="A945" s="380" t="s">
        <v>3641</v>
      </c>
      <c r="B945" s="380" t="s">
        <v>1884</v>
      </c>
      <c r="C945" s="380" t="s">
        <v>1712</v>
      </c>
      <c r="D945" s="380" t="s">
        <v>1317</v>
      </c>
      <c r="E945" s="380" t="s">
        <v>327</v>
      </c>
      <c r="F945" s="380" t="s">
        <v>1417</v>
      </c>
      <c r="G945" s="380" t="s">
        <v>1299</v>
      </c>
      <c r="H945" s="380" t="s">
        <v>3642</v>
      </c>
      <c r="I945" s="380" t="s">
        <v>1914</v>
      </c>
      <c r="J945" s="380" t="s">
        <v>1934</v>
      </c>
      <c r="K945" s="380" t="s">
        <v>1916</v>
      </c>
      <c r="L945" s="403">
        <v>0</v>
      </c>
    </row>
    <row r="946" spans="1:12" ht="15" customHeight="1" x14ac:dyDescent="0.25">
      <c r="A946" s="380" t="s">
        <v>3643</v>
      </c>
      <c r="B946" s="380" t="s">
        <v>1884</v>
      </c>
      <c r="C946" s="380" t="s">
        <v>1712</v>
      </c>
      <c r="D946" s="380" t="s">
        <v>1317</v>
      </c>
      <c r="E946" s="380" t="s">
        <v>327</v>
      </c>
      <c r="F946" s="380" t="s">
        <v>1417</v>
      </c>
      <c r="G946" s="380" t="s">
        <v>1301</v>
      </c>
      <c r="H946" s="380" t="s">
        <v>3644</v>
      </c>
      <c r="I946" s="380" t="s">
        <v>1914</v>
      </c>
      <c r="J946" s="380" t="s">
        <v>1937</v>
      </c>
      <c r="K946" s="380" t="s">
        <v>1916</v>
      </c>
      <c r="L946" s="403">
        <v>0</v>
      </c>
    </row>
    <row r="947" spans="1:12" ht="15" customHeight="1" x14ac:dyDescent="0.25">
      <c r="A947" s="380" t="s">
        <v>3645</v>
      </c>
      <c r="B947" s="380" t="s">
        <v>1884</v>
      </c>
      <c r="C947" s="380" t="s">
        <v>1712</v>
      </c>
      <c r="D947" s="380" t="s">
        <v>1328</v>
      </c>
      <c r="E947" s="380" t="s">
        <v>327</v>
      </c>
      <c r="F947" s="380" t="s">
        <v>1417</v>
      </c>
      <c r="G947" s="380" t="s">
        <v>757</v>
      </c>
      <c r="H947" s="380" t="s">
        <v>3646</v>
      </c>
      <c r="I947" s="380" t="s">
        <v>1914</v>
      </c>
      <c r="J947" s="380" t="s">
        <v>1940</v>
      </c>
      <c r="K947" s="380" t="s">
        <v>1916</v>
      </c>
      <c r="L947" s="403">
        <v>0</v>
      </c>
    </row>
    <row r="948" spans="1:12" ht="15" customHeight="1" x14ac:dyDescent="0.25">
      <c r="A948" s="380" t="s">
        <v>3647</v>
      </c>
      <c r="B948" s="380" t="s">
        <v>1884</v>
      </c>
      <c r="C948" s="380" t="s">
        <v>1712</v>
      </c>
      <c r="D948" s="380" t="s">
        <v>1328</v>
      </c>
      <c r="E948" s="380" t="s">
        <v>327</v>
      </c>
      <c r="F948" s="380" t="s">
        <v>1417</v>
      </c>
      <c r="G948" s="380" t="s">
        <v>754</v>
      </c>
      <c r="H948" s="380" t="s">
        <v>3648</v>
      </c>
      <c r="I948" s="380" t="s">
        <v>1914</v>
      </c>
      <c r="J948" s="380" t="s">
        <v>1943</v>
      </c>
      <c r="K948" s="380" t="s">
        <v>1916</v>
      </c>
      <c r="L948" s="403">
        <v>0</v>
      </c>
    </row>
    <row r="949" spans="1:12" ht="15" customHeight="1" x14ac:dyDescent="0.25">
      <c r="A949" s="380" t="s">
        <v>3649</v>
      </c>
      <c r="B949" s="380" t="s">
        <v>1884</v>
      </c>
      <c r="C949" s="380" t="s">
        <v>1712</v>
      </c>
      <c r="D949" s="380" t="s">
        <v>1328</v>
      </c>
      <c r="E949" s="380" t="s">
        <v>327</v>
      </c>
      <c r="F949" s="380" t="s">
        <v>1417</v>
      </c>
      <c r="G949" s="380" t="s">
        <v>1292</v>
      </c>
      <c r="H949" s="380" t="s">
        <v>3650</v>
      </c>
      <c r="I949" s="380" t="s">
        <v>1914</v>
      </c>
      <c r="J949" s="380" t="s">
        <v>1946</v>
      </c>
      <c r="K949" s="380" t="s">
        <v>1916</v>
      </c>
      <c r="L949" s="403">
        <v>0</v>
      </c>
    </row>
    <row r="950" spans="1:12" ht="15" customHeight="1" x14ac:dyDescent="0.25">
      <c r="A950" s="380" t="s">
        <v>3651</v>
      </c>
      <c r="B950" s="380" t="s">
        <v>1884</v>
      </c>
      <c r="C950" s="380" t="s">
        <v>1712</v>
      </c>
      <c r="D950" s="380" t="s">
        <v>1328</v>
      </c>
      <c r="E950" s="380" t="s">
        <v>327</v>
      </c>
      <c r="F950" s="380" t="s">
        <v>1417</v>
      </c>
      <c r="G950" s="380" t="s">
        <v>762</v>
      </c>
      <c r="H950" s="380" t="s">
        <v>3652</v>
      </c>
      <c r="I950" s="380" t="s">
        <v>1914</v>
      </c>
      <c r="J950" s="380" t="s">
        <v>1949</v>
      </c>
      <c r="K950" s="380" t="s">
        <v>1916</v>
      </c>
      <c r="L950" s="403">
        <v>0</v>
      </c>
    </row>
    <row r="951" spans="1:12" ht="15" customHeight="1" x14ac:dyDescent="0.25">
      <c r="A951" s="380" t="s">
        <v>3653</v>
      </c>
      <c r="B951" s="380" t="s">
        <v>1884</v>
      </c>
      <c r="C951" s="380" t="s">
        <v>1712</v>
      </c>
      <c r="D951" s="380" t="s">
        <v>1328</v>
      </c>
      <c r="E951" s="380" t="s">
        <v>327</v>
      </c>
      <c r="F951" s="380" t="s">
        <v>1417</v>
      </c>
      <c r="G951" s="380" t="s">
        <v>1295</v>
      </c>
      <c r="H951" s="380" t="s">
        <v>3654</v>
      </c>
      <c r="I951" s="380" t="s">
        <v>1914</v>
      </c>
      <c r="J951" s="380" t="s">
        <v>1952</v>
      </c>
      <c r="K951" s="380" t="s">
        <v>1916</v>
      </c>
      <c r="L951" s="403">
        <v>0</v>
      </c>
    </row>
    <row r="952" spans="1:12" ht="15" customHeight="1" x14ac:dyDescent="0.25">
      <c r="A952" s="380" t="s">
        <v>3655</v>
      </c>
      <c r="B952" s="380" t="s">
        <v>1884</v>
      </c>
      <c r="C952" s="380" t="s">
        <v>1712</v>
      </c>
      <c r="D952" s="380" t="s">
        <v>1328</v>
      </c>
      <c r="E952" s="380" t="s">
        <v>327</v>
      </c>
      <c r="F952" s="380" t="s">
        <v>1417</v>
      </c>
      <c r="G952" s="380" t="s">
        <v>1297</v>
      </c>
      <c r="H952" s="380" t="s">
        <v>3656</v>
      </c>
      <c r="I952" s="380" t="s">
        <v>1914</v>
      </c>
      <c r="J952" s="380" t="s">
        <v>1955</v>
      </c>
      <c r="K952" s="380" t="s">
        <v>1916</v>
      </c>
      <c r="L952" s="403">
        <v>0</v>
      </c>
    </row>
    <row r="953" spans="1:12" ht="15" customHeight="1" x14ac:dyDescent="0.25">
      <c r="A953" s="380" t="s">
        <v>3657</v>
      </c>
      <c r="B953" s="380" t="s">
        <v>1884</v>
      </c>
      <c r="C953" s="380" t="s">
        <v>1712</v>
      </c>
      <c r="D953" s="380" t="s">
        <v>1328</v>
      </c>
      <c r="E953" s="380" t="s">
        <v>327</v>
      </c>
      <c r="F953" s="380" t="s">
        <v>1417</v>
      </c>
      <c r="G953" s="380" t="s">
        <v>1299</v>
      </c>
      <c r="H953" s="380" t="s">
        <v>3658</v>
      </c>
      <c r="I953" s="380" t="s">
        <v>1914</v>
      </c>
      <c r="J953" s="380" t="s">
        <v>1958</v>
      </c>
      <c r="K953" s="380" t="s">
        <v>1916</v>
      </c>
      <c r="L953" s="403">
        <v>0</v>
      </c>
    </row>
    <row r="954" spans="1:12" ht="15" customHeight="1" x14ac:dyDescent="0.25">
      <c r="A954" s="380" t="s">
        <v>3659</v>
      </c>
      <c r="B954" s="380" t="s">
        <v>1884</v>
      </c>
      <c r="C954" s="380" t="s">
        <v>1712</v>
      </c>
      <c r="D954" s="380" t="s">
        <v>1328</v>
      </c>
      <c r="E954" s="380" t="s">
        <v>327</v>
      </c>
      <c r="F954" s="380" t="s">
        <v>1417</v>
      </c>
      <c r="G954" s="380" t="s">
        <v>1301</v>
      </c>
      <c r="H954" s="380" t="s">
        <v>3660</v>
      </c>
      <c r="I954" s="380" t="s">
        <v>1914</v>
      </c>
      <c r="J954" s="380" t="s">
        <v>1961</v>
      </c>
      <c r="K954" s="380" t="s">
        <v>1916</v>
      </c>
      <c r="L954" s="403">
        <v>0</v>
      </c>
    </row>
    <row r="955" spans="1:12" ht="15" customHeight="1" x14ac:dyDescent="0.25">
      <c r="A955" s="380" t="s">
        <v>3661</v>
      </c>
      <c r="B955" s="380" t="s">
        <v>1884</v>
      </c>
      <c r="C955" s="380" t="s">
        <v>1712</v>
      </c>
      <c r="D955" s="380" t="s">
        <v>1338</v>
      </c>
      <c r="E955" s="380" t="s">
        <v>327</v>
      </c>
      <c r="F955" s="380" t="s">
        <v>1417</v>
      </c>
      <c r="G955" s="380" t="s">
        <v>1339</v>
      </c>
      <c r="H955" s="380" t="s">
        <v>3662</v>
      </c>
      <c r="I955" s="380" t="s">
        <v>1914</v>
      </c>
      <c r="J955" s="380" t="s">
        <v>1964</v>
      </c>
      <c r="K955" s="380"/>
      <c r="L955" s="403">
        <v>0.5</v>
      </c>
    </row>
    <row r="956" spans="1:12" ht="15" customHeight="1" x14ac:dyDescent="0.25">
      <c r="A956" s="380" t="s">
        <v>3663</v>
      </c>
      <c r="B956" s="380" t="s">
        <v>1884</v>
      </c>
      <c r="C956" s="380" t="s">
        <v>1712</v>
      </c>
      <c r="D956" s="380" t="s">
        <v>1966</v>
      </c>
      <c r="E956" s="380" t="s">
        <v>327</v>
      </c>
      <c r="F956" s="380" t="s">
        <v>1417</v>
      </c>
      <c r="G956" s="380" t="s">
        <v>1277</v>
      </c>
      <c r="H956" s="380" t="s">
        <v>3664</v>
      </c>
      <c r="I956" s="380" t="s">
        <v>1746</v>
      </c>
      <c r="J956" s="380" t="s">
        <v>1968</v>
      </c>
      <c r="K956" s="380" t="s">
        <v>1969</v>
      </c>
      <c r="L956" s="403">
        <v>0.52600000000000002</v>
      </c>
    </row>
    <row r="957" spans="1:12" ht="15" customHeight="1" x14ac:dyDescent="0.25">
      <c r="A957" s="380" t="s">
        <v>3665</v>
      </c>
      <c r="B957" s="380" t="s">
        <v>1884</v>
      </c>
      <c r="C957" s="380" t="s">
        <v>1712</v>
      </c>
      <c r="D957" s="380" t="s">
        <v>1971</v>
      </c>
      <c r="E957" s="380" t="s">
        <v>327</v>
      </c>
      <c r="F957" s="380" t="s">
        <v>1417</v>
      </c>
      <c r="G957" s="380" t="s">
        <v>1277</v>
      </c>
      <c r="H957" s="380" t="s">
        <v>3666</v>
      </c>
      <c r="I957" s="380" t="s">
        <v>1566</v>
      </c>
      <c r="J957" s="380" t="s">
        <v>1973</v>
      </c>
      <c r="K957" s="380" t="s">
        <v>1969</v>
      </c>
      <c r="L957" s="403">
        <v>0</v>
      </c>
    </row>
    <row r="958" spans="1:12" ht="15" customHeight="1" x14ac:dyDescent="0.25">
      <c r="A958" s="380" t="s">
        <v>3667</v>
      </c>
      <c r="B958" s="380" t="s">
        <v>1884</v>
      </c>
      <c r="C958" s="380" t="s">
        <v>1712</v>
      </c>
      <c r="D958" s="380" t="s">
        <v>1890</v>
      </c>
      <c r="E958" s="380" t="s">
        <v>330</v>
      </c>
      <c r="F958" s="380" t="s">
        <v>1445</v>
      </c>
      <c r="G958" s="380" t="s">
        <v>1277</v>
      </c>
      <c r="H958" s="380" t="s">
        <v>3668</v>
      </c>
      <c r="I958" s="380" t="s">
        <v>1307</v>
      </c>
      <c r="J958" s="380" t="s">
        <v>2123</v>
      </c>
      <c r="K958" s="380" t="s">
        <v>1893</v>
      </c>
      <c r="L958" s="406">
        <v>17</v>
      </c>
    </row>
    <row r="959" spans="1:12" ht="15" customHeight="1" x14ac:dyDescent="0.25">
      <c r="A959" s="380" t="s">
        <v>3669</v>
      </c>
      <c r="B959" s="380" t="s">
        <v>1884</v>
      </c>
      <c r="C959" s="380" t="s">
        <v>1712</v>
      </c>
      <c r="D959" s="380" t="s">
        <v>1895</v>
      </c>
      <c r="E959" s="380" t="s">
        <v>330</v>
      </c>
      <c r="F959" s="380" t="s">
        <v>1445</v>
      </c>
      <c r="G959" s="380" t="s">
        <v>1277</v>
      </c>
      <c r="H959" s="380" t="s">
        <v>3670</v>
      </c>
      <c r="I959" s="380" t="s">
        <v>1897</v>
      </c>
      <c r="J959" s="380" t="s">
        <v>1898</v>
      </c>
      <c r="K959" s="380"/>
      <c r="L959" s="404">
        <v>0.5</v>
      </c>
    </row>
    <row r="960" spans="1:12" ht="15" customHeight="1" x14ac:dyDescent="0.25">
      <c r="A960" s="380" t="s">
        <v>3671</v>
      </c>
      <c r="B960" s="380" t="s">
        <v>1884</v>
      </c>
      <c r="C960" s="380" t="s">
        <v>1712</v>
      </c>
      <c r="D960" s="380" t="s">
        <v>1900</v>
      </c>
      <c r="E960" s="380" t="s">
        <v>330</v>
      </c>
      <c r="F960" s="380" t="s">
        <v>1445</v>
      </c>
      <c r="G960" s="380" t="s">
        <v>1277</v>
      </c>
      <c r="H960" s="380" t="s">
        <v>3672</v>
      </c>
      <c r="I960" s="380" t="s">
        <v>1902</v>
      </c>
      <c r="J960" s="380" t="s">
        <v>1903</v>
      </c>
      <c r="K960" s="380"/>
      <c r="L960" s="404">
        <v>0.05</v>
      </c>
    </row>
    <row r="961" spans="1:12" ht="15" customHeight="1" x14ac:dyDescent="0.25">
      <c r="A961" s="380" t="s">
        <v>3673</v>
      </c>
      <c r="B961" s="380" t="s">
        <v>1884</v>
      </c>
      <c r="C961" s="380" t="s">
        <v>1712</v>
      </c>
      <c r="D961" s="380" t="s">
        <v>1905</v>
      </c>
      <c r="E961" s="380" t="s">
        <v>330</v>
      </c>
      <c r="F961" s="380" t="s">
        <v>1445</v>
      </c>
      <c r="G961" s="380" t="s">
        <v>1277</v>
      </c>
      <c r="H961" s="380" t="s">
        <v>3674</v>
      </c>
      <c r="I961" s="380" t="s">
        <v>1902</v>
      </c>
      <c r="J961" s="380" t="s">
        <v>1907</v>
      </c>
      <c r="K961" s="380"/>
      <c r="L961" s="404">
        <v>0.01</v>
      </c>
    </row>
    <row r="962" spans="1:12" ht="15" customHeight="1" x14ac:dyDescent="0.25">
      <c r="A962" s="380" t="s">
        <v>3675</v>
      </c>
      <c r="B962" s="380" t="s">
        <v>1884</v>
      </c>
      <c r="C962" s="380" t="s">
        <v>1712</v>
      </c>
      <c r="D962" s="380" t="s">
        <v>1909</v>
      </c>
      <c r="E962" s="380" t="s">
        <v>330</v>
      </c>
      <c r="F962" s="380" t="s">
        <v>1445</v>
      </c>
      <c r="G962" s="380" t="s">
        <v>1277</v>
      </c>
      <c r="H962" s="380" t="s">
        <v>3676</v>
      </c>
      <c r="I962" s="380" t="s">
        <v>1902</v>
      </c>
      <c r="J962" s="380" t="s">
        <v>1911</v>
      </c>
      <c r="K962" s="380"/>
      <c r="L962" s="404">
        <v>0.1</v>
      </c>
    </row>
    <row r="963" spans="1:12" ht="15" customHeight="1" x14ac:dyDescent="0.25">
      <c r="A963" s="380" t="s">
        <v>3677</v>
      </c>
      <c r="B963" s="380" t="s">
        <v>1884</v>
      </c>
      <c r="C963" s="380" t="s">
        <v>1712</v>
      </c>
      <c r="D963" s="380" t="s">
        <v>1317</v>
      </c>
      <c r="E963" s="380" t="s">
        <v>330</v>
      </c>
      <c r="F963" s="380" t="s">
        <v>1445</v>
      </c>
      <c r="G963" s="380" t="s">
        <v>757</v>
      </c>
      <c r="H963" s="380" t="s">
        <v>3678</v>
      </c>
      <c r="I963" s="380" t="s">
        <v>1914</v>
      </c>
      <c r="J963" s="380" t="s">
        <v>1915</v>
      </c>
      <c r="K963" s="380" t="s">
        <v>1916</v>
      </c>
      <c r="L963" s="403">
        <v>2</v>
      </c>
    </row>
    <row r="964" spans="1:12" ht="15" customHeight="1" x14ac:dyDescent="0.25">
      <c r="A964" s="380" t="s">
        <v>3679</v>
      </c>
      <c r="B964" s="380" t="s">
        <v>1884</v>
      </c>
      <c r="C964" s="380" t="s">
        <v>1712</v>
      </c>
      <c r="D964" s="380" t="s">
        <v>1317</v>
      </c>
      <c r="E964" s="380" t="s">
        <v>330</v>
      </c>
      <c r="F964" s="380" t="s">
        <v>1445</v>
      </c>
      <c r="G964" s="380" t="s">
        <v>754</v>
      </c>
      <c r="H964" s="380" t="s">
        <v>3680</v>
      </c>
      <c r="I964" s="380" t="s">
        <v>1914</v>
      </c>
      <c r="J964" s="380" t="s">
        <v>1919</v>
      </c>
      <c r="K964" s="380" t="s">
        <v>1916</v>
      </c>
      <c r="L964" s="403">
        <v>11</v>
      </c>
    </row>
    <row r="965" spans="1:12" ht="15" customHeight="1" x14ac:dyDescent="0.25">
      <c r="A965" s="380" t="s">
        <v>3681</v>
      </c>
      <c r="B965" s="380" t="s">
        <v>1884</v>
      </c>
      <c r="C965" s="380" t="s">
        <v>1712</v>
      </c>
      <c r="D965" s="380" t="s">
        <v>1317</v>
      </c>
      <c r="E965" s="380" t="s">
        <v>330</v>
      </c>
      <c r="F965" s="380" t="s">
        <v>1445</v>
      </c>
      <c r="G965" s="380" t="s">
        <v>1292</v>
      </c>
      <c r="H965" s="380" t="s">
        <v>3682</v>
      </c>
      <c r="I965" s="380" t="s">
        <v>1914</v>
      </c>
      <c r="J965" s="380" t="s">
        <v>1922</v>
      </c>
      <c r="K965" s="380" t="s">
        <v>1916</v>
      </c>
      <c r="L965" s="403">
        <v>0</v>
      </c>
    </row>
    <row r="966" spans="1:12" ht="15" customHeight="1" x14ac:dyDescent="0.25">
      <c r="A966" s="380" t="s">
        <v>3683</v>
      </c>
      <c r="B966" s="380" t="s">
        <v>1884</v>
      </c>
      <c r="C966" s="380" t="s">
        <v>1712</v>
      </c>
      <c r="D966" s="380" t="s">
        <v>1317</v>
      </c>
      <c r="E966" s="380" t="s">
        <v>330</v>
      </c>
      <c r="F966" s="380" t="s">
        <v>1445</v>
      </c>
      <c r="G966" s="380" t="s">
        <v>762</v>
      </c>
      <c r="H966" s="380" t="s">
        <v>3684</v>
      </c>
      <c r="I966" s="380" t="s">
        <v>1914</v>
      </c>
      <c r="J966" s="380" t="s">
        <v>1925</v>
      </c>
      <c r="K966" s="380" t="s">
        <v>1916</v>
      </c>
      <c r="L966" s="403">
        <v>0</v>
      </c>
    </row>
    <row r="967" spans="1:12" ht="15" customHeight="1" x14ac:dyDescent="0.25">
      <c r="A967" s="380" t="s">
        <v>3685</v>
      </c>
      <c r="B967" s="380" t="s">
        <v>1884</v>
      </c>
      <c r="C967" s="380" t="s">
        <v>1712</v>
      </c>
      <c r="D967" s="380" t="s">
        <v>1317</v>
      </c>
      <c r="E967" s="380" t="s">
        <v>330</v>
      </c>
      <c r="F967" s="380" t="s">
        <v>1445</v>
      </c>
      <c r="G967" s="380" t="s">
        <v>1295</v>
      </c>
      <c r="H967" s="380" t="s">
        <v>3686</v>
      </c>
      <c r="I967" s="380" t="s">
        <v>1914</v>
      </c>
      <c r="J967" s="380" t="s">
        <v>1928</v>
      </c>
      <c r="K967" s="380" t="s">
        <v>1916</v>
      </c>
      <c r="L967" s="403">
        <v>0</v>
      </c>
    </row>
    <row r="968" spans="1:12" ht="15" customHeight="1" x14ac:dyDescent="0.25">
      <c r="A968" s="380" t="s">
        <v>3687</v>
      </c>
      <c r="B968" s="380" t="s">
        <v>1884</v>
      </c>
      <c r="C968" s="380" t="s">
        <v>1712</v>
      </c>
      <c r="D968" s="380" t="s">
        <v>1317</v>
      </c>
      <c r="E968" s="380" t="s">
        <v>330</v>
      </c>
      <c r="F968" s="380" t="s">
        <v>1445</v>
      </c>
      <c r="G968" s="380" t="s">
        <v>1297</v>
      </c>
      <c r="H968" s="380" t="s">
        <v>3688</v>
      </c>
      <c r="I968" s="380" t="s">
        <v>1914</v>
      </c>
      <c r="J968" s="380" t="s">
        <v>1931</v>
      </c>
      <c r="K968" s="380" t="s">
        <v>1916</v>
      </c>
      <c r="L968" s="403">
        <v>0</v>
      </c>
    </row>
    <row r="969" spans="1:12" ht="15" customHeight="1" x14ac:dyDescent="0.25">
      <c r="A969" s="380" t="s">
        <v>3689</v>
      </c>
      <c r="B969" s="380" t="s">
        <v>1884</v>
      </c>
      <c r="C969" s="380" t="s">
        <v>1712</v>
      </c>
      <c r="D969" s="380" t="s">
        <v>1317</v>
      </c>
      <c r="E969" s="380" t="s">
        <v>330</v>
      </c>
      <c r="F969" s="380" t="s">
        <v>1445</v>
      </c>
      <c r="G969" s="380" t="s">
        <v>1299</v>
      </c>
      <c r="H969" s="380" t="s">
        <v>3690</v>
      </c>
      <c r="I969" s="380" t="s">
        <v>1914</v>
      </c>
      <c r="J969" s="380" t="s">
        <v>1934</v>
      </c>
      <c r="K969" s="380" t="s">
        <v>1916</v>
      </c>
      <c r="L969" s="403">
        <v>0</v>
      </c>
    </row>
    <row r="970" spans="1:12" ht="15" customHeight="1" x14ac:dyDescent="0.25">
      <c r="A970" s="380" t="s">
        <v>3691</v>
      </c>
      <c r="B970" s="380" t="s">
        <v>1884</v>
      </c>
      <c r="C970" s="380" t="s">
        <v>1712</v>
      </c>
      <c r="D970" s="380" t="s">
        <v>1317</v>
      </c>
      <c r="E970" s="380" t="s">
        <v>330</v>
      </c>
      <c r="F970" s="380" t="s">
        <v>1445</v>
      </c>
      <c r="G970" s="380" t="s">
        <v>1301</v>
      </c>
      <c r="H970" s="380" t="s">
        <v>3692</v>
      </c>
      <c r="I970" s="380" t="s">
        <v>1914</v>
      </c>
      <c r="J970" s="380" t="s">
        <v>1937</v>
      </c>
      <c r="K970" s="380" t="s">
        <v>1916</v>
      </c>
      <c r="L970" s="403">
        <v>0</v>
      </c>
    </row>
    <row r="971" spans="1:12" ht="15" customHeight="1" x14ac:dyDescent="0.25">
      <c r="A971" s="380" t="s">
        <v>3693</v>
      </c>
      <c r="B971" s="380" t="s">
        <v>1884</v>
      </c>
      <c r="C971" s="380" t="s">
        <v>1712</v>
      </c>
      <c r="D971" s="380" t="s">
        <v>1328</v>
      </c>
      <c r="E971" s="380" t="s">
        <v>330</v>
      </c>
      <c r="F971" s="380" t="s">
        <v>1445</v>
      </c>
      <c r="G971" s="380" t="s">
        <v>757</v>
      </c>
      <c r="H971" s="380" t="s">
        <v>3694</v>
      </c>
      <c r="I971" s="380" t="s">
        <v>1914</v>
      </c>
      <c r="J971" s="380" t="s">
        <v>1940</v>
      </c>
      <c r="K971" s="380" t="s">
        <v>1916</v>
      </c>
      <c r="L971" s="403">
        <v>0</v>
      </c>
    </row>
    <row r="972" spans="1:12" ht="15" customHeight="1" x14ac:dyDescent="0.25">
      <c r="A972" s="380" t="s">
        <v>3695</v>
      </c>
      <c r="B972" s="380" t="s">
        <v>1884</v>
      </c>
      <c r="C972" s="380" t="s">
        <v>1712</v>
      </c>
      <c r="D972" s="380" t="s">
        <v>1328</v>
      </c>
      <c r="E972" s="380" t="s">
        <v>330</v>
      </c>
      <c r="F972" s="380" t="s">
        <v>1445</v>
      </c>
      <c r="G972" s="380" t="s">
        <v>754</v>
      </c>
      <c r="H972" s="380" t="s">
        <v>3696</v>
      </c>
      <c r="I972" s="380" t="s">
        <v>1914</v>
      </c>
      <c r="J972" s="380" t="s">
        <v>1943</v>
      </c>
      <c r="K972" s="380" t="s">
        <v>1916</v>
      </c>
      <c r="L972" s="403">
        <v>22</v>
      </c>
    </row>
    <row r="973" spans="1:12" ht="15" customHeight="1" x14ac:dyDescent="0.25">
      <c r="A973" s="380" t="s">
        <v>3697</v>
      </c>
      <c r="B973" s="380" t="s">
        <v>1884</v>
      </c>
      <c r="C973" s="380" t="s">
        <v>1712</v>
      </c>
      <c r="D973" s="380" t="s">
        <v>1328</v>
      </c>
      <c r="E973" s="380" t="s">
        <v>330</v>
      </c>
      <c r="F973" s="380" t="s">
        <v>1445</v>
      </c>
      <c r="G973" s="380" t="s">
        <v>1292</v>
      </c>
      <c r="H973" s="380" t="s">
        <v>3698</v>
      </c>
      <c r="I973" s="380" t="s">
        <v>1914</v>
      </c>
      <c r="J973" s="380" t="s">
        <v>1946</v>
      </c>
      <c r="K973" s="380" t="s">
        <v>1916</v>
      </c>
      <c r="L973" s="403">
        <v>0</v>
      </c>
    </row>
    <row r="974" spans="1:12" ht="15" customHeight="1" x14ac:dyDescent="0.25">
      <c r="A974" s="380" t="s">
        <v>3699</v>
      </c>
      <c r="B974" s="380" t="s">
        <v>1884</v>
      </c>
      <c r="C974" s="380" t="s">
        <v>1712</v>
      </c>
      <c r="D974" s="380" t="s">
        <v>1328</v>
      </c>
      <c r="E974" s="380" t="s">
        <v>330</v>
      </c>
      <c r="F974" s="380" t="s">
        <v>1445</v>
      </c>
      <c r="G974" s="380" t="s">
        <v>762</v>
      </c>
      <c r="H974" s="380" t="s">
        <v>3700</v>
      </c>
      <c r="I974" s="380" t="s">
        <v>1914</v>
      </c>
      <c r="J974" s="380" t="s">
        <v>1949</v>
      </c>
      <c r="K974" s="380" t="s">
        <v>1916</v>
      </c>
      <c r="L974" s="403">
        <v>0</v>
      </c>
    </row>
    <row r="975" spans="1:12" ht="15" customHeight="1" x14ac:dyDescent="0.25">
      <c r="A975" s="380" t="s">
        <v>3701</v>
      </c>
      <c r="B975" s="380" t="s">
        <v>1884</v>
      </c>
      <c r="C975" s="380" t="s">
        <v>1712</v>
      </c>
      <c r="D975" s="380" t="s">
        <v>1328</v>
      </c>
      <c r="E975" s="380" t="s">
        <v>330</v>
      </c>
      <c r="F975" s="380" t="s">
        <v>1445</v>
      </c>
      <c r="G975" s="380" t="s">
        <v>1295</v>
      </c>
      <c r="H975" s="380" t="s">
        <v>3702</v>
      </c>
      <c r="I975" s="380" t="s">
        <v>1914</v>
      </c>
      <c r="J975" s="380" t="s">
        <v>1952</v>
      </c>
      <c r="K975" s="380" t="s">
        <v>1916</v>
      </c>
      <c r="L975" s="403">
        <v>0</v>
      </c>
    </row>
    <row r="976" spans="1:12" ht="15" customHeight="1" x14ac:dyDescent="0.25">
      <c r="A976" s="380" t="s">
        <v>3703</v>
      </c>
      <c r="B976" s="380" t="s">
        <v>1884</v>
      </c>
      <c r="C976" s="380" t="s">
        <v>1712</v>
      </c>
      <c r="D976" s="380" t="s">
        <v>1328</v>
      </c>
      <c r="E976" s="380" t="s">
        <v>330</v>
      </c>
      <c r="F976" s="380" t="s">
        <v>1445</v>
      </c>
      <c r="G976" s="380" t="s">
        <v>1297</v>
      </c>
      <c r="H976" s="380" t="s">
        <v>3704</v>
      </c>
      <c r="I976" s="380" t="s">
        <v>1914</v>
      </c>
      <c r="J976" s="380" t="s">
        <v>1955</v>
      </c>
      <c r="K976" s="380" t="s">
        <v>1916</v>
      </c>
      <c r="L976" s="403">
        <v>0</v>
      </c>
    </row>
    <row r="977" spans="1:12" ht="15" customHeight="1" x14ac:dyDescent="0.25">
      <c r="A977" s="380" t="s">
        <v>3705</v>
      </c>
      <c r="B977" s="380" t="s">
        <v>1884</v>
      </c>
      <c r="C977" s="380" t="s">
        <v>1712</v>
      </c>
      <c r="D977" s="380" t="s">
        <v>1328</v>
      </c>
      <c r="E977" s="380" t="s">
        <v>330</v>
      </c>
      <c r="F977" s="380" t="s">
        <v>1445</v>
      </c>
      <c r="G977" s="380" t="s">
        <v>1299</v>
      </c>
      <c r="H977" s="380" t="s">
        <v>3706</v>
      </c>
      <c r="I977" s="380" t="s">
        <v>1914</v>
      </c>
      <c r="J977" s="380" t="s">
        <v>1958</v>
      </c>
      <c r="K977" s="380" t="s">
        <v>1916</v>
      </c>
      <c r="L977" s="403">
        <v>0</v>
      </c>
    </row>
    <row r="978" spans="1:12" ht="15" customHeight="1" x14ac:dyDescent="0.25">
      <c r="A978" s="380" t="s">
        <v>3707</v>
      </c>
      <c r="B978" s="380" t="s">
        <v>1884</v>
      </c>
      <c r="C978" s="380" t="s">
        <v>1712</v>
      </c>
      <c r="D978" s="380" t="s">
        <v>1328</v>
      </c>
      <c r="E978" s="380" t="s">
        <v>330</v>
      </c>
      <c r="F978" s="380" t="s">
        <v>1445</v>
      </c>
      <c r="G978" s="380" t="s">
        <v>1301</v>
      </c>
      <c r="H978" s="380" t="s">
        <v>3708</v>
      </c>
      <c r="I978" s="380" t="s">
        <v>1914</v>
      </c>
      <c r="J978" s="380" t="s">
        <v>1961</v>
      </c>
      <c r="K978" s="380" t="s">
        <v>1916</v>
      </c>
      <c r="L978" s="403">
        <v>0</v>
      </c>
    </row>
    <row r="979" spans="1:12" ht="15" customHeight="1" x14ac:dyDescent="0.25">
      <c r="A979" s="380" t="s">
        <v>3709</v>
      </c>
      <c r="B979" s="380" t="s">
        <v>1884</v>
      </c>
      <c r="C979" s="380" t="s">
        <v>1712</v>
      </c>
      <c r="D979" s="380" t="s">
        <v>1338</v>
      </c>
      <c r="E979" s="380" t="s">
        <v>330</v>
      </c>
      <c r="F979" s="380" t="s">
        <v>1445</v>
      </c>
      <c r="G979" s="380" t="s">
        <v>1339</v>
      </c>
      <c r="H979" s="380" t="s">
        <v>3710</v>
      </c>
      <c r="I979" s="380" t="s">
        <v>1914</v>
      </c>
      <c r="J979" s="380" t="s">
        <v>1964</v>
      </c>
      <c r="K979" s="380"/>
      <c r="L979" s="403">
        <v>0.35</v>
      </c>
    </row>
    <row r="980" spans="1:12" ht="15" customHeight="1" x14ac:dyDescent="0.25">
      <c r="A980" s="380" t="s">
        <v>3711</v>
      </c>
      <c r="B980" s="380" t="s">
        <v>1884</v>
      </c>
      <c r="C980" s="380" t="s">
        <v>1712</v>
      </c>
      <c r="D980" s="380" t="s">
        <v>1966</v>
      </c>
      <c r="E980" s="380" t="s">
        <v>330</v>
      </c>
      <c r="F980" s="380" t="s">
        <v>1445</v>
      </c>
      <c r="G980" s="380" t="s">
        <v>1277</v>
      </c>
      <c r="H980" s="380" t="s">
        <v>3712</v>
      </c>
      <c r="I980" s="380" t="s">
        <v>1746</v>
      </c>
      <c r="J980" s="380" t="s">
        <v>1968</v>
      </c>
      <c r="K980" s="380" t="s">
        <v>1969</v>
      </c>
      <c r="L980" s="403">
        <v>0</v>
      </c>
    </row>
    <row r="981" spans="1:12" ht="15" customHeight="1" x14ac:dyDescent="0.25">
      <c r="A981" s="380" t="s">
        <v>3713</v>
      </c>
      <c r="B981" s="380" t="s">
        <v>1884</v>
      </c>
      <c r="C981" s="380" t="s">
        <v>1712</v>
      </c>
      <c r="D981" s="380" t="s">
        <v>1971</v>
      </c>
      <c r="E981" s="380" t="s">
        <v>330</v>
      </c>
      <c r="F981" s="380" t="s">
        <v>1445</v>
      </c>
      <c r="G981" s="380" t="s">
        <v>1277</v>
      </c>
      <c r="H981" s="380" t="s">
        <v>3714</v>
      </c>
      <c r="I981" s="380" t="s">
        <v>1566</v>
      </c>
      <c r="J981" s="380" t="s">
        <v>1973</v>
      </c>
      <c r="K981" s="380" t="s">
        <v>1969</v>
      </c>
      <c r="L981" s="403">
        <v>0</v>
      </c>
    </row>
    <row r="982" spans="1:12" ht="15" customHeight="1" x14ac:dyDescent="0.25">
      <c r="A982" s="380" t="s">
        <v>3715</v>
      </c>
      <c r="B982" s="380" t="s">
        <v>1884</v>
      </c>
      <c r="C982" s="380" t="s">
        <v>1712</v>
      </c>
      <c r="D982" s="380" t="s">
        <v>1890</v>
      </c>
      <c r="E982" s="380" t="s">
        <v>330</v>
      </c>
      <c r="F982" s="380" t="s">
        <v>1473</v>
      </c>
      <c r="G982" s="380" t="s">
        <v>1277</v>
      </c>
      <c r="H982" s="380" t="s">
        <v>3716</v>
      </c>
      <c r="I982" s="380" t="s">
        <v>1307</v>
      </c>
      <c r="J982" s="380" t="s">
        <v>2172</v>
      </c>
      <c r="K982" s="380" t="s">
        <v>1893</v>
      </c>
      <c r="L982" s="406">
        <v>30</v>
      </c>
    </row>
    <row r="983" spans="1:12" ht="15" customHeight="1" x14ac:dyDescent="0.25">
      <c r="A983" s="380" t="s">
        <v>3717</v>
      </c>
      <c r="B983" s="380" t="s">
        <v>1884</v>
      </c>
      <c r="C983" s="380" t="s">
        <v>1712</v>
      </c>
      <c r="D983" s="380" t="s">
        <v>1895</v>
      </c>
      <c r="E983" s="380" t="s">
        <v>330</v>
      </c>
      <c r="F983" s="380" t="s">
        <v>1473</v>
      </c>
      <c r="G983" s="380" t="s">
        <v>1277</v>
      </c>
      <c r="H983" s="380" t="s">
        <v>3718</v>
      </c>
      <c r="I983" s="380" t="s">
        <v>1897</v>
      </c>
      <c r="J983" s="380" t="s">
        <v>1898</v>
      </c>
      <c r="K983" s="380"/>
      <c r="L983" s="404">
        <v>0.5</v>
      </c>
    </row>
    <row r="984" spans="1:12" ht="15" customHeight="1" x14ac:dyDescent="0.25">
      <c r="A984" s="380" t="s">
        <v>3719</v>
      </c>
      <c r="B984" s="380" t="s">
        <v>1884</v>
      </c>
      <c r="C984" s="380" t="s">
        <v>1712</v>
      </c>
      <c r="D984" s="380" t="s">
        <v>1900</v>
      </c>
      <c r="E984" s="380" t="s">
        <v>330</v>
      </c>
      <c r="F984" s="380" t="s">
        <v>1473</v>
      </c>
      <c r="G984" s="380" t="s">
        <v>1277</v>
      </c>
      <c r="H984" s="380" t="s">
        <v>3720</v>
      </c>
      <c r="I984" s="380" t="s">
        <v>1902</v>
      </c>
      <c r="J984" s="380" t="s">
        <v>1903</v>
      </c>
      <c r="K984" s="380"/>
      <c r="L984" s="404">
        <v>0.05</v>
      </c>
    </row>
    <row r="985" spans="1:12" ht="15" customHeight="1" x14ac:dyDescent="0.25">
      <c r="A985" s="380" t="s">
        <v>3721</v>
      </c>
      <c r="B985" s="380" t="s">
        <v>1884</v>
      </c>
      <c r="C985" s="380" t="s">
        <v>1712</v>
      </c>
      <c r="D985" s="380" t="s">
        <v>1905</v>
      </c>
      <c r="E985" s="380" t="s">
        <v>330</v>
      </c>
      <c r="F985" s="380" t="s">
        <v>1473</v>
      </c>
      <c r="G985" s="380" t="s">
        <v>1277</v>
      </c>
      <c r="H985" s="380" t="s">
        <v>3722</v>
      </c>
      <c r="I985" s="380" t="s">
        <v>1902</v>
      </c>
      <c r="J985" s="380" t="s">
        <v>1907</v>
      </c>
      <c r="K985" s="380"/>
      <c r="L985" s="404">
        <v>0.01</v>
      </c>
    </row>
    <row r="986" spans="1:12" ht="15" customHeight="1" x14ac:dyDescent="0.25">
      <c r="A986" s="380" t="s">
        <v>3723</v>
      </c>
      <c r="B986" s="380" t="s">
        <v>1884</v>
      </c>
      <c r="C986" s="380" t="s">
        <v>1712</v>
      </c>
      <c r="D986" s="380" t="s">
        <v>1909</v>
      </c>
      <c r="E986" s="380" t="s">
        <v>330</v>
      </c>
      <c r="F986" s="380" t="s">
        <v>1473</v>
      </c>
      <c r="G986" s="380" t="s">
        <v>1277</v>
      </c>
      <c r="H986" s="380" t="s">
        <v>3724</v>
      </c>
      <c r="I986" s="380" t="s">
        <v>1902</v>
      </c>
      <c r="J986" s="380" t="s">
        <v>1911</v>
      </c>
      <c r="K986" s="380"/>
      <c r="L986" s="404">
        <v>0.2</v>
      </c>
    </row>
    <row r="987" spans="1:12" ht="15" customHeight="1" x14ac:dyDescent="0.25">
      <c r="A987" s="380" t="s">
        <v>3725</v>
      </c>
      <c r="B987" s="380" t="s">
        <v>1884</v>
      </c>
      <c r="C987" s="380" t="s">
        <v>1712</v>
      </c>
      <c r="D987" s="380" t="s">
        <v>1317</v>
      </c>
      <c r="E987" s="380" t="s">
        <v>330</v>
      </c>
      <c r="F987" s="380" t="s">
        <v>1473</v>
      </c>
      <c r="G987" s="380" t="s">
        <v>757</v>
      </c>
      <c r="H987" s="380" t="s">
        <v>3726</v>
      </c>
      <c r="I987" s="380" t="s">
        <v>1914</v>
      </c>
      <c r="J987" s="380" t="s">
        <v>1915</v>
      </c>
      <c r="K987" s="380" t="s">
        <v>1916</v>
      </c>
      <c r="L987" s="403">
        <v>0</v>
      </c>
    </row>
    <row r="988" spans="1:12" ht="15" customHeight="1" x14ac:dyDescent="0.25">
      <c r="A988" s="380" t="s">
        <v>3727</v>
      </c>
      <c r="B988" s="380" t="s">
        <v>1884</v>
      </c>
      <c r="C988" s="380" t="s">
        <v>1712</v>
      </c>
      <c r="D988" s="380" t="s">
        <v>1317</v>
      </c>
      <c r="E988" s="380" t="s">
        <v>330</v>
      </c>
      <c r="F988" s="380" t="s">
        <v>1473</v>
      </c>
      <c r="G988" s="380" t="s">
        <v>754</v>
      </c>
      <c r="H988" s="380" t="s">
        <v>3728</v>
      </c>
      <c r="I988" s="380" t="s">
        <v>1914</v>
      </c>
      <c r="J988" s="380" t="s">
        <v>1919</v>
      </c>
      <c r="K988" s="380" t="s">
        <v>1916</v>
      </c>
      <c r="L988" s="403">
        <v>3</v>
      </c>
    </row>
    <row r="989" spans="1:12" ht="15" customHeight="1" x14ac:dyDescent="0.25">
      <c r="A989" s="380" t="s">
        <v>3729</v>
      </c>
      <c r="B989" s="380" t="s">
        <v>1884</v>
      </c>
      <c r="C989" s="380" t="s">
        <v>1712</v>
      </c>
      <c r="D989" s="380" t="s">
        <v>1317</v>
      </c>
      <c r="E989" s="380" t="s">
        <v>330</v>
      </c>
      <c r="F989" s="380" t="s">
        <v>1473</v>
      </c>
      <c r="G989" s="380" t="s">
        <v>1292</v>
      </c>
      <c r="H989" s="380" t="s">
        <v>3730</v>
      </c>
      <c r="I989" s="380" t="s">
        <v>1914</v>
      </c>
      <c r="J989" s="380" t="s">
        <v>1922</v>
      </c>
      <c r="K989" s="380" t="s">
        <v>1916</v>
      </c>
      <c r="L989" s="403">
        <v>0</v>
      </c>
    </row>
    <row r="990" spans="1:12" ht="15" customHeight="1" x14ac:dyDescent="0.25">
      <c r="A990" s="380" t="s">
        <v>3731</v>
      </c>
      <c r="B990" s="380" t="s">
        <v>1884</v>
      </c>
      <c r="C990" s="380" t="s">
        <v>1712</v>
      </c>
      <c r="D990" s="380" t="s">
        <v>1317</v>
      </c>
      <c r="E990" s="380" t="s">
        <v>330</v>
      </c>
      <c r="F990" s="380" t="s">
        <v>1473</v>
      </c>
      <c r="G990" s="380" t="s">
        <v>762</v>
      </c>
      <c r="H990" s="380" t="s">
        <v>3732</v>
      </c>
      <c r="I990" s="380" t="s">
        <v>1914</v>
      </c>
      <c r="J990" s="380" t="s">
        <v>1925</v>
      </c>
      <c r="K990" s="380" t="s">
        <v>1916</v>
      </c>
      <c r="L990" s="403">
        <v>0</v>
      </c>
    </row>
    <row r="991" spans="1:12" ht="15" customHeight="1" x14ac:dyDescent="0.25">
      <c r="A991" s="380" t="s">
        <v>3733</v>
      </c>
      <c r="B991" s="380" t="s">
        <v>1884</v>
      </c>
      <c r="C991" s="380" t="s">
        <v>1712</v>
      </c>
      <c r="D991" s="380" t="s">
        <v>1317</v>
      </c>
      <c r="E991" s="380" t="s">
        <v>330</v>
      </c>
      <c r="F991" s="380" t="s">
        <v>1473</v>
      </c>
      <c r="G991" s="380" t="s">
        <v>1295</v>
      </c>
      <c r="H991" s="380" t="s">
        <v>3734</v>
      </c>
      <c r="I991" s="380" t="s">
        <v>1914</v>
      </c>
      <c r="J991" s="380" t="s">
        <v>1928</v>
      </c>
      <c r="K991" s="380" t="s">
        <v>1916</v>
      </c>
      <c r="L991" s="403">
        <v>0</v>
      </c>
    </row>
    <row r="992" spans="1:12" ht="15" customHeight="1" x14ac:dyDescent="0.25">
      <c r="A992" s="380" t="s">
        <v>3735</v>
      </c>
      <c r="B992" s="380" t="s">
        <v>1884</v>
      </c>
      <c r="C992" s="380" t="s">
        <v>1712</v>
      </c>
      <c r="D992" s="380" t="s">
        <v>1317</v>
      </c>
      <c r="E992" s="380" t="s">
        <v>330</v>
      </c>
      <c r="F992" s="380" t="s">
        <v>1473</v>
      </c>
      <c r="G992" s="380" t="s">
        <v>1297</v>
      </c>
      <c r="H992" s="380" t="s">
        <v>3736</v>
      </c>
      <c r="I992" s="380" t="s">
        <v>1914</v>
      </c>
      <c r="J992" s="380" t="s">
        <v>1931</v>
      </c>
      <c r="K992" s="380" t="s">
        <v>1916</v>
      </c>
      <c r="L992" s="403">
        <v>0</v>
      </c>
    </row>
    <row r="993" spans="1:12" ht="15" customHeight="1" x14ac:dyDescent="0.25">
      <c r="A993" s="380" t="s">
        <v>3737</v>
      </c>
      <c r="B993" s="380" t="s">
        <v>1884</v>
      </c>
      <c r="C993" s="380" t="s">
        <v>1712</v>
      </c>
      <c r="D993" s="380" t="s">
        <v>1317</v>
      </c>
      <c r="E993" s="380" t="s">
        <v>330</v>
      </c>
      <c r="F993" s="380" t="s">
        <v>1473</v>
      </c>
      <c r="G993" s="380" t="s">
        <v>1299</v>
      </c>
      <c r="H993" s="380" t="s">
        <v>3738</v>
      </c>
      <c r="I993" s="380" t="s">
        <v>1914</v>
      </c>
      <c r="J993" s="380" t="s">
        <v>1934</v>
      </c>
      <c r="K993" s="380" t="s">
        <v>1916</v>
      </c>
      <c r="L993" s="403">
        <v>0</v>
      </c>
    </row>
    <row r="994" spans="1:12" ht="15" customHeight="1" x14ac:dyDescent="0.25">
      <c r="A994" s="380" t="s">
        <v>3739</v>
      </c>
      <c r="B994" s="380" t="s">
        <v>1884</v>
      </c>
      <c r="C994" s="380" t="s">
        <v>1712</v>
      </c>
      <c r="D994" s="380" t="s">
        <v>1317</v>
      </c>
      <c r="E994" s="380" t="s">
        <v>330</v>
      </c>
      <c r="F994" s="380" t="s">
        <v>1473</v>
      </c>
      <c r="G994" s="380" t="s">
        <v>1301</v>
      </c>
      <c r="H994" s="380" t="s">
        <v>3740</v>
      </c>
      <c r="I994" s="380" t="s">
        <v>1914</v>
      </c>
      <c r="J994" s="380" t="s">
        <v>1937</v>
      </c>
      <c r="K994" s="380" t="s">
        <v>1916</v>
      </c>
      <c r="L994" s="403">
        <v>0</v>
      </c>
    </row>
    <row r="995" spans="1:12" ht="15" customHeight="1" x14ac:dyDescent="0.25">
      <c r="A995" s="380" t="s">
        <v>3741</v>
      </c>
      <c r="B995" s="380" t="s">
        <v>1884</v>
      </c>
      <c r="C995" s="380" t="s">
        <v>1712</v>
      </c>
      <c r="D995" s="380" t="s">
        <v>1328</v>
      </c>
      <c r="E995" s="380" t="s">
        <v>330</v>
      </c>
      <c r="F995" s="380" t="s">
        <v>1473</v>
      </c>
      <c r="G995" s="380" t="s">
        <v>757</v>
      </c>
      <c r="H995" s="380" t="s">
        <v>3742</v>
      </c>
      <c r="I995" s="380" t="s">
        <v>1914</v>
      </c>
      <c r="J995" s="380" t="s">
        <v>1940</v>
      </c>
      <c r="K995" s="380" t="s">
        <v>1916</v>
      </c>
      <c r="L995" s="403">
        <v>0</v>
      </c>
    </row>
    <row r="996" spans="1:12" ht="15" customHeight="1" x14ac:dyDescent="0.25">
      <c r="A996" s="380" t="s">
        <v>3743</v>
      </c>
      <c r="B996" s="380" t="s">
        <v>1884</v>
      </c>
      <c r="C996" s="380" t="s">
        <v>1712</v>
      </c>
      <c r="D996" s="380" t="s">
        <v>1328</v>
      </c>
      <c r="E996" s="380" t="s">
        <v>330</v>
      </c>
      <c r="F996" s="380" t="s">
        <v>1473</v>
      </c>
      <c r="G996" s="380" t="s">
        <v>754</v>
      </c>
      <c r="H996" s="380" t="s">
        <v>3744</v>
      </c>
      <c r="I996" s="380" t="s">
        <v>1914</v>
      </c>
      <c r="J996" s="380" t="s">
        <v>1943</v>
      </c>
      <c r="K996" s="380" t="s">
        <v>1916</v>
      </c>
      <c r="L996" s="403">
        <v>0</v>
      </c>
    </row>
    <row r="997" spans="1:12" ht="15" customHeight="1" x14ac:dyDescent="0.25">
      <c r="A997" s="380" t="s">
        <v>3745</v>
      </c>
      <c r="B997" s="380" t="s">
        <v>1884</v>
      </c>
      <c r="C997" s="380" t="s">
        <v>1712</v>
      </c>
      <c r="D997" s="380" t="s">
        <v>1328</v>
      </c>
      <c r="E997" s="380" t="s">
        <v>330</v>
      </c>
      <c r="F997" s="380" t="s">
        <v>1473</v>
      </c>
      <c r="G997" s="380" t="s">
        <v>1292</v>
      </c>
      <c r="H997" s="380" t="s">
        <v>3746</v>
      </c>
      <c r="I997" s="380" t="s">
        <v>1914</v>
      </c>
      <c r="J997" s="380" t="s">
        <v>1946</v>
      </c>
      <c r="K997" s="380" t="s">
        <v>1916</v>
      </c>
      <c r="L997" s="403">
        <v>0</v>
      </c>
    </row>
    <row r="998" spans="1:12" ht="15" customHeight="1" x14ac:dyDescent="0.25">
      <c r="A998" s="380" t="s">
        <v>3747</v>
      </c>
      <c r="B998" s="380" t="s">
        <v>1884</v>
      </c>
      <c r="C998" s="380" t="s">
        <v>1712</v>
      </c>
      <c r="D998" s="380" t="s">
        <v>1328</v>
      </c>
      <c r="E998" s="380" t="s">
        <v>330</v>
      </c>
      <c r="F998" s="380" t="s">
        <v>1473</v>
      </c>
      <c r="G998" s="380" t="s">
        <v>762</v>
      </c>
      <c r="H998" s="380" t="s">
        <v>3748</v>
      </c>
      <c r="I998" s="380" t="s">
        <v>1914</v>
      </c>
      <c r="J998" s="380" t="s">
        <v>1949</v>
      </c>
      <c r="K998" s="380" t="s">
        <v>1916</v>
      </c>
      <c r="L998" s="403">
        <v>0</v>
      </c>
    </row>
    <row r="999" spans="1:12" ht="15" customHeight="1" x14ac:dyDescent="0.25">
      <c r="A999" s="380" t="s">
        <v>3749</v>
      </c>
      <c r="B999" s="380" t="s">
        <v>1884</v>
      </c>
      <c r="C999" s="380" t="s">
        <v>1712</v>
      </c>
      <c r="D999" s="380" t="s">
        <v>1328</v>
      </c>
      <c r="E999" s="380" t="s">
        <v>330</v>
      </c>
      <c r="F999" s="380" t="s">
        <v>1473</v>
      </c>
      <c r="G999" s="380" t="s">
        <v>1295</v>
      </c>
      <c r="H999" s="380" t="s">
        <v>3750</v>
      </c>
      <c r="I999" s="380" t="s">
        <v>1914</v>
      </c>
      <c r="J999" s="380" t="s">
        <v>1952</v>
      </c>
      <c r="K999" s="380" t="s">
        <v>1916</v>
      </c>
      <c r="L999" s="403">
        <v>0</v>
      </c>
    </row>
    <row r="1000" spans="1:12" ht="15" customHeight="1" x14ac:dyDescent="0.25">
      <c r="A1000" s="380" t="s">
        <v>3751</v>
      </c>
      <c r="B1000" s="380" t="s">
        <v>1884</v>
      </c>
      <c r="C1000" s="380" t="s">
        <v>1712</v>
      </c>
      <c r="D1000" s="380" t="s">
        <v>1328</v>
      </c>
      <c r="E1000" s="380" t="s">
        <v>330</v>
      </c>
      <c r="F1000" s="380" t="s">
        <v>1473</v>
      </c>
      <c r="G1000" s="380" t="s">
        <v>1297</v>
      </c>
      <c r="H1000" s="380" t="s">
        <v>3752</v>
      </c>
      <c r="I1000" s="380" t="s">
        <v>1914</v>
      </c>
      <c r="J1000" s="380" t="s">
        <v>1955</v>
      </c>
      <c r="K1000" s="380" t="s">
        <v>1916</v>
      </c>
      <c r="L1000" s="403">
        <v>0</v>
      </c>
    </row>
    <row r="1001" spans="1:12" ht="15" customHeight="1" x14ac:dyDescent="0.25">
      <c r="A1001" s="380" t="s">
        <v>3753</v>
      </c>
      <c r="B1001" s="380" t="s">
        <v>1884</v>
      </c>
      <c r="C1001" s="380" t="s">
        <v>1712</v>
      </c>
      <c r="D1001" s="380" t="s">
        <v>1328</v>
      </c>
      <c r="E1001" s="380" t="s">
        <v>330</v>
      </c>
      <c r="F1001" s="380" t="s">
        <v>1473</v>
      </c>
      <c r="G1001" s="380" t="s">
        <v>1299</v>
      </c>
      <c r="H1001" s="380" t="s">
        <v>3754</v>
      </c>
      <c r="I1001" s="380" t="s">
        <v>1914</v>
      </c>
      <c r="J1001" s="380" t="s">
        <v>1958</v>
      </c>
      <c r="K1001" s="380" t="s">
        <v>1916</v>
      </c>
      <c r="L1001" s="403">
        <v>0</v>
      </c>
    </row>
    <row r="1002" spans="1:12" ht="15" customHeight="1" x14ac:dyDescent="0.25">
      <c r="A1002" s="380" t="s">
        <v>3755</v>
      </c>
      <c r="B1002" s="380" t="s">
        <v>1884</v>
      </c>
      <c r="C1002" s="380" t="s">
        <v>1712</v>
      </c>
      <c r="D1002" s="380" t="s">
        <v>1328</v>
      </c>
      <c r="E1002" s="380" t="s">
        <v>330</v>
      </c>
      <c r="F1002" s="380" t="s">
        <v>1473</v>
      </c>
      <c r="G1002" s="380" t="s">
        <v>1301</v>
      </c>
      <c r="H1002" s="380" t="s">
        <v>3756</v>
      </c>
      <c r="I1002" s="380" t="s">
        <v>1914</v>
      </c>
      <c r="J1002" s="380" t="s">
        <v>1961</v>
      </c>
      <c r="K1002" s="380" t="s">
        <v>1916</v>
      </c>
      <c r="L1002" s="403">
        <v>0</v>
      </c>
    </row>
    <row r="1003" spans="1:12" ht="15" customHeight="1" x14ac:dyDescent="0.25">
      <c r="A1003" s="380" t="s">
        <v>3757</v>
      </c>
      <c r="B1003" s="380" t="s">
        <v>1884</v>
      </c>
      <c r="C1003" s="380" t="s">
        <v>1712</v>
      </c>
      <c r="D1003" s="380" t="s">
        <v>1338</v>
      </c>
      <c r="E1003" s="380" t="s">
        <v>330</v>
      </c>
      <c r="F1003" s="380" t="s">
        <v>1473</v>
      </c>
      <c r="G1003" s="380" t="s">
        <v>1339</v>
      </c>
      <c r="H1003" s="380" t="s">
        <v>3758</v>
      </c>
      <c r="I1003" s="380" t="s">
        <v>1914</v>
      </c>
      <c r="J1003" s="380" t="s">
        <v>1964</v>
      </c>
      <c r="K1003" s="380"/>
      <c r="L1003" s="403">
        <v>0.3</v>
      </c>
    </row>
    <row r="1004" spans="1:12" ht="15" customHeight="1" x14ac:dyDescent="0.25">
      <c r="A1004" s="380" t="s">
        <v>3759</v>
      </c>
      <c r="B1004" s="380" t="s">
        <v>1884</v>
      </c>
      <c r="C1004" s="380" t="s">
        <v>1712</v>
      </c>
      <c r="D1004" s="380" t="s">
        <v>1966</v>
      </c>
      <c r="E1004" s="380" t="s">
        <v>330</v>
      </c>
      <c r="F1004" s="380" t="s">
        <v>1473</v>
      </c>
      <c r="G1004" s="380" t="s">
        <v>1277</v>
      </c>
      <c r="H1004" s="380" t="s">
        <v>3760</v>
      </c>
      <c r="I1004" s="380" t="s">
        <v>1746</v>
      </c>
      <c r="J1004" s="380" t="s">
        <v>1968</v>
      </c>
      <c r="K1004" s="380" t="s">
        <v>1969</v>
      </c>
      <c r="L1004" s="403">
        <v>-0.73299999999999998</v>
      </c>
    </row>
    <row r="1005" spans="1:12" ht="15" customHeight="1" x14ac:dyDescent="0.25">
      <c r="A1005" s="380" t="s">
        <v>3761</v>
      </c>
      <c r="B1005" s="380" t="s">
        <v>1884</v>
      </c>
      <c r="C1005" s="380" t="s">
        <v>1712</v>
      </c>
      <c r="D1005" s="380" t="s">
        <v>1971</v>
      </c>
      <c r="E1005" s="380" t="s">
        <v>330</v>
      </c>
      <c r="F1005" s="380" t="s">
        <v>1473</v>
      </c>
      <c r="G1005" s="380" t="s">
        <v>1277</v>
      </c>
      <c r="H1005" s="380" t="s">
        <v>3762</v>
      </c>
      <c r="I1005" s="380" t="s">
        <v>1566</v>
      </c>
      <c r="J1005" s="380" t="s">
        <v>1973</v>
      </c>
      <c r="K1005" s="380" t="s">
        <v>1969</v>
      </c>
      <c r="L1005" s="403">
        <v>0</v>
      </c>
    </row>
    <row r="1006" spans="1:12" ht="15" customHeight="1" x14ac:dyDescent="0.25">
      <c r="A1006" s="380" t="s">
        <v>3763</v>
      </c>
      <c r="B1006" s="380" t="s">
        <v>1884</v>
      </c>
      <c r="C1006" s="380" t="s">
        <v>1712</v>
      </c>
      <c r="D1006" s="380" t="s">
        <v>1890</v>
      </c>
      <c r="E1006" s="380" t="s">
        <v>330</v>
      </c>
      <c r="F1006" s="380" t="s">
        <v>1501</v>
      </c>
      <c r="G1006" s="380" t="s">
        <v>1277</v>
      </c>
      <c r="H1006" s="380" t="s">
        <v>3764</v>
      </c>
      <c r="I1006" s="380" t="s">
        <v>1307</v>
      </c>
      <c r="J1006" s="380" t="s">
        <v>2221</v>
      </c>
      <c r="K1006" s="380" t="s">
        <v>1893</v>
      </c>
      <c r="L1006" s="406">
        <v>0.5</v>
      </c>
    </row>
    <row r="1007" spans="1:12" ht="15" customHeight="1" x14ac:dyDescent="0.25">
      <c r="A1007" s="380" t="s">
        <v>3765</v>
      </c>
      <c r="B1007" s="380" t="s">
        <v>1884</v>
      </c>
      <c r="C1007" s="380" t="s">
        <v>1712</v>
      </c>
      <c r="D1007" s="380" t="s">
        <v>1895</v>
      </c>
      <c r="E1007" s="380" t="s">
        <v>330</v>
      </c>
      <c r="F1007" s="380" t="s">
        <v>1501</v>
      </c>
      <c r="G1007" s="380" t="s">
        <v>1277</v>
      </c>
      <c r="H1007" s="380" t="s">
        <v>3766</v>
      </c>
      <c r="I1007" s="380" t="s">
        <v>1897</v>
      </c>
      <c r="J1007" s="380" t="s">
        <v>1898</v>
      </c>
      <c r="K1007" s="380"/>
      <c r="L1007" s="404">
        <v>0.4</v>
      </c>
    </row>
    <row r="1008" spans="1:12" ht="15" customHeight="1" x14ac:dyDescent="0.25">
      <c r="A1008" s="380" t="s">
        <v>3767</v>
      </c>
      <c r="B1008" s="380" t="s">
        <v>1884</v>
      </c>
      <c r="C1008" s="380" t="s">
        <v>1712</v>
      </c>
      <c r="D1008" s="380" t="s">
        <v>1900</v>
      </c>
      <c r="E1008" s="380" t="s">
        <v>330</v>
      </c>
      <c r="F1008" s="380" t="s">
        <v>1501</v>
      </c>
      <c r="G1008" s="380" t="s">
        <v>1277</v>
      </c>
      <c r="H1008" s="380" t="s">
        <v>3768</v>
      </c>
      <c r="I1008" s="380" t="s">
        <v>1902</v>
      </c>
      <c r="J1008" s="380" t="s">
        <v>1903</v>
      </c>
      <c r="K1008" s="380"/>
      <c r="L1008" s="404">
        <v>0.1</v>
      </c>
    </row>
    <row r="1009" spans="1:12" ht="15" customHeight="1" x14ac:dyDescent="0.25">
      <c r="A1009" s="380" t="s">
        <v>3769</v>
      </c>
      <c r="B1009" s="380" t="s">
        <v>1884</v>
      </c>
      <c r="C1009" s="380" t="s">
        <v>1712</v>
      </c>
      <c r="D1009" s="380" t="s">
        <v>1905</v>
      </c>
      <c r="E1009" s="380" t="s">
        <v>330</v>
      </c>
      <c r="F1009" s="380" t="s">
        <v>1501</v>
      </c>
      <c r="G1009" s="380" t="s">
        <v>1277</v>
      </c>
      <c r="H1009" s="380" t="s">
        <v>3770</v>
      </c>
      <c r="I1009" s="380" t="s">
        <v>1902</v>
      </c>
      <c r="J1009" s="380" t="s">
        <v>1907</v>
      </c>
      <c r="K1009" s="380"/>
      <c r="L1009" s="404">
        <v>0.02</v>
      </c>
    </row>
    <row r="1010" spans="1:12" ht="15" customHeight="1" x14ac:dyDescent="0.25">
      <c r="A1010" s="380" t="s">
        <v>3771</v>
      </c>
      <c r="B1010" s="380" t="s">
        <v>1884</v>
      </c>
      <c r="C1010" s="380" t="s">
        <v>1712</v>
      </c>
      <c r="D1010" s="380" t="s">
        <v>1909</v>
      </c>
      <c r="E1010" s="380" t="s">
        <v>330</v>
      </c>
      <c r="F1010" s="380" t="s">
        <v>1501</v>
      </c>
      <c r="G1010" s="380" t="s">
        <v>1277</v>
      </c>
      <c r="H1010" s="380" t="s">
        <v>3772</v>
      </c>
      <c r="I1010" s="380" t="s">
        <v>1902</v>
      </c>
      <c r="J1010" s="380" t="s">
        <v>1911</v>
      </c>
      <c r="K1010" s="380"/>
      <c r="L1010" s="404">
        <v>0.05</v>
      </c>
    </row>
    <row r="1011" spans="1:12" ht="15" customHeight="1" x14ac:dyDescent="0.25">
      <c r="A1011" s="380" t="s">
        <v>3773</v>
      </c>
      <c r="B1011" s="380" t="s">
        <v>1884</v>
      </c>
      <c r="C1011" s="380" t="s">
        <v>1712</v>
      </c>
      <c r="D1011" s="380" t="s">
        <v>1317</v>
      </c>
      <c r="E1011" s="380" t="s">
        <v>330</v>
      </c>
      <c r="F1011" s="380" t="s">
        <v>1501</v>
      </c>
      <c r="G1011" s="380" t="s">
        <v>757</v>
      </c>
      <c r="H1011" s="380" t="s">
        <v>3774</v>
      </c>
      <c r="I1011" s="380" t="s">
        <v>1914</v>
      </c>
      <c r="J1011" s="380" t="s">
        <v>1915</v>
      </c>
      <c r="K1011" s="380" t="s">
        <v>1916</v>
      </c>
      <c r="L1011" s="403">
        <v>0</v>
      </c>
    </row>
    <row r="1012" spans="1:12" ht="15" customHeight="1" x14ac:dyDescent="0.25">
      <c r="A1012" s="380" t="s">
        <v>3775</v>
      </c>
      <c r="B1012" s="380" t="s">
        <v>1884</v>
      </c>
      <c r="C1012" s="380" t="s">
        <v>1712</v>
      </c>
      <c r="D1012" s="380" t="s">
        <v>1317</v>
      </c>
      <c r="E1012" s="380" t="s">
        <v>330</v>
      </c>
      <c r="F1012" s="380" t="s">
        <v>1501</v>
      </c>
      <c r="G1012" s="380" t="s">
        <v>754</v>
      </c>
      <c r="H1012" s="380" t="s">
        <v>3776</v>
      </c>
      <c r="I1012" s="380" t="s">
        <v>1914</v>
      </c>
      <c r="J1012" s="380" t="s">
        <v>1919</v>
      </c>
      <c r="K1012" s="380" t="s">
        <v>1916</v>
      </c>
      <c r="L1012" s="403">
        <v>1.5</v>
      </c>
    </row>
    <row r="1013" spans="1:12" ht="15" customHeight="1" x14ac:dyDescent="0.25">
      <c r="A1013" s="380" t="s">
        <v>3777</v>
      </c>
      <c r="B1013" s="380" t="s">
        <v>1884</v>
      </c>
      <c r="C1013" s="380" t="s">
        <v>1712</v>
      </c>
      <c r="D1013" s="380" t="s">
        <v>1317</v>
      </c>
      <c r="E1013" s="380" t="s">
        <v>330</v>
      </c>
      <c r="F1013" s="380" t="s">
        <v>1501</v>
      </c>
      <c r="G1013" s="380" t="s">
        <v>1292</v>
      </c>
      <c r="H1013" s="380" t="s">
        <v>3778</v>
      </c>
      <c r="I1013" s="380" t="s">
        <v>1914</v>
      </c>
      <c r="J1013" s="380" t="s">
        <v>1922</v>
      </c>
      <c r="K1013" s="380" t="s">
        <v>1916</v>
      </c>
      <c r="L1013" s="403">
        <v>0</v>
      </c>
    </row>
    <row r="1014" spans="1:12" ht="15" customHeight="1" x14ac:dyDescent="0.25">
      <c r="A1014" s="380" t="s">
        <v>3779</v>
      </c>
      <c r="B1014" s="380" t="s">
        <v>1884</v>
      </c>
      <c r="C1014" s="380" t="s">
        <v>1712</v>
      </c>
      <c r="D1014" s="380" t="s">
        <v>1317</v>
      </c>
      <c r="E1014" s="380" t="s">
        <v>330</v>
      </c>
      <c r="F1014" s="380" t="s">
        <v>1501</v>
      </c>
      <c r="G1014" s="380" t="s">
        <v>762</v>
      </c>
      <c r="H1014" s="380" t="s">
        <v>3780</v>
      </c>
      <c r="I1014" s="380" t="s">
        <v>1914</v>
      </c>
      <c r="J1014" s="380" t="s">
        <v>1925</v>
      </c>
      <c r="K1014" s="380" t="s">
        <v>1916</v>
      </c>
      <c r="L1014" s="403">
        <v>0</v>
      </c>
    </row>
    <row r="1015" spans="1:12" ht="15" customHeight="1" x14ac:dyDescent="0.25">
      <c r="A1015" s="380" t="s">
        <v>3781</v>
      </c>
      <c r="B1015" s="380" t="s">
        <v>1884</v>
      </c>
      <c r="C1015" s="380" t="s">
        <v>1712</v>
      </c>
      <c r="D1015" s="380" t="s">
        <v>1317</v>
      </c>
      <c r="E1015" s="380" t="s">
        <v>330</v>
      </c>
      <c r="F1015" s="380" t="s">
        <v>1501</v>
      </c>
      <c r="G1015" s="380" t="s">
        <v>1295</v>
      </c>
      <c r="H1015" s="380" t="s">
        <v>3782</v>
      </c>
      <c r="I1015" s="380" t="s">
        <v>1914</v>
      </c>
      <c r="J1015" s="380" t="s">
        <v>1928</v>
      </c>
      <c r="K1015" s="380" t="s">
        <v>1916</v>
      </c>
      <c r="L1015" s="403">
        <v>0</v>
      </c>
    </row>
    <row r="1016" spans="1:12" ht="15" customHeight="1" x14ac:dyDescent="0.25">
      <c r="A1016" s="380" t="s">
        <v>3783</v>
      </c>
      <c r="B1016" s="380" t="s">
        <v>1884</v>
      </c>
      <c r="C1016" s="380" t="s">
        <v>1712</v>
      </c>
      <c r="D1016" s="380" t="s">
        <v>1317</v>
      </c>
      <c r="E1016" s="380" t="s">
        <v>330</v>
      </c>
      <c r="F1016" s="380" t="s">
        <v>1501</v>
      </c>
      <c r="G1016" s="380" t="s">
        <v>1297</v>
      </c>
      <c r="H1016" s="380" t="s">
        <v>3784</v>
      </c>
      <c r="I1016" s="380" t="s">
        <v>1914</v>
      </c>
      <c r="J1016" s="380" t="s">
        <v>1931</v>
      </c>
      <c r="K1016" s="380" t="s">
        <v>1916</v>
      </c>
      <c r="L1016" s="403">
        <v>0</v>
      </c>
    </row>
    <row r="1017" spans="1:12" ht="15" customHeight="1" x14ac:dyDescent="0.25">
      <c r="A1017" s="380" t="s">
        <v>3785</v>
      </c>
      <c r="B1017" s="380" t="s">
        <v>1884</v>
      </c>
      <c r="C1017" s="380" t="s">
        <v>1712</v>
      </c>
      <c r="D1017" s="380" t="s">
        <v>1317</v>
      </c>
      <c r="E1017" s="380" t="s">
        <v>330</v>
      </c>
      <c r="F1017" s="380" t="s">
        <v>1501</v>
      </c>
      <c r="G1017" s="380" t="s">
        <v>1299</v>
      </c>
      <c r="H1017" s="380" t="s">
        <v>3786</v>
      </c>
      <c r="I1017" s="380" t="s">
        <v>1914</v>
      </c>
      <c r="J1017" s="380" t="s">
        <v>1934</v>
      </c>
      <c r="K1017" s="380" t="s">
        <v>1916</v>
      </c>
      <c r="L1017" s="403">
        <v>0</v>
      </c>
    </row>
    <row r="1018" spans="1:12" ht="15" customHeight="1" x14ac:dyDescent="0.25">
      <c r="A1018" s="380" t="s">
        <v>3787</v>
      </c>
      <c r="B1018" s="380" t="s">
        <v>1884</v>
      </c>
      <c r="C1018" s="380" t="s">
        <v>1712</v>
      </c>
      <c r="D1018" s="380" t="s">
        <v>1317</v>
      </c>
      <c r="E1018" s="380" t="s">
        <v>330</v>
      </c>
      <c r="F1018" s="380" t="s">
        <v>1501</v>
      </c>
      <c r="G1018" s="380" t="s">
        <v>1301</v>
      </c>
      <c r="H1018" s="380" t="s">
        <v>3788</v>
      </c>
      <c r="I1018" s="380" t="s">
        <v>1914</v>
      </c>
      <c r="J1018" s="380" t="s">
        <v>1937</v>
      </c>
      <c r="K1018" s="380" t="s">
        <v>1916</v>
      </c>
      <c r="L1018" s="403">
        <v>0</v>
      </c>
    </row>
    <row r="1019" spans="1:12" ht="15" customHeight="1" x14ac:dyDescent="0.25">
      <c r="A1019" s="380" t="s">
        <v>3789</v>
      </c>
      <c r="B1019" s="380" t="s">
        <v>1884</v>
      </c>
      <c r="C1019" s="380" t="s">
        <v>1712</v>
      </c>
      <c r="D1019" s="380" t="s">
        <v>1328</v>
      </c>
      <c r="E1019" s="380" t="s">
        <v>330</v>
      </c>
      <c r="F1019" s="380" t="s">
        <v>1501</v>
      </c>
      <c r="G1019" s="380" t="s">
        <v>757</v>
      </c>
      <c r="H1019" s="380" t="s">
        <v>3790</v>
      </c>
      <c r="I1019" s="380" t="s">
        <v>1914</v>
      </c>
      <c r="J1019" s="380" t="s">
        <v>1940</v>
      </c>
      <c r="K1019" s="380" t="s">
        <v>1916</v>
      </c>
      <c r="L1019" s="403">
        <v>0</v>
      </c>
    </row>
    <row r="1020" spans="1:12" ht="15" customHeight="1" x14ac:dyDescent="0.25">
      <c r="A1020" s="380" t="s">
        <v>3791</v>
      </c>
      <c r="B1020" s="380" t="s">
        <v>1884</v>
      </c>
      <c r="C1020" s="380" t="s">
        <v>1712</v>
      </c>
      <c r="D1020" s="380" t="s">
        <v>1328</v>
      </c>
      <c r="E1020" s="380" t="s">
        <v>330</v>
      </c>
      <c r="F1020" s="380" t="s">
        <v>1501</v>
      </c>
      <c r="G1020" s="380" t="s">
        <v>754</v>
      </c>
      <c r="H1020" s="380" t="s">
        <v>3792</v>
      </c>
      <c r="I1020" s="380" t="s">
        <v>1914</v>
      </c>
      <c r="J1020" s="380" t="s">
        <v>1943</v>
      </c>
      <c r="K1020" s="380" t="s">
        <v>1916</v>
      </c>
      <c r="L1020" s="403">
        <v>0</v>
      </c>
    </row>
    <row r="1021" spans="1:12" ht="15" customHeight="1" x14ac:dyDescent="0.25">
      <c r="A1021" s="380" t="s">
        <v>3793</v>
      </c>
      <c r="B1021" s="380" t="s">
        <v>1884</v>
      </c>
      <c r="C1021" s="380" t="s">
        <v>1712</v>
      </c>
      <c r="D1021" s="380" t="s">
        <v>1328</v>
      </c>
      <c r="E1021" s="380" t="s">
        <v>330</v>
      </c>
      <c r="F1021" s="380" t="s">
        <v>1501</v>
      </c>
      <c r="G1021" s="380" t="s">
        <v>1292</v>
      </c>
      <c r="H1021" s="380" t="s">
        <v>3794</v>
      </c>
      <c r="I1021" s="380" t="s">
        <v>1914</v>
      </c>
      <c r="J1021" s="380" t="s">
        <v>1946</v>
      </c>
      <c r="K1021" s="380" t="s">
        <v>1916</v>
      </c>
      <c r="L1021" s="403">
        <v>0</v>
      </c>
    </row>
    <row r="1022" spans="1:12" ht="15" customHeight="1" x14ac:dyDescent="0.25">
      <c r="A1022" s="380" t="s">
        <v>3795</v>
      </c>
      <c r="B1022" s="380" t="s">
        <v>1884</v>
      </c>
      <c r="C1022" s="380" t="s">
        <v>1712</v>
      </c>
      <c r="D1022" s="380" t="s">
        <v>1328</v>
      </c>
      <c r="E1022" s="380" t="s">
        <v>330</v>
      </c>
      <c r="F1022" s="380" t="s">
        <v>1501</v>
      </c>
      <c r="G1022" s="380" t="s">
        <v>762</v>
      </c>
      <c r="H1022" s="380" t="s">
        <v>3796</v>
      </c>
      <c r="I1022" s="380" t="s">
        <v>1914</v>
      </c>
      <c r="J1022" s="380" t="s">
        <v>1949</v>
      </c>
      <c r="K1022" s="380" t="s">
        <v>1916</v>
      </c>
      <c r="L1022" s="403">
        <v>0</v>
      </c>
    </row>
    <row r="1023" spans="1:12" ht="15" customHeight="1" x14ac:dyDescent="0.25">
      <c r="A1023" s="380" t="s">
        <v>3797</v>
      </c>
      <c r="B1023" s="380" t="s">
        <v>1884</v>
      </c>
      <c r="C1023" s="380" t="s">
        <v>1712</v>
      </c>
      <c r="D1023" s="380" t="s">
        <v>1328</v>
      </c>
      <c r="E1023" s="380" t="s">
        <v>330</v>
      </c>
      <c r="F1023" s="380" t="s">
        <v>1501</v>
      </c>
      <c r="G1023" s="380" t="s">
        <v>1295</v>
      </c>
      <c r="H1023" s="380" t="s">
        <v>3798</v>
      </c>
      <c r="I1023" s="380" t="s">
        <v>1914</v>
      </c>
      <c r="J1023" s="380" t="s">
        <v>1952</v>
      </c>
      <c r="K1023" s="380" t="s">
        <v>1916</v>
      </c>
      <c r="L1023" s="403">
        <v>0</v>
      </c>
    </row>
    <row r="1024" spans="1:12" ht="15" customHeight="1" x14ac:dyDescent="0.25">
      <c r="A1024" s="380" t="s">
        <v>3799</v>
      </c>
      <c r="B1024" s="380" t="s">
        <v>1884</v>
      </c>
      <c r="C1024" s="380" t="s">
        <v>1712</v>
      </c>
      <c r="D1024" s="380" t="s">
        <v>1328</v>
      </c>
      <c r="E1024" s="380" t="s">
        <v>330</v>
      </c>
      <c r="F1024" s="380" t="s">
        <v>1501</v>
      </c>
      <c r="G1024" s="380" t="s">
        <v>1297</v>
      </c>
      <c r="H1024" s="380" t="s">
        <v>3800</v>
      </c>
      <c r="I1024" s="380" t="s">
        <v>1914</v>
      </c>
      <c r="J1024" s="380" t="s">
        <v>1955</v>
      </c>
      <c r="K1024" s="380" t="s">
        <v>1916</v>
      </c>
      <c r="L1024" s="403">
        <v>0</v>
      </c>
    </row>
    <row r="1025" spans="1:12" ht="15" customHeight="1" x14ac:dyDescent="0.25">
      <c r="A1025" s="380" t="s">
        <v>3801</v>
      </c>
      <c r="B1025" s="380" t="s">
        <v>1884</v>
      </c>
      <c r="C1025" s="380" t="s">
        <v>1712</v>
      </c>
      <c r="D1025" s="380" t="s">
        <v>1328</v>
      </c>
      <c r="E1025" s="380" t="s">
        <v>330</v>
      </c>
      <c r="F1025" s="380" t="s">
        <v>1501</v>
      </c>
      <c r="G1025" s="380" t="s">
        <v>1299</v>
      </c>
      <c r="H1025" s="380" t="s">
        <v>3802</v>
      </c>
      <c r="I1025" s="380" t="s">
        <v>1914</v>
      </c>
      <c r="J1025" s="380" t="s">
        <v>1958</v>
      </c>
      <c r="K1025" s="380" t="s">
        <v>1916</v>
      </c>
      <c r="L1025" s="403">
        <v>0</v>
      </c>
    </row>
    <row r="1026" spans="1:12" ht="15" customHeight="1" x14ac:dyDescent="0.25">
      <c r="A1026" s="380" t="s">
        <v>3803</v>
      </c>
      <c r="B1026" s="380" t="s">
        <v>1884</v>
      </c>
      <c r="C1026" s="380" t="s">
        <v>1712</v>
      </c>
      <c r="D1026" s="380" t="s">
        <v>1328</v>
      </c>
      <c r="E1026" s="380" t="s">
        <v>330</v>
      </c>
      <c r="F1026" s="380" t="s">
        <v>1501</v>
      </c>
      <c r="G1026" s="380" t="s">
        <v>1301</v>
      </c>
      <c r="H1026" s="380" t="s">
        <v>3804</v>
      </c>
      <c r="I1026" s="380" t="s">
        <v>1914</v>
      </c>
      <c r="J1026" s="380" t="s">
        <v>1961</v>
      </c>
      <c r="K1026" s="380" t="s">
        <v>1916</v>
      </c>
      <c r="L1026" s="403">
        <v>0</v>
      </c>
    </row>
    <row r="1027" spans="1:12" ht="15" customHeight="1" x14ac:dyDescent="0.25">
      <c r="A1027" s="380" t="s">
        <v>3805</v>
      </c>
      <c r="B1027" s="380" t="s">
        <v>1884</v>
      </c>
      <c r="C1027" s="380" t="s">
        <v>1712</v>
      </c>
      <c r="D1027" s="380" t="s">
        <v>1338</v>
      </c>
      <c r="E1027" s="380" t="s">
        <v>330</v>
      </c>
      <c r="F1027" s="380" t="s">
        <v>1501</v>
      </c>
      <c r="G1027" s="380" t="s">
        <v>1339</v>
      </c>
      <c r="H1027" s="380" t="s">
        <v>3806</v>
      </c>
      <c r="I1027" s="380" t="s">
        <v>1914</v>
      </c>
      <c r="J1027" s="380" t="s">
        <v>1964</v>
      </c>
      <c r="K1027" s="380"/>
      <c r="L1027" s="403">
        <v>0.3</v>
      </c>
    </row>
    <row r="1028" spans="1:12" ht="15" customHeight="1" x14ac:dyDescent="0.25">
      <c r="A1028" s="380" t="s">
        <v>3807</v>
      </c>
      <c r="B1028" s="380" t="s">
        <v>1884</v>
      </c>
      <c r="C1028" s="380" t="s">
        <v>1712</v>
      </c>
      <c r="D1028" s="380" t="s">
        <v>1966</v>
      </c>
      <c r="E1028" s="380" t="s">
        <v>330</v>
      </c>
      <c r="F1028" s="380" t="s">
        <v>1501</v>
      </c>
      <c r="G1028" s="380" t="s">
        <v>1277</v>
      </c>
      <c r="H1028" s="380" t="s">
        <v>3808</v>
      </c>
      <c r="I1028" s="380" t="s">
        <v>1746</v>
      </c>
      <c r="J1028" s="380" t="s">
        <v>1968</v>
      </c>
      <c r="K1028" s="380" t="s">
        <v>1969</v>
      </c>
      <c r="L1028" s="403">
        <v>0</v>
      </c>
    </row>
    <row r="1029" spans="1:12" ht="15" customHeight="1" x14ac:dyDescent="0.25">
      <c r="A1029" s="380" t="s">
        <v>3809</v>
      </c>
      <c r="B1029" s="380" t="s">
        <v>1884</v>
      </c>
      <c r="C1029" s="380" t="s">
        <v>1712</v>
      </c>
      <c r="D1029" s="380" t="s">
        <v>1971</v>
      </c>
      <c r="E1029" s="380" t="s">
        <v>330</v>
      </c>
      <c r="F1029" s="380" t="s">
        <v>1501</v>
      </c>
      <c r="G1029" s="380" t="s">
        <v>1277</v>
      </c>
      <c r="H1029" s="380" t="s">
        <v>3810</v>
      </c>
      <c r="I1029" s="380" t="s">
        <v>1566</v>
      </c>
      <c r="J1029" s="380" t="s">
        <v>1973</v>
      </c>
      <c r="K1029" s="380" t="s">
        <v>2654</v>
      </c>
      <c r="L1029" s="403">
        <v>0.97</v>
      </c>
    </row>
    <row r="1030" spans="1:12" ht="15" customHeight="1" x14ac:dyDescent="0.25">
      <c r="A1030" s="380" t="s">
        <v>3811</v>
      </c>
      <c r="B1030" s="380" t="s">
        <v>1884</v>
      </c>
      <c r="C1030" s="380" t="s">
        <v>1712</v>
      </c>
      <c r="D1030" s="380" t="s">
        <v>1890</v>
      </c>
      <c r="E1030" s="380" t="s">
        <v>334</v>
      </c>
      <c r="F1030" s="380" t="s">
        <v>1529</v>
      </c>
      <c r="G1030" s="380" t="s">
        <v>1277</v>
      </c>
      <c r="H1030" s="380" t="s">
        <v>3812</v>
      </c>
      <c r="I1030" s="380" t="s">
        <v>1307</v>
      </c>
      <c r="J1030" s="380" t="s">
        <v>2270</v>
      </c>
      <c r="K1030" s="380" t="s">
        <v>1893</v>
      </c>
      <c r="L1030" s="406">
        <v>4.0999999999999996</v>
      </c>
    </row>
    <row r="1031" spans="1:12" ht="15" customHeight="1" x14ac:dyDescent="0.25">
      <c r="A1031" s="380" t="s">
        <v>3813</v>
      </c>
      <c r="B1031" s="380" t="s">
        <v>1884</v>
      </c>
      <c r="C1031" s="380" t="s">
        <v>1712</v>
      </c>
      <c r="D1031" s="380" t="s">
        <v>1895</v>
      </c>
      <c r="E1031" s="380" t="s">
        <v>334</v>
      </c>
      <c r="F1031" s="380" t="s">
        <v>1529</v>
      </c>
      <c r="G1031" s="380" t="s">
        <v>1277</v>
      </c>
      <c r="H1031" s="380" t="s">
        <v>3814</v>
      </c>
      <c r="I1031" s="380" t="s">
        <v>1897</v>
      </c>
      <c r="J1031" s="380" t="s">
        <v>1898</v>
      </c>
      <c r="K1031" s="380"/>
      <c r="L1031" s="404">
        <v>0.8</v>
      </c>
    </row>
    <row r="1032" spans="1:12" ht="15" customHeight="1" x14ac:dyDescent="0.25">
      <c r="A1032" s="380" t="s">
        <v>3815</v>
      </c>
      <c r="B1032" s="380" t="s">
        <v>1884</v>
      </c>
      <c r="C1032" s="380" t="s">
        <v>1712</v>
      </c>
      <c r="D1032" s="380" t="s">
        <v>1900</v>
      </c>
      <c r="E1032" s="380" t="s">
        <v>334</v>
      </c>
      <c r="F1032" s="380" t="s">
        <v>1529</v>
      </c>
      <c r="G1032" s="380" t="s">
        <v>1277</v>
      </c>
      <c r="H1032" s="380" t="s">
        <v>3816</v>
      </c>
      <c r="I1032" s="380" t="s">
        <v>1902</v>
      </c>
      <c r="J1032" s="380" t="s">
        <v>1903</v>
      </c>
      <c r="K1032" s="380"/>
      <c r="L1032" s="404">
        <v>0.3</v>
      </c>
    </row>
    <row r="1033" spans="1:12" ht="15" customHeight="1" x14ac:dyDescent="0.25">
      <c r="A1033" s="380" t="s">
        <v>3817</v>
      </c>
      <c r="B1033" s="380" t="s">
        <v>1884</v>
      </c>
      <c r="C1033" s="380" t="s">
        <v>1712</v>
      </c>
      <c r="D1033" s="380" t="s">
        <v>1905</v>
      </c>
      <c r="E1033" s="380" t="s">
        <v>334</v>
      </c>
      <c r="F1033" s="380" t="s">
        <v>1529</v>
      </c>
      <c r="G1033" s="380" t="s">
        <v>1277</v>
      </c>
      <c r="H1033" s="380" t="s">
        <v>3818</v>
      </c>
      <c r="I1033" s="380" t="s">
        <v>1902</v>
      </c>
      <c r="J1033" s="380" t="s">
        <v>1907</v>
      </c>
      <c r="K1033" s="380"/>
      <c r="L1033" s="404">
        <v>0.12</v>
      </c>
    </row>
    <row r="1034" spans="1:12" ht="15" customHeight="1" x14ac:dyDescent="0.25">
      <c r="A1034" s="380" t="s">
        <v>3819</v>
      </c>
      <c r="B1034" s="380" t="s">
        <v>1884</v>
      </c>
      <c r="C1034" s="380" t="s">
        <v>1712</v>
      </c>
      <c r="D1034" s="380" t="s">
        <v>1909</v>
      </c>
      <c r="E1034" s="380" t="s">
        <v>334</v>
      </c>
      <c r="F1034" s="380" t="s">
        <v>1529</v>
      </c>
      <c r="G1034" s="380" t="s">
        <v>1277</v>
      </c>
      <c r="H1034" s="380" t="s">
        <v>3820</v>
      </c>
      <c r="I1034" s="380" t="s">
        <v>1902</v>
      </c>
      <c r="J1034" s="380" t="s">
        <v>1911</v>
      </c>
      <c r="K1034" s="380"/>
      <c r="L1034" s="404">
        <v>0.05</v>
      </c>
    </row>
    <row r="1035" spans="1:12" ht="15" customHeight="1" x14ac:dyDescent="0.25">
      <c r="A1035" s="380" t="s">
        <v>3821</v>
      </c>
      <c r="B1035" s="380" t="s">
        <v>1884</v>
      </c>
      <c r="C1035" s="380" t="s">
        <v>1712</v>
      </c>
      <c r="D1035" s="380" t="s">
        <v>1317</v>
      </c>
      <c r="E1035" s="380" t="s">
        <v>334</v>
      </c>
      <c r="F1035" s="380" t="s">
        <v>1529</v>
      </c>
      <c r="G1035" s="380" t="s">
        <v>757</v>
      </c>
      <c r="H1035" s="380" t="s">
        <v>3822</v>
      </c>
      <c r="I1035" s="380" t="s">
        <v>1914</v>
      </c>
      <c r="J1035" s="380" t="s">
        <v>1915</v>
      </c>
      <c r="K1035" s="380" t="s">
        <v>1916</v>
      </c>
      <c r="L1035" s="403">
        <v>1.5</v>
      </c>
    </row>
    <row r="1036" spans="1:12" ht="15" customHeight="1" x14ac:dyDescent="0.25">
      <c r="A1036" s="380" t="s">
        <v>3823</v>
      </c>
      <c r="B1036" s="380" t="s">
        <v>1884</v>
      </c>
      <c r="C1036" s="380" t="s">
        <v>1712</v>
      </c>
      <c r="D1036" s="380" t="s">
        <v>1317</v>
      </c>
      <c r="E1036" s="380" t="s">
        <v>334</v>
      </c>
      <c r="F1036" s="380" t="s">
        <v>1529</v>
      </c>
      <c r="G1036" s="380" t="s">
        <v>754</v>
      </c>
      <c r="H1036" s="380" t="s">
        <v>3824</v>
      </c>
      <c r="I1036" s="380" t="s">
        <v>1914</v>
      </c>
      <c r="J1036" s="380" t="s">
        <v>1919</v>
      </c>
      <c r="K1036" s="380" t="s">
        <v>1916</v>
      </c>
      <c r="L1036" s="403">
        <v>0.5</v>
      </c>
    </row>
    <row r="1037" spans="1:12" ht="15" customHeight="1" x14ac:dyDescent="0.25">
      <c r="A1037" s="380" t="s">
        <v>3825</v>
      </c>
      <c r="B1037" s="380" t="s">
        <v>1884</v>
      </c>
      <c r="C1037" s="380" t="s">
        <v>1712</v>
      </c>
      <c r="D1037" s="380" t="s">
        <v>1317</v>
      </c>
      <c r="E1037" s="380" t="s">
        <v>334</v>
      </c>
      <c r="F1037" s="380" t="s">
        <v>1529</v>
      </c>
      <c r="G1037" s="380" t="s">
        <v>1292</v>
      </c>
      <c r="H1037" s="380" t="s">
        <v>3826</v>
      </c>
      <c r="I1037" s="380" t="s">
        <v>1914</v>
      </c>
      <c r="J1037" s="380" t="s">
        <v>1922</v>
      </c>
      <c r="K1037" s="380" t="s">
        <v>1916</v>
      </c>
      <c r="L1037" s="403">
        <v>0</v>
      </c>
    </row>
    <row r="1038" spans="1:12" ht="15" customHeight="1" x14ac:dyDescent="0.25">
      <c r="A1038" s="380" t="s">
        <v>3827</v>
      </c>
      <c r="B1038" s="380" t="s">
        <v>1884</v>
      </c>
      <c r="C1038" s="380" t="s">
        <v>1712</v>
      </c>
      <c r="D1038" s="380" t="s">
        <v>1317</v>
      </c>
      <c r="E1038" s="380" t="s">
        <v>334</v>
      </c>
      <c r="F1038" s="380" t="s">
        <v>1529</v>
      </c>
      <c r="G1038" s="380" t="s">
        <v>762</v>
      </c>
      <c r="H1038" s="380" t="s">
        <v>3828</v>
      </c>
      <c r="I1038" s="380" t="s">
        <v>1914</v>
      </c>
      <c r="J1038" s="380" t="s">
        <v>1925</v>
      </c>
      <c r="K1038" s="380" t="s">
        <v>1916</v>
      </c>
      <c r="L1038" s="403">
        <v>0</v>
      </c>
    </row>
    <row r="1039" spans="1:12" ht="15" customHeight="1" x14ac:dyDescent="0.25">
      <c r="A1039" s="380" t="s">
        <v>3829</v>
      </c>
      <c r="B1039" s="380" t="s">
        <v>1884</v>
      </c>
      <c r="C1039" s="380" t="s">
        <v>1712</v>
      </c>
      <c r="D1039" s="380" t="s">
        <v>1317</v>
      </c>
      <c r="E1039" s="380" t="s">
        <v>334</v>
      </c>
      <c r="F1039" s="380" t="s">
        <v>1529</v>
      </c>
      <c r="G1039" s="380" t="s">
        <v>1295</v>
      </c>
      <c r="H1039" s="380" t="s">
        <v>3830</v>
      </c>
      <c r="I1039" s="380" t="s">
        <v>1914</v>
      </c>
      <c r="J1039" s="380" t="s">
        <v>1928</v>
      </c>
      <c r="K1039" s="380" t="s">
        <v>1916</v>
      </c>
      <c r="L1039" s="403">
        <v>0</v>
      </c>
    </row>
    <row r="1040" spans="1:12" ht="15" customHeight="1" x14ac:dyDescent="0.25">
      <c r="A1040" s="380" t="s">
        <v>3831</v>
      </c>
      <c r="B1040" s="380" t="s">
        <v>1884</v>
      </c>
      <c r="C1040" s="380" t="s">
        <v>1712</v>
      </c>
      <c r="D1040" s="380" t="s">
        <v>1317</v>
      </c>
      <c r="E1040" s="380" t="s">
        <v>334</v>
      </c>
      <c r="F1040" s="380" t="s">
        <v>1529</v>
      </c>
      <c r="G1040" s="380" t="s">
        <v>1297</v>
      </c>
      <c r="H1040" s="380" t="s">
        <v>3832</v>
      </c>
      <c r="I1040" s="380" t="s">
        <v>1914</v>
      </c>
      <c r="J1040" s="380" t="s">
        <v>1931</v>
      </c>
      <c r="K1040" s="380" t="s">
        <v>1916</v>
      </c>
      <c r="L1040" s="403">
        <v>0</v>
      </c>
    </row>
    <row r="1041" spans="1:24" ht="15" customHeight="1" x14ac:dyDescent="0.25">
      <c r="A1041" s="380" t="s">
        <v>3833</v>
      </c>
      <c r="B1041" s="380" t="s">
        <v>1884</v>
      </c>
      <c r="C1041" s="380" t="s">
        <v>1712</v>
      </c>
      <c r="D1041" s="380" t="s">
        <v>1317</v>
      </c>
      <c r="E1041" s="380" t="s">
        <v>334</v>
      </c>
      <c r="F1041" s="380" t="s">
        <v>1529</v>
      </c>
      <c r="G1041" s="380" t="s">
        <v>1299</v>
      </c>
      <c r="H1041" s="380" t="s">
        <v>3834</v>
      </c>
      <c r="I1041" s="380" t="s">
        <v>1914</v>
      </c>
      <c r="J1041" s="380" t="s">
        <v>1934</v>
      </c>
      <c r="K1041" s="380" t="s">
        <v>1916</v>
      </c>
      <c r="L1041" s="403">
        <v>0</v>
      </c>
    </row>
    <row r="1042" spans="1:24" ht="15" customHeight="1" x14ac:dyDescent="0.25">
      <c r="A1042" s="380" t="s">
        <v>3835</v>
      </c>
      <c r="B1042" s="380" t="s">
        <v>1884</v>
      </c>
      <c r="C1042" s="380" t="s">
        <v>1712</v>
      </c>
      <c r="D1042" s="380" t="s">
        <v>1317</v>
      </c>
      <c r="E1042" s="380" t="s">
        <v>334</v>
      </c>
      <c r="F1042" s="380" t="s">
        <v>1529</v>
      </c>
      <c r="G1042" s="380" t="s">
        <v>1301</v>
      </c>
      <c r="H1042" s="380" t="s">
        <v>3836</v>
      </c>
      <c r="I1042" s="380" t="s">
        <v>1914</v>
      </c>
      <c r="J1042" s="380" t="s">
        <v>1937</v>
      </c>
      <c r="K1042" s="380" t="s">
        <v>1916</v>
      </c>
      <c r="L1042" s="403">
        <v>0</v>
      </c>
    </row>
    <row r="1043" spans="1:24" ht="15" customHeight="1" x14ac:dyDescent="0.25">
      <c r="A1043" s="380" t="s">
        <v>3837</v>
      </c>
      <c r="B1043" s="380" t="s">
        <v>1884</v>
      </c>
      <c r="C1043" s="380" t="s">
        <v>1712</v>
      </c>
      <c r="D1043" s="380" t="s">
        <v>1328</v>
      </c>
      <c r="E1043" s="380" t="s">
        <v>334</v>
      </c>
      <c r="F1043" s="380" t="s">
        <v>1529</v>
      </c>
      <c r="G1043" s="380" t="s">
        <v>757</v>
      </c>
      <c r="H1043" s="380" t="s">
        <v>3838</v>
      </c>
      <c r="I1043" s="380" t="s">
        <v>1914</v>
      </c>
      <c r="J1043" s="380" t="s">
        <v>1940</v>
      </c>
      <c r="K1043" s="380" t="s">
        <v>1916</v>
      </c>
      <c r="L1043" s="403">
        <v>0</v>
      </c>
    </row>
    <row r="1044" spans="1:24" ht="15" customHeight="1" x14ac:dyDescent="0.25">
      <c r="A1044" s="380" t="s">
        <v>3839</v>
      </c>
      <c r="B1044" s="380" t="s">
        <v>1884</v>
      </c>
      <c r="C1044" s="380" t="s">
        <v>1712</v>
      </c>
      <c r="D1044" s="380" t="s">
        <v>1328</v>
      </c>
      <c r="E1044" s="380" t="s">
        <v>334</v>
      </c>
      <c r="F1044" s="380" t="s">
        <v>1529</v>
      </c>
      <c r="G1044" s="380" t="s">
        <v>754</v>
      </c>
      <c r="H1044" s="380" t="s">
        <v>3840</v>
      </c>
      <c r="I1044" s="380" t="s">
        <v>1914</v>
      </c>
      <c r="J1044" s="380" t="s">
        <v>1943</v>
      </c>
      <c r="K1044" s="380" t="s">
        <v>1916</v>
      </c>
      <c r="L1044" s="403">
        <v>0</v>
      </c>
    </row>
    <row r="1045" spans="1:24" ht="15" customHeight="1" x14ac:dyDescent="0.25">
      <c r="A1045" s="380" t="s">
        <v>3841</v>
      </c>
      <c r="B1045" s="380" t="s">
        <v>1884</v>
      </c>
      <c r="C1045" s="380" t="s">
        <v>1712</v>
      </c>
      <c r="D1045" s="380" t="s">
        <v>1328</v>
      </c>
      <c r="E1045" s="380" t="s">
        <v>334</v>
      </c>
      <c r="F1045" s="380" t="s">
        <v>1529</v>
      </c>
      <c r="G1045" s="380" t="s">
        <v>1292</v>
      </c>
      <c r="H1045" s="380" t="s">
        <v>3842</v>
      </c>
      <c r="I1045" s="380" t="s">
        <v>1914</v>
      </c>
      <c r="J1045" s="380" t="s">
        <v>1946</v>
      </c>
      <c r="K1045" s="380" t="s">
        <v>1916</v>
      </c>
      <c r="L1045" s="403">
        <v>0</v>
      </c>
    </row>
    <row r="1046" spans="1:24" ht="15" customHeight="1" x14ac:dyDescent="0.25">
      <c r="A1046" s="380" t="s">
        <v>3843</v>
      </c>
      <c r="B1046" s="380" t="s">
        <v>1884</v>
      </c>
      <c r="C1046" s="380" t="s">
        <v>1712</v>
      </c>
      <c r="D1046" s="380" t="s">
        <v>1328</v>
      </c>
      <c r="E1046" s="380" t="s">
        <v>334</v>
      </c>
      <c r="F1046" s="380" t="s">
        <v>1529</v>
      </c>
      <c r="G1046" s="380" t="s">
        <v>762</v>
      </c>
      <c r="H1046" s="380" t="s">
        <v>3844</v>
      </c>
      <c r="I1046" s="380" t="s">
        <v>1914</v>
      </c>
      <c r="J1046" s="380" t="s">
        <v>1949</v>
      </c>
      <c r="K1046" s="380" t="s">
        <v>1916</v>
      </c>
      <c r="L1046" s="403">
        <v>0</v>
      </c>
    </row>
    <row r="1047" spans="1:24" ht="15" customHeight="1" x14ac:dyDescent="0.25">
      <c r="A1047" s="380" t="s">
        <v>3845</v>
      </c>
      <c r="B1047" s="380" t="s">
        <v>1884</v>
      </c>
      <c r="C1047" s="380" t="s">
        <v>1712</v>
      </c>
      <c r="D1047" s="380" t="s">
        <v>1328</v>
      </c>
      <c r="E1047" s="380" t="s">
        <v>334</v>
      </c>
      <c r="F1047" s="380" t="s">
        <v>1529</v>
      </c>
      <c r="G1047" s="380" t="s">
        <v>1295</v>
      </c>
      <c r="H1047" s="380" t="s">
        <v>3846</v>
      </c>
      <c r="I1047" s="380" t="s">
        <v>1914</v>
      </c>
      <c r="J1047" s="380" t="s">
        <v>1952</v>
      </c>
      <c r="K1047" s="380" t="s">
        <v>1916</v>
      </c>
      <c r="L1047" s="403">
        <v>0</v>
      </c>
    </row>
    <row r="1048" spans="1:24" ht="15" customHeight="1" x14ac:dyDescent="0.25">
      <c r="A1048" s="380" t="s">
        <v>3847</v>
      </c>
      <c r="B1048" s="380" t="s">
        <v>1884</v>
      </c>
      <c r="C1048" s="380" t="s">
        <v>1712</v>
      </c>
      <c r="D1048" s="380" t="s">
        <v>1328</v>
      </c>
      <c r="E1048" s="380" t="s">
        <v>334</v>
      </c>
      <c r="F1048" s="380" t="s">
        <v>1529</v>
      </c>
      <c r="G1048" s="380" t="s">
        <v>1297</v>
      </c>
      <c r="H1048" s="380" t="s">
        <v>3848</v>
      </c>
      <c r="I1048" s="380" t="s">
        <v>1914</v>
      </c>
      <c r="J1048" s="380" t="s">
        <v>1955</v>
      </c>
      <c r="K1048" s="380" t="s">
        <v>1916</v>
      </c>
      <c r="L1048" s="403">
        <v>0</v>
      </c>
    </row>
    <row r="1049" spans="1:24" ht="15" customHeight="1" x14ac:dyDescent="0.25">
      <c r="A1049" s="380" t="s">
        <v>3849</v>
      </c>
      <c r="B1049" s="380" t="s">
        <v>1884</v>
      </c>
      <c r="C1049" s="380" t="s">
        <v>1712</v>
      </c>
      <c r="D1049" s="380" t="s">
        <v>1328</v>
      </c>
      <c r="E1049" s="380" t="s">
        <v>334</v>
      </c>
      <c r="F1049" s="380" t="s">
        <v>1529</v>
      </c>
      <c r="G1049" s="380" t="s">
        <v>1299</v>
      </c>
      <c r="H1049" s="380" t="s">
        <v>3850</v>
      </c>
      <c r="I1049" s="380" t="s">
        <v>1914</v>
      </c>
      <c r="J1049" s="380" t="s">
        <v>1958</v>
      </c>
      <c r="K1049" s="380" t="s">
        <v>1916</v>
      </c>
      <c r="L1049" s="403">
        <v>0</v>
      </c>
    </row>
    <row r="1050" spans="1:24" ht="15" customHeight="1" x14ac:dyDescent="0.25">
      <c r="A1050" s="380" t="s">
        <v>3851</v>
      </c>
      <c r="B1050" s="380" t="s">
        <v>1884</v>
      </c>
      <c r="C1050" s="380" t="s">
        <v>1712</v>
      </c>
      <c r="D1050" s="380" t="s">
        <v>1328</v>
      </c>
      <c r="E1050" s="380" t="s">
        <v>334</v>
      </c>
      <c r="F1050" s="380" t="s">
        <v>1529</v>
      </c>
      <c r="G1050" s="380" t="s">
        <v>1301</v>
      </c>
      <c r="H1050" s="380" t="s">
        <v>3852</v>
      </c>
      <c r="I1050" s="380" t="s">
        <v>1914</v>
      </c>
      <c r="J1050" s="380" t="s">
        <v>1961</v>
      </c>
      <c r="K1050" s="380" t="s">
        <v>1916</v>
      </c>
      <c r="L1050" s="403">
        <v>0</v>
      </c>
    </row>
    <row r="1051" spans="1:24" ht="15" customHeight="1" x14ac:dyDescent="0.25">
      <c r="A1051" s="380" t="s">
        <v>3853</v>
      </c>
      <c r="B1051" s="380" t="s">
        <v>1884</v>
      </c>
      <c r="C1051" s="380" t="s">
        <v>1712</v>
      </c>
      <c r="D1051" s="380" t="s">
        <v>1338</v>
      </c>
      <c r="E1051" s="380" t="s">
        <v>334</v>
      </c>
      <c r="F1051" s="380" t="s">
        <v>1529</v>
      </c>
      <c r="G1051" s="380" t="s">
        <v>1339</v>
      </c>
      <c r="H1051" s="380" t="s">
        <v>3854</v>
      </c>
      <c r="I1051" s="380" t="s">
        <v>1914</v>
      </c>
      <c r="J1051" s="380" t="s">
        <v>1964</v>
      </c>
      <c r="K1051" s="380"/>
      <c r="L1051" s="403">
        <v>54</v>
      </c>
    </row>
    <row r="1052" spans="1:24" ht="15" customHeight="1" x14ac:dyDescent="0.25">
      <c r="A1052" s="380" t="s">
        <v>3855</v>
      </c>
      <c r="B1052" s="380" t="s">
        <v>1884</v>
      </c>
      <c r="C1052" s="380" t="s">
        <v>1712</v>
      </c>
      <c r="D1052" s="380" t="s">
        <v>1966</v>
      </c>
      <c r="E1052" s="380" t="s">
        <v>334</v>
      </c>
      <c r="F1052" s="380" t="s">
        <v>1529</v>
      </c>
      <c r="G1052" s="380" t="s">
        <v>1277</v>
      </c>
      <c r="H1052" s="380" t="s">
        <v>3856</v>
      </c>
      <c r="I1052" s="380" t="s">
        <v>1746</v>
      </c>
      <c r="J1052" s="380" t="s">
        <v>1968</v>
      </c>
      <c r="K1052" s="380" t="s">
        <v>1969</v>
      </c>
      <c r="L1052" s="403">
        <v>1.5</v>
      </c>
    </row>
    <row r="1053" spans="1:24" ht="15" customHeight="1" x14ac:dyDescent="0.25">
      <c r="A1053" s="380" t="s">
        <v>3857</v>
      </c>
      <c r="B1053" s="380" t="s">
        <v>1884</v>
      </c>
      <c r="C1053" s="380" t="s">
        <v>1712</v>
      </c>
      <c r="D1053" s="380" t="s">
        <v>1971</v>
      </c>
      <c r="E1053" s="380" t="s">
        <v>334</v>
      </c>
      <c r="F1053" s="380" t="s">
        <v>1529</v>
      </c>
      <c r="G1053" s="380" t="s">
        <v>1277</v>
      </c>
      <c r="H1053" s="380" t="s">
        <v>3858</v>
      </c>
      <c r="I1053" s="380" t="s">
        <v>1566</v>
      </c>
      <c r="J1053" s="380" t="s">
        <v>1973</v>
      </c>
      <c r="K1053" s="380" t="s">
        <v>2703</v>
      </c>
      <c r="L1053" s="403">
        <v>0.8</v>
      </c>
    </row>
    <row r="1055" spans="1:24" ht="21.75" customHeight="1" x14ac:dyDescent="0.25">
      <c r="A1055" s="12" t="s">
        <v>3859</v>
      </c>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row>
    <row r="1056" spans="1:24" ht="21.75" customHeight="1" x14ac:dyDescent="0.25">
      <c r="A1056" s="35" t="s">
        <v>1265</v>
      </c>
      <c r="B1056" s="35" t="s">
        <v>1266</v>
      </c>
      <c r="C1056" s="35" t="s">
        <v>1267</v>
      </c>
      <c r="D1056" s="35" t="s">
        <v>1268</v>
      </c>
      <c r="E1056" s="35" t="s">
        <v>1269</v>
      </c>
      <c r="F1056" s="35" t="s">
        <v>1270</v>
      </c>
      <c r="G1056" s="35" t="s">
        <v>1271</v>
      </c>
      <c r="H1056" s="35" t="s">
        <v>1272</v>
      </c>
      <c r="I1056" s="35" t="s">
        <v>123</v>
      </c>
      <c r="J1056" s="35" t="s">
        <v>1273</v>
      </c>
      <c r="K1056" s="35" t="s">
        <v>1707</v>
      </c>
      <c r="L1056" s="35" t="s">
        <v>862</v>
      </c>
      <c r="M1056" s="35" t="s">
        <v>3860</v>
      </c>
      <c r="N1056" s="35" t="s">
        <v>3861</v>
      </c>
    </row>
    <row r="1057" spans="1:24" ht="18" customHeight="1" x14ac:dyDescent="0.25">
      <c r="A1057" s="390" t="s">
        <v>3862</v>
      </c>
      <c r="B1057" s="380" t="s">
        <v>1711</v>
      </c>
      <c r="C1057" s="380" t="s">
        <v>1712</v>
      </c>
      <c r="D1057" s="380" t="s">
        <v>3863</v>
      </c>
      <c r="E1057" s="380" t="s">
        <v>322</v>
      </c>
      <c r="F1057" s="380" t="s">
        <v>1305</v>
      </c>
      <c r="G1057" s="380" t="s">
        <v>1277</v>
      </c>
      <c r="H1057" s="380" t="s">
        <v>3864</v>
      </c>
      <c r="I1057" s="380" t="s">
        <v>1265</v>
      </c>
      <c r="J1057" s="380" t="s">
        <v>3865</v>
      </c>
      <c r="K1057" s="380" t="s">
        <v>3866</v>
      </c>
      <c r="L1057" s="407" t="s">
        <v>877</v>
      </c>
      <c r="M1057" s="380" t="s">
        <v>3867</v>
      </c>
      <c r="N1057" s="380" t="s">
        <v>3868</v>
      </c>
    </row>
    <row r="1058" spans="1:24" ht="18" customHeight="1" x14ac:dyDescent="0.25">
      <c r="A1058" s="390" t="s">
        <v>3869</v>
      </c>
      <c r="B1058" s="380" t="s">
        <v>1711</v>
      </c>
      <c r="C1058" s="380" t="s">
        <v>1712</v>
      </c>
      <c r="D1058" s="380" t="s">
        <v>3863</v>
      </c>
      <c r="E1058" s="380" t="s">
        <v>322</v>
      </c>
      <c r="F1058" s="380" t="s">
        <v>1361</v>
      </c>
      <c r="G1058" s="380" t="s">
        <v>1277</v>
      </c>
      <c r="H1058" s="380" t="s">
        <v>3870</v>
      </c>
      <c r="I1058" s="380" t="s">
        <v>1265</v>
      </c>
      <c r="J1058" s="380" t="s">
        <v>3865</v>
      </c>
      <c r="K1058" s="380" t="s">
        <v>3866</v>
      </c>
      <c r="L1058" s="407" t="s">
        <v>877</v>
      </c>
      <c r="M1058" s="380" t="s">
        <v>3867</v>
      </c>
      <c r="N1058" s="380" t="s">
        <v>3871</v>
      </c>
    </row>
    <row r="1059" spans="1:24" ht="18" customHeight="1" x14ac:dyDescent="0.25">
      <c r="A1059" s="390" t="s">
        <v>3872</v>
      </c>
      <c r="B1059" s="380" t="s">
        <v>1711</v>
      </c>
      <c r="C1059" s="380" t="s">
        <v>1712</v>
      </c>
      <c r="D1059" s="380" t="s">
        <v>3863</v>
      </c>
      <c r="E1059" s="380" t="s">
        <v>322</v>
      </c>
      <c r="F1059" s="380" t="s">
        <v>1389</v>
      </c>
      <c r="G1059" s="380" t="s">
        <v>1277</v>
      </c>
      <c r="H1059" s="380" t="s">
        <v>3873</v>
      </c>
      <c r="I1059" s="380" t="s">
        <v>1265</v>
      </c>
      <c r="J1059" s="380" t="s">
        <v>3865</v>
      </c>
      <c r="K1059" s="380" t="s">
        <v>3866</v>
      </c>
      <c r="L1059" s="407" t="s">
        <v>877</v>
      </c>
      <c r="M1059" s="380" t="s">
        <v>3867</v>
      </c>
      <c r="N1059" s="380" t="s">
        <v>3874</v>
      </c>
    </row>
    <row r="1060" spans="1:24" ht="18" customHeight="1" x14ac:dyDescent="0.25">
      <c r="A1060" s="390" t="s">
        <v>3875</v>
      </c>
      <c r="B1060" s="380" t="s">
        <v>1711</v>
      </c>
      <c r="C1060" s="380" t="s">
        <v>1712</v>
      </c>
      <c r="D1060" s="380" t="s">
        <v>3863</v>
      </c>
      <c r="E1060" s="380" t="s">
        <v>327</v>
      </c>
      <c r="F1060" s="380" t="s">
        <v>1417</v>
      </c>
      <c r="G1060" s="380" t="s">
        <v>1277</v>
      </c>
      <c r="H1060" s="380" t="s">
        <v>3876</v>
      </c>
      <c r="I1060" s="380" t="s">
        <v>1265</v>
      </c>
      <c r="J1060" s="380" t="s">
        <v>3865</v>
      </c>
      <c r="K1060" s="380" t="s">
        <v>3866</v>
      </c>
      <c r="L1060" s="407" t="s">
        <v>867</v>
      </c>
      <c r="M1060" s="380" t="s">
        <v>868</v>
      </c>
      <c r="N1060" s="380" t="s">
        <v>3877</v>
      </c>
    </row>
    <row r="1061" spans="1:24" ht="18" customHeight="1" x14ac:dyDescent="0.25">
      <c r="A1061" s="390" t="s">
        <v>3878</v>
      </c>
      <c r="B1061" s="380" t="s">
        <v>1711</v>
      </c>
      <c r="C1061" s="380" t="s">
        <v>1712</v>
      </c>
      <c r="D1061" s="380" t="s">
        <v>3863</v>
      </c>
      <c r="E1061" s="380" t="s">
        <v>330</v>
      </c>
      <c r="F1061" s="380" t="s">
        <v>1445</v>
      </c>
      <c r="G1061" s="380" t="s">
        <v>1277</v>
      </c>
      <c r="H1061" s="380" t="s">
        <v>3879</v>
      </c>
      <c r="I1061" s="380" t="s">
        <v>1265</v>
      </c>
      <c r="J1061" s="380" t="s">
        <v>3865</v>
      </c>
      <c r="K1061" s="380" t="s">
        <v>3866</v>
      </c>
      <c r="L1061" s="407" t="s">
        <v>257</v>
      </c>
      <c r="M1061" s="380" t="s">
        <v>907</v>
      </c>
      <c r="N1061" s="380" t="s">
        <v>755</v>
      </c>
    </row>
    <row r="1062" spans="1:24" ht="18" customHeight="1" x14ac:dyDescent="0.25">
      <c r="A1062" s="390" t="s">
        <v>3880</v>
      </c>
      <c r="B1062" s="380" t="s">
        <v>1711</v>
      </c>
      <c r="C1062" s="380" t="s">
        <v>1712</v>
      </c>
      <c r="D1062" s="380" t="s">
        <v>3863</v>
      </c>
      <c r="E1062" s="380" t="s">
        <v>330</v>
      </c>
      <c r="F1062" s="380" t="s">
        <v>1473</v>
      </c>
      <c r="G1062" s="380" t="s">
        <v>1277</v>
      </c>
      <c r="H1062" s="380" t="s">
        <v>3881</v>
      </c>
      <c r="I1062" s="380" t="s">
        <v>1265</v>
      </c>
      <c r="J1062" s="380" t="s">
        <v>3865</v>
      </c>
      <c r="K1062" s="380" t="s">
        <v>3866</v>
      </c>
      <c r="L1062" s="407" t="s">
        <v>258</v>
      </c>
      <c r="M1062" s="380" t="s">
        <v>3882</v>
      </c>
      <c r="N1062" s="380" t="s">
        <v>755</v>
      </c>
    </row>
    <row r="1063" spans="1:24" ht="18" customHeight="1" x14ac:dyDescent="0.25">
      <c r="A1063" s="390" t="s">
        <v>3883</v>
      </c>
      <c r="B1063" s="380" t="s">
        <v>1711</v>
      </c>
      <c r="C1063" s="380" t="s">
        <v>1712</v>
      </c>
      <c r="D1063" s="380" t="s">
        <v>3863</v>
      </c>
      <c r="E1063" s="380" t="s">
        <v>330</v>
      </c>
      <c r="F1063" s="380" t="s">
        <v>1501</v>
      </c>
      <c r="G1063" s="380" t="s">
        <v>1277</v>
      </c>
      <c r="H1063" s="380" t="s">
        <v>3884</v>
      </c>
      <c r="I1063" s="380" t="s">
        <v>1265</v>
      </c>
      <c r="J1063" s="380" t="s">
        <v>3865</v>
      </c>
      <c r="K1063" s="380" t="s">
        <v>3866</v>
      </c>
      <c r="L1063" s="407" t="s">
        <v>259</v>
      </c>
      <c r="M1063" s="380" t="s">
        <v>3885</v>
      </c>
      <c r="N1063" s="380" t="s">
        <v>755</v>
      </c>
    </row>
    <row r="1064" spans="1:24" ht="18" customHeight="1" x14ac:dyDescent="0.25">
      <c r="A1064" s="390" t="s">
        <v>3886</v>
      </c>
      <c r="B1064" s="380" t="s">
        <v>1711</v>
      </c>
      <c r="C1064" s="380" t="s">
        <v>1712</v>
      </c>
      <c r="D1064" s="380" t="s">
        <v>3863</v>
      </c>
      <c r="E1064" s="380" t="s">
        <v>334</v>
      </c>
      <c r="F1064" s="380" t="s">
        <v>1529</v>
      </c>
      <c r="G1064" s="380" t="s">
        <v>1277</v>
      </c>
      <c r="H1064" s="380" t="s">
        <v>3887</v>
      </c>
      <c r="I1064" s="380" t="s">
        <v>1265</v>
      </c>
      <c r="J1064" s="380" t="s">
        <v>3865</v>
      </c>
      <c r="K1064" s="380" t="s">
        <v>3866</v>
      </c>
      <c r="L1064" s="407" t="s">
        <v>918</v>
      </c>
      <c r="M1064" s="380" t="s">
        <v>603</v>
      </c>
      <c r="N1064" s="380" t="s">
        <v>3888</v>
      </c>
    </row>
    <row r="1066" spans="1:24" ht="21.75" customHeight="1" x14ac:dyDescent="0.25">
      <c r="A1066" s="12" t="s">
        <v>3889</v>
      </c>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row>
    <row r="1067" spans="1:24" ht="15" customHeight="1" x14ac:dyDescent="0.25">
      <c r="A1067" s="380" t="s">
        <v>3890</v>
      </c>
      <c r="B1067" s="380" t="s">
        <v>1711</v>
      </c>
      <c r="C1067" s="380" t="s">
        <v>1712</v>
      </c>
      <c r="D1067" s="380" t="s">
        <v>1744</v>
      </c>
      <c r="E1067" s="380" t="s">
        <v>322</v>
      </c>
      <c r="F1067" s="380" t="s">
        <v>1611</v>
      </c>
      <c r="G1067" s="380" t="s">
        <v>1277</v>
      </c>
      <c r="H1067" s="380" t="s">
        <v>3891</v>
      </c>
      <c r="I1067" s="380" t="s">
        <v>3892</v>
      </c>
      <c r="J1067" s="380" t="s">
        <v>3893</v>
      </c>
      <c r="K1067" s="380" t="s">
        <v>3894</v>
      </c>
      <c r="L1067" s="404">
        <v>1.222</v>
      </c>
    </row>
    <row r="1068" spans="1:24" ht="15" customHeight="1" x14ac:dyDescent="0.25">
      <c r="A1068" s="380" t="s">
        <v>3895</v>
      </c>
      <c r="B1068" s="380" t="s">
        <v>1711</v>
      </c>
      <c r="C1068" s="380" t="s">
        <v>1712</v>
      </c>
      <c r="D1068" s="380" t="s">
        <v>1750</v>
      </c>
      <c r="E1068" s="380" t="s">
        <v>322</v>
      </c>
      <c r="F1068" s="380" t="s">
        <v>1611</v>
      </c>
      <c r="G1068" s="380" t="s">
        <v>1277</v>
      </c>
      <c r="H1068" s="380" t="s">
        <v>3896</v>
      </c>
      <c r="I1068" s="380" t="s">
        <v>3892</v>
      </c>
      <c r="J1068" s="380" t="s">
        <v>3897</v>
      </c>
      <c r="K1068" s="380" t="s">
        <v>3898</v>
      </c>
      <c r="L1068" s="404">
        <v>1.466</v>
      </c>
    </row>
    <row r="1069" spans="1:24" ht="15" customHeight="1" x14ac:dyDescent="0.25">
      <c r="A1069" s="380" t="s">
        <v>3899</v>
      </c>
      <c r="B1069" s="380" t="s">
        <v>1711</v>
      </c>
      <c r="C1069" s="380" t="s">
        <v>1712</v>
      </c>
      <c r="D1069" s="380" t="s">
        <v>1754</v>
      </c>
      <c r="E1069" s="380" t="s">
        <v>322</v>
      </c>
      <c r="F1069" s="380" t="s">
        <v>1611</v>
      </c>
      <c r="G1069" s="380" t="s">
        <v>1277</v>
      </c>
      <c r="H1069" s="380" t="s">
        <v>3900</v>
      </c>
      <c r="I1069" s="380" t="s">
        <v>1573</v>
      </c>
      <c r="J1069" s="380" t="s">
        <v>3901</v>
      </c>
      <c r="K1069" s="380" t="s">
        <v>1757</v>
      </c>
      <c r="L1069" s="400">
        <v>450</v>
      </c>
    </row>
    <row r="1070" spans="1:24" ht="15" customHeight="1" x14ac:dyDescent="0.25">
      <c r="A1070" s="380" t="s">
        <v>3902</v>
      </c>
      <c r="B1070" s="380" t="s">
        <v>1711</v>
      </c>
      <c r="C1070" s="380" t="s">
        <v>1712</v>
      </c>
      <c r="D1070" s="380" t="s">
        <v>1759</v>
      </c>
      <c r="E1070" s="380" t="s">
        <v>322</v>
      </c>
      <c r="F1070" s="380" t="s">
        <v>1611</v>
      </c>
      <c r="G1070" s="380" t="s">
        <v>1277</v>
      </c>
      <c r="H1070" s="380" t="s">
        <v>3903</v>
      </c>
      <c r="I1070" s="380" t="s">
        <v>1725</v>
      </c>
      <c r="J1070" s="380" t="s">
        <v>3904</v>
      </c>
      <c r="K1070" s="380" t="s">
        <v>1762</v>
      </c>
      <c r="L1070" s="402">
        <v>0</v>
      </c>
    </row>
    <row r="1071" spans="1:24" ht="15" customHeight="1" x14ac:dyDescent="0.25">
      <c r="A1071" s="380" t="s">
        <v>3905</v>
      </c>
      <c r="B1071" s="380" t="s">
        <v>1711</v>
      </c>
      <c r="C1071" s="380" t="s">
        <v>1712</v>
      </c>
      <c r="D1071" s="380" t="s">
        <v>1557</v>
      </c>
      <c r="E1071" s="380" t="s">
        <v>322</v>
      </c>
      <c r="F1071" s="380" t="s">
        <v>1611</v>
      </c>
      <c r="G1071" s="380" t="s">
        <v>1277</v>
      </c>
      <c r="H1071" s="380" t="s">
        <v>3906</v>
      </c>
      <c r="I1071" s="380" t="s">
        <v>1765</v>
      </c>
      <c r="J1071" s="380" t="s">
        <v>3907</v>
      </c>
      <c r="K1071" s="380" t="s">
        <v>3908</v>
      </c>
      <c r="L1071" s="403">
        <v>0</v>
      </c>
    </row>
    <row r="1072" spans="1:24" ht="15" customHeight="1" x14ac:dyDescent="0.25">
      <c r="A1072" s="380" t="s">
        <v>3909</v>
      </c>
      <c r="B1072" s="380" t="s">
        <v>1711</v>
      </c>
      <c r="C1072" s="380" t="s">
        <v>1712</v>
      </c>
      <c r="D1072" s="380" t="s">
        <v>1744</v>
      </c>
      <c r="E1072" s="380" t="s">
        <v>330</v>
      </c>
      <c r="F1072" s="380" t="s">
        <v>1649</v>
      </c>
      <c r="G1072" s="380" t="s">
        <v>1277</v>
      </c>
      <c r="H1072" s="380" t="s">
        <v>3910</v>
      </c>
      <c r="I1072" s="380" t="s">
        <v>3911</v>
      </c>
      <c r="J1072" s="380" t="s">
        <v>3893</v>
      </c>
      <c r="K1072" s="380" t="s">
        <v>3894</v>
      </c>
      <c r="L1072" s="404">
        <v>2.82</v>
      </c>
    </row>
    <row r="1073" spans="1:24" ht="15" customHeight="1" x14ac:dyDescent="0.25">
      <c r="A1073" s="380" t="s">
        <v>3912</v>
      </c>
      <c r="B1073" s="380" t="s">
        <v>1711</v>
      </c>
      <c r="C1073" s="380" t="s">
        <v>1712</v>
      </c>
      <c r="D1073" s="380" t="s">
        <v>1750</v>
      </c>
      <c r="E1073" s="380" t="s">
        <v>330</v>
      </c>
      <c r="F1073" s="380" t="s">
        <v>1649</v>
      </c>
      <c r="G1073" s="380" t="s">
        <v>1277</v>
      </c>
      <c r="H1073" s="380" t="s">
        <v>3913</v>
      </c>
      <c r="I1073" s="380" t="s">
        <v>3911</v>
      </c>
      <c r="J1073" s="380" t="s">
        <v>3897</v>
      </c>
      <c r="K1073" s="380" t="s">
        <v>3898</v>
      </c>
      <c r="L1073" s="404">
        <v>3.3839999999999999</v>
      </c>
    </row>
    <row r="1074" spans="1:24" ht="15" customHeight="1" x14ac:dyDescent="0.25">
      <c r="A1074" s="380" t="s">
        <v>3914</v>
      </c>
      <c r="B1074" s="380" t="s">
        <v>1711</v>
      </c>
      <c r="C1074" s="380" t="s">
        <v>1712</v>
      </c>
      <c r="D1074" s="380" t="s">
        <v>1754</v>
      </c>
      <c r="E1074" s="380" t="s">
        <v>330</v>
      </c>
      <c r="F1074" s="380" t="s">
        <v>1649</v>
      </c>
      <c r="G1074" s="380" t="s">
        <v>1277</v>
      </c>
      <c r="H1074" s="380" t="s">
        <v>3915</v>
      </c>
      <c r="I1074" s="380" t="s">
        <v>1683</v>
      </c>
      <c r="J1074" s="380" t="s">
        <v>3901</v>
      </c>
      <c r="K1074" s="380" t="s">
        <v>1757</v>
      </c>
      <c r="L1074" s="400">
        <v>530</v>
      </c>
    </row>
    <row r="1075" spans="1:24" ht="15" customHeight="1" x14ac:dyDescent="0.25">
      <c r="A1075" s="380" t="s">
        <v>3916</v>
      </c>
      <c r="B1075" s="380" t="s">
        <v>1711</v>
      </c>
      <c r="C1075" s="380" t="s">
        <v>1712</v>
      </c>
      <c r="D1075" s="380" t="s">
        <v>1759</v>
      </c>
      <c r="E1075" s="380" t="s">
        <v>330</v>
      </c>
      <c r="F1075" s="380" t="s">
        <v>1649</v>
      </c>
      <c r="G1075" s="380" t="s">
        <v>1277</v>
      </c>
      <c r="H1075" s="380" t="s">
        <v>3917</v>
      </c>
      <c r="I1075" s="380" t="s">
        <v>1725</v>
      </c>
      <c r="J1075" s="380" t="s">
        <v>3904</v>
      </c>
      <c r="K1075" s="380" t="s">
        <v>1762</v>
      </c>
      <c r="L1075" s="402">
        <v>1</v>
      </c>
    </row>
    <row r="1076" spans="1:24" ht="15" customHeight="1" x14ac:dyDescent="0.25">
      <c r="A1076" s="380" t="s">
        <v>3918</v>
      </c>
      <c r="B1076" s="380" t="s">
        <v>1711</v>
      </c>
      <c r="C1076" s="380" t="s">
        <v>1712</v>
      </c>
      <c r="D1076" s="380" t="s">
        <v>1557</v>
      </c>
      <c r="E1076" s="380" t="s">
        <v>330</v>
      </c>
      <c r="F1076" s="380" t="s">
        <v>1649</v>
      </c>
      <c r="G1076" s="380" t="s">
        <v>1277</v>
      </c>
      <c r="H1076" s="380" t="s">
        <v>3919</v>
      </c>
      <c r="I1076" s="380" t="s">
        <v>1765</v>
      </c>
      <c r="J1076" s="380" t="s">
        <v>3907</v>
      </c>
      <c r="K1076" s="380" t="s">
        <v>3908</v>
      </c>
      <c r="L1076" s="403">
        <v>0</v>
      </c>
    </row>
    <row r="1077" spans="1:24" ht="15" customHeight="1" x14ac:dyDescent="0.25">
      <c r="A1077" s="380" t="s">
        <v>3920</v>
      </c>
      <c r="B1077" s="380" t="s">
        <v>1711</v>
      </c>
      <c r="C1077" s="380" t="s">
        <v>1712</v>
      </c>
      <c r="D1077" s="380" t="s">
        <v>1568</v>
      </c>
      <c r="E1077" s="380" t="s">
        <v>322</v>
      </c>
      <c r="F1077" s="380" t="s">
        <v>1611</v>
      </c>
      <c r="G1077" s="380" t="s">
        <v>1277</v>
      </c>
      <c r="H1077" s="380" t="s">
        <v>3921</v>
      </c>
      <c r="I1077" s="380" t="s">
        <v>1725</v>
      </c>
      <c r="J1077" s="380" t="s">
        <v>3922</v>
      </c>
      <c r="K1077" s="380" t="s">
        <v>1842</v>
      </c>
      <c r="L1077" s="402">
        <v>1</v>
      </c>
    </row>
    <row r="1078" spans="1:24" ht="15" customHeight="1" x14ac:dyDescent="0.25">
      <c r="A1078" s="380" t="s">
        <v>3923</v>
      </c>
      <c r="B1078" s="380" t="s">
        <v>1711</v>
      </c>
      <c r="C1078" s="380" t="s">
        <v>1712</v>
      </c>
      <c r="D1078" s="380" t="s">
        <v>1568</v>
      </c>
      <c r="E1078" s="380" t="s">
        <v>330</v>
      </c>
      <c r="F1078" s="380" t="s">
        <v>1649</v>
      </c>
      <c r="G1078" s="380" t="s">
        <v>1277</v>
      </c>
      <c r="H1078" s="380" t="s">
        <v>3924</v>
      </c>
      <c r="I1078" s="380" t="s">
        <v>1725</v>
      </c>
      <c r="J1078" s="380" t="s">
        <v>3922</v>
      </c>
      <c r="K1078" s="380" t="s">
        <v>1842</v>
      </c>
      <c r="L1078" s="402">
        <v>1</v>
      </c>
    </row>
    <row r="1079" spans="1:24" ht="21.75" customHeight="1" x14ac:dyDescent="0.25">
      <c r="A1079" s="12" t="s">
        <v>3925</v>
      </c>
      <c r="B1079" s="12"/>
      <c r="C1079" s="12"/>
      <c r="D1079" s="12"/>
      <c r="E1079" s="12"/>
      <c r="F1079" s="12"/>
      <c r="G1079" s="12"/>
      <c r="H1079" s="12"/>
      <c r="I1079" s="12"/>
      <c r="J1079" s="12"/>
      <c r="K1079" s="12"/>
      <c r="L1079" s="12"/>
      <c r="M1079" s="12"/>
      <c r="N1079" s="12"/>
    </row>
    <row r="1080" spans="1:24" ht="15" customHeight="1" x14ac:dyDescent="0.25">
      <c r="A1080" s="390" t="s">
        <v>3926</v>
      </c>
      <c r="B1080" s="390" t="s">
        <v>1711</v>
      </c>
      <c r="C1080" s="390" t="s">
        <v>1712</v>
      </c>
      <c r="D1080" s="390" t="s">
        <v>3863</v>
      </c>
      <c r="E1080" s="390" t="s">
        <v>322</v>
      </c>
      <c r="F1080" s="390" t="s">
        <v>1611</v>
      </c>
      <c r="G1080" s="390" t="s">
        <v>1277</v>
      </c>
      <c r="H1080" s="390" t="s">
        <v>3927</v>
      </c>
      <c r="I1080" s="390" t="s">
        <v>1265</v>
      </c>
      <c r="J1080" s="390" t="s">
        <v>3928</v>
      </c>
      <c r="K1080" s="390" t="s">
        <v>3866</v>
      </c>
      <c r="L1080" s="408" t="s">
        <v>3929</v>
      </c>
      <c r="M1080" s="390" t="s">
        <v>3930</v>
      </c>
      <c r="N1080" s="390" t="s">
        <v>3931</v>
      </c>
    </row>
    <row r="1081" spans="1:24" ht="15" customHeight="1" x14ac:dyDescent="0.25">
      <c r="A1081" s="390" t="s">
        <v>3932</v>
      </c>
      <c r="B1081" s="390" t="s">
        <v>1711</v>
      </c>
      <c r="C1081" s="390" t="s">
        <v>1712</v>
      </c>
      <c r="D1081" s="390" t="s">
        <v>3863</v>
      </c>
      <c r="E1081" s="390" t="s">
        <v>330</v>
      </c>
      <c r="F1081" s="390" t="s">
        <v>1649</v>
      </c>
      <c r="G1081" s="390" t="s">
        <v>1277</v>
      </c>
      <c r="H1081" s="390" t="s">
        <v>3933</v>
      </c>
      <c r="I1081" s="390" t="s">
        <v>1265</v>
      </c>
      <c r="J1081" s="390" t="s">
        <v>3928</v>
      </c>
      <c r="K1081" s="390" t="s">
        <v>3866</v>
      </c>
      <c r="L1081" s="408" t="s">
        <v>262</v>
      </c>
      <c r="M1081" s="390" t="s">
        <v>3934</v>
      </c>
      <c r="N1081" s="390" t="s">
        <v>755</v>
      </c>
    </row>
    <row r="1082" spans="1:24" ht="21.75" customHeight="1" x14ac:dyDescent="0.25">
      <c r="A1082" s="12" t="s">
        <v>3935</v>
      </c>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row>
    <row r="1083" spans="1:24" ht="15" customHeight="1" x14ac:dyDescent="0.25">
      <c r="A1083" s="380" t="s">
        <v>3936</v>
      </c>
      <c r="B1083" s="380" t="s">
        <v>88</v>
      </c>
      <c r="C1083" s="380" t="s">
        <v>1712</v>
      </c>
      <c r="D1083" s="380" t="s">
        <v>1890</v>
      </c>
      <c r="E1083" s="380" t="s">
        <v>322</v>
      </c>
      <c r="F1083" s="380" t="s">
        <v>1611</v>
      </c>
      <c r="G1083" s="380" t="s">
        <v>1277</v>
      </c>
      <c r="H1083" s="380" t="s">
        <v>3937</v>
      </c>
      <c r="I1083" s="380" t="s">
        <v>1307</v>
      </c>
      <c r="J1083" s="380" t="s">
        <v>3938</v>
      </c>
      <c r="K1083" s="380" t="s">
        <v>3939</v>
      </c>
      <c r="L1083" s="406">
        <v>0.2</v>
      </c>
    </row>
    <row r="1084" spans="1:24" ht="15" customHeight="1" x14ac:dyDescent="0.25">
      <c r="A1084" s="380" t="s">
        <v>3940</v>
      </c>
      <c r="B1084" s="380" t="s">
        <v>88</v>
      </c>
      <c r="C1084" s="380" t="s">
        <v>1712</v>
      </c>
      <c r="D1084" s="380" t="s">
        <v>1895</v>
      </c>
      <c r="E1084" s="380" t="s">
        <v>322</v>
      </c>
      <c r="F1084" s="380" t="s">
        <v>1611</v>
      </c>
      <c r="G1084" s="380" t="s">
        <v>1277</v>
      </c>
      <c r="H1084" s="380" t="s">
        <v>3941</v>
      </c>
      <c r="I1084" s="380" t="s">
        <v>1897</v>
      </c>
      <c r="J1084" s="380"/>
      <c r="K1084" s="380"/>
      <c r="L1084" s="404">
        <v>1</v>
      </c>
    </row>
    <row r="1085" spans="1:24" ht="15" customHeight="1" x14ac:dyDescent="0.25">
      <c r="A1085" s="380" t="s">
        <v>3942</v>
      </c>
      <c r="B1085" s="380" t="s">
        <v>88</v>
      </c>
      <c r="C1085" s="380" t="s">
        <v>1712</v>
      </c>
      <c r="D1085" s="380" t="s">
        <v>1900</v>
      </c>
      <c r="E1085" s="380" t="s">
        <v>322</v>
      </c>
      <c r="F1085" s="380" t="s">
        <v>1611</v>
      </c>
      <c r="G1085" s="380" t="s">
        <v>1277</v>
      </c>
      <c r="H1085" s="380" t="s">
        <v>3943</v>
      </c>
      <c r="I1085" s="380" t="s">
        <v>1902</v>
      </c>
      <c r="J1085" s="380"/>
      <c r="K1085" s="380"/>
      <c r="L1085" s="404">
        <v>0.05</v>
      </c>
    </row>
    <row r="1086" spans="1:24" ht="15" customHeight="1" x14ac:dyDescent="0.25">
      <c r="A1086" s="380" t="s">
        <v>3944</v>
      </c>
      <c r="B1086" s="380" t="s">
        <v>88</v>
      </c>
      <c r="C1086" s="380" t="s">
        <v>1712</v>
      </c>
      <c r="D1086" s="380" t="s">
        <v>1905</v>
      </c>
      <c r="E1086" s="380" t="s">
        <v>322</v>
      </c>
      <c r="F1086" s="380" t="s">
        <v>1611</v>
      </c>
      <c r="G1086" s="380" t="s">
        <v>1277</v>
      </c>
      <c r="H1086" s="380" t="s">
        <v>3945</v>
      </c>
      <c r="I1086" s="380" t="s">
        <v>1902</v>
      </c>
      <c r="J1086" s="380"/>
      <c r="K1086" s="380"/>
      <c r="L1086" s="404">
        <v>0.02</v>
      </c>
    </row>
    <row r="1087" spans="1:24" ht="15" customHeight="1" x14ac:dyDescent="0.25">
      <c r="A1087" s="380" t="s">
        <v>3946</v>
      </c>
      <c r="B1087" s="380" t="s">
        <v>88</v>
      </c>
      <c r="C1087" s="380" t="s">
        <v>1712</v>
      </c>
      <c r="D1087" s="380" t="s">
        <v>1909</v>
      </c>
      <c r="E1087" s="380" t="s">
        <v>322</v>
      </c>
      <c r="F1087" s="380" t="s">
        <v>1611</v>
      </c>
      <c r="G1087" s="380" t="s">
        <v>1277</v>
      </c>
      <c r="H1087" s="380" t="s">
        <v>3947</v>
      </c>
      <c r="I1087" s="380" t="s">
        <v>1902</v>
      </c>
      <c r="J1087" s="380"/>
      <c r="K1087" s="380"/>
      <c r="L1087" s="404">
        <v>0.1</v>
      </c>
    </row>
    <row r="1088" spans="1:24" ht="15" customHeight="1" x14ac:dyDescent="0.25">
      <c r="A1088" s="380" t="s">
        <v>3948</v>
      </c>
      <c r="B1088" s="380" t="s">
        <v>88</v>
      </c>
      <c r="C1088" s="380" t="s">
        <v>1712</v>
      </c>
      <c r="D1088" s="380" t="s">
        <v>1317</v>
      </c>
      <c r="E1088" s="380" t="s">
        <v>322</v>
      </c>
      <c r="F1088" s="380" t="s">
        <v>1611</v>
      </c>
      <c r="G1088" s="380" t="s">
        <v>757</v>
      </c>
      <c r="H1088" s="380" t="s">
        <v>3949</v>
      </c>
      <c r="I1088" s="380" t="s">
        <v>1914</v>
      </c>
      <c r="J1088" s="380" t="s">
        <v>3950</v>
      </c>
      <c r="K1088" s="380" t="s">
        <v>1916</v>
      </c>
      <c r="L1088" s="403">
        <v>1.5</v>
      </c>
    </row>
    <row r="1089" spans="1:12" ht="15" customHeight="1" x14ac:dyDescent="0.25">
      <c r="A1089" s="380" t="s">
        <v>3951</v>
      </c>
      <c r="B1089" s="380" t="s">
        <v>88</v>
      </c>
      <c r="C1089" s="380" t="s">
        <v>1712</v>
      </c>
      <c r="D1089" s="380" t="s">
        <v>1317</v>
      </c>
      <c r="E1089" s="380" t="s">
        <v>322</v>
      </c>
      <c r="F1089" s="380" t="s">
        <v>1611</v>
      </c>
      <c r="G1089" s="380" t="s">
        <v>754</v>
      </c>
      <c r="H1089" s="380" t="s">
        <v>3952</v>
      </c>
      <c r="I1089" s="380" t="s">
        <v>1914</v>
      </c>
      <c r="J1089" s="380" t="s">
        <v>3950</v>
      </c>
      <c r="K1089" s="380" t="s">
        <v>1916</v>
      </c>
      <c r="L1089" s="403">
        <v>0.5</v>
      </c>
    </row>
    <row r="1090" spans="1:12" ht="15" customHeight="1" x14ac:dyDescent="0.25">
      <c r="A1090" s="380" t="s">
        <v>3953</v>
      </c>
      <c r="B1090" s="380" t="s">
        <v>88</v>
      </c>
      <c r="C1090" s="380" t="s">
        <v>1712</v>
      </c>
      <c r="D1090" s="380" t="s">
        <v>1317</v>
      </c>
      <c r="E1090" s="380" t="s">
        <v>322</v>
      </c>
      <c r="F1090" s="380" t="s">
        <v>1611</v>
      </c>
      <c r="G1090" s="380" t="s">
        <v>1292</v>
      </c>
      <c r="H1090" s="380" t="s">
        <v>3954</v>
      </c>
      <c r="I1090" s="380" t="s">
        <v>1914</v>
      </c>
      <c r="J1090" s="380" t="s">
        <v>3950</v>
      </c>
      <c r="K1090" s="380" t="s">
        <v>1916</v>
      </c>
      <c r="L1090" s="403">
        <v>0</v>
      </c>
    </row>
    <row r="1091" spans="1:12" ht="15" customHeight="1" x14ac:dyDescent="0.25">
      <c r="A1091" s="380" t="s">
        <v>3955</v>
      </c>
      <c r="B1091" s="380" t="s">
        <v>88</v>
      </c>
      <c r="C1091" s="380" t="s">
        <v>1712</v>
      </c>
      <c r="D1091" s="380" t="s">
        <v>1317</v>
      </c>
      <c r="E1091" s="380" t="s">
        <v>322</v>
      </c>
      <c r="F1091" s="380" t="s">
        <v>1611</v>
      </c>
      <c r="G1091" s="380" t="s">
        <v>762</v>
      </c>
      <c r="H1091" s="380" t="s">
        <v>3956</v>
      </c>
      <c r="I1091" s="380" t="s">
        <v>1914</v>
      </c>
      <c r="J1091" s="380" t="s">
        <v>3950</v>
      </c>
      <c r="K1091" s="380" t="s">
        <v>1916</v>
      </c>
      <c r="L1091" s="403">
        <v>0</v>
      </c>
    </row>
    <row r="1092" spans="1:12" ht="15" customHeight="1" x14ac:dyDescent="0.25">
      <c r="A1092" s="380" t="s">
        <v>3957</v>
      </c>
      <c r="B1092" s="380" t="s">
        <v>88</v>
      </c>
      <c r="C1092" s="380" t="s">
        <v>1712</v>
      </c>
      <c r="D1092" s="380" t="s">
        <v>1317</v>
      </c>
      <c r="E1092" s="380" t="s">
        <v>322</v>
      </c>
      <c r="F1092" s="380" t="s">
        <v>1611</v>
      </c>
      <c r="G1092" s="380" t="s">
        <v>1295</v>
      </c>
      <c r="H1092" s="380" t="s">
        <v>3958</v>
      </c>
      <c r="I1092" s="380" t="s">
        <v>1914</v>
      </c>
      <c r="J1092" s="380" t="s">
        <v>3950</v>
      </c>
      <c r="K1092" s="380" t="s">
        <v>1916</v>
      </c>
      <c r="L1092" s="403">
        <v>0</v>
      </c>
    </row>
    <row r="1093" spans="1:12" ht="15" customHeight="1" x14ac:dyDescent="0.25">
      <c r="A1093" s="380" t="s">
        <v>3959</v>
      </c>
      <c r="B1093" s="380" t="s">
        <v>88</v>
      </c>
      <c r="C1093" s="380" t="s">
        <v>1712</v>
      </c>
      <c r="D1093" s="380" t="s">
        <v>1317</v>
      </c>
      <c r="E1093" s="380" t="s">
        <v>322</v>
      </c>
      <c r="F1093" s="380" t="s">
        <v>1611</v>
      </c>
      <c r="G1093" s="380" t="s">
        <v>1297</v>
      </c>
      <c r="H1093" s="380" t="s">
        <v>3960</v>
      </c>
      <c r="I1093" s="380" t="s">
        <v>1914</v>
      </c>
      <c r="J1093" s="380" t="s">
        <v>3950</v>
      </c>
      <c r="K1093" s="380" t="s">
        <v>1916</v>
      </c>
      <c r="L1093" s="403">
        <v>0</v>
      </c>
    </row>
    <row r="1094" spans="1:12" ht="15" customHeight="1" x14ac:dyDescent="0.25">
      <c r="A1094" s="380" t="s">
        <v>3961</v>
      </c>
      <c r="B1094" s="380" t="s">
        <v>88</v>
      </c>
      <c r="C1094" s="380" t="s">
        <v>1712</v>
      </c>
      <c r="D1094" s="380" t="s">
        <v>1317</v>
      </c>
      <c r="E1094" s="380" t="s">
        <v>322</v>
      </c>
      <c r="F1094" s="380" t="s">
        <v>1611</v>
      </c>
      <c r="G1094" s="380" t="s">
        <v>1299</v>
      </c>
      <c r="H1094" s="380" t="s">
        <v>3962</v>
      </c>
      <c r="I1094" s="380" t="s">
        <v>1914</v>
      </c>
      <c r="J1094" s="380" t="s">
        <v>3950</v>
      </c>
      <c r="K1094" s="380" t="s">
        <v>1916</v>
      </c>
      <c r="L1094" s="403">
        <v>0</v>
      </c>
    </row>
    <row r="1095" spans="1:12" ht="15" customHeight="1" x14ac:dyDescent="0.25">
      <c r="A1095" s="380" t="s">
        <v>3963</v>
      </c>
      <c r="B1095" s="380" t="s">
        <v>88</v>
      </c>
      <c r="C1095" s="380" t="s">
        <v>1712</v>
      </c>
      <c r="D1095" s="380" t="s">
        <v>1317</v>
      </c>
      <c r="E1095" s="380" t="s">
        <v>322</v>
      </c>
      <c r="F1095" s="380" t="s">
        <v>1611</v>
      </c>
      <c r="G1095" s="380" t="s">
        <v>1301</v>
      </c>
      <c r="H1095" s="380" t="s">
        <v>3964</v>
      </c>
      <c r="I1095" s="380" t="s">
        <v>1914</v>
      </c>
      <c r="J1095" s="380" t="s">
        <v>3950</v>
      </c>
      <c r="K1095" s="380" t="s">
        <v>1916</v>
      </c>
      <c r="L1095" s="403">
        <v>0</v>
      </c>
    </row>
    <row r="1096" spans="1:12" ht="15" customHeight="1" x14ac:dyDescent="0.25">
      <c r="A1096" s="380" t="s">
        <v>3965</v>
      </c>
      <c r="B1096" s="380" t="s">
        <v>88</v>
      </c>
      <c r="C1096" s="380" t="s">
        <v>1712</v>
      </c>
      <c r="D1096" s="380" t="s">
        <v>1328</v>
      </c>
      <c r="E1096" s="380" t="s">
        <v>322</v>
      </c>
      <c r="F1096" s="380" t="s">
        <v>1611</v>
      </c>
      <c r="G1096" s="380" t="s">
        <v>757</v>
      </c>
      <c r="H1096" s="380" t="s">
        <v>3966</v>
      </c>
      <c r="I1096" s="380" t="s">
        <v>1914</v>
      </c>
      <c r="J1096" s="380"/>
      <c r="K1096" s="380"/>
      <c r="L1096" s="403">
        <v>7</v>
      </c>
    </row>
    <row r="1097" spans="1:12" ht="15" customHeight="1" x14ac:dyDescent="0.25">
      <c r="A1097" s="380" t="s">
        <v>3967</v>
      </c>
      <c r="B1097" s="380" t="s">
        <v>88</v>
      </c>
      <c r="C1097" s="380" t="s">
        <v>1712</v>
      </c>
      <c r="D1097" s="380" t="s">
        <v>1328</v>
      </c>
      <c r="E1097" s="380" t="s">
        <v>322</v>
      </c>
      <c r="F1097" s="380" t="s">
        <v>1611</v>
      </c>
      <c r="G1097" s="380" t="s">
        <v>754</v>
      </c>
      <c r="H1097" s="380" t="s">
        <v>3968</v>
      </c>
      <c r="I1097" s="380" t="s">
        <v>1914</v>
      </c>
      <c r="J1097" s="380"/>
      <c r="K1097" s="380"/>
      <c r="L1097" s="403">
        <v>0</v>
      </c>
    </row>
    <row r="1098" spans="1:12" ht="15" customHeight="1" x14ac:dyDescent="0.25">
      <c r="A1098" s="380" t="s">
        <v>3969</v>
      </c>
      <c r="B1098" s="380" t="s">
        <v>88</v>
      </c>
      <c r="C1098" s="380" t="s">
        <v>1712</v>
      </c>
      <c r="D1098" s="380" t="s">
        <v>1328</v>
      </c>
      <c r="E1098" s="380" t="s">
        <v>322</v>
      </c>
      <c r="F1098" s="380" t="s">
        <v>1611</v>
      </c>
      <c r="G1098" s="380" t="s">
        <v>1292</v>
      </c>
      <c r="H1098" s="380" t="s">
        <v>3970</v>
      </c>
      <c r="I1098" s="380" t="s">
        <v>1914</v>
      </c>
      <c r="J1098" s="380"/>
      <c r="K1098" s="380"/>
      <c r="L1098" s="403">
        <v>0</v>
      </c>
    </row>
    <row r="1099" spans="1:12" ht="15" customHeight="1" x14ac:dyDescent="0.25">
      <c r="A1099" s="380" t="s">
        <v>3971</v>
      </c>
      <c r="B1099" s="380" t="s">
        <v>88</v>
      </c>
      <c r="C1099" s="380" t="s">
        <v>1712</v>
      </c>
      <c r="D1099" s="380" t="s">
        <v>1328</v>
      </c>
      <c r="E1099" s="380" t="s">
        <v>322</v>
      </c>
      <c r="F1099" s="380" t="s">
        <v>1611</v>
      </c>
      <c r="G1099" s="380" t="s">
        <v>762</v>
      </c>
      <c r="H1099" s="380" t="s">
        <v>3972</v>
      </c>
      <c r="I1099" s="380" t="s">
        <v>1914</v>
      </c>
      <c r="J1099" s="380"/>
      <c r="K1099" s="380"/>
      <c r="L1099" s="403">
        <v>0</v>
      </c>
    </row>
    <row r="1100" spans="1:12" ht="15" customHeight="1" x14ac:dyDescent="0.25">
      <c r="A1100" s="380" t="s">
        <v>3973</v>
      </c>
      <c r="B1100" s="380" t="s">
        <v>88</v>
      </c>
      <c r="C1100" s="380" t="s">
        <v>1712</v>
      </c>
      <c r="D1100" s="380" t="s">
        <v>1328</v>
      </c>
      <c r="E1100" s="380" t="s">
        <v>322</v>
      </c>
      <c r="F1100" s="380" t="s">
        <v>1611</v>
      </c>
      <c r="G1100" s="380" t="s">
        <v>1295</v>
      </c>
      <c r="H1100" s="380" t="s">
        <v>3974</v>
      </c>
      <c r="I1100" s="380" t="s">
        <v>1914</v>
      </c>
      <c r="J1100" s="380"/>
      <c r="K1100" s="380"/>
      <c r="L1100" s="403">
        <v>0</v>
      </c>
    </row>
    <row r="1101" spans="1:12" ht="15" customHeight="1" x14ac:dyDescent="0.25">
      <c r="A1101" s="380" t="s">
        <v>3975</v>
      </c>
      <c r="B1101" s="380" t="s">
        <v>88</v>
      </c>
      <c r="C1101" s="380" t="s">
        <v>1712</v>
      </c>
      <c r="D1101" s="380" t="s">
        <v>1328</v>
      </c>
      <c r="E1101" s="380" t="s">
        <v>322</v>
      </c>
      <c r="F1101" s="380" t="s">
        <v>1611</v>
      </c>
      <c r="G1101" s="380" t="s">
        <v>1297</v>
      </c>
      <c r="H1101" s="380" t="s">
        <v>3976</v>
      </c>
      <c r="I1101" s="380" t="s">
        <v>1914</v>
      </c>
      <c r="J1101" s="380"/>
      <c r="K1101" s="380"/>
      <c r="L1101" s="403">
        <v>0</v>
      </c>
    </row>
    <row r="1102" spans="1:12" ht="15" customHeight="1" x14ac:dyDescent="0.25">
      <c r="A1102" s="380" t="s">
        <v>3977</v>
      </c>
      <c r="B1102" s="380" t="s">
        <v>88</v>
      </c>
      <c r="C1102" s="380" t="s">
        <v>1712</v>
      </c>
      <c r="D1102" s="380" t="s">
        <v>1328</v>
      </c>
      <c r="E1102" s="380" t="s">
        <v>322</v>
      </c>
      <c r="F1102" s="380" t="s">
        <v>1611</v>
      </c>
      <c r="G1102" s="380" t="s">
        <v>1299</v>
      </c>
      <c r="H1102" s="380" t="s">
        <v>3978</v>
      </c>
      <c r="I1102" s="380" t="s">
        <v>1914</v>
      </c>
      <c r="J1102" s="380"/>
      <c r="K1102" s="380"/>
      <c r="L1102" s="403">
        <v>0</v>
      </c>
    </row>
    <row r="1103" spans="1:12" ht="15" customHeight="1" x14ac:dyDescent="0.25">
      <c r="A1103" s="380" t="s">
        <v>3979</v>
      </c>
      <c r="B1103" s="380" t="s">
        <v>88</v>
      </c>
      <c r="C1103" s="380" t="s">
        <v>1712</v>
      </c>
      <c r="D1103" s="380" t="s">
        <v>1328</v>
      </c>
      <c r="E1103" s="380" t="s">
        <v>322</v>
      </c>
      <c r="F1103" s="380" t="s">
        <v>1611</v>
      </c>
      <c r="G1103" s="380" t="s">
        <v>1301</v>
      </c>
      <c r="H1103" s="380" t="s">
        <v>3980</v>
      </c>
      <c r="I1103" s="380" t="s">
        <v>1914</v>
      </c>
      <c r="J1103" s="380"/>
      <c r="K1103" s="380"/>
      <c r="L1103" s="403">
        <v>0</v>
      </c>
    </row>
    <row r="1104" spans="1:12" ht="15" customHeight="1" x14ac:dyDescent="0.25">
      <c r="A1104" s="380" t="s">
        <v>3981</v>
      </c>
      <c r="B1104" s="380" t="s">
        <v>88</v>
      </c>
      <c r="C1104" s="380" t="s">
        <v>1712</v>
      </c>
      <c r="D1104" s="380" t="s">
        <v>1338</v>
      </c>
      <c r="E1104" s="380" t="s">
        <v>322</v>
      </c>
      <c r="F1104" s="380" t="s">
        <v>1611</v>
      </c>
      <c r="G1104" s="380" t="s">
        <v>1339</v>
      </c>
      <c r="H1104" s="380" t="s">
        <v>3982</v>
      </c>
      <c r="I1104" s="380" t="s">
        <v>1914</v>
      </c>
      <c r="J1104" s="380"/>
      <c r="K1104" s="380"/>
      <c r="L1104" s="403">
        <v>3.5</v>
      </c>
    </row>
    <row r="1105" spans="1:12" ht="15" customHeight="1" x14ac:dyDescent="0.25">
      <c r="A1105" s="380" t="s">
        <v>3983</v>
      </c>
      <c r="B1105" s="380" t="s">
        <v>88</v>
      </c>
      <c r="C1105" s="380" t="s">
        <v>1712</v>
      </c>
      <c r="D1105" s="380" t="s">
        <v>1966</v>
      </c>
      <c r="E1105" s="380" t="s">
        <v>322</v>
      </c>
      <c r="F1105" s="380" t="s">
        <v>1611</v>
      </c>
      <c r="G1105" s="380" t="s">
        <v>1277</v>
      </c>
      <c r="H1105" s="380" t="s">
        <v>3984</v>
      </c>
      <c r="I1105" s="380" t="s">
        <v>1746</v>
      </c>
      <c r="J1105" s="380"/>
      <c r="K1105" s="380"/>
      <c r="L1105" s="403">
        <v>0</v>
      </c>
    </row>
    <row r="1106" spans="1:12" ht="15" customHeight="1" x14ac:dyDescent="0.25">
      <c r="A1106" s="380" t="s">
        <v>3985</v>
      </c>
      <c r="B1106" s="380" t="s">
        <v>88</v>
      </c>
      <c r="C1106" s="380" t="s">
        <v>1712</v>
      </c>
      <c r="D1106" s="380" t="s">
        <v>1971</v>
      </c>
      <c r="E1106" s="380" t="s">
        <v>322</v>
      </c>
      <c r="F1106" s="380" t="s">
        <v>1611</v>
      </c>
      <c r="G1106" s="380" t="s">
        <v>1277</v>
      </c>
      <c r="H1106" s="380" t="s">
        <v>3986</v>
      </c>
      <c r="I1106" s="380" t="s">
        <v>1566</v>
      </c>
      <c r="J1106" s="380"/>
      <c r="K1106" s="380"/>
      <c r="L1106" s="403">
        <v>0</v>
      </c>
    </row>
    <row r="1107" spans="1:12" ht="15" customHeight="1" x14ac:dyDescent="0.25">
      <c r="A1107" s="380" t="s">
        <v>3987</v>
      </c>
      <c r="B1107" s="380" t="s">
        <v>1869</v>
      </c>
      <c r="C1107" s="380" t="s">
        <v>1712</v>
      </c>
      <c r="D1107" s="380" t="s">
        <v>1890</v>
      </c>
      <c r="E1107" s="380" t="s">
        <v>322</v>
      </c>
      <c r="F1107" s="380" t="s">
        <v>1611</v>
      </c>
      <c r="G1107" s="380" t="s">
        <v>1277</v>
      </c>
      <c r="H1107" s="380" t="s">
        <v>3988</v>
      </c>
      <c r="I1107" s="380" t="s">
        <v>1307</v>
      </c>
      <c r="J1107" s="380" t="s">
        <v>3938</v>
      </c>
      <c r="K1107" s="380" t="s">
        <v>3939</v>
      </c>
      <c r="L1107" s="406">
        <v>0</v>
      </c>
    </row>
    <row r="1108" spans="1:12" ht="15" customHeight="1" x14ac:dyDescent="0.25">
      <c r="A1108" s="380" t="s">
        <v>3989</v>
      </c>
      <c r="B1108" s="380" t="s">
        <v>1869</v>
      </c>
      <c r="C1108" s="380" t="s">
        <v>1712</v>
      </c>
      <c r="D1108" s="380" t="s">
        <v>1895</v>
      </c>
      <c r="E1108" s="380" t="s">
        <v>322</v>
      </c>
      <c r="F1108" s="380" t="s">
        <v>1611</v>
      </c>
      <c r="G1108" s="380" t="s">
        <v>1277</v>
      </c>
      <c r="H1108" s="380" t="s">
        <v>3990</v>
      </c>
      <c r="I1108" s="380" t="s">
        <v>1897</v>
      </c>
      <c r="J1108" s="380"/>
      <c r="K1108" s="380"/>
      <c r="L1108" s="404">
        <v>1</v>
      </c>
    </row>
    <row r="1109" spans="1:12" ht="15" customHeight="1" x14ac:dyDescent="0.25">
      <c r="A1109" s="380" t="s">
        <v>3991</v>
      </c>
      <c r="B1109" s="380" t="s">
        <v>1869</v>
      </c>
      <c r="C1109" s="380" t="s">
        <v>1712</v>
      </c>
      <c r="D1109" s="380" t="s">
        <v>1900</v>
      </c>
      <c r="E1109" s="380" t="s">
        <v>322</v>
      </c>
      <c r="F1109" s="380" t="s">
        <v>1611</v>
      </c>
      <c r="G1109" s="380" t="s">
        <v>1277</v>
      </c>
      <c r="H1109" s="380" t="s">
        <v>3992</v>
      </c>
      <c r="I1109" s="380" t="s">
        <v>1902</v>
      </c>
      <c r="J1109" s="380"/>
      <c r="K1109" s="380"/>
      <c r="L1109" s="404">
        <v>0.05</v>
      </c>
    </row>
    <row r="1110" spans="1:12" ht="15" customHeight="1" x14ac:dyDescent="0.25">
      <c r="A1110" s="380" t="s">
        <v>3993</v>
      </c>
      <c r="B1110" s="380" t="s">
        <v>1869</v>
      </c>
      <c r="C1110" s="380" t="s">
        <v>1712</v>
      </c>
      <c r="D1110" s="380" t="s">
        <v>1905</v>
      </c>
      <c r="E1110" s="380" t="s">
        <v>322</v>
      </c>
      <c r="F1110" s="380" t="s">
        <v>1611</v>
      </c>
      <c r="G1110" s="380" t="s">
        <v>1277</v>
      </c>
      <c r="H1110" s="380" t="s">
        <v>3994</v>
      </c>
      <c r="I1110" s="380" t="s">
        <v>1902</v>
      </c>
      <c r="J1110" s="380"/>
      <c r="K1110" s="380"/>
      <c r="L1110" s="404">
        <v>0.02</v>
      </c>
    </row>
    <row r="1111" spans="1:12" ht="15" customHeight="1" x14ac:dyDescent="0.25">
      <c r="A1111" s="380" t="s">
        <v>3995</v>
      </c>
      <c r="B1111" s="380" t="s">
        <v>1869</v>
      </c>
      <c r="C1111" s="380" t="s">
        <v>1712</v>
      </c>
      <c r="D1111" s="380" t="s">
        <v>1909</v>
      </c>
      <c r="E1111" s="380" t="s">
        <v>322</v>
      </c>
      <c r="F1111" s="380" t="s">
        <v>1611</v>
      </c>
      <c r="G1111" s="380" t="s">
        <v>1277</v>
      </c>
      <c r="H1111" s="380" t="s">
        <v>3996</v>
      </c>
      <c r="I1111" s="380" t="s">
        <v>1902</v>
      </c>
      <c r="J1111" s="380"/>
      <c r="K1111" s="380"/>
      <c r="L1111" s="404">
        <v>0.1</v>
      </c>
    </row>
    <row r="1112" spans="1:12" ht="15" customHeight="1" x14ac:dyDescent="0.25">
      <c r="A1112" s="380" t="s">
        <v>3997</v>
      </c>
      <c r="B1112" s="380" t="s">
        <v>1869</v>
      </c>
      <c r="C1112" s="380" t="s">
        <v>1712</v>
      </c>
      <c r="D1112" s="380" t="s">
        <v>1317</v>
      </c>
      <c r="E1112" s="380" t="s">
        <v>322</v>
      </c>
      <c r="F1112" s="380" t="s">
        <v>1611</v>
      </c>
      <c r="G1112" s="380" t="s">
        <v>757</v>
      </c>
      <c r="H1112" s="380" t="s">
        <v>3998</v>
      </c>
      <c r="I1112" s="380" t="s">
        <v>1914</v>
      </c>
      <c r="J1112" s="380" t="s">
        <v>3950</v>
      </c>
      <c r="K1112" s="380" t="s">
        <v>1916</v>
      </c>
      <c r="L1112" s="403">
        <v>0</v>
      </c>
    </row>
    <row r="1113" spans="1:12" ht="15" customHeight="1" x14ac:dyDescent="0.25">
      <c r="A1113" s="380" t="s">
        <v>3999</v>
      </c>
      <c r="B1113" s="380" t="s">
        <v>1869</v>
      </c>
      <c r="C1113" s="380" t="s">
        <v>1712</v>
      </c>
      <c r="D1113" s="380" t="s">
        <v>1317</v>
      </c>
      <c r="E1113" s="380" t="s">
        <v>322</v>
      </c>
      <c r="F1113" s="380" t="s">
        <v>1611</v>
      </c>
      <c r="G1113" s="380" t="s">
        <v>754</v>
      </c>
      <c r="H1113" s="380" t="s">
        <v>4000</v>
      </c>
      <c r="I1113" s="380" t="s">
        <v>1914</v>
      </c>
      <c r="J1113" s="380" t="s">
        <v>3950</v>
      </c>
      <c r="K1113" s="380" t="s">
        <v>1916</v>
      </c>
      <c r="L1113" s="403">
        <v>1</v>
      </c>
    </row>
    <row r="1114" spans="1:12" ht="15" customHeight="1" x14ac:dyDescent="0.25">
      <c r="A1114" s="380" t="s">
        <v>4001</v>
      </c>
      <c r="B1114" s="380" t="s">
        <v>1869</v>
      </c>
      <c r="C1114" s="380" t="s">
        <v>1712</v>
      </c>
      <c r="D1114" s="380" t="s">
        <v>1317</v>
      </c>
      <c r="E1114" s="380" t="s">
        <v>322</v>
      </c>
      <c r="F1114" s="380" t="s">
        <v>1611</v>
      </c>
      <c r="G1114" s="380" t="s">
        <v>1292</v>
      </c>
      <c r="H1114" s="380" t="s">
        <v>4002</v>
      </c>
      <c r="I1114" s="380" t="s">
        <v>1914</v>
      </c>
      <c r="J1114" s="380" t="s">
        <v>3950</v>
      </c>
      <c r="K1114" s="380" t="s">
        <v>1916</v>
      </c>
      <c r="L1114" s="403">
        <v>0</v>
      </c>
    </row>
    <row r="1115" spans="1:12" ht="15" customHeight="1" x14ac:dyDescent="0.25">
      <c r="A1115" s="380" t="s">
        <v>4003</v>
      </c>
      <c r="B1115" s="380" t="s">
        <v>1869</v>
      </c>
      <c r="C1115" s="380" t="s">
        <v>1712</v>
      </c>
      <c r="D1115" s="380" t="s">
        <v>1317</v>
      </c>
      <c r="E1115" s="380" t="s">
        <v>322</v>
      </c>
      <c r="F1115" s="380" t="s">
        <v>1611</v>
      </c>
      <c r="G1115" s="380" t="s">
        <v>762</v>
      </c>
      <c r="H1115" s="380" t="s">
        <v>4004</v>
      </c>
      <c r="I1115" s="380" t="s">
        <v>1914</v>
      </c>
      <c r="J1115" s="380" t="s">
        <v>3950</v>
      </c>
      <c r="K1115" s="380" t="s">
        <v>1916</v>
      </c>
      <c r="L1115" s="403">
        <v>0</v>
      </c>
    </row>
    <row r="1116" spans="1:12" ht="15" customHeight="1" x14ac:dyDescent="0.25">
      <c r="A1116" s="380" t="s">
        <v>4005</v>
      </c>
      <c r="B1116" s="380" t="s">
        <v>1869</v>
      </c>
      <c r="C1116" s="380" t="s">
        <v>1712</v>
      </c>
      <c r="D1116" s="380" t="s">
        <v>1317</v>
      </c>
      <c r="E1116" s="380" t="s">
        <v>322</v>
      </c>
      <c r="F1116" s="380" t="s">
        <v>1611</v>
      </c>
      <c r="G1116" s="380" t="s">
        <v>1295</v>
      </c>
      <c r="H1116" s="380" t="s">
        <v>4006</v>
      </c>
      <c r="I1116" s="380" t="s">
        <v>1914</v>
      </c>
      <c r="J1116" s="380" t="s">
        <v>3950</v>
      </c>
      <c r="K1116" s="380" t="s">
        <v>1916</v>
      </c>
      <c r="L1116" s="403">
        <v>0</v>
      </c>
    </row>
    <row r="1117" spans="1:12" ht="15" customHeight="1" x14ac:dyDescent="0.25">
      <c r="A1117" s="380" t="s">
        <v>4007</v>
      </c>
      <c r="B1117" s="380" t="s">
        <v>1869</v>
      </c>
      <c r="C1117" s="380" t="s">
        <v>1712</v>
      </c>
      <c r="D1117" s="380" t="s">
        <v>1317</v>
      </c>
      <c r="E1117" s="380" t="s">
        <v>322</v>
      </c>
      <c r="F1117" s="380" t="s">
        <v>1611</v>
      </c>
      <c r="G1117" s="380" t="s">
        <v>1297</v>
      </c>
      <c r="H1117" s="380" t="s">
        <v>4008</v>
      </c>
      <c r="I1117" s="380" t="s">
        <v>1914</v>
      </c>
      <c r="J1117" s="380" t="s">
        <v>3950</v>
      </c>
      <c r="K1117" s="380" t="s">
        <v>1916</v>
      </c>
      <c r="L1117" s="403">
        <v>0</v>
      </c>
    </row>
    <row r="1118" spans="1:12" ht="15" customHeight="1" x14ac:dyDescent="0.25">
      <c r="A1118" s="380" t="s">
        <v>4009</v>
      </c>
      <c r="B1118" s="380" t="s">
        <v>1869</v>
      </c>
      <c r="C1118" s="380" t="s">
        <v>1712</v>
      </c>
      <c r="D1118" s="380" t="s">
        <v>1317</v>
      </c>
      <c r="E1118" s="380" t="s">
        <v>322</v>
      </c>
      <c r="F1118" s="380" t="s">
        <v>1611</v>
      </c>
      <c r="G1118" s="380" t="s">
        <v>1299</v>
      </c>
      <c r="H1118" s="380" t="s">
        <v>4010</v>
      </c>
      <c r="I1118" s="380" t="s">
        <v>1914</v>
      </c>
      <c r="J1118" s="380" t="s">
        <v>3950</v>
      </c>
      <c r="K1118" s="380" t="s">
        <v>1916</v>
      </c>
      <c r="L1118" s="403">
        <v>0</v>
      </c>
    </row>
    <row r="1119" spans="1:12" ht="15" customHeight="1" x14ac:dyDescent="0.25">
      <c r="A1119" s="380" t="s">
        <v>4011</v>
      </c>
      <c r="B1119" s="380" t="s">
        <v>1869</v>
      </c>
      <c r="C1119" s="380" t="s">
        <v>1712</v>
      </c>
      <c r="D1119" s="380" t="s">
        <v>1317</v>
      </c>
      <c r="E1119" s="380" t="s">
        <v>322</v>
      </c>
      <c r="F1119" s="380" t="s">
        <v>1611</v>
      </c>
      <c r="G1119" s="380" t="s">
        <v>1301</v>
      </c>
      <c r="H1119" s="380" t="s">
        <v>4012</v>
      </c>
      <c r="I1119" s="380" t="s">
        <v>1914</v>
      </c>
      <c r="J1119" s="380" t="s">
        <v>3950</v>
      </c>
      <c r="K1119" s="380" t="s">
        <v>1916</v>
      </c>
      <c r="L1119" s="403">
        <v>0</v>
      </c>
    </row>
    <row r="1120" spans="1:12" ht="15" customHeight="1" x14ac:dyDescent="0.25">
      <c r="A1120" s="380" t="s">
        <v>4013</v>
      </c>
      <c r="B1120" s="380" t="s">
        <v>1869</v>
      </c>
      <c r="C1120" s="380" t="s">
        <v>1712</v>
      </c>
      <c r="D1120" s="380" t="s">
        <v>1328</v>
      </c>
      <c r="E1120" s="380" t="s">
        <v>322</v>
      </c>
      <c r="F1120" s="380" t="s">
        <v>1611</v>
      </c>
      <c r="G1120" s="380" t="s">
        <v>757</v>
      </c>
      <c r="H1120" s="380" t="s">
        <v>4014</v>
      </c>
      <c r="I1120" s="380" t="s">
        <v>1914</v>
      </c>
      <c r="J1120" s="380"/>
      <c r="K1120" s="380"/>
      <c r="L1120" s="403">
        <v>3</v>
      </c>
    </row>
    <row r="1121" spans="1:12" ht="15" customHeight="1" x14ac:dyDescent="0.25">
      <c r="A1121" s="380" t="s">
        <v>4015</v>
      </c>
      <c r="B1121" s="380" t="s">
        <v>1869</v>
      </c>
      <c r="C1121" s="380" t="s">
        <v>1712</v>
      </c>
      <c r="D1121" s="380" t="s">
        <v>1328</v>
      </c>
      <c r="E1121" s="380" t="s">
        <v>322</v>
      </c>
      <c r="F1121" s="380" t="s">
        <v>1611</v>
      </c>
      <c r="G1121" s="380" t="s">
        <v>754</v>
      </c>
      <c r="H1121" s="380" t="s">
        <v>4016</v>
      </c>
      <c r="I1121" s="380" t="s">
        <v>1914</v>
      </c>
      <c r="J1121" s="380"/>
      <c r="K1121" s="380"/>
      <c r="L1121" s="403">
        <v>0</v>
      </c>
    </row>
    <row r="1122" spans="1:12" ht="15" customHeight="1" x14ac:dyDescent="0.25">
      <c r="A1122" s="380" t="s">
        <v>4017</v>
      </c>
      <c r="B1122" s="380" t="s">
        <v>1869</v>
      </c>
      <c r="C1122" s="380" t="s">
        <v>1712</v>
      </c>
      <c r="D1122" s="380" t="s">
        <v>1328</v>
      </c>
      <c r="E1122" s="380" t="s">
        <v>322</v>
      </c>
      <c r="F1122" s="380" t="s">
        <v>1611</v>
      </c>
      <c r="G1122" s="380" t="s">
        <v>1292</v>
      </c>
      <c r="H1122" s="380" t="s">
        <v>4018</v>
      </c>
      <c r="I1122" s="380" t="s">
        <v>1914</v>
      </c>
      <c r="J1122" s="380"/>
      <c r="K1122" s="380"/>
      <c r="L1122" s="403">
        <v>0</v>
      </c>
    </row>
    <row r="1123" spans="1:12" ht="15" customHeight="1" x14ac:dyDescent="0.25">
      <c r="A1123" s="380" t="s">
        <v>4019</v>
      </c>
      <c r="B1123" s="380" t="s">
        <v>1869</v>
      </c>
      <c r="C1123" s="380" t="s">
        <v>1712</v>
      </c>
      <c r="D1123" s="380" t="s">
        <v>1328</v>
      </c>
      <c r="E1123" s="380" t="s">
        <v>322</v>
      </c>
      <c r="F1123" s="380" t="s">
        <v>1611</v>
      </c>
      <c r="G1123" s="380" t="s">
        <v>762</v>
      </c>
      <c r="H1123" s="380" t="s">
        <v>4020</v>
      </c>
      <c r="I1123" s="380" t="s">
        <v>1914</v>
      </c>
      <c r="J1123" s="380"/>
      <c r="K1123" s="380"/>
      <c r="L1123" s="403">
        <v>0</v>
      </c>
    </row>
    <row r="1124" spans="1:12" ht="15" customHeight="1" x14ac:dyDescent="0.25">
      <c r="A1124" s="380" t="s">
        <v>4021</v>
      </c>
      <c r="B1124" s="380" t="s">
        <v>1869</v>
      </c>
      <c r="C1124" s="380" t="s">
        <v>1712</v>
      </c>
      <c r="D1124" s="380" t="s">
        <v>1328</v>
      </c>
      <c r="E1124" s="380" t="s">
        <v>322</v>
      </c>
      <c r="F1124" s="380" t="s">
        <v>1611</v>
      </c>
      <c r="G1124" s="380" t="s">
        <v>1295</v>
      </c>
      <c r="H1124" s="380" t="s">
        <v>4022</v>
      </c>
      <c r="I1124" s="380" t="s">
        <v>1914</v>
      </c>
      <c r="J1124" s="380"/>
      <c r="K1124" s="380"/>
      <c r="L1124" s="403">
        <v>0</v>
      </c>
    </row>
    <row r="1125" spans="1:12" ht="15" customHeight="1" x14ac:dyDescent="0.25">
      <c r="A1125" s="380" t="s">
        <v>4023</v>
      </c>
      <c r="B1125" s="380" t="s">
        <v>1869</v>
      </c>
      <c r="C1125" s="380" t="s">
        <v>1712</v>
      </c>
      <c r="D1125" s="380" t="s">
        <v>1328</v>
      </c>
      <c r="E1125" s="380" t="s">
        <v>322</v>
      </c>
      <c r="F1125" s="380" t="s">
        <v>1611</v>
      </c>
      <c r="G1125" s="380" t="s">
        <v>1297</v>
      </c>
      <c r="H1125" s="380" t="s">
        <v>4024</v>
      </c>
      <c r="I1125" s="380" t="s">
        <v>1914</v>
      </c>
      <c r="J1125" s="380"/>
      <c r="K1125" s="380"/>
      <c r="L1125" s="403">
        <v>0</v>
      </c>
    </row>
    <row r="1126" spans="1:12" ht="15" customHeight="1" x14ac:dyDescent="0.25">
      <c r="A1126" s="380" t="s">
        <v>4025</v>
      </c>
      <c r="B1126" s="380" t="s">
        <v>1869</v>
      </c>
      <c r="C1126" s="380" t="s">
        <v>1712</v>
      </c>
      <c r="D1126" s="380" t="s">
        <v>1328</v>
      </c>
      <c r="E1126" s="380" t="s">
        <v>322</v>
      </c>
      <c r="F1126" s="380" t="s">
        <v>1611</v>
      </c>
      <c r="G1126" s="380" t="s">
        <v>1299</v>
      </c>
      <c r="H1126" s="380" t="s">
        <v>4026</v>
      </c>
      <c r="I1126" s="380" t="s">
        <v>1914</v>
      </c>
      <c r="J1126" s="380"/>
      <c r="K1126" s="380"/>
      <c r="L1126" s="403">
        <v>0</v>
      </c>
    </row>
    <row r="1127" spans="1:12" ht="15" customHeight="1" x14ac:dyDescent="0.25">
      <c r="A1127" s="380" t="s">
        <v>4027</v>
      </c>
      <c r="B1127" s="380" t="s">
        <v>1869</v>
      </c>
      <c r="C1127" s="380" t="s">
        <v>1712</v>
      </c>
      <c r="D1127" s="380" t="s">
        <v>1328</v>
      </c>
      <c r="E1127" s="380" t="s">
        <v>322</v>
      </c>
      <c r="F1127" s="380" t="s">
        <v>1611</v>
      </c>
      <c r="G1127" s="380" t="s">
        <v>1301</v>
      </c>
      <c r="H1127" s="380" t="s">
        <v>4028</v>
      </c>
      <c r="I1127" s="380" t="s">
        <v>1914</v>
      </c>
      <c r="J1127" s="380"/>
      <c r="K1127" s="380"/>
      <c r="L1127" s="403">
        <v>0</v>
      </c>
    </row>
    <row r="1128" spans="1:12" ht="15" customHeight="1" x14ac:dyDescent="0.25">
      <c r="A1128" s="380" t="s">
        <v>4029</v>
      </c>
      <c r="B1128" s="380" t="s">
        <v>1869</v>
      </c>
      <c r="C1128" s="380" t="s">
        <v>1712</v>
      </c>
      <c r="D1128" s="380" t="s">
        <v>1338</v>
      </c>
      <c r="E1128" s="380" t="s">
        <v>322</v>
      </c>
      <c r="F1128" s="380" t="s">
        <v>1611</v>
      </c>
      <c r="G1128" s="380" t="s">
        <v>1339</v>
      </c>
      <c r="H1128" s="380" t="s">
        <v>4030</v>
      </c>
      <c r="I1128" s="380" t="s">
        <v>1914</v>
      </c>
      <c r="J1128" s="380"/>
      <c r="K1128" s="380"/>
      <c r="L1128" s="403">
        <v>3.5</v>
      </c>
    </row>
    <row r="1129" spans="1:12" ht="15" customHeight="1" x14ac:dyDescent="0.25">
      <c r="A1129" s="380" t="s">
        <v>4031</v>
      </c>
      <c r="B1129" s="380" t="s">
        <v>1869</v>
      </c>
      <c r="C1129" s="380" t="s">
        <v>1712</v>
      </c>
      <c r="D1129" s="380" t="s">
        <v>1966</v>
      </c>
      <c r="E1129" s="380" t="s">
        <v>322</v>
      </c>
      <c r="F1129" s="380" t="s">
        <v>1611</v>
      </c>
      <c r="G1129" s="380" t="s">
        <v>1277</v>
      </c>
      <c r="H1129" s="380" t="s">
        <v>4032</v>
      </c>
      <c r="I1129" s="380" t="s">
        <v>1746</v>
      </c>
      <c r="J1129" s="380"/>
      <c r="K1129" s="380"/>
      <c r="L1129" s="403">
        <v>0</v>
      </c>
    </row>
    <row r="1130" spans="1:12" ht="15" customHeight="1" x14ac:dyDescent="0.25">
      <c r="A1130" s="380" t="s">
        <v>4033</v>
      </c>
      <c r="B1130" s="380" t="s">
        <v>1869</v>
      </c>
      <c r="C1130" s="380" t="s">
        <v>1712</v>
      </c>
      <c r="D1130" s="380" t="s">
        <v>1971</v>
      </c>
      <c r="E1130" s="380" t="s">
        <v>322</v>
      </c>
      <c r="F1130" s="380" t="s">
        <v>1611</v>
      </c>
      <c r="G1130" s="380" t="s">
        <v>1277</v>
      </c>
      <c r="H1130" s="380" t="s">
        <v>4034</v>
      </c>
      <c r="I1130" s="380" t="s">
        <v>1566</v>
      </c>
      <c r="J1130" s="380"/>
      <c r="K1130" s="380"/>
      <c r="L1130" s="403">
        <v>0</v>
      </c>
    </row>
    <row r="1131" spans="1:12" ht="15" customHeight="1" x14ac:dyDescent="0.25">
      <c r="A1131" s="380" t="s">
        <v>4035</v>
      </c>
      <c r="B1131" s="380" t="s">
        <v>1874</v>
      </c>
      <c r="C1131" s="380" t="s">
        <v>1712</v>
      </c>
      <c r="D1131" s="380" t="s">
        <v>1890</v>
      </c>
      <c r="E1131" s="380" t="s">
        <v>322</v>
      </c>
      <c r="F1131" s="380" t="s">
        <v>1611</v>
      </c>
      <c r="G1131" s="380" t="s">
        <v>1277</v>
      </c>
      <c r="H1131" s="380" t="s">
        <v>4036</v>
      </c>
      <c r="I1131" s="380" t="s">
        <v>1307</v>
      </c>
      <c r="J1131" s="380" t="s">
        <v>3938</v>
      </c>
      <c r="K1131" s="380" t="s">
        <v>3939</v>
      </c>
      <c r="L1131" s="406">
        <v>0.1</v>
      </c>
    </row>
    <row r="1132" spans="1:12" ht="15" customHeight="1" x14ac:dyDescent="0.25">
      <c r="A1132" s="380" t="s">
        <v>4037</v>
      </c>
      <c r="B1132" s="380" t="s">
        <v>1874</v>
      </c>
      <c r="C1132" s="380" t="s">
        <v>1712</v>
      </c>
      <c r="D1132" s="380" t="s">
        <v>1895</v>
      </c>
      <c r="E1132" s="380" t="s">
        <v>322</v>
      </c>
      <c r="F1132" s="380" t="s">
        <v>1611</v>
      </c>
      <c r="G1132" s="380" t="s">
        <v>1277</v>
      </c>
      <c r="H1132" s="380" t="s">
        <v>4038</v>
      </c>
      <c r="I1132" s="380" t="s">
        <v>1897</v>
      </c>
      <c r="J1132" s="380"/>
      <c r="K1132" s="380"/>
      <c r="L1132" s="404">
        <v>1</v>
      </c>
    </row>
    <row r="1133" spans="1:12" ht="15" customHeight="1" x14ac:dyDescent="0.25">
      <c r="A1133" s="380" t="s">
        <v>4039</v>
      </c>
      <c r="B1133" s="380" t="s">
        <v>1874</v>
      </c>
      <c r="C1133" s="380" t="s">
        <v>1712</v>
      </c>
      <c r="D1133" s="380" t="s">
        <v>1900</v>
      </c>
      <c r="E1133" s="380" t="s">
        <v>322</v>
      </c>
      <c r="F1133" s="380" t="s">
        <v>1611</v>
      </c>
      <c r="G1133" s="380" t="s">
        <v>1277</v>
      </c>
      <c r="H1133" s="380" t="s">
        <v>4040</v>
      </c>
      <c r="I1133" s="380" t="s">
        <v>1902</v>
      </c>
      <c r="J1133" s="380"/>
      <c r="K1133" s="380"/>
      <c r="L1133" s="404">
        <v>0.05</v>
      </c>
    </row>
    <row r="1134" spans="1:12" ht="15" customHeight="1" x14ac:dyDescent="0.25">
      <c r="A1134" s="380" t="s">
        <v>4041</v>
      </c>
      <c r="B1134" s="380" t="s">
        <v>1874</v>
      </c>
      <c r="C1134" s="380" t="s">
        <v>1712</v>
      </c>
      <c r="D1134" s="380" t="s">
        <v>1905</v>
      </c>
      <c r="E1134" s="380" t="s">
        <v>322</v>
      </c>
      <c r="F1134" s="380" t="s">
        <v>1611</v>
      </c>
      <c r="G1134" s="380" t="s">
        <v>1277</v>
      </c>
      <c r="H1134" s="380" t="s">
        <v>4042</v>
      </c>
      <c r="I1134" s="380" t="s">
        <v>1902</v>
      </c>
      <c r="J1134" s="380"/>
      <c r="K1134" s="380"/>
      <c r="L1134" s="404">
        <v>0.01</v>
      </c>
    </row>
    <row r="1135" spans="1:12" ht="15" customHeight="1" x14ac:dyDescent="0.25">
      <c r="A1135" s="380" t="s">
        <v>4043</v>
      </c>
      <c r="B1135" s="380" t="s">
        <v>1874</v>
      </c>
      <c r="C1135" s="380" t="s">
        <v>1712</v>
      </c>
      <c r="D1135" s="380" t="s">
        <v>1909</v>
      </c>
      <c r="E1135" s="380" t="s">
        <v>322</v>
      </c>
      <c r="F1135" s="380" t="s">
        <v>1611</v>
      </c>
      <c r="G1135" s="380" t="s">
        <v>1277</v>
      </c>
      <c r="H1135" s="380" t="s">
        <v>4044</v>
      </c>
      <c r="I1135" s="380" t="s">
        <v>1902</v>
      </c>
      <c r="J1135" s="380"/>
      <c r="K1135" s="380"/>
      <c r="L1135" s="404">
        <v>0.15</v>
      </c>
    </row>
    <row r="1136" spans="1:12" ht="15" customHeight="1" x14ac:dyDescent="0.25">
      <c r="A1136" s="380" t="s">
        <v>4045</v>
      </c>
      <c r="B1136" s="380" t="s">
        <v>1874</v>
      </c>
      <c r="C1136" s="380" t="s">
        <v>1712</v>
      </c>
      <c r="D1136" s="380" t="s">
        <v>1317</v>
      </c>
      <c r="E1136" s="380" t="s">
        <v>322</v>
      </c>
      <c r="F1136" s="380" t="s">
        <v>1611</v>
      </c>
      <c r="G1136" s="380" t="s">
        <v>757</v>
      </c>
      <c r="H1136" s="380" t="s">
        <v>4046</v>
      </c>
      <c r="I1136" s="380" t="s">
        <v>1914</v>
      </c>
      <c r="J1136" s="380" t="s">
        <v>3950</v>
      </c>
      <c r="K1136" s="380" t="s">
        <v>1916</v>
      </c>
      <c r="L1136" s="403">
        <v>0</v>
      </c>
    </row>
    <row r="1137" spans="1:12" ht="15" customHeight="1" x14ac:dyDescent="0.25">
      <c r="A1137" s="380" t="s">
        <v>4047</v>
      </c>
      <c r="B1137" s="380" t="s">
        <v>1874</v>
      </c>
      <c r="C1137" s="380" t="s">
        <v>1712</v>
      </c>
      <c r="D1137" s="380" t="s">
        <v>1317</v>
      </c>
      <c r="E1137" s="380" t="s">
        <v>322</v>
      </c>
      <c r="F1137" s="380" t="s">
        <v>1611</v>
      </c>
      <c r="G1137" s="380" t="s">
        <v>754</v>
      </c>
      <c r="H1137" s="380" t="s">
        <v>4048</v>
      </c>
      <c r="I1137" s="380" t="s">
        <v>1914</v>
      </c>
      <c r="J1137" s="380" t="s">
        <v>3950</v>
      </c>
      <c r="K1137" s="380" t="s">
        <v>1916</v>
      </c>
      <c r="L1137" s="403">
        <v>1.5</v>
      </c>
    </row>
    <row r="1138" spans="1:12" ht="15" customHeight="1" x14ac:dyDescent="0.25">
      <c r="A1138" s="380" t="s">
        <v>4049</v>
      </c>
      <c r="B1138" s="380" t="s">
        <v>1874</v>
      </c>
      <c r="C1138" s="380" t="s">
        <v>1712</v>
      </c>
      <c r="D1138" s="380" t="s">
        <v>1317</v>
      </c>
      <c r="E1138" s="380" t="s">
        <v>322</v>
      </c>
      <c r="F1138" s="380" t="s">
        <v>1611</v>
      </c>
      <c r="G1138" s="380" t="s">
        <v>1292</v>
      </c>
      <c r="H1138" s="380" t="s">
        <v>4050</v>
      </c>
      <c r="I1138" s="380" t="s">
        <v>1914</v>
      </c>
      <c r="J1138" s="380" t="s">
        <v>3950</v>
      </c>
      <c r="K1138" s="380" t="s">
        <v>1916</v>
      </c>
      <c r="L1138" s="403">
        <v>0</v>
      </c>
    </row>
    <row r="1139" spans="1:12" ht="15" customHeight="1" x14ac:dyDescent="0.25">
      <c r="A1139" s="380" t="s">
        <v>4051</v>
      </c>
      <c r="B1139" s="380" t="s">
        <v>1874</v>
      </c>
      <c r="C1139" s="380" t="s">
        <v>1712</v>
      </c>
      <c r="D1139" s="380" t="s">
        <v>1317</v>
      </c>
      <c r="E1139" s="380" t="s">
        <v>322</v>
      </c>
      <c r="F1139" s="380" t="s">
        <v>1611</v>
      </c>
      <c r="G1139" s="380" t="s">
        <v>762</v>
      </c>
      <c r="H1139" s="380" t="s">
        <v>4052</v>
      </c>
      <c r="I1139" s="380" t="s">
        <v>1914</v>
      </c>
      <c r="J1139" s="380" t="s">
        <v>3950</v>
      </c>
      <c r="K1139" s="380" t="s">
        <v>1916</v>
      </c>
      <c r="L1139" s="403">
        <v>0</v>
      </c>
    </row>
    <row r="1140" spans="1:12" ht="15" customHeight="1" x14ac:dyDescent="0.25">
      <c r="A1140" s="380" t="s">
        <v>4053</v>
      </c>
      <c r="B1140" s="380" t="s">
        <v>1874</v>
      </c>
      <c r="C1140" s="380" t="s">
        <v>1712</v>
      </c>
      <c r="D1140" s="380" t="s">
        <v>1317</v>
      </c>
      <c r="E1140" s="380" t="s">
        <v>322</v>
      </c>
      <c r="F1140" s="380" t="s">
        <v>1611</v>
      </c>
      <c r="G1140" s="380" t="s">
        <v>1295</v>
      </c>
      <c r="H1140" s="380" t="s">
        <v>4054</v>
      </c>
      <c r="I1140" s="380" t="s">
        <v>1914</v>
      </c>
      <c r="J1140" s="380" t="s">
        <v>3950</v>
      </c>
      <c r="K1140" s="380" t="s">
        <v>1916</v>
      </c>
      <c r="L1140" s="403">
        <v>0</v>
      </c>
    </row>
    <row r="1141" spans="1:12" ht="15" customHeight="1" x14ac:dyDescent="0.25">
      <c r="A1141" s="380" t="s">
        <v>4055</v>
      </c>
      <c r="B1141" s="380" t="s">
        <v>1874</v>
      </c>
      <c r="C1141" s="380" t="s">
        <v>1712</v>
      </c>
      <c r="D1141" s="380" t="s">
        <v>1317</v>
      </c>
      <c r="E1141" s="380" t="s">
        <v>322</v>
      </c>
      <c r="F1141" s="380" t="s">
        <v>1611</v>
      </c>
      <c r="G1141" s="380" t="s">
        <v>1297</v>
      </c>
      <c r="H1141" s="380" t="s">
        <v>4056</v>
      </c>
      <c r="I1141" s="380" t="s">
        <v>1914</v>
      </c>
      <c r="J1141" s="380" t="s">
        <v>3950</v>
      </c>
      <c r="K1141" s="380" t="s">
        <v>1916</v>
      </c>
      <c r="L1141" s="403">
        <v>0</v>
      </c>
    </row>
    <row r="1142" spans="1:12" ht="15" customHeight="1" x14ac:dyDescent="0.25">
      <c r="A1142" s="380" t="s">
        <v>4057</v>
      </c>
      <c r="B1142" s="380" t="s">
        <v>1874</v>
      </c>
      <c r="C1142" s="380" t="s">
        <v>1712</v>
      </c>
      <c r="D1142" s="380" t="s">
        <v>1317</v>
      </c>
      <c r="E1142" s="380" t="s">
        <v>322</v>
      </c>
      <c r="F1142" s="380" t="s">
        <v>1611</v>
      </c>
      <c r="G1142" s="380" t="s">
        <v>1299</v>
      </c>
      <c r="H1142" s="380" t="s">
        <v>4058</v>
      </c>
      <c r="I1142" s="380" t="s">
        <v>1914</v>
      </c>
      <c r="J1142" s="380" t="s">
        <v>3950</v>
      </c>
      <c r="K1142" s="380" t="s">
        <v>1916</v>
      </c>
      <c r="L1142" s="403">
        <v>0</v>
      </c>
    </row>
    <row r="1143" spans="1:12" ht="15" customHeight="1" x14ac:dyDescent="0.25">
      <c r="A1143" s="380" t="s">
        <v>4059</v>
      </c>
      <c r="B1143" s="380" t="s">
        <v>1874</v>
      </c>
      <c r="C1143" s="380" t="s">
        <v>1712</v>
      </c>
      <c r="D1143" s="380" t="s">
        <v>1317</v>
      </c>
      <c r="E1143" s="380" t="s">
        <v>322</v>
      </c>
      <c r="F1143" s="380" t="s">
        <v>1611</v>
      </c>
      <c r="G1143" s="380" t="s">
        <v>1301</v>
      </c>
      <c r="H1143" s="380" t="s">
        <v>4060</v>
      </c>
      <c r="I1143" s="380" t="s">
        <v>1914</v>
      </c>
      <c r="J1143" s="380" t="s">
        <v>3950</v>
      </c>
      <c r="K1143" s="380" t="s">
        <v>1916</v>
      </c>
      <c r="L1143" s="403">
        <v>0</v>
      </c>
    </row>
    <row r="1144" spans="1:12" ht="15" customHeight="1" x14ac:dyDescent="0.25">
      <c r="A1144" s="380" t="s">
        <v>4061</v>
      </c>
      <c r="B1144" s="380" t="s">
        <v>1874</v>
      </c>
      <c r="C1144" s="380" t="s">
        <v>1712</v>
      </c>
      <c r="D1144" s="380" t="s">
        <v>1328</v>
      </c>
      <c r="E1144" s="380" t="s">
        <v>322</v>
      </c>
      <c r="F1144" s="380" t="s">
        <v>1611</v>
      </c>
      <c r="G1144" s="380" t="s">
        <v>757</v>
      </c>
      <c r="H1144" s="380" t="s">
        <v>4062</v>
      </c>
      <c r="I1144" s="380" t="s">
        <v>1914</v>
      </c>
      <c r="J1144" s="380"/>
      <c r="K1144" s="380"/>
      <c r="L1144" s="403">
        <v>5</v>
      </c>
    </row>
    <row r="1145" spans="1:12" ht="15" customHeight="1" x14ac:dyDescent="0.25">
      <c r="A1145" s="380" t="s">
        <v>4063</v>
      </c>
      <c r="B1145" s="380" t="s">
        <v>1874</v>
      </c>
      <c r="C1145" s="380" t="s">
        <v>1712</v>
      </c>
      <c r="D1145" s="380" t="s">
        <v>1328</v>
      </c>
      <c r="E1145" s="380" t="s">
        <v>322</v>
      </c>
      <c r="F1145" s="380" t="s">
        <v>1611</v>
      </c>
      <c r="G1145" s="380" t="s">
        <v>754</v>
      </c>
      <c r="H1145" s="380" t="s">
        <v>4064</v>
      </c>
      <c r="I1145" s="380" t="s">
        <v>1914</v>
      </c>
      <c r="J1145" s="380"/>
      <c r="K1145" s="380"/>
      <c r="L1145" s="403">
        <v>0</v>
      </c>
    </row>
    <row r="1146" spans="1:12" ht="15" customHeight="1" x14ac:dyDescent="0.25">
      <c r="A1146" s="380" t="s">
        <v>4065</v>
      </c>
      <c r="B1146" s="380" t="s">
        <v>1874</v>
      </c>
      <c r="C1146" s="380" t="s">
        <v>1712</v>
      </c>
      <c r="D1146" s="380" t="s">
        <v>1328</v>
      </c>
      <c r="E1146" s="380" t="s">
        <v>322</v>
      </c>
      <c r="F1146" s="380" t="s">
        <v>1611</v>
      </c>
      <c r="G1146" s="380" t="s">
        <v>1292</v>
      </c>
      <c r="H1146" s="380" t="s">
        <v>4066</v>
      </c>
      <c r="I1146" s="380" t="s">
        <v>1914</v>
      </c>
      <c r="J1146" s="380"/>
      <c r="K1146" s="380"/>
      <c r="L1146" s="403">
        <v>0</v>
      </c>
    </row>
    <row r="1147" spans="1:12" ht="15" customHeight="1" x14ac:dyDescent="0.25">
      <c r="A1147" s="380" t="s">
        <v>4067</v>
      </c>
      <c r="B1147" s="380" t="s">
        <v>1874</v>
      </c>
      <c r="C1147" s="380" t="s">
        <v>1712</v>
      </c>
      <c r="D1147" s="380" t="s">
        <v>1328</v>
      </c>
      <c r="E1147" s="380" t="s">
        <v>322</v>
      </c>
      <c r="F1147" s="380" t="s">
        <v>1611</v>
      </c>
      <c r="G1147" s="380" t="s">
        <v>762</v>
      </c>
      <c r="H1147" s="380" t="s">
        <v>4068</v>
      </c>
      <c r="I1147" s="380" t="s">
        <v>1914</v>
      </c>
      <c r="J1147" s="380"/>
      <c r="K1147" s="380"/>
      <c r="L1147" s="403">
        <v>0</v>
      </c>
    </row>
    <row r="1148" spans="1:12" ht="15" customHeight="1" x14ac:dyDescent="0.25">
      <c r="A1148" s="380" t="s">
        <v>4069</v>
      </c>
      <c r="B1148" s="380" t="s">
        <v>1874</v>
      </c>
      <c r="C1148" s="380" t="s">
        <v>1712</v>
      </c>
      <c r="D1148" s="380" t="s">
        <v>1328</v>
      </c>
      <c r="E1148" s="380" t="s">
        <v>322</v>
      </c>
      <c r="F1148" s="380" t="s">
        <v>1611</v>
      </c>
      <c r="G1148" s="380" t="s">
        <v>1295</v>
      </c>
      <c r="H1148" s="380" t="s">
        <v>4070</v>
      </c>
      <c r="I1148" s="380" t="s">
        <v>1914</v>
      </c>
      <c r="J1148" s="380"/>
      <c r="K1148" s="380"/>
      <c r="L1148" s="403">
        <v>0</v>
      </c>
    </row>
    <row r="1149" spans="1:12" ht="15" customHeight="1" x14ac:dyDescent="0.25">
      <c r="A1149" s="380" t="s">
        <v>4071</v>
      </c>
      <c r="B1149" s="380" t="s">
        <v>1874</v>
      </c>
      <c r="C1149" s="380" t="s">
        <v>1712</v>
      </c>
      <c r="D1149" s="380" t="s">
        <v>1328</v>
      </c>
      <c r="E1149" s="380" t="s">
        <v>322</v>
      </c>
      <c r="F1149" s="380" t="s">
        <v>1611</v>
      </c>
      <c r="G1149" s="380" t="s">
        <v>1297</v>
      </c>
      <c r="H1149" s="380" t="s">
        <v>4072</v>
      </c>
      <c r="I1149" s="380" t="s">
        <v>1914</v>
      </c>
      <c r="J1149" s="380"/>
      <c r="K1149" s="380"/>
      <c r="L1149" s="403">
        <v>0</v>
      </c>
    </row>
    <row r="1150" spans="1:12" ht="15" customHeight="1" x14ac:dyDescent="0.25">
      <c r="A1150" s="380" t="s">
        <v>4073</v>
      </c>
      <c r="B1150" s="380" t="s">
        <v>1874</v>
      </c>
      <c r="C1150" s="380" t="s">
        <v>1712</v>
      </c>
      <c r="D1150" s="380" t="s">
        <v>1328</v>
      </c>
      <c r="E1150" s="380" t="s">
        <v>322</v>
      </c>
      <c r="F1150" s="380" t="s">
        <v>1611</v>
      </c>
      <c r="G1150" s="380" t="s">
        <v>1299</v>
      </c>
      <c r="H1150" s="380" t="s">
        <v>4074</v>
      </c>
      <c r="I1150" s="380" t="s">
        <v>1914</v>
      </c>
      <c r="J1150" s="380"/>
      <c r="K1150" s="380"/>
      <c r="L1150" s="403">
        <v>0</v>
      </c>
    </row>
    <row r="1151" spans="1:12" ht="15" customHeight="1" x14ac:dyDescent="0.25">
      <c r="A1151" s="380" t="s">
        <v>4075</v>
      </c>
      <c r="B1151" s="380" t="s">
        <v>1874</v>
      </c>
      <c r="C1151" s="380" t="s">
        <v>1712</v>
      </c>
      <c r="D1151" s="380" t="s">
        <v>1328</v>
      </c>
      <c r="E1151" s="380" t="s">
        <v>322</v>
      </c>
      <c r="F1151" s="380" t="s">
        <v>1611</v>
      </c>
      <c r="G1151" s="380" t="s">
        <v>1301</v>
      </c>
      <c r="H1151" s="380" t="s">
        <v>4076</v>
      </c>
      <c r="I1151" s="380" t="s">
        <v>1914</v>
      </c>
      <c r="J1151" s="380"/>
      <c r="K1151" s="380"/>
      <c r="L1151" s="403">
        <v>0</v>
      </c>
    </row>
    <row r="1152" spans="1:12" ht="15" customHeight="1" x14ac:dyDescent="0.25">
      <c r="A1152" s="380" t="s">
        <v>4077</v>
      </c>
      <c r="B1152" s="380" t="s">
        <v>1874</v>
      </c>
      <c r="C1152" s="380" t="s">
        <v>1712</v>
      </c>
      <c r="D1152" s="380" t="s">
        <v>1338</v>
      </c>
      <c r="E1152" s="380" t="s">
        <v>322</v>
      </c>
      <c r="F1152" s="380" t="s">
        <v>1611</v>
      </c>
      <c r="G1152" s="380" t="s">
        <v>1339</v>
      </c>
      <c r="H1152" s="380" t="s">
        <v>4078</v>
      </c>
      <c r="I1152" s="380" t="s">
        <v>1914</v>
      </c>
      <c r="J1152" s="380"/>
      <c r="K1152" s="380"/>
      <c r="L1152" s="403">
        <v>3.5</v>
      </c>
    </row>
    <row r="1153" spans="1:12" ht="15" customHeight="1" x14ac:dyDescent="0.25">
      <c r="A1153" s="380" t="s">
        <v>4079</v>
      </c>
      <c r="B1153" s="380" t="s">
        <v>1874</v>
      </c>
      <c r="C1153" s="380" t="s">
        <v>1712</v>
      </c>
      <c r="D1153" s="380" t="s">
        <v>1966</v>
      </c>
      <c r="E1153" s="380" t="s">
        <v>322</v>
      </c>
      <c r="F1153" s="380" t="s">
        <v>1611</v>
      </c>
      <c r="G1153" s="380" t="s">
        <v>1277</v>
      </c>
      <c r="H1153" s="380" t="s">
        <v>4080</v>
      </c>
      <c r="I1153" s="380" t="s">
        <v>1746</v>
      </c>
      <c r="J1153" s="380"/>
      <c r="K1153" s="380"/>
      <c r="L1153" s="403">
        <v>0</v>
      </c>
    </row>
    <row r="1154" spans="1:12" ht="15" customHeight="1" x14ac:dyDescent="0.25">
      <c r="A1154" s="380" t="s">
        <v>4081</v>
      </c>
      <c r="B1154" s="380" t="s">
        <v>1874</v>
      </c>
      <c r="C1154" s="380" t="s">
        <v>1712</v>
      </c>
      <c r="D1154" s="380" t="s">
        <v>1971</v>
      </c>
      <c r="E1154" s="380" t="s">
        <v>322</v>
      </c>
      <c r="F1154" s="380" t="s">
        <v>1611</v>
      </c>
      <c r="G1154" s="380" t="s">
        <v>1277</v>
      </c>
      <c r="H1154" s="380" t="s">
        <v>4082</v>
      </c>
      <c r="I1154" s="380" t="s">
        <v>1566</v>
      </c>
      <c r="J1154" s="380"/>
      <c r="K1154" s="380"/>
      <c r="L1154" s="403">
        <v>0</v>
      </c>
    </row>
    <row r="1155" spans="1:12" ht="15" customHeight="1" x14ac:dyDescent="0.25">
      <c r="A1155" s="380" t="s">
        <v>4083</v>
      </c>
      <c r="B1155" s="380" t="s">
        <v>1879</v>
      </c>
      <c r="C1155" s="380" t="s">
        <v>1712</v>
      </c>
      <c r="D1155" s="380" t="s">
        <v>1890</v>
      </c>
      <c r="E1155" s="380" t="s">
        <v>322</v>
      </c>
      <c r="F1155" s="380" t="s">
        <v>1611</v>
      </c>
      <c r="G1155" s="380" t="s">
        <v>1277</v>
      </c>
      <c r="H1155" s="380" t="s">
        <v>4084</v>
      </c>
      <c r="I1155" s="380" t="s">
        <v>1307</v>
      </c>
      <c r="J1155" s="380" t="s">
        <v>3938</v>
      </c>
      <c r="K1155" s="380" t="s">
        <v>3939</v>
      </c>
      <c r="L1155" s="406">
        <v>0</v>
      </c>
    </row>
    <row r="1156" spans="1:12" ht="15" customHeight="1" x14ac:dyDescent="0.25">
      <c r="A1156" s="380" t="s">
        <v>4085</v>
      </c>
      <c r="B1156" s="380" t="s">
        <v>1879</v>
      </c>
      <c r="C1156" s="380" t="s">
        <v>1712</v>
      </c>
      <c r="D1156" s="380" t="s">
        <v>1895</v>
      </c>
      <c r="E1156" s="380" t="s">
        <v>322</v>
      </c>
      <c r="F1156" s="380" t="s">
        <v>1611</v>
      </c>
      <c r="G1156" s="380" t="s">
        <v>1277</v>
      </c>
      <c r="H1156" s="380" t="s">
        <v>4086</v>
      </c>
      <c r="I1156" s="380" t="s">
        <v>1897</v>
      </c>
      <c r="J1156" s="380"/>
      <c r="K1156" s="380"/>
      <c r="L1156" s="404">
        <v>1</v>
      </c>
    </row>
    <row r="1157" spans="1:12" ht="15" customHeight="1" x14ac:dyDescent="0.25">
      <c r="A1157" s="380" t="s">
        <v>4087</v>
      </c>
      <c r="B1157" s="380" t="s">
        <v>1879</v>
      </c>
      <c r="C1157" s="380" t="s">
        <v>1712</v>
      </c>
      <c r="D1157" s="380" t="s">
        <v>1900</v>
      </c>
      <c r="E1157" s="380" t="s">
        <v>322</v>
      </c>
      <c r="F1157" s="380" t="s">
        <v>1611</v>
      </c>
      <c r="G1157" s="380" t="s">
        <v>1277</v>
      </c>
      <c r="H1157" s="380" t="s">
        <v>4088</v>
      </c>
      <c r="I1157" s="380" t="s">
        <v>1902</v>
      </c>
      <c r="J1157" s="380"/>
      <c r="K1157" s="380"/>
      <c r="L1157" s="404">
        <v>0.05</v>
      </c>
    </row>
    <row r="1158" spans="1:12" ht="15" customHeight="1" x14ac:dyDescent="0.25">
      <c r="A1158" s="380" t="s">
        <v>4089</v>
      </c>
      <c r="B1158" s="380" t="s">
        <v>1879</v>
      </c>
      <c r="C1158" s="380" t="s">
        <v>1712</v>
      </c>
      <c r="D1158" s="380" t="s">
        <v>1905</v>
      </c>
      <c r="E1158" s="380" t="s">
        <v>322</v>
      </c>
      <c r="F1158" s="380" t="s">
        <v>1611</v>
      </c>
      <c r="G1158" s="380" t="s">
        <v>1277</v>
      </c>
      <c r="H1158" s="380" t="s">
        <v>4090</v>
      </c>
      <c r="I1158" s="380" t="s">
        <v>1902</v>
      </c>
      <c r="J1158" s="380"/>
      <c r="K1158" s="380"/>
      <c r="L1158" s="404">
        <v>0.01</v>
      </c>
    </row>
    <row r="1159" spans="1:12" ht="15" customHeight="1" x14ac:dyDescent="0.25">
      <c r="A1159" s="380" t="s">
        <v>4091</v>
      </c>
      <c r="B1159" s="380" t="s">
        <v>1879</v>
      </c>
      <c r="C1159" s="380" t="s">
        <v>1712</v>
      </c>
      <c r="D1159" s="380" t="s">
        <v>1909</v>
      </c>
      <c r="E1159" s="380" t="s">
        <v>322</v>
      </c>
      <c r="F1159" s="380" t="s">
        <v>1611</v>
      </c>
      <c r="G1159" s="380" t="s">
        <v>1277</v>
      </c>
      <c r="H1159" s="380" t="s">
        <v>4092</v>
      </c>
      <c r="I1159" s="380" t="s">
        <v>1902</v>
      </c>
      <c r="J1159" s="380"/>
      <c r="K1159" s="380"/>
      <c r="L1159" s="404">
        <v>0.1</v>
      </c>
    </row>
    <row r="1160" spans="1:12" ht="15" customHeight="1" x14ac:dyDescent="0.25">
      <c r="A1160" s="380" t="s">
        <v>4093</v>
      </c>
      <c r="B1160" s="380" t="s">
        <v>1879</v>
      </c>
      <c r="C1160" s="380" t="s">
        <v>1712</v>
      </c>
      <c r="D1160" s="380" t="s">
        <v>1317</v>
      </c>
      <c r="E1160" s="380" t="s">
        <v>322</v>
      </c>
      <c r="F1160" s="380" t="s">
        <v>1611</v>
      </c>
      <c r="G1160" s="380" t="s">
        <v>757</v>
      </c>
      <c r="H1160" s="380" t="s">
        <v>4094</v>
      </c>
      <c r="I1160" s="380" t="s">
        <v>1914</v>
      </c>
      <c r="J1160" s="380" t="s">
        <v>3950</v>
      </c>
      <c r="K1160" s="380" t="s">
        <v>1916</v>
      </c>
      <c r="L1160" s="403">
        <v>0</v>
      </c>
    </row>
    <row r="1161" spans="1:12" ht="15" customHeight="1" x14ac:dyDescent="0.25">
      <c r="A1161" s="380" t="s">
        <v>4095</v>
      </c>
      <c r="B1161" s="380" t="s">
        <v>1879</v>
      </c>
      <c r="C1161" s="380" t="s">
        <v>1712</v>
      </c>
      <c r="D1161" s="380" t="s">
        <v>1317</v>
      </c>
      <c r="E1161" s="380" t="s">
        <v>322</v>
      </c>
      <c r="F1161" s="380" t="s">
        <v>1611</v>
      </c>
      <c r="G1161" s="380" t="s">
        <v>754</v>
      </c>
      <c r="H1161" s="380" t="s">
        <v>4096</v>
      </c>
      <c r="I1161" s="380" t="s">
        <v>1914</v>
      </c>
      <c r="J1161" s="380" t="s">
        <v>3950</v>
      </c>
      <c r="K1161" s="380" t="s">
        <v>1916</v>
      </c>
      <c r="L1161" s="403">
        <v>1</v>
      </c>
    </row>
    <row r="1162" spans="1:12" ht="15" customHeight="1" x14ac:dyDescent="0.25">
      <c r="A1162" s="380" t="s">
        <v>4097</v>
      </c>
      <c r="B1162" s="380" t="s">
        <v>1879</v>
      </c>
      <c r="C1162" s="380" t="s">
        <v>1712</v>
      </c>
      <c r="D1162" s="380" t="s">
        <v>1317</v>
      </c>
      <c r="E1162" s="380" t="s">
        <v>322</v>
      </c>
      <c r="F1162" s="380" t="s">
        <v>1611</v>
      </c>
      <c r="G1162" s="380" t="s">
        <v>1292</v>
      </c>
      <c r="H1162" s="380" t="s">
        <v>4098</v>
      </c>
      <c r="I1162" s="380" t="s">
        <v>1914</v>
      </c>
      <c r="J1162" s="380" t="s">
        <v>3950</v>
      </c>
      <c r="K1162" s="380" t="s">
        <v>1916</v>
      </c>
      <c r="L1162" s="403">
        <v>0</v>
      </c>
    </row>
    <row r="1163" spans="1:12" ht="15" customHeight="1" x14ac:dyDescent="0.25">
      <c r="A1163" s="380" t="s">
        <v>4099</v>
      </c>
      <c r="B1163" s="380" t="s">
        <v>1879</v>
      </c>
      <c r="C1163" s="380" t="s">
        <v>1712</v>
      </c>
      <c r="D1163" s="380" t="s">
        <v>1317</v>
      </c>
      <c r="E1163" s="380" t="s">
        <v>322</v>
      </c>
      <c r="F1163" s="380" t="s">
        <v>1611</v>
      </c>
      <c r="G1163" s="380" t="s">
        <v>762</v>
      </c>
      <c r="H1163" s="380" t="s">
        <v>4100</v>
      </c>
      <c r="I1163" s="380" t="s">
        <v>1914</v>
      </c>
      <c r="J1163" s="380" t="s">
        <v>3950</v>
      </c>
      <c r="K1163" s="380" t="s">
        <v>1916</v>
      </c>
      <c r="L1163" s="403">
        <v>0</v>
      </c>
    </row>
    <row r="1164" spans="1:12" ht="15" customHeight="1" x14ac:dyDescent="0.25">
      <c r="A1164" s="380" t="s">
        <v>4101</v>
      </c>
      <c r="B1164" s="380" t="s">
        <v>1879</v>
      </c>
      <c r="C1164" s="380" t="s">
        <v>1712</v>
      </c>
      <c r="D1164" s="380" t="s">
        <v>1317</v>
      </c>
      <c r="E1164" s="380" t="s">
        <v>322</v>
      </c>
      <c r="F1164" s="380" t="s">
        <v>1611</v>
      </c>
      <c r="G1164" s="380" t="s">
        <v>1295</v>
      </c>
      <c r="H1164" s="380" t="s">
        <v>4102</v>
      </c>
      <c r="I1164" s="380" t="s">
        <v>1914</v>
      </c>
      <c r="J1164" s="380" t="s">
        <v>3950</v>
      </c>
      <c r="K1164" s="380" t="s">
        <v>1916</v>
      </c>
      <c r="L1164" s="403">
        <v>0</v>
      </c>
    </row>
    <row r="1165" spans="1:12" ht="15" customHeight="1" x14ac:dyDescent="0.25">
      <c r="A1165" s="380" t="s">
        <v>4103</v>
      </c>
      <c r="B1165" s="380" t="s">
        <v>1879</v>
      </c>
      <c r="C1165" s="380" t="s">
        <v>1712</v>
      </c>
      <c r="D1165" s="380" t="s">
        <v>1317</v>
      </c>
      <c r="E1165" s="380" t="s">
        <v>322</v>
      </c>
      <c r="F1165" s="380" t="s">
        <v>1611</v>
      </c>
      <c r="G1165" s="380" t="s">
        <v>1297</v>
      </c>
      <c r="H1165" s="380" t="s">
        <v>4104</v>
      </c>
      <c r="I1165" s="380" t="s">
        <v>1914</v>
      </c>
      <c r="J1165" s="380" t="s">
        <v>3950</v>
      </c>
      <c r="K1165" s="380" t="s">
        <v>1916</v>
      </c>
      <c r="L1165" s="403">
        <v>0</v>
      </c>
    </row>
    <row r="1166" spans="1:12" ht="15" customHeight="1" x14ac:dyDescent="0.25">
      <c r="A1166" s="380" t="s">
        <v>4105</v>
      </c>
      <c r="B1166" s="380" t="s">
        <v>1879</v>
      </c>
      <c r="C1166" s="380" t="s">
        <v>1712</v>
      </c>
      <c r="D1166" s="380" t="s">
        <v>1317</v>
      </c>
      <c r="E1166" s="380" t="s">
        <v>322</v>
      </c>
      <c r="F1166" s="380" t="s">
        <v>1611</v>
      </c>
      <c r="G1166" s="380" t="s">
        <v>1299</v>
      </c>
      <c r="H1166" s="380" t="s">
        <v>4106</v>
      </c>
      <c r="I1166" s="380" t="s">
        <v>1914</v>
      </c>
      <c r="J1166" s="380" t="s">
        <v>3950</v>
      </c>
      <c r="K1166" s="380" t="s">
        <v>1916</v>
      </c>
      <c r="L1166" s="403">
        <v>0</v>
      </c>
    </row>
    <row r="1167" spans="1:12" ht="15" customHeight="1" x14ac:dyDescent="0.25">
      <c r="A1167" s="380" t="s">
        <v>4107</v>
      </c>
      <c r="B1167" s="380" t="s">
        <v>1879</v>
      </c>
      <c r="C1167" s="380" t="s">
        <v>1712</v>
      </c>
      <c r="D1167" s="380" t="s">
        <v>1317</v>
      </c>
      <c r="E1167" s="380" t="s">
        <v>322</v>
      </c>
      <c r="F1167" s="380" t="s">
        <v>1611</v>
      </c>
      <c r="G1167" s="380" t="s">
        <v>1301</v>
      </c>
      <c r="H1167" s="380" t="s">
        <v>4108</v>
      </c>
      <c r="I1167" s="380" t="s">
        <v>1914</v>
      </c>
      <c r="J1167" s="380" t="s">
        <v>3950</v>
      </c>
      <c r="K1167" s="380" t="s">
        <v>1916</v>
      </c>
      <c r="L1167" s="403">
        <v>0</v>
      </c>
    </row>
    <row r="1168" spans="1:12" ht="15" customHeight="1" x14ac:dyDescent="0.25">
      <c r="A1168" s="380" t="s">
        <v>4109</v>
      </c>
      <c r="B1168" s="380" t="s">
        <v>1879</v>
      </c>
      <c r="C1168" s="380" t="s">
        <v>1712</v>
      </c>
      <c r="D1168" s="380" t="s">
        <v>1328</v>
      </c>
      <c r="E1168" s="380" t="s">
        <v>322</v>
      </c>
      <c r="F1168" s="380" t="s">
        <v>1611</v>
      </c>
      <c r="G1168" s="380" t="s">
        <v>757</v>
      </c>
      <c r="H1168" s="380" t="s">
        <v>4110</v>
      </c>
      <c r="I1168" s="380" t="s">
        <v>1914</v>
      </c>
      <c r="J1168" s="380"/>
      <c r="K1168" s="380"/>
      <c r="L1168" s="403">
        <v>3</v>
      </c>
    </row>
    <row r="1169" spans="1:12" ht="15" customHeight="1" x14ac:dyDescent="0.25">
      <c r="A1169" s="380" t="s">
        <v>4111</v>
      </c>
      <c r="B1169" s="380" t="s">
        <v>1879</v>
      </c>
      <c r="C1169" s="380" t="s">
        <v>1712</v>
      </c>
      <c r="D1169" s="380" t="s">
        <v>1328</v>
      </c>
      <c r="E1169" s="380" t="s">
        <v>322</v>
      </c>
      <c r="F1169" s="380" t="s">
        <v>1611</v>
      </c>
      <c r="G1169" s="380" t="s">
        <v>754</v>
      </c>
      <c r="H1169" s="380" t="s">
        <v>4112</v>
      </c>
      <c r="I1169" s="380" t="s">
        <v>1914</v>
      </c>
      <c r="J1169" s="380"/>
      <c r="K1169" s="380"/>
      <c r="L1169" s="403">
        <v>0</v>
      </c>
    </row>
    <row r="1170" spans="1:12" ht="15" customHeight="1" x14ac:dyDescent="0.25">
      <c r="A1170" s="380" t="s">
        <v>4113</v>
      </c>
      <c r="B1170" s="380" t="s">
        <v>1879</v>
      </c>
      <c r="C1170" s="380" t="s">
        <v>1712</v>
      </c>
      <c r="D1170" s="380" t="s">
        <v>1328</v>
      </c>
      <c r="E1170" s="380" t="s">
        <v>322</v>
      </c>
      <c r="F1170" s="380" t="s">
        <v>1611</v>
      </c>
      <c r="G1170" s="380" t="s">
        <v>1292</v>
      </c>
      <c r="H1170" s="380" t="s">
        <v>4114</v>
      </c>
      <c r="I1170" s="380" t="s">
        <v>1914</v>
      </c>
      <c r="J1170" s="380"/>
      <c r="K1170" s="380"/>
      <c r="L1170" s="403">
        <v>0</v>
      </c>
    </row>
    <row r="1171" spans="1:12" ht="15" customHeight="1" x14ac:dyDescent="0.25">
      <c r="A1171" s="380" t="s">
        <v>4115</v>
      </c>
      <c r="B1171" s="380" t="s">
        <v>1879</v>
      </c>
      <c r="C1171" s="380" t="s">
        <v>1712</v>
      </c>
      <c r="D1171" s="380" t="s">
        <v>1328</v>
      </c>
      <c r="E1171" s="380" t="s">
        <v>322</v>
      </c>
      <c r="F1171" s="380" t="s">
        <v>1611</v>
      </c>
      <c r="G1171" s="380" t="s">
        <v>762</v>
      </c>
      <c r="H1171" s="380" t="s">
        <v>4116</v>
      </c>
      <c r="I1171" s="380" t="s">
        <v>1914</v>
      </c>
      <c r="J1171" s="380"/>
      <c r="K1171" s="380"/>
      <c r="L1171" s="403">
        <v>0</v>
      </c>
    </row>
    <row r="1172" spans="1:12" ht="15" customHeight="1" x14ac:dyDescent="0.25">
      <c r="A1172" s="380" t="s">
        <v>4117</v>
      </c>
      <c r="B1172" s="380" t="s">
        <v>1879</v>
      </c>
      <c r="C1172" s="380" t="s">
        <v>1712</v>
      </c>
      <c r="D1172" s="380" t="s">
        <v>1328</v>
      </c>
      <c r="E1172" s="380" t="s">
        <v>322</v>
      </c>
      <c r="F1172" s="380" t="s">
        <v>1611</v>
      </c>
      <c r="G1172" s="380" t="s">
        <v>1295</v>
      </c>
      <c r="H1172" s="380" t="s">
        <v>4118</v>
      </c>
      <c r="I1172" s="380" t="s">
        <v>1914</v>
      </c>
      <c r="J1172" s="380"/>
      <c r="K1172" s="380"/>
      <c r="L1172" s="403">
        <v>0</v>
      </c>
    </row>
    <row r="1173" spans="1:12" ht="15" customHeight="1" x14ac:dyDescent="0.25">
      <c r="A1173" s="380" t="s">
        <v>4119</v>
      </c>
      <c r="B1173" s="380" t="s">
        <v>1879</v>
      </c>
      <c r="C1173" s="380" t="s">
        <v>1712</v>
      </c>
      <c r="D1173" s="380" t="s">
        <v>1328</v>
      </c>
      <c r="E1173" s="380" t="s">
        <v>322</v>
      </c>
      <c r="F1173" s="380" t="s">
        <v>1611</v>
      </c>
      <c r="G1173" s="380" t="s">
        <v>1297</v>
      </c>
      <c r="H1173" s="380" t="s">
        <v>4120</v>
      </c>
      <c r="I1173" s="380" t="s">
        <v>1914</v>
      </c>
      <c r="J1173" s="380"/>
      <c r="K1173" s="380"/>
      <c r="L1173" s="403">
        <v>0</v>
      </c>
    </row>
    <row r="1174" spans="1:12" ht="15" customHeight="1" x14ac:dyDescent="0.25">
      <c r="A1174" s="380" t="s">
        <v>4121</v>
      </c>
      <c r="B1174" s="380" t="s">
        <v>1879</v>
      </c>
      <c r="C1174" s="380" t="s">
        <v>1712</v>
      </c>
      <c r="D1174" s="380" t="s">
        <v>1328</v>
      </c>
      <c r="E1174" s="380" t="s">
        <v>322</v>
      </c>
      <c r="F1174" s="380" t="s">
        <v>1611</v>
      </c>
      <c r="G1174" s="380" t="s">
        <v>1299</v>
      </c>
      <c r="H1174" s="380" t="s">
        <v>4122</v>
      </c>
      <c r="I1174" s="380" t="s">
        <v>1914</v>
      </c>
      <c r="J1174" s="380"/>
      <c r="K1174" s="380"/>
      <c r="L1174" s="403">
        <v>0</v>
      </c>
    </row>
    <row r="1175" spans="1:12" ht="15" customHeight="1" x14ac:dyDescent="0.25">
      <c r="A1175" s="380" t="s">
        <v>4123</v>
      </c>
      <c r="B1175" s="380" t="s">
        <v>1879</v>
      </c>
      <c r="C1175" s="380" t="s">
        <v>1712</v>
      </c>
      <c r="D1175" s="380" t="s">
        <v>1328</v>
      </c>
      <c r="E1175" s="380" t="s">
        <v>322</v>
      </c>
      <c r="F1175" s="380" t="s">
        <v>1611</v>
      </c>
      <c r="G1175" s="380" t="s">
        <v>1301</v>
      </c>
      <c r="H1175" s="380" t="s">
        <v>4124</v>
      </c>
      <c r="I1175" s="380" t="s">
        <v>1914</v>
      </c>
      <c r="J1175" s="380"/>
      <c r="K1175" s="380"/>
      <c r="L1175" s="403">
        <v>0</v>
      </c>
    </row>
    <row r="1176" spans="1:12" ht="15" customHeight="1" x14ac:dyDescent="0.25">
      <c r="A1176" s="380" t="s">
        <v>4125</v>
      </c>
      <c r="B1176" s="380" t="s">
        <v>1879</v>
      </c>
      <c r="C1176" s="380" t="s">
        <v>1712</v>
      </c>
      <c r="D1176" s="380" t="s">
        <v>1338</v>
      </c>
      <c r="E1176" s="380" t="s">
        <v>322</v>
      </c>
      <c r="F1176" s="380" t="s">
        <v>1611</v>
      </c>
      <c r="G1176" s="380" t="s">
        <v>1339</v>
      </c>
      <c r="H1176" s="380" t="s">
        <v>4126</v>
      </c>
      <c r="I1176" s="380" t="s">
        <v>1914</v>
      </c>
      <c r="J1176" s="380"/>
      <c r="K1176" s="380"/>
      <c r="L1176" s="403">
        <v>3.5</v>
      </c>
    </row>
    <row r="1177" spans="1:12" ht="15" customHeight="1" x14ac:dyDescent="0.25">
      <c r="A1177" s="380" t="s">
        <v>4127</v>
      </c>
      <c r="B1177" s="380" t="s">
        <v>1879</v>
      </c>
      <c r="C1177" s="380" t="s">
        <v>1712</v>
      </c>
      <c r="D1177" s="380" t="s">
        <v>1966</v>
      </c>
      <c r="E1177" s="380" t="s">
        <v>322</v>
      </c>
      <c r="F1177" s="380" t="s">
        <v>1611</v>
      </c>
      <c r="G1177" s="380" t="s">
        <v>1277</v>
      </c>
      <c r="H1177" s="380" t="s">
        <v>4128</v>
      </c>
      <c r="I1177" s="380" t="s">
        <v>1746</v>
      </c>
      <c r="J1177" s="380"/>
      <c r="K1177" s="380"/>
      <c r="L1177" s="403">
        <v>0</v>
      </c>
    </row>
    <row r="1178" spans="1:12" ht="15" customHeight="1" x14ac:dyDescent="0.25">
      <c r="A1178" s="380" t="s">
        <v>4129</v>
      </c>
      <c r="B1178" s="380" t="s">
        <v>1879</v>
      </c>
      <c r="C1178" s="380" t="s">
        <v>1712</v>
      </c>
      <c r="D1178" s="380" t="s">
        <v>1971</v>
      </c>
      <c r="E1178" s="380" t="s">
        <v>322</v>
      </c>
      <c r="F1178" s="380" t="s">
        <v>1611</v>
      </c>
      <c r="G1178" s="380" t="s">
        <v>1277</v>
      </c>
      <c r="H1178" s="380" t="s">
        <v>4130</v>
      </c>
      <c r="I1178" s="380" t="s">
        <v>1566</v>
      </c>
      <c r="J1178" s="380"/>
      <c r="K1178" s="380"/>
      <c r="L1178" s="403">
        <v>0</v>
      </c>
    </row>
    <row r="1179" spans="1:12" ht="15" customHeight="1" x14ac:dyDescent="0.25">
      <c r="A1179" s="380" t="s">
        <v>4131</v>
      </c>
      <c r="B1179" s="380" t="s">
        <v>1884</v>
      </c>
      <c r="C1179" s="380" t="s">
        <v>1712</v>
      </c>
      <c r="D1179" s="380" t="s">
        <v>1890</v>
      </c>
      <c r="E1179" s="380" t="s">
        <v>322</v>
      </c>
      <c r="F1179" s="380" t="s">
        <v>1611</v>
      </c>
      <c r="G1179" s="380" t="s">
        <v>1277</v>
      </c>
      <c r="H1179" s="380" t="s">
        <v>4132</v>
      </c>
      <c r="I1179" s="380" t="s">
        <v>1307</v>
      </c>
      <c r="J1179" s="380" t="s">
        <v>3938</v>
      </c>
      <c r="K1179" s="380" t="s">
        <v>3939</v>
      </c>
      <c r="L1179" s="406">
        <v>12</v>
      </c>
    </row>
    <row r="1180" spans="1:12" ht="15" customHeight="1" x14ac:dyDescent="0.25">
      <c r="A1180" s="380" t="s">
        <v>4133</v>
      </c>
      <c r="B1180" s="380" t="s">
        <v>1884</v>
      </c>
      <c r="C1180" s="380" t="s">
        <v>1712</v>
      </c>
      <c r="D1180" s="380" t="s">
        <v>1895</v>
      </c>
      <c r="E1180" s="380" t="s">
        <v>322</v>
      </c>
      <c r="F1180" s="380" t="s">
        <v>1611</v>
      </c>
      <c r="G1180" s="380" t="s">
        <v>1277</v>
      </c>
      <c r="H1180" s="380" t="s">
        <v>4134</v>
      </c>
      <c r="I1180" s="380" t="s">
        <v>1897</v>
      </c>
      <c r="J1180" s="380"/>
      <c r="K1180" s="380"/>
      <c r="L1180" s="404">
        <v>1</v>
      </c>
    </row>
    <row r="1181" spans="1:12" ht="15" customHeight="1" x14ac:dyDescent="0.25">
      <c r="A1181" s="380" t="s">
        <v>4135</v>
      </c>
      <c r="B1181" s="380" t="s">
        <v>1884</v>
      </c>
      <c r="C1181" s="380" t="s">
        <v>1712</v>
      </c>
      <c r="D1181" s="380" t="s">
        <v>1900</v>
      </c>
      <c r="E1181" s="380" t="s">
        <v>322</v>
      </c>
      <c r="F1181" s="380" t="s">
        <v>1611</v>
      </c>
      <c r="G1181" s="380" t="s">
        <v>1277</v>
      </c>
      <c r="H1181" s="380" t="s">
        <v>4136</v>
      </c>
      <c r="I1181" s="380" t="s">
        <v>1902</v>
      </c>
      <c r="J1181" s="380"/>
      <c r="K1181" s="380"/>
      <c r="L1181" s="404">
        <v>0.2</v>
      </c>
    </row>
    <row r="1182" spans="1:12" ht="15" customHeight="1" x14ac:dyDescent="0.25">
      <c r="A1182" s="380" t="s">
        <v>4137</v>
      </c>
      <c r="B1182" s="380" t="s">
        <v>1884</v>
      </c>
      <c r="C1182" s="380" t="s">
        <v>1712</v>
      </c>
      <c r="D1182" s="380" t="s">
        <v>1905</v>
      </c>
      <c r="E1182" s="380" t="s">
        <v>322</v>
      </c>
      <c r="F1182" s="380" t="s">
        <v>1611</v>
      </c>
      <c r="G1182" s="380" t="s">
        <v>1277</v>
      </c>
      <c r="H1182" s="380" t="s">
        <v>4138</v>
      </c>
      <c r="I1182" s="380" t="s">
        <v>1902</v>
      </c>
      <c r="J1182" s="380"/>
      <c r="K1182" s="380"/>
      <c r="L1182" s="404">
        <v>0.05</v>
      </c>
    </row>
    <row r="1183" spans="1:12" ht="15" customHeight="1" x14ac:dyDescent="0.25">
      <c r="A1183" s="380" t="s">
        <v>4139</v>
      </c>
      <c r="B1183" s="380" t="s">
        <v>1884</v>
      </c>
      <c r="C1183" s="380" t="s">
        <v>1712</v>
      </c>
      <c r="D1183" s="380" t="s">
        <v>1909</v>
      </c>
      <c r="E1183" s="380" t="s">
        <v>322</v>
      </c>
      <c r="F1183" s="380" t="s">
        <v>1611</v>
      </c>
      <c r="G1183" s="380" t="s">
        <v>1277</v>
      </c>
      <c r="H1183" s="380" t="s">
        <v>4140</v>
      </c>
      <c r="I1183" s="380" t="s">
        <v>1902</v>
      </c>
      <c r="J1183" s="380"/>
      <c r="K1183" s="380"/>
      <c r="L1183" s="404">
        <v>0.02</v>
      </c>
    </row>
    <row r="1184" spans="1:12" ht="15" customHeight="1" x14ac:dyDescent="0.25">
      <c r="A1184" s="380" t="s">
        <v>4141</v>
      </c>
      <c r="B1184" s="380" t="s">
        <v>1884</v>
      </c>
      <c r="C1184" s="380" t="s">
        <v>1712</v>
      </c>
      <c r="D1184" s="380" t="s">
        <v>1317</v>
      </c>
      <c r="E1184" s="380" t="s">
        <v>322</v>
      </c>
      <c r="F1184" s="380" t="s">
        <v>1611</v>
      </c>
      <c r="G1184" s="380" t="s">
        <v>757</v>
      </c>
      <c r="H1184" s="380" t="s">
        <v>4142</v>
      </c>
      <c r="I1184" s="380" t="s">
        <v>1914</v>
      </c>
      <c r="J1184" s="380" t="s">
        <v>3950</v>
      </c>
      <c r="K1184" s="380" t="s">
        <v>1916</v>
      </c>
      <c r="L1184" s="403">
        <v>2</v>
      </c>
    </row>
    <row r="1185" spans="1:12" ht="15" customHeight="1" x14ac:dyDescent="0.25">
      <c r="A1185" s="380" t="s">
        <v>4143</v>
      </c>
      <c r="B1185" s="380" t="s">
        <v>1884</v>
      </c>
      <c r="C1185" s="380" t="s">
        <v>1712</v>
      </c>
      <c r="D1185" s="380" t="s">
        <v>1317</v>
      </c>
      <c r="E1185" s="380" t="s">
        <v>322</v>
      </c>
      <c r="F1185" s="380" t="s">
        <v>1611</v>
      </c>
      <c r="G1185" s="380" t="s">
        <v>754</v>
      </c>
      <c r="H1185" s="380" t="s">
        <v>4144</v>
      </c>
      <c r="I1185" s="380" t="s">
        <v>1914</v>
      </c>
      <c r="J1185" s="380" t="s">
        <v>3950</v>
      </c>
      <c r="K1185" s="380" t="s">
        <v>1916</v>
      </c>
      <c r="L1185" s="403">
        <v>0.3</v>
      </c>
    </row>
    <row r="1186" spans="1:12" ht="15" customHeight="1" x14ac:dyDescent="0.25">
      <c r="A1186" s="380" t="s">
        <v>4145</v>
      </c>
      <c r="B1186" s="380" t="s">
        <v>1884</v>
      </c>
      <c r="C1186" s="380" t="s">
        <v>1712</v>
      </c>
      <c r="D1186" s="380" t="s">
        <v>1317</v>
      </c>
      <c r="E1186" s="380" t="s">
        <v>322</v>
      </c>
      <c r="F1186" s="380" t="s">
        <v>1611</v>
      </c>
      <c r="G1186" s="380" t="s">
        <v>1292</v>
      </c>
      <c r="H1186" s="380" t="s">
        <v>4146</v>
      </c>
      <c r="I1186" s="380" t="s">
        <v>1914</v>
      </c>
      <c r="J1186" s="380" t="s">
        <v>3950</v>
      </c>
      <c r="K1186" s="380" t="s">
        <v>1916</v>
      </c>
      <c r="L1186" s="403">
        <v>0</v>
      </c>
    </row>
    <row r="1187" spans="1:12" ht="15" customHeight="1" x14ac:dyDescent="0.25">
      <c r="A1187" s="380" t="s">
        <v>4147</v>
      </c>
      <c r="B1187" s="380" t="s">
        <v>1884</v>
      </c>
      <c r="C1187" s="380" t="s">
        <v>1712</v>
      </c>
      <c r="D1187" s="380" t="s">
        <v>1317</v>
      </c>
      <c r="E1187" s="380" t="s">
        <v>322</v>
      </c>
      <c r="F1187" s="380" t="s">
        <v>1611</v>
      </c>
      <c r="G1187" s="380" t="s">
        <v>762</v>
      </c>
      <c r="H1187" s="380" t="s">
        <v>4148</v>
      </c>
      <c r="I1187" s="380" t="s">
        <v>1914</v>
      </c>
      <c r="J1187" s="380" t="s">
        <v>3950</v>
      </c>
      <c r="K1187" s="380" t="s">
        <v>1916</v>
      </c>
      <c r="L1187" s="403">
        <v>0</v>
      </c>
    </row>
    <row r="1188" spans="1:12" ht="15" customHeight="1" x14ac:dyDescent="0.25">
      <c r="A1188" s="380" t="s">
        <v>4149</v>
      </c>
      <c r="B1188" s="380" t="s">
        <v>1884</v>
      </c>
      <c r="C1188" s="380" t="s">
        <v>1712</v>
      </c>
      <c r="D1188" s="380" t="s">
        <v>1317</v>
      </c>
      <c r="E1188" s="380" t="s">
        <v>322</v>
      </c>
      <c r="F1188" s="380" t="s">
        <v>1611</v>
      </c>
      <c r="G1188" s="380" t="s">
        <v>1295</v>
      </c>
      <c r="H1188" s="380" t="s">
        <v>4150</v>
      </c>
      <c r="I1188" s="380" t="s">
        <v>1914</v>
      </c>
      <c r="J1188" s="380" t="s">
        <v>3950</v>
      </c>
      <c r="K1188" s="380" t="s">
        <v>1916</v>
      </c>
      <c r="L1188" s="403">
        <v>0</v>
      </c>
    </row>
    <row r="1189" spans="1:12" ht="15" customHeight="1" x14ac:dyDescent="0.25">
      <c r="A1189" s="380" t="s">
        <v>4151</v>
      </c>
      <c r="B1189" s="380" t="s">
        <v>1884</v>
      </c>
      <c r="C1189" s="380" t="s">
        <v>1712</v>
      </c>
      <c r="D1189" s="380" t="s">
        <v>1317</v>
      </c>
      <c r="E1189" s="380" t="s">
        <v>322</v>
      </c>
      <c r="F1189" s="380" t="s">
        <v>1611</v>
      </c>
      <c r="G1189" s="380" t="s">
        <v>1297</v>
      </c>
      <c r="H1189" s="380" t="s">
        <v>4152</v>
      </c>
      <c r="I1189" s="380" t="s">
        <v>1914</v>
      </c>
      <c r="J1189" s="380" t="s">
        <v>3950</v>
      </c>
      <c r="K1189" s="380" t="s">
        <v>1916</v>
      </c>
      <c r="L1189" s="403">
        <v>0</v>
      </c>
    </row>
    <row r="1190" spans="1:12" ht="15" customHeight="1" x14ac:dyDescent="0.25">
      <c r="A1190" s="380" t="s">
        <v>4153</v>
      </c>
      <c r="B1190" s="380" t="s">
        <v>1884</v>
      </c>
      <c r="C1190" s="380" t="s">
        <v>1712</v>
      </c>
      <c r="D1190" s="380" t="s">
        <v>1317</v>
      </c>
      <c r="E1190" s="380" t="s">
        <v>322</v>
      </c>
      <c r="F1190" s="380" t="s">
        <v>1611</v>
      </c>
      <c r="G1190" s="380" t="s">
        <v>1299</v>
      </c>
      <c r="H1190" s="380" t="s">
        <v>4154</v>
      </c>
      <c r="I1190" s="380" t="s">
        <v>1914</v>
      </c>
      <c r="J1190" s="380" t="s">
        <v>3950</v>
      </c>
      <c r="K1190" s="380" t="s">
        <v>1916</v>
      </c>
      <c r="L1190" s="403">
        <v>0</v>
      </c>
    </row>
    <row r="1191" spans="1:12" ht="15" customHeight="1" x14ac:dyDescent="0.25">
      <c r="A1191" s="380" t="s">
        <v>4155</v>
      </c>
      <c r="B1191" s="380" t="s">
        <v>1884</v>
      </c>
      <c r="C1191" s="380" t="s">
        <v>1712</v>
      </c>
      <c r="D1191" s="380" t="s">
        <v>1317</v>
      </c>
      <c r="E1191" s="380" t="s">
        <v>322</v>
      </c>
      <c r="F1191" s="380" t="s">
        <v>1611</v>
      </c>
      <c r="G1191" s="380" t="s">
        <v>1301</v>
      </c>
      <c r="H1191" s="380" t="s">
        <v>4156</v>
      </c>
      <c r="I1191" s="380" t="s">
        <v>1914</v>
      </c>
      <c r="J1191" s="380" t="s">
        <v>3950</v>
      </c>
      <c r="K1191" s="380" t="s">
        <v>1916</v>
      </c>
      <c r="L1191" s="403">
        <v>0</v>
      </c>
    </row>
    <row r="1192" spans="1:12" ht="15" customHeight="1" x14ac:dyDescent="0.25">
      <c r="A1192" s="380" t="s">
        <v>4157</v>
      </c>
      <c r="B1192" s="380" t="s">
        <v>1884</v>
      </c>
      <c r="C1192" s="380" t="s">
        <v>1712</v>
      </c>
      <c r="D1192" s="380" t="s">
        <v>1328</v>
      </c>
      <c r="E1192" s="380" t="s">
        <v>322</v>
      </c>
      <c r="F1192" s="380" t="s">
        <v>1611</v>
      </c>
      <c r="G1192" s="380" t="s">
        <v>757</v>
      </c>
      <c r="H1192" s="380" t="s">
        <v>4158</v>
      </c>
      <c r="I1192" s="380" t="s">
        <v>1914</v>
      </c>
      <c r="J1192" s="380"/>
      <c r="K1192" s="380"/>
      <c r="L1192" s="403">
        <v>10</v>
      </c>
    </row>
    <row r="1193" spans="1:12" ht="15" customHeight="1" x14ac:dyDescent="0.25">
      <c r="A1193" s="380" t="s">
        <v>4159</v>
      </c>
      <c r="B1193" s="380" t="s">
        <v>1884</v>
      </c>
      <c r="C1193" s="380" t="s">
        <v>1712</v>
      </c>
      <c r="D1193" s="380" t="s">
        <v>1328</v>
      </c>
      <c r="E1193" s="380" t="s">
        <v>322</v>
      </c>
      <c r="F1193" s="380" t="s">
        <v>1611</v>
      </c>
      <c r="G1193" s="380" t="s">
        <v>754</v>
      </c>
      <c r="H1193" s="380" t="s">
        <v>4160</v>
      </c>
      <c r="I1193" s="380" t="s">
        <v>1914</v>
      </c>
      <c r="J1193" s="380"/>
      <c r="K1193" s="380"/>
      <c r="L1193" s="403">
        <v>0</v>
      </c>
    </row>
    <row r="1194" spans="1:12" ht="15" customHeight="1" x14ac:dyDescent="0.25">
      <c r="A1194" s="380" t="s">
        <v>4161</v>
      </c>
      <c r="B1194" s="380" t="s">
        <v>1884</v>
      </c>
      <c r="C1194" s="380" t="s">
        <v>1712</v>
      </c>
      <c r="D1194" s="380" t="s">
        <v>1328</v>
      </c>
      <c r="E1194" s="380" t="s">
        <v>322</v>
      </c>
      <c r="F1194" s="380" t="s">
        <v>1611</v>
      </c>
      <c r="G1194" s="380" t="s">
        <v>1292</v>
      </c>
      <c r="H1194" s="380" t="s">
        <v>4162</v>
      </c>
      <c r="I1194" s="380" t="s">
        <v>1914</v>
      </c>
      <c r="J1194" s="380"/>
      <c r="K1194" s="380"/>
      <c r="L1194" s="403">
        <v>0</v>
      </c>
    </row>
    <row r="1195" spans="1:12" ht="15" customHeight="1" x14ac:dyDescent="0.25">
      <c r="A1195" s="380" t="s">
        <v>4163</v>
      </c>
      <c r="B1195" s="380" t="s">
        <v>1884</v>
      </c>
      <c r="C1195" s="380" t="s">
        <v>1712</v>
      </c>
      <c r="D1195" s="380" t="s">
        <v>1328</v>
      </c>
      <c r="E1195" s="380" t="s">
        <v>322</v>
      </c>
      <c r="F1195" s="380" t="s">
        <v>1611</v>
      </c>
      <c r="G1195" s="380" t="s">
        <v>762</v>
      </c>
      <c r="H1195" s="380" t="s">
        <v>4164</v>
      </c>
      <c r="I1195" s="380" t="s">
        <v>1914</v>
      </c>
      <c r="J1195" s="380"/>
      <c r="K1195" s="380"/>
      <c r="L1195" s="403">
        <v>0</v>
      </c>
    </row>
    <row r="1196" spans="1:12" ht="15" customHeight="1" x14ac:dyDescent="0.25">
      <c r="A1196" s="380" t="s">
        <v>4165</v>
      </c>
      <c r="B1196" s="380" t="s">
        <v>1884</v>
      </c>
      <c r="C1196" s="380" t="s">
        <v>1712</v>
      </c>
      <c r="D1196" s="380" t="s">
        <v>1328</v>
      </c>
      <c r="E1196" s="380" t="s">
        <v>322</v>
      </c>
      <c r="F1196" s="380" t="s">
        <v>1611</v>
      </c>
      <c r="G1196" s="380" t="s">
        <v>1295</v>
      </c>
      <c r="H1196" s="380" t="s">
        <v>4166</v>
      </c>
      <c r="I1196" s="380" t="s">
        <v>1914</v>
      </c>
      <c r="J1196" s="380"/>
      <c r="K1196" s="380"/>
      <c r="L1196" s="403">
        <v>0</v>
      </c>
    </row>
    <row r="1197" spans="1:12" ht="15" customHeight="1" x14ac:dyDescent="0.25">
      <c r="A1197" s="380" t="s">
        <v>4167</v>
      </c>
      <c r="B1197" s="380" t="s">
        <v>1884</v>
      </c>
      <c r="C1197" s="380" t="s">
        <v>1712</v>
      </c>
      <c r="D1197" s="380" t="s">
        <v>1328</v>
      </c>
      <c r="E1197" s="380" t="s">
        <v>322</v>
      </c>
      <c r="F1197" s="380" t="s">
        <v>1611</v>
      </c>
      <c r="G1197" s="380" t="s">
        <v>1297</v>
      </c>
      <c r="H1197" s="380" t="s">
        <v>4168</v>
      </c>
      <c r="I1197" s="380" t="s">
        <v>1914</v>
      </c>
      <c r="J1197" s="380"/>
      <c r="K1197" s="380"/>
      <c r="L1197" s="403">
        <v>0</v>
      </c>
    </row>
    <row r="1198" spans="1:12" ht="15" customHeight="1" x14ac:dyDescent="0.25">
      <c r="A1198" s="380" t="s">
        <v>4169</v>
      </c>
      <c r="B1198" s="380" t="s">
        <v>1884</v>
      </c>
      <c r="C1198" s="380" t="s">
        <v>1712</v>
      </c>
      <c r="D1198" s="380" t="s">
        <v>1328</v>
      </c>
      <c r="E1198" s="380" t="s">
        <v>322</v>
      </c>
      <c r="F1198" s="380" t="s">
        <v>1611</v>
      </c>
      <c r="G1198" s="380" t="s">
        <v>1299</v>
      </c>
      <c r="H1198" s="380" t="s">
        <v>4170</v>
      </c>
      <c r="I1198" s="380" t="s">
        <v>1914</v>
      </c>
      <c r="J1198" s="380"/>
      <c r="K1198" s="380"/>
      <c r="L1198" s="403">
        <v>0</v>
      </c>
    </row>
    <row r="1199" spans="1:12" ht="15" customHeight="1" x14ac:dyDescent="0.25">
      <c r="A1199" s="380" t="s">
        <v>4171</v>
      </c>
      <c r="B1199" s="380" t="s">
        <v>1884</v>
      </c>
      <c r="C1199" s="380" t="s">
        <v>1712</v>
      </c>
      <c r="D1199" s="380" t="s">
        <v>1328</v>
      </c>
      <c r="E1199" s="380" t="s">
        <v>322</v>
      </c>
      <c r="F1199" s="380" t="s">
        <v>1611</v>
      </c>
      <c r="G1199" s="380" t="s">
        <v>1301</v>
      </c>
      <c r="H1199" s="380" t="s">
        <v>4172</v>
      </c>
      <c r="I1199" s="380" t="s">
        <v>1914</v>
      </c>
      <c r="J1199" s="380"/>
      <c r="K1199" s="380"/>
      <c r="L1199" s="403">
        <v>0</v>
      </c>
    </row>
    <row r="1200" spans="1:12" ht="15" customHeight="1" x14ac:dyDescent="0.25">
      <c r="A1200" s="380" t="s">
        <v>4173</v>
      </c>
      <c r="B1200" s="380" t="s">
        <v>1884</v>
      </c>
      <c r="C1200" s="380" t="s">
        <v>1712</v>
      </c>
      <c r="D1200" s="380" t="s">
        <v>1338</v>
      </c>
      <c r="E1200" s="380" t="s">
        <v>322</v>
      </c>
      <c r="F1200" s="380" t="s">
        <v>1611</v>
      </c>
      <c r="G1200" s="380" t="s">
        <v>1339</v>
      </c>
      <c r="H1200" s="380" t="s">
        <v>4174</v>
      </c>
      <c r="I1200" s="380" t="s">
        <v>1914</v>
      </c>
      <c r="J1200" s="380"/>
      <c r="K1200" s="380"/>
      <c r="L1200" s="403">
        <v>4</v>
      </c>
    </row>
    <row r="1201" spans="1:12" ht="15" customHeight="1" x14ac:dyDescent="0.25">
      <c r="A1201" s="380" t="s">
        <v>4175</v>
      </c>
      <c r="B1201" s="380" t="s">
        <v>1884</v>
      </c>
      <c r="C1201" s="380" t="s">
        <v>1712</v>
      </c>
      <c r="D1201" s="380" t="s">
        <v>1966</v>
      </c>
      <c r="E1201" s="380" t="s">
        <v>322</v>
      </c>
      <c r="F1201" s="380" t="s">
        <v>1611</v>
      </c>
      <c r="G1201" s="380" t="s">
        <v>1277</v>
      </c>
      <c r="H1201" s="380" t="s">
        <v>4176</v>
      </c>
      <c r="I1201" s="380" t="s">
        <v>1746</v>
      </c>
      <c r="J1201" s="380"/>
      <c r="K1201" s="380"/>
      <c r="L1201" s="403">
        <v>0</v>
      </c>
    </row>
    <row r="1202" spans="1:12" ht="15" customHeight="1" x14ac:dyDescent="0.25">
      <c r="A1202" s="380" t="s">
        <v>4177</v>
      </c>
      <c r="B1202" s="380" t="s">
        <v>1884</v>
      </c>
      <c r="C1202" s="380" t="s">
        <v>1712</v>
      </c>
      <c r="D1202" s="380" t="s">
        <v>1971</v>
      </c>
      <c r="E1202" s="380" t="s">
        <v>322</v>
      </c>
      <c r="F1202" s="380" t="s">
        <v>1611</v>
      </c>
      <c r="G1202" s="380" t="s">
        <v>1277</v>
      </c>
      <c r="H1202" s="380" t="s">
        <v>4178</v>
      </c>
      <c r="I1202" s="380" t="s">
        <v>1566</v>
      </c>
      <c r="J1202" s="380"/>
      <c r="K1202" s="380"/>
      <c r="L1202" s="403">
        <v>0</v>
      </c>
    </row>
    <row r="1203" spans="1:12" ht="15" customHeight="1" x14ac:dyDescent="0.25">
      <c r="A1203" s="380" t="s">
        <v>4179</v>
      </c>
      <c r="B1203" s="380" t="s">
        <v>88</v>
      </c>
      <c r="C1203" s="380" t="s">
        <v>1712</v>
      </c>
      <c r="D1203" s="380" t="s">
        <v>1890</v>
      </c>
      <c r="E1203" s="380" t="s">
        <v>330</v>
      </c>
      <c r="F1203" s="380" t="s">
        <v>1649</v>
      </c>
      <c r="G1203" s="380" t="s">
        <v>1277</v>
      </c>
      <c r="H1203" s="380" t="s">
        <v>4180</v>
      </c>
      <c r="I1203" s="380" t="s">
        <v>1651</v>
      </c>
      <c r="J1203" s="380" t="s">
        <v>4181</v>
      </c>
      <c r="K1203" s="380" t="s">
        <v>3939</v>
      </c>
      <c r="L1203" s="406">
        <v>0.08</v>
      </c>
    </row>
    <row r="1204" spans="1:12" ht="15" customHeight="1" x14ac:dyDescent="0.25">
      <c r="A1204" s="380" t="s">
        <v>4182</v>
      </c>
      <c r="B1204" s="380" t="s">
        <v>88</v>
      </c>
      <c r="C1204" s="380" t="s">
        <v>1712</v>
      </c>
      <c r="D1204" s="380" t="s">
        <v>1895</v>
      </c>
      <c r="E1204" s="380" t="s">
        <v>330</v>
      </c>
      <c r="F1204" s="380" t="s">
        <v>1649</v>
      </c>
      <c r="G1204" s="380" t="s">
        <v>1277</v>
      </c>
      <c r="H1204" s="380" t="s">
        <v>4183</v>
      </c>
      <c r="I1204" s="380" t="s">
        <v>1897</v>
      </c>
      <c r="J1204" s="380"/>
      <c r="K1204" s="380"/>
      <c r="L1204" s="404">
        <v>0.5</v>
      </c>
    </row>
    <row r="1205" spans="1:12" ht="15" customHeight="1" x14ac:dyDescent="0.25">
      <c r="A1205" s="380" t="s">
        <v>4184</v>
      </c>
      <c r="B1205" s="380" t="s">
        <v>88</v>
      </c>
      <c r="C1205" s="380" t="s">
        <v>1712</v>
      </c>
      <c r="D1205" s="380" t="s">
        <v>1900</v>
      </c>
      <c r="E1205" s="380" t="s">
        <v>330</v>
      </c>
      <c r="F1205" s="380" t="s">
        <v>1649</v>
      </c>
      <c r="G1205" s="380" t="s">
        <v>1277</v>
      </c>
      <c r="H1205" s="380" t="s">
        <v>4185</v>
      </c>
      <c r="I1205" s="380" t="s">
        <v>1902</v>
      </c>
      <c r="J1205" s="380"/>
      <c r="K1205" s="380"/>
      <c r="L1205" s="404">
        <v>0.35</v>
      </c>
    </row>
    <row r="1206" spans="1:12" ht="15" customHeight="1" x14ac:dyDescent="0.25">
      <c r="A1206" s="380" t="s">
        <v>4186</v>
      </c>
      <c r="B1206" s="380" t="s">
        <v>88</v>
      </c>
      <c r="C1206" s="380" t="s">
        <v>1712</v>
      </c>
      <c r="D1206" s="380" t="s">
        <v>1905</v>
      </c>
      <c r="E1206" s="380" t="s">
        <v>330</v>
      </c>
      <c r="F1206" s="380" t="s">
        <v>1649</v>
      </c>
      <c r="G1206" s="380" t="s">
        <v>1277</v>
      </c>
      <c r="H1206" s="380" t="s">
        <v>4187</v>
      </c>
      <c r="I1206" s="380" t="s">
        <v>1902</v>
      </c>
      <c r="J1206" s="380"/>
      <c r="K1206" s="380"/>
      <c r="L1206" s="404">
        <v>0.18</v>
      </c>
    </row>
    <row r="1207" spans="1:12" ht="15" customHeight="1" x14ac:dyDescent="0.25">
      <c r="A1207" s="380" t="s">
        <v>4188</v>
      </c>
      <c r="B1207" s="380" t="s">
        <v>88</v>
      </c>
      <c r="C1207" s="380" t="s">
        <v>1712</v>
      </c>
      <c r="D1207" s="380" t="s">
        <v>1909</v>
      </c>
      <c r="E1207" s="380" t="s">
        <v>330</v>
      </c>
      <c r="F1207" s="380" t="s">
        <v>1649</v>
      </c>
      <c r="G1207" s="380" t="s">
        <v>1277</v>
      </c>
      <c r="H1207" s="380" t="s">
        <v>4189</v>
      </c>
      <c r="I1207" s="380" t="s">
        <v>1902</v>
      </c>
      <c r="J1207" s="380"/>
      <c r="K1207" s="380"/>
      <c r="L1207" s="404">
        <v>0.05</v>
      </c>
    </row>
    <row r="1208" spans="1:12" ht="15" customHeight="1" x14ac:dyDescent="0.25">
      <c r="A1208" s="380" t="s">
        <v>4190</v>
      </c>
      <c r="B1208" s="380" t="s">
        <v>88</v>
      </c>
      <c r="C1208" s="380" t="s">
        <v>1712</v>
      </c>
      <c r="D1208" s="380" t="s">
        <v>1317</v>
      </c>
      <c r="E1208" s="380" t="s">
        <v>330</v>
      </c>
      <c r="F1208" s="380" t="s">
        <v>1649</v>
      </c>
      <c r="G1208" s="380" t="s">
        <v>757</v>
      </c>
      <c r="H1208" s="380" t="s">
        <v>4191</v>
      </c>
      <c r="I1208" s="380" t="s">
        <v>4192</v>
      </c>
      <c r="J1208" s="380" t="s">
        <v>3950</v>
      </c>
      <c r="K1208" s="380" t="s">
        <v>1916</v>
      </c>
      <c r="L1208" s="403">
        <v>0</v>
      </c>
    </row>
    <row r="1209" spans="1:12" ht="15" customHeight="1" x14ac:dyDescent="0.25">
      <c r="A1209" s="380" t="s">
        <v>4193</v>
      </c>
      <c r="B1209" s="380" t="s">
        <v>88</v>
      </c>
      <c r="C1209" s="380" t="s">
        <v>1712</v>
      </c>
      <c r="D1209" s="380" t="s">
        <v>1317</v>
      </c>
      <c r="E1209" s="380" t="s">
        <v>330</v>
      </c>
      <c r="F1209" s="380" t="s">
        <v>1649</v>
      </c>
      <c r="G1209" s="380" t="s">
        <v>754</v>
      </c>
      <c r="H1209" s="380" t="s">
        <v>4194</v>
      </c>
      <c r="I1209" s="380" t="s">
        <v>4192</v>
      </c>
      <c r="J1209" s="380" t="s">
        <v>3950</v>
      </c>
      <c r="K1209" s="380" t="s">
        <v>1916</v>
      </c>
      <c r="L1209" s="403">
        <v>5</v>
      </c>
    </row>
    <row r="1210" spans="1:12" ht="15" customHeight="1" x14ac:dyDescent="0.25">
      <c r="A1210" s="380" t="s">
        <v>4195</v>
      </c>
      <c r="B1210" s="380" t="s">
        <v>88</v>
      </c>
      <c r="C1210" s="380" t="s">
        <v>1712</v>
      </c>
      <c r="D1210" s="380" t="s">
        <v>1317</v>
      </c>
      <c r="E1210" s="380" t="s">
        <v>330</v>
      </c>
      <c r="F1210" s="380" t="s">
        <v>1649</v>
      </c>
      <c r="G1210" s="380" t="s">
        <v>1292</v>
      </c>
      <c r="H1210" s="380" t="s">
        <v>4196</v>
      </c>
      <c r="I1210" s="380" t="s">
        <v>4192</v>
      </c>
      <c r="J1210" s="380" t="s">
        <v>3950</v>
      </c>
      <c r="K1210" s="380" t="s">
        <v>1916</v>
      </c>
      <c r="L1210" s="403">
        <v>0</v>
      </c>
    </row>
    <row r="1211" spans="1:12" ht="15" customHeight="1" x14ac:dyDescent="0.25">
      <c r="A1211" s="380" t="s">
        <v>4197</v>
      </c>
      <c r="B1211" s="380" t="s">
        <v>88</v>
      </c>
      <c r="C1211" s="380" t="s">
        <v>1712</v>
      </c>
      <c r="D1211" s="380" t="s">
        <v>1317</v>
      </c>
      <c r="E1211" s="380" t="s">
        <v>330</v>
      </c>
      <c r="F1211" s="380" t="s">
        <v>1649</v>
      </c>
      <c r="G1211" s="380" t="s">
        <v>762</v>
      </c>
      <c r="H1211" s="380" t="s">
        <v>4198</v>
      </c>
      <c r="I1211" s="380" t="s">
        <v>4192</v>
      </c>
      <c r="J1211" s="380" t="s">
        <v>3950</v>
      </c>
      <c r="K1211" s="380" t="s">
        <v>1916</v>
      </c>
      <c r="L1211" s="403">
        <v>0</v>
      </c>
    </row>
    <row r="1212" spans="1:12" ht="15" customHeight="1" x14ac:dyDescent="0.25">
      <c r="A1212" s="380" t="s">
        <v>4199</v>
      </c>
      <c r="B1212" s="380" t="s">
        <v>88</v>
      </c>
      <c r="C1212" s="380" t="s">
        <v>1712</v>
      </c>
      <c r="D1212" s="380" t="s">
        <v>1317</v>
      </c>
      <c r="E1212" s="380" t="s">
        <v>330</v>
      </c>
      <c r="F1212" s="380" t="s">
        <v>1649</v>
      </c>
      <c r="G1212" s="380" t="s">
        <v>1295</v>
      </c>
      <c r="H1212" s="380" t="s">
        <v>4200</v>
      </c>
      <c r="I1212" s="380" t="s">
        <v>4192</v>
      </c>
      <c r="J1212" s="380" t="s">
        <v>3950</v>
      </c>
      <c r="K1212" s="380" t="s">
        <v>1916</v>
      </c>
      <c r="L1212" s="403">
        <v>0</v>
      </c>
    </row>
    <row r="1213" spans="1:12" ht="15" customHeight="1" x14ac:dyDescent="0.25">
      <c r="A1213" s="380" t="s">
        <v>4201</v>
      </c>
      <c r="B1213" s="380" t="s">
        <v>88</v>
      </c>
      <c r="C1213" s="380" t="s">
        <v>1712</v>
      </c>
      <c r="D1213" s="380" t="s">
        <v>1317</v>
      </c>
      <c r="E1213" s="380" t="s">
        <v>330</v>
      </c>
      <c r="F1213" s="380" t="s">
        <v>1649</v>
      </c>
      <c r="G1213" s="380" t="s">
        <v>1297</v>
      </c>
      <c r="H1213" s="380" t="s">
        <v>4202</v>
      </c>
      <c r="I1213" s="380" t="s">
        <v>4192</v>
      </c>
      <c r="J1213" s="380" t="s">
        <v>3950</v>
      </c>
      <c r="K1213" s="380" t="s">
        <v>1916</v>
      </c>
      <c r="L1213" s="403">
        <v>0</v>
      </c>
    </row>
    <row r="1214" spans="1:12" ht="15" customHeight="1" x14ac:dyDescent="0.25">
      <c r="A1214" s="380" t="s">
        <v>4203</v>
      </c>
      <c r="B1214" s="380" t="s">
        <v>88</v>
      </c>
      <c r="C1214" s="380" t="s">
        <v>1712</v>
      </c>
      <c r="D1214" s="380" t="s">
        <v>1317</v>
      </c>
      <c r="E1214" s="380" t="s">
        <v>330</v>
      </c>
      <c r="F1214" s="380" t="s">
        <v>1649</v>
      </c>
      <c r="G1214" s="380" t="s">
        <v>1299</v>
      </c>
      <c r="H1214" s="380" t="s">
        <v>4204</v>
      </c>
      <c r="I1214" s="380" t="s">
        <v>4192</v>
      </c>
      <c r="J1214" s="380" t="s">
        <v>3950</v>
      </c>
      <c r="K1214" s="380" t="s">
        <v>1916</v>
      </c>
      <c r="L1214" s="403">
        <v>0</v>
      </c>
    </row>
    <row r="1215" spans="1:12" ht="15" customHeight="1" x14ac:dyDescent="0.25">
      <c r="A1215" s="380" t="s">
        <v>4205</v>
      </c>
      <c r="B1215" s="380" t="s">
        <v>88</v>
      </c>
      <c r="C1215" s="380" t="s">
        <v>1712</v>
      </c>
      <c r="D1215" s="380" t="s">
        <v>1317</v>
      </c>
      <c r="E1215" s="380" t="s">
        <v>330</v>
      </c>
      <c r="F1215" s="380" t="s">
        <v>1649</v>
      </c>
      <c r="G1215" s="380" t="s">
        <v>1301</v>
      </c>
      <c r="H1215" s="380" t="s">
        <v>4206</v>
      </c>
      <c r="I1215" s="380" t="s">
        <v>4192</v>
      </c>
      <c r="J1215" s="380" t="s">
        <v>3950</v>
      </c>
      <c r="K1215" s="380" t="s">
        <v>1916</v>
      </c>
      <c r="L1215" s="403">
        <v>0</v>
      </c>
    </row>
    <row r="1216" spans="1:12" ht="15" customHeight="1" x14ac:dyDescent="0.25">
      <c r="A1216" s="380" t="s">
        <v>4207</v>
      </c>
      <c r="B1216" s="380" t="s">
        <v>88</v>
      </c>
      <c r="C1216" s="380" t="s">
        <v>1712</v>
      </c>
      <c r="D1216" s="380" t="s">
        <v>1328</v>
      </c>
      <c r="E1216" s="380" t="s">
        <v>330</v>
      </c>
      <c r="F1216" s="380" t="s">
        <v>1649</v>
      </c>
      <c r="G1216" s="380" t="s">
        <v>757</v>
      </c>
      <c r="H1216" s="380" t="s">
        <v>4208</v>
      </c>
      <c r="I1216" s="380" t="s">
        <v>4192</v>
      </c>
      <c r="J1216" s="380"/>
      <c r="K1216" s="380"/>
      <c r="L1216" s="403">
        <v>0</v>
      </c>
    </row>
    <row r="1217" spans="1:12" ht="15" customHeight="1" x14ac:dyDescent="0.25">
      <c r="A1217" s="380" t="s">
        <v>4209</v>
      </c>
      <c r="B1217" s="380" t="s">
        <v>88</v>
      </c>
      <c r="C1217" s="380" t="s">
        <v>1712</v>
      </c>
      <c r="D1217" s="380" t="s">
        <v>1328</v>
      </c>
      <c r="E1217" s="380" t="s">
        <v>330</v>
      </c>
      <c r="F1217" s="380" t="s">
        <v>1649</v>
      </c>
      <c r="G1217" s="380" t="s">
        <v>754</v>
      </c>
      <c r="H1217" s="380" t="s">
        <v>4210</v>
      </c>
      <c r="I1217" s="380" t="s">
        <v>4192</v>
      </c>
      <c r="J1217" s="380"/>
      <c r="K1217" s="380"/>
      <c r="L1217" s="403">
        <v>0</v>
      </c>
    </row>
    <row r="1218" spans="1:12" ht="15" customHeight="1" x14ac:dyDescent="0.25">
      <c r="A1218" s="380" t="s">
        <v>4211</v>
      </c>
      <c r="B1218" s="380" t="s">
        <v>88</v>
      </c>
      <c r="C1218" s="380" t="s">
        <v>1712</v>
      </c>
      <c r="D1218" s="380" t="s">
        <v>1328</v>
      </c>
      <c r="E1218" s="380" t="s">
        <v>330</v>
      </c>
      <c r="F1218" s="380" t="s">
        <v>1649</v>
      </c>
      <c r="G1218" s="380" t="s">
        <v>1292</v>
      </c>
      <c r="H1218" s="380" t="s">
        <v>4212</v>
      </c>
      <c r="I1218" s="380" t="s">
        <v>4192</v>
      </c>
      <c r="J1218" s="380"/>
      <c r="K1218" s="380"/>
      <c r="L1218" s="403">
        <v>0</v>
      </c>
    </row>
    <row r="1219" spans="1:12" ht="15" customHeight="1" x14ac:dyDescent="0.25">
      <c r="A1219" s="380" t="s">
        <v>4213</v>
      </c>
      <c r="B1219" s="380" t="s">
        <v>88</v>
      </c>
      <c r="C1219" s="380" t="s">
        <v>1712</v>
      </c>
      <c r="D1219" s="380" t="s">
        <v>1328</v>
      </c>
      <c r="E1219" s="380" t="s">
        <v>330</v>
      </c>
      <c r="F1219" s="380" t="s">
        <v>1649</v>
      </c>
      <c r="G1219" s="380" t="s">
        <v>762</v>
      </c>
      <c r="H1219" s="380" t="s">
        <v>4214</v>
      </c>
      <c r="I1219" s="380" t="s">
        <v>4192</v>
      </c>
      <c r="J1219" s="380"/>
      <c r="K1219" s="380"/>
      <c r="L1219" s="403">
        <v>0</v>
      </c>
    </row>
    <row r="1220" spans="1:12" ht="15" customHeight="1" x14ac:dyDescent="0.25">
      <c r="A1220" s="380" t="s">
        <v>4215</v>
      </c>
      <c r="B1220" s="380" t="s">
        <v>88</v>
      </c>
      <c r="C1220" s="380" t="s">
        <v>1712</v>
      </c>
      <c r="D1220" s="380" t="s">
        <v>1328</v>
      </c>
      <c r="E1220" s="380" t="s">
        <v>330</v>
      </c>
      <c r="F1220" s="380" t="s">
        <v>1649</v>
      </c>
      <c r="G1220" s="380" t="s">
        <v>1295</v>
      </c>
      <c r="H1220" s="380" t="s">
        <v>4216</v>
      </c>
      <c r="I1220" s="380" t="s">
        <v>4192</v>
      </c>
      <c r="J1220" s="380"/>
      <c r="K1220" s="380"/>
      <c r="L1220" s="403">
        <v>0</v>
      </c>
    </row>
    <row r="1221" spans="1:12" ht="15" customHeight="1" x14ac:dyDescent="0.25">
      <c r="A1221" s="380" t="s">
        <v>4217</v>
      </c>
      <c r="B1221" s="380" t="s">
        <v>88</v>
      </c>
      <c r="C1221" s="380" t="s">
        <v>1712</v>
      </c>
      <c r="D1221" s="380" t="s">
        <v>1328</v>
      </c>
      <c r="E1221" s="380" t="s">
        <v>330</v>
      </c>
      <c r="F1221" s="380" t="s">
        <v>1649</v>
      </c>
      <c r="G1221" s="380" t="s">
        <v>1297</v>
      </c>
      <c r="H1221" s="380" t="s">
        <v>4218</v>
      </c>
      <c r="I1221" s="380" t="s">
        <v>4192</v>
      </c>
      <c r="J1221" s="380"/>
      <c r="K1221" s="380"/>
      <c r="L1221" s="403">
        <v>0</v>
      </c>
    </row>
    <row r="1222" spans="1:12" ht="15" customHeight="1" x14ac:dyDescent="0.25">
      <c r="A1222" s="380" t="s">
        <v>4219</v>
      </c>
      <c r="B1222" s="380" t="s">
        <v>88</v>
      </c>
      <c r="C1222" s="380" t="s">
        <v>1712</v>
      </c>
      <c r="D1222" s="380" t="s">
        <v>1328</v>
      </c>
      <c r="E1222" s="380" t="s">
        <v>330</v>
      </c>
      <c r="F1222" s="380" t="s">
        <v>1649</v>
      </c>
      <c r="G1222" s="380" t="s">
        <v>1299</v>
      </c>
      <c r="H1222" s="380" t="s">
        <v>4220</v>
      </c>
      <c r="I1222" s="380" t="s">
        <v>4192</v>
      </c>
      <c r="J1222" s="380"/>
      <c r="K1222" s="380"/>
      <c r="L1222" s="403">
        <v>0</v>
      </c>
    </row>
    <row r="1223" spans="1:12" ht="15" customHeight="1" x14ac:dyDescent="0.25">
      <c r="A1223" s="380" t="s">
        <v>4221</v>
      </c>
      <c r="B1223" s="380" t="s">
        <v>88</v>
      </c>
      <c r="C1223" s="380" t="s">
        <v>1712</v>
      </c>
      <c r="D1223" s="380" t="s">
        <v>1328</v>
      </c>
      <c r="E1223" s="380" t="s">
        <v>330</v>
      </c>
      <c r="F1223" s="380" t="s">
        <v>1649</v>
      </c>
      <c r="G1223" s="380" t="s">
        <v>1301</v>
      </c>
      <c r="H1223" s="380" t="s">
        <v>4222</v>
      </c>
      <c r="I1223" s="380" t="s">
        <v>4192</v>
      </c>
      <c r="J1223" s="380"/>
      <c r="K1223" s="380"/>
      <c r="L1223" s="403">
        <v>0</v>
      </c>
    </row>
    <row r="1224" spans="1:12" ht="15" customHeight="1" x14ac:dyDescent="0.25">
      <c r="A1224" s="380" t="s">
        <v>4223</v>
      </c>
      <c r="B1224" s="380" t="s">
        <v>88</v>
      </c>
      <c r="C1224" s="380" t="s">
        <v>1712</v>
      </c>
      <c r="D1224" s="380" t="s">
        <v>1338</v>
      </c>
      <c r="E1224" s="380" t="s">
        <v>330</v>
      </c>
      <c r="F1224" s="380" t="s">
        <v>1649</v>
      </c>
      <c r="G1224" s="380" t="s">
        <v>1339</v>
      </c>
      <c r="H1224" s="380" t="s">
        <v>4224</v>
      </c>
      <c r="I1224" s="380" t="s">
        <v>4192</v>
      </c>
      <c r="J1224" s="380"/>
      <c r="K1224" s="380"/>
      <c r="L1224" s="403">
        <v>0.3</v>
      </c>
    </row>
    <row r="1225" spans="1:12" ht="15" customHeight="1" x14ac:dyDescent="0.25">
      <c r="A1225" s="380" t="s">
        <v>4225</v>
      </c>
      <c r="B1225" s="380" t="s">
        <v>88</v>
      </c>
      <c r="C1225" s="380" t="s">
        <v>1712</v>
      </c>
      <c r="D1225" s="380" t="s">
        <v>1966</v>
      </c>
      <c r="E1225" s="380" t="s">
        <v>330</v>
      </c>
      <c r="F1225" s="380" t="s">
        <v>1649</v>
      </c>
      <c r="G1225" s="380" t="s">
        <v>1277</v>
      </c>
      <c r="H1225" s="380" t="s">
        <v>4226</v>
      </c>
      <c r="I1225" s="380" t="s">
        <v>1746</v>
      </c>
      <c r="J1225" s="380"/>
      <c r="K1225" s="380"/>
      <c r="L1225" s="403">
        <v>0</v>
      </c>
    </row>
    <row r="1226" spans="1:12" ht="15" customHeight="1" x14ac:dyDescent="0.25">
      <c r="A1226" s="380" t="s">
        <v>4227</v>
      </c>
      <c r="B1226" s="380" t="s">
        <v>88</v>
      </c>
      <c r="C1226" s="380" t="s">
        <v>1712</v>
      </c>
      <c r="D1226" s="380" t="s">
        <v>1971</v>
      </c>
      <c r="E1226" s="380" t="s">
        <v>330</v>
      </c>
      <c r="F1226" s="380" t="s">
        <v>1649</v>
      </c>
      <c r="G1226" s="380" t="s">
        <v>1277</v>
      </c>
      <c r="H1226" s="380" t="s">
        <v>4228</v>
      </c>
      <c r="I1226" s="380" t="s">
        <v>1566</v>
      </c>
      <c r="J1226" s="380"/>
      <c r="K1226" s="380"/>
      <c r="L1226" s="403">
        <v>0</v>
      </c>
    </row>
    <row r="1227" spans="1:12" ht="15" customHeight="1" x14ac:dyDescent="0.25">
      <c r="A1227" s="380" t="s">
        <v>4229</v>
      </c>
      <c r="B1227" s="380" t="s">
        <v>1869</v>
      </c>
      <c r="C1227" s="380" t="s">
        <v>1712</v>
      </c>
      <c r="D1227" s="380" t="s">
        <v>1890</v>
      </c>
      <c r="E1227" s="380" t="s">
        <v>330</v>
      </c>
      <c r="F1227" s="380" t="s">
        <v>1649</v>
      </c>
      <c r="G1227" s="380" t="s">
        <v>1277</v>
      </c>
      <c r="H1227" s="380" t="s">
        <v>4230</v>
      </c>
      <c r="I1227" s="380" t="s">
        <v>1651</v>
      </c>
      <c r="J1227" s="380" t="s">
        <v>4181</v>
      </c>
      <c r="K1227" s="380" t="s">
        <v>3939</v>
      </c>
      <c r="L1227" s="406">
        <v>0</v>
      </c>
    </row>
    <row r="1228" spans="1:12" ht="15" customHeight="1" x14ac:dyDescent="0.25">
      <c r="A1228" s="380" t="s">
        <v>4231</v>
      </c>
      <c r="B1228" s="380" t="s">
        <v>1869</v>
      </c>
      <c r="C1228" s="380" t="s">
        <v>1712</v>
      </c>
      <c r="D1228" s="380" t="s">
        <v>1895</v>
      </c>
      <c r="E1228" s="380" t="s">
        <v>330</v>
      </c>
      <c r="F1228" s="380" t="s">
        <v>1649</v>
      </c>
      <c r="G1228" s="380" t="s">
        <v>1277</v>
      </c>
      <c r="H1228" s="380" t="s">
        <v>4232</v>
      </c>
      <c r="I1228" s="380" t="s">
        <v>1897</v>
      </c>
      <c r="J1228" s="380"/>
      <c r="K1228" s="380"/>
      <c r="L1228" s="404">
        <v>0.5</v>
      </c>
    </row>
    <row r="1229" spans="1:12" ht="15" customHeight="1" x14ac:dyDescent="0.25">
      <c r="A1229" s="380" t="s">
        <v>4233</v>
      </c>
      <c r="B1229" s="380" t="s">
        <v>1869</v>
      </c>
      <c r="C1229" s="380" t="s">
        <v>1712</v>
      </c>
      <c r="D1229" s="380" t="s">
        <v>1900</v>
      </c>
      <c r="E1229" s="380" t="s">
        <v>330</v>
      </c>
      <c r="F1229" s="380" t="s">
        <v>1649</v>
      </c>
      <c r="G1229" s="380" t="s">
        <v>1277</v>
      </c>
      <c r="H1229" s="380" t="s">
        <v>4234</v>
      </c>
      <c r="I1229" s="380" t="s">
        <v>1902</v>
      </c>
      <c r="J1229" s="380"/>
      <c r="K1229" s="380"/>
      <c r="L1229" s="404">
        <v>0.2</v>
      </c>
    </row>
    <row r="1230" spans="1:12" ht="15" customHeight="1" x14ac:dyDescent="0.25">
      <c r="A1230" s="380" t="s">
        <v>4235</v>
      </c>
      <c r="B1230" s="380" t="s">
        <v>1869</v>
      </c>
      <c r="C1230" s="380" t="s">
        <v>1712</v>
      </c>
      <c r="D1230" s="380" t="s">
        <v>1905</v>
      </c>
      <c r="E1230" s="380" t="s">
        <v>330</v>
      </c>
      <c r="F1230" s="380" t="s">
        <v>1649</v>
      </c>
      <c r="G1230" s="380" t="s">
        <v>1277</v>
      </c>
      <c r="H1230" s="380" t="s">
        <v>4236</v>
      </c>
      <c r="I1230" s="380" t="s">
        <v>1902</v>
      </c>
      <c r="J1230" s="380"/>
      <c r="K1230" s="380"/>
      <c r="L1230" s="404">
        <v>0.05</v>
      </c>
    </row>
    <row r="1231" spans="1:12" ht="15" customHeight="1" x14ac:dyDescent="0.25">
      <c r="A1231" s="380" t="s">
        <v>4237</v>
      </c>
      <c r="B1231" s="380" t="s">
        <v>1869</v>
      </c>
      <c r="C1231" s="380" t="s">
        <v>1712</v>
      </c>
      <c r="D1231" s="380" t="s">
        <v>1909</v>
      </c>
      <c r="E1231" s="380" t="s">
        <v>330</v>
      </c>
      <c r="F1231" s="380" t="s">
        <v>1649</v>
      </c>
      <c r="G1231" s="380" t="s">
        <v>1277</v>
      </c>
      <c r="H1231" s="380" t="s">
        <v>4238</v>
      </c>
      <c r="I1231" s="380" t="s">
        <v>1902</v>
      </c>
      <c r="J1231" s="380"/>
      <c r="K1231" s="380"/>
      <c r="L1231" s="404">
        <v>0.1</v>
      </c>
    </row>
    <row r="1232" spans="1:12" ht="15" customHeight="1" x14ac:dyDescent="0.25">
      <c r="A1232" s="380" t="s">
        <v>4239</v>
      </c>
      <c r="B1232" s="380" t="s">
        <v>1869</v>
      </c>
      <c r="C1232" s="380" t="s">
        <v>1712</v>
      </c>
      <c r="D1232" s="380" t="s">
        <v>1317</v>
      </c>
      <c r="E1232" s="380" t="s">
        <v>330</v>
      </c>
      <c r="F1232" s="380" t="s">
        <v>1649</v>
      </c>
      <c r="G1232" s="380" t="s">
        <v>757</v>
      </c>
      <c r="H1232" s="380" t="s">
        <v>4240</v>
      </c>
      <c r="I1232" s="380" t="s">
        <v>4192</v>
      </c>
      <c r="J1232" s="380" t="s">
        <v>3950</v>
      </c>
      <c r="K1232" s="380" t="s">
        <v>1916</v>
      </c>
      <c r="L1232" s="403">
        <v>0</v>
      </c>
    </row>
    <row r="1233" spans="1:12" ht="15" customHeight="1" x14ac:dyDescent="0.25">
      <c r="A1233" s="380" t="s">
        <v>4241</v>
      </c>
      <c r="B1233" s="380" t="s">
        <v>1869</v>
      </c>
      <c r="C1233" s="380" t="s">
        <v>1712</v>
      </c>
      <c r="D1233" s="380" t="s">
        <v>1317</v>
      </c>
      <c r="E1233" s="380" t="s">
        <v>330</v>
      </c>
      <c r="F1233" s="380" t="s">
        <v>1649</v>
      </c>
      <c r="G1233" s="380" t="s">
        <v>754</v>
      </c>
      <c r="H1233" s="380" t="s">
        <v>4242</v>
      </c>
      <c r="I1233" s="380" t="s">
        <v>4192</v>
      </c>
      <c r="J1233" s="380" t="s">
        <v>3950</v>
      </c>
      <c r="K1233" s="380" t="s">
        <v>1916</v>
      </c>
      <c r="L1233" s="403">
        <v>2</v>
      </c>
    </row>
    <row r="1234" spans="1:12" ht="15" customHeight="1" x14ac:dyDescent="0.25">
      <c r="A1234" s="380" t="s">
        <v>4243</v>
      </c>
      <c r="B1234" s="380" t="s">
        <v>1869</v>
      </c>
      <c r="C1234" s="380" t="s">
        <v>1712</v>
      </c>
      <c r="D1234" s="380" t="s">
        <v>1317</v>
      </c>
      <c r="E1234" s="380" t="s">
        <v>330</v>
      </c>
      <c r="F1234" s="380" t="s">
        <v>1649</v>
      </c>
      <c r="G1234" s="380" t="s">
        <v>1292</v>
      </c>
      <c r="H1234" s="380" t="s">
        <v>4244</v>
      </c>
      <c r="I1234" s="380" t="s">
        <v>4192</v>
      </c>
      <c r="J1234" s="380" t="s">
        <v>3950</v>
      </c>
      <c r="K1234" s="380" t="s">
        <v>1916</v>
      </c>
      <c r="L1234" s="403">
        <v>0</v>
      </c>
    </row>
    <row r="1235" spans="1:12" ht="15" customHeight="1" x14ac:dyDescent="0.25">
      <c r="A1235" s="380" t="s">
        <v>4245</v>
      </c>
      <c r="B1235" s="380" t="s">
        <v>1869</v>
      </c>
      <c r="C1235" s="380" t="s">
        <v>1712</v>
      </c>
      <c r="D1235" s="380" t="s">
        <v>1317</v>
      </c>
      <c r="E1235" s="380" t="s">
        <v>330</v>
      </c>
      <c r="F1235" s="380" t="s">
        <v>1649</v>
      </c>
      <c r="G1235" s="380" t="s">
        <v>762</v>
      </c>
      <c r="H1235" s="380" t="s">
        <v>4246</v>
      </c>
      <c r="I1235" s="380" t="s">
        <v>4192</v>
      </c>
      <c r="J1235" s="380" t="s">
        <v>3950</v>
      </c>
      <c r="K1235" s="380" t="s">
        <v>1916</v>
      </c>
      <c r="L1235" s="403">
        <v>0</v>
      </c>
    </row>
    <row r="1236" spans="1:12" ht="15" customHeight="1" x14ac:dyDescent="0.25">
      <c r="A1236" s="380" t="s">
        <v>4247</v>
      </c>
      <c r="B1236" s="380" t="s">
        <v>1869</v>
      </c>
      <c r="C1236" s="380" t="s">
        <v>1712</v>
      </c>
      <c r="D1236" s="380" t="s">
        <v>1317</v>
      </c>
      <c r="E1236" s="380" t="s">
        <v>330</v>
      </c>
      <c r="F1236" s="380" t="s">
        <v>1649</v>
      </c>
      <c r="G1236" s="380" t="s">
        <v>1295</v>
      </c>
      <c r="H1236" s="380" t="s">
        <v>4248</v>
      </c>
      <c r="I1236" s="380" t="s">
        <v>4192</v>
      </c>
      <c r="J1236" s="380" t="s">
        <v>3950</v>
      </c>
      <c r="K1236" s="380" t="s">
        <v>1916</v>
      </c>
      <c r="L1236" s="403">
        <v>0</v>
      </c>
    </row>
    <row r="1237" spans="1:12" ht="15" customHeight="1" x14ac:dyDescent="0.25">
      <c r="A1237" s="380" t="s">
        <v>4249</v>
      </c>
      <c r="B1237" s="380" t="s">
        <v>1869</v>
      </c>
      <c r="C1237" s="380" t="s">
        <v>1712</v>
      </c>
      <c r="D1237" s="380" t="s">
        <v>1317</v>
      </c>
      <c r="E1237" s="380" t="s">
        <v>330</v>
      </c>
      <c r="F1237" s="380" t="s">
        <v>1649</v>
      </c>
      <c r="G1237" s="380" t="s">
        <v>1297</v>
      </c>
      <c r="H1237" s="380" t="s">
        <v>4250</v>
      </c>
      <c r="I1237" s="380" t="s">
        <v>4192</v>
      </c>
      <c r="J1237" s="380" t="s">
        <v>3950</v>
      </c>
      <c r="K1237" s="380" t="s">
        <v>1916</v>
      </c>
      <c r="L1237" s="403">
        <v>0</v>
      </c>
    </row>
    <row r="1238" spans="1:12" ht="15" customHeight="1" x14ac:dyDescent="0.25">
      <c r="A1238" s="380" t="s">
        <v>4251</v>
      </c>
      <c r="B1238" s="380" t="s">
        <v>1869</v>
      </c>
      <c r="C1238" s="380" t="s">
        <v>1712</v>
      </c>
      <c r="D1238" s="380" t="s">
        <v>1317</v>
      </c>
      <c r="E1238" s="380" t="s">
        <v>330</v>
      </c>
      <c r="F1238" s="380" t="s">
        <v>1649</v>
      </c>
      <c r="G1238" s="380" t="s">
        <v>1299</v>
      </c>
      <c r="H1238" s="380" t="s">
        <v>4252</v>
      </c>
      <c r="I1238" s="380" t="s">
        <v>4192</v>
      </c>
      <c r="J1238" s="380" t="s">
        <v>3950</v>
      </c>
      <c r="K1238" s="380" t="s">
        <v>1916</v>
      </c>
      <c r="L1238" s="403">
        <v>0</v>
      </c>
    </row>
    <row r="1239" spans="1:12" ht="15" customHeight="1" x14ac:dyDescent="0.25">
      <c r="A1239" s="380" t="s">
        <v>4253</v>
      </c>
      <c r="B1239" s="380" t="s">
        <v>1869</v>
      </c>
      <c r="C1239" s="380" t="s">
        <v>1712</v>
      </c>
      <c r="D1239" s="380" t="s">
        <v>1317</v>
      </c>
      <c r="E1239" s="380" t="s">
        <v>330</v>
      </c>
      <c r="F1239" s="380" t="s">
        <v>1649</v>
      </c>
      <c r="G1239" s="380" t="s">
        <v>1301</v>
      </c>
      <c r="H1239" s="380" t="s">
        <v>4254</v>
      </c>
      <c r="I1239" s="380" t="s">
        <v>4192</v>
      </c>
      <c r="J1239" s="380" t="s">
        <v>3950</v>
      </c>
      <c r="K1239" s="380" t="s">
        <v>1916</v>
      </c>
      <c r="L1239" s="403">
        <v>0</v>
      </c>
    </row>
    <row r="1240" spans="1:12" ht="15" customHeight="1" x14ac:dyDescent="0.25">
      <c r="A1240" s="380" t="s">
        <v>4255</v>
      </c>
      <c r="B1240" s="380" t="s">
        <v>1869</v>
      </c>
      <c r="C1240" s="380" t="s">
        <v>1712</v>
      </c>
      <c r="D1240" s="380" t="s">
        <v>1328</v>
      </c>
      <c r="E1240" s="380" t="s">
        <v>330</v>
      </c>
      <c r="F1240" s="380" t="s">
        <v>1649</v>
      </c>
      <c r="G1240" s="380" t="s">
        <v>757</v>
      </c>
      <c r="H1240" s="380" t="s">
        <v>4256</v>
      </c>
      <c r="I1240" s="380" t="s">
        <v>4192</v>
      </c>
      <c r="J1240" s="380"/>
      <c r="K1240" s="380"/>
      <c r="L1240" s="403">
        <v>0</v>
      </c>
    </row>
    <row r="1241" spans="1:12" ht="15" customHeight="1" x14ac:dyDescent="0.25">
      <c r="A1241" s="380" t="s">
        <v>4257</v>
      </c>
      <c r="B1241" s="380" t="s">
        <v>1869</v>
      </c>
      <c r="C1241" s="380" t="s">
        <v>1712</v>
      </c>
      <c r="D1241" s="380" t="s">
        <v>1328</v>
      </c>
      <c r="E1241" s="380" t="s">
        <v>330</v>
      </c>
      <c r="F1241" s="380" t="s">
        <v>1649</v>
      </c>
      <c r="G1241" s="380" t="s">
        <v>754</v>
      </c>
      <c r="H1241" s="380" t="s">
        <v>4258</v>
      </c>
      <c r="I1241" s="380" t="s">
        <v>4192</v>
      </c>
      <c r="J1241" s="380"/>
      <c r="K1241" s="380"/>
      <c r="L1241" s="403">
        <v>0</v>
      </c>
    </row>
    <row r="1242" spans="1:12" ht="15" customHeight="1" x14ac:dyDescent="0.25">
      <c r="A1242" s="380" t="s">
        <v>4259</v>
      </c>
      <c r="B1242" s="380" t="s">
        <v>1869</v>
      </c>
      <c r="C1242" s="380" t="s">
        <v>1712</v>
      </c>
      <c r="D1242" s="380" t="s">
        <v>1328</v>
      </c>
      <c r="E1242" s="380" t="s">
        <v>330</v>
      </c>
      <c r="F1242" s="380" t="s">
        <v>1649</v>
      </c>
      <c r="G1242" s="380" t="s">
        <v>1292</v>
      </c>
      <c r="H1242" s="380" t="s">
        <v>4260</v>
      </c>
      <c r="I1242" s="380" t="s">
        <v>4192</v>
      </c>
      <c r="J1242" s="380"/>
      <c r="K1242" s="380"/>
      <c r="L1242" s="403">
        <v>0</v>
      </c>
    </row>
    <row r="1243" spans="1:12" ht="15" customHeight="1" x14ac:dyDescent="0.25">
      <c r="A1243" s="380" t="s">
        <v>4261</v>
      </c>
      <c r="B1243" s="380" t="s">
        <v>1869</v>
      </c>
      <c r="C1243" s="380" t="s">
        <v>1712</v>
      </c>
      <c r="D1243" s="380" t="s">
        <v>1328</v>
      </c>
      <c r="E1243" s="380" t="s">
        <v>330</v>
      </c>
      <c r="F1243" s="380" t="s">
        <v>1649</v>
      </c>
      <c r="G1243" s="380" t="s">
        <v>762</v>
      </c>
      <c r="H1243" s="380" t="s">
        <v>4262</v>
      </c>
      <c r="I1243" s="380" t="s">
        <v>4192</v>
      </c>
      <c r="J1243" s="380"/>
      <c r="K1243" s="380"/>
      <c r="L1243" s="403">
        <v>0</v>
      </c>
    </row>
    <row r="1244" spans="1:12" ht="15" customHeight="1" x14ac:dyDescent="0.25">
      <c r="A1244" s="380" t="s">
        <v>4263</v>
      </c>
      <c r="B1244" s="380" t="s">
        <v>1869</v>
      </c>
      <c r="C1244" s="380" t="s">
        <v>1712</v>
      </c>
      <c r="D1244" s="380" t="s">
        <v>1328</v>
      </c>
      <c r="E1244" s="380" t="s">
        <v>330</v>
      </c>
      <c r="F1244" s="380" t="s">
        <v>1649</v>
      </c>
      <c r="G1244" s="380" t="s">
        <v>1295</v>
      </c>
      <c r="H1244" s="380" t="s">
        <v>4264</v>
      </c>
      <c r="I1244" s="380" t="s">
        <v>4192</v>
      </c>
      <c r="J1244" s="380"/>
      <c r="K1244" s="380"/>
      <c r="L1244" s="403">
        <v>0</v>
      </c>
    </row>
    <row r="1245" spans="1:12" ht="15" customHeight="1" x14ac:dyDescent="0.25">
      <c r="A1245" s="380" t="s">
        <v>4265</v>
      </c>
      <c r="B1245" s="380" t="s">
        <v>1869</v>
      </c>
      <c r="C1245" s="380" t="s">
        <v>1712</v>
      </c>
      <c r="D1245" s="380" t="s">
        <v>1328</v>
      </c>
      <c r="E1245" s="380" t="s">
        <v>330</v>
      </c>
      <c r="F1245" s="380" t="s">
        <v>1649</v>
      </c>
      <c r="G1245" s="380" t="s">
        <v>1297</v>
      </c>
      <c r="H1245" s="380" t="s">
        <v>4266</v>
      </c>
      <c r="I1245" s="380" t="s">
        <v>4192</v>
      </c>
      <c r="J1245" s="380"/>
      <c r="K1245" s="380"/>
      <c r="L1245" s="403">
        <v>0</v>
      </c>
    </row>
    <row r="1246" spans="1:12" ht="15" customHeight="1" x14ac:dyDescent="0.25">
      <c r="A1246" s="380" t="s">
        <v>4267</v>
      </c>
      <c r="B1246" s="380" t="s">
        <v>1869</v>
      </c>
      <c r="C1246" s="380" t="s">
        <v>1712</v>
      </c>
      <c r="D1246" s="380" t="s">
        <v>1328</v>
      </c>
      <c r="E1246" s="380" t="s">
        <v>330</v>
      </c>
      <c r="F1246" s="380" t="s">
        <v>1649</v>
      </c>
      <c r="G1246" s="380" t="s">
        <v>1299</v>
      </c>
      <c r="H1246" s="380" t="s">
        <v>4268</v>
      </c>
      <c r="I1246" s="380" t="s">
        <v>4192</v>
      </c>
      <c r="J1246" s="380"/>
      <c r="K1246" s="380"/>
      <c r="L1246" s="403">
        <v>0</v>
      </c>
    </row>
    <row r="1247" spans="1:12" ht="15" customHeight="1" x14ac:dyDescent="0.25">
      <c r="A1247" s="380" t="s">
        <v>4269</v>
      </c>
      <c r="B1247" s="380" t="s">
        <v>1869</v>
      </c>
      <c r="C1247" s="380" t="s">
        <v>1712</v>
      </c>
      <c r="D1247" s="380" t="s">
        <v>1328</v>
      </c>
      <c r="E1247" s="380" t="s">
        <v>330</v>
      </c>
      <c r="F1247" s="380" t="s">
        <v>1649</v>
      </c>
      <c r="G1247" s="380" t="s">
        <v>1301</v>
      </c>
      <c r="H1247" s="380" t="s">
        <v>4270</v>
      </c>
      <c r="I1247" s="380" t="s">
        <v>4192</v>
      </c>
      <c r="J1247" s="380"/>
      <c r="K1247" s="380"/>
      <c r="L1247" s="403">
        <v>0</v>
      </c>
    </row>
    <row r="1248" spans="1:12" ht="15" customHeight="1" x14ac:dyDescent="0.25">
      <c r="A1248" s="380" t="s">
        <v>4271</v>
      </c>
      <c r="B1248" s="380" t="s">
        <v>1869</v>
      </c>
      <c r="C1248" s="380" t="s">
        <v>1712</v>
      </c>
      <c r="D1248" s="380" t="s">
        <v>1338</v>
      </c>
      <c r="E1248" s="380" t="s">
        <v>330</v>
      </c>
      <c r="F1248" s="380" t="s">
        <v>1649</v>
      </c>
      <c r="G1248" s="380" t="s">
        <v>1339</v>
      </c>
      <c r="H1248" s="380" t="s">
        <v>4272</v>
      </c>
      <c r="I1248" s="380" t="s">
        <v>4192</v>
      </c>
      <c r="J1248" s="380"/>
      <c r="K1248" s="380"/>
      <c r="L1248" s="403">
        <v>0.3</v>
      </c>
    </row>
    <row r="1249" spans="1:12" ht="15" customHeight="1" x14ac:dyDescent="0.25">
      <c r="A1249" s="380" t="s">
        <v>4273</v>
      </c>
      <c r="B1249" s="380" t="s">
        <v>1869</v>
      </c>
      <c r="C1249" s="380" t="s">
        <v>1712</v>
      </c>
      <c r="D1249" s="380" t="s">
        <v>1966</v>
      </c>
      <c r="E1249" s="380" t="s">
        <v>330</v>
      </c>
      <c r="F1249" s="380" t="s">
        <v>1649</v>
      </c>
      <c r="G1249" s="380" t="s">
        <v>1277</v>
      </c>
      <c r="H1249" s="380" t="s">
        <v>4274</v>
      </c>
      <c r="I1249" s="380" t="s">
        <v>1746</v>
      </c>
      <c r="J1249" s="380"/>
      <c r="K1249" s="380"/>
      <c r="L1249" s="403">
        <v>0</v>
      </c>
    </row>
    <row r="1250" spans="1:12" ht="15" customHeight="1" x14ac:dyDescent="0.25">
      <c r="A1250" s="380" t="s">
        <v>4275</v>
      </c>
      <c r="B1250" s="380" t="s">
        <v>1869</v>
      </c>
      <c r="C1250" s="380" t="s">
        <v>1712</v>
      </c>
      <c r="D1250" s="380" t="s">
        <v>1971</v>
      </c>
      <c r="E1250" s="380" t="s">
        <v>330</v>
      </c>
      <c r="F1250" s="380" t="s">
        <v>1649</v>
      </c>
      <c r="G1250" s="380" t="s">
        <v>1277</v>
      </c>
      <c r="H1250" s="380" t="s">
        <v>4276</v>
      </c>
      <c r="I1250" s="380" t="s">
        <v>1566</v>
      </c>
      <c r="J1250" s="380"/>
      <c r="K1250" s="380"/>
      <c r="L1250" s="403">
        <v>0</v>
      </c>
    </row>
    <row r="1251" spans="1:12" ht="15" customHeight="1" x14ac:dyDescent="0.25">
      <c r="A1251" s="380" t="s">
        <v>4277</v>
      </c>
      <c r="B1251" s="380" t="s">
        <v>1874</v>
      </c>
      <c r="C1251" s="380" t="s">
        <v>1712</v>
      </c>
      <c r="D1251" s="380" t="s">
        <v>1890</v>
      </c>
      <c r="E1251" s="380" t="s">
        <v>330</v>
      </c>
      <c r="F1251" s="380" t="s">
        <v>1649</v>
      </c>
      <c r="G1251" s="380" t="s">
        <v>1277</v>
      </c>
      <c r="H1251" s="380" t="s">
        <v>4278</v>
      </c>
      <c r="I1251" s="380" t="s">
        <v>1651</v>
      </c>
      <c r="J1251" s="380" t="s">
        <v>4181</v>
      </c>
      <c r="K1251" s="380" t="s">
        <v>3939</v>
      </c>
      <c r="L1251" s="406">
        <v>0.05</v>
      </c>
    </row>
    <row r="1252" spans="1:12" ht="15" customHeight="1" x14ac:dyDescent="0.25">
      <c r="A1252" s="380" t="s">
        <v>4279</v>
      </c>
      <c r="B1252" s="380" t="s">
        <v>1874</v>
      </c>
      <c r="C1252" s="380" t="s">
        <v>1712</v>
      </c>
      <c r="D1252" s="380" t="s">
        <v>1895</v>
      </c>
      <c r="E1252" s="380" t="s">
        <v>330</v>
      </c>
      <c r="F1252" s="380" t="s">
        <v>1649</v>
      </c>
      <c r="G1252" s="380" t="s">
        <v>1277</v>
      </c>
      <c r="H1252" s="380" t="s">
        <v>4280</v>
      </c>
      <c r="I1252" s="380" t="s">
        <v>1897</v>
      </c>
      <c r="J1252" s="380"/>
      <c r="K1252" s="380"/>
      <c r="L1252" s="404">
        <v>0.5</v>
      </c>
    </row>
    <row r="1253" spans="1:12" ht="15" customHeight="1" x14ac:dyDescent="0.25">
      <c r="A1253" s="380" t="s">
        <v>4281</v>
      </c>
      <c r="B1253" s="380" t="s">
        <v>1874</v>
      </c>
      <c r="C1253" s="380" t="s">
        <v>1712</v>
      </c>
      <c r="D1253" s="380" t="s">
        <v>1900</v>
      </c>
      <c r="E1253" s="380" t="s">
        <v>330</v>
      </c>
      <c r="F1253" s="380" t="s">
        <v>1649</v>
      </c>
      <c r="G1253" s="380" t="s">
        <v>1277</v>
      </c>
      <c r="H1253" s="380" t="s">
        <v>4282</v>
      </c>
      <c r="I1253" s="380" t="s">
        <v>1902</v>
      </c>
      <c r="J1253" s="380"/>
      <c r="K1253" s="380"/>
      <c r="L1253" s="404">
        <v>0.15</v>
      </c>
    </row>
    <row r="1254" spans="1:12" ht="15" customHeight="1" x14ac:dyDescent="0.25">
      <c r="A1254" s="380" t="s">
        <v>4283</v>
      </c>
      <c r="B1254" s="380" t="s">
        <v>1874</v>
      </c>
      <c r="C1254" s="380" t="s">
        <v>1712</v>
      </c>
      <c r="D1254" s="380" t="s">
        <v>1905</v>
      </c>
      <c r="E1254" s="380" t="s">
        <v>330</v>
      </c>
      <c r="F1254" s="380" t="s">
        <v>1649</v>
      </c>
      <c r="G1254" s="380" t="s">
        <v>1277</v>
      </c>
      <c r="H1254" s="380" t="s">
        <v>4284</v>
      </c>
      <c r="I1254" s="380" t="s">
        <v>1902</v>
      </c>
      <c r="J1254" s="380"/>
      <c r="K1254" s="380"/>
      <c r="L1254" s="404">
        <v>0.03</v>
      </c>
    </row>
    <row r="1255" spans="1:12" ht="15" customHeight="1" x14ac:dyDescent="0.25">
      <c r="A1255" s="380" t="s">
        <v>4285</v>
      </c>
      <c r="B1255" s="380" t="s">
        <v>1874</v>
      </c>
      <c r="C1255" s="380" t="s">
        <v>1712</v>
      </c>
      <c r="D1255" s="380" t="s">
        <v>1909</v>
      </c>
      <c r="E1255" s="380" t="s">
        <v>330</v>
      </c>
      <c r="F1255" s="380" t="s">
        <v>1649</v>
      </c>
      <c r="G1255" s="380" t="s">
        <v>1277</v>
      </c>
      <c r="H1255" s="380" t="s">
        <v>4286</v>
      </c>
      <c r="I1255" s="380" t="s">
        <v>1902</v>
      </c>
      <c r="J1255" s="380"/>
      <c r="K1255" s="380"/>
      <c r="L1255" s="404">
        <v>0.1</v>
      </c>
    </row>
    <row r="1256" spans="1:12" ht="15" customHeight="1" x14ac:dyDescent="0.25">
      <c r="A1256" s="380" t="s">
        <v>4287</v>
      </c>
      <c r="B1256" s="380" t="s">
        <v>1874</v>
      </c>
      <c r="C1256" s="380" t="s">
        <v>1712</v>
      </c>
      <c r="D1256" s="380" t="s">
        <v>1317</v>
      </c>
      <c r="E1256" s="380" t="s">
        <v>330</v>
      </c>
      <c r="F1256" s="380" t="s">
        <v>1649</v>
      </c>
      <c r="G1256" s="380" t="s">
        <v>757</v>
      </c>
      <c r="H1256" s="380" t="s">
        <v>4288</v>
      </c>
      <c r="I1256" s="380" t="s">
        <v>4192</v>
      </c>
      <c r="J1256" s="380" t="s">
        <v>3950</v>
      </c>
      <c r="K1256" s="380" t="s">
        <v>1916</v>
      </c>
      <c r="L1256" s="403">
        <v>0</v>
      </c>
    </row>
    <row r="1257" spans="1:12" ht="15" customHeight="1" x14ac:dyDescent="0.25">
      <c r="A1257" s="380" t="s">
        <v>4289</v>
      </c>
      <c r="B1257" s="380" t="s">
        <v>1874</v>
      </c>
      <c r="C1257" s="380" t="s">
        <v>1712</v>
      </c>
      <c r="D1257" s="380" t="s">
        <v>1317</v>
      </c>
      <c r="E1257" s="380" t="s">
        <v>330</v>
      </c>
      <c r="F1257" s="380" t="s">
        <v>1649</v>
      </c>
      <c r="G1257" s="380" t="s">
        <v>754</v>
      </c>
      <c r="H1257" s="380" t="s">
        <v>4290</v>
      </c>
      <c r="I1257" s="380" t="s">
        <v>4192</v>
      </c>
      <c r="J1257" s="380" t="s">
        <v>3950</v>
      </c>
      <c r="K1257" s="380" t="s">
        <v>1916</v>
      </c>
      <c r="L1257" s="403">
        <v>5</v>
      </c>
    </row>
    <row r="1258" spans="1:12" ht="15" customHeight="1" x14ac:dyDescent="0.25">
      <c r="A1258" s="380" t="s">
        <v>4291</v>
      </c>
      <c r="B1258" s="380" t="s">
        <v>1874</v>
      </c>
      <c r="C1258" s="380" t="s">
        <v>1712</v>
      </c>
      <c r="D1258" s="380" t="s">
        <v>1317</v>
      </c>
      <c r="E1258" s="380" t="s">
        <v>330</v>
      </c>
      <c r="F1258" s="380" t="s">
        <v>1649</v>
      </c>
      <c r="G1258" s="380" t="s">
        <v>1292</v>
      </c>
      <c r="H1258" s="380" t="s">
        <v>4292</v>
      </c>
      <c r="I1258" s="380" t="s">
        <v>4192</v>
      </c>
      <c r="J1258" s="380" t="s">
        <v>3950</v>
      </c>
      <c r="K1258" s="380" t="s">
        <v>1916</v>
      </c>
      <c r="L1258" s="403">
        <v>0</v>
      </c>
    </row>
    <row r="1259" spans="1:12" ht="15" customHeight="1" x14ac:dyDescent="0.25">
      <c r="A1259" s="380" t="s">
        <v>4293</v>
      </c>
      <c r="B1259" s="380" t="s">
        <v>1874</v>
      </c>
      <c r="C1259" s="380" t="s">
        <v>1712</v>
      </c>
      <c r="D1259" s="380" t="s">
        <v>1317</v>
      </c>
      <c r="E1259" s="380" t="s">
        <v>330</v>
      </c>
      <c r="F1259" s="380" t="s">
        <v>1649</v>
      </c>
      <c r="G1259" s="380" t="s">
        <v>762</v>
      </c>
      <c r="H1259" s="380" t="s">
        <v>4294</v>
      </c>
      <c r="I1259" s="380" t="s">
        <v>4192</v>
      </c>
      <c r="J1259" s="380" t="s">
        <v>3950</v>
      </c>
      <c r="K1259" s="380" t="s">
        <v>1916</v>
      </c>
      <c r="L1259" s="403">
        <v>0</v>
      </c>
    </row>
    <row r="1260" spans="1:12" ht="15" customHeight="1" x14ac:dyDescent="0.25">
      <c r="A1260" s="380" t="s">
        <v>4295</v>
      </c>
      <c r="B1260" s="380" t="s">
        <v>1874</v>
      </c>
      <c r="C1260" s="380" t="s">
        <v>1712</v>
      </c>
      <c r="D1260" s="380" t="s">
        <v>1317</v>
      </c>
      <c r="E1260" s="380" t="s">
        <v>330</v>
      </c>
      <c r="F1260" s="380" t="s">
        <v>1649</v>
      </c>
      <c r="G1260" s="380" t="s">
        <v>1295</v>
      </c>
      <c r="H1260" s="380" t="s">
        <v>4296</v>
      </c>
      <c r="I1260" s="380" t="s">
        <v>4192</v>
      </c>
      <c r="J1260" s="380" t="s">
        <v>3950</v>
      </c>
      <c r="K1260" s="380" t="s">
        <v>1916</v>
      </c>
      <c r="L1260" s="403">
        <v>0</v>
      </c>
    </row>
    <row r="1261" spans="1:12" ht="15" customHeight="1" x14ac:dyDescent="0.25">
      <c r="A1261" s="380" t="s">
        <v>4297</v>
      </c>
      <c r="B1261" s="380" t="s">
        <v>1874</v>
      </c>
      <c r="C1261" s="380" t="s">
        <v>1712</v>
      </c>
      <c r="D1261" s="380" t="s">
        <v>1317</v>
      </c>
      <c r="E1261" s="380" t="s">
        <v>330</v>
      </c>
      <c r="F1261" s="380" t="s">
        <v>1649</v>
      </c>
      <c r="G1261" s="380" t="s">
        <v>1297</v>
      </c>
      <c r="H1261" s="380" t="s">
        <v>4298</v>
      </c>
      <c r="I1261" s="380" t="s">
        <v>4192</v>
      </c>
      <c r="J1261" s="380" t="s">
        <v>3950</v>
      </c>
      <c r="K1261" s="380" t="s">
        <v>1916</v>
      </c>
      <c r="L1261" s="403">
        <v>0</v>
      </c>
    </row>
    <row r="1262" spans="1:12" ht="15" customHeight="1" x14ac:dyDescent="0.25">
      <c r="A1262" s="380" t="s">
        <v>4299</v>
      </c>
      <c r="B1262" s="380" t="s">
        <v>1874</v>
      </c>
      <c r="C1262" s="380" t="s">
        <v>1712</v>
      </c>
      <c r="D1262" s="380" t="s">
        <v>1317</v>
      </c>
      <c r="E1262" s="380" t="s">
        <v>330</v>
      </c>
      <c r="F1262" s="380" t="s">
        <v>1649</v>
      </c>
      <c r="G1262" s="380" t="s">
        <v>1299</v>
      </c>
      <c r="H1262" s="380" t="s">
        <v>4300</v>
      </c>
      <c r="I1262" s="380" t="s">
        <v>4192</v>
      </c>
      <c r="J1262" s="380" t="s">
        <v>3950</v>
      </c>
      <c r="K1262" s="380" t="s">
        <v>1916</v>
      </c>
      <c r="L1262" s="403">
        <v>0</v>
      </c>
    </row>
    <row r="1263" spans="1:12" ht="15" customHeight="1" x14ac:dyDescent="0.25">
      <c r="A1263" s="380" t="s">
        <v>4301</v>
      </c>
      <c r="B1263" s="380" t="s">
        <v>1874</v>
      </c>
      <c r="C1263" s="380" t="s">
        <v>1712</v>
      </c>
      <c r="D1263" s="380" t="s">
        <v>1317</v>
      </c>
      <c r="E1263" s="380" t="s">
        <v>330</v>
      </c>
      <c r="F1263" s="380" t="s">
        <v>1649</v>
      </c>
      <c r="G1263" s="380" t="s">
        <v>1301</v>
      </c>
      <c r="H1263" s="380" t="s">
        <v>4302</v>
      </c>
      <c r="I1263" s="380" t="s">
        <v>4192</v>
      </c>
      <c r="J1263" s="380" t="s">
        <v>3950</v>
      </c>
      <c r="K1263" s="380" t="s">
        <v>1916</v>
      </c>
      <c r="L1263" s="403">
        <v>0</v>
      </c>
    </row>
    <row r="1264" spans="1:12" ht="15" customHeight="1" x14ac:dyDescent="0.25">
      <c r="A1264" s="380" t="s">
        <v>4303</v>
      </c>
      <c r="B1264" s="380" t="s">
        <v>1874</v>
      </c>
      <c r="C1264" s="380" t="s">
        <v>1712</v>
      </c>
      <c r="D1264" s="380" t="s">
        <v>1328</v>
      </c>
      <c r="E1264" s="380" t="s">
        <v>330</v>
      </c>
      <c r="F1264" s="380" t="s">
        <v>1649</v>
      </c>
      <c r="G1264" s="380" t="s">
        <v>757</v>
      </c>
      <c r="H1264" s="380" t="s">
        <v>4304</v>
      </c>
      <c r="I1264" s="380" t="s">
        <v>4192</v>
      </c>
      <c r="J1264" s="380"/>
      <c r="K1264" s="380"/>
      <c r="L1264" s="403">
        <v>0</v>
      </c>
    </row>
    <row r="1265" spans="1:12" ht="15" customHeight="1" x14ac:dyDescent="0.25">
      <c r="A1265" s="380" t="s">
        <v>4305</v>
      </c>
      <c r="B1265" s="380" t="s">
        <v>1874</v>
      </c>
      <c r="C1265" s="380" t="s">
        <v>1712</v>
      </c>
      <c r="D1265" s="380" t="s">
        <v>1328</v>
      </c>
      <c r="E1265" s="380" t="s">
        <v>330</v>
      </c>
      <c r="F1265" s="380" t="s">
        <v>1649</v>
      </c>
      <c r="G1265" s="380" t="s">
        <v>754</v>
      </c>
      <c r="H1265" s="380" t="s">
        <v>4306</v>
      </c>
      <c r="I1265" s="380" t="s">
        <v>4192</v>
      </c>
      <c r="J1265" s="380"/>
      <c r="K1265" s="380"/>
      <c r="L1265" s="403">
        <v>0</v>
      </c>
    </row>
    <row r="1266" spans="1:12" ht="15" customHeight="1" x14ac:dyDescent="0.25">
      <c r="A1266" s="380" t="s">
        <v>4307</v>
      </c>
      <c r="B1266" s="380" t="s">
        <v>1874</v>
      </c>
      <c r="C1266" s="380" t="s">
        <v>1712</v>
      </c>
      <c r="D1266" s="380" t="s">
        <v>1328</v>
      </c>
      <c r="E1266" s="380" t="s">
        <v>330</v>
      </c>
      <c r="F1266" s="380" t="s">
        <v>1649</v>
      </c>
      <c r="G1266" s="380" t="s">
        <v>1292</v>
      </c>
      <c r="H1266" s="380" t="s">
        <v>4308</v>
      </c>
      <c r="I1266" s="380" t="s">
        <v>4192</v>
      </c>
      <c r="J1266" s="380"/>
      <c r="K1266" s="380"/>
      <c r="L1266" s="403">
        <v>0</v>
      </c>
    </row>
    <row r="1267" spans="1:12" ht="15" customHeight="1" x14ac:dyDescent="0.25">
      <c r="A1267" s="380" t="s">
        <v>4309</v>
      </c>
      <c r="B1267" s="380" t="s">
        <v>1874</v>
      </c>
      <c r="C1267" s="380" t="s">
        <v>1712</v>
      </c>
      <c r="D1267" s="380" t="s">
        <v>1328</v>
      </c>
      <c r="E1267" s="380" t="s">
        <v>330</v>
      </c>
      <c r="F1267" s="380" t="s">
        <v>1649</v>
      </c>
      <c r="G1267" s="380" t="s">
        <v>762</v>
      </c>
      <c r="H1267" s="380" t="s">
        <v>4310</v>
      </c>
      <c r="I1267" s="380" t="s">
        <v>4192</v>
      </c>
      <c r="J1267" s="380"/>
      <c r="K1267" s="380"/>
      <c r="L1267" s="403">
        <v>0</v>
      </c>
    </row>
    <row r="1268" spans="1:12" ht="15" customHeight="1" x14ac:dyDescent="0.25">
      <c r="A1268" s="380" t="s">
        <v>4311</v>
      </c>
      <c r="B1268" s="380" t="s">
        <v>1874</v>
      </c>
      <c r="C1268" s="380" t="s">
        <v>1712</v>
      </c>
      <c r="D1268" s="380" t="s">
        <v>1328</v>
      </c>
      <c r="E1268" s="380" t="s">
        <v>330</v>
      </c>
      <c r="F1268" s="380" t="s">
        <v>1649</v>
      </c>
      <c r="G1268" s="380" t="s">
        <v>1295</v>
      </c>
      <c r="H1268" s="380" t="s">
        <v>4312</v>
      </c>
      <c r="I1268" s="380" t="s">
        <v>4192</v>
      </c>
      <c r="J1268" s="380"/>
      <c r="K1268" s="380"/>
      <c r="L1268" s="403">
        <v>0</v>
      </c>
    </row>
    <row r="1269" spans="1:12" ht="15" customHeight="1" x14ac:dyDescent="0.25">
      <c r="A1269" s="380" t="s">
        <v>4313</v>
      </c>
      <c r="B1269" s="380" t="s">
        <v>1874</v>
      </c>
      <c r="C1269" s="380" t="s">
        <v>1712</v>
      </c>
      <c r="D1269" s="380" t="s">
        <v>1328</v>
      </c>
      <c r="E1269" s="380" t="s">
        <v>330</v>
      </c>
      <c r="F1269" s="380" t="s">
        <v>1649</v>
      </c>
      <c r="G1269" s="380" t="s">
        <v>1297</v>
      </c>
      <c r="H1269" s="380" t="s">
        <v>4314</v>
      </c>
      <c r="I1269" s="380" t="s">
        <v>4192</v>
      </c>
      <c r="J1269" s="380"/>
      <c r="K1269" s="380"/>
      <c r="L1269" s="403">
        <v>0</v>
      </c>
    </row>
    <row r="1270" spans="1:12" ht="15" customHeight="1" x14ac:dyDescent="0.25">
      <c r="A1270" s="380" t="s">
        <v>4315</v>
      </c>
      <c r="B1270" s="380" t="s">
        <v>1874</v>
      </c>
      <c r="C1270" s="380" t="s">
        <v>1712</v>
      </c>
      <c r="D1270" s="380" t="s">
        <v>1328</v>
      </c>
      <c r="E1270" s="380" t="s">
        <v>330</v>
      </c>
      <c r="F1270" s="380" t="s">
        <v>1649</v>
      </c>
      <c r="G1270" s="380" t="s">
        <v>1299</v>
      </c>
      <c r="H1270" s="380" t="s">
        <v>4316</v>
      </c>
      <c r="I1270" s="380" t="s">
        <v>4192</v>
      </c>
      <c r="J1270" s="380"/>
      <c r="K1270" s="380"/>
      <c r="L1270" s="403">
        <v>0</v>
      </c>
    </row>
    <row r="1271" spans="1:12" ht="15" customHeight="1" x14ac:dyDescent="0.25">
      <c r="A1271" s="380" t="s">
        <v>4317</v>
      </c>
      <c r="B1271" s="380" t="s">
        <v>1874</v>
      </c>
      <c r="C1271" s="380" t="s">
        <v>1712</v>
      </c>
      <c r="D1271" s="380" t="s">
        <v>1328</v>
      </c>
      <c r="E1271" s="380" t="s">
        <v>330</v>
      </c>
      <c r="F1271" s="380" t="s">
        <v>1649</v>
      </c>
      <c r="G1271" s="380" t="s">
        <v>1301</v>
      </c>
      <c r="H1271" s="380" t="s">
        <v>4318</v>
      </c>
      <c r="I1271" s="380" t="s">
        <v>4192</v>
      </c>
      <c r="J1271" s="380"/>
      <c r="K1271" s="380"/>
      <c r="L1271" s="403">
        <v>0</v>
      </c>
    </row>
    <row r="1272" spans="1:12" ht="15" customHeight="1" x14ac:dyDescent="0.25">
      <c r="A1272" s="380" t="s">
        <v>4319</v>
      </c>
      <c r="B1272" s="380" t="s">
        <v>1874</v>
      </c>
      <c r="C1272" s="380" t="s">
        <v>1712</v>
      </c>
      <c r="D1272" s="380" t="s">
        <v>1338</v>
      </c>
      <c r="E1272" s="380" t="s">
        <v>330</v>
      </c>
      <c r="F1272" s="380" t="s">
        <v>1649</v>
      </c>
      <c r="G1272" s="380" t="s">
        <v>1339</v>
      </c>
      <c r="H1272" s="380" t="s">
        <v>4320</v>
      </c>
      <c r="I1272" s="380" t="s">
        <v>4192</v>
      </c>
      <c r="J1272" s="380"/>
      <c r="K1272" s="380"/>
      <c r="L1272" s="403">
        <v>0.3</v>
      </c>
    </row>
    <row r="1273" spans="1:12" ht="15" customHeight="1" x14ac:dyDescent="0.25">
      <c r="A1273" s="380" t="s">
        <v>4321</v>
      </c>
      <c r="B1273" s="380" t="s">
        <v>1874</v>
      </c>
      <c r="C1273" s="380" t="s">
        <v>1712</v>
      </c>
      <c r="D1273" s="380" t="s">
        <v>1966</v>
      </c>
      <c r="E1273" s="380" t="s">
        <v>330</v>
      </c>
      <c r="F1273" s="380" t="s">
        <v>1649</v>
      </c>
      <c r="G1273" s="380" t="s">
        <v>1277</v>
      </c>
      <c r="H1273" s="380" t="s">
        <v>4322</v>
      </c>
      <c r="I1273" s="380" t="s">
        <v>1746</v>
      </c>
      <c r="J1273" s="380"/>
      <c r="K1273" s="380"/>
      <c r="L1273" s="403">
        <v>0</v>
      </c>
    </row>
    <row r="1274" spans="1:12" ht="15" customHeight="1" x14ac:dyDescent="0.25">
      <c r="A1274" s="380" t="s">
        <v>4323</v>
      </c>
      <c r="B1274" s="380" t="s">
        <v>1874</v>
      </c>
      <c r="C1274" s="380" t="s">
        <v>1712</v>
      </c>
      <c r="D1274" s="380" t="s">
        <v>1971</v>
      </c>
      <c r="E1274" s="380" t="s">
        <v>330</v>
      </c>
      <c r="F1274" s="380" t="s">
        <v>1649</v>
      </c>
      <c r="G1274" s="380" t="s">
        <v>1277</v>
      </c>
      <c r="H1274" s="380" t="s">
        <v>4324</v>
      </c>
      <c r="I1274" s="380" t="s">
        <v>1566</v>
      </c>
      <c r="J1274" s="380"/>
      <c r="K1274" s="380"/>
      <c r="L1274" s="403">
        <v>0</v>
      </c>
    </row>
    <row r="1275" spans="1:12" ht="15" customHeight="1" x14ac:dyDescent="0.25">
      <c r="A1275" s="380" t="s">
        <v>4325</v>
      </c>
      <c r="B1275" s="380" t="s">
        <v>1879</v>
      </c>
      <c r="C1275" s="380" t="s">
        <v>1712</v>
      </c>
      <c r="D1275" s="380" t="s">
        <v>1890</v>
      </c>
      <c r="E1275" s="380" t="s">
        <v>330</v>
      </c>
      <c r="F1275" s="380" t="s">
        <v>1649</v>
      </c>
      <c r="G1275" s="380" t="s">
        <v>1277</v>
      </c>
      <c r="H1275" s="380" t="s">
        <v>4326</v>
      </c>
      <c r="I1275" s="380" t="s">
        <v>1651</v>
      </c>
      <c r="J1275" s="380" t="s">
        <v>4181</v>
      </c>
      <c r="K1275" s="380" t="s">
        <v>3939</v>
      </c>
      <c r="L1275" s="406">
        <v>0.02</v>
      </c>
    </row>
    <row r="1276" spans="1:12" ht="15" customHeight="1" x14ac:dyDescent="0.25">
      <c r="A1276" s="380" t="s">
        <v>4327</v>
      </c>
      <c r="B1276" s="380" t="s">
        <v>1879</v>
      </c>
      <c r="C1276" s="380" t="s">
        <v>1712</v>
      </c>
      <c r="D1276" s="380" t="s">
        <v>1895</v>
      </c>
      <c r="E1276" s="380" t="s">
        <v>330</v>
      </c>
      <c r="F1276" s="380" t="s">
        <v>1649</v>
      </c>
      <c r="G1276" s="380" t="s">
        <v>1277</v>
      </c>
      <c r="H1276" s="380" t="s">
        <v>4328</v>
      </c>
      <c r="I1276" s="380" t="s">
        <v>1897</v>
      </c>
      <c r="J1276" s="380"/>
      <c r="K1276" s="380"/>
      <c r="L1276" s="404">
        <v>0.5</v>
      </c>
    </row>
    <row r="1277" spans="1:12" ht="15" customHeight="1" x14ac:dyDescent="0.25">
      <c r="A1277" s="380" t="s">
        <v>4329</v>
      </c>
      <c r="B1277" s="380" t="s">
        <v>1879</v>
      </c>
      <c r="C1277" s="380" t="s">
        <v>1712</v>
      </c>
      <c r="D1277" s="380" t="s">
        <v>1900</v>
      </c>
      <c r="E1277" s="380" t="s">
        <v>330</v>
      </c>
      <c r="F1277" s="380" t="s">
        <v>1649</v>
      </c>
      <c r="G1277" s="380" t="s">
        <v>1277</v>
      </c>
      <c r="H1277" s="380" t="s">
        <v>4330</v>
      </c>
      <c r="I1277" s="380" t="s">
        <v>1902</v>
      </c>
      <c r="J1277" s="380"/>
      <c r="K1277" s="380"/>
      <c r="L1277" s="404">
        <v>0.2</v>
      </c>
    </row>
    <row r="1278" spans="1:12" ht="15" customHeight="1" x14ac:dyDescent="0.25">
      <c r="A1278" s="380" t="s">
        <v>4331</v>
      </c>
      <c r="B1278" s="380" t="s">
        <v>1879</v>
      </c>
      <c r="C1278" s="380" t="s">
        <v>1712</v>
      </c>
      <c r="D1278" s="380" t="s">
        <v>1905</v>
      </c>
      <c r="E1278" s="380" t="s">
        <v>330</v>
      </c>
      <c r="F1278" s="380" t="s">
        <v>1649</v>
      </c>
      <c r="G1278" s="380" t="s">
        <v>1277</v>
      </c>
      <c r="H1278" s="380" t="s">
        <v>4332</v>
      </c>
      <c r="I1278" s="380" t="s">
        <v>1902</v>
      </c>
      <c r="J1278" s="380"/>
      <c r="K1278" s="380"/>
      <c r="L1278" s="404">
        <v>0.03</v>
      </c>
    </row>
    <row r="1279" spans="1:12" ht="15" customHeight="1" x14ac:dyDescent="0.25">
      <c r="A1279" s="380" t="s">
        <v>4333</v>
      </c>
      <c r="B1279" s="380" t="s">
        <v>1879</v>
      </c>
      <c r="C1279" s="380" t="s">
        <v>1712</v>
      </c>
      <c r="D1279" s="380" t="s">
        <v>1909</v>
      </c>
      <c r="E1279" s="380" t="s">
        <v>330</v>
      </c>
      <c r="F1279" s="380" t="s">
        <v>1649</v>
      </c>
      <c r="G1279" s="380" t="s">
        <v>1277</v>
      </c>
      <c r="H1279" s="380" t="s">
        <v>4334</v>
      </c>
      <c r="I1279" s="380" t="s">
        <v>1902</v>
      </c>
      <c r="J1279" s="380"/>
      <c r="K1279" s="380"/>
      <c r="L1279" s="404">
        <v>0.1</v>
      </c>
    </row>
    <row r="1280" spans="1:12" ht="15" customHeight="1" x14ac:dyDescent="0.25">
      <c r="A1280" s="380" t="s">
        <v>4335</v>
      </c>
      <c r="B1280" s="380" t="s">
        <v>1879</v>
      </c>
      <c r="C1280" s="380" t="s">
        <v>1712</v>
      </c>
      <c r="D1280" s="380" t="s">
        <v>1317</v>
      </c>
      <c r="E1280" s="380" t="s">
        <v>330</v>
      </c>
      <c r="F1280" s="380" t="s">
        <v>1649</v>
      </c>
      <c r="G1280" s="380" t="s">
        <v>757</v>
      </c>
      <c r="H1280" s="380" t="s">
        <v>4336</v>
      </c>
      <c r="I1280" s="380" t="s">
        <v>4192</v>
      </c>
      <c r="J1280" s="380" t="s">
        <v>3950</v>
      </c>
      <c r="K1280" s="380" t="s">
        <v>1916</v>
      </c>
      <c r="L1280" s="403">
        <v>0</v>
      </c>
    </row>
    <row r="1281" spans="1:12" ht="15" customHeight="1" x14ac:dyDescent="0.25">
      <c r="A1281" s="380" t="s">
        <v>4337</v>
      </c>
      <c r="B1281" s="380" t="s">
        <v>1879</v>
      </c>
      <c r="C1281" s="380" t="s">
        <v>1712</v>
      </c>
      <c r="D1281" s="380" t="s">
        <v>1317</v>
      </c>
      <c r="E1281" s="380" t="s">
        <v>330</v>
      </c>
      <c r="F1281" s="380" t="s">
        <v>1649</v>
      </c>
      <c r="G1281" s="380" t="s">
        <v>754</v>
      </c>
      <c r="H1281" s="380" t="s">
        <v>4338</v>
      </c>
      <c r="I1281" s="380" t="s">
        <v>4192</v>
      </c>
      <c r="J1281" s="380" t="s">
        <v>3950</v>
      </c>
      <c r="K1281" s="380" t="s">
        <v>1916</v>
      </c>
      <c r="L1281" s="403">
        <v>3</v>
      </c>
    </row>
    <row r="1282" spans="1:12" ht="15" customHeight="1" x14ac:dyDescent="0.25">
      <c r="A1282" s="380" t="s">
        <v>4339</v>
      </c>
      <c r="B1282" s="380" t="s">
        <v>1879</v>
      </c>
      <c r="C1282" s="380" t="s">
        <v>1712</v>
      </c>
      <c r="D1282" s="380" t="s">
        <v>1317</v>
      </c>
      <c r="E1282" s="380" t="s">
        <v>330</v>
      </c>
      <c r="F1282" s="380" t="s">
        <v>1649</v>
      </c>
      <c r="G1282" s="380" t="s">
        <v>1292</v>
      </c>
      <c r="H1282" s="380" t="s">
        <v>4340</v>
      </c>
      <c r="I1282" s="380" t="s">
        <v>4192</v>
      </c>
      <c r="J1282" s="380" t="s">
        <v>3950</v>
      </c>
      <c r="K1282" s="380" t="s">
        <v>1916</v>
      </c>
      <c r="L1282" s="403">
        <v>0</v>
      </c>
    </row>
    <row r="1283" spans="1:12" ht="15" customHeight="1" x14ac:dyDescent="0.25">
      <c r="A1283" s="380" t="s">
        <v>4341</v>
      </c>
      <c r="B1283" s="380" t="s">
        <v>1879</v>
      </c>
      <c r="C1283" s="380" t="s">
        <v>1712</v>
      </c>
      <c r="D1283" s="380" t="s">
        <v>1317</v>
      </c>
      <c r="E1283" s="380" t="s">
        <v>330</v>
      </c>
      <c r="F1283" s="380" t="s">
        <v>1649</v>
      </c>
      <c r="G1283" s="380" t="s">
        <v>762</v>
      </c>
      <c r="H1283" s="380" t="s">
        <v>4342</v>
      </c>
      <c r="I1283" s="380" t="s">
        <v>4192</v>
      </c>
      <c r="J1283" s="380" t="s">
        <v>3950</v>
      </c>
      <c r="K1283" s="380" t="s">
        <v>1916</v>
      </c>
      <c r="L1283" s="403">
        <v>0</v>
      </c>
    </row>
    <row r="1284" spans="1:12" ht="15" customHeight="1" x14ac:dyDescent="0.25">
      <c r="A1284" s="380" t="s">
        <v>4343</v>
      </c>
      <c r="B1284" s="380" t="s">
        <v>1879</v>
      </c>
      <c r="C1284" s="380" t="s">
        <v>1712</v>
      </c>
      <c r="D1284" s="380" t="s">
        <v>1317</v>
      </c>
      <c r="E1284" s="380" t="s">
        <v>330</v>
      </c>
      <c r="F1284" s="380" t="s">
        <v>1649</v>
      </c>
      <c r="G1284" s="380" t="s">
        <v>1295</v>
      </c>
      <c r="H1284" s="380" t="s">
        <v>4344</v>
      </c>
      <c r="I1284" s="380" t="s">
        <v>4192</v>
      </c>
      <c r="J1284" s="380" t="s">
        <v>3950</v>
      </c>
      <c r="K1284" s="380" t="s">
        <v>1916</v>
      </c>
      <c r="L1284" s="403">
        <v>0</v>
      </c>
    </row>
    <row r="1285" spans="1:12" ht="15" customHeight="1" x14ac:dyDescent="0.25">
      <c r="A1285" s="380" t="s">
        <v>4345</v>
      </c>
      <c r="B1285" s="380" t="s">
        <v>1879</v>
      </c>
      <c r="C1285" s="380" t="s">
        <v>1712</v>
      </c>
      <c r="D1285" s="380" t="s">
        <v>1317</v>
      </c>
      <c r="E1285" s="380" t="s">
        <v>330</v>
      </c>
      <c r="F1285" s="380" t="s">
        <v>1649</v>
      </c>
      <c r="G1285" s="380" t="s">
        <v>1297</v>
      </c>
      <c r="H1285" s="380" t="s">
        <v>4346</v>
      </c>
      <c r="I1285" s="380" t="s">
        <v>4192</v>
      </c>
      <c r="J1285" s="380" t="s">
        <v>3950</v>
      </c>
      <c r="K1285" s="380" t="s">
        <v>1916</v>
      </c>
      <c r="L1285" s="403">
        <v>0</v>
      </c>
    </row>
    <row r="1286" spans="1:12" ht="15" customHeight="1" x14ac:dyDescent="0.25">
      <c r="A1286" s="380" t="s">
        <v>4347</v>
      </c>
      <c r="B1286" s="380" t="s">
        <v>1879</v>
      </c>
      <c r="C1286" s="380" t="s">
        <v>1712</v>
      </c>
      <c r="D1286" s="380" t="s">
        <v>1317</v>
      </c>
      <c r="E1286" s="380" t="s">
        <v>330</v>
      </c>
      <c r="F1286" s="380" t="s">
        <v>1649</v>
      </c>
      <c r="G1286" s="380" t="s">
        <v>1299</v>
      </c>
      <c r="H1286" s="380" t="s">
        <v>4348</v>
      </c>
      <c r="I1286" s="380" t="s">
        <v>4192</v>
      </c>
      <c r="J1286" s="380" t="s">
        <v>3950</v>
      </c>
      <c r="K1286" s="380" t="s">
        <v>1916</v>
      </c>
      <c r="L1286" s="403">
        <v>0</v>
      </c>
    </row>
    <row r="1287" spans="1:12" ht="15" customHeight="1" x14ac:dyDescent="0.25">
      <c r="A1287" s="380" t="s">
        <v>4349</v>
      </c>
      <c r="B1287" s="380" t="s">
        <v>1879</v>
      </c>
      <c r="C1287" s="380" t="s">
        <v>1712</v>
      </c>
      <c r="D1287" s="380" t="s">
        <v>1317</v>
      </c>
      <c r="E1287" s="380" t="s">
        <v>330</v>
      </c>
      <c r="F1287" s="380" t="s">
        <v>1649</v>
      </c>
      <c r="G1287" s="380" t="s">
        <v>1301</v>
      </c>
      <c r="H1287" s="380" t="s">
        <v>4350</v>
      </c>
      <c r="I1287" s="380" t="s">
        <v>4192</v>
      </c>
      <c r="J1287" s="380" t="s">
        <v>3950</v>
      </c>
      <c r="K1287" s="380" t="s">
        <v>1916</v>
      </c>
      <c r="L1287" s="403">
        <v>0</v>
      </c>
    </row>
    <row r="1288" spans="1:12" ht="15" customHeight="1" x14ac:dyDescent="0.25">
      <c r="A1288" s="380" t="s">
        <v>4351</v>
      </c>
      <c r="B1288" s="380" t="s">
        <v>1879</v>
      </c>
      <c r="C1288" s="380" t="s">
        <v>1712</v>
      </c>
      <c r="D1288" s="380" t="s">
        <v>1328</v>
      </c>
      <c r="E1288" s="380" t="s">
        <v>330</v>
      </c>
      <c r="F1288" s="380" t="s">
        <v>1649</v>
      </c>
      <c r="G1288" s="380" t="s">
        <v>757</v>
      </c>
      <c r="H1288" s="380" t="s">
        <v>4352</v>
      </c>
      <c r="I1288" s="380" t="s">
        <v>4192</v>
      </c>
      <c r="J1288" s="380"/>
      <c r="K1288" s="380"/>
      <c r="L1288" s="403">
        <v>0</v>
      </c>
    </row>
    <row r="1289" spans="1:12" ht="15" customHeight="1" x14ac:dyDescent="0.25">
      <c r="A1289" s="380" t="s">
        <v>4353</v>
      </c>
      <c r="B1289" s="380" t="s">
        <v>1879</v>
      </c>
      <c r="C1289" s="380" t="s">
        <v>1712</v>
      </c>
      <c r="D1289" s="380" t="s">
        <v>1328</v>
      </c>
      <c r="E1289" s="380" t="s">
        <v>330</v>
      </c>
      <c r="F1289" s="380" t="s">
        <v>1649</v>
      </c>
      <c r="G1289" s="380" t="s">
        <v>754</v>
      </c>
      <c r="H1289" s="380" t="s">
        <v>4354</v>
      </c>
      <c r="I1289" s="380" t="s">
        <v>4192</v>
      </c>
      <c r="J1289" s="380"/>
      <c r="K1289" s="380"/>
      <c r="L1289" s="403">
        <v>0</v>
      </c>
    </row>
    <row r="1290" spans="1:12" ht="15" customHeight="1" x14ac:dyDescent="0.25">
      <c r="A1290" s="380" t="s">
        <v>4355</v>
      </c>
      <c r="B1290" s="380" t="s">
        <v>1879</v>
      </c>
      <c r="C1290" s="380" t="s">
        <v>1712</v>
      </c>
      <c r="D1290" s="380" t="s">
        <v>1328</v>
      </c>
      <c r="E1290" s="380" t="s">
        <v>330</v>
      </c>
      <c r="F1290" s="380" t="s">
        <v>1649</v>
      </c>
      <c r="G1290" s="380" t="s">
        <v>1292</v>
      </c>
      <c r="H1290" s="380" t="s">
        <v>4356</v>
      </c>
      <c r="I1290" s="380" t="s">
        <v>4192</v>
      </c>
      <c r="J1290" s="380"/>
      <c r="K1290" s="380"/>
      <c r="L1290" s="403">
        <v>0</v>
      </c>
    </row>
    <row r="1291" spans="1:12" ht="15" customHeight="1" x14ac:dyDescent="0.25">
      <c r="A1291" s="380" t="s">
        <v>4357</v>
      </c>
      <c r="B1291" s="380" t="s">
        <v>1879</v>
      </c>
      <c r="C1291" s="380" t="s">
        <v>1712</v>
      </c>
      <c r="D1291" s="380" t="s">
        <v>1328</v>
      </c>
      <c r="E1291" s="380" t="s">
        <v>330</v>
      </c>
      <c r="F1291" s="380" t="s">
        <v>1649</v>
      </c>
      <c r="G1291" s="380" t="s">
        <v>762</v>
      </c>
      <c r="H1291" s="380" t="s">
        <v>4358</v>
      </c>
      <c r="I1291" s="380" t="s">
        <v>4192</v>
      </c>
      <c r="J1291" s="380"/>
      <c r="K1291" s="380"/>
      <c r="L1291" s="403">
        <v>0</v>
      </c>
    </row>
    <row r="1292" spans="1:12" ht="15" customHeight="1" x14ac:dyDescent="0.25">
      <c r="A1292" s="380" t="s">
        <v>4359</v>
      </c>
      <c r="B1292" s="380" t="s">
        <v>1879</v>
      </c>
      <c r="C1292" s="380" t="s">
        <v>1712</v>
      </c>
      <c r="D1292" s="380" t="s">
        <v>1328</v>
      </c>
      <c r="E1292" s="380" t="s">
        <v>330</v>
      </c>
      <c r="F1292" s="380" t="s">
        <v>1649</v>
      </c>
      <c r="G1292" s="380" t="s">
        <v>1295</v>
      </c>
      <c r="H1292" s="380" t="s">
        <v>4360</v>
      </c>
      <c r="I1292" s="380" t="s">
        <v>4192</v>
      </c>
      <c r="J1292" s="380"/>
      <c r="K1292" s="380"/>
      <c r="L1292" s="403">
        <v>0</v>
      </c>
    </row>
    <row r="1293" spans="1:12" ht="15" customHeight="1" x14ac:dyDescent="0.25">
      <c r="A1293" s="380" t="s">
        <v>4361</v>
      </c>
      <c r="B1293" s="380" t="s">
        <v>1879</v>
      </c>
      <c r="C1293" s="380" t="s">
        <v>1712</v>
      </c>
      <c r="D1293" s="380" t="s">
        <v>1328</v>
      </c>
      <c r="E1293" s="380" t="s">
        <v>330</v>
      </c>
      <c r="F1293" s="380" t="s">
        <v>1649</v>
      </c>
      <c r="G1293" s="380" t="s">
        <v>1297</v>
      </c>
      <c r="H1293" s="380" t="s">
        <v>4362</v>
      </c>
      <c r="I1293" s="380" t="s">
        <v>4192</v>
      </c>
      <c r="J1293" s="380"/>
      <c r="K1293" s="380"/>
      <c r="L1293" s="403">
        <v>0</v>
      </c>
    </row>
    <row r="1294" spans="1:12" ht="15" customHeight="1" x14ac:dyDescent="0.25">
      <c r="A1294" s="380" t="s">
        <v>4363</v>
      </c>
      <c r="B1294" s="380" t="s">
        <v>1879</v>
      </c>
      <c r="C1294" s="380" t="s">
        <v>1712</v>
      </c>
      <c r="D1294" s="380" t="s">
        <v>1328</v>
      </c>
      <c r="E1294" s="380" t="s">
        <v>330</v>
      </c>
      <c r="F1294" s="380" t="s">
        <v>1649</v>
      </c>
      <c r="G1294" s="380" t="s">
        <v>1299</v>
      </c>
      <c r="H1294" s="380" t="s">
        <v>4364</v>
      </c>
      <c r="I1294" s="380" t="s">
        <v>4192</v>
      </c>
      <c r="J1294" s="380"/>
      <c r="K1294" s="380"/>
      <c r="L1294" s="403">
        <v>0</v>
      </c>
    </row>
    <row r="1295" spans="1:12" ht="15" customHeight="1" x14ac:dyDescent="0.25">
      <c r="A1295" s="380" t="s">
        <v>4365</v>
      </c>
      <c r="B1295" s="380" t="s">
        <v>1879</v>
      </c>
      <c r="C1295" s="380" t="s">
        <v>1712</v>
      </c>
      <c r="D1295" s="380" t="s">
        <v>1328</v>
      </c>
      <c r="E1295" s="380" t="s">
        <v>330</v>
      </c>
      <c r="F1295" s="380" t="s">
        <v>1649</v>
      </c>
      <c r="G1295" s="380" t="s">
        <v>1301</v>
      </c>
      <c r="H1295" s="380" t="s">
        <v>4366</v>
      </c>
      <c r="I1295" s="380" t="s">
        <v>4192</v>
      </c>
      <c r="J1295" s="380"/>
      <c r="K1295" s="380"/>
      <c r="L1295" s="403">
        <v>0</v>
      </c>
    </row>
    <row r="1296" spans="1:12" ht="15" customHeight="1" x14ac:dyDescent="0.25">
      <c r="A1296" s="380" t="s">
        <v>4367</v>
      </c>
      <c r="B1296" s="380" t="s">
        <v>1879</v>
      </c>
      <c r="C1296" s="380" t="s">
        <v>1712</v>
      </c>
      <c r="D1296" s="380" t="s">
        <v>1338</v>
      </c>
      <c r="E1296" s="380" t="s">
        <v>330</v>
      </c>
      <c r="F1296" s="380" t="s">
        <v>1649</v>
      </c>
      <c r="G1296" s="380" t="s">
        <v>1339</v>
      </c>
      <c r="H1296" s="380" t="s">
        <v>4368</v>
      </c>
      <c r="I1296" s="380" t="s">
        <v>4192</v>
      </c>
      <c r="J1296" s="380"/>
      <c r="K1296" s="380"/>
      <c r="L1296" s="403">
        <v>0.3</v>
      </c>
    </row>
    <row r="1297" spans="1:12" ht="15" customHeight="1" x14ac:dyDescent="0.25">
      <c r="A1297" s="380" t="s">
        <v>4369</v>
      </c>
      <c r="B1297" s="380" t="s">
        <v>1879</v>
      </c>
      <c r="C1297" s="380" t="s">
        <v>1712</v>
      </c>
      <c r="D1297" s="380" t="s">
        <v>1966</v>
      </c>
      <c r="E1297" s="380" t="s">
        <v>330</v>
      </c>
      <c r="F1297" s="380" t="s">
        <v>1649</v>
      </c>
      <c r="G1297" s="380" t="s">
        <v>1277</v>
      </c>
      <c r="H1297" s="380" t="s">
        <v>4370</v>
      </c>
      <c r="I1297" s="380" t="s">
        <v>1746</v>
      </c>
      <c r="J1297" s="380"/>
      <c r="K1297" s="380"/>
      <c r="L1297" s="403">
        <v>0</v>
      </c>
    </row>
    <row r="1298" spans="1:12" ht="15" customHeight="1" x14ac:dyDescent="0.25">
      <c r="A1298" s="380" t="s">
        <v>4371</v>
      </c>
      <c r="B1298" s="380" t="s">
        <v>1879</v>
      </c>
      <c r="C1298" s="380" t="s">
        <v>1712</v>
      </c>
      <c r="D1298" s="380" t="s">
        <v>1971</v>
      </c>
      <c r="E1298" s="380" t="s">
        <v>330</v>
      </c>
      <c r="F1298" s="380" t="s">
        <v>1649</v>
      </c>
      <c r="G1298" s="380" t="s">
        <v>1277</v>
      </c>
      <c r="H1298" s="380" t="s">
        <v>4372</v>
      </c>
      <c r="I1298" s="380" t="s">
        <v>1566</v>
      </c>
      <c r="J1298" s="380"/>
      <c r="K1298" s="380"/>
      <c r="L1298" s="403">
        <v>0</v>
      </c>
    </row>
    <row r="1299" spans="1:12" ht="15" customHeight="1" x14ac:dyDescent="0.25">
      <c r="A1299" s="380" t="s">
        <v>4373</v>
      </c>
      <c r="B1299" s="380" t="s">
        <v>1884</v>
      </c>
      <c r="C1299" s="380" t="s">
        <v>1712</v>
      </c>
      <c r="D1299" s="380" t="s">
        <v>1890</v>
      </c>
      <c r="E1299" s="380" t="s">
        <v>330</v>
      </c>
      <c r="F1299" s="380" t="s">
        <v>1649</v>
      </c>
      <c r="G1299" s="380" t="s">
        <v>1277</v>
      </c>
      <c r="H1299" s="380" t="s">
        <v>4374</v>
      </c>
      <c r="I1299" s="380" t="s">
        <v>1651</v>
      </c>
      <c r="J1299" s="380" t="s">
        <v>4181</v>
      </c>
      <c r="K1299" s="380" t="s">
        <v>3939</v>
      </c>
      <c r="L1299" s="406">
        <v>0.8</v>
      </c>
    </row>
    <row r="1300" spans="1:12" ht="15" customHeight="1" x14ac:dyDescent="0.25">
      <c r="A1300" s="380" t="s">
        <v>4375</v>
      </c>
      <c r="B1300" s="380" t="s">
        <v>1884</v>
      </c>
      <c r="C1300" s="380" t="s">
        <v>1712</v>
      </c>
      <c r="D1300" s="380" t="s">
        <v>1895</v>
      </c>
      <c r="E1300" s="380" t="s">
        <v>330</v>
      </c>
      <c r="F1300" s="380" t="s">
        <v>1649</v>
      </c>
      <c r="G1300" s="380" t="s">
        <v>1277</v>
      </c>
      <c r="H1300" s="380" t="s">
        <v>4376</v>
      </c>
      <c r="I1300" s="380" t="s">
        <v>1897</v>
      </c>
      <c r="J1300" s="380"/>
      <c r="K1300" s="380"/>
      <c r="L1300" s="404">
        <v>0.5</v>
      </c>
    </row>
    <row r="1301" spans="1:12" ht="15" customHeight="1" x14ac:dyDescent="0.25">
      <c r="A1301" s="380" t="s">
        <v>4377</v>
      </c>
      <c r="B1301" s="380" t="s">
        <v>1884</v>
      </c>
      <c r="C1301" s="380" t="s">
        <v>1712</v>
      </c>
      <c r="D1301" s="380" t="s">
        <v>1900</v>
      </c>
      <c r="E1301" s="380" t="s">
        <v>330</v>
      </c>
      <c r="F1301" s="380" t="s">
        <v>1649</v>
      </c>
      <c r="G1301" s="380" t="s">
        <v>1277</v>
      </c>
      <c r="H1301" s="380" t="s">
        <v>4378</v>
      </c>
      <c r="I1301" s="380" t="s">
        <v>1902</v>
      </c>
      <c r="J1301" s="380"/>
      <c r="K1301" s="380"/>
      <c r="L1301" s="404">
        <v>0.08</v>
      </c>
    </row>
    <row r="1302" spans="1:12" ht="15" customHeight="1" x14ac:dyDescent="0.25">
      <c r="A1302" s="380" t="s">
        <v>4379</v>
      </c>
      <c r="B1302" s="380" t="s">
        <v>1884</v>
      </c>
      <c r="C1302" s="380" t="s">
        <v>1712</v>
      </c>
      <c r="D1302" s="380" t="s">
        <v>1905</v>
      </c>
      <c r="E1302" s="380" t="s">
        <v>330</v>
      </c>
      <c r="F1302" s="380" t="s">
        <v>1649</v>
      </c>
      <c r="G1302" s="380" t="s">
        <v>1277</v>
      </c>
      <c r="H1302" s="380" t="s">
        <v>4380</v>
      </c>
      <c r="I1302" s="380" t="s">
        <v>1902</v>
      </c>
      <c r="J1302" s="380"/>
      <c r="K1302" s="380"/>
      <c r="L1302" s="404">
        <v>0.03</v>
      </c>
    </row>
    <row r="1303" spans="1:12" ht="15" customHeight="1" x14ac:dyDescent="0.25">
      <c r="A1303" s="380" t="s">
        <v>4381</v>
      </c>
      <c r="B1303" s="380" t="s">
        <v>1884</v>
      </c>
      <c r="C1303" s="380" t="s">
        <v>1712</v>
      </c>
      <c r="D1303" s="380" t="s">
        <v>1909</v>
      </c>
      <c r="E1303" s="380" t="s">
        <v>330</v>
      </c>
      <c r="F1303" s="380" t="s">
        <v>1649</v>
      </c>
      <c r="G1303" s="380" t="s">
        <v>1277</v>
      </c>
      <c r="H1303" s="380" t="s">
        <v>4382</v>
      </c>
      <c r="I1303" s="380" t="s">
        <v>1902</v>
      </c>
      <c r="J1303" s="380"/>
      <c r="K1303" s="380"/>
      <c r="L1303" s="404">
        <v>0.05</v>
      </c>
    </row>
    <row r="1304" spans="1:12" ht="15" customHeight="1" x14ac:dyDescent="0.25">
      <c r="A1304" s="380" t="s">
        <v>4383</v>
      </c>
      <c r="B1304" s="380" t="s">
        <v>1884</v>
      </c>
      <c r="C1304" s="380" t="s">
        <v>1712</v>
      </c>
      <c r="D1304" s="380" t="s">
        <v>1317</v>
      </c>
      <c r="E1304" s="380" t="s">
        <v>330</v>
      </c>
      <c r="F1304" s="380" t="s">
        <v>1649</v>
      </c>
      <c r="G1304" s="380" t="s">
        <v>757</v>
      </c>
      <c r="H1304" s="380" t="s">
        <v>4384</v>
      </c>
      <c r="I1304" s="380" t="s">
        <v>4192</v>
      </c>
      <c r="J1304" s="380" t="s">
        <v>3950</v>
      </c>
      <c r="K1304" s="380" t="s">
        <v>1916</v>
      </c>
      <c r="L1304" s="403">
        <v>2</v>
      </c>
    </row>
    <row r="1305" spans="1:12" ht="15" customHeight="1" x14ac:dyDescent="0.25">
      <c r="A1305" s="380" t="s">
        <v>4385</v>
      </c>
      <c r="B1305" s="380" t="s">
        <v>1884</v>
      </c>
      <c r="C1305" s="380" t="s">
        <v>1712</v>
      </c>
      <c r="D1305" s="380" t="s">
        <v>1317</v>
      </c>
      <c r="E1305" s="380" t="s">
        <v>330</v>
      </c>
      <c r="F1305" s="380" t="s">
        <v>1649</v>
      </c>
      <c r="G1305" s="380" t="s">
        <v>754</v>
      </c>
      <c r="H1305" s="380" t="s">
        <v>4386</v>
      </c>
      <c r="I1305" s="380" t="s">
        <v>4192</v>
      </c>
      <c r="J1305" s="380" t="s">
        <v>3950</v>
      </c>
      <c r="K1305" s="380" t="s">
        <v>1916</v>
      </c>
      <c r="L1305" s="403">
        <v>3</v>
      </c>
    </row>
    <row r="1306" spans="1:12" ht="15" customHeight="1" x14ac:dyDescent="0.25">
      <c r="A1306" s="380" t="s">
        <v>4387</v>
      </c>
      <c r="B1306" s="380" t="s">
        <v>1884</v>
      </c>
      <c r="C1306" s="380" t="s">
        <v>1712</v>
      </c>
      <c r="D1306" s="380" t="s">
        <v>1317</v>
      </c>
      <c r="E1306" s="380" t="s">
        <v>330</v>
      </c>
      <c r="F1306" s="380" t="s">
        <v>1649</v>
      </c>
      <c r="G1306" s="380" t="s">
        <v>1292</v>
      </c>
      <c r="H1306" s="380" t="s">
        <v>4388</v>
      </c>
      <c r="I1306" s="380" t="s">
        <v>4192</v>
      </c>
      <c r="J1306" s="380" t="s">
        <v>3950</v>
      </c>
      <c r="K1306" s="380" t="s">
        <v>1916</v>
      </c>
      <c r="L1306" s="403">
        <v>0</v>
      </c>
    </row>
    <row r="1307" spans="1:12" ht="15" customHeight="1" x14ac:dyDescent="0.25">
      <c r="A1307" s="380" t="s">
        <v>4389</v>
      </c>
      <c r="B1307" s="380" t="s">
        <v>1884</v>
      </c>
      <c r="C1307" s="380" t="s">
        <v>1712</v>
      </c>
      <c r="D1307" s="380" t="s">
        <v>1317</v>
      </c>
      <c r="E1307" s="380" t="s">
        <v>330</v>
      </c>
      <c r="F1307" s="380" t="s">
        <v>1649</v>
      </c>
      <c r="G1307" s="380" t="s">
        <v>762</v>
      </c>
      <c r="H1307" s="380" t="s">
        <v>4390</v>
      </c>
      <c r="I1307" s="380" t="s">
        <v>4192</v>
      </c>
      <c r="J1307" s="380" t="s">
        <v>3950</v>
      </c>
      <c r="K1307" s="380" t="s">
        <v>1916</v>
      </c>
      <c r="L1307" s="403">
        <v>0</v>
      </c>
    </row>
    <row r="1308" spans="1:12" ht="15" customHeight="1" x14ac:dyDescent="0.25">
      <c r="A1308" s="380" t="s">
        <v>4391</v>
      </c>
      <c r="B1308" s="380" t="s">
        <v>1884</v>
      </c>
      <c r="C1308" s="380" t="s">
        <v>1712</v>
      </c>
      <c r="D1308" s="380" t="s">
        <v>1317</v>
      </c>
      <c r="E1308" s="380" t="s">
        <v>330</v>
      </c>
      <c r="F1308" s="380" t="s">
        <v>1649</v>
      </c>
      <c r="G1308" s="380" t="s">
        <v>1295</v>
      </c>
      <c r="H1308" s="380" t="s">
        <v>4392</v>
      </c>
      <c r="I1308" s="380" t="s">
        <v>4192</v>
      </c>
      <c r="J1308" s="380" t="s">
        <v>3950</v>
      </c>
      <c r="K1308" s="380" t="s">
        <v>1916</v>
      </c>
      <c r="L1308" s="403">
        <v>0</v>
      </c>
    </row>
    <row r="1309" spans="1:12" ht="15" customHeight="1" x14ac:dyDescent="0.25">
      <c r="A1309" s="380" t="s">
        <v>4393</v>
      </c>
      <c r="B1309" s="380" t="s">
        <v>1884</v>
      </c>
      <c r="C1309" s="380" t="s">
        <v>1712</v>
      </c>
      <c r="D1309" s="380" t="s">
        <v>1317</v>
      </c>
      <c r="E1309" s="380" t="s">
        <v>330</v>
      </c>
      <c r="F1309" s="380" t="s">
        <v>1649</v>
      </c>
      <c r="G1309" s="380" t="s">
        <v>1297</v>
      </c>
      <c r="H1309" s="380" t="s">
        <v>4394</v>
      </c>
      <c r="I1309" s="380" t="s">
        <v>4192</v>
      </c>
      <c r="J1309" s="380" t="s">
        <v>3950</v>
      </c>
      <c r="K1309" s="380" t="s">
        <v>1916</v>
      </c>
      <c r="L1309" s="403">
        <v>0</v>
      </c>
    </row>
    <row r="1310" spans="1:12" ht="15" customHeight="1" x14ac:dyDescent="0.25">
      <c r="A1310" s="380" t="s">
        <v>4395</v>
      </c>
      <c r="B1310" s="380" t="s">
        <v>1884</v>
      </c>
      <c r="C1310" s="380" t="s">
        <v>1712</v>
      </c>
      <c r="D1310" s="380" t="s">
        <v>1317</v>
      </c>
      <c r="E1310" s="380" t="s">
        <v>330</v>
      </c>
      <c r="F1310" s="380" t="s">
        <v>1649</v>
      </c>
      <c r="G1310" s="380" t="s">
        <v>1299</v>
      </c>
      <c r="H1310" s="380" t="s">
        <v>4396</v>
      </c>
      <c r="I1310" s="380" t="s">
        <v>4192</v>
      </c>
      <c r="J1310" s="380" t="s">
        <v>3950</v>
      </c>
      <c r="K1310" s="380" t="s">
        <v>1916</v>
      </c>
      <c r="L1310" s="403">
        <v>0</v>
      </c>
    </row>
    <row r="1311" spans="1:12" ht="15" customHeight="1" x14ac:dyDescent="0.25">
      <c r="A1311" s="380" t="s">
        <v>4397</v>
      </c>
      <c r="B1311" s="380" t="s">
        <v>1884</v>
      </c>
      <c r="C1311" s="380" t="s">
        <v>1712</v>
      </c>
      <c r="D1311" s="380" t="s">
        <v>1317</v>
      </c>
      <c r="E1311" s="380" t="s">
        <v>330</v>
      </c>
      <c r="F1311" s="380" t="s">
        <v>1649</v>
      </c>
      <c r="G1311" s="380" t="s">
        <v>1301</v>
      </c>
      <c r="H1311" s="380" t="s">
        <v>4398</v>
      </c>
      <c r="I1311" s="380" t="s">
        <v>4192</v>
      </c>
      <c r="J1311" s="380" t="s">
        <v>3950</v>
      </c>
      <c r="K1311" s="380" t="s">
        <v>1916</v>
      </c>
      <c r="L1311" s="403">
        <v>0</v>
      </c>
    </row>
    <row r="1312" spans="1:12" ht="15" customHeight="1" x14ac:dyDescent="0.25">
      <c r="A1312" s="380" t="s">
        <v>4399</v>
      </c>
      <c r="B1312" s="380" t="s">
        <v>1884</v>
      </c>
      <c r="C1312" s="380" t="s">
        <v>1712</v>
      </c>
      <c r="D1312" s="380" t="s">
        <v>1328</v>
      </c>
      <c r="E1312" s="380" t="s">
        <v>330</v>
      </c>
      <c r="F1312" s="380" t="s">
        <v>1649</v>
      </c>
      <c r="G1312" s="380" t="s">
        <v>757</v>
      </c>
      <c r="H1312" s="380" t="s">
        <v>4400</v>
      </c>
      <c r="I1312" s="380" t="s">
        <v>4192</v>
      </c>
      <c r="J1312" s="380"/>
      <c r="K1312" s="380"/>
      <c r="L1312" s="403">
        <v>0</v>
      </c>
    </row>
    <row r="1313" spans="1:12" ht="15" customHeight="1" x14ac:dyDescent="0.25">
      <c r="A1313" s="380" t="s">
        <v>4401</v>
      </c>
      <c r="B1313" s="380" t="s">
        <v>1884</v>
      </c>
      <c r="C1313" s="380" t="s">
        <v>1712</v>
      </c>
      <c r="D1313" s="380" t="s">
        <v>1328</v>
      </c>
      <c r="E1313" s="380" t="s">
        <v>330</v>
      </c>
      <c r="F1313" s="380" t="s">
        <v>1649</v>
      </c>
      <c r="G1313" s="380" t="s">
        <v>754</v>
      </c>
      <c r="H1313" s="380" t="s">
        <v>4402</v>
      </c>
      <c r="I1313" s="380" t="s">
        <v>4192</v>
      </c>
      <c r="J1313" s="380"/>
      <c r="K1313" s="380"/>
      <c r="L1313" s="403">
        <v>0</v>
      </c>
    </row>
    <row r="1314" spans="1:12" ht="15" customHeight="1" x14ac:dyDescent="0.25">
      <c r="A1314" s="380" t="s">
        <v>4403</v>
      </c>
      <c r="B1314" s="380" t="s">
        <v>1884</v>
      </c>
      <c r="C1314" s="380" t="s">
        <v>1712</v>
      </c>
      <c r="D1314" s="380" t="s">
        <v>1328</v>
      </c>
      <c r="E1314" s="380" t="s">
        <v>330</v>
      </c>
      <c r="F1314" s="380" t="s">
        <v>1649</v>
      </c>
      <c r="G1314" s="380" t="s">
        <v>1292</v>
      </c>
      <c r="H1314" s="380" t="s">
        <v>4404</v>
      </c>
      <c r="I1314" s="380" t="s">
        <v>4192</v>
      </c>
      <c r="J1314" s="380"/>
      <c r="K1314" s="380"/>
      <c r="L1314" s="403">
        <v>0</v>
      </c>
    </row>
    <row r="1315" spans="1:12" ht="15" customHeight="1" x14ac:dyDescent="0.25">
      <c r="A1315" s="380" t="s">
        <v>4405</v>
      </c>
      <c r="B1315" s="380" t="s">
        <v>1884</v>
      </c>
      <c r="C1315" s="380" t="s">
        <v>1712</v>
      </c>
      <c r="D1315" s="380" t="s">
        <v>1328</v>
      </c>
      <c r="E1315" s="380" t="s">
        <v>330</v>
      </c>
      <c r="F1315" s="380" t="s">
        <v>1649</v>
      </c>
      <c r="G1315" s="380" t="s">
        <v>762</v>
      </c>
      <c r="H1315" s="380" t="s">
        <v>4406</v>
      </c>
      <c r="I1315" s="380" t="s">
        <v>4192</v>
      </c>
      <c r="J1315" s="380"/>
      <c r="K1315" s="380"/>
      <c r="L1315" s="403">
        <v>0</v>
      </c>
    </row>
    <row r="1316" spans="1:12" ht="15" customHeight="1" x14ac:dyDescent="0.25">
      <c r="A1316" s="380" t="s">
        <v>4407</v>
      </c>
      <c r="B1316" s="380" t="s">
        <v>1884</v>
      </c>
      <c r="C1316" s="380" t="s">
        <v>1712</v>
      </c>
      <c r="D1316" s="380" t="s">
        <v>1328</v>
      </c>
      <c r="E1316" s="380" t="s">
        <v>330</v>
      </c>
      <c r="F1316" s="380" t="s">
        <v>1649</v>
      </c>
      <c r="G1316" s="380" t="s">
        <v>1295</v>
      </c>
      <c r="H1316" s="380" t="s">
        <v>4408</v>
      </c>
      <c r="I1316" s="380" t="s">
        <v>4192</v>
      </c>
      <c r="J1316" s="380"/>
      <c r="K1316" s="380"/>
      <c r="L1316" s="403">
        <v>0</v>
      </c>
    </row>
    <row r="1317" spans="1:12" ht="15" customHeight="1" x14ac:dyDescent="0.25">
      <c r="A1317" s="380" t="s">
        <v>4409</v>
      </c>
      <c r="B1317" s="380" t="s">
        <v>1884</v>
      </c>
      <c r="C1317" s="380" t="s">
        <v>1712</v>
      </c>
      <c r="D1317" s="380" t="s">
        <v>1328</v>
      </c>
      <c r="E1317" s="380" t="s">
        <v>330</v>
      </c>
      <c r="F1317" s="380" t="s">
        <v>1649</v>
      </c>
      <c r="G1317" s="380" t="s">
        <v>1297</v>
      </c>
      <c r="H1317" s="380" t="s">
        <v>4410</v>
      </c>
      <c r="I1317" s="380" t="s">
        <v>4192</v>
      </c>
      <c r="J1317" s="380"/>
      <c r="K1317" s="380"/>
      <c r="L1317" s="403">
        <v>0</v>
      </c>
    </row>
    <row r="1318" spans="1:12" ht="15" customHeight="1" x14ac:dyDescent="0.25">
      <c r="A1318" s="380" t="s">
        <v>4411</v>
      </c>
      <c r="B1318" s="380" t="s">
        <v>1884</v>
      </c>
      <c r="C1318" s="380" t="s">
        <v>1712</v>
      </c>
      <c r="D1318" s="380" t="s">
        <v>1328</v>
      </c>
      <c r="E1318" s="380" t="s">
        <v>330</v>
      </c>
      <c r="F1318" s="380" t="s">
        <v>1649</v>
      </c>
      <c r="G1318" s="380" t="s">
        <v>1299</v>
      </c>
      <c r="H1318" s="380" t="s">
        <v>4412</v>
      </c>
      <c r="I1318" s="380" t="s">
        <v>4192</v>
      </c>
      <c r="J1318" s="380"/>
      <c r="K1318" s="380"/>
      <c r="L1318" s="403">
        <v>0</v>
      </c>
    </row>
    <row r="1319" spans="1:12" ht="15" customHeight="1" x14ac:dyDescent="0.25">
      <c r="A1319" s="380" t="s">
        <v>4413</v>
      </c>
      <c r="B1319" s="380" t="s">
        <v>1884</v>
      </c>
      <c r="C1319" s="380" t="s">
        <v>1712</v>
      </c>
      <c r="D1319" s="380" t="s">
        <v>1328</v>
      </c>
      <c r="E1319" s="380" t="s">
        <v>330</v>
      </c>
      <c r="F1319" s="380" t="s">
        <v>1649</v>
      </c>
      <c r="G1319" s="380" t="s">
        <v>1301</v>
      </c>
      <c r="H1319" s="380" t="s">
        <v>4414</v>
      </c>
      <c r="I1319" s="380" t="s">
        <v>4192</v>
      </c>
      <c r="J1319" s="380"/>
      <c r="K1319" s="380"/>
      <c r="L1319" s="403">
        <v>0</v>
      </c>
    </row>
    <row r="1320" spans="1:12" ht="15" customHeight="1" x14ac:dyDescent="0.25">
      <c r="A1320" s="380" t="s">
        <v>4415</v>
      </c>
      <c r="B1320" s="380" t="s">
        <v>1884</v>
      </c>
      <c r="C1320" s="380" t="s">
        <v>1712</v>
      </c>
      <c r="D1320" s="380" t="s">
        <v>1338</v>
      </c>
      <c r="E1320" s="380" t="s">
        <v>330</v>
      </c>
      <c r="F1320" s="380" t="s">
        <v>1649</v>
      </c>
      <c r="G1320" s="380" t="s">
        <v>1339</v>
      </c>
      <c r="H1320" s="380" t="s">
        <v>4416</v>
      </c>
      <c r="I1320" s="380" t="s">
        <v>4192</v>
      </c>
      <c r="J1320" s="380"/>
      <c r="K1320" s="380"/>
      <c r="L1320" s="403">
        <v>0.35</v>
      </c>
    </row>
    <row r="1321" spans="1:12" ht="15" customHeight="1" x14ac:dyDescent="0.25">
      <c r="A1321" s="380" t="s">
        <v>4417</v>
      </c>
      <c r="B1321" s="380" t="s">
        <v>1884</v>
      </c>
      <c r="C1321" s="380" t="s">
        <v>1712</v>
      </c>
      <c r="D1321" s="380" t="s">
        <v>1966</v>
      </c>
      <c r="E1321" s="380" t="s">
        <v>330</v>
      </c>
      <c r="F1321" s="380" t="s">
        <v>1649</v>
      </c>
      <c r="G1321" s="380" t="s">
        <v>1277</v>
      </c>
      <c r="H1321" s="380" t="s">
        <v>4418</v>
      </c>
      <c r="I1321" s="380" t="s">
        <v>1746</v>
      </c>
      <c r="J1321" s="380"/>
      <c r="K1321" s="380"/>
      <c r="L1321" s="403">
        <v>0</v>
      </c>
    </row>
    <row r="1322" spans="1:12" ht="15" customHeight="1" x14ac:dyDescent="0.25">
      <c r="A1322" s="380" t="s">
        <v>4419</v>
      </c>
      <c r="B1322" s="380" t="s">
        <v>1884</v>
      </c>
      <c r="C1322" s="380" t="s">
        <v>1712</v>
      </c>
      <c r="D1322" s="380" t="s">
        <v>1971</v>
      </c>
      <c r="E1322" s="380" t="s">
        <v>330</v>
      </c>
      <c r="F1322" s="380" t="s">
        <v>1649</v>
      </c>
      <c r="G1322" s="380" t="s">
        <v>1277</v>
      </c>
      <c r="H1322" s="380" t="s">
        <v>4420</v>
      </c>
      <c r="I1322" s="380" t="s">
        <v>1566</v>
      </c>
      <c r="J1322" s="380"/>
      <c r="K1322" s="380"/>
      <c r="L1322" s="403">
        <v>0</v>
      </c>
    </row>
  </sheetData>
  <mergeCells count="16">
    <mergeCell ref="A1082:X1082"/>
    <mergeCell ref="A667:X667"/>
    <mergeCell ref="A861:X861"/>
    <mergeCell ref="A1055:X1055"/>
    <mergeCell ref="A1066:X1066"/>
    <mergeCell ref="A1079:N1079"/>
    <mergeCell ref="A63:X63"/>
    <mergeCell ref="A73:X73"/>
    <mergeCell ref="A85:X85"/>
    <mergeCell ref="A279:X279"/>
    <mergeCell ref="A473:X473"/>
    <mergeCell ref="A1:X1"/>
    <mergeCell ref="A2:X2"/>
    <mergeCell ref="A5:X5"/>
    <mergeCell ref="A11:X11"/>
    <mergeCell ref="A21:X21"/>
  </mergeCells>
  <dataValidations count="1">
    <dataValidation type="list" sqref="L25 L30 L35 L40 L45 L50 L55 L60 L64:L71" xr:uid="{00000000-0002-0000-0600-000000000000}">
      <formula1>"0,1"</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A1:W76"/>
  <sheetViews>
    <sheetView zoomScaleNormal="100" workbookViewId="0"/>
  </sheetViews>
  <sheetFormatPr defaultColWidth="8.7109375" defaultRowHeight="15" x14ac:dyDescent="0.25"/>
  <cols>
    <col min="1" max="1" width="32" customWidth="1"/>
    <col min="2" max="2" width="9" customWidth="1"/>
    <col min="3" max="3" width="24" customWidth="1"/>
    <col min="4" max="8" width="12" customWidth="1"/>
    <col min="9" max="9" width="40" customWidth="1"/>
    <col min="10" max="22" width="8" customWidth="1"/>
    <col min="23" max="23" width="35" customWidth="1"/>
  </cols>
  <sheetData>
    <row r="1" spans="1:23" ht="24" customHeight="1" x14ac:dyDescent="0.25">
      <c r="A1" s="455" t="s">
        <v>4421</v>
      </c>
      <c r="B1" s="455"/>
      <c r="C1" s="455"/>
      <c r="D1" s="455"/>
      <c r="E1" s="455"/>
      <c r="F1" s="455"/>
      <c r="G1" s="455"/>
      <c r="H1" s="455"/>
      <c r="I1" s="455"/>
      <c r="J1" s="455"/>
      <c r="K1" s="455"/>
      <c r="L1" s="455"/>
      <c r="M1" s="455"/>
      <c r="N1" s="455"/>
      <c r="O1" s="455"/>
      <c r="P1" s="455"/>
      <c r="Q1" s="455"/>
      <c r="R1" s="455"/>
    </row>
    <row r="2" spans="1:23" ht="54" customHeight="1" x14ac:dyDescent="0.25">
      <c r="A2" s="7" t="s">
        <v>4422</v>
      </c>
      <c r="B2" s="7"/>
      <c r="C2" s="7"/>
      <c r="D2" s="7"/>
      <c r="E2" s="7"/>
      <c r="F2" s="7"/>
      <c r="G2" s="7"/>
      <c r="H2" s="7"/>
      <c r="I2" s="7"/>
      <c r="J2" s="7"/>
      <c r="K2" s="7"/>
      <c r="L2" s="7"/>
      <c r="M2" s="7"/>
      <c r="N2" s="7"/>
      <c r="O2" s="7"/>
      <c r="P2" s="7"/>
      <c r="Q2" s="7"/>
      <c r="R2" s="7"/>
    </row>
    <row r="4" spans="1:23" ht="36" customHeight="1" x14ac:dyDescent="0.25">
      <c r="A4" s="86" t="s">
        <v>4423</v>
      </c>
      <c r="B4" s="86" t="s">
        <v>4424</v>
      </c>
      <c r="C4" s="86" t="s">
        <v>208</v>
      </c>
      <c r="D4" s="86" t="s">
        <v>4425</v>
      </c>
      <c r="E4" s="86" t="s">
        <v>4426</v>
      </c>
      <c r="F4" s="86" t="s">
        <v>4427</v>
      </c>
      <c r="G4" s="86" t="s">
        <v>4428</v>
      </c>
      <c r="H4" s="86" t="s">
        <v>4429</v>
      </c>
      <c r="I4" s="86" t="s">
        <v>4430</v>
      </c>
      <c r="J4" s="86" t="s">
        <v>4431</v>
      </c>
      <c r="K4" s="86" t="s">
        <v>4432</v>
      </c>
      <c r="L4" s="86" t="s">
        <v>4433</v>
      </c>
      <c r="M4" s="86" t="s">
        <v>4434</v>
      </c>
      <c r="N4" s="86" t="s">
        <v>4435</v>
      </c>
      <c r="O4" s="86" t="s">
        <v>4436</v>
      </c>
      <c r="P4" s="86" t="s">
        <v>4437</v>
      </c>
      <c r="Q4" s="86" t="s">
        <v>4438</v>
      </c>
      <c r="R4" s="86" t="s">
        <v>4439</v>
      </c>
      <c r="S4" s="86" t="s">
        <v>4440</v>
      </c>
      <c r="T4" s="86" t="s">
        <v>4441</v>
      </c>
      <c r="U4" s="86" t="s">
        <v>4442</v>
      </c>
      <c r="V4" s="86" t="s">
        <v>4443</v>
      </c>
      <c r="W4" s="86" t="s">
        <v>4444</v>
      </c>
    </row>
    <row r="5" spans="1:23" ht="15.75" customHeight="1" x14ac:dyDescent="0.25">
      <c r="A5" s="456" t="s">
        <v>4445</v>
      </c>
      <c r="B5" s="456"/>
      <c r="C5" s="456"/>
      <c r="D5" s="456"/>
      <c r="E5" s="456"/>
      <c r="F5" s="456"/>
      <c r="G5" s="456"/>
      <c r="H5" s="456"/>
      <c r="I5" s="456"/>
      <c r="J5" s="456"/>
      <c r="K5" s="456"/>
      <c r="L5" s="456"/>
      <c r="M5" s="456"/>
      <c r="N5" s="456"/>
      <c r="O5" s="456"/>
      <c r="P5" s="456"/>
      <c r="Q5" s="456"/>
      <c r="R5" s="456"/>
      <c r="S5" s="456"/>
      <c r="T5" s="456"/>
      <c r="U5" s="456"/>
      <c r="V5" s="456"/>
      <c r="W5" s="456"/>
    </row>
    <row r="6" spans="1:23" ht="13.5" customHeight="1" x14ac:dyDescent="0.25">
      <c r="A6" s="409" t="s">
        <v>4446</v>
      </c>
      <c r="B6" s="410" t="s">
        <v>88</v>
      </c>
      <c r="C6" s="411" t="s">
        <v>215</v>
      </c>
      <c r="D6" s="412"/>
      <c r="E6" s="412">
        <v>5</v>
      </c>
      <c r="F6" s="412"/>
      <c r="G6" s="412">
        <v>0.5</v>
      </c>
      <c r="H6" s="412"/>
      <c r="I6" s="412"/>
      <c r="J6" s="412"/>
      <c r="K6" s="412"/>
      <c r="L6" s="412"/>
      <c r="M6" s="412">
        <v>24</v>
      </c>
      <c r="N6" s="412"/>
      <c r="O6" s="412"/>
      <c r="P6" s="412"/>
      <c r="Q6" s="412"/>
      <c r="R6" s="412"/>
      <c r="S6" s="412"/>
      <c r="T6" s="412">
        <v>2.5</v>
      </c>
      <c r="U6" s="413">
        <v>0.1</v>
      </c>
      <c r="V6" s="413">
        <v>0</v>
      </c>
      <c r="W6" s="84" t="s">
        <v>4447</v>
      </c>
    </row>
    <row r="7" spans="1:23" ht="13.5" customHeight="1" x14ac:dyDescent="0.25">
      <c r="A7" s="409" t="s">
        <v>4448</v>
      </c>
      <c r="B7" s="410" t="s">
        <v>88</v>
      </c>
      <c r="C7" s="411" t="s">
        <v>218</v>
      </c>
      <c r="D7" s="412"/>
      <c r="E7" s="412">
        <v>2.5</v>
      </c>
      <c r="F7" s="412"/>
      <c r="G7" s="412">
        <v>0.2</v>
      </c>
      <c r="H7" s="412"/>
      <c r="I7" s="412"/>
      <c r="J7" s="412"/>
      <c r="K7" s="412"/>
      <c r="L7" s="412"/>
      <c r="M7" s="412"/>
      <c r="N7" s="412"/>
      <c r="O7" s="412"/>
      <c r="P7" s="412"/>
      <c r="Q7" s="412"/>
      <c r="R7" s="412"/>
      <c r="S7" s="412"/>
      <c r="T7" s="412">
        <v>4.5</v>
      </c>
      <c r="U7" s="413">
        <v>0</v>
      </c>
      <c r="V7" s="413">
        <v>0</v>
      </c>
      <c r="W7" s="84" t="s">
        <v>4449</v>
      </c>
    </row>
    <row r="8" spans="1:23" ht="13.5" customHeight="1" x14ac:dyDescent="0.25">
      <c r="A8" s="409" t="s">
        <v>4450</v>
      </c>
      <c r="B8" s="410" t="s">
        <v>88</v>
      </c>
      <c r="C8" s="411" t="s">
        <v>220</v>
      </c>
      <c r="D8" s="412">
        <v>3.5</v>
      </c>
      <c r="E8" s="412">
        <v>1</v>
      </c>
      <c r="F8" s="412"/>
      <c r="G8" s="412">
        <v>0.2</v>
      </c>
      <c r="H8" s="412"/>
      <c r="I8" s="412"/>
      <c r="J8" s="412"/>
      <c r="K8" s="412"/>
      <c r="L8" s="412">
        <v>15</v>
      </c>
      <c r="M8" s="412">
        <v>1</v>
      </c>
      <c r="N8" s="412"/>
      <c r="O8" s="412"/>
      <c r="P8" s="412"/>
      <c r="Q8" s="412"/>
      <c r="R8" s="412"/>
      <c r="S8" s="412"/>
      <c r="T8" s="412">
        <v>1.8</v>
      </c>
      <c r="U8" s="413">
        <v>0.25</v>
      </c>
      <c r="V8" s="413">
        <v>0</v>
      </c>
      <c r="W8" s="84" t="s">
        <v>4451</v>
      </c>
    </row>
    <row r="9" spans="1:23" ht="13.5" customHeight="1" x14ac:dyDescent="0.25">
      <c r="A9" s="409" t="s">
        <v>4452</v>
      </c>
      <c r="B9" s="410" t="s">
        <v>88</v>
      </c>
      <c r="C9" s="411" t="s">
        <v>222</v>
      </c>
      <c r="D9" s="412">
        <v>2.5</v>
      </c>
      <c r="E9" s="412">
        <v>0.5</v>
      </c>
      <c r="F9" s="412"/>
      <c r="G9" s="412"/>
      <c r="H9" s="412"/>
      <c r="I9" s="412"/>
      <c r="J9" s="412"/>
      <c r="K9" s="412"/>
      <c r="L9" s="412"/>
      <c r="M9" s="412"/>
      <c r="N9" s="412"/>
      <c r="O9" s="412"/>
      <c r="P9" s="412"/>
      <c r="Q9" s="412"/>
      <c r="R9" s="412"/>
      <c r="S9" s="412"/>
      <c r="T9" s="412">
        <v>0.45</v>
      </c>
      <c r="U9" s="413">
        <v>0.52600000000000002</v>
      </c>
      <c r="V9" s="413">
        <v>0</v>
      </c>
      <c r="W9" s="84" t="s">
        <v>4453</v>
      </c>
    </row>
    <row r="10" spans="1:23" ht="13.5" customHeight="1" x14ac:dyDescent="0.25">
      <c r="A10" s="409" t="s">
        <v>4454</v>
      </c>
      <c r="B10" s="410" t="s">
        <v>88</v>
      </c>
      <c r="C10" s="411" t="s">
        <v>224</v>
      </c>
      <c r="D10" s="412"/>
      <c r="E10" s="412">
        <v>12</v>
      </c>
      <c r="F10" s="412"/>
      <c r="G10" s="412"/>
      <c r="H10" s="412"/>
      <c r="I10" s="412"/>
      <c r="J10" s="412"/>
      <c r="K10" s="412"/>
      <c r="L10" s="412"/>
      <c r="M10" s="412">
        <v>24</v>
      </c>
      <c r="N10" s="412"/>
      <c r="O10" s="412"/>
      <c r="P10" s="412"/>
      <c r="Q10" s="412"/>
      <c r="R10" s="412"/>
      <c r="S10" s="412"/>
      <c r="T10" s="412">
        <v>0.3</v>
      </c>
      <c r="U10" s="413">
        <v>0</v>
      </c>
      <c r="V10" s="413">
        <v>0</v>
      </c>
      <c r="W10" s="84" t="s">
        <v>4455</v>
      </c>
    </row>
    <row r="11" spans="1:23" ht="13.5" customHeight="1" x14ac:dyDescent="0.25">
      <c r="A11" s="409" t="s">
        <v>4456</v>
      </c>
      <c r="B11" s="410" t="s">
        <v>88</v>
      </c>
      <c r="C11" s="411" t="s">
        <v>226</v>
      </c>
      <c r="D11" s="412"/>
      <c r="E11" s="412">
        <v>3</v>
      </c>
      <c r="F11" s="412"/>
      <c r="G11" s="412"/>
      <c r="H11" s="412"/>
      <c r="I11" s="412"/>
      <c r="J11" s="412"/>
      <c r="K11" s="412"/>
      <c r="L11" s="412"/>
      <c r="M11" s="412"/>
      <c r="N11" s="412"/>
      <c r="O11" s="412"/>
      <c r="P11" s="412"/>
      <c r="Q11" s="412"/>
      <c r="R11" s="412"/>
      <c r="S11" s="412"/>
      <c r="T11" s="412">
        <v>0.3</v>
      </c>
      <c r="U11" s="413">
        <v>-0.73299999999999998</v>
      </c>
      <c r="V11" s="413">
        <v>0</v>
      </c>
      <c r="W11" s="84" t="s">
        <v>4457</v>
      </c>
    </row>
    <row r="12" spans="1:23" ht="13.5" customHeight="1" x14ac:dyDescent="0.25">
      <c r="A12" s="409" t="s">
        <v>4458</v>
      </c>
      <c r="B12" s="410" t="s">
        <v>88</v>
      </c>
      <c r="C12" s="411" t="s">
        <v>228</v>
      </c>
      <c r="D12" s="412"/>
      <c r="E12" s="412">
        <v>2</v>
      </c>
      <c r="F12" s="412"/>
      <c r="G12" s="412"/>
      <c r="H12" s="412"/>
      <c r="I12" s="412"/>
      <c r="J12" s="412"/>
      <c r="K12" s="412"/>
      <c r="L12" s="412"/>
      <c r="M12" s="412"/>
      <c r="N12" s="412"/>
      <c r="O12" s="412"/>
      <c r="P12" s="412"/>
      <c r="Q12" s="412"/>
      <c r="R12" s="412"/>
      <c r="S12" s="412"/>
      <c r="T12" s="412">
        <v>0.35</v>
      </c>
      <c r="U12" s="413">
        <v>0</v>
      </c>
      <c r="V12" s="413">
        <v>2.5</v>
      </c>
      <c r="W12" s="84" t="s">
        <v>4459</v>
      </c>
    </row>
    <row r="13" spans="1:23" ht="13.5" customHeight="1" x14ac:dyDescent="0.25">
      <c r="A13" s="409" t="s">
        <v>4460</v>
      </c>
      <c r="B13" s="410" t="s">
        <v>88</v>
      </c>
      <c r="C13" s="411" t="s">
        <v>230</v>
      </c>
      <c r="D13" s="412">
        <v>0.5</v>
      </c>
      <c r="E13" s="412">
        <v>1</v>
      </c>
      <c r="F13" s="412"/>
      <c r="G13" s="412">
        <v>0.1</v>
      </c>
      <c r="H13" s="412"/>
      <c r="I13" s="412"/>
      <c r="J13" s="412"/>
      <c r="K13" s="412"/>
      <c r="L13" s="412"/>
      <c r="M13" s="412"/>
      <c r="N13" s="412"/>
      <c r="O13" s="412"/>
      <c r="P13" s="412"/>
      <c r="Q13" s="412"/>
      <c r="R13" s="412"/>
      <c r="S13" s="412"/>
      <c r="T13" s="412">
        <v>54</v>
      </c>
      <c r="U13" s="413">
        <v>1.5</v>
      </c>
      <c r="V13" s="413">
        <v>0.7</v>
      </c>
      <c r="W13" s="84" t="s">
        <v>4461</v>
      </c>
    </row>
    <row r="14" spans="1:23" ht="13.5" customHeight="1" x14ac:dyDescent="0.25">
      <c r="A14" s="414" t="s">
        <v>4462</v>
      </c>
      <c r="B14" s="88" t="s">
        <v>1869</v>
      </c>
      <c r="C14" s="415" t="s">
        <v>215</v>
      </c>
      <c r="D14" s="416"/>
      <c r="E14" s="416"/>
      <c r="F14" s="416"/>
      <c r="G14" s="416"/>
      <c r="H14" s="416"/>
      <c r="I14" s="416"/>
      <c r="J14" s="416"/>
      <c r="K14" s="416"/>
      <c r="L14" s="416"/>
      <c r="M14" s="416"/>
      <c r="N14" s="416"/>
      <c r="O14" s="416"/>
      <c r="P14" s="416"/>
      <c r="Q14" s="416"/>
      <c r="R14" s="416"/>
      <c r="S14" s="416"/>
      <c r="T14" s="416"/>
      <c r="U14" s="413">
        <v>0.1</v>
      </c>
      <c r="V14" s="413">
        <v>0</v>
      </c>
      <c r="W14" s="84" t="s">
        <v>4463</v>
      </c>
    </row>
    <row r="15" spans="1:23" ht="13.5" customHeight="1" x14ac:dyDescent="0.25">
      <c r="A15" s="409" t="s">
        <v>4464</v>
      </c>
      <c r="B15" s="410" t="s">
        <v>1869</v>
      </c>
      <c r="C15" s="411" t="s">
        <v>218</v>
      </c>
      <c r="D15" s="412"/>
      <c r="E15" s="412">
        <v>2.5</v>
      </c>
      <c r="F15" s="412"/>
      <c r="G15" s="412">
        <v>0.2</v>
      </c>
      <c r="H15" s="412"/>
      <c r="I15" s="412"/>
      <c r="J15" s="412"/>
      <c r="K15" s="412"/>
      <c r="L15" s="412"/>
      <c r="M15" s="412"/>
      <c r="N15" s="412"/>
      <c r="O15" s="412"/>
      <c r="P15" s="412"/>
      <c r="Q15" s="412"/>
      <c r="R15" s="412"/>
      <c r="S15" s="412"/>
      <c r="T15" s="412">
        <v>4.5</v>
      </c>
      <c r="U15" s="413">
        <v>0</v>
      </c>
      <c r="V15" s="413">
        <v>0</v>
      </c>
      <c r="W15" s="84" t="s">
        <v>4465</v>
      </c>
    </row>
    <row r="16" spans="1:23" ht="13.5" customHeight="1" x14ac:dyDescent="0.25">
      <c r="A16" s="414" t="s">
        <v>4466</v>
      </c>
      <c r="B16" s="88" t="s">
        <v>1869</v>
      </c>
      <c r="C16" s="415" t="s">
        <v>220</v>
      </c>
      <c r="D16" s="416"/>
      <c r="E16" s="416"/>
      <c r="F16" s="416"/>
      <c r="G16" s="416"/>
      <c r="H16" s="416"/>
      <c r="I16" s="416"/>
      <c r="J16" s="416"/>
      <c r="K16" s="416"/>
      <c r="L16" s="416"/>
      <c r="M16" s="416"/>
      <c r="N16" s="416"/>
      <c r="O16" s="416"/>
      <c r="P16" s="416"/>
      <c r="Q16" s="416"/>
      <c r="R16" s="416"/>
      <c r="S16" s="416"/>
      <c r="T16" s="416"/>
      <c r="U16" s="413">
        <v>0.25</v>
      </c>
      <c r="V16" s="413">
        <v>0</v>
      </c>
      <c r="W16" s="84" t="s">
        <v>4463</v>
      </c>
    </row>
    <row r="17" spans="1:23" ht="13.5" customHeight="1" x14ac:dyDescent="0.25">
      <c r="A17" s="409" t="s">
        <v>4467</v>
      </c>
      <c r="B17" s="410" t="s">
        <v>1869</v>
      </c>
      <c r="C17" s="411" t="s">
        <v>222</v>
      </c>
      <c r="D17" s="412">
        <v>3</v>
      </c>
      <c r="E17" s="412">
        <v>0.3</v>
      </c>
      <c r="F17" s="412"/>
      <c r="G17" s="412"/>
      <c r="H17" s="412"/>
      <c r="I17" s="412"/>
      <c r="J17" s="412"/>
      <c r="K17" s="412"/>
      <c r="L17" s="412"/>
      <c r="M17" s="412"/>
      <c r="N17" s="412"/>
      <c r="O17" s="412"/>
      <c r="P17" s="412"/>
      <c r="Q17" s="412"/>
      <c r="R17" s="412"/>
      <c r="S17" s="412"/>
      <c r="T17" s="412">
        <v>0.5</v>
      </c>
      <c r="U17" s="413">
        <v>0.52600000000000002</v>
      </c>
      <c r="V17" s="413">
        <v>0</v>
      </c>
      <c r="W17" s="84" t="s">
        <v>4468</v>
      </c>
    </row>
    <row r="18" spans="1:23" ht="13.5" customHeight="1" x14ac:dyDescent="0.25">
      <c r="A18" s="414" t="s">
        <v>4469</v>
      </c>
      <c r="B18" s="88" t="s">
        <v>1869</v>
      </c>
      <c r="C18" s="415" t="s">
        <v>224</v>
      </c>
      <c r="D18" s="416"/>
      <c r="E18" s="416"/>
      <c r="F18" s="416"/>
      <c r="G18" s="416"/>
      <c r="H18" s="416"/>
      <c r="I18" s="416"/>
      <c r="J18" s="416"/>
      <c r="K18" s="416"/>
      <c r="L18" s="416"/>
      <c r="M18" s="416"/>
      <c r="N18" s="416"/>
      <c r="O18" s="416"/>
      <c r="P18" s="416"/>
      <c r="Q18" s="416"/>
      <c r="R18" s="416"/>
      <c r="S18" s="416"/>
      <c r="T18" s="416"/>
      <c r="U18" s="413">
        <v>0</v>
      </c>
      <c r="V18" s="413">
        <v>0</v>
      </c>
      <c r="W18" s="84" t="s">
        <v>4463</v>
      </c>
    </row>
    <row r="19" spans="1:23" ht="13.5" customHeight="1" x14ac:dyDescent="0.25">
      <c r="A19" s="417" t="s">
        <v>4470</v>
      </c>
      <c r="B19" s="95" t="s">
        <v>1869</v>
      </c>
      <c r="C19" s="418" t="s">
        <v>226</v>
      </c>
      <c r="D19" s="419"/>
      <c r="E19" s="419"/>
      <c r="F19" s="419"/>
      <c r="G19" s="419"/>
      <c r="H19" s="419"/>
      <c r="I19" s="419"/>
      <c r="J19" s="419"/>
      <c r="K19" s="419"/>
      <c r="L19" s="419"/>
      <c r="M19" s="419"/>
      <c r="N19" s="419"/>
      <c r="O19" s="419"/>
      <c r="P19" s="419"/>
      <c r="Q19" s="419"/>
      <c r="R19" s="419"/>
      <c r="S19" s="419"/>
      <c r="T19" s="419"/>
      <c r="U19" s="413">
        <v>-0.73299999999999998</v>
      </c>
      <c r="V19" s="413">
        <v>0</v>
      </c>
      <c r="W19" s="84" t="s">
        <v>4463</v>
      </c>
    </row>
    <row r="20" spans="1:23" ht="13.5" customHeight="1" x14ac:dyDescent="0.25">
      <c r="A20" s="414" t="s">
        <v>4471</v>
      </c>
      <c r="B20" s="88" t="s">
        <v>1869</v>
      </c>
      <c r="C20" s="415" t="s">
        <v>228</v>
      </c>
      <c r="D20" s="416"/>
      <c r="E20" s="416"/>
      <c r="F20" s="416"/>
      <c r="G20" s="416"/>
      <c r="H20" s="416"/>
      <c r="I20" s="416"/>
      <c r="J20" s="416"/>
      <c r="K20" s="416"/>
      <c r="L20" s="416"/>
      <c r="M20" s="416"/>
      <c r="N20" s="416"/>
      <c r="O20" s="416"/>
      <c r="P20" s="416"/>
      <c r="Q20" s="416"/>
      <c r="R20" s="416"/>
      <c r="S20" s="416"/>
      <c r="T20" s="416"/>
      <c r="U20" s="413">
        <v>0</v>
      </c>
      <c r="V20" s="413">
        <v>2.5</v>
      </c>
      <c r="W20" s="84" t="s">
        <v>4463</v>
      </c>
    </row>
    <row r="21" spans="1:23" ht="13.5" customHeight="1" x14ac:dyDescent="0.25">
      <c r="A21" s="417" t="s">
        <v>4472</v>
      </c>
      <c r="B21" s="95" t="s">
        <v>1869</v>
      </c>
      <c r="C21" s="418" t="s">
        <v>230</v>
      </c>
      <c r="D21" s="419"/>
      <c r="E21" s="419"/>
      <c r="F21" s="419"/>
      <c r="G21" s="419"/>
      <c r="H21" s="419"/>
      <c r="I21" s="419"/>
      <c r="J21" s="419"/>
      <c r="K21" s="419"/>
      <c r="L21" s="419"/>
      <c r="M21" s="419"/>
      <c r="N21" s="419"/>
      <c r="O21" s="419"/>
      <c r="P21" s="419"/>
      <c r="Q21" s="419"/>
      <c r="R21" s="419"/>
      <c r="S21" s="419"/>
      <c r="T21" s="419"/>
      <c r="U21" s="413">
        <v>1.5</v>
      </c>
      <c r="V21" s="413">
        <v>0.7</v>
      </c>
      <c r="W21" s="84" t="s">
        <v>4463</v>
      </c>
    </row>
    <row r="22" spans="1:23" ht="13.5" customHeight="1" x14ac:dyDescent="0.25">
      <c r="A22" s="409" t="s">
        <v>4473</v>
      </c>
      <c r="B22" s="410" t="s">
        <v>1874</v>
      </c>
      <c r="C22" s="411" t="s">
        <v>215</v>
      </c>
      <c r="D22" s="412"/>
      <c r="E22" s="412">
        <v>5</v>
      </c>
      <c r="F22" s="412"/>
      <c r="G22" s="412">
        <v>0.3</v>
      </c>
      <c r="H22" s="412"/>
      <c r="I22" s="412"/>
      <c r="J22" s="412"/>
      <c r="K22" s="412"/>
      <c r="L22" s="412"/>
      <c r="M22" s="412">
        <v>24</v>
      </c>
      <c r="N22" s="412"/>
      <c r="O22" s="412"/>
      <c r="P22" s="412"/>
      <c r="Q22" s="412"/>
      <c r="R22" s="412"/>
      <c r="S22" s="412"/>
      <c r="T22" s="412">
        <v>2.5</v>
      </c>
      <c r="U22" s="413">
        <v>0.1</v>
      </c>
      <c r="V22" s="413">
        <v>0</v>
      </c>
      <c r="W22" s="84" t="s">
        <v>4474</v>
      </c>
    </row>
    <row r="23" spans="1:23" ht="13.5" customHeight="1" x14ac:dyDescent="0.25">
      <c r="A23" s="409" t="s">
        <v>4475</v>
      </c>
      <c r="B23" s="410" t="s">
        <v>1874</v>
      </c>
      <c r="C23" s="411" t="s">
        <v>218</v>
      </c>
      <c r="D23" s="412"/>
      <c r="E23" s="412">
        <v>2.5</v>
      </c>
      <c r="F23" s="412"/>
      <c r="G23" s="412">
        <v>0.2</v>
      </c>
      <c r="H23" s="412"/>
      <c r="I23" s="412"/>
      <c r="J23" s="412"/>
      <c r="K23" s="412"/>
      <c r="L23" s="412"/>
      <c r="M23" s="412"/>
      <c r="N23" s="412"/>
      <c r="O23" s="412"/>
      <c r="P23" s="412"/>
      <c r="Q23" s="412"/>
      <c r="R23" s="412"/>
      <c r="S23" s="412"/>
      <c r="T23" s="412">
        <v>4.5</v>
      </c>
      <c r="U23" s="413">
        <v>0</v>
      </c>
      <c r="V23" s="413">
        <v>0</v>
      </c>
      <c r="W23" s="84" t="s">
        <v>4476</v>
      </c>
    </row>
    <row r="24" spans="1:23" ht="13.5" customHeight="1" x14ac:dyDescent="0.25">
      <c r="A24" s="414" t="s">
        <v>4477</v>
      </c>
      <c r="B24" s="88" t="s">
        <v>1874</v>
      </c>
      <c r="C24" s="415" t="s">
        <v>220</v>
      </c>
      <c r="D24" s="416"/>
      <c r="E24" s="416"/>
      <c r="F24" s="416"/>
      <c r="G24" s="416"/>
      <c r="H24" s="416"/>
      <c r="I24" s="416"/>
      <c r="J24" s="416"/>
      <c r="K24" s="416"/>
      <c r="L24" s="416"/>
      <c r="M24" s="416"/>
      <c r="N24" s="416"/>
      <c r="O24" s="416"/>
      <c r="P24" s="416"/>
      <c r="Q24" s="416"/>
      <c r="R24" s="416"/>
      <c r="S24" s="416"/>
      <c r="T24" s="416"/>
      <c r="U24" s="413">
        <v>0.25</v>
      </c>
      <c r="V24" s="413">
        <v>0</v>
      </c>
      <c r="W24" s="84" t="s">
        <v>4463</v>
      </c>
    </row>
    <row r="25" spans="1:23" ht="13.5" customHeight="1" x14ac:dyDescent="0.25">
      <c r="A25" s="409" t="s">
        <v>4478</v>
      </c>
      <c r="B25" s="410" t="s">
        <v>1874</v>
      </c>
      <c r="C25" s="411" t="s">
        <v>222</v>
      </c>
      <c r="D25" s="412">
        <v>2</v>
      </c>
      <c r="E25" s="412">
        <v>1</v>
      </c>
      <c r="F25" s="412"/>
      <c r="G25" s="412"/>
      <c r="H25" s="412"/>
      <c r="I25" s="412"/>
      <c r="J25" s="412"/>
      <c r="K25" s="412"/>
      <c r="L25" s="412"/>
      <c r="M25" s="412"/>
      <c r="N25" s="412"/>
      <c r="O25" s="412"/>
      <c r="P25" s="412"/>
      <c r="Q25" s="412"/>
      <c r="R25" s="412"/>
      <c r="S25" s="412"/>
      <c r="T25" s="412">
        <v>0.48</v>
      </c>
      <c r="U25" s="413">
        <v>0.52600000000000002</v>
      </c>
      <c r="V25" s="413">
        <v>0</v>
      </c>
      <c r="W25" s="84" t="s">
        <v>4479</v>
      </c>
    </row>
    <row r="26" spans="1:23" ht="13.5" customHeight="1" x14ac:dyDescent="0.25">
      <c r="A26" s="409" t="s">
        <v>4480</v>
      </c>
      <c r="B26" s="410" t="s">
        <v>1874</v>
      </c>
      <c r="C26" s="411" t="s">
        <v>224</v>
      </c>
      <c r="D26" s="412"/>
      <c r="E26" s="412">
        <v>12</v>
      </c>
      <c r="F26" s="412"/>
      <c r="G26" s="412"/>
      <c r="H26" s="412"/>
      <c r="I26" s="412"/>
      <c r="J26" s="412"/>
      <c r="K26" s="412"/>
      <c r="L26" s="412"/>
      <c r="M26" s="412">
        <v>24</v>
      </c>
      <c r="N26" s="412"/>
      <c r="O26" s="412"/>
      <c r="P26" s="412"/>
      <c r="Q26" s="412"/>
      <c r="R26" s="412"/>
      <c r="S26" s="412"/>
      <c r="T26" s="412">
        <v>0.3</v>
      </c>
      <c r="U26" s="413">
        <v>0</v>
      </c>
      <c r="V26" s="413">
        <v>0</v>
      </c>
      <c r="W26" s="84" t="s">
        <v>4481</v>
      </c>
    </row>
    <row r="27" spans="1:23" ht="13.5" customHeight="1" x14ac:dyDescent="0.25">
      <c r="A27" s="409" t="s">
        <v>4482</v>
      </c>
      <c r="B27" s="410" t="s">
        <v>1874</v>
      </c>
      <c r="C27" s="411" t="s">
        <v>226</v>
      </c>
      <c r="D27" s="412"/>
      <c r="E27" s="412">
        <v>3</v>
      </c>
      <c r="F27" s="412"/>
      <c r="G27" s="412"/>
      <c r="H27" s="412"/>
      <c r="I27" s="412"/>
      <c r="J27" s="412"/>
      <c r="K27" s="412"/>
      <c r="L27" s="412"/>
      <c r="M27" s="412"/>
      <c r="N27" s="412"/>
      <c r="O27" s="412"/>
      <c r="P27" s="412"/>
      <c r="Q27" s="412"/>
      <c r="R27" s="412"/>
      <c r="S27" s="412"/>
      <c r="T27" s="412">
        <v>0.3</v>
      </c>
      <c r="U27" s="413">
        <v>-0.73299999999999998</v>
      </c>
      <c r="V27" s="413">
        <v>0</v>
      </c>
      <c r="W27" s="84" t="s">
        <v>4483</v>
      </c>
    </row>
    <row r="28" spans="1:23" ht="13.5" customHeight="1" x14ac:dyDescent="0.25">
      <c r="A28" s="409" t="s">
        <v>4484</v>
      </c>
      <c r="B28" s="410" t="s">
        <v>1874</v>
      </c>
      <c r="C28" s="411" t="s">
        <v>228</v>
      </c>
      <c r="D28" s="412"/>
      <c r="E28" s="412">
        <v>2</v>
      </c>
      <c r="F28" s="412"/>
      <c r="G28" s="412"/>
      <c r="H28" s="412"/>
      <c r="I28" s="412"/>
      <c r="J28" s="412"/>
      <c r="K28" s="412"/>
      <c r="L28" s="412"/>
      <c r="M28" s="412"/>
      <c r="N28" s="412"/>
      <c r="O28" s="412"/>
      <c r="P28" s="412"/>
      <c r="Q28" s="412"/>
      <c r="R28" s="412"/>
      <c r="S28" s="412"/>
      <c r="T28" s="412">
        <v>0.35</v>
      </c>
      <c r="U28" s="413">
        <v>0</v>
      </c>
      <c r="V28" s="413">
        <v>2.5</v>
      </c>
      <c r="W28" s="84" t="s">
        <v>4485</v>
      </c>
    </row>
    <row r="29" spans="1:23" ht="13.5" customHeight="1" x14ac:dyDescent="0.25">
      <c r="A29" s="417" t="s">
        <v>4486</v>
      </c>
      <c r="B29" s="95" t="s">
        <v>1874</v>
      </c>
      <c r="C29" s="418" t="s">
        <v>230</v>
      </c>
      <c r="D29" s="419"/>
      <c r="E29" s="419"/>
      <c r="F29" s="419"/>
      <c r="G29" s="419"/>
      <c r="H29" s="419"/>
      <c r="I29" s="419"/>
      <c r="J29" s="419"/>
      <c r="K29" s="419"/>
      <c r="L29" s="419"/>
      <c r="M29" s="419"/>
      <c r="N29" s="419"/>
      <c r="O29" s="419"/>
      <c r="P29" s="419"/>
      <c r="Q29" s="419"/>
      <c r="R29" s="419"/>
      <c r="S29" s="419"/>
      <c r="T29" s="419"/>
      <c r="U29" s="413">
        <v>1.5</v>
      </c>
      <c r="V29" s="413">
        <v>0.7</v>
      </c>
      <c r="W29" s="84" t="s">
        <v>4463</v>
      </c>
    </row>
    <row r="30" spans="1:23" ht="13.5" customHeight="1" x14ac:dyDescent="0.25">
      <c r="A30" s="414" t="s">
        <v>4487</v>
      </c>
      <c r="B30" s="88" t="s">
        <v>1879</v>
      </c>
      <c r="C30" s="415" t="s">
        <v>215</v>
      </c>
      <c r="D30" s="416"/>
      <c r="E30" s="416"/>
      <c r="F30" s="416"/>
      <c r="G30" s="416"/>
      <c r="H30" s="416"/>
      <c r="I30" s="416"/>
      <c r="J30" s="416"/>
      <c r="K30" s="416"/>
      <c r="L30" s="416"/>
      <c r="M30" s="416"/>
      <c r="N30" s="416"/>
      <c r="O30" s="416"/>
      <c r="P30" s="416"/>
      <c r="Q30" s="416"/>
      <c r="R30" s="416"/>
      <c r="S30" s="416"/>
      <c r="T30" s="416"/>
      <c r="U30" s="413">
        <v>0.1</v>
      </c>
      <c r="V30" s="413">
        <v>0</v>
      </c>
      <c r="W30" s="84" t="s">
        <v>4463</v>
      </c>
    </row>
    <row r="31" spans="1:23" ht="13.5" customHeight="1" x14ac:dyDescent="0.25">
      <c r="A31" s="409" t="s">
        <v>4488</v>
      </c>
      <c r="B31" s="410" t="s">
        <v>1879</v>
      </c>
      <c r="C31" s="411" t="s">
        <v>218</v>
      </c>
      <c r="D31" s="412"/>
      <c r="E31" s="412">
        <v>2.5</v>
      </c>
      <c r="F31" s="412"/>
      <c r="G31" s="412">
        <v>0.2</v>
      </c>
      <c r="H31" s="412"/>
      <c r="I31" s="412"/>
      <c r="J31" s="412"/>
      <c r="K31" s="412"/>
      <c r="L31" s="412"/>
      <c r="M31" s="412"/>
      <c r="N31" s="412"/>
      <c r="O31" s="412"/>
      <c r="P31" s="412"/>
      <c r="Q31" s="412"/>
      <c r="R31" s="412"/>
      <c r="S31" s="412"/>
      <c r="T31" s="412">
        <v>4.5</v>
      </c>
      <c r="U31" s="413">
        <v>0</v>
      </c>
      <c r="V31" s="413">
        <v>0</v>
      </c>
      <c r="W31" s="84" t="s">
        <v>4489</v>
      </c>
    </row>
    <row r="32" spans="1:23" ht="13.5" customHeight="1" x14ac:dyDescent="0.25">
      <c r="A32" s="414" t="s">
        <v>4490</v>
      </c>
      <c r="B32" s="88" t="s">
        <v>1879</v>
      </c>
      <c r="C32" s="415" t="s">
        <v>220</v>
      </c>
      <c r="D32" s="416"/>
      <c r="E32" s="416"/>
      <c r="F32" s="416"/>
      <c r="G32" s="416"/>
      <c r="H32" s="416"/>
      <c r="I32" s="416"/>
      <c r="J32" s="416"/>
      <c r="K32" s="416"/>
      <c r="L32" s="416"/>
      <c r="M32" s="416"/>
      <c r="N32" s="416"/>
      <c r="O32" s="416"/>
      <c r="P32" s="416"/>
      <c r="Q32" s="416"/>
      <c r="R32" s="416"/>
      <c r="S32" s="416"/>
      <c r="T32" s="416"/>
      <c r="U32" s="413">
        <v>0.25</v>
      </c>
      <c r="V32" s="413">
        <v>0</v>
      </c>
      <c r="W32" s="84" t="s">
        <v>4463</v>
      </c>
    </row>
    <row r="33" spans="1:23" ht="13.5" customHeight="1" x14ac:dyDescent="0.25">
      <c r="A33" s="409" t="s">
        <v>4491</v>
      </c>
      <c r="B33" s="410" t="s">
        <v>1879</v>
      </c>
      <c r="C33" s="411" t="s">
        <v>222</v>
      </c>
      <c r="D33" s="412">
        <v>2</v>
      </c>
      <c r="E33" s="412">
        <v>1</v>
      </c>
      <c r="F33" s="412"/>
      <c r="G33" s="412"/>
      <c r="H33" s="412"/>
      <c r="I33" s="412"/>
      <c r="J33" s="412"/>
      <c r="K33" s="412"/>
      <c r="L33" s="412"/>
      <c r="M33" s="412"/>
      <c r="N33" s="412"/>
      <c r="O33" s="412"/>
      <c r="P33" s="412"/>
      <c r="Q33" s="412"/>
      <c r="R33" s="412"/>
      <c r="S33" s="412"/>
      <c r="T33" s="412">
        <v>0.46</v>
      </c>
      <c r="U33" s="413">
        <v>0.52600000000000002</v>
      </c>
      <c r="V33" s="413">
        <v>0</v>
      </c>
      <c r="W33" s="84" t="s">
        <v>4492</v>
      </c>
    </row>
    <row r="34" spans="1:23" ht="13.5" customHeight="1" x14ac:dyDescent="0.25">
      <c r="A34" s="409" t="s">
        <v>4493</v>
      </c>
      <c r="B34" s="410" t="s">
        <v>1879</v>
      </c>
      <c r="C34" s="411" t="s">
        <v>224</v>
      </c>
      <c r="D34" s="412"/>
      <c r="E34" s="412">
        <v>12</v>
      </c>
      <c r="F34" s="412"/>
      <c r="G34" s="412"/>
      <c r="H34" s="412"/>
      <c r="I34" s="412"/>
      <c r="J34" s="412"/>
      <c r="K34" s="412"/>
      <c r="L34" s="412"/>
      <c r="M34" s="412">
        <v>24</v>
      </c>
      <c r="N34" s="412"/>
      <c r="O34" s="412"/>
      <c r="P34" s="412"/>
      <c r="Q34" s="412"/>
      <c r="R34" s="412"/>
      <c r="S34" s="412"/>
      <c r="T34" s="412">
        <v>0.3</v>
      </c>
      <c r="U34" s="413">
        <v>0</v>
      </c>
      <c r="V34" s="413">
        <v>0</v>
      </c>
      <c r="W34" s="84" t="s">
        <v>4494</v>
      </c>
    </row>
    <row r="35" spans="1:23" ht="13.5" customHeight="1" x14ac:dyDescent="0.25">
      <c r="A35" s="409" t="s">
        <v>4495</v>
      </c>
      <c r="B35" s="410" t="s">
        <v>1879</v>
      </c>
      <c r="C35" s="411" t="s">
        <v>226</v>
      </c>
      <c r="D35" s="412"/>
      <c r="E35" s="412">
        <v>3</v>
      </c>
      <c r="F35" s="412"/>
      <c r="G35" s="412"/>
      <c r="H35" s="412"/>
      <c r="I35" s="412"/>
      <c r="J35" s="412"/>
      <c r="K35" s="412"/>
      <c r="L35" s="412"/>
      <c r="M35" s="412"/>
      <c r="N35" s="412"/>
      <c r="O35" s="412"/>
      <c r="P35" s="412"/>
      <c r="Q35" s="412"/>
      <c r="R35" s="412"/>
      <c r="S35" s="412"/>
      <c r="T35" s="412">
        <v>0.3</v>
      </c>
      <c r="U35" s="413">
        <v>-0.73299999999999998</v>
      </c>
      <c r="V35" s="413">
        <v>0</v>
      </c>
      <c r="W35" s="84" t="s">
        <v>4496</v>
      </c>
    </row>
    <row r="36" spans="1:23" ht="13.5" customHeight="1" x14ac:dyDescent="0.25">
      <c r="A36" s="414" t="s">
        <v>4497</v>
      </c>
      <c r="B36" s="88" t="s">
        <v>1879</v>
      </c>
      <c r="C36" s="415" t="s">
        <v>228</v>
      </c>
      <c r="D36" s="416"/>
      <c r="E36" s="416"/>
      <c r="F36" s="416"/>
      <c r="G36" s="416"/>
      <c r="H36" s="416"/>
      <c r="I36" s="416"/>
      <c r="J36" s="416"/>
      <c r="K36" s="416"/>
      <c r="L36" s="416"/>
      <c r="M36" s="416"/>
      <c r="N36" s="416"/>
      <c r="O36" s="416"/>
      <c r="P36" s="416"/>
      <c r="Q36" s="416"/>
      <c r="R36" s="416"/>
      <c r="S36" s="416"/>
      <c r="T36" s="416"/>
      <c r="U36" s="413">
        <v>0</v>
      </c>
      <c r="V36" s="413">
        <v>2.5</v>
      </c>
      <c r="W36" s="84" t="s">
        <v>4463</v>
      </c>
    </row>
    <row r="37" spans="1:23" ht="13.5" customHeight="1" x14ac:dyDescent="0.25">
      <c r="A37" s="417" t="s">
        <v>4498</v>
      </c>
      <c r="B37" s="95" t="s">
        <v>1879</v>
      </c>
      <c r="C37" s="418" t="s">
        <v>230</v>
      </c>
      <c r="D37" s="419"/>
      <c r="E37" s="419"/>
      <c r="F37" s="419"/>
      <c r="G37" s="419"/>
      <c r="H37" s="419"/>
      <c r="I37" s="419"/>
      <c r="J37" s="419"/>
      <c r="K37" s="419"/>
      <c r="L37" s="419"/>
      <c r="M37" s="419"/>
      <c r="N37" s="419"/>
      <c r="O37" s="419"/>
      <c r="P37" s="419"/>
      <c r="Q37" s="419"/>
      <c r="R37" s="419"/>
      <c r="S37" s="419"/>
      <c r="T37" s="419"/>
      <c r="U37" s="413">
        <v>1.5</v>
      </c>
      <c r="V37" s="413">
        <v>0.7</v>
      </c>
      <c r="W37" s="84" t="s">
        <v>4463</v>
      </c>
    </row>
    <row r="38" spans="1:23" ht="13.5" customHeight="1" x14ac:dyDescent="0.25">
      <c r="A38" s="409" t="s">
        <v>4499</v>
      </c>
      <c r="B38" s="410" t="s">
        <v>1884</v>
      </c>
      <c r="C38" s="411" t="s">
        <v>215</v>
      </c>
      <c r="D38" s="412">
        <v>5</v>
      </c>
      <c r="E38" s="412">
        <v>1</v>
      </c>
      <c r="F38" s="412"/>
      <c r="G38" s="412"/>
      <c r="H38" s="412"/>
      <c r="I38" s="412"/>
      <c r="J38" s="412"/>
      <c r="K38" s="412"/>
      <c r="L38" s="412">
        <v>20</v>
      </c>
      <c r="M38" s="412"/>
      <c r="N38" s="412"/>
      <c r="O38" s="412"/>
      <c r="P38" s="412"/>
      <c r="Q38" s="412"/>
      <c r="R38" s="412"/>
      <c r="S38" s="412"/>
      <c r="T38" s="412">
        <v>3.5</v>
      </c>
      <c r="U38" s="413">
        <v>0.1</v>
      </c>
      <c r="V38" s="413">
        <v>0</v>
      </c>
      <c r="W38" s="84" t="s">
        <v>4500</v>
      </c>
    </row>
    <row r="39" spans="1:23" ht="13.5" customHeight="1" x14ac:dyDescent="0.25">
      <c r="A39" s="409" t="s">
        <v>4501</v>
      </c>
      <c r="B39" s="410" t="s">
        <v>1884</v>
      </c>
      <c r="C39" s="411" t="s">
        <v>218</v>
      </c>
      <c r="D39" s="412">
        <v>1.5</v>
      </c>
      <c r="E39" s="412">
        <v>0.5</v>
      </c>
      <c r="F39" s="412"/>
      <c r="G39" s="412">
        <v>0.2</v>
      </c>
      <c r="H39" s="412"/>
      <c r="I39" s="412"/>
      <c r="J39" s="412"/>
      <c r="K39" s="412"/>
      <c r="L39" s="412"/>
      <c r="M39" s="412"/>
      <c r="N39" s="412"/>
      <c r="O39" s="412"/>
      <c r="P39" s="412"/>
      <c r="Q39" s="412"/>
      <c r="R39" s="412"/>
      <c r="S39" s="412"/>
      <c r="T39" s="412">
        <v>5</v>
      </c>
      <c r="U39" s="413">
        <v>0</v>
      </c>
      <c r="V39" s="413">
        <v>0</v>
      </c>
      <c r="W39" s="84" t="s">
        <v>4502</v>
      </c>
    </row>
    <row r="40" spans="1:23" ht="13.5" customHeight="1" x14ac:dyDescent="0.25">
      <c r="A40" s="409" t="s">
        <v>4503</v>
      </c>
      <c r="B40" s="410" t="s">
        <v>1884</v>
      </c>
      <c r="C40" s="411" t="s">
        <v>220</v>
      </c>
      <c r="D40" s="412">
        <v>4.5</v>
      </c>
      <c r="E40" s="412">
        <v>0.5</v>
      </c>
      <c r="F40" s="412"/>
      <c r="G40" s="412">
        <v>0.2</v>
      </c>
      <c r="H40" s="412"/>
      <c r="I40" s="412"/>
      <c r="J40" s="412"/>
      <c r="K40" s="412"/>
      <c r="L40" s="412">
        <v>18</v>
      </c>
      <c r="M40" s="412">
        <v>1.5</v>
      </c>
      <c r="N40" s="412"/>
      <c r="O40" s="412"/>
      <c r="P40" s="412"/>
      <c r="Q40" s="412"/>
      <c r="R40" s="412"/>
      <c r="S40" s="412"/>
      <c r="T40" s="412">
        <v>1.5</v>
      </c>
      <c r="U40" s="413">
        <v>0.25</v>
      </c>
      <c r="V40" s="413">
        <v>0</v>
      </c>
      <c r="W40" s="84" t="s">
        <v>4504</v>
      </c>
    </row>
    <row r="41" spans="1:23" ht="13.5" customHeight="1" x14ac:dyDescent="0.25">
      <c r="A41" s="409" t="s">
        <v>4505</v>
      </c>
      <c r="B41" s="410" t="s">
        <v>1884</v>
      </c>
      <c r="C41" s="411" t="s">
        <v>222</v>
      </c>
      <c r="D41" s="412">
        <v>3</v>
      </c>
      <c r="E41" s="412">
        <v>0.2</v>
      </c>
      <c r="F41" s="412"/>
      <c r="G41" s="412"/>
      <c r="H41" s="412"/>
      <c r="I41" s="412"/>
      <c r="J41" s="412"/>
      <c r="K41" s="412"/>
      <c r="L41" s="412"/>
      <c r="M41" s="412"/>
      <c r="N41" s="412"/>
      <c r="O41" s="412"/>
      <c r="P41" s="412"/>
      <c r="Q41" s="412"/>
      <c r="R41" s="412"/>
      <c r="S41" s="412"/>
      <c r="T41" s="412">
        <v>0.5</v>
      </c>
      <c r="U41" s="413">
        <v>0.52600000000000002</v>
      </c>
      <c r="V41" s="413">
        <v>0</v>
      </c>
      <c r="W41" s="84" t="s">
        <v>4506</v>
      </c>
    </row>
    <row r="42" spans="1:23" ht="13.5" customHeight="1" x14ac:dyDescent="0.25">
      <c r="A42" s="409" t="s">
        <v>4507</v>
      </c>
      <c r="B42" s="410" t="s">
        <v>1884</v>
      </c>
      <c r="C42" s="411" t="s">
        <v>224</v>
      </c>
      <c r="D42" s="412">
        <v>2</v>
      </c>
      <c r="E42" s="412">
        <v>11</v>
      </c>
      <c r="F42" s="412"/>
      <c r="G42" s="412"/>
      <c r="H42" s="412"/>
      <c r="I42" s="412"/>
      <c r="J42" s="412"/>
      <c r="K42" s="412"/>
      <c r="L42" s="412"/>
      <c r="M42" s="412">
        <v>22</v>
      </c>
      <c r="N42" s="412"/>
      <c r="O42" s="412"/>
      <c r="P42" s="412"/>
      <c r="Q42" s="412"/>
      <c r="R42" s="412"/>
      <c r="S42" s="412"/>
      <c r="T42" s="412">
        <v>0.35</v>
      </c>
      <c r="U42" s="413">
        <v>0</v>
      </c>
      <c r="V42" s="413">
        <v>0</v>
      </c>
      <c r="W42" s="84" t="s">
        <v>4508</v>
      </c>
    </row>
    <row r="43" spans="1:23" ht="13.5" customHeight="1" x14ac:dyDescent="0.25">
      <c r="A43" s="409" t="s">
        <v>4509</v>
      </c>
      <c r="B43" s="410" t="s">
        <v>1884</v>
      </c>
      <c r="C43" s="411" t="s">
        <v>226</v>
      </c>
      <c r="D43" s="412"/>
      <c r="E43" s="412">
        <v>3</v>
      </c>
      <c r="F43" s="412"/>
      <c r="G43" s="412"/>
      <c r="H43" s="412"/>
      <c r="I43" s="412"/>
      <c r="J43" s="412"/>
      <c r="K43" s="412"/>
      <c r="L43" s="412"/>
      <c r="M43" s="412"/>
      <c r="N43" s="412"/>
      <c r="O43" s="412"/>
      <c r="P43" s="412"/>
      <c r="Q43" s="412"/>
      <c r="R43" s="412"/>
      <c r="S43" s="412"/>
      <c r="T43" s="412">
        <v>0.3</v>
      </c>
      <c r="U43" s="413">
        <v>-0.73299999999999998</v>
      </c>
      <c r="V43" s="413">
        <v>0</v>
      </c>
      <c r="W43" s="84" t="s">
        <v>4510</v>
      </c>
    </row>
    <row r="44" spans="1:23" ht="13.5" customHeight="1" x14ac:dyDescent="0.25">
      <c r="A44" s="420" t="s">
        <v>4511</v>
      </c>
      <c r="B44" s="421" t="s">
        <v>1884</v>
      </c>
      <c r="C44" s="422" t="s">
        <v>228</v>
      </c>
      <c r="D44" s="423"/>
      <c r="E44" s="423">
        <v>2</v>
      </c>
      <c r="F44" s="423"/>
      <c r="G44" s="423"/>
      <c r="H44" s="423"/>
      <c r="I44" s="423"/>
      <c r="J44" s="423"/>
      <c r="K44" s="423"/>
      <c r="L44" s="423"/>
      <c r="M44" s="423"/>
      <c r="N44" s="423"/>
      <c r="O44" s="423"/>
      <c r="P44" s="423"/>
      <c r="Q44" s="423"/>
      <c r="R44" s="423"/>
      <c r="S44" s="423"/>
      <c r="T44" s="423">
        <v>0.35</v>
      </c>
      <c r="U44" s="413">
        <v>0</v>
      </c>
      <c r="V44" s="413">
        <v>2.5</v>
      </c>
      <c r="W44" s="84" t="s">
        <v>4512</v>
      </c>
    </row>
    <row r="45" spans="1:23" ht="13.5" customHeight="1" x14ac:dyDescent="0.25">
      <c r="A45" s="409" t="s">
        <v>4513</v>
      </c>
      <c r="B45" s="410" t="s">
        <v>1884</v>
      </c>
      <c r="C45" s="411" t="s">
        <v>230</v>
      </c>
      <c r="D45" s="412">
        <v>1.5</v>
      </c>
      <c r="E45" s="412">
        <v>0.5</v>
      </c>
      <c r="F45" s="412"/>
      <c r="G45" s="412"/>
      <c r="H45" s="412"/>
      <c r="I45" s="412"/>
      <c r="J45" s="412"/>
      <c r="K45" s="412"/>
      <c r="L45" s="412"/>
      <c r="M45" s="412"/>
      <c r="N45" s="412"/>
      <c r="O45" s="412"/>
      <c r="P45" s="412"/>
      <c r="Q45" s="412"/>
      <c r="R45" s="412"/>
      <c r="S45" s="412"/>
      <c r="T45" s="412">
        <v>54</v>
      </c>
      <c r="U45" s="413">
        <v>1.5</v>
      </c>
      <c r="V45" s="413">
        <v>0.7</v>
      </c>
      <c r="W45" s="84" t="s">
        <v>4514</v>
      </c>
    </row>
    <row r="47" spans="1:23" ht="15.75" customHeight="1" x14ac:dyDescent="0.25">
      <c r="A47" s="456" t="s">
        <v>4515</v>
      </c>
      <c r="B47" s="456"/>
      <c r="C47" s="456"/>
      <c r="D47" s="456"/>
      <c r="E47" s="456"/>
      <c r="F47" s="456"/>
      <c r="G47" s="456"/>
      <c r="H47" s="456"/>
      <c r="I47" s="456"/>
      <c r="J47" s="456"/>
      <c r="K47" s="456"/>
      <c r="L47" s="456"/>
      <c r="M47" s="456"/>
      <c r="N47" s="456"/>
      <c r="O47" s="456"/>
      <c r="P47" s="456"/>
      <c r="Q47" s="456"/>
      <c r="R47" s="456"/>
      <c r="S47" s="456"/>
      <c r="T47" s="456"/>
      <c r="U47" s="456"/>
      <c r="V47" s="456"/>
      <c r="W47" s="456"/>
    </row>
    <row r="48" spans="1:23" ht="42" customHeight="1" x14ac:dyDescent="0.25">
      <c r="A48" s="7" t="s">
        <v>4516</v>
      </c>
      <c r="B48" s="7"/>
      <c r="C48" s="7"/>
      <c r="D48" s="7"/>
      <c r="E48" s="7"/>
      <c r="F48" s="7"/>
      <c r="G48" s="7"/>
      <c r="H48" s="7"/>
      <c r="I48" s="7"/>
      <c r="J48" s="7"/>
      <c r="K48" s="7"/>
      <c r="L48" s="7"/>
      <c r="M48" s="7"/>
      <c r="N48" s="7"/>
      <c r="O48" s="7"/>
      <c r="P48" s="7"/>
      <c r="Q48" s="7"/>
      <c r="R48" s="7"/>
      <c r="S48" s="7"/>
      <c r="T48" s="7"/>
      <c r="U48" s="7"/>
      <c r="V48" s="7"/>
      <c r="W48" s="7"/>
    </row>
    <row r="49" spans="1:9" ht="48" customHeight="1" x14ac:dyDescent="0.25">
      <c r="A49" s="86" t="s">
        <v>4517</v>
      </c>
      <c r="B49" s="86" t="s">
        <v>4424</v>
      </c>
      <c r="C49" s="86" t="s">
        <v>208</v>
      </c>
      <c r="D49" s="86" t="s">
        <v>4518</v>
      </c>
      <c r="E49" s="86" t="s">
        <v>4519</v>
      </c>
      <c r="F49" s="86" t="s">
        <v>4520</v>
      </c>
      <c r="G49" s="86" t="s">
        <v>4521</v>
      </c>
      <c r="H49" s="86" t="s">
        <v>4522</v>
      </c>
      <c r="I49" s="86" t="s">
        <v>4523</v>
      </c>
    </row>
    <row r="50" spans="1:9" ht="13.5" customHeight="1" x14ac:dyDescent="0.25">
      <c r="A50" s="424" t="s">
        <v>4524</v>
      </c>
      <c r="B50" s="425" t="s">
        <v>88</v>
      </c>
      <c r="C50" s="426" t="s">
        <v>321</v>
      </c>
      <c r="D50" s="413">
        <v>1.4039999999999999</v>
      </c>
      <c r="E50" s="413"/>
      <c r="F50" s="413">
        <v>1.4039999999999999</v>
      </c>
      <c r="G50" s="413">
        <v>0.48099999999999998</v>
      </c>
      <c r="H50" s="427">
        <v>0.92300000000000004</v>
      </c>
      <c r="I50" s="84" t="s">
        <v>4525</v>
      </c>
    </row>
    <row r="51" spans="1:9" ht="13.5" customHeight="1" x14ac:dyDescent="0.25">
      <c r="A51" s="424" t="s">
        <v>4526</v>
      </c>
      <c r="B51" s="425" t="s">
        <v>88</v>
      </c>
      <c r="C51" s="426" t="s">
        <v>324</v>
      </c>
      <c r="D51" s="413">
        <v>0.72</v>
      </c>
      <c r="E51" s="413"/>
      <c r="F51" s="413">
        <v>0.72</v>
      </c>
      <c r="G51" s="413">
        <v>7.1999999999999995E-2</v>
      </c>
      <c r="H51" s="427">
        <v>0.64800000000000002</v>
      </c>
      <c r="I51" s="84" t="s">
        <v>4527</v>
      </c>
    </row>
    <row r="52" spans="1:9" ht="13.5" customHeight="1" x14ac:dyDescent="0.25">
      <c r="A52" s="424" t="s">
        <v>4528</v>
      </c>
      <c r="B52" s="425" t="s">
        <v>88</v>
      </c>
      <c r="C52" s="426" t="s">
        <v>326</v>
      </c>
      <c r="D52" s="413">
        <v>0.78</v>
      </c>
      <c r="E52" s="413">
        <v>9.5000000000000001E-2</v>
      </c>
      <c r="F52" s="413">
        <v>0.875</v>
      </c>
      <c r="G52" s="413">
        <v>0.66600000000000004</v>
      </c>
      <c r="H52" s="428">
        <v>0.20899999999999999</v>
      </c>
      <c r="I52" s="84" t="s">
        <v>4529</v>
      </c>
    </row>
    <row r="53" spans="1:9" ht="13.5" customHeight="1" x14ac:dyDescent="0.25">
      <c r="A53" s="424" t="s">
        <v>4530</v>
      </c>
      <c r="B53" s="425" t="s">
        <v>88</v>
      </c>
      <c r="C53" s="426" t="s">
        <v>329</v>
      </c>
      <c r="D53" s="413">
        <v>1.4039999999999999</v>
      </c>
      <c r="E53" s="413"/>
      <c r="F53" s="413">
        <v>1.4039999999999999</v>
      </c>
      <c r="G53" s="413">
        <v>1.522</v>
      </c>
      <c r="H53" s="428">
        <v>0</v>
      </c>
      <c r="I53" s="84" t="s">
        <v>4531</v>
      </c>
    </row>
    <row r="54" spans="1:9" ht="13.5" customHeight="1" x14ac:dyDescent="0.25">
      <c r="A54" s="424" t="s">
        <v>4532</v>
      </c>
      <c r="B54" s="425" t="s">
        <v>88</v>
      </c>
      <c r="C54" s="426" t="s">
        <v>331</v>
      </c>
      <c r="D54" s="413">
        <v>1.4039999999999999</v>
      </c>
      <c r="E54" s="413">
        <v>5.5E-2</v>
      </c>
      <c r="F54" s="413">
        <v>1.4590000000000001</v>
      </c>
      <c r="G54" s="413">
        <v>0.90200000000000002</v>
      </c>
      <c r="H54" s="427">
        <v>0.55700000000000005</v>
      </c>
      <c r="I54" s="84" t="s">
        <v>4533</v>
      </c>
    </row>
    <row r="55" spans="1:9" ht="13.5" customHeight="1" x14ac:dyDescent="0.25">
      <c r="A55" s="424" t="s">
        <v>4534</v>
      </c>
      <c r="B55" s="425" t="s">
        <v>88</v>
      </c>
      <c r="C55" s="426" t="s">
        <v>332</v>
      </c>
      <c r="D55" s="413">
        <v>0.8</v>
      </c>
      <c r="E55" s="413">
        <v>0.06</v>
      </c>
      <c r="F55" s="413">
        <v>0.86</v>
      </c>
      <c r="G55" s="413">
        <v>0.30199999999999999</v>
      </c>
      <c r="H55" s="427">
        <v>0.55800000000000005</v>
      </c>
      <c r="I55" s="84" t="s">
        <v>809</v>
      </c>
    </row>
    <row r="56" spans="1:9" ht="13.5" customHeight="1" x14ac:dyDescent="0.25">
      <c r="A56" s="424" t="s">
        <v>4535</v>
      </c>
      <c r="B56" s="425" t="s">
        <v>88</v>
      </c>
      <c r="C56" s="426" t="s">
        <v>333</v>
      </c>
      <c r="D56" s="413">
        <v>1.8</v>
      </c>
      <c r="E56" s="413"/>
      <c r="F56" s="413">
        <v>1.8</v>
      </c>
      <c r="G56" s="413">
        <v>1.423</v>
      </c>
      <c r="H56" s="428">
        <v>0.377</v>
      </c>
      <c r="I56" s="84" t="s">
        <v>4536</v>
      </c>
    </row>
    <row r="57" spans="1:9" ht="13.5" customHeight="1" x14ac:dyDescent="0.25">
      <c r="A57" s="424" t="s">
        <v>4537</v>
      </c>
      <c r="B57" s="425" t="s">
        <v>1869</v>
      </c>
      <c r="C57" s="426" t="s">
        <v>324</v>
      </c>
      <c r="D57" s="413">
        <v>0.42</v>
      </c>
      <c r="E57" s="413"/>
      <c r="F57" s="413">
        <v>0.42</v>
      </c>
      <c r="G57" s="413">
        <v>7.1999999999999995E-2</v>
      </c>
      <c r="H57" s="428">
        <v>0.34799999999999998</v>
      </c>
      <c r="I57" s="84" t="s">
        <v>4538</v>
      </c>
    </row>
    <row r="58" spans="1:9" ht="13.5" customHeight="1" x14ac:dyDescent="0.25">
      <c r="A58" s="424" t="s">
        <v>4539</v>
      </c>
      <c r="B58" s="425" t="s">
        <v>1869</v>
      </c>
      <c r="C58" s="426" t="s">
        <v>326</v>
      </c>
      <c r="D58" s="413">
        <v>0.75</v>
      </c>
      <c r="E58" s="413">
        <v>0.09</v>
      </c>
      <c r="F58" s="413">
        <v>0.84</v>
      </c>
      <c r="G58" s="413">
        <v>0.66600000000000004</v>
      </c>
      <c r="H58" s="428">
        <v>0.17399999999999999</v>
      </c>
      <c r="I58" s="84" t="s">
        <v>813</v>
      </c>
    </row>
    <row r="59" spans="1:9" ht="13.5" customHeight="1" x14ac:dyDescent="0.25">
      <c r="A59" s="424" t="s">
        <v>4540</v>
      </c>
      <c r="B59" s="425" t="s">
        <v>1874</v>
      </c>
      <c r="C59" s="426" t="s">
        <v>324</v>
      </c>
      <c r="D59" s="413">
        <v>0.68</v>
      </c>
      <c r="E59" s="413"/>
      <c r="F59" s="413">
        <v>0.68</v>
      </c>
      <c r="G59" s="413">
        <v>7.1999999999999995E-2</v>
      </c>
      <c r="H59" s="427">
        <v>0.60799999999999998</v>
      </c>
      <c r="I59" s="84" t="s">
        <v>815</v>
      </c>
    </row>
    <row r="60" spans="1:9" ht="13.5" customHeight="1" x14ac:dyDescent="0.25">
      <c r="A60" s="424" t="s">
        <v>4541</v>
      </c>
      <c r="B60" s="425" t="s">
        <v>1874</v>
      </c>
      <c r="C60" s="426" t="s">
        <v>321</v>
      </c>
      <c r="D60" s="413">
        <v>1.35</v>
      </c>
      <c r="E60" s="413"/>
      <c r="F60" s="413">
        <v>1.35</v>
      </c>
      <c r="G60" s="413">
        <v>0.48099999999999998</v>
      </c>
      <c r="H60" s="427">
        <v>0.86899999999999999</v>
      </c>
      <c r="I60" s="84" t="s">
        <v>4542</v>
      </c>
    </row>
    <row r="61" spans="1:9" ht="13.5" customHeight="1" x14ac:dyDescent="0.25">
      <c r="A61" s="424" t="s">
        <v>4543</v>
      </c>
      <c r="B61" s="425" t="s">
        <v>1874</v>
      </c>
      <c r="C61" s="426" t="s">
        <v>326</v>
      </c>
      <c r="D61" s="413">
        <v>0.82</v>
      </c>
      <c r="E61" s="413">
        <v>0.11</v>
      </c>
      <c r="F61" s="413">
        <v>0.93</v>
      </c>
      <c r="G61" s="413">
        <v>0.66600000000000004</v>
      </c>
      <c r="H61" s="428">
        <v>0.26400000000000001</v>
      </c>
      <c r="I61" s="84" t="s">
        <v>4544</v>
      </c>
    </row>
    <row r="62" spans="1:9" ht="13.5" customHeight="1" x14ac:dyDescent="0.25">
      <c r="A62" s="424" t="s">
        <v>4545</v>
      </c>
      <c r="B62" s="425" t="s">
        <v>1874</v>
      </c>
      <c r="C62" s="426" t="s">
        <v>329</v>
      </c>
      <c r="D62" s="413">
        <v>1.35</v>
      </c>
      <c r="E62" s="413"/>
      <c r="F62" s="413">
        <v>1.35</v>
      </c>
      <c r="G62" s="413">
        <v>1.522</v>
      </c>
      <c r="H62" s="428">
        <v>0</v>
      </c>
      <c r="I62" s="84" t="s">
        <v>818</v>
      </c>
    </row>
    <row r="63" spans="1:9" ht="13.5" customHeight="1" x14ac:dyDescent="0.25">
      <c r="A63" s="424" t="s">
        <v>4546</v>
      </c>
      <c r="B63" s="425" t="s">
        <v>1874</v>
      </c>
      <c r="C63" s="426" t="s">
        <v>331</v>
      </c>
      <c r="D63" s="413">
        <v>1.35</v>
      </c>
      <c r="E63" s="413">
        <v>5.5E-2</v>
      </c>
      <c r="F63" s="413">
        <v>1.405</v>
      </c>
      <c r="G63" s="413">
        <v>0.90200000000000002</v>
      </c>
      <c r="H63" s="427">
        <v>0.503</v>
      </c>
      <c r="I63" s="84" t="s">
        <v>4544</v>
      </c>
    </row>
    <row r="64" spans="1:9" ht="13.5" customHeight="1" x14ac:dyDescent="0.25">
      <c r="A64" s="424" t="s">
        <v>4547</v>
      </c>
      <c r="B64" s="425" t="s">
        <v>1874</v>
      </c>
      <c r="C64" s="426" t="s">
        <v>332</v>
      </c>
      <c r="D64" s="413">
        <v>0.75</v>
      </c>
      <c r="E64" s="413">
        <v>5.5E-2</v>
      </c>
      <c r="F64" s="413">
        <v>0.80500000000000005</v>
      </c>
      <c r="G64" s="413">
        <v>0.30199999999999999</v>
      </c>
      <c r="H64" s="427">
        <v>0.503</v>
      </c>
      <c r="I64" s="84" t="s">
        <v>4544</v>
      </c>
    </row>
    <row r="65" spans="1:9" ht="13.5" customHeight="1" x14ac:dyDescent="0.25">
      <c r="A65" s="424" t="s">
        <v>4548</v>
      </c>
      <c r="B65" s="425" t="s">
        <v>1879</v>
      </c>
      <c r="C65" s="426" t="s">
        <v>324</v>
      </c>
      <c r="D65" s="413">
        <v>0.6</v>
      </c>
      <c r="E65" s="413"/>
      <c r="F65" s="413">
        <v>0.6</v>
      </c>
      <c r="G65" s="413">
        <v>7.1999999999999995E-2</v>
      </c>
      <c r="H65" s="427">
        <v>0.52800000000000002</v>
      </c>
      <c r="I65" s="84" t="s">
        <v>822</v>
      </c>
    </row>
    <row r="66" spans="1:9" ht="13.5" customHeight="1" x14ac:dyDescent="0.25">
      <c r="A66" s="424" t="s">
        <v>4549</v>
      </c>
      <c r="B66" s="425" t="s">
        <v>1879</v>
      </c>
      <c r="C66" s="426" t="s">
        <v>326</v>
      </c>
      <c r="D66" s="413">
        <v>0.8</v>
      </c>
      <c r="E66" s="413">
        <v>0.1</v>
      </c>
      <c r="F66" s="413">
        <v>0.9</v>
      </c>
      <c r="G66" s="413">
        <v>0.66600000000000004</v>
      </c>
      <c r="H66" s="428">
        <v>0.23400000000000001</v>
      </c>
      <c r="I66" s="84" t="s">
        <v>4550</v>
      </c>
    </row>
    <row r="67" spans="1:9" ht="13.5" customHeight="1" x14ac:dyDescent="0.25">
      <c r="A67" s="424" t="s">
        <v>4551</v>
      </c>
      <c r="B67" s="425" t="s">
        <v>1879</v>
      </c>
      <c r="C67" s="426" t="s">
        <v>329</v>
      </c>
      <c r="D67" s="413">
        <v>1.3</v>
      </c>
      <c r="E67" s="413"/>
      <c r="F67" s="413">
        <v>1.3</v>
      </c>
      <c r="G67" s="413">
        <v>1.522</v>
      </c>
      <c r="H67" s="428">
        <v>0</v>
      </c>
      <c r="I67" s="84" t="s">
        <v>4552</v>
      </c>
    </row>
    <row r="68" spans="1:9" ht="13.5" customHeight="1" x14ac:dyDescent="0.25">
      <c r="A68" s="424" t="s">
        <v>4553</v>
      </c>
      <c r="B68" s="425" t="s">
        <v>1879</v>
      </c>
      <c r="C68" s="426" t="s">
        <v>331</v>
      </c>
      <c r="D68" s="413">
        <v>1.3</v>
      </c>
      <c r="E68" s="413">
        <v>0.05</v>
      </c>
      <c r="F68" s="413">
        <v>1.35</v>
      </c>
      <c r="G68" s="413">
        <v>0.90200000000000002</v>
      </c>
      <c r="H68" s="428">
        <v>0.44800000000000001</v>
      </c>
      <c r="I68" s="84" t="s">
        <v>4550</v>
      </c>
    </row>
    <row r="69" spans="1:9" ht="13.5" customHeight="1" x14ac:dyDescent="0.25">
      <c r="A69" s="424" t="s">
        <v>4554</v>
      </c>
      <c r="B69" s="425" t="s">
        <v>1884</v>
      </c>
      <c r="C69" s="426" t="s">
        <v>321</v>
      </c>
      <c r="D69" s="413">
        <v>2.5</v>
      </c>
      <c r="E69" s="413"/>
      <c r="F69" s="413">
        <v>2.5</v>
      </c>
      <c r="G69" s="413">
        <v>0.48099999999999998</v>
      </c>
      <c r="H69" s="427">
        <v>2.0190000000000001</v>
      </c>
      <c r="I69" s="84" t="s">
        <v>4555</v>
      </c>
    </row>
    <row r="70" spans="1:9" ht="13.5" customHeight="1" x14ac:dyDescent="0.25">
      <c r="A70" s="424" t="s">
        <v>4556</v>
      </c>
      <c r="B70" s="425" t="s">
        <v>1884</v>
      </c>
      <c r="C70" s="426" t="s">
        <v>324</v>
      </c>
      <c r="D70" s="413">
        <v>1.2</v>
      </c>
      <c r="E70" s="413"/>
      <c r="F70" s="413">
        <v>1.2</v>
      </c>
      <c r="G70" s="413">
        <v>7.1999999999999995E-2</v>
      </c>
      <c r="H70" s="427">
        <v>1.1279999999999999</v>
      </c>
      <c r="I70" s="84" t="s">
        <v>828</v>
      </c>
    </row>
    <row r="71" spans="1:9" ht="13.5" customHeight="1" x14ac:dyDescent="0.25">
      <c r="A71" s="424" t="s">
        <v>4557</v>
      </c>
      <c r="B71" s="425" t="s">
        <v>1884</v>
      </c>
      <c r="C71" s="426" t="s">
        <v>325</v>
      </c>
      <c r="D71" s="413">
        <v>2.8</v>
      </c>
      <c r="E71" s="413"/>
      <c r="F71" s="413">
        <v>2.8</v>
      </c>
      <c r="G71" s="413">
        <v>1.37</v>
      </c>
      <c r="H71" s="427">
        <v>1.43</v>
      </c>
      <c r="I71" s="84" t="s">
        <v>829</v>
      </c>
    </row>
    <row r="72" spans="1:9" ht="13.5" customHeight="1" x14ac:dyDescent="0.25">
      <c r="A72" s="424" t="s">
        <v>4558</v>
      </c>
      <c r="B72" s="425" t="s">
        <v>1884</v>
      </c>
      <c r="C72" s="426" t="s">
        <v>326</v>
      </c>
      <c r="D72" s="413">
        <v>0.88</v>
      </c>
      <c r="E72" s="413">
        <v>0.12</v>
      </c>
      <c r="F72" s="413">
        <v>1</v>
      </c>
      <c r="G72" s="413">
        <v>0.66600000000000004</v>
      </c>
      <c r="H72" s="428">
        <v>0.33400000000000002</v>
      </c>
      <c r="I72" s="84" t="s">
        <v>830</v>
      </c>
    </row>
    <row r="73" spans="1:9" ht="13.5" customHeight="1" x14ac:dyDescent="0.25">
      <c r="A73" s="424" t="s">
        <v>4559</v>
      </c>
      <c r="B73" s="425" t="s">
        <v>1884</v>
      </c>
      <c r="C73" s="426" t="s">
        <v>329</v>
      </c>
      <c r="D73" s="413">
        <v>1.8</v>
      </c>
      <c r="E73" s="413"/>
      <c r="F73" s="413">
        <v>1.8</v>
      </c>
      <c r="G73" s="413">
        <v>1.522</v>
      </c>
      <c r="H73" s="428">
        <v>0.27800000000000002</v>
      </c>
      <c r="I73" s="84" t="s">
        <v>831</v>
      </c>
    </row>
    <row r="74" spans="1:9" ht="13.5" customHeight="1" x14ac:dyDescent="0.25">
      <c r="A74" s="424" t="s">
        <v>4560</v>
      </c>
      <c r="B74" s="425" t="s">
        <v>1884</v>
      </c>
      <c r="C74" s="426" t="s">
        <v>331</v>
      </c>
      <c r="D74" s="413">
        <v>1.8</v>
      </c>
      <c r="E74" s="413">
        <v>7.0000000000000007E-2</v>
      </c>
      <c r="F74" s="413">
        <v>1.87</v>
      </c>
      <c r="G74" s="413">
        <v>0.90200000000000002</v>
      </c>
      <c r="H74" s="427">
        <v>0.96799999999999997</v>
      </c>
      <c r="I74" s="84" t="s">
        <v>4561</v>
      </c>
    </row>
    <row r="75" spans="1:9" ht="13.5" customHeight="1" x14ac:dyDescent="0.25">
      <c r="A75" s="424" t="s">
        <v>4562</v>
      </c>
      <c r="B75" s="425" t="s">
        <v>1884</v>
      </c>
      <c r="C75" s="426" t="s">
        <v>332</v>
      </c>
      <c r="D75" s="413">
        <v>0.9</v>
      </c>
      <c r="E75" s="413">
        <v>7.0000000000000007E-2</v>
      </c>
      <c r="F75" s="413">
        <v>0.97</v>
      </c>
      <c r="G75" s="413">
        <v>0.30199999999999999</v>
      </c>
      <c r="H75" s="427">
        <v>0.66800000000000004</v>
      </c>
      <c r="I75" s="84" t="s">
        <v>4563</v>
      </c>
    </row>
    <row r="76" spans="1:9" ht="13.5" customHeight="1" x14ac:dyDescent="0.25">
      <c r="A76" s="424" t="s">
        <v>4564</v>
      </c>
      <c r="B76" s="425" t="s">
        <v>1884</v>
      </c>
      <c r="C76" s="426" t="s">
        <v>333</v>
      </c>
      <c r="D76" s="413">
        <v>3.5</v>
      </c>
      <c r="E76" s="413"/>
      <c r="F76" s="413">
        <v>3.5</v>
      </c>
      <c r="G76" s="413">
        <v>1.423</v>
      </c>
      <c r="H76" s="427">
        <v>2.077</v>
      </c>
      <c r="I76" s="84" t="s">
        <v>834</v>
      </c>
    </row>
  </sheetData>
  <mergeCells count="5">
    <mergeCell ref="A1:R1"/>
    <mergeCell ref="A2:R2"/>
    <mergeCell ref="A5:W5"/>
    <mergeCell ref="A47:W47"/>
    <mergeCell ref="A48:W4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sheetPr>
  <dimension ref="A1:E14"/>
  <sheetViews>
    <sheetView zoomScaleNormal="100" workbookViewId="0">
      <selection sqref="A1:E1"/>
    </sheetView>
  </sheetViews>
  <sheetFormatPr defaultColWidth="8.7109375" defaultRowHeight="15" x14ac:dyDescent="0.25"/>
  <cols>
    <col min="1" max="1" width="10" customWidth="1"/>
    <col min="2" max="2" width="14" customWidth="1"/>
    <col min="3" max="3" width="60" customWidth="1"/>
    <col min="4" max="4" width="24" customWidth="1"/>
    <col min="5" max="5" width="14" customWidth="1"/>
  </cols>
  <sheetData>
    <row r="1" spans="1:5" ht="31.5" customHeight="1" x14ac:dyDescent="0.25">
      <c r="A1" s="457" t="s">
        <v>4565</v>
      </c>
      <c r="B1" s="457"/>
      <c r="C1" s="457"/>
      <c r="D1" s="457"/>
      <c r="E1" s="457"/>
    </row>
    <row r="3" spans="1:5" ht="36" customHeight="1" x14ac:dyDescent="0.25">
      <c r="A3" s="429" t="s">
        <v>4566</v>
      </c>
      <c r="B3" s="458" t="s">
        <v>4567</v>
      </c>
      <c r="C3" s="458"/>
      <c r="D3" s="458"/>
      <c r="E3" s="458"/>
    </row>
    <row r="5" spans="1:5" ht="19.5" customHeight="1" x14ac:dyDescent="0.25">
      <c r="A5" s="356" t="s">
        <v>4568</v>
      </c>
      <c r="B5" s="356" t="s">
        <v>4569</v>
      </c>
      <c r="C5" s="356" t="s">
        <v>4570</v>
      </c>
      <c r="D5" s="356" t="s">
        <v>4571</v>
      </c>
      <c r="E5" s="356" t="s">
        <v>775</v>
      </c>
    </row>
    <row r="6" spans="1:5" ht="51.75" customHeight="1" x14ac:dyDescent="0.25">
      <c r="A6" s="357" t="s">
        <v>4572</v>
      </c>
      <c r="B6" s="357" t="s">
        <v>4573</v>
      </c>
      <c r="C6" s="360" t="s">
        <v>4574</v>
      </c>
      <c r="D6" s="357" t="s">
        <v>4575</v>
      </c>
      <c r="E6" s="357" t="s">
        <v>4576</v>
      </c>
    </row>
    <row r="7" spans="1:5" ht="51.75" customHeight="1" x14ac:dyDescent="0.25">
      <c r="A7" s="363" t="s">
        <v>4577</v>
      </c>
      <c r="B7" s="363" t="s">
        <v>4578</v>
      </c>
      <c r="C7" s="302" t="s">
        <v>4579</v>
      </c>
      <c r="D7" s="363" t="s">
        <v>4575</v>
      </c>
      <c r="E7" s="363" t="s">
        <v>4576</v>
      </c>
    </row>
    <row r="8" spans="1:5" ht="36" customHeight="1" x14ac:dyDescent="0.25">
      <c r="A8" s="430" t="s">
        <v>4580</v>
      </c>
      <c r="B8" s="431" t="s">
        <v>4581</v>
      </c>
      <c r="C8" s="432" t="s">
        <v>4582</v>
      </c>
      <c r="D8" s="431" t="s">
        <v>4575</v>
      </c>
      <c r="E8" s="430" t="s">
        <v>4583</v>
      </c>
    </row>
    <row r="10" spans="1:5" ht="36" customHeight="1" x14ac:dyDescent="0.25">
      <c r="A10" s="7" t="s">
        <v>4584</v>
      </c>
      <c r="B10" s="7"/>
      <c r="C10" s="7"/>
      <c r="D10" s="7"/>
      <c r="E10" s="7"/>
    </row>
    <row r="11" spans="1:5" ht="14.25" customHeight="1" x14ac:dyDescent="0.25">
      <c r="A11" t="s">
        <v>4585</v>
      </c>
      <c r="B11" t="s">
        <v>4586</v>
      </c>
      <c r="C11" t="s">
        <v>4587</v>
      </c>
      <c r="D11" t="s">
        <v>4575</v>
      </c>
      <c r="E11" t="s">
        <v>4583</v>
      </c>
    </row>
    <row r="12" spans="1:5" ht="14.25" customHeight="1" x14ac:dyDescent="0.25">
      <c r="A12" t="s">
        <v>4588</v>
      </c>
      <c r="B12" t="s">
        <v>4586</v>
      </c>
      <c r="C12" t="s">
        <v>4589</v>
      </c>
      <c r="D12" t="s">
        <v>4575</v>
      </c>
      <c r="E12" t="s">
        <v>4583</v>
      </c>
    </row>
    <row r="13" spans="1:5" ht="14.25" customHeight="1" x14ac:dyDescent="0.25">
      <c r="A13" t="s">
        <v>4590</v>
      </c>
      <c r="B13" t="s">
        <v>4586</v>
      </c>
      <c r="C13" t="s">
        <v>4591</v>
      </c>
      <c r="D13" t="s">
        <v>4575</v>
      </c>
      <c r="E13" t="s">
        <v>4583</v>
      </c>
    </row>
    <row r="14" spans="1:5" x14ac:dyDescent="0.25">
      <c r="A14" t="s">
        <v>4566</v>
      </c>
      <c r="B14" t="s">
        <v>4586</v>
      </c>
      <c r="C14" t="s">
        <v>4592</v>
      </c>
      <c r="D14" t="s">
        <v>4575</v>
      </c>
      <c r="E14" t="s">
        <v>4583</v>
      </c>
    </row>
  </sheetData>
  <mergeCells count="3">
    <mergeCell ref="A1:E1"/>
    <mergeCell ref="B3:E3"/>
    <mergeCell ref="A10:E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Guide</vt:lpstr>
      <vt:lpstr>CBAM</vt:lpstr>
      <vt:lpstr>EF</vt:lpstr>
      <vt:lpstr>EF_benchmarks</vt:lpstr>
      <vt:lpstr>EF_data</vt:lpstr>
      <vt:lpstr>calculations</vt:lpstr>
      <vt:lpstr>input_data</vt:lpstr>
      <vt:lpstr>ref_data</vt:lpstr>
      <vt:lpstr>version</vt:lpstr>
      <vt:lpstr>CountrySelector</vt:lpstr>
      <vt:lpstr>CovS1fc</vt:lpstr>
      <vt:lpstr>CovS1fp</vt:lpstr>
      <vt:lpstr>CovS1no</vt:lpstr>
      <vt:lpstr>CovS1np</vt:lpstr>
      <vt:lpstr>CovS2</vt:lpstr>
      <vt:lpstr>DetailYear</vt:lpstr>
      <vt:lpstr>ExportsOnly</vt:lpstr>
      <vt:lpstr>MRVmaster</vt:lpstr>
      <vt:lpstr>Theta</vt:lpstr>
      <vt:lpstr>Version</vt:lpstr>
      <vt:lpstr>YearIdx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John Stretton</cp:lastModifiedBy>
  <cp:revision>0</cp:revision>
  <dcterms:created xsi:type="dcterms:W3CDTF">2026-05-20T23:37:09Z</dcterms:created>
  <dcterms:modified xsi:type="dcterms:W3CDTF">2026-07-29T19:55:36Z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ActionId">
    <vt:lpwstr>4acbd9ad-6036-4ce5-a433-f97226691ffc</vt:lpwstr>
  </property>
  <property fmtid="{D5CDD505-2E9C-101B-9397-08002B2CF9AE}" pid="3" name="MSIP_Label_89608d83-f952-409d-b7c5-456515bbbf5a_ContentBits">
    <vt:lpwstr>0</vt:lpwstr>
  </property>
  <property fmtid="{D5CDD505-2E9C-101B-9397-08002B2CF9AE}" pid="4" name="MSIP_Label_89608d83-f952-409d-b7c5-456515bbbf5a_Enabled">
    <vt:lpwstr>true</vt:lpwstr>
  </property>
  <property fmtid="{D5CDD505-2E9C-101B-9397-08002B2CF9AE}" pid="5" name="MSIP_Label_89608d83-f952-409d-b7c5-456515bbbf5a_Method">
    <vt:lpwstr>Privileged</vt:lpwstr>
  </property>
  <property fmtid="{D5CDD505-2E9C-101B-9397-08002B2CF9AE}" pid="6" name="MSIP_Label_89608d83-f952-409d-b7c5-456515bbbf5a_Name">
    <vt:lpwstr>Public</vt:lpwstr>
  </property>
  <property fmtid="{D5CDD505-2E9C-101B-9397-08002B2CF9AE}" pid="7" name="MSIP_Label_89608d83-f952-409d-b7c5-456515bbbf5a_SetDate">
    <vt:lpwstr>2026-06-02T22:27:44Z</vt:lpwstr>
  </property>
  <property fmtid="{D5CDD505-2E9C-101B-9397-08002B2CF9AE}" pid="8" name="MSIP_Label_89608d83-f952-409d-b7c5-456515bbbf5a_SiteId">
    <vt:lpwstr>31a2fec0-266b-4c67-b56e-2796d8f59c36</vt:lpwstr>
  </property>
  <property fmtid="{D5CDD505-2E9C-101B-9397-08002B2CF9AE}" pid="9" name="MSIP_Label_89608d83-f952-409d-b7c5-456515bbbf5a_Tag">
    <vt:lpwstr>10, 0, 1, 1</vt:lpwstr>
  </property>
</Properties>
</file>