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wb547395\Downloads\"/>
    </mc:Choice>
  </mc:AlternateContent>
  <xr:revisionPtr revIDLastSave="0" documentId="8_{2A2A4E93-CBF5-4259-B90A-9744C0BB500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Egypt_CBAM_EF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51" i="1" l="1"/>
  <c r="F51" i="1"/>
  <c r="N50" i="1"/>
  <c r="H50" i="1"/>
  <c r="F50" i="1"/>
  <c r="N49" i="1"/>
  <c r="F49" i="1"/>
  <c r="N48" i="1"/>
  <c r="F48" i="1"/>
  <c r="N47" i="1"/>
  <c r="H47" i="1"/>
  <c r="F47" i="1"/>
  <c r="N46" i="1"/>
  <c r="F46" i="1"/>
  <c r="N45" i="1"/>
  <c r="G45" i="1"/>
  <c r="F45" i="1"/>
  <c r="N44" i="1"/>
  <c r="F44" i="1"/>
  <c r="AJ40" i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Y40" i="1"/>
  <c r="M40" i="1"/>
  <c r="P40" i="1" s="1"/>
  <c r="Q40" i="1" s="1"/>
  <c r="H40" i="1"/>
  <c r="G40" i="1"/>
  <c r="K40" i="1" s="1"/>
  <c r="AZ40" i="1" s="1"/>
  <c r="AK39" i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J39" i="1"/>
  <c r="Y39" i="1"/>
  <c r="H39" i="1"/>
  <c r="G39" i="1"/>
  <c r="K39" i="1" s="1"/>
  <c r="BB38" i="1"/>
  <c r="AZ38" i="1"/>
  <c r="AJ38" i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B38" i="1"/>
  <c r="AA38" i="1"/>
  <c r="Y38" i="1"/>
  <c r="H38" i="1"/>
  <c r="G38" i="1"/>
  <c r="K38" i="1" s="1"/>
  <c r="M38" i="1" s="1"/>
  <c r="P38" i="1" s="1"/>
  <c r="Q38" i="1" s="1"/>
  <c r="AK37" i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J37" i="1"/>
  <c r="Y37" i="1"/>
  <c r="M37" i="1"/>
  <c r="P37" i="1" s="1"/>
  <c r="Q37" i="1" s="1"/>
  <c r="K37" i="1"/>
  <c r="AZ37" i="1" s="1"/>
  <c r="H37" i="1"/>
  <c r="G37" i="1"/>
  <c r="AL36" i="1"/>
  <c r="AM36" i="1" s="1"/>
  <c r="AN36" i="1" s="1"/>
  <c r="AO36" i="1" s="1"/>
  <c r="AP36" i="1" s="1"/>
  <c r="AQ36" i="1" s="1"/>
  <c r="AR36" i="1" s="1"/>
  <c r="AS36" i="1" s="1"/>
  <c r="AT36" i="1" s="1"/>
  <c r="AU36" i="1" s="1"/>
  <c r="AJ36" i="1"/>
  <c r="AK36" i="1" s="1"/>
  <c r="Y36" i="1"/>
  <c r="H36" i="1"/>
  <c r="H51" i="1" s="1"/>
  <c r="G36" i="1"/>
  <c r="G51" i="1" s="1"/>
  <c r="AK35" i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J35" i="1"/>
  <c r="AA35" i="1"/>
  <c r="Y35" i="1"/>
  <c r="L35" i="1"/>
  <c r="H35" i="1"/>
  <c r="G35" i="1"/>
  <c r="K35" i="1" s="1"/>
  <c r="M35" i="1" s="1"/>
  <c r="P35" i="1" s="1"/>
  <c r="Q35" i="1" s="1"/>
  <c r="AK34" i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J34" i="1"/>
  <c r="Y34" i="1"/>
  <c r="L34" i="1"/>
  <c r="H34" i="1"/>
  <c r="G34" i="1"/>
  <c r="K34" i="1" s="1"/>
  <c r="AZ34" i="1" s="1"/>
  <c r="AK33" i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J33" i="1"/>
  <c r="Y33" i="1"/>
  <c r="L33" i="1"/>
  <c r="H33" i="1"/>
  <c r="G33" i="1"/>
  <c r="AJ32" i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Y32" i="1"/>
  <c r="L32" i="1"/>
  <c r="H32" i="1"/>
  <c r="H49" i="1" s="1"/>
  <c r="G32" i="1"/>
  <c r="K32" i="1" s="1"/>
  <c r="AJ31" i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Y31" i="1"/>
  <c r="K31" i="1"/>
  <c r="M31" i="1" s="1"/>
  <c r="P31" i="1" s="1"/>
  <c r="Q31" i="1" s="1"/>
  <c r="H31" i="1"/>
  <c r="G31" i="1"/>
  <c r="AJ30" i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Y30" i="1"/>
  <c r="H30" i="1"/>
  <c r="H48" i="1" s="1"/>
  <c r="G30" i="1"/>
  <c r="AJ29" i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Y29" i="1"/>
  <c r="K29" i="1"/>
  <c r="AZ29" i="1" s="1"/>
  <c r="H29" i="1"/>
  <c r="G29" i="1"/>
  <c r="AJ28" i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Y28" i="1"/>
  <c r="M28" i="1"/>
  <c r="P28" i="1" s="1"/>
  <c r="Q28" i="1" s="1"/>
  <c r="H28" i="1"/>
  <c r="G28" i="1"/>
  <c r="K28" i="1" s="1"/>
  <c r="AZ28" i="1" s="1"/>
  <c r="AK27" i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J27" i="1"/>
  <c r="Y27" i="1"/>
  <c r="H27" i="1"/>
  <c r="G27" i="1"/>
  <c r="K27" i="1" s="1"/>
  <c r="AJ26" i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Y26" i="1"/>
  <c r="H26" i="1"/>
  <c r="H46" i="1" s="1"/>
  <c r="G26" i="1"/>
  <c r="G46" i="1" s="1"/>
  <c r="AQ25" i="1"/>
  <c r="AR25" i="1" s="1"/>
  <c r="AS25" i="1" s="1"/>
  <c r="AT25" i="1" s="1"/>
  <c r="AU25" i="1" s="1"/>
  <c r="AK25" i="1"/>
  <c r="AL25" i="1" s="1"/>
  <c r="AM25" i="1" s="1"/>
  <c r="AN25" i="1" s="1"/>
  <c r="AO25" i="1" s="1"/>
  <c r="AP25" i="1" s="1"/>
  <c r="AJ25" i="1"/>
  <c r="Y25" i="1"/>
  <c r="M25" i="1"/>
  <c r="P25" i="1" s="1"/>
  <c r="Q25" i="1" s="1"/>
  <c r="K25" i="1"/>
  <c r="AZ25" i="1" s="1"/>
  <c r="H25" i="1"/>
  <c r="G25" i="1"/>
  <c r="AL24" i="1"/>
  <c r="AM24" i="1" s="1"/>
  <c r="AN24" i="1" s="1"/>
  <c r="AO24" i="1" s="1"/>
  <c r="AP24" i="1" s="1"/>
  <c r="AQ24" i="1" s="1"/>
  <c r="AR24" i="1" s="1"/>
  <c r="AS24" i="1" s="1"/>
  <c r="AT24" i="1" s="1"/>
  <c r="AU24" i="1" s="1"/>
  <c r="AJ24" i="1"/>
  <c r="AK24" i="1" s="1"/>
  <c r="Y24" i="1"/>
  <c r="H24" i="1"/>
  <c r="K24" i="1" s="1"/>
  <c r="G24" i="1"/>
  <c r="AZ23" i="1"/>
  <c r="AK23" i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J23" i="1"/>
  <c r="Y23" i="1"/>
  <c r="H23" i="1"/>
  <c r="G23" i="1"/>
  <c r="K23" i="1" s="1"/>
  <c r="M23" i="1" s="1"/>
  <c r="P23" i="1" s="1"/>
  <c r="Q23" i="1" s="1"/>
  <c r="AA23" i="1" s="1"/>
  <c r="AP22" i="1"/>
  <c r="AQ22" i="1" s="1"/>
  <c r="AR22" i="1" s="1"/>
  <c r="AS22" i="1" s="1"/>
  <c r="AT22" i="1" s="1"/>
  <c r="AU22" i="1" s="1"/>
  <c r="AJ22" i="1"/>
  <c r="AK22" i="1" s="1"/>
  <c r="AL22" i="1" s="1"/>
  <c r="AM22" i="1" s="1"/>
  <c r="AN22" i="1" s="1"/>
  <c r="AO22" i="1" s="1"/>
  <c r="Y22" i="1"/>
  <c r="H22" i="1"/>
  <c r="H45" i="1" s="1"/>
  <c r="G22" i="1"/>
  <c r="AK21" i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J21" i="1"/>
  <c r="Y21" i="1"/>
  <c r="H21" i="1"/>
  <c r="G21" i="1"/>
  <c r="K21" i="1" s="1"/>
  <c r="AJ20" i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Y20" i="1"/>
  <c r="H20" i="1"/>
  <c r="G20" i="1"/>
  <c r="K20" i="1" s="1"/>
  <c r="AJ19" i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Y19" i="1"/>
  <c r="H19" i="1"/>
  <c r="G19" i="1"/>
  <c r="AJ18" i="1"/>
  <c r="Y18" i="1"/>
  <c r="H18" i="1"/>
  <c r="H44" i="1" s="1"/>
  <c r="G18" i="1"/>
  <c r="K18" i="1" s="1"/>
  <c r="AJ17" i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Y17" i="1"/>
  <c r="K17" i="1"/>
  <c r="M17" i="1" s="1"/>
  <c r="H17" i="1"/>
  <c r="G17" i="1"/>
  <c r="G44" i="1" s="1"/>
  <c r="AJ14" i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Y14" i="1"/>
  <c r="H14" i="1"/>
  <c r="G14" i="1"/>
  <c r="K14" i="1" s="1"/>
  <c r="AJ13" i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Y13" i="1"/>
  <c r="L13" i="1"/>
  <c r="H13" i="1"/>
  <c r="G13" i="1"/>
  <c r="K13" i="1" s="1"/>
  <c r="AJ12" i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Y12" i="1"/>
  <c r="L12" i="1"/>
  <c r="H12" i="1"/>
  <c r="G12" i="1"/>
  <c r="K12" i="1" s="1"/>
  <c r="AJ11" i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Y11" i="1"/>
  <c r="H11" i="1"/>
  <c r="G11" i="1"/>
  <c r="K11" i="1" s="1"/>
  <c r="AJ10" i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Y10" i="1"/>
  <c r="H10" i="1"/>
  <c r="G10" i="1"/>
  <c r="K10" i="1" s="1"/>
  <c r="AJ9" i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Y9" i="1"/>
  <c r="K9" i="1"/>
  <c r="M9" i="1" s="1"/>
  <c r="P9" i="1" s="1"/>
  <c r="Q9" i="1" s="1"/>
  <c r="H9" i="1"/>
  <c r="G9" i="1"/>
  <c r="AJ8" i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Y8" i="1"/>
  <c r="H8" i="1"/>
  <c r="G8" i="1"/>
  <c r="K8" i="1" s="1"/>
  <c r="AJ7" i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B7" i="1"/>
  <c r="Y7" i="1"/>
  <c r="M7" i="1"/>
  <c r="P7" i="1" s="1"/>
  <c r="Q7" i="1" s="1"/>
  <c r="AA7" i="1" s="1"/>
  <c r="K7" i="1"/>
  <c r="AZ7" i="1" s="1"/>
  <c r="H7" i="1"/>
  <c r="G7" i="1"/>
  <c r="BB40" i="1" l="1"/>
  <c r="AB40" i="1"/>
  <c r="AA40" i="1"/>
  <c r="BB9" i="1"/>
  <c r="AB9" i="1"/>
  <c r="AA9" i="1"/>
  <c r="BB28" i="1"/>
  <c r="AB28" i="1"/>
  <c r="AA28" i="1"/>
  <c r="BB31" i="1"/>
  <c r="AB31" i="1"/>
  <c r="AA31" i="1"/>
  <c r="M12" i="1"/>
  <c r="P12" i="1" s="1"/>
  <c r="Q12" i="1" s="1"/>
  <c r="AZ12" i="1"/>
  <c r="M20" i="1"/>
  <c r="P20" i="1" s="1"/>
  <c r="Q20" i="1" s="1"/>
  <c r="AZ20" i="1"/>
  <c r="AB35" i="1"/>
  <c r="BB35" i="1"/>
  <c r="AZ8" i="1"/>
  <c r="M8" i="1"/>
  <c r="P8" i="1" s="1"/>
  <c r="Q8" i="1" s="1"/>
  <c r="M14" i="1"/>
  <c r="P14" i="1" s="1"/>
  <c r="Q14" i="1" s="1"/>
  <c r="AZ14" i="1"/>
  <c r="BB7" i="1"/>
  <c r="BB13" i="1"/>
  <c r="K22" i="1"/>
  <c r="AZ24" i="1"/>
  <c r="M24" i="1"/>
  <c r="P24" i="1" s="1"/>
  <c r="Q24" i="1" s="1"/>
  <c r="BB24" i="1" s="1"/>
  <c r="AZ10" i="1"/>
  <c r="M10" i="1"/>
  <c r="P10" i="1" s="1"/>
  <c r="Q10" i="1" s="1"/>
  <c r="AZ18" i="1"/>
  <c r="M18" i="1"/>
  <c r="P18" i="1" s="1"/>
  <c r="Q18" i="1" s="1"/>
  <c r="G48" i="1"/>
  <c r="K30" i="1"/>
  <c r="AZ39" i="1"/>
  <c r="M39" i="1"/>
  <c r="P39" i="1" s="1"/>
  <c r="Q39" i="1" s="1"/>
  <c r="AZ11" i="1"/>
  <c r="M11" i="1"/>
  <c r="P11" i="1" s="1"/>
  <c r="Q11" i="1" s="1"/>
  <c r="K19" i="1"/>
  <c r="M34" i="1"/>
  <c r="P34" i="1" s="1"/>
  <c r="Q34" i="1" s="1"/>
  <c r="AZ35" i="1"/>
  <c r="AA37" i="1"/>
  <c r="BB37" i="1"/>
  <c r="AB37" i="1"/>
  <c r="AZ21" i="1"/>
  <c r="M21" i="1"/>
  <c r="P21" i="1" s="1"/>
  <c r="Q21" i="1" s="1"/>
  <c r="AZ13" i="1"/>
  <c r="M13" i="1"/>
  <c r="P13" i="1" s="1"/>
  <c r="Q13" i="1" s="1"/>
  <c r="AA25" i="1"/>
  <c r="BB25" i="1"/>
  <c r="AB25" i="1"/>
  <c r="AZ27" i="1"/>
  <c r="K47" i="1"/>
  <c r="M27" i="1"/>
  <c r="AZ32" i="1"/>
  <c r="M32" i="1"/>
  <c r="K49" i="1"/>
  <c r="BB10" i="1"/>
  <c r="BB23" i="1"/>
  <c r="AB23" i="1"/>
  <c r="P17" i="1"/>
  <c r="G50" i="1"/>
  <c r="K33" i="1"/>
  <c r="BB18" i="1"/>
  <c r="AK18" i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Z9" i="1"/>
  <c r="AZ17" i="1"/>
  <c r="BB20" i="1"/>
  <c r="AZ31" i="1"/>
  <c r="G47" i="1"/>
  <c r="K36" i="1"/>
  <c r="G49" i="1"/>
  <c r="K26" i="1"/>
  <c r="M29" i="1"/>
  <c r="P29" i="1" s="1"/>
  <c r="Q29" i="1" s="1"/>
  <c r="K44" i="1"/>
  <c r="AB11" i="1" l="1"/>
  <c r="AA11" i="1"/>
  <c r="K48" i="1"/>
  <c r="AZ30" i="1"/>
  <c r="M30" i="1"/>
  <c r="BB8" i="1"/>
  <c r="AB8" i="1"/>
  <c r="AA8" i="1"/>
  <c r="BB34" i="1"/>
  <c r="AB34" i="1"/>
  <c r="AA34" i="1"/>
  <c r="M47" i="1"/>
  <c r="P27" i="1"/>
  <c r="AA29" i="1"/>
  <c r="AB29" i="1"/>
  <c r="K46" i="1"/>
  <c r="M26" i="1"/>
  <c r="AZ26" i="1"/>
  <c r="BB14" i="1"/>
  <c r="AB14" i="1"/>
  <c r="AA14" i="1"/>
  <c r="BB11" i="1"/>
  <c r="BB21" i="1"/>
  <c r="AB21" i="1"/>
  <c r="AA21" i="1"/>
  <c r="AB18" i="1"/>
  <c r="AA18" i="1"/>
  <c r="AZ36" i="1"/>
  <c r="K51" i="1"/>
  <c r="M36" i="1"/>
  <c r="P32" i="1"/>
  <c r="M49" i="1"/>
  <c r="BB12" i="1"/>
  <c r="AB12" i="1"/>
  <c r="AA12" i="1"/>
  <c r="M22" i="1"/>
  <c r="AZ22" i="1"/>
  <c r="K45" i="1"/>
  <c r="AZ19" i="1"/>
  <c r="M19" i="1"/>
  <c r="P19" i="1" s="1"/>
  <c r="Q19" i="1" s="1"/>
  <c r="AZ33" i="1"/>
  <c r="M33" i="1"/>
  <c r="K50" i="1"/>
  <c r="BB39" i="1"/>
  <c r="AB39" i="1"/>
  <c r="AA39" i="1"/>
  <c r="AB10" i="1"/>
  <c r="AA10" i="1"/>
  <c r="AB24" i="1"/>
  <c r="AA24" i="1"/>
  <c r="BB29" i="1"/>
  <c r="P44" i="1"/>
  <c r="Q17" i="1"/>
  <c r="AA13" i="1"/>
  <c r="AB13" i="1"/>
  <c r="AA20" i="1"/>
  <c r="AB20" i="1"/>
  <c r="M44" i="1" l="1"/>
  <c r="P30" i="1"/>
  <c r="M48" i="1"/>
  <c r="P33" i="1"/>
  <c r="M50" i="1"/>
  <c r="Q44" i="1"/>
  <c r="BB17" i="1"/>
  <c r="AB17" i="1"/>
  <c r="AA17" i="1"/>
  <c r="M46" i="1"/>
  <c r="P26" i="1"/>
  <c r="P47" i="1"/>
  <c r="Q27" i="1"/>
  <c r="AB19" i="1"/>
  <c r="AA19" i="1"/>
  <c r="BB19" i="1"/>
  <c r="M45" i="1"/>
  <c r="P22" i="1"/>
  <c r="Q32" i="1"/>
  <c r="P49" i="1"/>
  <c r="M51" i="1"/>
  <c r="P36" i="1"/>
  <c r="Q26" i="1" l="1"/>
  <c r="P46" i="1"/>
  <c r="BB27" i="1"/>
  <c r="AB27" i="1"/>
  <c r="Q47" i="1"/>
  <c r="AA27" i="1"/>
  <c r="P51" i="1"/>
  <c r="Q36" i="1"/>
  <c r="AA32" i="1"/>
  <c r="Q49" i="1"/>
  <c r="AB32" i="1"/>
  <c r="BB32" i="1"/>
  <c r="Q22" i="1"/>
  <c r="P45" i="1"/>
  <c r="Q33" i="1"/>
  <c r="P50" i="1"/>
  <c r="Q30" i="1"/>
  <c r="P48" i="1"/>
  <c r="Q45" i="1" l="1"/>
  <c r="AB22" i="1"/>
  <c r="AA22" i="1"/>
  <c r="BB22" i="1"/>
  <c r="Q51" i="1"/>
  <c r="AB36" i="1"/>
  <c r="AA36" i="1"/>
  <c r="BB36" i="1"/>
  <c r="AB30" i="1"/>
  <c r="AA30" i="1"/>
  <c r="Q48" i="1"/>
  <c r="BB30" i="1"/>
  <c r="BB33" i="1"/>
  <c r="AB33" i="1"/>
  <c r="AA33" i="1"/>
  <c r="Q50" i="1"/>
  <c r="Q46" i="1"/>
  <c r="AB26" i="1"/>
  <c r="AA26" i="1"/>
  <c r="BB26" i="1"/>
</calcChain>
</file>

<file path=xl/sharedStrings.xml><?xml version="1.0" encoding="utf-8"?>
<sst xmlns="http://schemas.openxmlformats.org/spreadsheetml/2006/main" count="469" uniqueCount="291">
  <si>
    <t>Egypt CBAM — Emission Factor Matrix (COMBINED)  |  Aggregated values + CN-level disaggregation on a common column basis  |  NH₃ integrated · Latest May 2026 EU defaults</t>
  </si>
  <si>
    <t>LEVEL column: 'AGGREGATE' = the 8 product rows (values, top). 'CN line' = disaggregated rows under each parent. Both use IDENTICAL columns. NH₃ integrated (full EF 1.889 incl S2) into urea/AN headline. Net ammonia = production; gross in memo. Weight column = CN line's % of parent's 2024 EU exports (blank for aggregate rows). 🟢 Auth 🟡 Est 🔴 Prox · BLUE input · BLACK formula · GREEN cross-ref. CBAM-equivalent = S1(incl NH₃)+S2 minus S2 for steel/Al; = full for cement/fert.</t>
  </si>
  <si>
    <t>IDENTITY</t>
  </si>
  <si>
    <t>SCOPE 1 (tCO₂e/t, NH₃ integrated)</t>
  </si>
  <si>
    <t>SCOPE 2 + TOTALS</t>
  </si>
  <si>
    <t>WT</t>
  </si>
  <si>
    <t>INPUTS</t>
  </si>
  <si>
    <t>LATEST MAY 2026 EU DEFAULTS + BENCHMARKS</t>
  </si>
  <si>
    <t>CONFIDENCE</t>
  </si>
  <si>
    <t>VOL+GR</t>
  </si>
  <si>
    <t>EU EXPORTS (kt) — PROJECTIONS</t>
  </si>
  <si>
    <t>MEMO (raw)</t>
  </si>
  <si>
    <t>Level</t>
  </si>
  <si>
    <t>#</t>
  </si>
  <si>
    <t>Product</t>
  </si>
  <si>
    <t>Unit</t>
  </si>
  <si>
    <t>CN codes / form</t>
  </si>
  <si>
    <t>Route</t>
  </si>
  <si>
    <t>S1.fc</t>
  </si>
  <si>
    <t>S1.fp</t>
  </si>
  <si>
    <t>S1.np</t>
  </si>
  <si>
    <t>S1.no</t>
  </si>
  <si>
    <t>S1 own</t>
  </si>
  <si>
    <t>Emb
NH₃</t>
  </si>
  <si>
    <t>S1 incl
NH₃</t>
  </si>
  <si>
    <t>S2</t>
  </si>
  <si>
    <t>S2 in CBAM
scope?</t>
  </si>
  <si>
    <t>S1+S2</t>
  </si>
  <si>
    <t>CBAM-
equiv</t>
  </si>
  <si>
    <t>% of
parent</t>
  </si>
  <si>
    <t>fcGJ</t>
  </si>
  <si>
    <t>fcEF</t>
  </si>
  <si>
    <t>fpGJ</t>
  </si>
  <si>
    <t>fpEF</t>
  </si>
  <si>
    <t>EU def
base</t>
  </si>
  <si>
    <t>mk
up</t>
  </si>
  <si>
    <t>EU def
2026</t>
  </si>
  <si>
    <t>EU
bench</t>
  </si>
  <si>
    <t>Gap
def</t>
  </si>
  <si>
    <t>Gap
bench</t>
  </si>
  <si>
    <t>Latest EU regulatory note (May 2026)</t>
  </si>
  <si>
    <t>S1.fc / S1.fp confidence</t>
  </si>
  <si>
    <t>S1.np / S1.no confidence</t>
  </si>
  <si>
    <t>Prod kt
(net)</t>
  </si>
  <si>
    <t>EU exp
kt</t>
  </si>
  <si>
    <t>Total exp
kt</t>
  </si>
  <si>
    <t>Gr
%/yr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</si>
  <si>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</si>
  <si>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</si>
  <si>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</si>
  <si>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</si>
  <si>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</si>
  <si>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</si>
  <si>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</si>
  <si>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</si>
  <si>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</si>
  <si>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</si>
  <si>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</si>
  <si>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</si>
  <si>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NH₃
cont</t>
  </si>
  <si>
    <t>NH₃ dir
EF</t>
  </si>
  <si>
    <t>NH₃ full
EF</t>
  </si>
  <si>
    <t>Own-only
CBAMeq</t>
  </si>
  <si>
    <t>Gross
NH₃ kt</t>
  </si>
  <si>
    <t>MtCO₂
'24 EUx</t>
  </si>
  <si>
    <t>SECTION A — AGGREGATED (8 products, values)</t>
  </si>
  <si>
    <t>AGGREGATE</t>
  </si>
  <si>
    <t>Primary steel (DRI-EAF)</t>
  </si>
  <si>
    <t>t crude steel</t>
  </si>
  <si>
    <t>7207 10 (D); 7207 12 (D); 7208/7209 flat (partial); 7214 rebar</t>
  </si>
  <si>
    <t>Midrex NG shaft furnace + EAF</t>
  </si>
  <si>
    <t>NO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</si>
  <si>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</si>
  <si>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>S1.fc: Est: Midrex heat:reductant ratio 5:24 GJ/t NG. Total EF Auth / S1.fp: Est: Midrex standard ratio; IPCC 2006 Vol2 2C1; WSA 2023. To</t>
  </si>
  <si>
    <t>S1.np: Auth: IPCC 2006 2C1 — DRI process CO2 = 0 / S1.no: Auth: IPCC 2006 2C1</t>
  </si>
  <si>
    <t>Secondary steel (Scrap-EAF)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</si>
  <si>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</si>
  <si>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</si>
  <si>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</si>
  <si>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 / S1.fp: Auth: no reductant in scrap melting process</t>
  </si>
  <si>
    <t>S1.np: Est: IPCC 2006 Vol2 2C1 default 0.01-0.02 tCO2/t for scrap-E / S1.no: Auth: IPCC 2006 2C1</t>
  </si>
  <si>
    <t>Reference steel (BF-BOF)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</si>
  <si>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</si>
  <si>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</si>
  <si>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</si>
  <si>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/ S1.fp: Prox: WSA 2023 BF standard; IPCC 2006 Vol2 2C1. Split Est wi</t>
  </si>
  <si>
    <t>S1.np: Auth: IPCC 2006 Vol2 2C1 default 0.22-0.28 tCO2/t crude stee / S1.no: Auth: IPCC 2006 2C1</t>
  </si>
  <si>
    <t>Cement &amp; clinker</t>
  </si>
  <si>
    <t>t clinker</t>
  </si>
  <si>
    <t>2523 10 (clinker); 2523 21; 2523 29 Portland cement</t>
  </si>
  <si>
    <t>Dry rotary kiln</t>
  </si>
  <si>
    <t>YES</t>
  </si>
  <si>
    <t>Cement clinker. Default base 1.580 ×1.10 = 1.738 (2026). Benchmark 0.666 (col B). S2 IN CBAM scope.</t>
  </si>
  <si>
    <t>S1.fc: Est: IEA Egypt cement sector; CSI/GCCA GNR Egypt 2022. Total / S1.fp: Auth: cement production has no chemical reductant fuel</t>
  </si>
  <si>
    <t>S1.np: Auth: IPCC 2006 2A1 stoichiometric constant (44/100 × fracti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</si>
  <si>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</si>
  <si>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</si>
  <si>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</si>
  <si>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</si>
  <si>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</si>
  <si>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 xml:space="preserve">S1.fc: Est: IFA/EFMA BAT Vol.1; combustion ~6-8 GJ/t NH3. Total Aut / S1.fp: Est: IFA/EFMA BAT Vol.1 standard SMR ~24-28 GJ/t NH3. Total 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</si>
  <si>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</si>
  <si>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</si>
  <si>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</si>
  <si>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</si>
  <si>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</si>
  <si>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</si>
  <si>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 / S1.fp: Auth: no additional reductant/feedstock in urea synthesis it</t>
  </si>
  <si>
    <t>S1.np: Auth: IPCC 2006 Vol2 3G stoichiometric constant. 44/60 = 0.7 / S1.no: Auth</t>
  </si>
  <si>
    <t>Ammonium nitrate</t>
  </si>
  <si>
    <t>t AN</t>
  </si>
  <si>
    <t>3102 30 (AN &gt;= 28% N); 3102 40 (CAN)</t>
  </si>
  <si>
    <t>Ostwald process (NH3 → HNO3) + neutralisation (HNO3 + NH3 → NH4NO3)</t>
  </si>
  <si>
    <t>AN/CAN. Default base ~2.64 ×1.01 = 2.666 (2026, N2O-driven). Benchmark 0.302. S2 IN CBAM scope. Default value highly sensitive to assumed N2O abatement.</t>
  </si>
  <si>
    <t>S1.fc: Est: IFA/EFMA BAT Vol.3; 1.5-2.5 GJ/t AN typical. Total dire / S1.fp: Auth: HNO3 and neutralisation have no reductant</t>
  </si>
  <si>
    <t>S1.np: Auth: AN chemistry (NH4NO3) contains no carbon / S1.no: Est: IPCC 2006 2B2; GWP AR6 AII.1.2. CRITICAL: range 0.21 (w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</si>
  <si>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</si>
  <si>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</si>
  <si>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</si>
  <si>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</si>
  <si>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</si>
  <si>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 xml:space="preserve">S1.fc: Est: IAI 2023 smelter profile; 1.5-2.5 GJ/t range. Weighted  / S1.fp: Auth: Hall-Héroult is electrolytic; reduction is electrical </t>
  </si>
  <si>
    <t>S1.np: Auth: IPCC 2006 Vol2 2C3 default 1.5 tCO2/t Al for prebaked  / S1.no: Est: IAI 2023 Egypt country profile. Global prebaked average</t>
  </si>
  <si>
    <t>SECTION B — DISAGGREGATED (24 CN lines under each parent; same columns)</t>
  </si>
  <si>
    <t>CN line</t>
  </si>
  <si>
    <t>Flat-rolled HRC, hot-rolled, not clad (DRI-route share)</t>
  </si>
  <si>
    <t>7208 (10/25/26/27/36/37/38/39/40/52/53/54)</t>
  </si>
  <si>
    <t>DRI-EAF → hot strip mill</t>
  </si>
  <si>
    <t>Flat-rolled &lt;600mm, not clad (DRI-route)</t>
  </si>
  <si>
    <t>7211 13/14/19</t>
  </si>
  <si>
    <t>DRI-EAF → narrow strip</t>
  </si>
  <si>
    <t>Flat-rolled other alloy steel (DRI-route)</t>
  </si>
  <si>
    <t>7225 / 7226</t>
  </si>
  <si>
    <t>DRI-EAF → alloy flat</t>
  </si>
  <si>
    <t>Semi-finished billets/blooms (DRI-route)</t>
  </si>
  <si>
    <t>7207 11/12</t>
  </si>
  <si>
    <t>DRI-EAF → continuous casting</t>
  </si>
  <si>
    <t>Bars and rods, rebar (DRI-route long)</t>
  </si>
  <si>
    <t>7214 20/99</t>
  </si>
  <si>
    <t>DRI-EAF → bar mill</t>
  </si>
  <si>
    <t>Bars and rods, rebar (scrap-route)</t>
  </si>
  <si>
    <t>Scrap-EAF → bar mill</t>
  </si>
  <si>
    <t>Wire rod in coils (scrap-route)</t>
  </si>
  <si>
    <t>7213</t>
  </si>
  <si>
    <t>Scrap-EAF → rod mill</t>
  </si>
  <si>
    <t>Angles, shapes and sections (scrap-route)</t>
  </si>
  <si>
    <t>7216</t>
  </si>
  <si>
    <t>Scrap-EAF → section mill</t>
  </si>
  <si>
    <t>Flat HRC, scrap-EAF route share</t>
  </si>
  <si>
    <t>7208 (scrap-route share)</t>
  </si>
  <si>
    <t>Scrap-EAF → hot strip</t>
  </si>
  <si>
    <t>Flat products, BF-BOF reference (NO Egypt production)</t>
  </si>
  <si>
    <t>7208/7209/7210 (BF-BOF reference)</t>
  </si>
  <si>
    <t>BF-BOF (reference)</t>
  </si>
  <si>
    <t>Cement clinker</t>
  </si>
  <si>
    <t>2523 10</t>
  </si>
  <si>
    <t>Dry kiln → clinker</t>
  </si>
  <si>
    <t>Portland cement, other (grey)</t>
  </si>
  <si>
    <t>2523 29</t>
  </si>
  <si>
    <t>Dry kiln → ground cement</t>
  </si>
  <si>
    <t>White Portland cement</t>
  </si>
  <si>
    <t>2523 21</t>
  </si>
  <si>
    <t>Dry kiln → white cement</t>
  </si>
  <si>
    <t>Anhydrous ammonia</t>
  </si>
  <si>
    <t>2814 10</t>
  </si>
  <si>
    <t>SMR + Haber-Bosch</t>
  </si>
  <si>
    <t>Ammonia in aqueous solution</t>
  </si>
  <si>
    <t>2814 20</t>
  </si>
  <si>
    <t>SMR + Haber-Bosch → aqueous</t>
  </si>
  <si>
    <t>Urea (≥45% N)</t>
  </si>
  <si>
    <t>3102 10</t>
  </si>
  <si>
    <t>CO2 + NH3 synthesis</t>
  </si>
  <si>
    <t>3102 30</t>
  </si>
  <si>
    <t>Ostwald + neutralisation</t>
  </si>
  <si>
    <t>AN + calcium carbonate mixtures (CAN)</t>
  </si>
  <si>
    <t>3102 40</t>
  </si>
  <si>
    <t>Ostwald + CAN blending</t>
  </si>
  <si>
    <t>UAN solutions (urea-ammonium nitrate)</t>
  </si>
  <si>
    <t>3102 80</t>
  </si>
  <si>
    <t>AN + urea solution</t>
  </si>
  <si>
    <t>Unwrought aluminium, not alloyed</t>
  </si>
  <si>
    <t>7601 10</t>
  </si>
  <si>
    <t>Hall-Héroult → ingot</t>
  </si>
  <si>
    <t>Unwrought aluminium alloys</t>
  </si>
  <si>
    <t>7601 20</t>
  </si>
  <si>
    <t>Hall-Héroult → alloy ingot</t>
  </si>
  <si>
    <t>Bars, rods and profiles</t>
  </si>
  <si>
    <t>7604</t>
  </si>
  <si>
    <t>Cast → extrusion</t>
  </si>
  <si>
    <t>Plates, sheets and strip (&gt;0.2mm)</t>
  </si>
  <si>
    <t>7606</t>
  </si>
  <si>
    <t>Cast → rolling</t>
  </si>
  <si>
    <t>Tubes and pipes</t>
  </si>
  <si>
    <t>7608</t>
  </si>
  <si>
    <t>Cast → tube</t>
  </si>
  <si>
    <t>SECTION C — SUMPRODUCT reconstruction: weighted CN lines rebuild each AGGREGATE row (consistency check)</t>
  </si>
  <si>
    <t>Parent</t>
  </si>
  <si>
    <t>CN lines</t>
  </si>
  <si>
    <t>Σwt / chk</t>
  </si>
  <si>
    <t>S1own</t>
  </si>
  <si>
    <t>S1inc</t>
  </si>
  <si>
    <t>CBAMeq</t>
  </si>
  <si>
    <t>5 lines (r17-21)</t>
  </si>
  <si>
    <t>4 lines (r22-25)</t>
  </si>
  <si>
    <t>1 lines (r26-26)</t>
  </si>
  <si>
    <t>3 lines (r27-29)</t>
  </si>
  <si>
    <t>2 lines (r30-31)</t>
  </si>
  <si>
    <t>1 lines (r32-32)</t>
  </si>
  <si>
    <t>3 lines (r33-35)</t>
  </si>
  <si>
    <t>5 lines (r36-40)</t>
  </si>
  <si>
    <t>QUALITY ASSURANCE — per product</t>
  </si>
  <si>
    <t>Overall</t>
  </si>
  <si>
    <t>Data vintage</t>
  </si>
  <si>
    <t>EF basis</t>
  </si>
  <si>
    <t>Biggest uncertainty</t>
  </si>
  <si>
    <t>External cross-check</t>
  </si>
  <si>
    <t>Volume confidence</t>
  </si>
  <si>
    <t>EU-gap flag</t>
  </si>
  <si>
    <t>Recommended action</t>
  </si>
  <si>
    <t>DRI-EAF steel</t>
  </si>
  <si>
    <t>🟡 Medium-High</t>
  </si>
  <si>
    <t>2023/24 (WSA + IEA 2024 actuals 2022)</t>
  </si>
  <si>
    <t>Total Auth (WSA Midrex), split Est</t>
  </si>
  <si>
    <t>S1.fc/S1.fp split (Midrex 5:24 ratio); ±15% on combustion share</t>
  </si>
  <si>
    <t>WSA route EF 1.6-2.0 tCO2/t; model 1.94 holistic — consistent</t>
  </si>
  <si>
    <t>Production WSA 2024 Auth; route split (DRI vs scrap) Est from company data</t>
  </si>
  <si>
    <t>HRC default-vacancy risk: flat products may face 4.454 BF-BOF default vs 0.481 DRI benchmark</t>
  </si>
  <si>
    <t>Confirm Midrex NG balance with Ezz/Beshay; verify HRC CN-code default treatment</t>
  </si>
  <si>
    <t>Scrap-EAF steel</t>
  </si>
  <si>
    <t>🟡 Medium</t>
  </si>
  <si>
    <t>2023/24 (WSA + IEA 2024)</t>
  </si>
  <si>
    <t>Total Auth range (WSA scrap-EAF), S1.fc Est</t>
  </si>
  <si>
    <t>NG combustion 2-3 GJ/t; minor scrap-C dissolution 0.01-0.02</t>
  </si>
  <si>
    <t>WSA scrap-EAF 0.1-0.3 tCO2/t direct; model 0.155 — consistent</t>
  </si>
  <si>
    <t>Production residual estimate; exports lower-grade products</t>
  </si>
  <si>
    <t>Model 0.155 well below EU default 0.792 — MRV strongly favourable</t>
  </si>
  <si>
    <t>Confirm scrap-EAF NG use; split flat vs long product CN allocation</t>
  </si>
  <si>
    <t>BF-BOF steel (reference)</t>
  </si>
  <si>
    <t>🔴 Low (reference only)</t>
  </si>
  <si>
    <t>2023 (global proxy)</t>
  </si>
  <si>
    <t>Prox — no Egypt production</t>
  </si>
  <si>
    <t>Entire row is proxy; Hadisolb liquidated 2021</t>
  </si>
  <si>
    <t>WSA global BF-BOF 2.0-2.5 tCO2/t direct; model 2.172 — consistent with global avg</t>
  </si>
  <si>
    <t>Zero production — reference row only</t>
  </si>
  <si>
    <t>Reference for EU default 3.080 comparison only</t>
  </si>
  <si>
    <t>No action — retain as comparator unless new integrated capacity built</t>
  </si>
  <si>
    <t>Grey clinker (dry-process)</t>
  </si>
  <si>
    <t>🟢 High</t>
  </si>
  <si>
    <t>2022/23 (GCCA GNR + IEA)</t>
  </si>
  <si>
    <t>Calcination Auth (IPCC stoich); fuel total Auth, blend Est</t>
  </si>
  <si>
    <t>Coal:petcoke blend (70:30 est); ±0.02 tCO2/t on fuel</t>
  </si>
  <si>
    <t>GCCA Egypt 0.85-0.90 tCO2/t cement; model 0.871 — strong match</t>
  </si>
  <si>
    <t>Production 50 Mt Auth (World Cement Assoc); EU exports small</t>
  </si>
  <si>
    <t>Model 0.871 below EU default 1.738 — MRV strongly favourable</t>
  </si>
  <si>
    <t>Confirm clinker ratio (0.94 assumed) and alt-fuel substitution rate</t>
  </si>
  <si>
    <t>Ammonia (net)</t>
  </si>
  <si>
    <t>2023 (IFA + IEA)</t>
  </si>
  <si>
    <t>Total Auth (IFA SMR std 33-35 GJ/t), split Est</t>
  </si>
  <si>
    <t>S1.fc/S1.fp split (combustion vs feedstock); ±10%</t>
  </si>
  <si>
    <t>IFA SMR ammonia 1.6-2.0 tCO2/t; model 1.851 direct — consistent</t>
  </si>
  <si>
    <t>Capacity 6 Mt; actual 3.5 Mt (gas constraints 2024) — IFA Auth</t>
  </si>
  <si>
    <t>Model 1.889 CBAM-elig vs EU default 2.070 — modestly favourable</t>
  </si>
  <si>
    <t>Confirm per-plant NG split (EBIC/MOPCO/Abu Qir); verify net merchant volume</t>
  </si>
  <si>
    <t>🟢 High (process), 🟡 Medium (chain)</t>
  </si>
  <si>
    <t>2023 (IPCC + IFA)</t>
  </si>
  <si>
    <t>CO2 uptake Auth (IPCC stoich -0.733)</t>
  </si>
  <si>
    <t>Whether to count embodied NH3 chain (see annex); standalone vs chain intensity</t>
  </si>
  <si>
    <t>EBRD ~1.1; Sandbag 1.404 default; TerawattTimes ~1.81 chain-incl — model 0.466 standalone + chain in annex</t>
  </si>
  <si>
    <t>Egypt 5-6th largest urea exporter; 2.8 Mt prod — IFA Auth</t>
  </si>
  <si>
    <t>EU default 1.404; model standalone -0.583, chain-incl ~1.30 — interpretation depends on SEFA chain treatment</t>
  </si>
  <si>
    <t>CRITICAL: align chain-inclusion method with EU SEFA formula (97.5% × (col A urea + NH3% × col A ammonia))</t>
  </si>
  <si>
    <t>🔴 Low-Medium</t>
  </si>
  <si>
    <t>2021 AR6 GWPs; abatement status unknown</t>
  </si>
  <si>
    <t>N2O Est — LARGEST uncertainty in table</t>
  </si>
  <si>
    <t>N2O abatement at KIMA/Helwan: range 0.21 (full SCR) to 1.91 (none) tCO2e/t</t>
  </si>
  <si>
    <t>IPCC 2B2 0.3-9.0 kg N2O/t HNO3; model midpoint 2.5 tCO2e/t AN — wide band</t>
  </si>
  <si>
    <t>AN capacity ~600 kt; EU exports limited</t>
  </si>
  <si>
    <t>Model 2.656 vs EU default 2.666 — near-parity but both highly uncertain</t>
  </si>
  <si>
    <t>HIGHEST PRIORITY: confirm N2O abatement catalyst presence at KIMA &amp; Helwan plants</t>
  </si>
  <si>
    <t>2023 (IAI + IPCC)</t>
  </si>
  <si>
    <t>Anode Auth (IPCC stoich 1.5); PFC Est</t>
  </si>
  <si>
    <t>PFC 0.70 tCO2e/t (Egyptalum potline vintage); range 0.60-0.90</t>
  </si>
  <si>
    <t>IAI prebaked global 0.38; older potlines 0.6-0.9; model 0.70 — mid older-range</t>
  </si>
  <si>
    <t>Egyptalum 310 kt cap, ~290 kt actual; 96% exports to EU — IAI Auth</t>
  </si>
  <si>
    <t>Model 2.356 CBAM-elig vs EU default 2.266 — model slightly ABOVE; MRV may not favour</t>
  </si>
  <si>
    <t>Verify Egyptalum PFC against EEAA data; S2 excluded so focus on anode+PFC</t>
  </si>
  <si>
    <t>COMMON BASIS: Section A (AGGREGATE) and Section B (CN line) share identical columns. Read A for product-level values; B for the CN-code breakdown beneath each parent. Level column distinguishes them.</t>
  </si>
  <si>
    <t>NH₃ INTEGRATED (full EF 1.889 incl S2): urea/AN headline CBAM-equivalent includes embedded ammonia = NH₃ content × NH₃ full EF. Net ammonia (1,785 kt) = production; gross (3,500) in memo. Urea CBAM-eq 0.488; AN 3.057; ammonia 1.889.</t>
  </si>
  <si>
    <t>WEIGHT column: each CN line's % of its parent's 2024 EU exports (sums to 100% per parent). Section C SUMPRODUCT rebuilds each AGGREGATE row from its weighted CN lines — currently identity (lines inherit parent EF); becomes a real blend if CN-specific EFs are entered.</t>
  </si>
  <si>
    <t>EU DEFAULTS: 'EU def 2026' = base×(1+markup), +10% steel/cement/Al, +1% fert. Egypt ammonia 2.07, urea 1.404. Steel benchmarks DRI 0.481/scrap 0.072/BF-BOF 1.370; ammonia bench 1.484.</t>
  </si>
  <si>
    <t>KEY UNCERTAINTY: AN N₂O (🔴) 0.21–1.91 tCO₂e/t per KIMA/Helwan abatement. With NH₃ integrated, AN CBAM-eq 3.057 exceeds EU default 2.666 (gap +0.39).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</si>
</sst>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\+0.000;\-0.000;\-"/>
    <numFmt numFmtId="167" formatCode="0.0%"/>
  </numFmts>
  <fonts count="17" x14ac:knownFonts="1">
    <font>
      <sz val="11"/>
      <color theme="1"/>
      <name val="Calibri"/>
      <family val="2"/>
      <charset val="1"/>
    </font>
    <font>
      <b/>
      <sz val="13"/>
      <color rgb="FF1F4E79"/>
      <name val="Arial"/>
      <family val="2"/>
    </font>
    <font>
      <i/>
      <sz val="8"/>
      <color rgb="FF595959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8"/>
      <color rgb="FF1F4E79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1F3864"/>
      <name val="Consolas"/>
      <family val="3"/>
    </font>
    <font>
      <sz val="8"/>
      <color rgb="FF000000"/>
      <name val="Arial"/>
      <family val="2"/>
    </font>
    <font>
      <sz val="9"/>
      <color rgb="FF0000FF"/>
      <name val="Arial"/>
      <family val="2"/>
    </font>
    <font>
      <b/>
      <sz val="8"/>
      <color rgb="FFC00000"/>
      <name val="Arial"/>
      <family val="2"/>
    </font>
    <font>
      <b/>
      <sz val="9"/>
      <color rgb="FF000000"/>
      <name val="Arial"/>
      <family val="2"/>
    </font>
    <font>
      <b/>
      <sz val="8"/>
      <color rgb="FF7B5800"/>
      <name val="Arial"/>
      <family val="2"/>
    </font>
    <font>
      <b/>
      <sz val="8"/>
      <color rgb="FF375623"/>
      <name val="Arial"/>
      <family val="2"/>
    </font>
    <font>
      <b/>
      <sz val="9"/>
      <color rgb="FF1F4E79"/>
      <name val="Arial"/>
      <family val="2"/>
    </font>
    <font>
      <b/>
      <sz val="8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EDE7F6"/>
      </patternFill>
    </fill>
    <fill>
      <patternFill patternType="solid">
        <fgColor rgb="FF1F4E79"/>
        <bgColor rgb="FF1F497D"/>
      </patternFill>
    </fill>
    <fill>
      <patternFill patternType="solid">
        <fgColor rgb="FF2E75B6"/>
        <bgColor rgb="FF008080"/>
      </patternFill>
    </fill>
    <fill>
      <patternFill patternType="solid">
        <fgColor rgb="FF005073"/>
        <bgColor rgb="FF1F4E79"/>
      </patternFill>
    </fill>
    <fill>
      <patternFill patternType="solid">
        <fgColor rgb="FF7B3F00"/>
        <bgColor rgb="FF7B5800"/>
      </patternFill>
    </fill>
    <fill>
      <patternFill patternType="solid">
        <fgColor rgb="FF1F497D"/>
        <bgColor rgb="FF1F4E79"/>
      </patternFill>
    </fill>
    <fill>
      <patternFill patternType="solid">
        <fgColor rgb="FF4B0082"/>
        <bgColor rgb="FF800080"/>
      </patternFill>
    </fill>
    <fill>
      <patternFill patternType="solid">
        <fgColor rgb="FF595959"/>
        <bgColor rgb="FF375623"/>
      </patternFill>
    </fill>
    <fill>
      <patternFill patternType="solid">
        <fgColor rgb="FFDCE6F1"/>
        <bgColor rgb="FFD9E1F2"/>
      </patternFill>
    </fill>
    <fill>
      <patternFill patternType="solid">
        <fgColor rgb="FFBDD7EE"/>
        <bgColor rgb="FFD9E1F2"/>
      </patternFill>
    </fill>
    <fill>
      <patternFill patternType="solid">
        <fgColor rgb="FFE2EFDA"/>
        <bgColor rgb="FFDCE6F1"/>
      </patternFill>
    </fill>
    <fill>
      <patternFill patternType="solid">
        <fgColor rgb="FFFFF2CC"/>
        <bgColor rgb="FFFFFACD"/>
      </patternFill>
    </fill>
    <fill>
      <patternFill patternType="solid">
        <fgColor rgb="FFEDE7F6"/>
        <bgColor rgb="FFF2F2F2"/>
      </patternFill>
    </fill>
    <fill>
      <patternFill patternType="solid">
        <fgColor rgb="FFDDEEFF"/>
        <bgColor rgb="FFDCE6F1"/>
      </patternFill>
    </fill>
    <fill>
      <patternFill patternType="solid">
        <fgColor rgb="FFFFE699"/>
        <bgColor rgb="FFFFF0B3"/>
      </patternFill>
    </fill>
    <fill>
      <patternFill patternType="solid">
        <fgColor rgb="FFD9E1F2"/>
        <bgColor rgb="FFDCE6F1"/>
      </patternFill>
    </fill>
    <fill>
      <patternFill patternType="solid">
        <fgColor rgb="FFFFFACD"/>
        <bgColor rgb="FFFFF2CC"/>
      </patternFill>
    </fill>
    <fill>
      <patternFill patternType="solid">
        <fgColor rgb="FFFFF0B3"/>
        <bgColor rgb="FFFFF2CC"/>
      </patternFill>
    </fill>
    <fill>
      <patternFill patternType="solid">
        <fgColor rgb="FFF2DCDB"/>
        <bgColor rgb="FFEDE7F6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6" fillId="11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center" wrapText="1"/>
    </xf>
    <xf numFmtId="164" fontId="6" fillId="12" borderId="1" xfId="0" applyNumberFormat="1" applyFont="1" applyFill="1" applyBorder="1" applyAlignment="1">
      <alignment horizontal="center" vertical="center" wrapText="1"/>
    </xf>
    <xf numFmtId="164" fontId="10" fillId="13" borderId="1" xfId="0" applyNumberFormat="1" applyFont="1" applyFill="1" applyBorder="1" applyAlignment="1">
      <alignment horizontal="center" vertical="center" wrapText="1"/>
    </xf>
    <xf numFmtId="164" fontId="10" fillId="14" borderId="1" xfId="0" applyNumberFormat="1" applyFont="1" applyFill="1" applyBorder="1" applyAlignment="1">
      <alignment horizontal="center" vertical="center" wrapText="1"/>
    </xf>
    <xf numFmtId="164" fontId="10" fillId="15" borderId="1" xfId="0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164" fontId="6" fillId="13" borderId="1" xfId="0" applyNumberFormat="1" applyFont="1" applyFill="1" applyBorder="1" applyAlignment="1">
      <alignment horizontal="center" vertical="center" wrapText="1"/>
    </xf>
    <xf numFmtId="164" fontId="12" fillId="13" borderId="1" xfId="0" applyNumberFormat="1" applyFont="1" applyFill="1" applyBorder="1" applyAlignment="1">
      <alignment horizontal="center" vertical="center" wrapText="1"/>
    </xf>
    <xf numFmtId="165" fontId="10" fillId="16" borderId="1" xfId="0" applyNumberFormat="1" applyFont="1" applyFill="1" applyBorder="1" applyAlignment="1">
      <alignment horizontal="center" vertical="center" wrapText="1"/>
    </xf>
    <xf numFmtId="9" fontId="10" fillId="15" borderId="1" xfId="0" applyNumberFormat="1" applyFont="1" applyFill="1" applyBorder="1" applyAlignment="1">
      <alignment horizontal="center" vertical="center" wrapText="1"/>
    </xf>
    <xf numFmtId="164" fontId="6" fillId="15" borderId="1" xfId="0" applyNumberFormat="1" applyFont="1" applyFill="1" applyBorder="1" applyAlignment="1">
      <alignment horizontal="center" vertical="center" wrapText="1"/>
    </xf>
    <xf numFmtId="166" fontId="6" fillId="15" borderId="1" xfId="0" applyNumberFormat="1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4" fillId="3" borderId="1" xfId="0" applyFont="1" applyFill="1" applyBorder="1" applyAlignment="1">
      <alignment horizontal="left" vertical="top" wrapText="1"/>
    </xf>
    <xf numFmtId="3" fontId="10" fillId="17" borderId="1" xfId="0" applyNumberFormat="1" applyFont="1" applyFill="1" applyBorder="1" applyAlignment="1">
      <alignment horizontal="center" vertical="center" wrapText="1"/>
    </xf>
    <xf numFmtId="167" fontId="10" fillId="17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4" fontId="10" fillId="16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6" fillId="16" borderId="1" xfId="0" applyNumberFormat="1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7" fillId="18" borderId="1" xfId="0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center" wrapText="1"/>
    </xf>
    <xf numFmtId="3" fontId="6" fillId="17" borderId="1" xfId="0" applyNumberFormat="1" applyFont="1" applyFill="1" applyBorder="1" applyAlignment="1">
      <alignment horizontal="center" vertical="center" wrapText="1"/>
    </xf>
    <xf numFmtId="3" fontId="10" fillId="16" borderId="1" xfId="0" applyNumberFormat="1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8" fillId="19" borderId="1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left" vertical="center" wrapText="1"/>
    </xf>
    <xf numFmtId="0" fontId="8" fillId="20" borderId="1" xfId="0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8" fillId="21" borderId="1" xfId="0" applyFont="1" applyFill="1" applyBorder="1" applyAlignment="1">
      <alignment horizontal="left" vertical="top" wrapText="1"/>
    </xf>
    <xf numFmtId="0" fontId="9" fillId="2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top" wrapText="1"/>
    </xf>
    <xf numFmtId="0" fontId="2" fillId="18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2" fillId="13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left" vertical="top" wrapText="1"/>
    </xf>
    <xf numFmtId="0" fontId="2" fillId="19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left" vertical="top" wrapText="1"/>
    </xf>
    <xf numFmtId="0" fontId="2" fillId="20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left" vertical="top" wrapText="1"/>
    </xf>
    <xf numFmtId="0" fontId="2" fillId="21" borderId="1" xfId="0" applyFont="1" applyFill="1" applyBorder="1" applyAlignment="1">
      <alignment horizontal="center" vertical="center" wrapText="1"/>
    </xf>
    <xf numFmtId="0" fontId="9" fillId="21" borderId="1" xfId="0" applyFont="1" applyFill="1" applyBorder="1" applyAlignment="1">
      <alignment horizontal="left" vertical="top" wrapText="1"/>
    </xf>
    <xf numFmtId="0" fontId="15" fillId="11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5" fillId="19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left" vertical="center" wrapText="1"/>
    </xf>
    <xf numFmtId="0" fontId="15" fillId="21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left" vertical="top" wrapText="1"/>
    </xf>
    <xf numFmtId="0" fontId="12" fillId="18" borderId="1" xfId="0" applyFont="1" applyFill="1" applyBorder="1" applyAlignment="1">
      <alignment horizontal="left" vertical="top" wrapText="1"/>
    </xf>
    <xf numFmtId="0" fontId="16" fillId="18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0" fontId="12" fillId="13" borderId="1" xfId="0" applyFont="1" applyFill="1" applyBorder="1" applyAlignment="1">
      <alignment horizontal="left" vertical="top" wrapText="1"/>
    </xf>
    <xf numFmtId="0" fontId="16" fillId="13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12" fillId="14" borderId="1" xfId="0" applyFont="1" applyFill="1" applyBorder="1" applyAlignment="1">
      <alignment horizontal="left" vertical="top" wrapText="1"/>
    </xf>
    <xf numFmtId="0" fontId="16" fillId="14" borderId="1" xfId="0" applyFont="1" applyFill="1" applyBorder="1" applyAlignment="1">
      <alignment horizontal="left" vertical="top" wrapText="1"/>
    </xf>
    <xf numFmtId="0" fontId="9" fillId="14" borderId="1" xfId="0" applyFont="1" applyFill="1" applyBorder="1" applyAlignment="1">
      <alignment horizontal="left" vertical="top" wrapText="1"/>
    </xf>
    <xf numFmtId="0" fontId="12" fillId="19" borderId="1" xfId="0" applyFont="1" applyFill="1" applyBorder="1" applyAlignment="1">
      <alignment horizontal="left" vertical="top" wrapText="1"/>
    </xf>
    <xf numFmtId="0" fontId="16" fillId="19" borderId="1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left" vertical="top" wrapText="1"/>
    </xf>
    <xf numFmtId="0" fontId="12" fillId="20" borderId="1" xfId="0" applyFont="1" applyFill="1" applyBorder="1" applyAlignment="1">
      <alignment horizontal="left" vertical="top" wrapText="1"/>
    </xf>
    <xf numFmtId="0" fontId="16" fillId="20" borderId="1" xfId="0" applyFont="1" applyFill="1" applyBorder="1" applyAlignment="1">
      <alignment horizontal="left" vertical="top" wrapText="1"/>
    </xf>
    <xf numFmtId="0" fontId="9" fillId="20" borderId="1" xfId="0" applyFont="1" applyFill="1" applyBorder="1" applyAlignment="1">
      <alignment horizontal="left" vertical="top" wrapText="1"/>
    </xf>
    <xf numFmtId="0" fontId="12" fillId="21" borderId="1" xfId="0" applyFont="1" applyFill="1" applyBorder="1" applyAlignment="1">
      <alignment horizontal="left" vertical="top" wrapText="1"/>
    </xf>
    <xf numFmtId="0" fontId="16" fillId="21" borderId="1" xfId="0" applyFont="1" applyFill="1" applyBorder="1" applyAlignment="1">
      <alignment horizontal="left" vertical="top" wrapText="1"/>
    </xf>
    <xf numFmtId="0" fontId="9" fillId="21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7B5800"/>
      <rgbColor rgb="FF800080"/>
      <rgbColor rgb="FF1F4E79"/>
      <rgbColor rgb="FFC0C0C0"/>
      <rgbColor rgb="FF808080"/>
      <rgbColor rgb="FF9999FF"/>
      <rgbColor rgb="FF993366"/>
      <rgbColor rgb="FFFFFACD"/>
      <rgbColor rgb="FFDDEEFF"/>
      <rgbColor rgb="FF4B0082"/>
      <rgbColor rgb="FFFF8080"/>
      <rgbColor rgb="FF005073"/>
      <rgbColor rgb="FFBDD7EE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0B3"/>
      <rgbColor rgb="FFD9E1F2"/>
      <rgbColor rgb="FFF2DCDB"/>
      <rgbColor rgb="FFEDE7F6"/>
      <rgbColor rgb="FFFFE6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7B3F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8"/>
  <sheetViews>
    <sheetView showGridLines="0" tabSelected="1" zoomScaleNormal="100" workbookViewId="0">
      <pane xSplit="6" ySplit="5" topLeftCell="G6" activePane="bottomRight" state="frozen"/>
      <selection pane="topRight" activeCell="G1" sqref="G1"/>
      <selection pane="bottomLeft" activeCell="A6" sqref="A6"/>
      <selection pane="bottomRight"/>
    </sheetView>
  </sheetViews>
  <sheetFormatPr defaultColWidth="8.7109375" defaultRowHeight="15" x14ac:dyDescent="0.25"/>
  <cols>
    <col min="1" max="1" width="9" customWidth="1"/>
    <col min="2" max="2" width="5" customWidth="1"/>
    <col min="3" max="3" width="22" customWidth="1"/>
    <col min="4" max="4" width="10" customWidth="1"/>
    <col min="5" max="5" width="30" customWidth="1"/>
    <col min="6" max="6" width="18" customWidth="1"/>
    <col min="7" max="10" width="6" customWidth="1"/>
    <col min="11" max="12" width="7" customWidth="1"/>
    <col min="13" max="13" width="8" customWidth="1"/>
    <col min="14" max="14" width="6" customWidth="1"/>
    <col min="15" max="15" width="12" customWidth="1"/>
    <col min="16" max="16" width="7" customWidth="1"/>
    <col min="17" max="18" width="9" customWidth="1"/>
    <col min="19" max="22" width="6" customWidth="1"/>
    <col min="23" max="23" width="7" customWidth="1"/>
    <col min="24" max="24" width="6" customWidth="1"/>
    <col min="25" max="28" width="7" customWidth="1"/>
    <col min="29" max="29" width="36" customWidth="1"/>
    <col min="30" max="31" width="24" customWidth="1"/>
    <col min="32" max="32" width="9" customWidth="1"/>
    <col min="33" max="34" width="8" customWidth="1"/>
    <col min="35" max="35" width="7" customWidth="1"/>
    <col min="36" max="47" width="6" customWidth="1"/>
    <col min="48" max="48" width="2" customWidth="1"/>
    <col min="49" max="54" width="9" customWidth="1"/>
  </cols>
  <sheetData>
    <row r="1" spans="1:54" ht="27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ht="37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</row>
    <row r="4" spans="1:54" ht="13.5" customHeight="1" x14ac:dyDescent="0.25">
      <c r="A4" s="12" t="s">
        <v>2</v>
      </c>
      <c r="B4" s="12"/>
      <c r="C4" s="12"/>
      <c r="D4" s="12"/>
      <c r="E4" s="12"/>
      <c r="F4" s="12"/>
      <c r="G4" s="11" t="s">
        <v>3</v>
      </c>
      <c r="H4" s="11"/>
      <c r="I4" s="11"/>
      <c r="J4" s="11"/>
      <c r="K4" s="11"/>
      <c r="L4" s="11"/>
      <c r="M4" s="11"/>
      <c r="N4" s="10" t="s">
        <v>4</v>
      </c>
      <c r="O4" s="10"/>
      <c r="P4" s="10"/>
      <c r="Q4" s="10"/>
      <c r="R4" s="15" t="s">
        <v>5</v>
      </c>
      <c r="S4" s="9" t="s">
        <v>6</v>
      </c>
      <c r="T4" s="9"/>
      <c r="U4" s="9"/>
      <c r="V4" s="9"/>
      <c r="W4" s="8" t="s">
        <v>7</v>
      </c>
      <c r="X4" s="8"/>
      <c r="Y4" s="8"/>
      <c r="Z4" s="8"/>
      <c r="AA4" s="8"/>
      <c r="AB4" s="8"/>
      <c r="AC4" s="8"/>
      <c r="AD4" s="7" t="s">
        <v>8</v>
      </c>
      <c r="AE4" s="7"/>
      <c r="AF4" s="6" t="s">
        <v>9</v>
      </c>
      <c r="AG4" s="6"/>
      <c r="AH4" s="6"/>
      <c r="AI4" s="6"/>
      <c r="AJ4" s="6" t="s">
        <v>10</v>
      </c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W4" s="10" t="s">
        <v>11</v>
      </c>
      <c r="AX4" s="10"/>
      <c r="AY4" s="10"/>
      <c r="AZ4" s="10"/>
      <c r="BA4" s="10"/>
      <c r="BB4" s="10"/>
    </row>
    <row r="5" spans="1:54" ht="42" customHeight="1" x14ac:dyDescent="0.25">
      <c r="A5" s="16" t="s">
        <v>12</v>
      </c>
      <c r="B5" s="16" t="s">
        <v>13</v>
      </c>
      <c r="C5" s="16" t="s">
        <v>14</v>
      </c>
      <c r="D5" s="16" t="s">
        <v>15</v>
      </c>
      <c r="E5" s="16" t="s">
        <v>16</v>
      </c>
      <c r="F5" s="16" t="s">
        <v>17</v>
      </c>
      <c r="G5" s="17" t="s">
        <v>18</v>
      </c>
      <c r="H5" s="17" t="s">
        <v>19</v>
      </c>
      <c r="I5" s="17" t="s">
        <v>20</v>
      </c>
      <c r="J5" s="17" t="s">
        <v>21</v>
      </c>
      <c r="K5" s="17" t="s">
        <v>22</v>
      </c>
      <c r="L5" s="17" t="s">
        <v>23</v>
      </c>
      <c r="M5" s="17" t="s">
        <v>24</v>
      </c>
      <c r="N5" s="18" t="s">
        <v>25</v>
      </c>
      <c r="O5" s="18" t="s">
        <v>26</v>
      </c>
      <c r="P5" s="18" t="s">
        <v>27</v>
      </c>
      <c r="Q5" s="18" t="s">
        <v>28</v>
      </c>
      <c r="R5" s="19" t="s">
        <v>29</v>
      </c>
      <c r="S5" s="20" t="s">
        <v>30</v>
      </c>
      <c r="T5" s="20" t="s">
        <v>31</v>
      </c>
      <c r="U5" s="20" t="s">
        <v>32</v>
      </c>
      <c r="V5" s="20" t="s">
        <v>33</v>
      </c>
      <c r="W5" s="21" t="s">
        <v>34</v>
      </c>
      <c r="X5" s="21" t="s">
        <v>35</v>
      </c>
      <c r="Y5" s="21" t="s">
        <v>36</v>
      </c>
      <c r="Z5" s="21" t="s">
        <v>37</v>
      </c>
      <c r="AA5" s="21" t="s">
        <v>38</v>
      </c>
      <c r="AB5" s="21" t="s">
        <v>39</v>
      </c>
      <c r="AC5" s="21" t="s">
        <v>40</v>
      </c>
      <c r="AD5" s="22" t="s">
        <v>41</v>
      </c>
      <c r="AE5" s="22" t="s">
        <v>42</v>
      </c>
      <c r="AF5" s="19" t="s">
        <v>43</v>
      </c>
      <c r="AG5" s="19" t="s">
        <v>44</v>
      </c>
      <c r="AH5" s="19" t="s">
        <v>45</v>
      </c>
      <c r="AI5" s="19" t="s">
        <v>46</v>
      </c>
      <c r="AJ5" s="19" t="s">
        <v>47</v>
      </c>
      <c r="AK5" s="19" t="s">
        <v>48</v>
      </c>
      <c r="AL5" s="19" t="s">
        <v>49</v>
      </c>
      <c r="AM5" s="19" t="s">
        <v>50</v>
      </c>
      <c r="AN5" s="19" t="s">
        <v>51</v>
      </c>
      <c r="AO5" s="19" t="s">
        <v>52</v>
      </c>
      <c r="AP5" s="19" t="s">
        <v>53</v>
      </c>
      <c r="AQ5" s="19" t="s">
        <v>54</v>
      </c>
      <c r="AR5" s="19" t="s">
        <v>55</v>
      </c>
      <c r="AS5" s="19" t="s">
        <v>56</v>
      </c>
      <c r="AT5" s="19" t="s">
        <v>57</v>
      </c>
      <c r="AU5" s="19" t="s">
        <v>58</v>
      </c>
      <c r="AW5" s="18" t="s">
        <v>59</v>
      </c>
      <c r="AX5" s="18" t="s">
        <v>60</v>
      </c>
      <c r="AY5" s="18" t="s">
        <v>61</v>
      </c>
      <c r="AZ5" s="18" t="s">
        <v>62</v>
      </c>
      <c r="BA5" s="18" t="s">
        <v>63</v>
      </c>
      <c r="BB5" s="18" t="s">
        <v>64</v>
      </c>
    </row>
    <row r="6" spans="1:54" ht="18" customHeight="1" x14ac:dyDescent="0.25">
      <c r="A6" s="5" t="s">
        <v>65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</row>
    <row r="7" spans="1:54" ht="45.75" customHeight="1" x14ac:dyDescent="0.25">
      <c r="A7" s="23" t="s">
        <v>66</v>
      </c>
      <c r="B7" s="24">
        <v>1</v>
      </c>
      <c r="C7" s="25" t="s">
        <v>67</v>
      </c>
      <c r="D7" s="24" t="s">
        <v>68</v>
      </c>
      <c r="E7" s="26" t="s">
        <v>69</v>
      </c>
      <c r="F7" s="27" t="s">
        <v>70</v>
      </c>
      <c r="G7" s="28">
        <f t="shared" ref="G7:G14" si="0">S7*T7/1000</f>
        <v>0.28050000000000003</v>
      </c>
      <c r="H7" s="28">
        <f t="shared" ref="H7:H14" si="1">U7*V7/1000</f>
        <v>1.3464</v>
      </c>
      <c r="I7" s="29">
        <v>0</v>
      </c>
      <c r="J7" s="30">
        <v>0</v>
      </c>
      <c r="K7" s="28">
        <f t="shared" ref="K7:K14" si="2">G7+H7+I7+J7</f>
        <v>1.6269</v>
      </c>
      <c r="L7" s="28">
        <v>0</v>
      </c>
      <c r="M7" s="28">
        <f t="shared" ref="M7:M14" si="3">K7+L7</f>
        <v>1.6269</v>
      </c>
      <c r="N7" s="31">
        <v>0.3125</v>
      </c>
      <c r="O7" s="32" t="s">
        <v>71</v>
      </c>
      <c r="P7" s="33">
        <f t="shared" ref="P7:P14" si="4">M7+N7</f>
        <v>1.9394</v>
      </c>
      <c r="Q7" s="34">
        <f>P7-N7</f>
        <v>1.6269</v>
      </c>
      <c r="R7" s="24"/>
      <c r="S7" s="35">
        <v>5</v>
      </c>
      <c r="T7" s="35">
        <v>56.1</v>
      </c>
      <c r="U7" s="35">
        <v>24</v>
      </c>
      <c r="V7" s="35">
        <v>56.1</v>
      </c>
      <c r="W7" s="31">
        <v>1.82</v>
      </c>
      <c r="X7" s="36">
        <v>0.1</v>
      </c>
      <c r="Y7" s="37">
        <f t="shared" ref="Y7:Y14" si="5">W7*(1+X7)</f>
        <v>2.0020000000000002</v>
      </c>
      <c r="Z7" s="31">
        <v>0.48099999999999998</v>
      </c>
      <c r="AA7" s="38">
        <f t="shared" ref="AA7:AA14" si="6">Q7-Y7</f>
        <v>-0.37510000000000021</v>
      </c>
      <c r="AB7" s="38">
        <f t="shared" ref="AB7:AB14" si="7">Q7-Z7</f>
        <v>1.1459000000000001</v>
      </c>
      <c r="AC7" s="39" t="s">
        <v>72</v>
      </c>
      <c r="AD7" s="40" t="s">
        <v>73</v>
      </c>
      <c r="AE7" s="41" t="s">
        <v>74</v>
      </c>
      <c r="AF7" s="42">
        <v>5100</v>
      </c>
      <c r="AG7" s="42">
        <v>580</v>
      </c>
      <c r="AH7" s="42">
        <v>1400</v>
      </c>
      <c r="AI7" s="43">
        <v>4.3999999999999997E-2</v>
      </c>
      <c r="AJ7" s="44">
        <f t="shared" ref="AJ7:AJ14" si="8">AG7</f>
        <v>580</v>
      </c>
      <c r="AK7" s="44">
        <f t="shared" ref="AK7:AK14" si="9">ROUND(AJ7*(1+AI7),0)</f>
        <v>606</v>
      </c>
      <c r="AL7" s="44">
        <f t="shared" ref="AL7:AL14" si="10">ROUND(AK7*(1+AI7),0)</f>
        <v>633</v>
      </c>
      <c r="AM7" s="44">
        <f t="shared" ref="AM7:AM14" si="11">ROUND(AL7*(1+AI7),0)</f>
        <v>661</v>
      </c>
      <c r="AN7" s="44">
        <f t="shared" ref="AN7:AN14" si="12">ROUND(AM7*(1+AI7),0)</f>
        <v>690</v>
      </c>
      <c r="AO7" s="44">
        <f t="shared" ref="AO7:AO14" si="13">ROUND(AN7*(1+AI7),0)</f>
        <v>720</v>
      </c>
      <c r="AP7" s="44">
        <f t="shared" ref="AP7:AP14" si="14">ROUND(AO7*(1+AI7),0)</f>
        <v>752</v>
      </c>
      <c r="AQ7" s="44">
        <f t="shared" ref="AQ7:AQ14" si="15">ROUND(AP7*(1+AI7),0)</f>
        <v>785</v>
      </c>
      <c r="AR7" s="44">
        <f t="shared" ref="AR7:AR14" si="16">ROUND(AQ7*(1+AI7),0)</f>
        <v>820</v>
      </c>
      <c r="AS7" s="44">
        <f t="shared" ref="AS7:AS14" si="17">ROUND(AR7*(1+AI7),0)</f>
        <v>856</v>
      </c>
      <c r="AT7" s="44">
        <f t="shared" ref="AT7:AT14" si="18">ROUND(AS7*(1+AI7),0)</f>
        <v>894</v>
      </c>
      <c r="AU7" s="44">
        <f t="shared" ref="AU7:AU14" si="19">ROUND(AT7*(1+AI7),0)</f>
        <v>933</v>
      </c>
      <c r="AW7" s="45"/>
      <c r="AX7" s="46"/>
      <c r="AY7" s="46"/>
      <c r="AZ7" s="47">
        <f>K7</f>
        <v>1.6269</v>
      </c>
      <c r="BA7" s="46"/>
      <c r="BB7" s="33">
        <f t="shared" ref="BB7:BB14" si="20">AJ7*Q7/1000</f>
        <v>0.94360199999999994</v>
      </c>
    </row>
    <row r="8" spans="1:54" ht="45.75" customHeight="1" x14ac:dyDescent="0.25">
      <c r="A8" s="48" t="s">
        <v>66</v>
      </c>
      <c r="B8" s="49">
        <v>2</v>
      </c>
      <c r="C8" s="50" t="s">
        <v>75</v>
      </c>
      <c r="D8" s="49" t="s">
        <v>68</v>
      </c>
      <c r="E8" s="51" t="s">
        <v>76</v>
      </c>
      <c r="F8" s="52" t="s">
        <v>77</v>
      </c>
      <c r="G8" s="28">
        <f t="shared" si="0"/>
        <v>0.14025000000000001</v>
      </c>
      <c r="H8" s="28">
        <f t="shared" si="1"/>
        <v>0</v>
      </c>
      <c r="I8" s="29">
        <v>1.4999999999999999E-2</v>
      </c>
      <c r="J8" s="30">
        <v>0</v>
      </c>
      <c r="K8" s="28">
        <f t="shared" si="2"/>
        <v>0.15525</v>
      </c>
      <c r="L8" s="28">
        <v>0</v>
      </c>
      <c r="M8" s="28">
        <f t="shared" si="3"/>
        <v>0.15525</v>
      </c>
      <c r="N8" s="31">
        <v>0.5625</v>
      </c>
      <c r="O8" s="32" t="s">
        <v>71</v>
      </c>
      <c r="P8" s="33">
        <f t="shared" si="4"/>
        <v>0.71775</v>
      </c>
      <c r="Q8" s="34">
        <f>P8-N8</f>
        <v>0.15525</v>
      </c>
      <c r="R8" s="49"/>
      <c r="S8" s="35">
        <v>2.5</v>
      </c>
      <c r="T8" s="35">
        <v>56.1</v>
      </c>
      <c r="U8" s="35">
        <v>0</v>
      </c>
      <c r="V8" s="35">
        <v>0</v>
      </c>
      <c r="W8" s="31">
        <v>0.72</v>
      </c>
      <c r="X8" s="36">
        <v>0.1</v>
      </c>
      <c r="Y8" s="37">
        <f t="shared" si="5"/>
        <v>0.79200000000000004</v>
      </c>
      <c r="Z8" s="31">
        <v>7.1999999999999995E-2</v>
      </c>
      <c r="AA8" s="38">
        <f t="shared" si="6"/>
        <v>-0.63675000000000004</v>
      </c>
      <c r="AB8" s="38">
        <f t="shared" si="7"/>
        <v>8.3250000000000005E-2</v>
      </c>
      <c r="AC8" s="39" t="s">
        <v>78</v>
      </c>
      <c r="AD8" s="40" t="s">
        <v>79</v>
      </c>
      <c r="AE8" s="40" t="s">
        <v>80</v>
      </c>
      <c r="AF8" s="42">
        <v>4800</v>
      </c>
      <c r="AG8" s="42">
        <v>300</v>
      </c>
      <c r="AH8" s="42">
        <v>900</v>
      </c>
      <c r="AI8" s="43">
        <v>4.3999999999999997E-2</v>
      </c>
      <c r="AJ8" s="44">
        <f t="shared" si="8"/>
        <v>300</v>
      </c>
      <c r="AK8" s="44">
        <f t="shared" si="9"/>
        <v>313</v>
      </c>
      <c r="AL8" s="44">
        <f t="shared" si="10"/>
        <v>327</v>
      </c>
      <c r="AM8" s="44">
        <f t="shared" si="11"/>
        <v>341</v>
      </c>
      <c r="AN8" s="44">
        <f t="shared" si="12"/>
        <v>356</v>
      </c>
      <c r="AO8" s="44">
        <f t="shared" si="13"/>
        <v>372</v>
      </c>
      <c r="AP8" s="44">
        <f t="shared" si="14"/>
        <v>388</v>
      </c>
      <c r="AQ8" s="44">
        <f t="shared" si="15"/>
        <v>405</v>
      </c>
      <c r="AR8" s="44">
        <f t="shared" si="16"/>
        <v>423</v>
      </c>
      <c r="AS8" s="44">
        <f t="shared" si="17"/>
        <v>442</v>
      </c>
      <c r="AT8" s="44">
        <f t="shared" si="18"/>
        <v>461</v>
      </c>
      <c r="AU8" s="44">
        <f t="shared" si="19"/>
        <v>481</v>
      </c>
      <c r="AW8" s="45"/>
      <c r="AX8" s="46"/>
      <c r="AY8" s="46"/>
      <c r="AZ8" s="47">
        <f>K8</f>
        <v>0.15525</v>
      </c>
      <c r="BA8" s="46"/>
      <c r="BB8" s="33">
        <f t="shared" si="20"/>
        <v>4.6575000000000005E-2</v>
      </c>
    </row>
    <row r="9" spans="1:54" ht="45.75" customHeight="1" x14ac:dyDescent="0.25">
      <c r="A9" s="53" t="s">
        <v>66</v>
      </c>
      <c r="B9" s="46">
        <v>3</v>
      </c>
      <c r="C9" s="54" t="s">
        <v>81</v>
      </c>
      <c r="D9" s="46" t="s">
        <v>68</v>
      </c>
      <c r="E9" s="55" t="s">
        <v>82</v>
      </c>
      <c r="F9" s="56" t="s">
        <v>83</v>
      </c>
      <c r="G9" s="28">
        <f t="shared" si="0"/>
        <v>0.38439999999999996</v>
      </c>
      <c r="H9" s="28">
        <f t="shared" si="1"/>
        <v>1.5375999999999999</v>
      </c>
      <c r="I9" s="29">
        <v>0.25</v>
      </c>
      <c r="J9" s="30">
        <v>0</v>
      </c>
      <c r="K9" s="28">
        <f t="shared" si="2"/>
        <v>2.1719999999999997</v>
      </c>
      <c r="L9" s="28">
        <v>0</v>
      </c>
      <c r="M9" s="28">
        <f t="shared" si="3"/>
        <v>2.1719999999999997</v>
      </c>
      <c r="N9" s="31">
        <v>0.1875</v>
      </c>
      <c r="O9" s="32" t="s">
        <v>71</v>
      </c>
      <c r="P9" s="33">
        <f t="shared" si="4"/>
        <v>2.3594999999999997</v>
      </c>
      <c r="Q9" s="34">
        <f>P9-N9</f>
        <v>2.1719999999999997</v>
      </c>
      <c r="R9" s="46"/>
      <c r="S9" s="35">
        <v>4</v>
      </c>
      <c r="T9" s="35">
        <v>96.1</v>
      </c>
      <c r="U9" s="35">
        <v>16</v>
      </c>
      <c r="V9" s="35">
        <v>96.1</v>
      </c>
      <c r="W9" s="31">
        <v>2.8</v>
      </c>
      <c r="X9" s="36">
        <v>0.1</v>
      </c>
      <c r="Y9" s="37">
        <f t="shared" si="5"/>
        <v>3.08</v>
      </c>
      <c r="Z9" s="31">
        <v>1.37</v>
      </c>
      <c r="AA9" s="38">
        <f t="shared" si="6"/>
        <v>-0.90800000000000036</v>
      </c>
      <c r="AB9" s="38">
        <f t="shared" si="7"/>
        <v>0.8019999999999996</v>
      </c>
      <c r="AC9" s="39" t="s">
        <v>84</v>
      </c>
      <c r="AD9" s="57" t="s">
        <v>85</v>
      </c>
      <c r="AE9" s="41" t="s">
        <v>86</v>
      </c>
      <c r="AF9" s="42">
        <v>0</v>
      </c>
      <c r="AG9" s="42">
        <v>0</v>
      </c>
      <c r="AH9" s="42">
        <v>0</v>
      </c>
      <c r="AI9" s="43">
        <v>0</v>
      </c>
      <c r="AJ9" s="44">
        <f t="shared" si="8"/>
        <v>0</v>
      </c>
      <c r="AK9" s="44">
        <f t="shared" si="9"/>
        <v>0</v>
      </c>
      <c r="AL9" s="44">
        <f t="shared" si="10"/>
        <v>0</v>
      </c>
      <c r="AM9" s="44">
        <f t="shared" si="11"/>
        <v>0</v>
      </c>
      <c r="AN9" s="44">
        <f t="shared" si="12"/>
        <v>0</v>
      </c>
      <c r="AO9" s="44">
        <f t="shared" si="13"/>
        <v>0</v>
      </c>
      <c r="AP9" s="44">
        <f t="shared" si="14"/>
        <v>0</v>
      </c>
      <c r="AQ9" s="44">
        <f t="shared" si="15"/>
        <v>0</v>
      </c>
      <c r="AR9" s="44">
        <f t="shared" si="16"/>
        <v>0</v>
      </c>
      <c r="AS9" s="44">
        <f t="shared" si="17"/>
        <v>0</v>
      </c>
      <c r="AT9" s="44">
        <f t="shared" si="18"/>
        <v>0</v>
      </c>
      <c r="AU9" s="44">
        <f t="shared" si="19"/>
        <v>0</v>
      </c>
      <c r="AW9" s="45"/>
      <c r="AX9" s="46"/>
      <c r="AY9" s="46"/>
      <c r="AZ9" s="47">
        <f>K9</f>
        <v>2.1719999999999997</v>
      </c>
      <c r="BA9" s="46"/>
      <c r="BB9" s="33">
        <f t="shared" si="20"/>
        <v>0</v>
      </c>
    </row>
    <row r="10" spans="1:54" ht="45.75" customHeight="1" x14ac:dyDescent="0.25">
      <c r="A10" s="58" t="s">
        <v>66</v>
      </c>
      <c r="B10" s="59">
        <v>4</v>
      </c>
      <c r="C10" s="60" t="s">
        <v>87</v>
      </c>
      <c r="D10" s="59" t="s">
        <v>88</v>
      </c>
      <c r="E10" s="61" t="s">
        <v>89</v>
      </c>
      <c r="F10" s="62" t="s">
        <v>90</v>
      </c>
      <c r="G10" s="28">
        <f t="shared" si="0"/>
        <v>0.28829999999999995</v>
      </c>
      <c r="H10" s="28">
        <f t="shared" si="1"/>
        <v>0</v>
      </c>
      <c r="I10" s="29">
        <v>0.52600000000000002</v>
      </c>
      <c r="J10" s="30">
        <v>0</v>
      </c>
      <c r="K10" s="28">
        <f t="shared" si="2"/>
        <v>0.81430000000000002</v>
      </c>
      <c r="L10" s="28">
        <v>0</v>
      </c>
      <c r="M10" s="28">
        <f t="shared" si="3"/>
        <v>0.81430000000000002</v>
      </c>
      <c r="N10" s="31">
        <v>5.6250000000000001E-2</v>
      </c>
      <c r="O10" s="63" t="s">
        <v>91</v>
      </c>
      <c r="P10" s="33">
        <f t="shared" si="4"/>
        <v>0.87055000000000005</v>
      </c>
      <c r="Q10" s="34">
        <f>P10</f>
        <v>0.87055000000000005</v>
      </c>
      <c r="R10" s="59"/>
      <c r="S10" s="35">
        <v>3</v>
      </c>
      <c r="T10" s="35">
        <v>96.1</v>
      </c>
      <c r="U10" s="35">
        <v>0</v>
      </c>
      <c r="V10" s="35">
        <v>0</v>
      </c>
      <c r="W10" s="31">
        <v>1.58</v>
      </c>
      <c r="X10" s="36">
        <v>0.1</v>
      </c>
      <c r="Y10" s="37">
        <f t="shared" si="5"/>
        <v>1.7380000000000002</v>
      </c>
      <c r="Z10" s="31">
        <v>0.66600000000000004</v>
      </c>
      <c r="AA10" s="38">
        <f t="shared" si="6"/>
        <v>-0.86745000000000017</v>
      </c>
      <c r="AB10" s="38">
        <f t="shared" si="7"/>
        <v>0.20455000000000001</v>
      </c>
      <c r="AC10" s="39" t="s">
        <v>92</v>
      </c>
      <c r="AD10" s="40" t="s">
        <v>93</v>
      </c>
      <c r="AE10" s="41" t="s">
        <v>94</v>
      </c>
      <c r="AF10" s="42">
        <v>50000</v>
      </c>
      <c r="AG10" s="42">
        <v>800</v>
      </c>
      <c r="AH10" s="42">
        <v>9700</v>
      </c>
      <c r="AI10" s="43">
        <v>3.3000000000000002E-2</v>
      </c>
      <c r="AJ10" s="44">
        <f t="shared" si="8"/>
        <v>800</v>
      </c>
      <c r="AK10" s="44">
        <f t="shared" si="9"/>
        <v>826</v>
      </c>
      <c r="AL10" s="44">
        <f t="shared" si="10"/>
        <v>853</v>
      </c>
      <c r="AM10" s="44">
        <f t="shared" si="11"/>
        <v>881</v>
      </c>
      <c r="AN10" s="44">
        <f t="shared" si="12"/>
        <v>910</v>
      </c>
      <c r="AO10" s="44">
        <f t="shared" si="13"/>
        <v>940</v>
      </c>
      <c r="AP10" s="44">
        <f t="shared" si="14"/>
        <v>971</v>
      </c>
      <c r="AQ10" s="44">
        <f t="shared" si="15"/>
        <v>1003</v>
      </c>
      <c r="AR10" s="44">
        <f t="shared" si="16"/>
        <v>1036</v>
      </c>
      <c r="AS10" s="44">
        <f t="shared" si="17"/>
        <v>1070</v>
      </c>
      <c r="AT10" s="44">
        <f t="shared" si="18"/>
        <v>1105</v>
      </c>
      <c r="AU10" s="44">
        <f t="shared" si="19"/>
        <v>1141</v>
      </c>
      <c r="AW10" s="45"/>
      <c r="AX10" s="46"/>
      <c r="AY10" s="46"/>
      <c r="AZ10" s="47">
        <f>K10+N10</f>
        <v>0.87055000000000005</v>
      </c>
      <c r="BA10" s="46"/>
      <c r="BB10" s="33">
        <f t="shared" si="20"/>
        <v>0.69644000000000006</v>
      </c>
    </row>
    <row r="11" spans="1:54" ht="45.75" customHeight="1" x14ac:dyDescent="0.25">
      <c r="A11" s="64" t="s">
        <v>66</v>
      </c>
      <c r="B11" s="65">
        <v>5</v>
      </c>
      <c r="C11" s="66" t="s">
        <v>95</v>
      </c>
      <c r="D11" s="65" t="s">
        <v>96</v>
      </c>
      <c r="E11" s="67" t="s">
        <v>97</v>
      </c>
      <c r="F11" s="68" t="s">
        <v>98</v>
      </c>
      <c r="G11" s="28">
        <f t="shared" si="0"/>
        <v>0.39269999999999999</v>
      </c>
      <c r="H11" s="28">
        <f t="shared" si="1"/>
        <v>1.4586000000000001</v>
      </c>
      <c r="I11" s="29">
        <v>0</v>
      </c>
      <c r="J11" s="30">
        <v>0</v>
      </c>
      <c r="K11" s="28">
        <f t="shared" si="2"/>
        <v>1.8513000000000002</v>
      </c>
      <c r="L11" s="28">
        <v>0</v>
      </c>
      <c r="M11" s="28">
        <f t="shared" si="3"/>
        <v>1.8513000000000002</v>
      </c>
      <c r="N11" s="31">
        <v>3.7499999999999999E-2</v>
      </c>
      <c r="O11" s="63" t="s">
        <v>91</v>
      </c>
      <c r="P11" s="33">
        <f t="shared" si="4"/>
        <v>1.8888000000000003</v>
      </c>
      <c r="Q11" s="34">
        <f>P11</f>
        <v>1.8888000000000003</v>
      </c>
      <c r="R11" s="65"/>
      <c r="S11" s="35">
        <v>7</v>
      </c>
      <c r="T11" s="35">
        <v>56.1</v>
      </c>
      <c r="U11" s="35">
        <v>26</v>
      </c>
      <c r="V11" s="35">
        <v>56.1</v>
      </c>
      <c r="W11" s="31">
        <v>2.0499999999999998</v>
      </c>
      <c r="X11" s="36">
        <v>0.01</v>
      </c>
      <c r="Y11" s="37">
        <f t="shared" si="5"/>
        <v>2.0705</v>
      </c>
      <c r="Z11" s="31">
        <v>1.484</v>
      </c>
      <c r="AA11" s="38">
        <f t="shared" si="6"/>
        <v>-0.18169999999999975</v>
      </c>
      <c r="AB11" s="38">
        <f t="shared" si="7"/>
        <v>0.40480000000000027</v>
      </c>
      <c r="AC11" s="39" t="s">
        <v>99</v>
      </c>
      <c r="AD11" s="40" t="s">
        <v>100</v>
      </c>
      <c r="AE11" s="41" t="s">
        <v>101</v>
      </c>
      <c r="AF11" s="69">
        <v>1785</v>
      </c>
      <c r="AG11" s="42">
        <v>120</v>
      </c>
      <c r="AH11" s="42">
        <v>400</v>
      </c>
      <c r="AI11" s="43">
        <v>2.1999999999999999E-2</v>
      </c>
      <c r="AJ11" s="44">
        <f t="shared" si="8"/>
        <v>120</v>
      </c>
      <c r="AK11" s="44">
        <f t="shared" si="9"/>
        <v>123</v>
      </c>
      <c r="AL11" s="44">
        <f t="shared" si="10"/>
        <v>126</v>
      </c>
      <c r="AM11" s="44">
        <f t="shared" si="11"/>
        <v>129</v>
      </c>
      <c r="AN11" s="44">
        <f t="shared" si="12"/>
        <v>132</v>
      </c>
      <c r="AO11" s="44">
        <f t="shared" si="13"/>
        <v>135</v>
      </c>
      <c r="AP11" s="44">
        <f t="shared" si="14"/>
        <v>138</v>
      </c>
      <c r="AQ11" s="44">
        <f t="shared" si="15"/>
        <v>141</v>
      </c>
      <c r="AR11" s="44">
        <f t="shared" si="16"/>
        <v>144</v>
      </c>
      <c r="AS11" s="44">
        <f t="shared" si="17"/>
        <v>147</v>
      </c>
      <c r="AT11" s="44">
        <f t="shared" si="18"/>
        <v>150</v>
      </c>
      <c r="AU11" s="44">
        <f t="shared" si="19"/>
        <v>153</v>
      </c>
      <c r="AW11" s="45">
        <v>1</v>
      </c>
      <c r="AX11" s="45">
        <v>1.8512999999999999</v>
      </c>
      <c r="AY11" s="45">
        <v>1.8888</v>
      </c>
      <c r="AZ11" s="47">
        <f>K11+N11</f>
        <v>1.8888000000000003</v>
      </c>
      <c r="BA11" s="70">
        <v>3500</v>
      </c>
      <c r="BB11" s="33">
        <f t="shared" si="20"/>
        <v>0.22665600000000002</v>
      </c>
    </row>
    <row r="12" spans="1:54" ht="45.75" customHeight="1" x14ac:dyDescent="0.25">
      <c r="A12" s="71" t="s">
        <v>66</v>
      </c>
      <c r="B12" s="72">
        <v>6</v>
      </c>
      <c r="C12" s="73" t="s">
        <v>102</v>
      </c>
      <c r="D12" s="72" t="s">
        <v>103</v>
      </c>
      <c r="E12" s="74" t="s">
        <v>104</v>
      </c>
      <c r="F12" s="75" t="s">
        <v>105</v>
      </c>
      <c r="G12" s="28">
        <f t="shared" si="0"/>
        <v>0.11220000000000001</v>
      </c>
      <c r="H12" s="28">
        <f t="shared" si="1"/>
        <v>0</v>
      </c>
      <c r="I12" s="29">
        <v>-0.73299999999999998</v>
      </c>
      <c r="J12" s="30">
        <v>0</v>
      </c>
      <c r="K12" s="28">
        <f t="shared" si="2"/>
        <v>-0.62080000000000002</v>
      </c>
      <c r="L12" s="28">
        <f>AW12*AY12</f>
        <v>1.0709495999999998</v>
      </c>
      <c r="M12" s="28">
        <f t="shared" si="3"/>
        <v>0.45014959999999982</v>
      </c>
      <c r="N12" s="31">
        <v>3.7499999999999999E-2</v>
      </c>
      <c r="O12" s="63" t="s">
        <v>91</v>
      </c>
      <c r="P12" s="33">
        <f t="shared" si="4"/>
        <v>0.48764959999999979</v>
      </c>
      <c r="Q12" s="34">
        <f>P12</f>
        <v>0.48764959999999979</v>
      </c>
      <c r="R12" s="72"/>
      <c r="S12" s="35">
        <v>2</v>
      </c>
      <c r="T12" s="35">
        <v>56.1</v>
      </c>
      <c r="U12" s="35">
        <v>0</v>
      </c>
      <c r="V12" s="35">
        <v>0</v>
      </c>
      <c r="W12" s="31">
        <v>1.39</v>
      </c>
      <c r="X12" s="36">
        <v>0.01</v>
      </c>
      <c r="Y12" s="37">
        <f t="shared" si="5"/>
        <v>1.4038999999999999</v>
      </c>
      <c r="Z12" s="31">
        <v>0.90200000000000002</v>
      </c>
      <c r="AA12" s="38">
        <f t="shared" si="6"/>
        <v>-0.91625040000000013</v>
      </c>
      <c r="AB12" s="38">
        <f t="shared" si="7"/>
        <v>-0.41435040000000023</v>
      </c>
      <c r="AC12" s="39" t="s">
        <v>106</v>
      </c>
      <c r="AD12" s="40" t="s">
        <v>107</v>
      </c>
      <c r="AE12" s="41" t="s">
        <v>108</v>
      </c>
      <c r="AF12" s="42">
        <v>2800</v>
      </c>
      <c r="AG12" s="42">
        <v>1600</v>
      </c>
      <c r="AH12" s="42">
        <v>2200</v>
      </c>
      <c r="AI12" s="43">
        <v>2.1999999999999999E-2</v>
      </c>
      <c r="AJ12" s="44">
        <f t="shared" si="8"/>
        <v>1600</v>
      </c>
      <c r="AK12" s="44">
        <f t="shared" si="9"/>
        <v>1635</v>
      </c>
      <c r="AL12" s="44">
        <f t="shared" si="10"/>
        <v>1671</v>
      </c>
      <c r="AM12" s="44">
        <f t="shared" si="11"/>
        <v>1708</v>
      </c>
      <c r="AN12" s="44">
        <f t="shared" si="12"/>
        <v>1746</v>
      </c>
      <c r="AO12" s="44">
        <f t="shared" si="13"/>
        <v>1784</v>
      </c>
      <c r="AP12" s="44">
        <f t="shared" si="14"/>
        <v>1823</v>
      </c>
      <c r="AQ12" s="44">
        <f t="shared" si="15"/>
        <v>1863</v>
      </c>
      <c r="AR12" s="44">
        <f t="shared" si="16"/>
        <v>1904</v>
      </c>
      <c r="AS12" s="44">
        <f t="shared" si="17"/>
        <v>1946</v>
      </c>
      <c r="AT12" s="44">
        <f t="shared" si="18"/>
        <v>1989</v>
      </c>
      <c r="AU12" s="44">
        <f t="shared" si="19"/>
        <v>2033</v>
      </c>
      <c r="AW12" s="45">
        <v>0.56699999999999995</v>
      </c>
      <c r="AX12" s="45">
        <v>1.8512999999999999</v>
      </c>
      <c r="AY12" s="45">
        <v>1.8888</v>
      </c>
      <c r="AZ12" s="47">
        <f>K12+N12</f>
        <v>-0.58330000000000004</v>
      </c>
      <c r="BA12" s="46"/>
      <c r="BB12" s="33">
        <f t="shared" si="20"/>
        <v>0.78023935999999972</v>
      </c>
    </row>
    <row r="13" spans="1:54" ht="45.75" customHeight="1" x14ac:dyDescent="0.25">
      <c r="A13" s="76" t="s">
        <v>66</v>
      </c>
      <c r="B13" s="77">
        <v>7</v>
      </c>
      <c r="C13" s="78" t="s">
        <v>109</v>
      </c>
      <c r="D13" s="77" t="s">
        <v>110</v>
      </c>
      <c r="E13" s="79" t="s">
        <v>111</v>
      </c>
      <c r="F13" s="80" t="s">
        <v>112</v>
      </c>
      <c r="G13" s="28">
        <f t="shared" si="0"/>
        <v>0.11220000000000001</v>
      </c>
      <c r="H13" s="28">
        <f t="shared" si="1"/>
        <v>0</v>
      </c>
      <c r="I13" s="29">
        <v>0</v>
      </c>
      <c r="J13" s="30">
        <v>2.5</v>
      </c>
      <c r="K13" s="28">
        <f t="shared" si="2"/>
        <v>2.6122000000000001</v>
      </c>
      <c r="L13" s="28">
        <f>AW13*AY13</f>
        <v>0.40137</v>
      </c>
      <c r="M13" s="28">
        <f t="shared" si="3"/>
        <v>3.0135700000000001</v>
      </c>
      <c r="N13" s="31">
        <v>4.3749999999999997E-2</v>
      </c>
      <c r="O13" s="63" t="s">
        <v>91</v>
      </c>
      <c r="P13" s="33">
        <f t="shared" si="4"/>
        <v>3.0573200000000003</v>
      </c>
      <c r="Q13" s="34">
        <f>P13</f>
        <v>3.0573200000000003</v>
      </c>
      <c r="R13" s="77"/>
      <c r="S13" s="35">
        <v>2</v>
      </c>
      <c r="T13" s="35">
        <v>56.1</v>
      </c>
      <c r="U13" s="35">
        <v>0</v>
      </c>
      <c r="V13" s="35">
        <v>0</v>
      </c>
      <c r="W13" s="31">
        <v>2.64</v>
      </c>
      <c r="X13" s="36">
        <v>0.01</v>
      </c>
      <c r="Y13" s="37">
        <f t="shared" si="5"/>
        <v>2.6664000000000003</v>
      </c>
      <c r="Z13" s="31">
        <v>0.30199999999999999</v>
      </c>
      <c r="AA13" s="38">
        <f t="shared" si="6"/>
        <v>0.39091999999999993</v>
      </c>
      <c r="AB13" s="38">
        <f t="shared" si="7"/>
        <v>2.7553200000000002</v>
      </c>
      <c r="AC13" s="39" t="s">
        <v>113</v>
      </c>
      <c r="AD13" s="40" t="s">
        <v>114</v>
      </c>
      <c r="AE13" s="41" t="s">
        <v>115</v>
      </c>
      <c r="AF13" s="42">
        <v>600</v>
      </c>
      <c r="AG13" s="42">
        <v>80</v>
      </c>
      <c r="AH13" s="42">
        <v>250</v>
      </c>
      <c r="AI13" s="43">
        <v>2.1999999999999999E-2</v>
      </c>
      <c r="AJ13" s="44">
        <f t="shared" si="8"/>
        <v>80</v>
      </c>
      <c r="AK13" s="44">
        <f t="shared" si="9"/>
        <v>82</v>
      </c>
      <c r="AL13" s="44">
        <f t="shared" si="10"/>
        <v>84</v>
      </c>
      <c r="AM13" s="44">
        <f t="shared" si="11"/>
        <v>86</v>
      </c>
      <c r="AN13" s="44">
        <f t="shared" si="12"/>
        <v>88</v>
      </c>
      <c r="AO13" s="44">
        <f t="shared" si="13"/>
        <v>90</v>
      </c>
      <c r="AP13" s="44">
        <f t="shared" si="14"/>
        <v>92</v>
      </c>
      <c r="AQ13" s="44">
        <f t="shared" si="15"/>
        <v>94</v>
      </c>
      <c r="AR13" s="44">
        <f t="shared" si="16"/>
        <v>96</v>
      </c>
      <c r="AS13" s="44">
        <f t="shared" si="17"/>
        <v>98</v>
      </c>
      <c r="AT13" s="44">
        <f t="shared" si="18"/>
        <v>100</v>
      </c>
      <c r="AU13" s="44">
        <f t="shared" si="19"/>
        <v>102</v>
      </c>
      <c r="AW13" s="45">
        <v>0.21249999999999999</v>
      </c>
      <c r="AX13" s="45">
        <v>1.8512999999999999</v>
      </c>
      <c r="AY13" s="45">
        <v>1.8888</v>
      </c>
      <c r="AZ13" s="47">
        <f>K13+N13</f>
        <v>2.6559500000000003</v>
      </c>
      <c r="BA13" s="46"/>
      <c r="BB13" s="33">
        <f t="shared" si="20"/>
        <v>0.24458560000000001</v>
      </c>
    </row>
    <row r="14" spans="1:54" ht="45.75" customHeight="1" x14ac:dyDescent="0.25">
      <c r="A14" s="81" t="s">
        <v>66</v>
      </c>
      <c r="B14" s="82">
        <v>8</v>
      </c>
      <c r="C14" s="83" t="s">
        <v>116</v>
      </c>
      <c r="D14" s="82" t="s">
        <v>117</v>
      </c>
      <c r="E14" s="84" t="s">
        <v>118</v>
      </c>
      <c r="F14" s="85" t="s">
        <v>119</v>
      </c>
      <c r="G14" s="28">
        <f t="shared" si="0"/>
        <v>0.156</v>
      </c>
      <c r="H14" s="28">
        <f t="shared" si="1"/>
        <v>0</v>
      </c>
      <c r="I14" s="29">
        <v>1.5</v>
      </c>
      <c r="J14" s="30">
        <v>0.7</v>
      </c>
      <c r="K14" s="28">
        <f t="shared" si="2"/>
        <v>2.3559999999999999</v>
      </c>
      <c r="L14" s="28">
        <v>0</v>
      </c>
      <c r="M14" s="28">
        <f t="shared" si="3"/>
        <v>2.3559999999999999</v>
      </c>
      <c r="N14" s="31">
        <v>6.75</v>
      </c>
      <c r="O14" s="32" t="s">
        <v>71</v>
      </c>
      <c r="P14" s="33">
        <f t="shared" si="4"/>
        <v>9.1059999999999999</v>
      </c>
      <c r="Q14" s="34">
        <f>P14-N14</f>
        <v>2.3559999999999999</v>
      </c>
      <c r="R14" s="82"/>
      <c r="S14" s="35">
        <v>2</v>
      </c>
      <c r="T14" s="35">
        <v>78</v>
      </c>
      <c r="U14" s="35">
        <v>0</v>
      </c>
      <c r="V14" s="35">
        <v>0</v>
      </c>
      <c r="W14" s="31">
        <v>2.06</v>
      </c>
      <c r="X14" s="36">
        <v>0.1</v>
      </c>
      <c r="Y14" s="37">
        <f t="shared" si="5"/>
        <v>2.2660000000000005</v>
      </c>
      <c r="Z14" s="31">
        <v>1.423</v>
      </c>
      <c r="AA14" s="38">
        <f t="shared" si="6"/>
        <v>8.9999999999999414E-2</v>
      </c>
      <c r="AB14" s="38">
        <f t="shared" si="7"/>
        <v>0.93299999999999983</v>
      </c>
      <c r="AC14" s="39" t="s">
        <v>120</v>
      </c>
      <c r="AD14" s="40" t="s">
        <v>121</v>
      </c>
      <c r="AE14" s="41" t="s">
        <v>122</v>
      </c>
      <c r="AF14" s="42">
        <v>300</v>
      </c>
      <c r="AG14" s="42">
        <v>167</v>
      </c>
      <c r="AH14" s="42">
        <v>174</v>
      </c>
      <c r="AI14" s="43">
        <v>5.5E-2</v>
      </c>
      <c r="AJ14" s="44">
        <f t="shared" si="8"/>
        <v>167</v>
      </c>
      <c r="AK14" s="44">
        <f t="shared" si="9"/>
        <v>176</v>
      </c>
      <c r="AL14" s="44">
        <f t="shared" si="10"/>
        <v>186</v>
      </c>
      <c r="AM14" s="44">
        <f t="shared" si="11"/>
        <v>196</v>
      </c>
      <c r="AN14" s="44">
        <f t="shared" si="12"/>
        <v>207</v>
      </c>
      <c r="AO14" s="44">
        <f t="shared" si="13"/>
        <v>218</v>
      </c>
      <c r="AP14" s="44">
        <f t="shared" si="14"/>
        <v>230</v>
      </c>
      <c r="AQ14" s="44">
        <f t="shared" si="15"/>
        <v>243</v>
      </c>
      <c r="AR14" s="44">
        <f t="shared" si="16"/>
        <v>256</v>
      </c>
      <c r="AS14" s="44">
        <f t="shared" si="17"/>
        <v>270</v>
      </c>
      <c r="AT14" s="44">
        <f t="shared" si="18"/>
        <v>285</v>
      </c>
      <c r="AU14" s="44">
        <f t="shared" si="19"/>
        <v>301</v>
      </c>
      <c r="AW14" s="45"/>
      <c r="AX14" s="46"/>
      <c r="AY14" s="46"/>
      <c r="AZ14" s="47">
        <f>K14</f>
        <v>2.3559999999999999</v>
      </c>
      <c r="BA14" s="46"/>
      <c r="BB14" s="33">
        <f t="shared" si="20"/>
        <v>0.39345200000000002</v>
      </c>
    </row>
    <row r="16" spans="1:54" ht="18" customHeight="1" x14ac:dyDescent="0.25">
      <c r="A16" s="4" t="s">
        <v>123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 ht="43.5" customHeight="1" x14ac:dyDescent="0.25">
      <c r="A17" s="86" t="s">
        <v>124</v>
      </c>
      <c r="B17" s="24">
        <v>1</v>
      </c>
      <c r="C17" s="87" t="s">
        <v>125</v>
      </c>
      <c r="D17" s="24" t="s">
        <v>68</v>
      </c>
      <c r="E17" s="26" t="s">
        <v>126</v>
      </c>
      <c r="F17" s="27" t="s">
        <v>127</v>
      </c>
      <c r="G17" s="28">
        <f t="shared" ref="G17:G40" si="21">S17*T17/1000</f>
        <v>0.28050000000000003</v>
      </c>
      <c r="H17" s="28">
        <f t="shared" ref="H17:H40" si="22">U17*V17/1000</f>
        <v>1.3464</v>
      </c>
      <c r="I17" s="29">
        <v>0</v>
      </c>
      <c r="J17" s="30">
        <v>0</v>
      </c>
      <c r="K17" s="28">
        <f t="shared" ref="K17:K40" si="23">G17+H17+I17+J17</f>
        <v>1.6269</v>
      </c>
      <c r="L17" s="28">
        <v>0</v>
      </c>
      <c r="M17" s="28">
        <f t="shared" ref="M17:M40" si="24">K17+L17</f>
        <v>1.6269</v>
      </c>
      <c r="N17" s="31">
        <v>0.3125</v>
      </c>
      <c r="O17" s="32" t="s">
        <v>71</v>
      </c>
      <c r="P17" s="33">
        <f t="shared" ref="P17:P40" si="25">M17+N17</f>
        <v>1.9394</v>
      </c>
      <c r="Q17" s="34">
        <f t="shared" ref="Q17:Q26" si="26">P17-N17</f>
        <v>1.6269</v>
      </c>
      <c r="R17" s="43">
        <v>0.55000000000000004</v>
      </c>
      <c r="S17" s="35">
        <v>5</v>
      </c>
      <c r="T17" s="35">
        <v>56.1</v>
      </c>
      <c r="U17" s="35">
        <v>24</v>
      </c>
      <c r="V17" s="35">
        <v>56.1</v>
      </c>
      <c r="W17" s="31">
        <v>1.82</v>
      </c>
      <c r="X17" s="36">
        <v>0.1</v>
      </c>
      <c r="Y17" s="37">
        <f t="shared" ref="Y17:Y40" si="27">W17*(1+X17)</f>
        <v>2.0020000000000002</v>
      </c>
      <c r="Z17" s="31">
        <v>0.48099999999999998</v>
      </c>
      <c r="AA17" s="38">
        <f t="shared" ref="AA17:AA40" si="28">Q17-Y17</f>
        <v>-0.37510000000000021</v>
      </c>
      <c r="AB17" s="38">
        <f t="shared" ref="AB17:AB40" si="29">Q17-Z17</f>
        <v>1.1459000000000001</v>
      </c>
      <c r="AC17" s="39" t="s">
        <v>72</v>
      </c>
      <c r="AD17" s="40" t="s">
        <v>73</v>
      </c>
      <c r="AE17" s="41" t="s">
        <v>74</v>
      </c>
      <c r="AF17" s="42">
        <v>5100</v>
      </c>
      <c r="AG17" s="69">
        <v>319</v>
      </c>
      <c r="AH17" s="69">
        <v>770</v>
      </c>
      <c r="AI17" s="43">
        <v>4.3999999999999997E-2</v>
      </c>
      <c r="AJ17" s="44">
        <f t="shared" ref="AJ17:AJ40" si="30">AG17</f>
        <v>319</v>
      </c>
      <c r="AK17" s="44">
        <f t="shared" ref="AK17:AK40" si="31">ROUND(AJ17*(1+AI17),0)</f>
        <v>333</v>
      </c>
      <c r="AL17" s="44">
        <f t="shared" ref="AL17:AL40" si="32">ROUND(AK17*(1+AI17),0)</f>
        <v>348</v>
      </c>
      <c r="AM17" s="44">
        <f t="shared" ref="AM17:AM40" si="33">ROUND(AL17*(1+AI17),0)</f>
        <v>363</v>
      </c>
      <c r="AN17" s="44">
        <f t="shared" ref="AN17:AN40" si="34">ROUND(AM17*(1+AI17),0)</f>
        <v>379</v>
      </c>
      <c r="AO17" s="44">
        <f t="shared" ref="AO17:AO40" si="35">ROUND(AN17*(1+AI17),0)</f>
        <v>396</v>
      </c>
      <c r="AP17" s="44">
        <f t="shared" ref="AP17:AP40" si="36">ROUND(AO17*(1+AI17),0)</f>
        <v>413</v>
      </c>
      <c r="AQ17" s="44">
        <f t="shared" ref="AQ17:AQ40" si="37">ROUND(AP17*(1+AI17),0)</f>
        <v>431</v>
      </c>
      <c r="AR17" s="44">
        <f t="shared" ref="AR17:AR40" si="38">ROUND(AQ17*(1+AI17),0)</f>
        <v>450</v>
      </c>
      <c r="AS17" s="44">
        <f t="shared" ref="AS17:AS40" si="39">ROUND(AR17*(1+AI17),0)</f>
        <v>470</v>
      </c>
      <c r="AT17" s="44">
        <f t="shared" ref="AT17:AT40" si="40">ROUND(AS17*(1+AI17),0)</f>
        <v>491</v>
      </c>
      <c r="AU17" s="44">
        <f t="shared" ref="AU17:AU40" si="41">ROUND(AT17*(1+AI17),0)</f>
        <v>513</v>
      </c>
      <c r="AW17" s="45"/>
      <c r="AX17" s="46"/>
      <c r="AY17" s="46"/>
      <c r="AZ17" s="47">
        <f t="shared" ref="AZ17:AZ26" si="42">K17</f>
        <v>1.6269</v>
      </c>
      <c r="BA17" s="46"/>
      <c r="BB17" s="33">
        <f t="shared" ref="BB17:BB40" si="43">AJ17*Q17/1000</f>
        <v>0.51898109999999997</v>
      </c>
    </row>
    <row r="18" spans="1:54" ht="43.5" customHeight="1" x14ac:dyDescent="0.25">
      <c r="A18" s="86" t="s">
        <v>124</v>
      </c>
      <c r="B18" s="24">
        <v>2</v>
      </c>
      <c r="C18" s="87" t="s">
        <v>128</v>
      </c>
      <c r="D18" s="24" t="s">
        <v>68</v>
      </c>
      <c r="E18" s="26" t="s">
        <v>129</v>
      </c>
      <c r="F18" s="27" t="s">
        <v>130</v>
      </c>
      <c r="G18" s="28">
        <f t="shared" si="21"/>
        <v>0.28050000000000003</v>
      </c>
      <c r="H18" s="28">
        <f t="shared" si="22"/>
        <v>1.3464</v>
      </c>
      <c r="I18" s="29">
        <v>0</v>
      </c>
      <c r="J18" s="30">
        <v>0</v>
      </c>
      <c r="K18" s="28">
        <f t="shared" si="23"/>
        <v>1.6269</v>
      </c>
      <c r="L18" s="28">
        <v>0</v>
      </c>
      <c r="M18" s="28">
        <f t="shared" si="24"/>
        <v>1.6269</v>
      </c>
      <c r="N18" s="31">
        <v>0.3125</v>
      </c>
      <c r="O18" s="32" t="s">
        <v>71</v>
      </c>
      <c r="P18" s="33">
        <f t="shared" si="25"/>
        <v>1.9394</v>
      </c>
      <c r="Q18" s="34">
        <f t="shared" si="26"/>
        <v>1.6269</v>
      </c>
      <c r="R18" s="43">
        <v>0.08</v>
      </c>
      <c r="S18" s="35">
        <v>5</v>
      </c>
      <c r="T18" s="35">
        <v>56.1</v>
      </c>
      <c r="U18" s="35">
        <v>24</v>
      </c>
      <c r="V18" s="35">
        <v>56.1</v>
      </c>
      <c r="W18" s="31">
        <v>1.82</v>
      </c>
      <c r="X18" s="36">
        <v>0.1</v>
      </c>
      <c r="Y18" s="37">
        <f t="shared" si="27"/>
        <v>2.0020000000000002</v>
      </c>
      <c r="Z18" s="31">
        <v>0.48099999999999998</v>
      </c>
      <c r="AA18" s="38">
        <f t="shared" si="28"/>
        <v>-0.37510000000000021</v>
      </c>
      <c r="AB18" s="38">
        <f t="shared" si="29"/>
        <v>1.1459000000000001</v>
      </c>
      <c r="AC18" s="39" t="s">
        <v>72</v>
      </c>
      <c r="AD18" s="40" t="s">
        <v>73</v>
      </c>
      <c r="AE18" s="41" t="s">
        <v>74</v>
      </c>
      <c r="AF18" s="42">
        <v>5100</v>
      </c>
      <c r="AG18" s="69">
        <v>46</v>
      </c>
      <c r="AH18" s="69">
        <v>112</v>
      </c>
      <c r="AI18" s="43">
        <v>4.3999999999999997E-2</v>
      </c>
      <c r="AJ18" s="44">
        <f t="shared" si="30"/>
        <v>46</v>
      </c>
      <c r="AK18" s="44">
        <f t="shared" si="31"/>
        <v>48</v>
      </c>
      <c r="AL18" s="44">
        <f t="shared" si="32"/>
        <v>50</v>
      </c>
      <c r="AM18" s="44">
        <f t="shared" si="33"/>
        <v>52</v>
      </c>
      <c r="AN18" s="44">
        <f t="shared" si="34"/>
        <v>54</v>
      </c>
      <c r="AO18" s="44">
        <f t="shared" si="35"/>
        <v>56</v>
      </c>
      <c r="AP18" s="44">
        <f t="shared" si="36"/>
        <v>58</v>
      </c>
      <c r="AQ18" s="44">
        <f t="shared" si="37"/>
        <v>61</v>
      </c>
      <c r="AR18" s="44">
        <f t="shared" si="38"/>
        <v>64</v>
      </c>
      <c r="AS18" s="44">
        <f t="shared" si="39"/>
        <v>67</v>
      </c>
      <c r="AT18" s="44">
        <f t="shared" si="40"/>
        <v>70</v>
      </c>
      <c r="AU18" s="44">
        <f t="shared" si="41"/>
        <v>73</v>
      </c>
      <c r="AW18" s="45"/>
      <c r="AX18" s="46"/>
      <c r="AY18" s="46"/>
      <c r="AZ18" s="47">
        <f t="shared" si="42"/>
        <v>1.6269</v>
      </c>
      <c r="BA18" s="46"/>
      <c r="BB18" s="33">
        <f t="shared" si="43"/>
        <v>7.4837399999999998E-2</v>
      </c>
    </row>
    <row r="19" spans="1:54" ht="43.5" customHeight="1" x14ac:dyDescent="0.25">
      <c r="A19" s="86" t="s">
        <v>124</v>
      </c>
      <c r="B19" s="24">
        <v>3</v>
      </c>
      <c r="C19" s="87" t="s">
        <v>131</v>
      </c>
      <c r="D19" s="24" t="s">
        <v>68</v>
      </c>
      <c r="E19" s="26" t="s">
        <v>132</v>
      </c>
      <c r="F19" s="27" t="s">
        <v>133</v>
      </c>
      <c r="G19" s="28">
        <f t="shared" si="21"/>
        <v>0.28050000000000003</v>
      </c>
      <c r="H19" s="28">
        <f t="shared" si="22"/>
        <v>1.3464</v>
      </c>
      <c r="I19" s="29">
        <v>0</v>
      </c>
      <c r="J19" s="30">
        <v>0</v>
      </c>
      <c r="K19" s="28">
        <f t="shared" si="23"/>
        <v>1.6269</v>
      </c>
      <c r="L19" s="28">
        <v>0</v>
      </c>
      <c r="M19" s="28">
        <f t="shared" si="24"/>
        <v>1.6269</v>
      </c>
      <c r="N19" s="31">
        <v>0.3125</v>
      </c>
      <c r="O19" s="32" t="s">
        <v>71</v>
      </c>
      <c r="P19" s="33">
        <f t="shared" si="25"/>
        <v>1.9394</v>
      </c>
      <c r="Q19" s="34">
        <f t="shared" si="26"/>
        <v>1.6269</v>
      </c>
      <c r="R19" s="43">
        <v>0.05</v>
      </c>
      <c r="S19" s="35">
        <v>5</v>
      </c>
      <c r="T19" s="35">
        <v>56.1</v>
      </c>
      <c r="U19" s="35">
        <v>24</v>
      </c>
      <c r="V19" s="35">
        <v>56.1</v>
      </c>
      <c r="W19" s="31">
        <v>1.82</v>
      </c>
      <c r="X19" s="36">
        <v>0.1</v>
      </c>
      <c r="Y19" s="37">
        <f t="shared" si="27"/>
        <v>2.0020000000000002</v>
      </c>
      <c r="Z19" s="31">
        <v>0.48099999999999998</v>
      </c>
      <c r="AA19" s="38">
        <f t="shared" si="28"/>
        <v>-0.37510000000000021</v>
      </c>
      <c r="AB19" s="38">
        <f t="shared" si="29"/>
        <v>1.1459000000000001</v>
      </c>
      <c r="AC19" s="39" t="s">
        <v>72</v>
      </c>
      <c r="AD19" s="40" t="s">
        <v>73</v>
      </c>
      <c r="AE19" s="41" t="s">
        <v>74</v>
      </c>
      <c r="AF19" s="42">
        <v>5100</v>
      </c>
      <c r="AG19" s="69">
        <v>29</v>
      </c>
      <c r="AH19" s="69">
        <v>70</v>
      </c>
      <c r="AI19" s="43">
        <v>4.3999999999999997E-2</v>
      </c>
      <c r="AJ19" s="44">
        <f t="shared" si="30"/>
        <v>29</v>
      </c>
      <c r="AK19" s="44">
        <f t="shared" si="31"/>
        <v>30</v>
      </c>
      <c r="AL19" s="44">
        <f t="shared" si="32"/>
        <v>31</v>
      </c>
      <c r="AM19" s="44">
        <f t="shared" si="33"/>
        <v>32</v>
      </c>
      <c r="AN19" s="44">
        <f t="shared" si="34"/>
        <v>33</v>
      </c>
      <c r="AO19" s="44">
        <f t="shared" si="35"/>
        <v>34</v>
      </c>
      <c r="AP19" s="44">
        <f t="shared" si="36"/>
        <v>35</v>
      </c>
      <c r="AQ19" s="44">
        <f t="shared" si="37"/>
        <v>37</v>
      </c>
      <c r="AR19" s="44">
        <f t="shared" si="38"/>
        <v>39</v>
      </c>
      <c r="AS19" s="44">
        <f t="shared" si="39"/>
        <v>41</v>
      </c>
      <c r="AT19" s="44">
        <f t="shared" si="40"/>
        <v>43</v>
      </c>
      <c r="AU19" s="44">
        <f t="shared" si="41"/>
        <v>45</v>
      </c>
      <c r="AW19" s="45"/>
      <c r="AX19" s="46"/>
      <c r="AY19" s="46"/>
      <c r="AZ19" s="47">
        <f t="shared" si="42"/>
        <v>1.6269</v>
      </c>
      <c r="BA19" s="46"/>
      <c r="BB19" s="33">
        <f t="shared" si="43"/>
        <v>4.7180100000000003E-2</v>
      </c>
    </row>
    <row r="20" spans="1:54" ht="43.5" customHeight="1" x14ac:dyDescent="0.25">
      <c r="A20" s="86" t="s">
        <v>124</v>
      </c>
      <c r="B20" s="24">
        <v>4</v>
      </c>
      <c r="C20" s="87" t="s">
        <v>134</v>
      </c>
      <c r="D20" s="24" t="s">
        <v>68</v>
      </c>
      <c r="E20" s="26" t="s">
        <v>135</v>
      </c>
      <c r="F20" s="27" t="s">
        <v>136</v>
      </c>
      <c r="G20" s="28">
        <f t="shared" si="21"/>
        <v>0.28050000000000003</v>
      </c>
      <c r="H20" s="28">
        <f t="shared" si="22"/>
        <v>1.3464</v>
      </c>
      <c r="I20" s="29">
        <v>0</v>
      </c>
      <c r="J20" s="30">
        <v>0</v>
      </c>
      <c r="K20" s="28">
        <f t="shared" si="23"/>
        <v>1.6269</v>
      </c>
      <c r="L20" s="28">
        <v>0</v>
      </c>
      <c r="M20" s="28">
        <f t="shared" si="24"/>
        <v>1.6269</v>
      </c>
      <c r="N20" s="31">
        <v>0.3125</v>
      </c>
      <c r="O20" s="32" t="s">
        <v>71</v>
      </c>
      <c r="P20" s="33">
        <f t="shared" si="25"/>
        <v>1.9394</v>
      </c>
      <c r="Q20" s="34">
        <f t="shared" si="26"/>
        <v>1.6269</v>
      </c>
      <c r="R20" s="43">
        <v>0.2</v>
      </c>
      <c r="S20" s="35">
        <v>5</v>
      </c>
      <c r="T20" s="35">
        <v>56.1</v>
      </c>
      <c r="U20" s="35">
        <v>24</v>
      </c>
      <c r="V20" s="35">
        <v>56.1</v>
      </c>
      <c r="W20" s="31">
        <v>1.82</v>
      </c>
      <c r="X20" s="36">
        <v>0.1</v>
      </c>
      <c r="Y20" s="37">
        <f t="shared" si="27"/>
        <v>2.0020000000000002</v>
      </c>
      <c r="Z20" s="31">
        <v>0.48099999999999998</v>
      </c>
      <c r="AA20" s="38">
        <f t="shared" si="28"/>
        <v>-0.37510000000000021</v>
      </c>
      <c r="AB20" s="38">
        <f t="shared" si="29"/>
        <v>1.1459000000000001</v>
      </c>
      <c r="AC20" s="39" t="s">
        <v>72</v>
      </c>
      <c r="AD20" s="40" t="s">
        <v>73</v>
      </c>
      <c r="AE20" s="41" t="s">
        <v>74</v>
      </c>
      <c r="AF20" s="42">
        <v>5100</v>
      </c>
      <c r="AG20" s="69">
        <v>116</v>
      </c>
      <c r="AH20" s="69">
        <v>280</v>
      </c>
      <c r="AI20" s="43">
        <v>4.3999999999999997E-2</v>
      </c>
      <c r="AJ20" s="44">
        <f t="shared" si="30"/>
        <v>116</v>
      </c>
      <c r="AK20" s="44">
        <f t="shared" si="31"/>
        <v>121</v>
      </c>
      <c r="AL20" s="44">
        <f t="shared" si="32"/>
        <v>126</v>
      </c>
      <c r="AM20" s="44">
        <f t="shared" si="33"/>
        <v>132</v>
      </c>
      <c r="AN20" s="44">
        <f t="shared" si="34"/>
        <v>138</v>
      </c>
      <c r="AO20" s="44">
        <f t="shared" si="35"/>
        <v>144</v>
      </c>
      <c r="AP20" s="44">
        <f t="shared" si="36"/>
        <v>150</v>
      </c>
      <c r="AQ20" s="44">
        <f t="shared" si="37"/>
        <v>157</v>
      </c>
      <c r="AR20" s="44">
        <f t="shared" si="38"/>
        <v>164</v>
      </c>
      <c r="AS20" s="44">
        <f t="shared" si="39"/>
        <v>171</v>
      </c>
      <c r="AT20" s="44">
        <f t="shared" si="40"/>
        <v>179</v>
      </c>
      <c r="AU20" s="44">
        <f t="shared" si="41"/>
        <v>187</v>
      </c>
      <c r="AW20" s="45"/>
      <c r="AX20" s="46"/>
      <c r="AY20" s="46"/>
      <c r="AZ20" s="47">
        <f t="shared" si="42"/>
        <v>1.6269</v>
      </c>
      <c r="BA20" s="46"/>
      <c r="BB20" s="33">
        <f t="shared" si="43"/>
        <v>0.18872040000000001</v>
      </c>
    </row>
    <row r="21" spans="1:54" ht="43.5" customHeight="1" x14ac:dyDescent="0.25">
      <c r="A21" s="86" t="s">
        <v>124</v>
      </c>
      <c r="B21" s="24">
        <v>5</v>
      </c>
      <c r="C21" s="87" t="s">
        <v>137</v>
      </c>
      <c r="D21" s="24" t="s">
        <v>68</v>
      </c>
      <c r="E21" s="26" t="s">
        <v>138</v>
      </c>
      <c r="F21" s="27" t="s">
        <v>139</v>
      </c>
      <c r="G21" s="28">
        <f t="shared" si="21"/>
        <v>0.28050000000000003</v>
      </c>
      <c r="H21" s="28">
        <f t="shared" si="22"/>
        <v>1.3464</v>
      </c>
      <c r="I21" s="29">
        <v>0</v>
      </c>
      <c r="J21" s="30">
        <v>0</v>
      </c>
      <c r="K21" s="28">
        <f t="shared" si="23"/>
        <v>1.6269</v>
      </c>
      <c r="L21" s="28">
        <v>0</v>
      </c>
      <c r="M21" s="28">
        <f t="shared" si="24"/>
        <v>1.6269</v>
      </c>
      <c r="N21" s="31">
        <v>0.3125</v>
      </c>
      <c r="O21" s="32" t="s">
        <v>71</v>
      </c>
      <c r="P21" s="33">
        <f t="shared" si="25"/>
        <v>1.9394</v>
      </c>
      <c r="Q21" s="34">
        <f t="shared" si="26"/>
        <v>1.6269</v>
      </c>
      <c r="R21" s="43">
        <v>0.12</v>
      </c>
      <c r="S21" s="35">
        <v>5</v>
      </c>
      <c r="T21" s="35">
        <v>56.1</v>
      </c>
      <c r="U21" s="35">
        <v>24</v>
      </c>
      <c r="V21" s="35">
        <v>56.1</v>
      </c>
      <c r="W21" s="31">
        <v>1.82</v>
      </c>
      <c r="X21" s="36">
        <v>0.1</v>
      </c>
      <c r="Y21" s="37">
        <f t="shared" si="27"/>
        <v>2.0020000000000002</v>
      </c>
      <c r="Z21" s="31">
        <v>0.48099999999999998</v>
      </c>
      <c r="AA21" s="38">
        <f t="shared" si="28"/>
        <v>-0.37510000000000021</v>
      </c>
      <c r="AB21" s="38">
        <f t="shared" si="29"/>
        <v>1.1459000000000001</v>
      </c>
      <c r="AC21" s="39" t="s">
        <v>72</v>
      </c>
      <c r="AD21" s="40" t="s">
        <v>73</v>
      </c>
      <c r="AE21" s="41" t="s">
        <v>74</v>
      </c>
      <c r="AF21" s="42">
        <v>5100</v>
      </c>
      <c r="AG21" s="69">
        <v>70</v>
      </c>
      <c r="AH21" s="69">
        <v>168</v>
      </c>
      <c r="AI21" s="43">
        <v>4.3999999999999997E-2</v>
      </c>
      <c r="AJ21" s="44">
        <f t="shared" si="30"/>
        <v>70</v>
      </c>
      <c r="AK21" s="44">
        <f t="shared" si="31"/>
        <v>73</v>
      </c>
      <c r="AL21" s="44">
        <f t="shared" si="32"/>
        <v>76</v>
      </c>
      <c r="AM21" s="44">
        <f t="shared" si="33"/>
        <v>79</v>
      </c>
      <c r="AN21" s="44">
        <f t="shared" si="34"/>
        <v>82</v>
      </c>
      <c r="AO21" s="44">
        <f t="shared" si="35"/>
        <v>86</v>
      </c>
      <c r="AP21" s="44">
        <f t="shared" si="36"/>
        <v>90</v>
      </c>
      <c r="AQ21" s="44">
        <f t="shared" si="37"/>
        <v>94</v>
      </c>
      <c r="AR21" s="44">
        <f t="shared" si="38"/>
        <v>98</v>
      </c>
      <c r="AS21" s="44">
        <f t="shared" si="39"/>
        <v>102</v>
      </c>
      <c r="AT21" s="44">
        <f t="shared" si="40"/>
        <v>106</v>
      </c>
      <c r="AU21" s="44">
        <f t="shared" si="41"/>
        <v>111</v>
      </c>
      <c r="AW21" s="45"/>
      <c r="AX21" s="46"/>
      <c r="AY21" s="46"/>
      <c r="AZ21" s="47">
        <f t="shared" si="42"/>
        <v>1.6269</v>
      </c>
      <c r="BA21" s="46"/>
      <c r="BB21" s="33">
        <f t="shared" si="43"/>
        <v>0.113883</v>
      </c>
    </row>
    <row r="22" spans="1:54" ht="43.5" customHeight="1" x14ac:dyDescent="0.25">
      <c r="A22" s="88" t="s">
        <v>124</v>
      </c>
      <c r="B22" s="49">
        <v>6</v>
      </c>
      <c r="C22" s="89" t="s">
        <v>140</v>
      </c>
      <c r="D22" s="49" t="s">
        <v>68</v>
      </c>
      <c r="E22" s="51" t="s">
        <v>138</v>
      </c>
      <c r="F22" s="52" t="s">
        <v>141</v>
      </c>
      <c r="G22" s="28">
        <f t="shared" si="21"/>
        <v>0.14025000000000001</v>
      </c>
      <c r="H22" s="28">
        <f t="shared" si="22"/>
        <v>0</v>
      </c>
      <c r="I22" s="29">
        <v>1.4999999999999999E-2</v>
      </c>
      <c r="J22" s="30">
        <v>0</v>
      </c>
      <c r="K22" s="28">
        <f t="shared" si="23"/>
        <v>0.15525</v>
      </c>
      <c r="L22" s="28">
        <v>0</v>
      </c>
      <c r="M22" s="28">
        <f t="shared" si="24"/>
        <v>0.15525</v>
      </c>
      <c r="N22" s="31">
        <v>0.5625</v>
      </c>
      <c r="O22" s="32" t="s">
        <v>71</v>
      </c>
      <c r="P22" s="33">
        <f t="shared" si="25"/>
        <v>0.71775</v>
      </c>
      <c r="Q22" s="34">
        <f t="shared" si="26"/>
        <v>0.15525</v>
      </c>
      <c r="R22" s="43">
        <v>0.45</v>
      </c>
      <c r="S22" s="35">
        <v>2.5</v>
      </c>
      <c r="T22" s="35">
        <v>56.1</v>
      </c>
      <c r="U22" s="35">
        <v>0</v>
      </c>
      <c r="V22" s="35">
        <v>0</v>
      </c>
      <c r="W22" s="31">
        <v>0.72</v>
      </c>
      <c r="X22" s="36">
        <v>0.1</v>
      </c>
      <c r="Y22" s="37">
        <f t="shared" si="27"/>
        <v>0.79200000000000004</v>
      </c>
      <c r="Z22" s="31">
        <v>7.1999999999999995E-2</v>
      </c>
      <c r="AA22" s="38">
        <f t="shared" si="28"/>
        <v>-0.63675000000000004</v>
      </c>
      <c r="AB22" s="38">
        <f t="shared" si="29"/>
        <v>8.3250000000000005E-2</v>
      </c>
      <c r="AC22" s="39" t="s">
        <v>78</v>
      </c>
      <c r="AD22" s="40" t="s">
        <v>79</v>
      </c>
      <c r="AE22" s="40" t="s">
        <v>80</v>
      </c>
      <c r="AF22" s="42">
        <v>4800</v>
      </c>
      <c r="AG22" s="69">
        <v>135</v>
      </c>
      <c r="AH22" s="69">
        <v>405</v>
      </c>
      <c r="AI22" s="43">
        <v>4.3999999999999997E-2</v>
      </c>
      <c r="AJ22" s="44">
        <f t="shared" si="30"/>
        <v>135</v>
      </c>
      <c r="AK22" s="44">
        <f t="shared" si="31"/>
        <v>141</v>
      </c>
      <c r="AL22" s="44">
        <f t="shared" si="32"/>
        <v>147</v>
      </c>
      <c r="AM22" s="44">
        <f t="shared" si="33"/>
        <v>153</v>
      </c>
      <c r="AN22" s="44">
        <f t="shared" si="34"/>
        <v>160</v>
      </c>
      <c r="AO22" s="44">
        <f t="shared" si="35"/>
        <v>167</v>
      </c>
      <c r="AP22" s="44">
        <f t="shared" si="36"/>
        <v>174</v>
      </c>
      <c r="AQ22" s="44">
        <f t="shared" si="37"/>
        <v>182</v>
      </c>
      <c r="AR22" s="44">
        <f t="shared" si="38"/>
        <v>190</v>
      </c>
      <c r="AS22" s="44">
        <f t="shared" si="39"/>
        <v>198</v>
      </c>
      <c r="AT22" s="44">
        <f t="shared" si="40"/>
        <v>207</v>
      </c>
      <c r="AU22" s="44">
        <f t="shared" si="41"/>
        <v>216</v>
      </c>
      <c r="AW22" s="45"/>
      <c r="AX22" s="46"/>
      <c r="AY22" s="46"/>
      <c r="AZ22" s="47">
        <f t="shared" si="42"/>
        <v>0.15525</v>
      </c>
      <c r="BA22" s="46"/>
      <c r="BB22" s="33">
        <f t="shared" si="43"/>
        <v>2.0958749999999998E-2</v>
      </c>
    </row>
    <row r="23" spans="1:54" ht="43.5" customHeight="1" x14ac:dyDescent="0.25">
      <c r="A23" s="88" t="s">
        <v>124</v>
      </c>
      <c r="B23" s="49">
        <v>7</v>
      </c>
      <c r="C23" s="89" t="s">
        <v>142</v>
      </c>
      <c r="D23" s="49" t="s">
        <v>68</v>
      </c>
      <c r="E23" s="51" t="s">
        <v>143</v>
      </c>
      <c r="F23" s="52" t="s">
        <v>144</v>
      </c>
      <c r="G23" s="28">
        <f t="shared" si="21"/>
        <v>0.14025000000000001</v>
      </c>
      <c r="H23" s="28">
        <f t="shared" si="22"/>
        <v>0</v>
      </c>
      <c r="I23" s="29">
        <v>1.4999999999999999E-2</v>
      </c>
      <c r="J23" s="30">
        <v>0</v>
      </c>
      <c r="K23" s="28">
        <f t="shared" si="23"/>
        <v>0.15525</v>
      </c>
      <c r="L23" s="28">
        <v>0</v>
      </c>
      <c r="M23" s="28">
        <f t="shared" si="24"/>
        <v>0.15525</v>
      </c>
      <c r="N23" s="31">
        <v>0.5625</v>
      </c>
      <c r="O23" s="32" t="s">
        <v>71</v>
      </c>
      <c r="P23" s="33">
        <f t="shared" si="25"/>
        <v>0.71775</v>
      </c>
      <c r="Q23" s="34">
        <f t="shared" si="26"/>
        <v>0.15525</v>
      </c>
      <c r="R23" s="43">
        <v>0.25</v>
      </c>
      <c r="S23" s="35">
        <v>2.5</v>
      </c>
      <c r="T23" s="35">
        <v>56.1</v>
      </c>
      <c r="U23" s="35">
        <v>0</v>
      </c>
      <c r="V23" s="35">
        <v>0</v>
      </c>
      <c r="W23" s="31">
        <v>0.72</v>
      </c>
      <c r="X23" s="36">
        <v>0.1</v>
      </c>
      <c r="Y23" s="37">
        <f t="shared" si="27"/>
        <v>0.79200000000000004</v>
      </c>
      <c r="Z23" s="31">
        <v>7.1999999999999995E-2</v>
      </c>
      <c r="AA23" s="38">
        <f t="shared" si="28"/>
        <v>-0.63675000000000004</v>
      </c>
      <c r="AB23" s="38">
        <f t="shared" si="29"/>
        <v>8.3250000000000005E-2</v>
      </c>
      <c r="AC23" s="39" t="s">
        <v>78</v>
      </c>
      <c r="AD23" s="40" t="s">
        <v>79</v>
      </c>
      <c r="AE23" s="40" t="s">
        <v>80</v>
      </c>
      <c r="AF23" s="42">
        <v>4800</v>
      </c>
      <c r="AG23" s="69">
        <v>75</v>
      </c>
      <c r="AH23" s="69">
        <v>225</v>
      </c>
      <c r="AI23" s="43">
        <v>4.3999999999999997E-2</v>
      </c>
      <c r="AJ23" s="44">
        <f t="shared" si="30"/>
        <v>75</v>
      </c>
      <c r="AK23" s="44">
        <f t="shared" si="31"/>
        <v>78</v>
      </c>
      <c r="AL23" s="44">
        <f t="shared" si="32"/>
        <v>81</v>
      </c>
      <c r="AM23" s="44">
        <f t="shared" si="33"/>
        <v>85</v>
      </c>
      <c r="AN23" s="44">
        <f t="shared" si="34"/>
        <v>89</v>
      </c>
      <c r="AO23" s="44">
        <f t="shared" si="35"/>
        <v>93</v>
      </c>
      <c r="AP23" s="44">
        <f t="shared" si="36"/>
        <v>97</v>
      </c>
      <c r="AQ23" s="44">
        <f t="shared" si="37"/>
        <v>101</v>
      </c>
      <c r="AR23" s="44">
        <f t="shared" si="38"/>
        <v>105</v>
      </c>
      <c r="AS23" s="44">
        <f t="shared" si="39"/>
        <v>110</v>
      </c>
      <c r="AT23" s="44">
        <f t="shared" si="40"/>
        <v>115</v>
      </c>
      <c r="AU23" s="44">
        <f t="shared" si="41"/>
        <v>120</v>
      </c>
      <c r="AW23" s="45"/>
      <c r="AX23" s="46"/>
      <c r="AY23" s="46"/>
      <c r="AZ23" s="47">
        <f t="shared" si="42"/>
        <v>0.15525</v>
      </c>
      <c r="BA23" s="46"/>
      <c r="BB23" s="33">
        <f t="shared" si="43"/>
        <v>1.1643750000000001E-2</v>
      </c>
    </row>
    <row r="24" spans="1:54" ht="43.5" customHeight="1" x14ac:dyDescent="0.25">
      <c r="A24" s="88" t="s">
        <v>124</v>
      </c>
      <c r="B24" s="49">
        <v>8</v>
      </c>
      <c r="C24" s="89" t="s">
        <v>145</v>
      </c>
      <c r="D24" s="49" t="s">
        <v>68</v>
      </c>
      <c r="E24" s="51" t="s">
        <v>146</v>
      </c>
      <c r="F24" s="52" t="s">
        <v>147</v>
      </c>
      <c r="G24" s="28">
        <f t="shared" si="21"/>
        <v>0.14025000000000001</v>
      </c>
      <c r="H24" s="28">
        <f t="shared" si="22"/>
        <v>0</v>
      </c>
      <c r="I24" s="29">
        <v>1.4999999999999999E-2</v>
      </c>
      <c r="J24" s="30">
        <v>0</v>
      </c>
      <c r="K24" s="28">
        <f t="shared" si="23"/>
        <v>0.15525</v>
      </c>
      <c r="L24" s="28">
        <v>0</v>
      </c>
      <c r="M24" s="28">
        <f t="shared" si="24"/>
        <v>0.15525</v>
      </c>
      <c r="N24" s="31">
        <v>0.5625</v>
      </c>
      <c r="O24" s="32" t="s">
        <v>71</v>
      </c>
      <c r="P24" s="33">
        <f t="shared" si="25"/>
        <v>0.71775</v>
      </c>
      <c r="Q24" s="34">
        <f t="shared" si="26"/>
        <v>0.15525</v>
      </c>
      <c r="R24" s="43">
        <v>0.15</v>
      </c>
      <c r="S24" s="35">
        <v>2.5</v>
      </c>
      <c r="T24" s="35">
        <v>56.1</v>
      </c>
      <c r="U24" s="35">
        <v>0</v>
      </c>
      <c r="V24" s="35">
        <v>0</v>
      </c>
      <c r="W24" s="31">
        <v>0.72</v>
      </c>
      <c r="X24" s="36">
        <v>0.1</v>
      </c>
      <c r="Y24" s="37">
        <f t="shared" si="27"/>
        <v>0.79200000000000004</v>
      </c>
      <c r="Z24" s="31">
        <v>7.1999999999999995E-2</v>
      </c>
      <c r="AA24" s="38">
        <f t="shared" si="28"/>
        <v>-0.63675000000000004</v>
      </c>
      <c r="AB24" s="38">
        <f t="shared" si="29"/>
        <v>8.3250000000000005E-2</v>
      </c>
      <c r="AC24" s="39" t="s">
        <v>78</v>
      </c>
      <c r="AD24" s="40" t="s">
        <v>79</v>
      </c>
      <c r="AE24" s="40" t="s">
        <v>80</v>
      </c>
      <c r="AF24" s="42">
        <v>4800</v>
      </c>
      <c r="AG24" s="69">
        <v>45</v>
      </c>
      <c r="AH24" s="69">
        <v>135</v>
      </c>
      <c r="AI24" s="43">
        <v>4.3999999999999997E-2</v>
      </c>
      <c r="AJ24" s="44">
        <f t="shared" si="30"/>
        <v>45</v>
      </c>
      <c r="AK24" s="44">
        <f t="shared" si="31"/>
        <v>47</v>
      </c>
      <c r="AL24" s="44">
        <f t="shared" si="32"/>
        <v>49</v>
      </c>
      <c r="AM24" s="44">
        <f t="shared" si="33"/>
        <v>51</v>
      </c>
      <c r="AN24" s="44">
        <f t="shared" si="34"/>
        <v>53</v>
      </c>
      <c r="AO24" s="44">
        <f t="shared" si="35"/>
        <v>55</v>
      </c>
      <c r="AP24" s="44">
        <f t="shared" si="36"/>
        <v>57</v>
      </c>
      <c r="AQ24" s="44">
        <f t="shared" si="37"/>
        <v>60</v>
      </c>
      <c r="AR24" s="44">
        <f t="shared" si="38"/>
        <v>63</v>
      </c>
      <c r="AS24" s="44">
        <f t="shared" si="39"/>
        <v>66</v>
      </c>
      <c r="AT24" s="44">
        <f t="shared" si="40"/>
        <v>69</v>
      </c>
      <c r="AU24" s="44">
        <f t="shared" si="41"/>
        <v>72</v>
      </c>
      <c r="AW24" s="45"/>
      <c r="AX24" s="46"/>
      <c r="AY24" s="46"/>
      <c r="AZ24" s="47">
        <f t="shared" si="42"/>
        <v>0.15525</v>
      </c>
      <c r="BA24" s="46"/>
      <c r="BB24" s="33">
        <f t="shared" si="43"/>
        <v>6.9862500000000003E-3</v>
      </c>
    </row>
    <row r="25" spans="1:54" ht="43.5" customHeight="1" x14ac:dyDescent="0.25">
      <c r="A25" s="88" t="s">
        <v>124</v>
      </c>
      <c r="B25" s="49">
        <v>9</v>
      </c>
      <c r="C25" s="89" t="s">
        <v>148</v>
      </c>
      <c r="D25" s="49" t="s">
        <v>68</v>
      </c>
      <c r="E25" s="51" t="s">
        <v>149</v>
      </c>
      <c r="F25" s="52" t="s">
        <v>150</v>
      </c>
      <c r="G25" s="28">
        <f t="shared" si="21"/>
        <v>0.14025000000000001</v>
      </c>
      <c r="H25" s="28">
        <f t="shared" si="22"/>
        <v>0</v>
      </c>
      <c r="I25" s="29">
        <v>1.4999999999999999E-2</v>
      </c>
      <c r="J25" s="30">
        <v>0</v>
      </c>
      <c r="K25" s="28">
        <f t="shared" si="23"/>
        <v>0.15525</v>
      </c>
      <c r="L25" s="28">
        <v>0</v>
      </c>
      <c r="M25" s="28">
        <f t="shared" si="24"/>
        <v>0.15525</v>
      </c>
      <c r="N25" s="31">
        <v>0.5625</v>
      </c>
      <c r="O25" s="32" t="s">
        <v>71</v>
      </c>
      <c r="P25" s="33">
        <f t="shared" si="25"/>
        <v>0.71775</v>
      </c>
      <c r="Q25" s="34">
        <f t="shared" si="26"/>
        <v>0.15525</v>
      </c>
      <c r="R25" s="43">
        <v>0.15</v>
      </c>
      <c r="S25" s="35">
        <v>2.5</v>
      </c>
      <c r="T25" s="35">
        <v>56.1</v>
      </c>
      <c r="U25" s="35">
        <v>0</v>
      </c>
      <c r="V25" s="35">
        <v>0</v>
      </c>
      <c r="W25" s="31">
        <v>0.72</v>
      </c>
      <c r="X25" s="36">
        <v>0.1</v>
      </c>
      <c r="Y25" s="37">
        <f t="shared" si="27"/>
        <v>0.79200000000000004</v>
      </c>
      <c r="Z25" s="31">
        <v>7.1999999999999995E-2</v>
      </c>
      <c r="AA25" s="38">
        <f t="shared" si="28"/>
        <v>-0.63675000000000004</v>
      </c>
      <c r="AB25" s="38">
        <f t="shared" si="29"/>
        <v>8.3250000000000005E-2</v>
      </c>
      <c r="AC25" s="39" t="s">
        <v>78</v>
      </c>
      <c r="AD25" s="40" t="s">
        <v>79</v>
      </c>
      <c r="AE25" s="40" t="s">
        <v>80</v>
      </c>
      <c r="AF25" s="42">
        <v>4800</v>
      </c>
      <c r="AG25" s="69">
        <v>45</v>
      </c>
      <c r="AH25" s="69">
        <v>135</v>
      </c>
      <c r="AI25" s="43">
        <v>4.3999999999999997E-2</v>
      </c>
      <c r="AJ25" s="44">
        <f t="shared" si="30"/>
        <v>45</v>
      </c>
      <c r="AK25" s="44">
        <f t="shared" si="31"/>
        <v>47</v>
      </c>
      <c r="AL25" s="44">
        <f t="shared" si="32"/>
        <v>49</v>
      </c>
      <c r="AM25" s="44">
        <f t="shared" si="33"/>
        <v>51</v>
      </c>
      <c r="AN25" s="44">
        <f t="shared" si="34"/>
        <v>53</v>
      </c>
      <c r="AO25" s="44">
        <f t="shared" si="35"/>
        <v>55</v>
      </c>
      <c r="AP25" s="44">
        <f t="shared" si="36"/>
        <v>57</v>
      </c>
      <c r="AQ25" s="44">
        <f t="shared" si="37"/>
        <v>60</v>
      </c>
      <c r="AR25" s="44">
        <f t="shared" si="38"/>
        <v>63</v>
      </c>
      <c r="AS25" s="44">
        <f t="shared" si="39"/>
        <v>66</v>
      </c>
      <c r="AT25" s="44">
        <f t="shared" si="40"/>
        <v>69</v>
      </c>
      <c r="AU25" s="44">
        <f t="shared" si="41"/>
        <v>72</v>
      </c>
      <c r="AW25" s="45"/>
      <c r="AX25" s="46"/>
      <c r="AY25" s="46"/>
      <c r="AZ25" s="47">
        <f t="shared" si="42"/>
        <v>0.15525</v>
      </c>
      <c r="BA25" s="46"/>
      <c r="BB25" s="33">
        <f t="shared" si="43"/>
        <v>6.9862500000000003E-3</v>
      </c>
    </row>
    <row r="26" spans="1:54" ht="43.5" customHeight="1" x14ac:dyDescent="0.25">
      <c r="A26" s="90" t="s">
        <v>124</v>
      </c>
      <c r="B26" s="46">
        <v>10</v>
      </c>
      <c r="C26" s="91" t="s">
        <v>151</v>
      </c>
      <c r="D26" s="46" t="s">
        <v>68</v>
      </c>
      <c r="E26" s="55" t="s">
        <v>152</v>
      </c>
      <c r="F26" s="56" t="s">
        <v>153</v>
      </c>
      <c r="G26" s="28">
        <f t="shared" si="21"/>
        <v>0.38439999999999996</v>
      </c>
      <c r="H26" s="28">
        <f t="shared" si="22"/>
        <v>1.5375999999999999</v>
      </c>
      <c r="I26" s="29">
        <v>0.25</v>
      </c>
      <c r="J26" s="30">
        <v>0</v>
      </c>
      <c r="K26" s="28">
        <f t="shared" si="23"/>
        <v>2.1719999999999997</v>
      </c>
      <c r="L26" s="28">
        <v>0</v>
      </c>
      <c r="M26" s="28">
        <f t="shared" si="24"/>
        <v>2.1719999999999997</v>
      </c>
      <c r="N26" s="31">
        <v>0.1875</v>
      </c>
      <c r="O26" s="32" t="s">
        <v>71</v>
      </c>
      <c r="P26" s="33">
        <f t="shared" si="25"/>
        <v>2.3594999999999997</v>
      </c>
      <c r="Q26" s="34">
        <f t="shared" si="26"/>
        <v>2.1719999999999997</v>
      </c>
      <c r="R26" s="43">
        <v>1</v>
      </c>
      <c r="S26" s="35">
        <v>4</v>
      </c>
      <c r="T26" s="35">
        <v>96.1</v>
      </c>
      <c r="U26" s="35">
        <v>16</v>
      </c>
      <c r="V26" s="35">
        <v>96.1</v>
      </c>
      <c r="W26" s="31">
        <v>2.8</v>
      </c>
      <c r="X26" s="36">
        <v>0.1</v>
      </c>
      <c r="Y26" s="37">
        <f t="shared" si="27"/>
        <v>3.08</v>
      </c>
      <c r="Z26" s="31">
        <v>1.37</v>
      </c>
      <c r="AA26" s="38">
        <f t="shared" si="28"/>
        <v>-0.90800000000000036</v>
      </c>
      <c r="AB26" s="38">
        <f t="shared" si="29"/>
        <v>0.8019999999999996</v>
      </c>
      <c r="AC26" s="39" t="s">
        <v>84</v>
      </c>
      <c r="AD26" s="57" t="s">
        <v>85</v>
      </c>
      <c r="AE26" s="41" t="s">
        <v>86</v>
      </c>
      <c r="AF26" s="42">
        <v>0</v>
      </c>
      <c r="AG26" s="69">
        <v>0</v>
      </c>
      <c r="AH26" s="69">
        <v>0</v>
      </c>
      <c r="AI26" s="43">
        <v>0</v>
      </c>
      <c r="AJ26" s="44">
        <f t="shared" si="30"/>
        <v>0</v>
      </c>
      <c r="AK26" s="44">
        <f t="shared" si="31"/>
        <v>0</v>
      </c>
      <c r="AL26" s="44">
        <f t="shared" si="32"/>
        <v>0</v>
      </c>
      <c r="AM26" s="44">
        <f t="shared" si="33"/>
        <v>0</v>
      </c>
      <c r="AN26" s="44">
        <f t="shared" si="34"/>
        <v>0</v>
      </c>
      <c r="AO26" s="44">
        <f t="shared" si="35"/>
        <v>0</v>
      </c>
      <c r="AP26" s="44">
        <f t="shared" si="36"/>
        <v>0</v>
      </c>
      <c r="AQ26" s="44">
        <f t="shared" si="37"/>
        <v>0</v>
      </c>
      <c r="AR26" s="44">
        <f t="shared" si="38"/>
        <v>0</v>
      </c>
      <c r="AS26" s="44">
        <f t="shared" si="39"/>
        <v>0</v>
      </c>
      <c r="AT26" s="44">
        <f t="shared" si="40"/>
        <v>0</v>
      </c>
      <c r="AU26" s="44">
        <f t="shared" si="41"/>
        <v>0</v>
      </c>
      <c r="AW26" s="45"/>
      <c r="AX26" s="46"/>
      <c r="AY26" s="46"/>
      <c r="AZ26" s="47">
        <f t="shared" si="42"/>
        <v>2.1719999999999997</v>
      </c>
      <c r="BA26" s="46"/>
      <c r="BB26" s="33">
        <f t="shared" si="43"/>
        <v>0</v>
      </c>
    </row>
    <row r="27" spans="1:54" ht="43.5" customHeight="1" x14ac:dyDescent="0.25">
      <c r="A27" s="92" t="s">
        <v>124</v>
      </c>
      <c r="B27" s="59">
        <v>11</v>
      </c>
      <c r="C27" s="93" t="s">
        <v>154</v>
      </c>
      <c r="D27" s="59" t="s">
        <v>88</v>
      </c>
      <c r="E27" s="61" t="s">
        <v>155</v>
      </c>
      <c r="F27" s="62" t="s">
        <v>156</v>
      </c>
      <c r="G27" s="28">
        <f t="shared" si="21"/>
        <v>0.28829999999999995</v>
      </c>
      <c r="H27" s="28">
        <f t="shared" si="22"/>
        <v>0</v>
      </c>
      <c r="I27" s="29">
        <v>0.52600000000000002</v>
      </c>
      <c r="J27" s="30">
        <v>0</v>
      </c>
      <c r="K27" s="28">
        <f t="shared" si="23"/>
        <v>0.81430000000000002</v>
      </c>
      <c r="L27" s="28">
        <v>0</v>
      </c>
      <c r="M27" s="28">
        <f t="shared" si="24"/>
        <v>0.81430000000000002</v>
      </c>
      <c r="N27" s="31">
        <v>5.6250000000000001E-2</v>
      </c>
      <c r="O27" s="63" t="s">
        <v>91</v>
      </c>
      <c r="P27" s="33">
        <f t="shared" si="25"/>
        <v>0.87055000000000005</v>
      </c>
      <c r="Q27" s="34">
        <f t="shared" ref="Q27:Q35" si="44">P27</f>
        <v>0.87055000000000005</v>
      </c>
      <c r="R27" s="43">
        <v>0.7</v>
      </c>
      <c r="S27" s="35">
        <v>3</v>
      </c>
      <c r="T27" s="35">
        <v>96.1</v>
      </c>
      <c r="U27" s="35">
        <v>0</v>
      </c>
      <c r="V27" s="35">
        <v>0</v>
      </c>
      <c r="W27" s="31">
        <v>1.58</v>
      </c>
      <c r="X27" s="36">
        <v>0.1</v>
      </c>
      <c r="Y27" s="37">
        <f t="shared" si="27"/>
        <v>1.7380000000000002</v>
      </c>
      <c r="Z27" s="31">
        <v>0.66600000000000004</v>
      </c>
      <c r="AA27" s="38">
        <f t="shared" si="28"/>
        <v>-0.86745000000000017</v>
      </c>
      <c r="AB27" s="38">
        <f t="shared" si="29"/>
        <v>0.20455000000000001</v>
      </c>
      <c r="AC27" s="39" t="s">
        <v>92</v>
      </c>
      <c r="AD27" s="40" t="s">
        <v>93</v>
      </c>
      <c r="AE27" s="41" t="s">
        <v>94</v>
      </c>
      <c r="AF27" s="42">
        <v>50000</v>
      </c>
      <c r="AG27" s="69">
        <v>560</v>
      </c>
      <c r="AH27" s="69">
        <v>6790</v>
      </c>
      <c r="AI27" s="43">
        <v>3.3000000000000002E-2</v>
      </c>
      <c r="AJ27" s="44">
        <f t="shared" si="30"/>
        <v>560</v>
      </c>
      <c r="AK27" s="44">
        <f t="shared" si="31"/>
        <v>578</v>
      </c>
      <c r="AL27" s="44">
        <f t="shared" si="32"/>
        <v>597</v>
      </c>
      <c r="AM27" s="44">
        <f t="shared" si="33"/>
        <v>617</v>
      </c>
      <c r="AN27" s="44">
        <f t="shared" si="34"/>
        <v>637</v>
      </c>
      <c r="AO27" s="44">
        <f t="shared" si="35"/>
        <v>658</v>
      </c>
      <c r="AP27" s="44">
        <f t="shared" si="36"/>
        <v>680</v>
      </c>
      <c r="AQ27" s="44">
        <f t="shared" si="37"/>
        <v>702</v>
      </c>
      <c r="AR27" s="44">
        <f t="shared" si="38"/>
        <v>725</v>
      </c>
      <c r="AS27" s="44">
        <f t="shared" si="39"/>
        <v>749</v>
      </c>
      <c r="AT27" s="44">
        <f t="shared" si="40"/>
        <v>774</v>
      </c>
      <c r="AU27" s="44">
        <f t="shared" si="41"/>
        <v>800</v>
      </c>
      <c r="AW27" s="45"/>
      <c r="AX27" s="46"/>
      <c r="AY27" s="46"/>
      <c r="AZ27" s="47">
        <f t="shared" ref="AZ27:AZ35" si="45">K27+N27</f>
        <v>0.87055000000000005</v>
      </c>
      <c r="BA27" s="46"/>
      <c r="BB27" s="33">
        <f t="shared" si="43"/>
        <v>0.48750800000000005</v>
      </c>
    </row>
    <row r="28" spans="1:54" ht="43.5" customHeight="1" x14ac:dyDescent="0.25">
      <c r="A28" s="92" t="s">
        <v>124</v>
      </c>
      <c r="B28" s="59">
        <v>12</v>
      </c>
      <c r="C28" s="93" t="s">
        <v>157</v>
      </c>
      <c r="D28" s="59" t="s">
        <v>88</v>
      </c>
      <c r="E28" s="61" t="s">
        <v>158</v>
      </c>
      <c r="F28" s="62" t="s">
        <v>159</v>
      </c>
      <c r="G28" s="28">
        <f t="shared" si="21"/>
        <v>0.28829999999999995</v>
      </c>
      <c r="H28" s="28">
        <f t="shared" si="22"/>
        <v>0</v>
      </c>
      <c r="I28" s="29">
        <v>0.52600000000000002</v>
      </c>
      <c r="J28" s="30">
        <v>0</v>
      </c>
      <c r="K28" s="28">
        <f t="shared" si="23"/>
        <v>0.81430000000000002</v>
      </c>
      <c r="L28" s="28">
        <v>0</v>
      </c>
      <c r="M28" s="28">
        <f t="shared" si="24"/>
        <v>0.81430000000000002</v>
      </c>
      <c r="N28" s="31">
        <v>5.6250000000000001E-2</v>
      </c>
      <c r="O28" s="63" t="s">
        <v>91</v>
      </c>
      <c r="P28" s="33">
        <f t="shared" si="25"/>
        <v>0.87055000000000005</v>
      </c>
      <c r="Q28" s="34">
        <f t="shared" si="44"/>
        <v>0.87055000000000005</v>
      </c>
      <c r="R28" s="43">
        <v>0.27</v>
      </c>
      <c r="S28" s="35">
        <v>3</v>
      </c>
      <c r="T28" s="35">
        <v>96.1</v>
      </c>
      <c r="U28" s="35">
        <v>0</v>
      </c>
      <c r="V28" s="35">
        <v>0</v>
      </c>
      <c r="W28" s="31">
        <v>1.58</v>
      </c>
      <c r="X28" s="36">
        <v>0.1</v>
      </c>
      <c r="Y28" s="37">
        <f t="shared" si="27"/>
        <v>1.7380000000000002</v>
      </c>
      <c r="Z28" s="31">
        <v>0.66600000000000004</v>
      </c>
      <c r="AA28" s="38">
        <f t="shared" si="28"/>
        <v>-0.86745000000000017</v>
      </c>
      <c r="AB28" s="38">
        <f t="shared" si="29"/>
        <v>0.20455000000000001</v>
      </c>
      <c r="AC28" s="39" t="s">
        <v>92</v>
      </c>
      <c r="AD28" s="40" t="s">
        <v>93</v>
      </c>
      <c r="AE28" s="41" t="s">
        <v>94</v>
      </c>
      <c r="AF28" s="42">
        <v>50000</v>
      </c>
      <c r="AG28" s="69">
        <v>216</v>
      </c>
      <c r="AH28" s="69">
        <v>2619</v>
      </c>
      <c r="AI28" s="43">
        <v>3.3000000000000002E-2</v>
      </c>
      <c r="AJ28" s="44">
        <f t="shared" si="30"/>
        <v>216</v>
      </c>
      <c r="AK28" s="44">
        <f t="shared" si="31"/>
        <v>223</v>
      </c>
      <c r="AL28" s="44">
        <f t="shared" si="32"/>
        <v>230</v>
      </c>
      <c r="AM28" s="44">
        <f t="shared" si="33"/>
        <v>238</v>
      </c>
      <c r="AN28" s="44">
        <f t="shared" si="34"/>
        <v>246</v>
      </c>
      <c r="AO28" s="44">
        <f t="shared" si="35"/>
        <v>254</v>
      </c>
      <c r="AP28" s="44">
        <f t="shared" si="36"/>
        <v>262</v>
      </c>
      <c r="AQ28" s="44">
        <f t="shared" si="37"/>
        <v>271</v>
      </c>
      <c r="AR28" s="44">
        <f t="shared" si="38"/>
        <v>280</v>
      </c>
      <c r="AS28" s="44">
        <f t="shared" si="39"/>
        <v>289</v>
      </c>
      <c r="AT28" s="44">
        <f t="shared" si="40"/>
        <v>299</v>
      </c>
      <c r="AU28" s="44">
        <f t="shared" si="41"/>
        <v>309</v>
      </c>
      <c r="AW28" s="45"/>
      <c r="AX28" s="46"/>
      <c r="AY28" s="46"/>
      <c r="AZ28" s="47">
        <f t="shared" si="45"/>
        <v>0.87055000000000005</v>
      </c>
      <c r="BA28" s="46"/>
      <c r="BB28" s="33">
        <f t="shared" si="43"/>
        <v>0.18803880000000001</v>
      </c>
    </row>
    <row r="29" spans="1:54" ht="43.5" customHeight="1" x14ac:dyDescent="0.25">
      <c r="A29" s="92" t="s">
        <v>124</v>
      </c>
      <c r="B29" s="59">
        <v>13</v>
      </c>
      <c r="C29" s="93" t="s">
        <v>160</v>
      </c>
      <c r="D29" s="59" t="s">
        <v>88</v>
      </c>
      <c r="E29" s="61" t="s">
        <v>161</v>
      </c>
      <c r="F29" s="62" t="s">
        <v>162</v>
      </c>
      <c r="G29" s="28">
        <f t="shared" si="21"/>
        <v>0.28829999999999995</v>
      </c>
      <c r="H29" s="28">
        <f t="shared" si="22"/>
        <v>0</v>
      </c>
      <c r="I29" s="29">
        <v>0.52600000000000002</v>
      </c>
      <c r="J29" s="30">
        <v>0</v>
      </c>
      <c r="K29" s="28">
        <f t="shared" si="23"/>
        <v>0.81430000000000002</v>
      </c>
      <c r="L29" s="28">
        <v>0</v>
      </c>
      <c r="M29" s="28">
        <f t="shared" si="24"/>
        <v>0.81430000000000002</v>
      </c>
      <c r="N29" s="31">
        <v>5.6250000000000001E-2</v>
      </c>
      <c r="O29" s="63" t="s">
        <v>91</v>
      </c>
      <c r="P29" s="33">
        <f t="shared" si="25"/>
        <v>0.87055000000000005</v>
      </c>
      <c r="Q29" s="34">
        <f t="shared" si="44"/>
        <v>0.87055000000000005</v>
      </c>
      <c r="R29" s="43">
        <v>0.03</v>
      </c>
      <c r="S29" s="35">
        <v>3</v>
      </c>
      <c r="T29" s="35">
        <v>96.1</v>
      </c>
      <c r="U29" s="35">
        <v>0</v>
      </c>
      <c r="V29" s="35">
        <v>0</v>
      </c>
      <c r="W29" s="31">
        <v>1.58</v>
      </c>
      <c r="X29" s="36">
        <v>0.1</v>
      </c>
      <c r="Y29" s="37">
        <f t="shared" si="27"/>
        <v>1.7380000000000002</v>
      </c>
      <c r="Z29" s="31">
        <v>0.66600000000000004</v>
      </c>
      <c r="AA29" s="38">
        <f t="shared" si="28"/>
        <v>-0.86745000000000017</v>
      </c>
      <c r="AB29" s="38">
        <f t="shared" si="29"/>
        <v>0.20455000000000001</v>
      </c>
      <c r="AC29" s="39" t="s">
        <v>92</v>
      </c>
      <c r="AD29" s="40" t="s">
        <v>93</v>
      </c>
      <c r="AE29" s="41" t="s">
        <v>94</v>
      </c>
      <c r="AF29" s="42">
        <v>50000</v>
      </c>
      <c r="AG29" s="69">
        <v>24</v>
      </c>
      <c r="AH29" s="69">
        <v>291</v>
      </c>
      <c r="AI29" s="43">
        <v>3.3000000000000002E-2</v>
      </c>
      <c r="AJ29" s="44">
        <f t="shared" si="30"/>
        <v>24</v>
      </c>
      <c r="AK29" s="44">
        <f t="shared" si="31"/>
        <v>25</v>
      </c>
      <c r="AL29" s="44">
        <f t="shared" si="32"/>
        <v>26</v>
      </c>
      <c r="AM29" s="44">
        <f t="shared" si="33"/>
        <v>27</v>
      </c>
      <c r="AN29" s="44">
        <f t="shared" si="34"/>
        <v>28</v>
      </c>
      <c r="AO29" s="44">
        <f t="shared" si="35"/>
        <v>29</v>
      </c>
      <c r="AP29" s="44">
        <f t="shared" si="36"/>
        <v>30</v>
      </c>
      <c r="AQ29" s="44">
        <f t="shared" si="37"/>
        <v>31</v>
      </c>
      <c r="AR29" s="44">
        <f t="shared" si="38"/>
        <v>32</v>
      </c>
      <c r="AS29" s="44">
        <f t="shared" si="39"/>
        <v>33</v>
      </c>
      <c r="AT29" s="44">
        <f t="shared" si="40"/>
        <v>34</v>
      </c>
      <c r="AU29" s="44">
        <f t="shared" si="41"/>
        <v>35</v>
      </c>
      <c r="AW29" s="45"/>
      <c r="AX29" s="46"/>
      <c r="AY29" s="46"/>
      <c r="AZ29" s="47">
        <f t="shared" si="45"/>
        <v>0.87055000000000005</v>
      </c>
      <c r="BA29" s="46"/>
      <c r="BB29" s="33">
        <f t="shared" si="43"/>
        <v>2.0893200000000001E-2</v>
      </c>
    </row>
    <row r="30" spans="1:54" ht="43.5" customHeight="1" x14ac:dyDescent="0.25">
      <c r="A30" s="94" t="s">
        <v>124</v>
      </c>
      <c r="B30" s="65">
        <v>14</v>
      </c>
      <c r="C30" s="95" t="s">
        <v>163</v>
      </c>
      <c r="D30" s="65" t="s">
        <v>96</v>
      </c>
      <c r="E30" s="67" t="s">
        <v>164</v>
      </c>
      <c r="F30" s="68" t="s">
        <v>165</v>
      </c>
      <c r="G30" s="28">
        <f t="shared" si="21"/>
        <v>0.39269999999999999</v>
      </c>
      <c r="H30" s="28">
        <f t="shared" si="22"/>
        <v>1.4586000000000001</v>
      </c>
      <c r="I30" s="29">
        <v>0</v>
      </c>
      <c r="J30" s="30">
        <v>0</v>
      </c>
      <c r="K30" s="28">
        <f t="shared" si="23"/>
        <v>1.8513000000000002</v>
      </c>
      <c r="L30" s="28">
        <v>0</v>
      </c>
      <c r="M30" s="28">
        <f t="shared" si="24"/>
        <v>1.8513000000000002</v>
      </c>
      <c r="N30" s="31">
        <v>3.7499999999999999E-2</v>
      </c>
      <c r="O30" s="63" t="s">
        <v>91</v>
      </c>
      <c r="P30" s="33">
        <f t="shared" si="25"/>
        <v>1.8888000000000003</v>
      </c>
      <c r="Q30" s="34">
        <f t="shared" si="44"/>
        <v>1.8888000000000003</v>
      </c>
      <c r="R30" s="43">
        <v>0.92</v>
      </c>
      <c r="S30" s="35">
        <v>7</v>
      </c>
      <c r="T30" s="35">
        <v>56.1</v>
      </c>
      <c r="U30" s="35">
        <v>26</v>
      </c>
      <c r="V30" s="35">
        <v>56.1</v>
      </c>
      <c r="W30" s="31">
        <v>2.0499999999999998</v>
      </c>
      <c r="X30" s="36">
        <v>0.01</v>
      </c>
      <c r="Y30" s="37">
        <f t="shared" si="27"/>
        <v>2.0705</v>
      </c>
      <c r="Z30" s="31">
        <v>1.484</v>
      </c>
      <c r="AA30" s="38">
        <f t="shared" si="28"/>
        <v>-0.18169999999999975</v>
      </c>
      <c r="AB30" s="38">
        <f t="shared" si="29"/>
        <v>0.40480000000000027</v>
      </c>
      <c r="AC30" s="39" t="s">
        <v>99</v>
      </c>
      <c r="AD30" s="40" t="s">
        <v>100</v>
      </c>
      <c r="AE30" s="41" t="s">
        <v>101</v>
      </c>
      <c r="AF30" s="69">
        <v>1785</v>
      </c>
      <c r="AG30" s="69">
        <v>110</v>
      </c>
      <c r="AH30" s="69">
        <v>368</v>
      </c>
      <c r="AI30" s="43">
        <v>2.1999999999999999E-2</v>
      </c>
      <c r="AJ30" s="44">
        <f t="shared" si="30"/>
        <v>110</v>
      </c>
      <c r="AK30" s="44">
        <f t="shared" si="31"/>
        <v>112</v>
      </c>
      <c r="AL30" s="44">
        <f t="shared" si="32"/>
        <v>114</v>
      </c>
      <c r="AM30" s="44">
        <f t="shared" si="33"/>
        <v>117</v>
      </c>
      <c r="AN30" s="44">
        <f t="shared" si="34"/>
        <v>120</v>
      </c>
      <c r="AO30" s="44">
        <f t="shared" si="35"/>
        <v>123</v>
      </c>
      <c r="AP30" s="44">
        <f t="shared" si="36"/>
        <v>126</v>
      </c>
      <c r="AQ30" s="44">
        <f t="shared" si="37"/>
        <v>129</v>
      </c>
      <c r="AR30" s="44">
        <f t="shared" si="38"/>
        <v>132</v>
      </c>
      <c r="AS30" s="44">
        <f t="shared" si="39"/>
        <v>135</v>
      </c>
      <c r="AT30" s="44">
        <f t="shared" si="40"/>
        <v>138</v>
      </c>
      <c r="AU30" s="44">
        <f t="shared" si="41"/>
        <v>141</v>
      </c>
      <c r="AW30" s="45">
        <v>1</v>
      </c>
      <c r="AX30" s="45">
        <v>1.8512999999999999</v>
      </c>
      <c r="AY30" s="45">
        <v>1.8888</v>
      </c>
      <c r="AZ30" s="47">
        <f t="shared" si="45"/>
        <v>1.8888000000000003</v>
      </c>
      <c r="BA30" s="70">
        <v>3500</v>
      </c>
      <c r="BB30" s="33">
        <f t="shared" si="43"/>
        <v>0.20776800000000004</v>
      </c>
    </row>
    <row r="31" spans="1:54" ht="43.5" customHeight="1" x14ac:dyDescent="0.25">
      <c r="A31" s="94" t="s">
        <v>124</v>
      </c>
      <c r="B31" s="65">
        <v>15</v>
      </c>
      <c r="C31" s="95" t="s">
        <v>166</v>
      </c>
      <c r="D31" s="65" t="s">
        <v>96</v>
      </c>
      <c r="E31" s="67" t="s">
        <v>167</v>
      </c>
      <c r="F31" s="68" t="s">
        <v>168</v>
      </c>
      <c r="G31" s="28">
        <f t="shared" si="21"/>
        <v>0.39269999999999999</v>
      </c>
      <c r="H31" s="28">
        <f t="shared" si="22"/>
        <v>1.4586000000000001</v>
      </c>
      <c r="I31" s="29">
        <v>0</v>
      </c>
      <c r="J31" s="30">
        <v>0</v>
      </c>
      <c r="K31" s="28">
        <f t="shared" si="23"/>
        <v>1.8513000000000002</v>
      </c>
      <c r="L31" s="28">
        <v>0</v>
      </c>
      <c r="M31" s="28">
        <f t="shared" si="24"/>
        <v>1.8513000000000002</v>
      </c>
      <c r="N31" s="31">
        <v>3.7499999999999999E-2</v>
      </c>
      <c r="O31" s="63" t="s">
        <v>91</v>
      </c>
      <c r="P31" s="33">
        <f t="shared" si="25"/>
        <v>1.8888000000000003</v>
      </c>
      <c r="Q31" s="34">
        <f t="shared" si="44"/>
        <v>1.8888000000000003</v>
      </c>
      <c r="R31" s="43">
        <v>0.08</v>
      </c>
      <c r="S31" s="35">
        <v>7</v>
      </c>
      <c r="T31" s="35">
        <v>56.1</v>
      </c>
      <c r="U31" s="35">
        <v>26</v>
      </c>
      <c r="V31" s="35">
        <v>56.1</v>
      </c>
      <c r="W31" s="31">
        <v>2.0499999999999998</v>
      </c>
      <c r="X31" s="36">
        <v>0.01</v>
      </c>
      <c r="Y31" s="37">
        <f t="shared" si="27"/>
        <v>2.0705</v>
      </c>
      <c r="Z31" s="31">
        <v>1.484</v>
      </c>
      <c r="AA31" s="38">
        <f t="shared" si="28"/>
        <v>-0.18169999999999975</v>
      </c>
      <c r="AB31" s="38">
        <f t="shared" si="29"/>
        <v>0.40480000000000027</v>
      </c>
      <c r="AC31" s="39" t="s">
        <v>99</v>
      </c>
      <c r="AD31" s="40" t="s">
        <v>100</v>
      </c>
      <c r="AE31" s="41" t="s">
        <v>101</v>
      </c>
      <c r="AF31" s="69">
        <v>1785</v>
      </c>
      <c r="AG31" s="69">
        <v>10</v>
      </c>
      <c r="AH31" s="69">
        <v>32</v>
      </c>
      <c r="AI31" s="43">
        <v>2.1999999999999999E-2</v>
      </c>
      <c r="AJ31" s="44">
        <f t="shared" si="30"/>
        <v>10</v>
      </c>
      <c r="AK31" s="44">
        <f t="shared" si="31"/>
        <v>10</v>
      </c>
      <c r="AL31" s="44">
        <f t="shared" si="32"/>
        <v>10</v>
      </c>
      <c r="AM31" s="44">
        <f t="shared" si="33"/>
        <v>10</v>
      </c>
      <c r="AN31" s="44">
        <f t="shared" si="34"/>
        <v>10</v>
      </c>
      <c r="AO31" s="44">
        <f t="shared" si="35"/>
        <v>10</v>
      </c>
      <c r="AP31" s="44">
        <f t="shared" si="36"/>
        <v>10</v>
      </c>
      <c r="AQ31" s="44">
        <f t="shared" si="37"/>
        <v>10</v>
      </c>
      <c r="AR31" s="44">
        <f t="shared" si="38"/>
        <v>10</v>
      </c>
      <c r="AS31" s="44">
        <f t="shared" si="39"/>
        <v>10</v>
      </c>
      <c r="AT31" s="44">
        <f t="shared" si="40"/>
        <v>10</v>
      </c>
      <c r="AU31" s="44">
        <f t="shared" si="41"/>
        <v>10</v>
      </c>
      <c r="AW31" s="45">
        <v>1</v>
      </c>
      <c r="AX31" s="45">
        <v>1.8512999999999999</v>
      </c>
      <c r="AY31" s="45">
        <v>1.8888</v>
      </c>
      <c r="AZ31" s="47">
        <f t="shared" si="45"/>
        <v>1.8888000000000003</v>
      </c>
      <c r="BA31" s="70">
        <v>3500</v>
      </c>
      <c r="BB31" s="33">
        <f t="shared" si="43"/>
        <v>1.8888000000000002E-2</v>
      </c>
    </row>
    <row r="32" spans="1:54" ht="43.5" customHeight="1" x14ac:dyDescent="0.25">
      <c r="A32" s="96" t="s">
        <v>124</v>
      </c>
      <c r="B32" s="72">
        <v>16</v>
      </c>
      <c r="C32" s="97" t="s">
        <v>169</v>
      </c>
      <c r="D32" s="72" t="s">
        <v>103</v>
      </c>
      <c r="E32" s="74" t="s">
        <v>170</v>
      </c>
      <c r="F32" s="75" t="s">
        <v>171</v>
      </c>
      <c r="G32" s="28">
        <f t="shared" si="21"/>
        <v>0.11220000000000001</v>
      </c>
      <c r="H32" s="28">
        <f t="shared" si="22"/>
        <v>0</v>
      </c>
      <c r="I32" s="29">
        <v>-0.73299999999999998</v>
      </c>
      <c r="J32" s="30">
        <v>0</v>
      </c>
      <c r="K32" s="28">
        <f t="shared" si="23"/>
        <v>-0.62080000000000002</v>
      </c>
      <c r="L32" s="28">
        <f>AW32*AY32</f>
        <v>1.0709495999999998</v>
      </c>
      <c r="M32" s="28">
        <f t="shared" si="24"/>
        <v>0.45014959999999982</v>
      </c>
      <c r="N32" s="31">
        <v>3.7499999999999999E-2</v>
      </c>
      <c r="O32" s="63" t="s">
        <v>91</v>
      </c>
      <c r="P32" s="33">
        <f t="shared" si="25"/>
        <v>0.48764959999999979</v>
      </c>
      <c r="Q32" s="34">
        <f t="shared" si="44"/>
        <v>0.48764959999999979</v>
      </c>
      <c r="R32" s="43">
        <v>1</v>
      </c>
      <c r="S32" s="35">
        <v>2</v>
      </c>
      <c r="T32" s="35">
        <v>56.1</v>
      </c>
      <c r="U32" s="35">
        <v>0</v>
      </c>
      <c r="V32" s="35">
        <v>0</v>
      </c>
      <c r="W32" s="31">
        <v>1.39</v>
      </c>
      <c r="X32" s="36">
        <v>0.01</v>
      </c>
      <c r="Y32" s="37">
        <f t="shared" si="27"/>
        <v>1.4038999999999999</v>
      </c>
      <c r="Z32" s="31">
        <v>0.90200000000000002</v>
      </c>
      <c r="AA32" s="38">
        <f t="shared" si="28"/>
        <v>-0.91625040000000013</v>
      </c>
      <c r="AB32" s="38">
        <f t="shared" si="29"/>
        <v>-0.41435040000000023</v>
      </c>
      <c r="AC32" s="39" t="s">
        <v>106</v>
      </c>
      <c r="AD32" s="40" t="s">
        <v>107</v>
      </c>
      <c r="AE32" s="41" t="s">
        <v>108</v>
      </c>
      <c r="AF32" s="42">
        <v>2800</v>
      </c>
      <c r="AG32" s="69">
        <v>1600</v>
      </c>
      <c r="AH32" s="69">
        <v>2200</v>
      </c>
      <c r="AI32" s="43">
        <v>2.1999999999999999E-2</v>
      </c>
      <c r="AJ32" s="44">
        <f t="shared" si="30"/>
        <v>1600</v>
      </c>
      <c r="AK32" s="44">
        <f t="shared" si="31"/>
        <v>1635</v>
      </c>
      <c r="AL32" s="44">
        <f t="shared" si="32"/>
        <v>1671</v>
      </c>
      <c r="AM32" s="44">
        <f t="shared" si="33"/>
        <v>1708</v>
      </c>
      <c r="AN32" s="44">
        <f t="shared" si="34"/>
        <v>1746</v>
      </c>
      <c r="AO32" s="44">
        <f t="shared" si="35"/>
        <v>1784</v>
      </c>
      <c r="AP32" s="44">
        <f t="shared" si="36"/>
        <v>1823</v>
      </c>
      <c r="AQ32" s="44">
        <f t="shared" si="37"/>
        <v>1863</v>
      </c>
      <c r="AR32" s="44">
        <f t="shared" si="38"/>
        <v>1904</v>
      </c>
      <c r="AS32" s="44">
        <f t="shared" si="39"/>
        <v>1946</v>
      </c>
      <c r="AT32" s="44">
        <f t="shared" si="40"/>
        <v>1989</v>
      </c>
      <c r="AU32" s="44">
        <f t="shared" si="41"/>
        <v>2033</v>
      </c>
      <c r="AW32" s="45">
        <v>0.56699999999999995</v>
      </c>
      <c r="AX32" s="45">
        <v>1.8512999999999999</v>
      </c>
      <c r="AY32" s="45">
        <v>1.8888</v>
      </c>
      <c r="AZ32" s="47">
        <f t="shared" si="45"/>
        <v>-0.58330000000000004</v>
      </c>
      <c r="BA32" s="46"/>
      <c r="BB32" s="33">
        <f t="shared" si="43"/>
        <v>0.78023935999999972</v>
      </c>
    </row>
    <row r="33" spans="1:54" ht="43.5" customHeight="1" x14ac:dyDescent="0.25">
      <c r="A33" s="98" t="s">
        <v>124</v>
      </c>
      <c r="B33" s="77">
        <v>17</v>
      </c>
      <c r="C33" s="99" t="s">
        <v>109</v>
      </c>
      <c r="D33" s="77" t="s">
        <v>110</v>
      </c>
      <c r="E33" s="79" t="s">
        <v>172</v>
      </c>
      <c r="F33" s="80" t="s">
        <v>173</v>
      </c>
      <c r="G33" s="28">
        <f t="shared" si="21"/>
        <v>0.11220000000000001</v>
      </c>
      <c r="H33" s="28">
        <f t="shared" si="22"/>
        <v>0</v>
      </c>
      <c r="I33" s="29">
        <v>0</v>
      </c>
      <c r="J33" s="30">
        <v>2.5</v>
      </c>
      <c r="K33" s="28">
        <f t="shared" si="23"/>
        <v>2.6122000000000001</v>
      </c>
      <c r="L33" s="28">
        <f>AW33*AY33</f>
        <v>0.40137</v>
      </c>
      <c r="M33" s="28">
        <f t="shared" si="24"/>
        <v>3.0135700000000001</v>
      </c>
      <c r="N33" s="31">
        <v>4.3749999999999997E-2</v>
      </c>
      <c r="O33" s="63" t="s">
        <v>91</v>
      </c>
      <c r="P33" s="33">
        <f t="shared" si="25"/>
        <v>3.0573200000000003</v>
      </c>
      <c r="Q33" s="34">
        <f t="shared" si="44"/>
        <v>3.0573200000000003</v>
      </c>
      <c r="R33" s="43">
        <v>0.55000000000000004</v>
      </c>
      <c r="S33" s="35">
        <v>2</v>
      </c>
      <c r="T33" s="35">
        <v>56.1</v>
      </c>
      <c r="U33" s="35">
        <v>0</v>
      </c>
      <c r="V33" s="35">
        <v>0</v>
      </c>
      <c r="W33" s="31">
        <v>2.64</v>
      </c>
      <c r="X33" s="36">
        <v>0.01</v>
      </c>
      <c r="Y33" s="37">
        <f t="shared" si="27"/>
        <v>2.6664000000000003</v>
      </c>
      <c r="Z33" s="31">
        <v>0.30199999999999999</v>
      </c>
      <c r="AA33" s="38">
        <f t="shared" si="28"/>
        <v>0.39091999999999993</v>
      </c>
      <c r="AB33" s="38">
        <f t="shared" si="29"/>
        <v>2.7553200000000002</v>
      </c>
      <c r="AC33" s="39" t="s">
        <v>113</v>
      </c>
      <c r="AD33" s="40" t="s">
        <v>114</v>
      </c>
      <c r="AE33" s="41" t="s">
        <v>115</v>
      </c>
      <c r="AF33" s="42">
        <v>600</v>
      </c>
      <c r="AG33" s="69">
        <v>44</v>
      </c>
      <c r="AH33" s="69">
        <v>138</v>
      </c>
      <c r="AI33" s="43">
        <v>2.1999999999999999E-2</v>
      </c>
      <c r="AJ33" s="44">
        <f t="shared" si="30"/>
        <v>44</v>
      </c>
      <c r="AK33" s="44">
        <f t="shared" si="31"/>
        <v>45</v>
      </c>
      <c r="AL33" s="44">
        <f t="shared" si="32"/>
        <v>46</v>
      </c>
      <c r="AM33" s="44">
        <f t="shared" si="33"/>
        <v>47</v>
      </c>
      <c r="AN33" s="44">
        <f t="shared" si="34"/>
        <v>48</v>
      </c>
      <c r="AO33" s="44">
        <f t="shared" si="35"/>
        <v>49</v>
      </c>
      <c r="AP33" s="44">
        <f t="shared" si="36"/>
        <v>50</v>
      </c>
      <c r="AQ33" s="44">
        <f t="shared" si="37"/>
        <v>51</v>
      </c>
      <c r="AR33" s="44">
        <f t="shared" si="38"/>
        <v>52</v>
      </c>
      <c r="AS33" s="44">
        <f t="shared" si="39"/>
        <v>53</v>
      </c>
      <c r="AT33" s="44">
        <f t="shared" si="40"/>
        <v>54</v>
      </c>
      <c r="AU33" s="44">
        <f t="shared" si="41"/>
        <v>55</v>
      </c>
      <c r="AW33" s="45">
        <v>0.21249999999999999</v>
      </c>
      <c r="AX33" s="45">
        <v>1.8512999999999999</v>
      </c>
      <c r="AY33" s="45">
        <v>1.8888</v>
      </c>
      <c r="AZ33" s="47">
        <f t="shared" si="45"/>
        <v>2.6559500000000003</v>
      </c>
      <c r="BA33" s="46"/>
      <c r="BB33" s="33">
        <f t="shared" si="43"/>
        <v>0.13452208000000002</v>
      </c>
    </row>
    <row r="34" spans="1:54" ht="43.5" customHeight="1" x14ac:dyDescent="0.25">
      <c r="A34" s="98" t="s">
        <v>124</v>
      </c>
      <c r="B34" s="77">
        <v>18</v>
      </c>
      <c r="C34" s="99" t="s">
        <v>174</v>
      </c>
      <c r="D34" s="77" t="s">
        <v>110</v>
      </c>
      <c r="E34" s="79" t="s">
        <v>175</v>
      </c>
      <c r="F34" s="80" t="s">
        <v>176</v>
      </c>
      <c r="G34" s="28">
        <f t="shared" si="21"/>
        <v>0.11220000000000001</v>
      </c>
      <c r="H34" s="28">
        <f t="shared" si="22"/>
        <v>0</v>
      </c>
      <c r="I34" s="29">
        <v>0</v>
      </c>
      <c r="J34" s="30">
        <v>2.5</v>
      </c>
      <c r="K34" s="28">
        <f t="shared" si="23"/>
        <v>2.6122000000000001</v>
      </c>
      <c r="L34" s="28">
        <f>AW34*AY34</f>
        <v>0.40137</v>
      </c>
      <c r="M34" s="28">
        <f t="shared" si="24"/>
        <v>3.0135700000000001</v>
      </c>
      <c r="N34" s="31">
        <v>4.3749999999999997E-2</v>
      </c>
      <c r="O34" s="63" t="s">
        <v>91</v>
      </c>
      <c r="P34" s="33">
        <f t="shared" si="25"/>
        <v>3.0573200000000003</v>
      </c>
      <c r="Q34" s="34">
        <f t="shared" si="44"/>
        <v>3.0573200000000003</v>
      </c>
      <c r="R34" s="43">
        <v>0.35</v>
      </c>
      <c r="S34" s="35">
        <v>2</v>
      </c>
      <c r="T34" s="35">
        <v>56.1</v>
      </c>
      <c r="U34" s="35">
        <v>0</v>
      </c>
      <c r="V34" s="35">
        <v>0</v>
      </c>
      <c r="W34" s="31">
        <v>2.64</v>
      </c>
      <c r="X34" s="36">
        <v>0.01</v>
      </c>
      <c r="Y34" s="37">
        <f t="shared" si="27"/>
        <v>2.6664000000000003</v>
      </c>
      <c r="Z34" s="31">
        <v>0.30199999999999999</v>
      </c>
      <c r="AA34" s="38">
        <f t="shared" si="28"/>
        <v>0.39091999999999993</v>
      </c>
      <c r="AB34" s="38">
        <f t="shared" si="29"/>
        <v>2.7553200000000002</v>
      </c>
      <c r="AC34" s="39" t="s">
        <v>113</v>
      </c>
      <c r="AD34" s="40" t="s">
        <v>114</v>
      </c>
      <c r="AE34" s="41" t="s">
        <v>115</v>
      </c>
      <c r="AF34" s="42">
        <v>600</v>
      </c>
      <c r="AG34" s="69">
        <v>28</v>
      </c>
      <c r="AH34" s="69">
        <v>88</v>
      </c>
      <c r="AI34" s="43">
        <v>2.1999999999999999E-2</v>
      </c>
      <c r="AJ34" s="44">
        <f t="shared" si="30"/>
        <v>28</v>
      </c>
      <c r="AK34" s="44">
        <f t="shared" si="31"/>
        <v>29</v>
      </c>
      <c r="AL34" s="44">
        <f t="shared" si="32"/>
        <v>30</v>
      </c>
      <c r="AM34" s="44">
        <f t="shared" si="33"/>
        <v>31</v>
      </c>
      <c r="AN34" s="44">
        <f t="shared" si="34"/>
        <v>32</v>
      </c>
      <c r="AO34" s="44">
        <f t="shared" si="35"/>
        <v>33</v>
      </c>
      <c r="AP34" s="44">
        <f t="shared" si="36"/>
        <v>34</v>
      </c>
      <c r="AQ34" s="44">
        <f t="shared" si="37"/>
        <v>35</v>
      </c>
      <c r="AR34" s="44">
        <f t="shared" si="38"/>
        <v>36</v>
      </c>
      <c r="AS34" s="44">
        <f t="shared" si="39"/>
        <v>37</v>
      </c>
      <c r="AT34" s="44">
        <f t="shared" si="40"/>
        <v>38</v>
      </c>
      <c r="AU34" s="44">
        <f t="shared" si="41"/>
        <v>39</v>
      </c>
      <c r="AW34" s="45">
        <v>0.21249999999999999</v>
      </c>
      <c r="AX34" s="45">
        <v>1.8512999999999999</v>
      </c>
      <c r="AY34" s="45">
        <v>1.8888</v>
      </c>
      <c r="AZ34" s="47">
        <f t="shared" si="45"/>
        <v>2.6559500000000003</v>
      </c>
      <c r="BA34" s="46"/>
      <c r="BB34" s="33">
        <f t="shared" si="43"/>
        <v>8.5604960000000008E-2</v>
      </c>
    </row>
    <row r="35" spans="1:54" ht="43.5" customHeight="1" x14ac:dyDescent="0.25">
      <c r="A35" s="98" t="s">
        <v>124</v>
      </c>
      <c r="B35" s="77">
        <v>19</v>
      </c>
      <c r="C35" s="99" t="s">
        <v>177</v>
      </c>
      <c r="D35" s="77" t="s">
        <v>110</v>
      </c>
      <c r="E35" s="79" t="s">
        <v>178</v>
      </c>
      <c r="F35" s="80" t="s">
        <v>179</v>
      </c>
      <c r="G35" s="28">
        <f t="shared" si="21"/>
        <v>0.11220000000000001</v>
      </c>
      <c r="H35" s="28">
        <f t="shared" si="22"/>
        <v>0</v>
      </c>
      <c r="I35" s="29">
        <v>0</v>
      </c>
      <c r="J35" s="30">
        <v>2.5</v>
      </c>
      <c r="K35" s="28">
        <f t="shared" si="23"/>
        <v>2.6122000000000001</v>
      </c>
      <c r="L35" s="28">
        <f>AW35*AY35</f>
        <v>0.40137</v>
      </c>
      <c r="M35" s="28">
        <f t="shared" si="24"/>
        <v>3.0135700000000001</v>
      </c>
      <c r="N35" s="31">
        <v>4.3749999999999997E-2</v>
      </c>
      <c r="O35" s="63" t="s">
        <v>91</v>
      </c>
      <c r="P35" s="33">
        <f t="shared" si="25"/>
        <v>3.0573200000000003</v>
      </c>
      <c r="Q35" s="34">
        <f t="shared" si="44"/>
        <v>3.0573200000000003</v>
      </c>
      <c r="R35" s="43">
        <v>0.1</v>
      </c>
      <c r="S35" s="35">
        <v>2</v>
      </c>
      <c r="T35" s="35">
        <v>56.1</v>
      </c>
      <c r="U35" s="35">
        <v>0</v>
      </c>
      <c r="V35" s="35">
        <v>0</v>
      </c>
      <c r="W35" s="31">
        <v>2.64</v>
      </c>
      <c r="X35" s="36">
        <v>0.01</v>
      </c>
      <c r="Y35" s="37">
        <f t="shared" si="27"/>
        <v>2.6664000000000003</v>
      </c>
      <c r="Z35" s="31">
        <v>0.30199999999999999</v>
      </c>
      <c r="AA35" s="38">
        <f t="shared" si="28"/>
        <v>0.39091999999999993</v>
      </c>
      <c r="AB35" s="38">
        <f t="shared" si="29"/>
        <v>2.7553200000000002</v>
      </c>
      <c r="AC35" s="39" t="s">
        <v>113</v>
      </c>
      <c r="AD35" s="40" t="s">
        <v>114</v>
      </c>
      <c r="AE35" s="41" t="s">
        <v>115</v>
      </c>
      <c r="AF35" s="42">
        <v>600</v>
      </c>
      <c r="AG35" s="69">
        <v>8</v>
      </c>
      <c r="AH35" s="69">
        <v>25</v>
      </c>
      <c r="AI35" s="43">
        <v>2.1999999999999999E-2</v>
      </c>
      <c r="AJ35" s="44">
        <f t="shared" si="30"/>
        <v>8</v>
      </c>
      <c r="AK35" s="44">
        <f t="shared" si="31"/>
        <v>8</v>
      </c>
      <c r="AL35" s="44">
        <f t="shared" si="32"/>
        <v>8</v>
      </c>
      <c r="AM35" s="44">
        <f t="shared" si="33"/>
        <v>8</v>
      </c>
      <c r="AN35" s="44">
        <f t="shared" si="34"/>
        <v>8</v>
      </c>
      <c r="AO35" s="44">
        <f t="shared" si="35"/>
        <v>8</v>
      </c>
      <c r="AP35" s="44">
        <f t="shared" si="36"/>
        <v>8</v>
      </c>
      <c r="AQ35" s="44">
        <f t="shared" si="37"/>
        <v>8</v>
      </c>
      <c r="AR35" s="44">
        <f t="shared" si="38"/>
        <v>8</v>
      </c>
      <c r="AS35" s="44">
        <f t="shared" si="39"/>
        <v>8</v>
      </c>
      <c r="AT35" s="44">
        <f t="shared" si="40"/>
        <v>8</v>
      </c>
      <c r="AU35" s="44">
        <f t="shared" si="41"/>
        <v>8</v>
      </c>
      <c r="AW35" s="45">
        <v>0.21249999999999999</v>
      </c>
      <c r="AX35" s="45">
        <v>1.8512999999999999</v>
      </c>
      <c r="AY35" s="45">
        <v>1.8888</v>
      </c>
      <c r="AZ35" s="47">
        <f t="shared" si="45"/>
        <v>2.6559500000000003</v>
      </c>
      <c r="BA35" s="46"/>
      <c r="BB35" s="33">
        <f t="shared" si="43"/>
        <v>2.4458560000000001E-2</v>
      </c>
    </row>
    <row r="36" spans="1:54" ht="43.5" customHeight="1" x14ac:dyDescent="0.25">
      <c r="A36" s="100" t="s">
        <v>124</v>
      </c>
      <c r="B36" s="82">
        <v>20</v>
      </c>
      <c r="C36" s="101" t="s">
        <v>180</v>
      </c>
      <c r="D36" s="82" t="s">
        <v>117</v>
      </c>
      <c r="E36" s="84" t="s">
        <v>181</v>
      </c>
      <c r="F36" s="85" t="s">
        <v>182</v>
      </c>
      <c r="G36" s="28">
        <f t="shared" si="21"/>
        <v>0.156</v>
      </c>
      <c r="H36" s="28">
        <f t="shared" si="22"/>
        <v>0</v>
      </c>
      <c r="I36" s="29">
        <v>1.5</v>
      </c>
      <c r="J36" s="30">
        <v>0.7</v>
      </c>
      <c r="K36" s="28">
        <f t="shared" si="23"/>
        <v>2.3559999999999999</v>
      </c>
      <c r="L36" s="28">
        <v>0</v>
      </c>
      <c r="M36" s="28">
        <f t="shared" si="24"/>
        <v>2.3559999999999999</v>
      </c>
      <c r="N36" s="31">
        <v>6.75</v>
      </c>
      <c r="O36" s="32" t="s">
        <v>71</v>
      </c>
      <c r="P36" s="33">
        <f t="shared" si="25"/>
        <v>9.1059999999999999</v>
      </c>
      <c r="Q36" s="34">
        <f>P36-N36</f>
        <v>2.3559999999999999</v>
      </c>
      <c r="R36" s="43">
        <v>0.6</v>
      </c>
      <c r="S36" s="35">
        <v>2</v>
      </c>
      <c r="T36" s="35">
        <v>78</v>
      </c>
      <c r="U36" s="35">
        <v>0</v>
      </c>
      <c r="V36" s="35">
        <v>0</v>
      </c>
      <c r="W36" s="31">
        <v>2.06</v>
      </c>
      <c r="X36" s="36">
        <v>0.1</v>
      </c>
      <c r="Y36" s="37">
        <f t="shared" si="27"/>
        <v>2.2660000000000005</v>
      </c>
      <c r="Z36" s="31">
        <v>1.423</v>
      </c>
      <c r="AA36" s="38">
        <f t="shared" si="28"/>
        <v>8.9999999999999414E-2</v>
      </c>
      <c r="AB36" s="38">
        <f t="shared" si="29"/>
        <v>0.93299999999999983</v>
      </c>
      <c r="AC36" s="39" t="s">
        <v>120</v>
      </c>
      <c r="AD36" s="40" t="s">
        <v>121</v>
      </c>
      <c r="AE36" s="41" t="s">
        <v>122</v>
      </c>
      <c r="AF36" s="42">
        <v>300</v>
      </c>
      <c r="AG36" s="69">
        <v>100</v>
      </c>
      <c r="AH36" s="69">
        <v>104</v>
      </c>
      <c r="AI36" s="43">
        <v>5.5E-2</v>
      </c>
      <c r="AJ36" s="44">
        <f t="shared" si="30"/>
        <v>100</v>
      </c>
      <c r="AK36" s="44">
        <f t="shared" si="31"/>
        <v>106</v>
      </c>
      <c r="AL36" s="44">
        <f t="shared" si="32"/>
        <v>112</v>
      </c>
      <c r="AM36" s="44">
        <f t="shared" si="33"/>
        <v>118</v>
      </c>
      <c r="AN36" s="44">
        <f t="shared" si="34"/>
        <v>124</v>
      </c>
      <c r="AO36" s="44">
        <f t="shared" si="35"/>
        <v>131</v>
      </c>
      <c r="AP36" s="44">
        <f t="shared" si="36"/>
        <v>138</v>
      </c>
      <c r="AQ36" s="44">
        <f t="shared" si="37"/>
        <v>146</v>
      </c>
      <c r="AR36" s="44">
        <f t="shared" si="38"/>
        <v>154</v>
      </c>
      <c r="AS36" s="44">
        <f t="shared" si="39"/>
        <v>162</v>
      </c>
      <c r="AT36" s="44">
        <f t="shared" si="40"/>
        <v>171</v>
      </c>
      <c r="AU36" s="44">
        <f t="shared" si="41"/>
        <v>180</v>
      </c>
      <c r="AW36" s="45"/>
      <c r="AX36" s="46"/>
      <c r="AY36" s="46"/>
      <c r="AZ36" s="47">
        <f>K36</f>
        <v>2.3559999999999999</v>
      </c>
      <c r="BA36" s="46"/>
      <c r="BB36" s="33">
        <f t="shared" si="43"/>
        <v>0.2356</v>
      </c>
    </row>
    <row r="37" spans="1:54" ht="43.5" customHeight="1" x14ac:dyDescent="0.25">
      <c r="A37" s="100" t="s">
        <v>124</v>
      </c>
      <c r="B37" s="82">
        <v>21</v>
      </c>
      <c r="C37" s="101" t="s">
        <v>183</v>
      </c>
      <c r="D37" s="82" t="s">
        <v>117</v>
      </c>
      <c r="E37" s="84" t="s">
        <v>184</v>
      </c>
      <c r="F37" s="85" t="s">
        <v>185</v>
      </c>
      <c r="G37" s="28">
        <f t="shared" si="21"/>
        <v>0.156</v>
      </c>
      <c r="H37" s="28">
        <f t="shared" si="22"/>
        <v>0</v>
      </c>
      <c r="I37" s="29">
        <v>1.5</v>
      </c>
      <c r="J37" s="30">
        <v>0.7</v>
      </c>
      <c r="K37" s="28">
        <f t="shared" si="23"/>
        <v>2.3559999999999999</v>
      </c>
      <c r="L37" s="28">
        <v>0</v>
      </c>
      <c r="M37" s="28">
        <f t="shared" si="24"/>
        <v>2.3559999999999999</v>
      </c>
      <c r="N37" s="31">
        <v>6.75</v>
      </c>
      <c r="O37" s="32" t="s">
        <v>71</v>
      </c>
      <c r="P37" s="33">
        <f t="shared" si="25"/>
        <v>9.1059999999999999</v>
      </c>
      <c r="Q37" s="34">
        <f>P37-N37</f>
        <v>2.3559999999999999</v>
      </c>
      <c r="R37" s="43">
        <v>0.22</v>
      </c>
      <c r="S37" s="35">
        <v>2</v>
      </c>
      <c r="T37" s="35">
        <v>78</v>
      </c>
      <c r="U37" s="35">
        <v>0</v>
      </c>
      <c r="V37" s="35">
        <v>0</v>
      </c>
      <c r="W37" s="31">
        <v>2.06</v>
      </c>
      <c r="X37" s="36">
        <v>0.1</v>
      </c>
      <c r="Y37" s="37">
        <f t="shared" si="27"/>
        <v>2.2660000000000005</v>
      </c>
      <c r="Z37" s="31">
        <v>1.423</v>
      </c>
      <c r="AA37" s="38">
        <f t="shared" si="28"/>
        <v>8.9999999999999414E-2</v>
      </c>
      <c r="AB37" s="38">
        <f t="shared" si="29"/>
        <v>0.93299999999999983</v>
      </c>
      <c r="AC37" s="39" t="s">
        <v>120</v>
      </c>
      <c r="AD37" s="40" t="s">
        <v>121</v>
      </c>
      <c r="AE37" s="41" t="s">
        <v>122</v>
      </c>
      <c r="AF37" s="42">
        <v>300</v>
      </c>
      <c r="AG37" s="69">
        <v>37</v>
      </c>
      <c r="AH37" s="69">
        <v>38</v>
      </c>
      <c r="AI37" s="43">
        <v>5.5E-2</v>
      </c>
      <c r="AJ37" s="44">
        <f t="shared" si="30"/>
        <v>37</v>
      </c>
      <c r="AK37" s="44">
        <f t="shared" si="31"/>
        <v>39</v>
      </c>
      <c r="AL37" s="44">
        <f t="shared" si="32"/>
        <v>41</v>
      </c>
      <c r="AM37" s="44">
        <f t="shared" si="33"/>
        <v>43</v>
      </c>
      <c r="AN37" s="44">
        <f t="shared" si="34"/>
        <v>45</v>
      </c>
      <c r="AO37" s="44">
        <f t="shared" si="35"/>
        <v>47</v>
      </c>
      <c r="AP37" s="44">
        <f t="shared" si="36"/>
        <v>50</v>
      </c>
      <c r="AQ37" s="44">
        <f t="shared" si="37"/>
        <v>53</v>
      </c>
      <c r="AR37" s="44">
        <f t="shared" si="38"/>
        <v>56</v>
      </c>
      <c r="AS37" s="44">
        <f t="shared" si="39"/>
        <v>59</v>
      </c>
      <c r="AT37" s="44">
        <f t="shared" si="40"/>
        <v>62</v>
      </c>
      <c r="AU37" s="44">
        <f t="shared" si="41"/>
        <v>65</v>
      </c>
      <c r="AW37" s="45"/>
      <c r="AX37" s="46"/>
      <c r="AY37" s="46"/>
      <c r="AZ37" s="47">
        <f>K37</f>
        <v>2.3559999999999999</v>
      </c>
      <c r="BA37" s="46"/>
      <c r="BB37" s="33">
        <f t="shared" si="43"/>
        <v>8.7171999999999999E-2</v>
      </c>
    </row>
    <row r="38" spans="1:54" ht="43.5" customHeight="1" x14ac:dyDescent="0.25">
      <c r="A38" s="100" t="s">
        <v>124</v>
      </c>
      <c r="B38" s="82">
        <v>22</v>
      </c>
      <c r="C38" s="101" t="s">
        <v>186</v>
      </c>
      <c r="D38" s="82" t="s">
        <v>117</v>
      </c>
      <c r="E38" s="84" t="s">
        <v>187</v>
      </c>
      <c r="F38" s="85" t="s">
        <v>188</v>
      </c>
      <c r="G38" s="28">
        <f t="shared" si="21"/>
        <v>0.156</v>
      </c>
      <c r="H38" s="28">
        <f t="shared" si="22"/>
        <v>0</v>
      </c>
      <c r="I38" s="29">
        <v>1.5</v>
      </c>
      <c r="J38" s="30">
        <v>0.7</v>
      </c>
      <c r="K38" s="28">
        <f t="shared" si="23"/>
        <v>2.3559999999999999</v>
      </c>
      <c r="L38" s="28">
        <v>0</v>
      </c>
      <c r="M38" s="28">
        <f t="shared" si="24"/>
        <v>2.3559999999999999</v>
      </c>
      <c r="N38" s="31">
        <v>6.75</v>
      </c>
      <c r="O38" s="32" t="s">
        <v>71</v>
      </c>
      <c r="P38" s="33">
        <f t="shared" si="25"/>
        <v>9.1059999999999999</v>
      </c>
      <c r="Q38" s="34">
        <f>P38-N38</f>
        <v>2.3559999999999999</v>
      </c>
      <c r="R38" s="43">
        <v>0.1</v>
      </c>
      <c r="S38" s="35">
        <v>2</v>
      </c>
      <c r="T38" s="35">
        <v>78</v>
      </c>
      <c r="U38" s="35">
        <v>0</v>
      </c>
      <c r="V38" s="35">
        <v>0</v>
      </c>
      <c r="W38" s="31">
        <v>2.06</v>
      </c>
      <c r="X38" s="36">
        <v>0.1</v>
      </c>
      <c r="Y38" s="37">
        <f t="shared" si="27"/>
        <v>2.2660000000000005</v>
      </c>
      <c r="Z38" s="31">
        <v>1.423</v>
      </c>
      <c r="AA38" s="38">
        <f t="shared" si="28"/>
        <v>8.9999999999999414E-2</v>
      </c>
      <c r="AB38" s="38">
        <f t="shared" si="29"/>
        <v>0.93299999999999983</v>
      </c>
      <c r="AC38" s="39" t="s">
        <v>120</v>
      </c>
      <c r="AD38" s="40" t="s">
        <v>121</v>
      </c>
      <c r="AE38" s="41" t="s">
        <v>122</v>
      </c>
      <c r="AF38" s="42">
        <v>300</v>
      </c>
      <c r="AG38" s="69">
        <v>17</v>
      </c>
      <c r="AH38" s="69">
        <v>17</v>
      </c>
      <c r="AI38" s="43">
        <v>5.5E-2</v>
      </c>
      <c r="AJ38" s="44">
        <f t="shared" si="30"/>
        <v>17</v>
      </c>
      <c r="AK38" s="44">
        <f t="shared" si="31"/>
        <v>18</v>
      </c>
      <c r="AL38" s="44">
        <f t="shared" si="32"/>
        <v>19</v>
      </c>
      <c r="AM38" s="44">
        <f t="shared" si="33"/>
        <v>20</v>
      </c>
      <c r="AN38" s="44">
        <f t="shared" si="34"/>
        <v>21</v>
      </c>
      <c r="AO38" s="44">
        <f t="shared" si="35"/>
        <v>22</v>
      </c>
      <c r="AP38" s="44">
        <f t="shared" si="36"/>
        <v>23</v>
      </c>
      <c r="AQ38" s="44">
        <f t="shared" si="37"/>
        <v>24</v>
      </c>
      <c r="AR38" s="44">
        <f t="shared" si="38"/>
        <v>25</v>
      </c>
      <c r="AS38" s="44">
        <f t="shared" si="39"/>
        <v>26</v>
      </c>
      <c r="AT38" s="44">
        <f t="shared" si="40"/>
        <v>27</v>
      </c>
      <c r="AU38" s="44">
        <f t="shared" si="41"/>
        <v>28</v>
      </c>
      <c r="AW38" s="45"/>
      <c r="AX38" s="46"/>
      <c r="AY38" s="46"/>
      <c r="AZ38" s="47">
        <f>K38</f>
        <v>2.3559999999999999</v>
      </c>
      <c r="BA38" s="46"/>
      <c r="BB38" s="33">
        <f t="shared" si="43"/>
        <v>4.0051999999999997E-2</v>
      </c>
    </row>
    <row r="39" spans="1:54" ht="43.5" customHeight="1" x14ac:dyDescent="0.25">
      <c r="A39" s="100" t="s">
        <v>124</v>
      </c>
      <c r="B39" s="82">
        <v>23</v>
      </c>
      <c r="C39" s="101" t="s">
        <v>189</v>
      </c>
      <c r="D39" s="82" t="s">
        <v>117</v>
      </c>
      <c r="E39" s="84" t="s">
        <v>190</v>
      </c>
      <c r="F39" s="85" t="s">
        <v>191</v>
      </c>
      <c r="G39" s="28">
        <f t="shared" si="21"/>
        <v>0.156</v>
      </c>
      <c r="H39" s="28">
        <f t="shared" si="22"/>
        <v>0</v>
      </c>
      <c r="I39" s="29">
        <v>1.5</v>
      </c>
      <c r="J39" s="30">
        <v>0.7</v>
      </c>
      <c r="K39" s="28">
        <f t="shared" si="23"/>
        <v>2.3559999999999999</v>
      </c>
      <c r="L39" s="28">
        <v>0</v>
      </c>
      <c r="M39" s="28">
        <f t="shared" si="24"/>
        <v>2.3559999999999999</v>
      </c>
      <c r="N39" s="31">
        <v>6.75</v>
      </c>
      <c r="O39" s="32" t="s">
        <v>71</v>
      </c>
      <c r="P39" s="33">
        <f t="shared" si="25"/>
        <v>9.1059999999999999</v>
      </c>
      <c r="Q39" s="34">
        <f>P39-N39</f>
        <v>2.3559999999999999</v>
      </c>
      <c r="R39" s="43">
        <v>0.06</v>
      </c>
      <c r="S39" s="35">
        <v>2</v>
      </c>
      <c r="T39" s="35">
        <v>78</v>
      </c>
      <c r="U39" s="35">
        <v>0</v>
      </c>
      <c r="V39" s="35">
        <v>0</v>
      </c>
      <c r="W39" s="31">
        <v>2.06</v>
      </c>
      <c r="X39" s="36">
        <v>0.1</v>
      </c>
      <c r="Y39" s="37">
        <f t="shared" si="27"/>
        <v>2.2660000000000005</v>
      </c>
      <c r="Z39" s="31">
        <v>1.423</v>
      </c>
      <c r="AA39" s="38">
        <f t="shared" si="28"/>
        <v>8.9999999999999414E-2</v>
      </c>
      <c r="AB39" s="38">
        <f t="shared" si="29"/>
        <v>0.93299999999999983</v>
      </c>
      <c r="AC39" s="39" t="s">
        <v>120</v>
      </c>
      <c r="AD39" s="40" t="s">
        <v>121</v>
      </c>
      <c r="AE39" s="41" t="s">
        <v>122</v>
      </c>
      <c r="AF39" s="42">
        <v>300</v>
      </c>
      <c r="AG39" s="69">
        <v>10</v>
      </c>
      <c r="AH39" s="69">
        <v>10</v>
      </c>
      <c r="AI39" s="43">
        <v>5.5E-2</v>
      </c>
      <c r="AJ39" s="44">
        <f t="shared" si="30"/>
        <v>10</v>
      </c>
      <c r="AK39" s="44">
        <f t="shared" si="31"/>
        <v>11</v>
      </c>
      <c r="AL39" s="44">
        <f t="shared" si="32"/>
        <v>12</v>
      </c>
      <c r="AM39" s="44">
        <f t="shared" si="33"/>
        <v>13</v>
      </c>
      <c r="AN39" s="44">
        <f t="shared" si="34"/>
        <v>14</v>
      </c>
      <c r="AO39" s="44">
        <f t="shared" si="35"/>
        <v>15</v>
      </c>
      <c r="AP39" s="44">
        <f t="shared" si="36"/>
        <v>16</v>
      </c>
      <c r="AQ39" s="44">
        <f t="shared" si="37"/>
        <v>17</v>
      </c>
      <c r="AR39" s="44">
        <f t="shared" si="38"/>
        <v>18</v>
      </c>
      <c r="AS39" s="44">
        <f t="shared" si="39"/>
        <v>19</v>
      </c>
      <c r="AT39" s="44">
        <f t="shared" si="40"/>
        <v>20</v>
      </c>
      <c r="AU39" s="44">
        <f t="shared" si="41"/>
        <v>21</v>
      </c>
      <c r="AW39" s="45"/>
      <c r="AX39" s="46"/>
      <c r="AY39" s="46"/>
      <c r="AZ39" s="47">
        <f>K39</f>
        <v>2.3559999999999999</v>
      </c>
      <c r="BA39" s="46"/>
      <c r="BB39" s="33">
        <f t="shared" si="43"/>
        <v>2.3559999999999998E-2</v>
      </c>
    </row>
    <row r="40" spans="1:54" ht="43.5" customHeight="1" x14ac:dyDescent="0.25">
      <c r="A40" s="100" t="s">
        <v>124</v>
      </c>
      <c r="B40" s="82">
        <v>24</v>
      </c>
      <c r="C40" s="101" t="s">
        <v>192</v>
      </c>
      <c r="D40" s="82" t="s">
        <v>117</v>
      </c>
      <c r="E40" s="84" t="s">
        <v>193</v>
      </c>
      <c r="F40" s="85" t="s">
        <v>194</v>
      </c>
      <c r="G40" s="28">
        <f t="shared" si="21"/>
        <v>0.156</v>
      </c>
      <c r="H40" s="28">
        <f t="shared" si="22"/>
        <v>0</v>
      </c>
      <c r="I40" s="29">
        <v>1.5</v>
      </c>
      <c r="J40" s="30">
        <v>0.7</v>
      </c>
      <c r="K40" s="28">
        <f t="shared" si="23"/>
        <v>2.3559999999999999</v>
      </c>
      <c r="L40" s="28">
        <v>0</v>
      </c>
      <c r="M40" s="28">
        <f t="shared" si="24"/>
        <v>2.3559999999999999</v>
      </c>
      <c r="N40" s="31">
        <v>6.75</v>
      </c>
      <c r="O40" s="32" t="s">
        <v>71</v>
      </c>
      <c r="P40" s="33">
        <f t="shared" si="25"/>
        <v>9.1059999999999999</v>
      </c>
      <c r="Q40" s="34">
        <f>P40-N40</f>
        <v>2.3559999999999999</v>
      </c>
      <c r="R40" s="43">
        <v>0.02</v>
      </c>
      <c r="S40" s="35">
        <v>2</v>
      </c>
      <c r="T40" s="35">
        <v>78</v>
      </c>
      <c r="U40" s="35">
        <v>0</v>
      </c>
      <c r="V40" s="35">
        <v>0</v>
      </c>
      <c r="W40" s="31">
        <v>2.06</v>
      </c>
      <c r="X40" s="36">
        <v>0.1</v>
      </c>
      <c r="Y40" s="37">
        <f t="shared" si="27"/>
        <v>2.2660000000000005</v>
      </c>
      <c r="Z40" s="31">
        <v>1.423</v>
      </c>
      <c r="AA40" s="38">
        <f t="shared" si="28"/>
        <v>8.9999999999999414E-2</v>
      </c>
      <c r="AB40" s="38">
        <f t="shared" si="29"/>
        <v>0.93299999999999983</v>
      </c>
      <c r="AC40" s="39" t="s">
        <v>120</v>
      </c>
      <c r="AD40" s="40" t="s">
        <v>121</v>
      </c>
      <c r="AE40" s="41" t="s">
        <v>122</v>
      </c>
      <c r="AF40" s="42">
        <v>300</v>
      </c>
      <c r="AG40" s="69">
        <v>3</v>
      </c>
      <c r="AH40" s="69">
        <v>3</v>
      </c>
      <c r="AI40" s="43">
        <v>5.5E-2</v>
      </c>
      <c r="AJ40" s="44">
        <f t="shared" si="30"/>
        <v>3</v>
      </c>
      <c r="AK40" s="44">
        <f t="shared" si="31"/>
        <v>3</v>
      </c>
      <c r="AL40" s="44">
        <f t="shared" si="32"/>
        <v>3</v>
      </c>
      <c r="AM40" s="44">
        <f t="shared" si="33"/>
        <v>3</v>
      </c>
      <c r="AN40" s="44">
        <f t="shared" si="34"/>
        <v>3</v>
      </c>
      <c r="AO40" s="44">
        <f t="shared" si="35"/>
        <v>3</v>
      </c>
      <c r="AP40" s="44">
        <f t="shared" si="36"/>
        <v>3</v>
      </c>
      <c r="AQ40" s="44">
        <f t="shared" si="37"/>
        <v>3</v>
      </c>
      <c r="AR40" s="44">
        <f t="shared" si="38"/>
        <v>3</v>
      </c>
      <c r="AS40" s="44">
        <f t="shared" si="39"/>
        <v>3</v>
      </c>
      <c r="AT40" s="44">
        <f t="shared" si="40"/>
        <v>3</v>
      </c>
      <c r="AU40" s="44">
        <f t="shared" si="41"/>
        <v>3</v>
      </c>
      <c r="AW40" s="45"/>
      <c r="AX40" s="46"/>
      <c r="AY40" s="46"/>
      <c r="AZ40" s="47">
        <f>K40</f>
        <v>2.3559999999999999</v>
      </c>
      <c r="BA40" s="46"/>
      <c r="BB40" s="33">
        <f t="shared" si="43"/>
        <v>7.0679999999999996E-3</v>
      </c>
    </row>
    <row r="42" spans="1:54" ht="18" customHeight="1" x14ac:dyDescent="0.25">
      <c r="A42" s="4" t="s">
        <v>195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spans="1:54" ht="15.75" customHeight="1" x14ac:dyDescent="0.25">
      <c r="C43" s="17" t="s">
        <v>196</v>
      </c>
      <c r="E43" s="17" t="s">
        <v>197</v>
      </c>
      <c r="F43" s="17" t="s">
        <v>198</v>
      </c>
      <c r="G43" s="17" t="s">
        <v>18</v>
      </c>
      <c r="H43" s="17" t="s">
        <v>19</v>
      </c>
      <c r="K43" s="17" t="s">
        <v>199</v>
      </c>
      <c r="M43" s="17" t="s">
        <v>200</v>
      </c>
      <c r="N43" s="17" t="s">
        <v>25</v>
      </c>
      <c r="P43" s="17" t="s">
        <v>27</v>
      </c>
      <c r="Q43" s="17" t="s">
        <v>201</v>
      </c>
    </row>
    <row r="44" spans="1:54" ht="15.75" customHeight="1" x14ac:dyDescent="0.25">
      <c r="B44" s="102">
        <v>1</v>
      </c>
      <c r="C44" s="103" t="s">
        <v>67</v>
      </c>
      <c r="E44" s="27" t="s">
        <v>202</v>
      </c>
      <c r="F44" s="24" t="str">
        <f>TEXT(SUM(R17:R21),"0%")&amp;IF(ABS(SUM(R17:R21)-1)&lt;0.001," OK"," CHK")</f>
        <v>100% OK</v>
      </c>
      <c r="G44" s="28">
        <f>SUMPRODUCT(R17:R21,G17:G21)/SUM(R17:R21)</f>
        <v>0.28050000000000003</v>
      </c>
      <c r="H44" s="28">
        <f>SUMPRODUCT(R17:R21,H17:H21)/SUM(R17:R21)</f>
        <v>1.3464</v>
      </c>
      <c r="K44" s="28">
        <f>SUMPRODUCT(R17:R21,K17:K21)/SUM(R17:R21)</f>
        <v>1.6269</v>
      </c>
      <c r="M44" s="28">
        <f>SUMPRODUCT(R17:R21,M17:M21)/SUM(R17:R21)</f>
        <v>1.6269</v>
      </c>
      <c r="N44" s="37">
        <f>SUMPRODUCT(R17:R21,N17:N21)/SUM(R17:R21)</f>
        <v>0.3125</v>
      </c>
      <c r="P44" s="33">
        <f>SUMPRODUCT(R17:R21,P17:P21)/SUM(R17:R21)</f>
        <v>1.9394</v>
      </c>
      <c r="Q44" s="34">
        <f>SUMPRODUCT(R17:R21,Q17:Q21)/SUM(R17:R21)</f>
        <v>1.6269</v>
      </c>
    </row>
    <row r="45" spans="1:54" ht="15.75" customHeight="1" x14ac:dyDescent="0.25">
      <c r="B45" s="104">
        <v>2</v>
      </c>
      <c r="C45" s="105" t="s">
        <v>75</v>
      </c>
      <c r="E45" s="52" t="s">
        <v>203</v>
      </c>
      <c r="F45" s="49" t="str">
        <f>TEXT(SUM(R22:R25),"0%")&amp;IF(ABS(SUM(R22:R25)-1)&lt;0.001," OK"," CHK")</f>
        <v>100% OK</v>
      </c>
      <c r="G45" s="28">
        <f>SUMPRODUCT(R22:R25,G22:G25)/SUM(R22:R25)</f>
        <v>0.14025000000000001</v>
      </c>
      <c r="H45" s="28">
        <f>SUMPRODUCT(R22:R25,H22:H25)/SUM(R22:R25)</f>
        <v>0</v>
      </c>
      <c r="K45" s="28">
        <f>SUMPRODUCT(R22:R25,K22:K25)/SUM(R22:R25)</f>
        <v>0.15525</v>
      </c>
      <c r="M45" s="28">
        <f>SUMPRODUCT(R22:R25,M22:M25)/SUM(R22:R25)</f>
        <v>0.15525</v>
      </c>
      <c r="N45" s="37">
        <f>SUMPRODUCT(R22:R25,N22:N25)/SUM(R22:R25)</f>
        <v>0.5625</v>
      </c>
      <c r="P45" s="33">
        <f>SUMPRODUCT(R22:R25,P22:P25)/SUM(R22:R25)</f>
        <v>0.71775</v>
      </c>
      <c r="Q45" s="34">
        <f>SUMPRODUCT(R22:R25,Q22:Q25)/SUM(R22:R25)</f>
        <v>0.15525</v>
      </c>
    </row>
    <row r="46" spans="1:54" ht="15.75" customHeight="1" x14ac:dyDescent="0.25">
      <c r="B46" s="106">
        <v>3</v>
      </c>
      <c r="C46" s="107" t="s">
        <v>81</v>
      </c>
      <c r="E46" s="56" t="s">
        <v>204</v>
      </c>
      <c r="F46" s="46" t="str">
        <f>TEXT(SUM(R26:R26),"0%")&amp;IF(ABS(SUM(R26:R26)-1)&lt;0.001," OK"," CHK")</f>
        <v>100% OK</v>
      </c>
      <c r="G46" s="28">
        <f>SUMPRODUCT(R26:R26,G26:G26)/SUM(R26:R26)</f>
        <v>0.38439999999999996</v>
      </c>
      <c r="H46" s="28">
        <f>SUMPRODUCT(R26:R26,H26:H26)/SUM(R26:R26)</f>
        <v>1.5375999999999999</v>
      </c>
      <c r="K46" s="28">
        <f>SUMPRODUCT(R26:R26,K26:K26)/SUM(R26:R26)</f>
        <v>2.1719999999999997</v>
      </c>
      <c r="M46" s="28">
        <f>SUMPRODUCT(R26:R26,M26:M26)/SUM(R26:R26)</f>
        <v>2.1719999999999997</v>
      </c>
      <c r="N46" s="37">
        <f>SUMPRODUCT(R26:R26,N26:N26)/SUM(R26:R26)</f>
        <v>0.1875</v>
      </c>
      <c r="P46" s="33">
        <f>SUMPRODUCT(R26:R26,P26:P26)/SUM(R26:R26)</f>
        <v>2.3594999999999997</v>
      </c>
      <c r="Q46" s="34">
        <f>SUMPRODUCT(R26:R26,Q26:Q26)/SUM(R26:R26)</f>
        <v>2.1719999999999997</v>
      </c>
    </row>
    <row r="47" spans="1:54" ht="15.75" customHeight="1" x14ac:dyDescent="0.25">
      <c r="B47" s="108">
        <v>4</v>
      </c>
      <c r="C47" s="109" t="s">
        <v>87</v>
      </c>
      <c r="E47" s="62" t="s">
        <v>205</v>
      </c>
      <c r="F47" s="59" t="str">
        <f>TEXT(SUM(R27:R29),"0%")&amp;IF(ABS(SUM(R27:R29)-1)&lt;0.001," OK"," CHK")</f>
        <v>100% OK</v>
      </c>
      <c r="G47" s="28">
        <f>SUMPRODUCT(R27:R29,G27:G29)/SUM(R27:R29)</f>
        <v>0.2883</v>
      </c>
      <c r="H47" s="28">
        <f>SUMPRODUCT(R27:R29,H27:H29)/SUM(R27:R29)</f>
        <v>0</v>
      </c>
      <c r="K47" s="28">
        <f>SUMPRODUCT(R27:R29,K27:K29)/SUM(R27:R29)</f>
        <v>0.81430000000000002</v>
      </c>
      <c r="M47" s="28">
        <f>SUMPRODUCT(R27:R29,M27:M29)/SUM(R27:R29)</f>
        <v>0.81430000000000002</v>
      </c>
      <c r="N47" s="37">
        <f>SUMPRODUCT(R27:R29,N27:N29)/SUM(R27:R29)</f>
        <v>5.6250000000000001E-2</v>
      </c>
      <c r="P47" s="33">
        <f>SUMPRODUCT(R27:R29,P27:P29)/SUM(R27:R29)</f>
        <v>0.87054999999999993</v>
      </c>
      <c r="Q47" s="34">
        <f>SUMPRODUCT(R27:R29,Q27:Q29)/SUM(R27:R29)</f>
        <v>0.87054999999999993</v>
      </c>
    </row>
    <row r="48" spans="1:54" ht="15.75" customHeight="1" x14ac:dyDescent="0.25">
      <c r="B48" s="110">
        <v>5</v>
      </c>
      <c r="C48" s="111" t="s">
        <v>95</v>
      </c>
      <c r="E48" s="68" t="s">
        <v>206</v>
      </c>
      <c r="F48" s="65" t="str">
        <f>TEXT(SUM(R30:R31),"0%")&amp;IF(ABS(SUM(R30:R31)-1)&lt;0.001," OK"," CHK")</f>
        <v>100% OK</v>
      </c>
      <c r="G48" s="28">
        <f>SUMPRODUCT(R30:R31,G30:G31)/SUM(R30:R31)</f>
        <v>0.39269999999999999</v>
      </c>
      <c r="H48" s="28">
        <f>SUMPRODUCT(R30:R31,H30:H31)/SUM(R30:R31)</f>
        <v>1.4586000000000001</v>
      </c>
      <c r="K48" s="28">
        <f>SUMPRODUCT(R30:R31,K30:K31)/SUM(R30:R31)</f>
        <v>1.8513000000000002</v>
      </c>
      <c r="M48" s="28">
        <f>SUMPRODUCT(R30:R31,M30:M31)/SUM(R30:R31)</f>
        <v>1.8513000000000002</v>
      </c>
      <c r="N48" s="37">
        <f>SUMPRODUCT(R30:R31,N30:N31)/SUM(R30:R31)</f>
        <v>3.7500000000000006E-2</v>
      </c>
      <c r="P48" s="33">
        <f>SUMPRODUCT(R30:R31,P30:P31)/SUM(R30:R31)</f>
        <v>1.8888000000000003</v>
      </c>
      <c r="Q48" s="34">
        <f>SUMPRODUCT(R30:R31,Q30:Q31)/SUM(R30:R31)</f>
        <v>1.8888000000000003</v>
      </c>
    </row>
    <row r="49" spans="1:54" ht="15.75" customHeight="1" x14ac:dyDescent="0.25">
      <c r="B49" s="112">
        <v>6</v>
      </c>
      <c r="C49" s="113" t="s">
        <v>102</v>
      </c>
      <c r="E49" s="75" t="s">
        <v>207</v>
      </c>
      <c r="F49" s="72" t="str">
        <f>TEXT(SUM(R32:R32),"0%")&amp;IF(ABS(SUM(R32:R32)-1)&lt;0.001," OK"," CHK")</f>
        <v>100% OK</v>
      </c>
      <c r="G49" s="28">
        <f>SUMPRODUCT(R32:R32,G32:G32)/SUM(R32:R32)</f>
        <v>0.11220000000000001</v>
      </c>
      <c r="H49" s="28">
        <f>SUMPRODUCT(R32:R32,H32:H32)/SUM(R32:R32)</f>
        <v>0</v>
      </c>
      <c r="K49" s="28">
        <f>SUMPRODUCT(R32:R32,K32:K32)/SUM(R32:R32)</f>
        <v>-0.62080000000000002</v>
      </c>
      <c r="M49" s="28">
        <f>SUMPRODUCT(R32:R32,M32:M32)/SUM(R32:R32)</f>
        <v>0.45014959999999982</v>
      </c>
      <c r="N49" s="37">
        <f>SUMPRODUCT(R32:R32,N32:N32)/SUM(R32:R32)</f>
        <v>3.7499999999999999E-2</v>
      </c>
      <c r="P49" s="33">
        <f>SUMPRODUCT(R32:R32,P32:P32)/SUM(R32:R32)</f>
        <v>0.48764959999999979</v>
      </c>
      <c r="Q49" s="34">
        <f>SUMPRODUCT(R32:R32,Q32:Q32)/SUM(R32:R32)</f>
        <v>0.48764959999999979</v>
      </c>
    </row>
    <row r="50" spans="1:54" ht="15.75" customHeight="1" x14ac:dyDescent="0.25">
      <c r="B50" s="114">
        <v>7</v>
      </c>
      <c r="C50" s="115" t="s">
        <v>109</v>
      </c>
      <c r="E50" s="80" t="s">
        <v>208</v>
      </c>
      <c r="F50" s="77" t="str">
        <f>TEXT(SUM(R33:R35),"0%")&amp;IF(ABS(SUM(R33:R35)-1)&lt;0.001," OK"," CHK")</f>
        <v>100% OK</v>
      </c>
      <c r="G50" s="28">
        <f>SUMPRODUCT(R33:R35,G33:G35)/SUM(R33:R35)</f>
        <v>0.11220000000000002</v>
      </c>
      <c r="H50" s="28">
        <f>SUMPRODUCT(R33:R35,H33:H35)/SUM(R33:R35)</f>
        <v>0</v>
      </c>
      <c r="K50" s="28">
        <f>SUMPRODUCT(R33:R35,K33:K35)/SUM(R33:R35)</f>
        <v>2.6121999999999996</v>
      </c>
      <c r="M50" s="28">
        <f>SUMPRODUCT(R33:R35,M33:M35)/SUM(R33:R35)</f>
        <v>3.0135700000000001</v>
      </c>
      <c r="N50" s="37">
        <f>SUMPRODUCT(R33:R35,N33:N35)/SUM(R33:R35)</f>
        <v>4.3749999999999997E-2</v>
      </c>
      <c r="P50" s="33">
        <f>SUMPRODUCT(R33:R35,P33:P35)/SUM(R33:R35)</f>
        <v>3.0573200000000003</v>
      </c>
      <c r="Q50" s="34">
        <f>SUMPRODUCT(R33:R35,Q33:Q35)/SUM(R33:R35)</f>
        <v>3.0573200000000003</v>
      </c>
    </row>
    <row r="51" spans="1:54" ht="15.75" customHeight="1" x14ac:dyDescent="0.25">
      <c r="B51" s="116">
        <v>8</v>
      </c>
      <c r="C51" s="117" t="s">
        <v>116</v>
      </c>
      <c r="E51" s="85" t="s">
        <v>209</v>
      </c>
      <c r="F51" s="82" t="str">
        <f>TEXT(SUM(R36:R40),"0%")&amp;IF(ABS(SUM(R36:R40)-1)&lt;0.001," OK"," CHK")</f>
        <v>100% OK</v>
      </c>
      <c r="G51" s="28">
        <f>SUMPRODUCT(R36:R40,G36:G40)/SUM(R36:R40)</f>
        <v>0.15600000000000003</v>
      </c>
      <c r="H51" s="28">
        <f>SUMPRODUCT(R36:R40,H36:H40)/SUM(R36:R40)</f>
        <v>0</v>
      </c>
      <c r="K51" s="28">
        <f>SUMPRODUCT(R36:R40,K36:K40)/SUM(R36:R40)</f>
        <v>2.3559999999999999</v>
      </c>
      <c r="M51" s="28">
        <f>SUMPRODUCT(R36:R40,M36:M40)/SUM(R36:R40)</f>
        <v>2.3559999999999999</v>
      </c>
      <c r="N51" s="37">
        <f>SUMPRODUCT(R36:R40,N36:N40)/SUM(R36:R40)</f>
        <v>6.75</v>
      </c>
      <c r="P51" s="33">
        <f>SUMPRODUCT(R36:R40,P36:P40)/SUM(R36:R40)</f>
        <v>9.1059999999999999</v>
      </c>
      <c r="Q51" s="34">
        <f>SUMPRODUCT(R36:R40,Q36:Q40)/SUM(R36:R40)</f>
        <v>2.3559999999999999</v>
      </c>
    </row>
    <row r="53" spans="1:54" ht="18" customHeight="1" x14ac:dyDescent="0.25">
      <c r="A53" s="4" t="s">
        <v>210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 ht="15.75" customHeight="1" x14ac:dyDescent="0.25">
      <c r="A54" s="3" t="s">
        <v>14</v>
      </c>
      <c r="B54" s="3"/>
      <c r="C54" s="3"/>
      <c r="D54" s="3" t="s">
        <v>211</v>
      </c>
      <c r="E54" s="3"/>
      <c r="F54" s="3" t="s">
        <v>212</v>
      </c>
      <c r="G54" s="3"/>
      <c r="H54" s="3"/>
      <c r="I54" s="3"/>
      <c r="J54" s="3" t="s">
        <v>213</v>
      </c>
      <c r="K54" s="3"/>
      <c r="L54" s="3"/>
      <c r="M54" s="3"/>
      <c r="N54" s="3" t="s">
        <v>214</v>
      </c>
      <c r="O54" s="3"/>
      <c r="P54" s="3"/>
      <c r="Q54" s="3"/>
      <c r="R54" s="3"/>
      <c r="S54" s="3"/>
      <c r="T54" s="3" t="s">
        <v>215</v>
      </c>
      <c r="U54" s="3"/>
      <c r="V54" s="3"/>
      <c r="W54" s="3"/>
      <c r="X54" s="3"/>
      <c r="Y54" s="3"/>
      <c r="Z54" s="3"/>
      <c r="AA54" s="3" t="s">
        <v>216</v>
      </c>
      <c r="AB54" s="3"/>
      <c r="AC54" s="3"/>
      <c r="AD54" s="3"/>
      <c r="AE54" s="3"/>
      <c r="AF54" s="3" t="s">
        <v>217</v>
      </c>
      <c r="AG54" s="3"/>
      <c r="AH54" s="3"/>
      <c r="AI54" s="3"/>
      <c r="AJ54" s="3"/>
      <c r="AK54" s="3"/>
      <c r="AL54" s="3"/>
      <c r="AM54" s="3" t="s">
        <v>218</v>
      </c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</row>
    <row r="55" spans="1:54" ht="43.5" customHeight="1" x14ac:dyDescent="0.25">
      <c r="A55" s="2" t="s">
        <v>219</v>
      </c>
      <c r="B55" s="2"/>
      <c r="C55" s="2"/>
      <c r="D55" s="1" t="s">
        <v>220</v>
      </c>
      <c r="E55" s="1"/>
      <c r="F55" s="118" t="s">
        <v>221</v>
      </c>
      <c r="G55" s="118"/>
      <c r="H55" s="118"/>
      <c r="I55" s="118"/>
      <c r="J55" s="118" t="s">
        <v>222</v>
      </c>
      <c r="K55" s="118"/>
      <c r="L55" s="118"/>
      <c r="M55" s="118"/>
      <c r="N55" s="118" t="s">
        <v>223</v>
      </c>
      <c r="O55" s="118"/>
      <c r="P55" s="118"/>
      <c r="Q55" s="118"/>
      <c r="R55" s="118"/>
      <c r="S55" s="118"/>
      <c r="T55" s="118" t="s">
        <v>224</v>
      </c>
      <c r="U55" s="118"/>
      <c r="V55" s="118"/>
      <c r="W55" s="118"/>
      <c r="X55" s="118"/>
      <c r="Y55" s="118"/>
      <c r="Z55" s="118"/>
      <c r="AA55" s="118" t="s">
        <v>225</v>
      </c>
      <c r="AB55" s="118"/>
      <c r="AC55" s="118"/>
      <c r="AD55" s="118"/>
      <c r="AE55" s="118"/>
      <c r="AF55" s="118" t="s">
        <v>226</v>
      </c>
      <c r="AG55" s="118"/>
      <c r="AH55" s="118"/>
      <c r="AI55" s="118"/>
      <c r="AJ55" s="118"/>
      <c r="AK55" s="118"/>
      <c r="AL55" s="118"/>
      <c r="AM55" s="118" t="s">
        <v>227</v>
      </c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</row>
    <row r="56" spans="1:54" ht="43.5" customHeight="1" x14ac:dyDescent="0.25">
      <c r="A56" s="119" t="s">
        <v>228</v>
      </c>
      <c r="B56" s="119"/>
      <c r="C56" s="119"/>
      <c r="D56" s="120" t="s">
        <v>229</v>
      </c>
      <c r="E56" s="120"/>
      <c r="F56" s="121" t="s">
        <v>230</v>
      </c>
      <c r="G56" s="121"/>
      <c r="H56" s="121"/>
      <c r="I56" s="121"/>
      <c r="J56" s="121" t="s">
        <v>231</v>
      </c>
      <c r="K56" s="121"/>
      <c r="L56" s="121"/>
      <c r="M56" s="121"/>
      <c r="N56" s="121" t="s">
        <v>232</v>
      </c>
      <c r="O56" s="121"/>
      <c r="P56" s="121"/>
      <c r="Q56" s="121"/>
      <c r="R56" s="121"/>
      <c r="S56" s="121"/>
      <c r="T56" s="121" t="s">
        <v>233</v>
      </c>
      <c r="U56" s="121"/>
      <c r="V56" s="121"/>
      <c r="W56" s="121"/>
      <c r="X56" s="121"/>
      <c r="Y56" s="121"/>
      <c r="Z56" s="121"/>
      <c r="AA56" s="121" t="s">
        <v>234</v>
      </c>
      <c r="AB56" s="121"/>
      <c r="AC56" s="121"/>
      <c r="AD56" s="121"/>
      <c r="AE56" s="121"/>
      <c r="AF56" s="121" t="s">
        <v>235</v>
      </c>
      <c r="AG56" s="121"/>
      <c r="AH56" s="121"/>
      <c r="AI56" s="121"/>
      <c r="AJ56" s="121"/>
      <c r="AK56" s="121"/>
      <c r="AL56" s="121"/>
      <c r="AM56" s="121" t="s">
        <v>236</v>
      </c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</row>
    <row r="57" spans="1:54" ht="43.5" customHeight="1" x14ac:dyDescent="0.25">
      <c r="A57" s="122" t="s">
        <v>237</v>
      </c>
      <c r="B57" s="122"/>
      <c r="C57" s="122"/>
      <c r="D57" s="123" t="s">
        <v>238</v>
      </c>
      <c r="E57" s="123"/>
      <c r="F57" s="124" t="s">
        <v>239</v>
      </c>
      <c r="G57" s="124"/>
      <c r="H57" s="124"/>
      <c r="I57" s="124"/>
      <c r="J57" s="124" t="s">
        <v>240</v>
      </c>
      <c r="K57" s="124"/>
      <c r="L57" s="124"/>
      <c r="M57" s="124"/>
      <c r="N57" s="124" t="s">
        <v>241</v>
      </c>
      <c r="O57" s="124"/>
      <c r="P57" s="124"/>
      <c r="Q57" s="124"/>
      <c r="R57" s="124"/>
      <c r="S57" s="124"/>
      <c r="T57" s="124" t="s">
        <v>242</v>
      </c>
      <c r="U57" s="124"/>
      <c r="V57" s="124"/>
      <c r="W57" s="124"/>
      <c r="X57" s="124"/>
      <c r="Y57" s="124"/>
      <c r="Z57" s="124"/>
      <c r="AA57" s="124" t="s">
        <v>243</v>
      </c>
      <c r="AB57" s="124"/>
      <c r="AC57" s="124"/>
      <c r="AD57" s="124"/>
      <c r="AE57" s="124"/>
      <c r="AF57" s="124" t="s">
        <v>244</v>
      </c>
      <c r="AG57" s="124"/>
      <c r="AH57" s="124"/>
      <c r="AI57" s="124"/>
      <c r="AJ57" s="124"/>
      <c r="AK57" s="124"/>
      <c r="AL57" s="124"/>
      <c r="AM57" s="124" t="s">
        <v>245</v>
      </c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</row>
    <row r="58" spans="1:54" ht="43.5" customHeight="1" x14ac:dyDescent="0.25">
      <c r="A58" s="125" t="s">
        <v>246</v>
      </c>
      <c r="B58" s="125"/>
      <c r="C58" s="125"/>
      <c r="D58" s="126" t="s">
        <v>247</v>
      </c>
      <c r="E58" s="126"/>
      <c r="F58" s="127" t="s">
        <v>248</v>
      </c>
      <c r="G58" s="127"/>
      <c r="H58" s="127"/>
      <c r="I58" s="127"/>
      <c r="J58" s="127" t="s">
        <v>249</v>
      </c>
      <c r="K58" s="127"/>
      <c r="L58" s="127"/>
      <c r="M58" s="127"/>
      <c r="N58" s="127" t="s">
        <v>250</v>
      </c>
      <c r="O58" s="127"/>
      <c r="P58" s="127"/>
      <c r="Q58" s="127"/>
      <c r="R58" s="127"/>
      <c r="S58" s="127"/>
      <c r="T58" s="127" t="s">
        <v>251</v>
      </c>
      <c r="U58" s="127"/>
      <c r="V58" s="127"/>
      <c r="W58" s="127"/>
      <c r="X58" s="127"/>
      <c r="Y58" s="127"/>
      <c r="Z58" s="127"/>
      <c r="AA58" s="127" t="s">
        <v>252</v>
      </c>
      <c r="AB58" s="127"/>
      <c r="AC58" s="127"/>
      <c r="AD58" s="127"/>
      <c r="AE58" s="127"/>
      <c r="AF58" s="127" t="s">
        <v>253</v>
      </c>
      <c r="AG58" s="127"/>
      <c r="AH58" s="127"/>
      <c r="AI58" s="127"/>
      <c r="AJ58" s="127"/>
      <c r="AK58" s="127"/>
      <c r="AL58" s="127"/>
      <c r="AM58" s="127" t="s">
        <v>254</v>
      </c>
      <c r="AN58" s="127"/>
      <c r="AO58" s="127"/>
      <c r="AP58" s="127"/>
      <c r="AQ58" s="127"/>
      <c r="AR58" s="127"/>
      <c r="AS58" s="127"/>
      <c r="AT58" s="127"/>
      <c r="AU58" s="127"/>
      <c r="AV58" s="127"/>
      <c r="AW58" s="127"/>
      <c r="AX58" s="127"/>
      <c r="AY58" s="127"/>
      <c r="AZ58" s="127"/>
      <c r="BA58" s="127"/>
      <c r="BB58" s="127"/>
    </row>
    <row r="59" spans="1:54" ht="43.5" customHeight="1" x14ac:dyDescent="0.25">
      <c r="A59" s="128" t="s">
        <v>255</v>
      </c>
      <c r="B59" s="128"/>
      <c r="C59" s="128"/>
      <c r="D59" s="129" t="s">
        <v>220</v>
      </c>
      <c r="E59" s="129"/>
      <c r="F59" s="130" t="s">
        <v>256</v>
      </c>
      <c r="G59" s="130"/>
      <c r="H59" s="130"/>
      <c r="I59" s="130"/>
      <c r="J59" s="130" t="s">
        <v>257</v>
      </c>
      <c r="K59" s="130"/>
      <c r="L59" s="130"/>
      <c r="M59" s="130"/>
      <c r="N59" s="130" t="s">
        <v>258</v>
      </c>
      <c r="O59" s="130"/>
      <c r="P59" s="130"/>
      <c r="Q59" s="130"/>
      <c r="R59" s="130"/>
      <c r="S59" s="130"/>
      <c r="T59" s="130" t="s">
        <v>259</v>
      </c>
      <c r="U59" s="130"/>
      <c r="V59" s="130"/>
      <c r="W59" s="130"/>
      <c r="X59" s="130"/>
      <c r="Y59" s="130"/>
      <c r="Z59" s="130"/>
      <c r="AA59" s="130" t="s">
        <v>260</v>
      </c>
      <c r="AB59" s="130"/>
      <c r="AC59" s="130"/>
      <c r="AD59" s="130"/>
      <c r="AE59" s="130"/>
      <c r="AF59" s="130" t="s">
        <v>261</v>
      </c>
      <c r="AG59" s="130"/>
      <c r="AH59" s="130"/>
      <c r="AI59" s="130"/>
      <c r="AJ59" s="130"/>
      <c r="AK59" s="130"/>
      <c r="AL59" s="130"/>
      <c r="AM59" s="130" t="s">
        <v>262</v>
      </c>
      <c r="AN59" s="130"/>
      <c r="AO59" s="130"/>
      <c r="AP59" s="130"/>
      <c r="AQ59" s="130"/>
      <c r="AR59" s="130"/>
      <c r="AS59" s="130"/>
      <c r="AT59" s="130"/>
      <c r="AU59" s="130"/>
      <c r="AV59" s="130"/>
      <c r="AW59" s="130"/>
      <c r="AX59" s="130"/>
      <c r="AY59" s="130"/>
      <c r="AZ59" s="130"/>
      <c r="BA59" s="130"/>
      <c r="BB59" s="130"/>
    </row>
    <row r="60" spans="1:54" ht="43.5" customHeight="1" x14ac:dyDescent="0.25">
      <c r="A60" s="131" t="s">
        <v>102</v>
      </c>
      <c r="B60" s="131"/>
      <c r="C60" s="131"/>
      <c r="D60" s="132" t="s">
        <v>263</v>
      </c>
      <c r="E60" s="132"/>
      <c r="F60" s="133" t="s">
        <v>264</v>
      </c>
      <c r="G60" s="133"/>
      <c r="H60" s="133"/>
      <c r="I60" s="133"/>
      <c r="J60" s="133" t="s">
        <v>265</v>
      </c>
      <c r="K60" s="133"/>
      <c r="L60" s="133"/>
      <c r="M60" s="133"/>
      <c r="N60" s="133" t="s">
        <v>266</v>
      </c>
      <c r="O60" s="133"/>
      <c r="P60" s="133"/>
      <c r="Q60" s="133"/>
      <c r="R60" s="133"/>
      <c r="S60" s="133"/>
      <c r="T60" s="133" t="s">
        <v>267</v>
      </c>
      <c r="U60" s="133"/>
      <c r="V60" s="133"/>
      <c r="W60" s="133"/>
      <c r="X60" s="133"/>
      <c r="Y60" s="133"/>
      <c r="Z60" s="133"/>
      <c r="AA60" s="133" t="s">
        <v>268</v>
      </c>
      <c r="AB60" s="133"/>
      <c r="AC60" s="133"/>
      <c r="AD60" s="133"/>
      <c r="AE60" s="133"/>
      <c r="AF60" s="133" t="s">
        <v>269</v>
      </c>
      <c r="AG60" s="133"/>
      <c r="AH60" s="133"/>
      <c r="AI60" s="133"/>
      <c r="AJ60" s="133"/>
      <c r="AK60" s="133"/>
      <c r="AL60" s="133"/>
      <c r="AM60" s="133" t="s">
        <v>270</v>
      </c>
      <c r="AN60" s="133"/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3"/>
      <c r="BB60" s="133"/>
    </row>
    <row r="61" spans="1:54" ht="43.5" customHeight="1" x14ac:dyDescent="0.25">
      <c r="A61" s="134" t="s">
        <v>109</v>
      </c>
      <c r="B61" s="134"/>
      <c r="C61" s="134"/>
      <c r="D61" s="135" t="s">
        <v>271</v>
      </c>
      <c r="E61" s="135"/>
      <c r="F61" s="136" t="s">
        <v>272</v>
      </c>
      <c r="G61" s="136"/>
      <c r="H61" s="136"/>
      <c r="I61" s="136"/>
      <c r="J61" s="136" t="s">
        <v>273</v>
      </c>
      <c r="K61" s="136"/>
      <c r="L61" s="136"/>
      <c r="M61" s="136"/>
      <c r="N61" s="136" t="s">
        <v>274</v>
      </c>
      <c r="O61" s="136"/>
      <c r="P61" s="136"/>
      <c r="Q61" s="136"/>
      <c r="R61" s="136"/>
      <c r="S61" s="136"/>
      <c r="T61" s="136" t="s">
        <v>275</v>
      </c>
      <c r="U61" s="136"/>
      <c r="V61" s="136"/>
      <c r="W61" s="136"/>
      <c r="X61" s="136"/>
      <c r="Y61" s="136"/>
      <c r="Z61" s="136"/>
      <c r="AA61" s="136" t="s">
        <v>276</v>
      </c>
      <c r="AB61" s="136"/>
      <c r="AC61" s="136"/>
      <c r="AD61" s="136"/>
      <c r="AE61" s="136"/>
      <c r="AF61" s="136" t="s">
        <v>277</v>
      </c>
      <c r="AG61" s="136"/>
      <c r="AH61" s="136"/>
      <c r="AI61" s="136"/>
      <c r="AJ61" s="136"/>
      <c r="AK61" s="136"/>
      <c r="AL61" s="136"/>
      <c r="AM61" s="136" t="s">
        <v>278</v>
      </c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</row>
    <row r="62" spans="1:54" ht="43.5" customHeight="1" x14ac:dyDescent="0.25">
      <c r="A62" s="137" t="s">
        <v>116</v>
      </c>
      <c r="B62" s="137"/>
      <c r="C62" s="137"/>
      <c r="D62" s="138" t="s">
        <v>229</v>
      </c>
      <c r="E62" s="138"/>
      <c r="F62" s="139" t="s">
        <v>279</v>
      </c>
      <c r="G62" s="139"/>
      <c r="H62" s="139"/>
      <c r="I62" s="139"/>
      <c r="J62" s="139" t="s">
        <v>280</v>
      </c>
      <c r="K62" s="139"/>
      <c r="L62" s="139"/>
      <c r="M62" s="139"/>
      <c r="N62" s="139" t="s">
        <v>281</v>
      </c>
      <c r="O62" s="139"/>
      <c r="P62" s="139"/>
      <c r="Q62" s="139"/>
      <c r="R62" s="139"/>
      <c r="S62" s="139"/>
      <c r="T62" s="139" t="s">
        <v>282</v>
      </c>
      <c r="U62" s="139"/>
      <c r="V62" s="139"/>
      <c r="W62" s="139"/>
      <c r="X62" s="139"/>
      <c r="Y62" s="139"/>
      <c r="Z62" s="139"/>
      <c r="AA62" s="139" t="s">
        <v>283</v>
      </c>
      <c r="AB62" s="139"/>
      <c r="AC62" s="139"/>
      <c r="AD62" s="139"/>
      <c r="AE62" s="139"/>
      <c r="AF62" s="139" t="s">
        <v>284</v>
      </c>
      <c r="AG62" s="139"/>
      <c r="AH62" s="139"/>
      <c r="AI62" s="139"/>
      <c r="AJ62" s="139"/>
      <c r="AK62" s="139"/>
      <c r="AL62" s="139"/>
      <c r="AM62" s="139" t="s">
        <v>285</v>
      </c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</row>
    <row r="64" spans="1:54" ht="27.75" customHeight="1" x14ac:dyDescent="0.25">
      <c r="A64" s="13" t="s">
        <v>286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</row>
    <row r="65" spans="1:54" ht="27.75" customHeight="1" x14ac:dyDescent="0.25">
      <c r="A65" s="13" t="s">
        <v>287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</row>
    <row r="66" spans="1:54" ht="27.75" customHeight="1" x14ac:dyDescent="0.25">
      <c r="A66" s="13" t="s">
        <v>288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</row>
    <row r="67" spans="1:54" ht="27.75" customHeight="1" x14ac:dyDescent="0.25">
      <c r="A67" s="13" t="s">
        <v>289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</row>
    <row r="68" spans="1:54" ht="27.75" customHeight="1" x14ac:dyDescent="0.25">
      <c r="A68" s="13" t="s">
        <v>290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</row>
  </sheetData>
  <mergeCells count="101">
    <mergeCell ref="A64:BB64"/>
    <mergeCell ref="A65:BB65"/>
    <mergeCell ref="A66:BB66"/>
    <mergeCell ref="A67:BB67"/>
    <mergeCell ref="A68:BB68"/>
    <mergeCell ref="A62:C62"/>
    <mergeCell ref="D62:E62"/>
    <mergeCell ref="F62:I62"/>
    <mergeCell ref="J62:M62"/>
    <mergeCell ref="N62:S62"/>
    <mergeCell ref="T62:Z62"/>
    <mergeCell ref="AA62:AE62"/>
    <mergeCell ref="AF62:AL62"/>
    <mergeCell ref="AM62:BB62"/>
    <mergeCell ref="A61:C61"/>
    <mergeCell ref="D61:E61"/>
    <mergeCell ref="F61:I61"/>
    <mergeCell ref="J61:M61"/>
    <mergeCell ref="N61:S61"/>
    <mergeCell ref="T61:Z61"/>
    <mergeCell ref="AA61:AE61"/>
    <mergeCell ref="AF61:AL61"/>
    <mergeCell ref="AM61:BB61"/>
    <mergeCell ref="A60:C60"/>
    <mergeCell ref="D60:E60"/>
    <mergeCell ref="F60:I60"/>
    <mergeCell ref="J60:M60"/>
    <mergeCell ref="N60:S60"/>
    <mergeCell ref="T60:Z60"/>
    <mergeCell ref="AA60:AE60"/>
    <mergeCell ref="AF60:AL60"/>
    <mergeCell ref="AM60:BB60"/>
    <mergeCell ref="A59:C59"/>
    <mergeCell ref="D59:E59"/>
    <mergeCell ref="F59:I59"/>
    <mergeCell ref="J59:M59"/>
    <mergeCell ref="N59:S59"/>
    <mergeCell ref="T59:Z59"/>
    <mergeCell ref="AA59:AE59"/>
    <mergeCell ref="AF59:AL59"/>
    <mergeCell ref="AM59:BB59"/>
    <mergeCell ref="A58:C58"/>
    <mergeCell ref="D58:E58"/>
    <mergeCell ref="F58:I58"/>
    <mergeCell ref="J58:M58"/>
    <mergeCell ref="N58:S58"/>
    <mergeCell ref="T58:Z58"/>
    <mergeCell ref="AA58:AE58"/>
    <mergeCell ref="AF58:AL58"/>
    <mergeCell ref="AM58:BB58"/>
    <mergeCell ref="A57:C57"/>
    <mergeCell ref="D57:E57"/>
    <mergeCell ref="F57:I57"/>
    <mergeCell ref="J57:M57"/>
    <mergeCell ref="N57:S57"/>
    <mergeCell ref="T57:Z57"/>
    <mergeCell ref="AA57:AE57"/>
    <mergeCell ref="AF57:AL57"/>
    <mergeCell ref="AM57:BB57"/>
    <mergeCell ref="A56:C56"/>
    <mergeCell ref="D56:E56"/>
    <mergeCell ref="F56:I56"/>
    <mergeCell ref="J56:M56"/>
    <mergeCell ref="N56:S56"/>
    <mergeCell ref="T56:Z56"/>
    <mergeCell ref="AA56:AE56"/>
    <mergeCell ref="AF56:AL56"/>
    <mergeCell ref="AM56:BB56"/>
    <mergeCell ref="A55:C55"/>
    <mergeCell ref="D55:E55"/>
    <mergeCell ref="F55:I55"/>
    <mergeCell ref="J55:M55"/>
    <mergeCell ref="N55:S55"/>
    <mergeCell ref="T55:Z55"/>
    <mergeCell ref="AA55:AE55"/>
    <mergeCell ref="AF55:AL55"/>
    <mergeCell ref="AM55:BB55"/>
    <mergeCell ref="A6:BB6"/>
    <mergeCell ref="A16:BB16"/>
    <mergeCell ref="A42:BB42"/>
    <mergeCell ref="A53:BB53"/>
    <mergeCell ref="A54:C54"/>
    <mergeCell ref="D54:E54"/>
    <mergeCell ref="F54:I54"/>
    <mergeCell ref="J54:M54"/>
    <mergeCell ref="N54:S54"/>
    <mergeCell ref="T54:Z54"/>
    <mergeCell ref="AA54:AE54"/>
    <mergeCell ref="AF54:AL54"/>
    <mergeCell ref="AM54:BB54"/>
    <mergeCell ref="A1:BB1"/>
    <mergeCell ref="A2:BB2"/>
    <mergeCell ref="A4:F4"/>
    <mergeCell ref="G4:M4"/>
    <mergeCell ref="N4:Q4"/>
    <mergeCell ref="S4:V4"/>
    <mergeCell ref="W4:AC4"/>
    <mergeCell ref="AD4:AE4"/>
    <mergeCell ref="AF4:AI4"/>
    <mergeCell ref="AJ4:AU4"/>
    <mergeCell ref="AW4:BB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Egypt_CBAM_EF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Stretton</cp:lastModifiedBy>
  <cp:revision>0</cp:revision>
  <dcterms:created xsi:type="dcterms:W3CDTF">2026-05-22T22:27:24Z</dcterms:created>
  <dcterms:modified xsi:type="dcterms:W3CDTF">2026-05-22T22:31:05Z</dcterms:modified>
  <dc:language>en-US</dc:language>
</cp:coreProperties>
</file>