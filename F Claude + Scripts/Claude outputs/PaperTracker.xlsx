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" sheetId="1" state="visible" r:id="rId3"/>
    <sheet name="Key" sheetId="2" state="visible" r:id="rId4"/>
  </sheets>
  <definedNames>
    <definedName function="false" hidden="true" localSheetId="0" name="_xlnm._FilterDatabase" vbProcedure="false">Papers!$A$1:$O$38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<sst xmlns="http://schemas.openxmlformats.org/spreadsheetml/2006/main" count="462" uniqueCount="214">
  <si>
    <t xml:space="preserve">No.</t>
  </si>
  <si>
    <t xml:space="preserve">Paper</t>
  </si>
  <si>
    <t xml:space="preserve">Section</t>
  </si>
  <si>
    <t xml:space="preserve">Status</t>
  </si>
  <si>
    <t xml:space="preserve">Folder</t>
  </si>
  <si>
    <t xml:space="preserve">Master document</t>
  </si>
  <si>
    <t xml:space="preserve">On the research page</t>
  </si>
  <si>
    <t xml:space="preserve">Published</t>
  </si>
  <si>
    <t xml:space="preserve">Deck or briefing</t>
  </si>
  <si>
    <t xml:space="preserve">Maturity</t>
  </si>
  <si>
    <t xml:space="preserve">Readiness /5</t>
  </si>
  <si>
    <t xml:space="preserve">Biggest gap</t>
  </si>
  <si>
    <t xml:space="preserve">Provenance</t>
  </si>
  <si>
    <t xml:space="preserve">Claude's note</t>
  </si>
  <si>
    <t xml:space="preserve">Your note</t>
  </si>
  <si>
    <t xml:space="preserve">1.0</t>
  </si>
  <si>
    <t xml:space="preserve">Carbon Pricing in the Fiscal World as It Is — overview</t>
  </si>
  <si>
    <t xml:space="preserve">1. Climate and Fiscal Policy</t>
  </si>
  <si>
    <t xml:space="preserve">Active</t>
  </si>
  <si>
    <t xml:space="preserve">1.0.OverviewClimateAndFiscalPolicy</t>
  </si>
  <si>
    <t xml:space="preserve">Yes</t>
  </si>
  <si>
    <t xml:space="preserve">No</t>
  </si>
  <si>
    <t xml:space="preserve">++</t>
  </si>
  <si>
    <t xml:space="preserve">Section overview. Carries the abstracts of 1.1 to 1.3. Not listed on the research page.</t>
  </si>
  <si>
    <t xml:space="preserve">1.1</t>
  </si>
  <si>
    <t xml:space="preserve">Open Economy Carbon Pricing</t>
  </si>
  <si>
    <t xml:space="preserve">1.1.OpenEconomyCarbonPricing</t>
  </si>
  <si>
    <t xml:space="preserve">Carbon consumption tax carried as a long appendix; consider splitting.</t>
  </si>
  <si>
    <t xml:space="preserve">1.2</t>
  </si>
  <si>
    <t xml:space="preserve">Feebates and Output-Based Rebating</t>
  </si>
  <si>
    <t xml:space="preserve">1.2.FeebatesAndOutputBasedRebating</t>
  </si>
  <si>
    <t xml:space="preserve">Consolidates the former Feebates Brief, Power Sector OBR, and Industrial Feebates material, including the short and long blog versions and the briefing deck as outreach layers.</t>
  </si>
  <si>
    <t xml:space="preserve">qmd only. Rerun Convert to build the .docx.</t>
  </si>
  <si>
    <t xml:space="preserve">1.3</t>
  </si>
  <si>
    <t xml:space="preserve">Iron, Steel, CBAM and the Limits of Point-Source Carbon Pricing</t>
  </si>
  <si>
    <t xml:space="preserve">1.3.IronSteelCBAM</t>
  </si>
  <si>
    <t xml:space="preserve">Edited to house style. Evidence base is 4.3, now retained.</t>
  </si>
  <si>
    <t xml:space="preserve">1.4</t>
  </si>
  <si>
    <t xml:space="preserve">Rent Tax</t>
  </si>
  <si>
    <t xml:space="preserve">9. Additional</t>
  </si>
  <si>
    <t xml:space="preserve">Retained</t>
  </si>
  <si>
    <t xml:space="preserve">1.4.RentTax</t>
  </si>
  <si>
    <t xml:space="preserve">Full LaTeX draft. Abstract written for the index, not yet in the paper.</t>
  </si>
  <si>
    <t xml:space="preserve">1.5</t>
  </si>
  <si>
    <t xml:space="preserve">Stranded by Contract: Legacy Coal PPAs</t>
  </si>
  <si>
    <t xml:space="preserve">1.5.StrandedByContractReformingLegacyCoalPPAs</t>
  </si>
  <si>
    <t xml:space="preserve">No master document yet — the India country material sits in `3.BackgroundPapers` awaiting a paper written around it.</t>
  </si>
  <si>
    <t xml:space="preserve">No master at all — only India background material.</t>
  </si>
  <si>
    <t xml:space="preserve">2.0</t>
  </si>
  <si>
    <t xml:space="preserve">Mobilising Private Capital for Clean Power — overview</t>
  </si>
  <si>
    <t xml:space="preserve">2. Finance and Risk</t>
  </si>
  <si>
    <t xml:space="preserve">2.0.OverviewMobilisingPrivateCapital</t>
  </si>
  <si>
    <t xml:space="preserve">Section overview. Five-risk taxonomy. Carries 2.1 and 2.2.</t>
  </si>
  <si>
    <t xml:space="preserve">2.1</t>
  </si>
  <si>
    <t xml:space="preserve">Climate Finance Intermediation for Clean Power</t>
  </si>
  <si>
    <t xml:space="preserve">2.1.ClimateFinanceIntermediationForCleanPower</t>
  </si>
  <si>
    <t xml:space="preserve">+++</t>
  </si>
  <si>
    <t xml:space="preserve">Consolidates three earlier statements of one architecture: the REPIF policy brief with Nils Zimmermann, the SPIFA proposal by Evie Davey, and the synthetic sovereign bonds note, which no longer stands as a paper in its own right.</t>
  </si>
  <si>
    <t xml:space="preserve">Merged from three sources. Strongest paper in the section.</t>
  </si>
  <si>
    <t xml:space="preserve">2.2</t>
  </si>
  <si>
    <t xml:space="preserve">The Climate Investment Trust</t>
  </si>
  <si>
    <t xml:space="preserve">2.2.ClimateInvestmentTrust</t>
  </si>
  <si>
    <t xml:space="preserve">Consolidates the Climate Incentives Trust proposal of May 2024 with the equity de-risking work developed from the two-stage climate project finance material with Jasper Zimmermann. Moved here from section 3, because the fund is a risk mechanism before it is an incentive instrument.</t>
  </si>
  <si>
    <t xml:space="preserve">Rewritten, absorbing equity de-risking. CIT is the master.</t>
  </si>
  <si>
    <t xml:space="preserve">2.3</t>
  </si>
  <si>
    <t xml:space="preserve">The Sollar</t>
  </si>
  <si>
    <t xml:space="preserve">2.3.TheSollar</t>
  </si>
  <si>
    <t xml:space="preserve">Rewritten as a real-asset equity unit, not a currency.</t>
  </si>
  <si>
    <t xml:space="preserve">3.0</t>
  </si>
  <si>
    <t xml:space="preserve">Sovereign Incentives and the Multilateral Balance Sheet — overview</t>
  </si>
  <si>
    <t xml:space="preserve">3. Sovereign Incentives and MDBs</t>
  </si>
  <si>
    <t xml:space="preserve">3.0.OverviewSovereignIncentives</t>
  </si>
  <si>
    <t xml:space="preserve">Companion to 2.0. The boundary: a risk mechanism decides who bears a loss, an incentive instrument changes whether the loss happens.</t>
  </si>
  <si>
    <t xml:space="preserve">Section overview. Four questions plus the timing problem.</t>
  </si>
  <si>
    <t xml:space="preserve">3.1</t>
  </si>
  <si>
    <t xml:space="preserve">Notional Capitalised Value and Guarantees</t>
  </si>
  <si>
    <t xml:space="preserve">3.1.NotionalCapitalisedValueAndGuarantees</t>
  </si>
  <si>
    <t xml:space="preserve">+</t>
  </si>
  <si>
    <t xml:space="preserve">No draft yet. Supersedes the earlier working title "Guarantee-Based International Incentives for the Delivery of Strong NDCs."</t>
  </si>
  <si>
    <t xml:space="preserve">Top of the cluster and entirely unwritten. Highest-value gap.</t>
  </si>
  <si>
    <t xml:space="preserve">3.2</t>
  </si>
  <si>
    <t xml:space="preserve">Sustainability-Linked Lending at the World Bank</t>
  </si>
  <si>
    <t xml:space="preserve">3.2.SustainabilityLinkedLending</t>
  </si>
  <si>
    <t xml:space="preserve">++++</t>
  </si>
  <si>
    <t xml:space="preserve">PDF only, no editable master. Recover the source.</t>
  </si>
  <si>
    <t xml:space="preserve">3.3</t>
  </si>
  <si>
    <t xml:space="preserve">SLIDIs — Sustainability-Linked Development Instruments</t>
  </si>
  <si>
    <t xml:space="preserve">3.3.SLIDIs</t>
  </si>
  <si>
    <t xml:space="preserve">Superseded by 3.2 and 2.2. Retained for worked detail.</t>
  </si>
  <si>
    <t xml:space="preserve">3.4</t>
  </si>
  <si>
    <t xml:space="preserve">MDB Climate Envelope</t>
  </si>
  <si>
    <t xml:space="preserve">3.4.MDBClimateEnvelope</t>
  </si>
  <si>
    <t xml:space="preserve">qmd only. Large background data set attached.</t>
  </si>
  <si>
    <t xml:space="preserve">3.5</t>
  </si>
  <si>
    <t xml:space="preserve">Reforming MDBs</t>
  </si>
  <si>
    <t xml:space="preserve">3.5.ReformingMDBs</t>
  </si>
  <si>
    <t xml:space="preserve">qmd only.</t>
  </si>
  <si>
    <t xml:space="preserve">4.0</t>
  </si>
  <si>
    <t xml:space="preserve">Comparable Metrics and Auditable Models — overview</t>
  </si>
  <si>
    <t xml:space="preserve">4. Modelling</t>
  </si>
  <si>
    <t xml:space="preserve">4.0.OverviewModelling</t>
  </si>
  <si>
    <t xml:space="preserve">Section overview. Carries 4.1 and 4.2.</t>
  </si>
  <si>
    <t xml:space="preserve">4.1</t>
  </si>
  <si>
    <t xml:space="preserve">Policy-Equivalent Carbon Price and CES</t>
  </si>
  <si>
    <t xml:space="preserve">4.1.PolicyEquivalentCarbonPriceAndCES</t>
  </si>
  <si>
    <t xml:space="preserve">Most complete paper in the portfolio.</t>
  </si>
  <si>
    <t xml:space="preserve">4.2</t>
  </si>
  <si>
    <t xml:space="preserve">CPAT: Architecture, Recoding, and Fiscal Application</t>
  </si>
  <si>
    <t xml:space="preserve">4.2.CPATArchitectureRecodingAndFiscalApplication</t>
  </si>
  <si>
    <t xml:space="preserve">No master document yet. Background material in the folder: the power investment equations in full; the prices-module recoding record across versions; the ETS and policy-overlap treatment; the fiscal long-term strategy material; and a reference note on the World Bank's wider modelling landscape.</t>
  </si>
  <si>
    <t xml:space="preserve">Three strands, no master document. Substantial background material.</t>
  </si>
  <si>
    <t xml:space="preserve">4.3</t>
  </si>
  <si>
    <t xml:space="preserve">CBAM Dashboard and Emission Factors</t>
  </si>
  <si>
    <t xml:space="preserve">4.3.CBAMDashboardAndEmissionFactors</t>
  </si>
  <si>
    <t xml:space="preserve">Delivered as a spreadsheet tool with accompanying guides rather than as a paper.</t>
  </si>
  <si>
    <t xml:space="preserve">A tool plus guides. Decide whether a paper is wanted.</t>
  </si>
  <si>
    <t xml:space="preserve">5.0</t>
  </si>
  <si>
    <t xml:space="preserve">Diagnostics a Finance Ministry Can Run — overview</t>
  </si>
  <si>
    <t xml:space="preserve">5. Analytics</t>
  </si>
  <si>
    <t xml:space="preserve">5.0.OverviewAnalytics</t>
  </si>
  <si>
    <t xml:space="preserve">Section overview, newly written. Carries 5.1.</t>
  </si>
  <si>
    <t xml:space="preserve">5.1</t>
  </si>
  <si>
    <t xml:space="preserve">Automated Excise-Fiscal Reports</t>
  </si>
  <si>
    <t xml:space="preserve">5.1.ExciseFiscalDiagnostic</t>
  </si>
  <si>
    <t xml:space="preserve">Sierra Leone worked application.</t>
  </si>
  <si>
    <t xml:space="preserve">5.2</t>
  </si>
  <si>
    <t xml:space="preserve">Climate-Fiscal-Financial</t>
  </si>
  <si>
    <t xml:space="preserve">5.2.ClimateFiscalFinancial</t>
  </si>
  <si>
    <t xml:space="preserve">No draft yet. The folder holds the Trillions to Billions material — framing work on the scale of the climate finance gap and the instruments capable of closing it, with the project narrative, scaling decks and the trusted-intermediary model.</t>
  </si>
  <si>
    <t xml:space="preserve">Holds the Trillions to Billions material.</t>
  </si>
  <si>
    <t xml:space="preserve">5.3</t>
  </si>
  <si>
    <t xml:space="preserve">Green Growth and Sectoral TFP Diagnostic</t>
  </si>
  <si>
    <t xml:space="preserve">5.3.GreenGrowthAndSectoralTFPDiagnostic</t>
  </si>
  <si>
    <t xml:space="preserve">No draft yet.</t>
  </si>
  <si>
    <t xml:space="preserve">README only.</t>
  </si>
  <si>
    <t xml:space="preserve">5.4</t>
  </si>
  <si>
    <t xml:space="preserve">Carbon Pricing: Political Economy and Optimality</t>
  </si>
  <si>
    <t xml:space="preserve">5.4.CarbonPricingPoliticalEconomyAndOptimality</t>
  </si>
  <si>
    <t xml:space="preserve">No master document yet. The folder holds the toy model and the policy framework tables as compiled PDFs.</t>
  </si>
  <si>
    <t xml:space="preserve">Two PDFs, no master. Check the folder name typo is fixed.</t>
  </si>
  <si>
    <t xml:space="preserve">6.0</t>
  </si>
  <si>
    <t xml:space="preserve">Two Books — overview</t>
  </si>
  <si>
    <t xml:space="preserve">6. Books</t>
  </si>
  <si>
    <t xml:space="preserve">Outside portfolio</t>
  </si>
  <si>
    <t xml:space="preserve">6.0.OverviewBooks</t>
  </si>
  <si>
    <t xml:space="preserve">Section overview, newly written.</t>
  </si>
  <si>
    <t xml:space="preserve">6.1</t>
  </si>
  <si>
    <t xml:space="preserve">Time and Chance</t>
  </si>
  <si>
    <t xml:space="preserve">6.1.TimeAndChance</t>
  </si>
  <si>
    <t xml:space="preserve">Full manuscript in Word and markdown with a compiled PDF, a table of contents, and a response to peer review. The papers in sections 2 and 3 are the journal-length statements of its individual chapters.</t>
  </si>
  <si>
    <t xml:space="preserve">qmd only at root; docx in 2.Source. Rerun Convert.</t>
  </si>
  <si>
    <t xml:space="preserve">6.2</t>
  </si>
  <si>
    <t xml:space="preserve">Carbon Pricing: The Right Policy at the Wrong Time</t>
  </si>
  <si>
    <t xml:space="preserve">6.2.CarbonPricingRightPolicyWrongTime</t>
  </si>
  <si>
    <t xml:space="preserve">Full manuscript in Word and markdown with a compiled PDF.</t>
  </si>
  <si>
    <t xml:space="preserve">Full manuscript.</t>
  </si>
  <si>
    <t xml:space="preserve">7.0</t>
  </si>
  <si>
    <t xml:space="preserve">Order, Life and Address — overview</t>
  </si>
  <si>
    <t xml:space="preserve">7. Philosophy</t>
  </si>
  <si>
    <t xml:space="preserve">7.0.OverviewPhilosophy</t>
  </si>
  <si>
    <t xml:space="preserve">7.1</t>
  </si>
  <si>
    <t xml:space="preserve">Order Without Ordinance</t>
  </si>
  <si>
    <t xml:space="preserve">7.1.OrderWithoutOrdinance</t>
  </si>
  <si>
    <t xml:space="preserve">Folder needs a 7.1 prefix if Finalise has not run.</t>
  </si>
  <si>
    <t xml:space="preserve">7.2</t>
  </si>
  <si>
    <t xml:space="preserve">The Politics of Life-Logic</t>
  </si>
  <si>
    <t xml:space="preserve">7.2.ThePoliticsOfLifeLogic</t>
  </si>
  <si>
    <t xml:space="preserve">Has its own abstract. Second half is World Bank proposals.</t>
  </si>
  <si>
    <t xml:space="preserve">7.3</t>
  </si>
  <si>
    <t xml:space="preserve">The Vocative Case</t>
  </si>
  <si>
    <t xml:space="preserve">7.3.TheVocativeCase</t>
  </si>
  <si>
    <t xml:space="preserve">8.0</t>
  </si>
  <si>
    <t xml:space="preserve">Three Pieces on Evidence and Power — overview</t>
  </si>
  <si>
    <t xml:space="preserve">8. Politics</t>
  </si>
  <si>
    <t xml:space="preserve">8.0.OverviewPolitics</t>
  </si>
  <si>
    <t xml:space="preserve">8.1</t>
  </si>
  <si>
    <t xml:space="preserve">Manifesto for a New American Republic</t>
  </si>
  <si>
    <t xml:space="preserve">8.1.Manifesto</t>
  </si>
  <si>
    <t xml:space="preserve">Advocacy, not analysis.</t>
  </si>
  <si>
    <t xml:space="preserve">8.2</t>
  </si>
  <si>
    <t xml:space="preserve">Progressive Collapse of a Uniform Column</t>
  </si>
  <si>
    <t xml:space="preserve">8.2.NineEleven</t>
  </si>
  <si>
    <t xml:space="preserve">qmd only. Rerun Convert.</t>
  </si>
  <si>
    <t xml:space="preserve">8.3</t>
  </si>
  <si>
    <t xml:space="preserve">Statistical Anomalies, Voting Machines, and the 2024 Election</t>
  </si>
  <si>
    <t xml:space="preserve">8.3.VotingPatterns</t>
  </si>
  <si>
    <t xml:space="preserve">9.0</t>
  </si>
  <si>
    <t xml:space="preserve">Retained Work — index of 9.Additional</t>
  </si>
  <si>
    <t xml:space="preserve">9.0.OverviewRetainedWork</t>
  </si>
  <si>
    <t xml:space="preserve">Index, newly written. Carries all ten retained abstracts.</t>
  </si>
  <si>
    <t xml:space="preserve">Summary</t>
  </si>
  <si>
    <t xml:space="preserve">Entries</t>
  </si>
  <si>
    <t xml:space="preserve">Retained in 9.Additional</t>
  </si>
  <si>
    <t xml:space="preserve">Outside the portfolio</t>
  </si>
  <si>
    <t xml:space="preserve">With a master document</t>
  </si>
  <si>
    <t xml:space="preserve">Published to the site</t>
  </si>
  <si>
    <t xml:space="preserve">Mean readiness, active only</t>
  </si>
  <si>
    <t xml:space="preserve">Paper tracker — the master status sheet</t>
  </si>
  <si>
    <t xml:space="preserve">Active — in a numbered section and under development.</t>
  </si>
  <si>
    <t xml:space="preserve">Retained — moved to 9.Additional, keeping the number it had. Not abandoned, not being written.</t>
  </si>
  <si>
    <t xml:space="preserve">Outside portfolio — books, philosophy, politics. Not on the research page and not published.</t>
  </si>
  <si>
    <t xml:space="preserve">+ early stage · ++ full draft with known flaws · +++ good draft · ++++ largely complete · blank no draft</t>
  </si>
  <si>
    <t xml:space="preserve">A .docx at the paper folder root named after the folder. This is what the site publishes.</t>
  </si>
  <si>
    <t xml:space="preserve">Whether research.qmd lists it. The .0 overviews are not listed: the research page carries one sentence per section instead.</t>
  </si>
  <si>
    <t xml:space="preserve">Present in 0.Website\papers at the last check.</t>
  </si>
  <si>
    <t xml:space="preserve">Master document 2, published 1, deck or briefing 1, abstract 1.</t>
  </si>
  <si>
    <t xml:space="preserve">What a paper was merged from or supersedes. These notes used to sit in italics in research.qmd and were moved here.</t>
  </si>
  <si>
    <t xml:space="preserve">The yellow column is yours. Nothing else reads it.</t>
  </si>
  <si>
    <t xml:space="preserve">Where this lives</t>
  </si>
  <si>
    <t xml:space="preserve">The root of A Writing. This is the master copy.</t>
  </si>
  <si>
    <t xml:space="preserve">Keeping it current</t>
  </si>
  <si>
    <t xml:space="preserve">Readiness and Biggest gap are formulas. Change a Yes or No in columns F, H or I and both recalculate.</t>
  </si>
  <si>
    <t xml:space="preserve">As at</t>
  </si>
  <si>
    <t xml:space="preserve">17 September 2026, after the move to 9.Additional.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</si>
</sst>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4"/>
    <col collapsed="false" customWidth="true" hidden="false" outlineLevel="0" max="14" min="13" style="0" width="46"/>
    <col collapsed="false" customWidth="true" hidden="false" outlineLevel="0" max="15" min="15" style="0" width="28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3" t="s">
        <v>16</v>
      </c>
      <c r="C2" s="3" t="s">
        <v>17</v>
      </c>
      <c r="D2" s="2" t="s">
        <v>18</v>
      </c>
      <c r="E2" s="3" t="s">
        <v>19</v>
      </c>
      <c r="F2" s="2" t="s">
        <v>20</v>
      </c>
      <c r="G2" s="2" t="s">
        <v>21</v>
      </c>
      <c r="H2" s="2" t="s">
        <v>20</v>
      </c>
      <c r="I2" s="2" t="s">
        <v>21</v>
      </c>
      <c r="J2" s="2" t="s">
        <v>22</v>
      </c>
      <c r="K2" s="4" t="n">
        <f aca="false">IF(F2="Yes",2,0)+IF(H2="Yes",1,0)+IF(I2="Yes",1,0)+1</f>
        <v>4</v>
      </c>
      <c r="L2" s="3" t="str">
        <f aca="false">IF(F2&lt;&gt;"Yes","No master document",IF(H2&lt;&gt;"Yes","Not published",IF(I2&lt;&gt;"Yes","No deck or briefing","Complete on these measures")))</f>
        <v>No deck or briefing</v>
      </c>
      <c r="M2" s="3"/>
      <c r="N2" s="3" t="s">
        <v>23</v>
      </c>
      <c r="O2" s="5"/>
    </row>
    <row r="3" customFormat="false" ht="23.85" hidden="false" customHeight="false" outlineLevel="0" collapsed="false">
      <c r="A3" s="2" t="s">
        <v>24</v>
      </c>
      <c r="B3" s="3" t="s">
        <v>25</v>
      </c>
      <c r="C3" s="3" t="s">
        <v>17</v>
      </c>
      <c r="D3" s="2" t="s">
        <v>18</v>
      </c>
      <c r="E3" s="3" t="s">
        <v>26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22</v>
      </c>
      <c r="K3" s="4" t="n">
        <f aca="false">IF(F3="Yes",2,0)+IF(H3="Yes",1,0)+IF(I3="Yes",1,0)+1</f>
        <v>5</v>
      </c>
      <c r="L3" s="3" t="str">
        <f aca="false">IF(F3&lt;&gt;"Yes","No master document",IF(H3&lt;&gt;"Yes","Not published",IF(I3&lt;&gt;"Yes","No deck or briefing","Complete on these measures")))</f>
        <v>Complete on these measures</v>
      </c>
      <c r="M3" s="3"/>
      <c r="N3" s="3" t="s">
        <v>27</v>
      </c>
      <c r="O3" s="5"/>
    </row>
    <row r="4" customFormat="false" ht="46.25" hidden="false" customHeight="false" outlineLevel="0" collapsed="false">
      <c r="A4" s="2" t="s">
        <v>28</v>
      </c>
      <c r="B4" s="3" t="s">
        <v>29</v>
      </c>
      <c r="C4" s="3" t="s">
        <v>17</v>
      </c>
      <c r="D4" s="2" t="s">
        <v>18</v>
      </c>
      <c r="E4" s="3" t="s">
        <v>30</v>
      </c>
      <c r="F4" s="2" t="s">
        <v>21</v>
      </c>
      <c r="G4" s="2" t="s">
        <v>20</v>
      </c>
      <c r="H4" s="2" t="s">
        <v>21</v>
      </c>
      <c r="I4" s="2" t="s">
        <v>20</v>
      </c>
      <c r="J4" s="2" t="s">
        <v>22</v>
      </c>
      <c r="K4" s="4" t="n">
        <f aca="false">IF(F4="Yes",2,0)+IF(H4="Yes",1,0)+IF(I4="Yes",1,0)+1</f>
        <v>2</v>
      </c>
      <c r="L4" s="3" t="str">
        <f aca="false">IF(F4&lt;&gt;"Yes","No master document",IF(H4&lt;&gt;"Yes","Not published",IF(I4&lt;&gt;"Yes","No deck or briefing","Complete on these measures")))</f>
        <v>No master document</v>
      </c>
      <c r="M4" s="3" t="s">
        <v>31</v>
      </c>
      <c r="N4" s="3" t="s">
        <v>32</v>
      </c>
      <c r="O4" s="5"/>
    </row>
    <row r="5" customFormat="false" ht="23.85" hidden="false" customHeight="false" outlineLevel="0" collapsed="false">
      <c r="A5" s="2" t="s">
        <v>33</v>
      </c>
      <c r="B5" s="3" t="s">
        <v>34</v>
      </c>
      <c r="C5" s="3" t="s">
        <v>17</v>
      </c>
      <c r="D5" s="2" t="s">
        <v>18</v>
      </c>
      <c r="E5" s="3" t="s">
        <v>35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22</v>
      </c>
      <c r="K5" s="4" t="n">
        <f aca="false">IF(F5="Yes",2,0)+IF(H5="Yes",1,0)+IF(I5="Yes",1,0)+1</f>
        <v>5</v>
      </c>
      <c r="L5" s="3" t="str">
        <f aca="false">IF(F5&lt;&gt;"Yes","No master document",IF(H5&lt;&gt;"Yes","Not published",IF(I5&lt;&gt;"Yes","No deck or briefing","Complete on these measures")))</f>
        <v>Complete on these measures</v>
      </c>
      <c r="M5" s="3"/>
      <c r="N5" s="3" t="s">
        <v>36</v>
      </c>
      <c r="O5" s="5"/>
    </row>
    <row r="6" customFormat="false" ht="23.85" hidden="false" customHeight="false" outlineLevel="0" collapsed="false">
      <c r="A6" s="6" t="s">
        <v>37</v>
      </c>
      <c r="B6" s="7" t="s">
        <v>38</v>
      </c>
      <c r="C6" s="7" t="s">
        <v>39</v>
      </c>
      <c r="D6" s="6" t="s">
        <v>40</v>
      </c>
      <c r="E6" s="3" t="s">
        <v>41</v>
      </c>
      <c r="F6" s="2" t="s">
        <v>20</v>
      </c>
      <c r="G6" s="2" t="s">
        <v>21</v>
      </c>
      <c r="H6" s="2" t="s">
        <v>21</v>
      </c>
      <c r="I6" s="2" t="s">
        <v>21</v>
      </c>
      <c r="J6" s="2" t="s">
        <v>22</v>
      </c>
      <c r="K6" s="4" t="n">
        <f aca="false">IF(F6="Yes",2,0)+IF(H6="Yes",1,0)+IF(I6="Yes",1,0)+1</f>
        <v>3</v>
      </c>
      <c r="L6" s="3" t="str">
        <f aca="false">IF(F6&lt;&gt;"Yes","No master document",IF(H6&lt;&gt;"Yes","Not published",IF(I6&lt;&gt;"Yes","No deck or briefing","Complete on these measures")))</f>
        <v>Not published</v>
      </c>
      <c r="M6" s="3"/>
      <c r="N6" s="3" t="s">
        <v>42</v>
      </c>
      <c r="O6" s="5"/>
    </row>
    <row r="7" customFormat="false" ht="35.05" hidden="false" customHeight="false" outlineLevel="0" collapsed="false">
      <c r="A7" s="6" t="s">
        <v>43</v>
      </c>
      <c r="B7" s="7" t="s">
        <v>44</v>
      </c>
      <c r="C7" s="7" t="s">
        <v>39</v>
      </c>
      <c r="D7" s="6" t="s">
        <v>40</v>
      </c>
      <c r="E7" s="3" t="s">
        <v>45</v>
      </c>
      <c r="F7" s="2" t="s">
        <v>21</v>
      </c>
      <c r="G7" s="2" t="s">
        <v>21</v>
      </c>
      <c r="H7" s="2" t="s">
        <v>21</v>
      </c>
      <c r="I7" s="2" t="s">
        <v>21</v>
      </c>
      <c r="J7" s="2" t="s">
        <v>22</v>
      </c>
      <c r="K7" s="4" t="n">
        <f aca="false">IF(F7="Yes",2,0)+IF(H7="Yes",1,0)+IF(I7="Yes",1,0)+1</f>
        <v>1</v>
      </c>
      <c r="L7" s="3" t="str">
        <f aca="false">IF(F7&lt;&gt;"Yes","No master document",IF(H7&lt;&gt;"Yes","Not published",IF(I7&lt;&gt;"Yes","No deck or briefing","Complete on these measures")))</f>
        <v>No master document</v>
      </c>
      <c r="M7" s="3" t="s">
        <v>46</v>
      </c>
      <c r="N7" s="3" t="s">
        <v>47</v>
      </c>
      <c r="O7" s="5"/>
    </row>
    <row r="8" customFormat="false" ht="23.85" hidden="false" customHeight="false" outlineLevel="0" collapsed="false">
      <c r="A8" s="2" t="s">
        <v>48</v>
      </c>
      <c r="B8" s="3" t="s">
        <v>49</v>
      </c>
      <c r="C8" s="3" t="s">
        <v>50</v>
      </c>
      <c r="D8" s="2" t="s">
        <v>18</v>
      </c>
      <c r="E8" s="3" t="s">
        <v>51</v>
      </c>
      <c r="F8" s="2" t="s">
        <v>20</v>
      </c>
      <c r="G8" s="2" t="s">
        <v>21</v>
      </c>
      <c r="H8" s="2" t="s">
        <v>20</v>
      </c>
      <c r="I8" s="2" t="s">
        <v>21</v>
      </c>
      <c r="J8" s="2" t="s">
        <v>22</v>
      </c>
      <c r="K8" s="4" t="n">
        <f aca="false">IF(F8="Yes",2,0)+IF(H8="Yes",1,0)+IF(I8="Yes",1,0)+1</f>
        <v>4</v>
      </c>
      <c r="L8" s="3" t="str">
        <f aca="false">IF(F8&lt;&gt;"Yes","No master document",IF(H8&lt;&gt;"Yes","Not published",IF(I8&lt;&gt;"Yes","No deck or briefing","Complete on these measures")))</f>
        <v>No deck or briefing</v>
      </c>
      <c r="M8" s="3"/>
      <c r="N8" s="3" t="s">
        <v>52</v>
      </c>
      <c r="O8" s="5"/>
    </row>
    <row r="9" customFormat="false" ht="57.45" hidden="false" customHeight="false" outlineLevel="0" collapsed="false">
      <c r="A9" s="2" t="s">
        <v>53</v>
      </c>
      <c r="B9" s="3" t="s">
        <v>54</v>
      </c>
      <c r="C9" s="3" t="s">
        <v>50</v>
      </c>
      <c r="D9" s="2" t="s">
        <v>18</v>
      </c>
      <c r="E9" s="3" t="s">
        <v>55</v>
      </c>
      <c r="F9" s="2" t="s">
        <v>20</v>
      </c>
      <c r="G9" s="2" t="s">
        <v>20</v>
      </c>
      <c r="H9" s="2" t="s">
        <v>20</v>
      </c>
      <c r="I9" s="2" t="s">
        <v>20</v>
      </c>
      <c r="J9" s="2" t="s">
        <v>56</v>
      </c>
      <c r="K9" s="4" t="n">
        <f aca="false">IF(F9="Yes",2,0)+IF(H9="Yes",1,0)+IF(I9="Yes",1,0)+1</f>
        <v>5</v>
      </c>
      <c r="L9" s="3" t="str">
        <f aca="false">IF(F9&lt;&gt;"Yes","No master document",IF(H9&lt;&gt;"Yes","Not published",IF(I9&lt;&gt;"Yes","No deck or briefing","Complete on these measures")))</f>
        <v>Complete on these measures</v>
      </c>
      <c r="M9" s="3" t="s">
        <v>57</v>
      </c>
      <c r="N9" s="3" t="s">
        <v>58</v>
      </c>
      <c r="O9" s="5"/>
    </row>
    <row r="10" customFormat="false" ht="68.65" hidden="false" customHeight="false" outlineLevel="0" collapsed="false">
      <c r="A10" s="2" t="s">
        <v>59</v>
      </c>
      <c r="B10" s="3" t="s">
        <v>60</v>
      </c>
      <c r="C10" s="3" t="s">
        <v>50</v>
      </c>
      <c r="D10" s="2" t="s">
        <v>18</v>
      </c>
      <c r="E10" s="3" t="s">
        <v>61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56</v>
      </c>
      <c r="K10" s="4" t="n">
        <f aca="false">IF(F10="Yes",2,0)+IF(H10="Yes",1,0)+IF(I10="Yes",1,0)+1</f>
        <v>5</v>
      </c>
      <c r="L10" s="3" t="str">
        <f aca="false">IF(F10&lt;&gt;"Yes","No master document",IF(H10&lt;&gt;"Yes","Not published",IF(I10&lt;&gt;"Yes","No deck or briefing","Complete on these measures")))</f>
        <v>Complete on these measures</v>
      </c>
      <c r="M10" s="3" t="s">
        <v>62</v>
      </c>
      <c r="N10" s="3" t="s">
        <v>63</v>
      </c>
      <c r="O10" s="5"/>
    </row>
    <row r="11" customFormat="false" ht="15" hidden="false" customHeight="false" outlineLevel="0" collapsed="false">
      <c r="A11" s="6" t="s">
        <v>64</v>
      </c>
      <c r="B11" s="7" t="s">
        <v>65</v>
      </c>
      <c r="C11" s="7" t="s">
        <v>39</v>
      </c>
      <c r="D11" s="6" t="s">
        <v>40</v>
      </c>
      <c r="E11" s="3" t="s">
        <v>66</v>
      </c>
      <c r="F11" s="2" t="s">
        <v>20</v>
      </c>
      <c r="G11" s="2" t="s">
        <v>21</v>
      </c>
      <c r="H11" s="2" t="s">
        <v>21</v>
      </c>
      <c r="I11" s="2" t="s">
        <v>21</v>
      </c>
      <c r="J11" s="2" t="s">
        <v>22</v>
      </c>
      <c r="K11" s="4" t="n">
        <f aca="false">IF(F11="Yes",2,0)+IF(H11="Yes",1,0)+IF(I11="Yes",1,0)+1</f>
        <v>3</v>
      </c>
      <c r="L11" s="3" t="str">
        <f aca="false">IF(F11&lt;&gt;"Yes","No master document",IF(H11&lt;&gt;"Yes","Not published",IF(I11&lt;&gt;"Yes","No deck or briefing","Complete on these measures")))</f>
        <v>Not published</v>
      </c>
      <c r="M11" s="3"/>
      <c r="N11" s="3" t="s">
        <v>67</v>
      </c>
      <c r="O11" s="5"/>
    </row>
    <row r="12" customFormat="false" ht="35.05" hidden="false" customHeight="false" outlineLevel="0" collapsed="false">
      <c r="A12" s="2" t="s">
        <v>68</v>
      </c>
      <c r="B12" s="3" t="s">
        <v>69</v>
      </c>
      <c r="C12" s="3" t="s">
        <v>70</v>
      </c>
      <c r="D12" s="2" t="s">
        <v>18</v>
      </c>
      <c r="E12" s="3" t="s">
        <v>71</v>
      </c>
      <c r="F12" s="2" t="s">
        <v>20</v>
      </c>
      <c r="G12" s="2" t="s">
        <v>21</v>
      </c>
      <c r="H12" s="2" t="s">
        <v>20</v>
      </c>
      <c r="I12" s="2" t="s">
        <v>21</v>
      </c>
      <c r="J12" s="2" t="s">
        <v>22</v>
      </c>
      <c r="K12" s="4" t="n">
        <f aca="false">IF(F12="Yes",2,0)+IF(H12="Yes",1,0)+IF(I12="Yes",1,0)+1</f>
        <v>4</v>
      </c>
      <c r="L12" s="3" t="str">
        <f aca="false">IF(F12&lt;&gt;"Yes","No master document",IF(H12&lt;&gt;"Yes","Not published",IF(I12&lt;&gt;"Yes","No deck or briefing","Complete on these measures")))</f>
        <v>No deck or briefing</v>
      </c>
      <c r="M12" s="3" t="s">
        <v>72</v>
      </c>
      <c r="N12" s="3" t="s">
        <v>73</v>
      </c>
      <c r="O12" s="5"/>
    </row>
    <row r="13" customFormat="false" ht="35.05" hidden="false" customHeight="false" outlineLevel="0" collapsed="false">
      <c r="A13" s="2" t="s">
        <v>74</v>
      </c>
      <c r="B13" s="3" t="s">
        <v>75</v>
      </c>
      <c r="C13" s="3" t="s">
        <v>70</v>
      </c>
      <c r="D13" s="2" t="s">
        <v>18</v>
      </c>
      <c r="E13" s="3" t="s">
        <v>76</v>
      </c>
      <c r="F13" s="2" t="s">
        <v>21</v>
      </c>
      <c r="G13" s="2" t="s">
        <v>20</v>
      </c>
      <c r="H13" s="2" t="s">
        <v>21</v>
      </c>
      <c r="I13" s="2" t="s">
        <v>21</v>
      </c>
      <c r="J13" s="2" t="s">
        <v>77</v>
      </c>
      <c r="K13" s="4" t="n">
        <f aca="false">IF(F13="Yes",2,0)+IF(H13="Yes",1,0)+IF(I13="Yes",1,0)+1</f>
        <v>1</v>
      </c>
      <c r="L13" s="3" t="str">
        <f aca="false">IF(F13&lt;&gt;"Yes","No master document",IF(H13&lt;&gt;"Yes","Not published",IF(I13&lt;&gt;"Yes","No deck or briefing","Complete on these measures")))</f>
        <v>No master document</v>
      </c>
      <c r="M13" s="3" t="s">
        <v>78</v>
      </c>
      <c r="N13" s="3" t="s">
        <v>79</v>
      </c>
      <c r="O13" s="5"/>
    </row>
    <row r="14" customFormat="false" ht="23.85" hidden="false" customHeight="false" outlineLevel="0" collapsed="false">
      <c r="A14" s="2" t="s">
        <v>80</v>
      </c>
      <c r="B14" s="3" t="s">
        <v>81</v>
      </c>
      <c r="C14" s="3" t="s">
        <v>70</v>
      </c>
      <c r="D14" s="2" t="s">
        <v>18</v>
      </c>
      <c r="E14" s="3" t="s">
        <v>82</v>
      </c>
      <c r="F14" s="2" t="s">
        <v>21</v>
      </c>
      <c r="G14" s="2" t="s">
        <v>20</v>
      </c>
      <c r="H14" s="2" t="s">
        <v>20</v>
      </c>
      <c r="I14" s="2" t="s">
        <v>21</v>
      </c>
      <c r="J14" s="2" t="s">
        <v>83</v>
      </c>
      <c r="K14" s="4" t="n">
        <f aca="false">IF(F14="Yes",2,0)+IF(H14="Yes",1,0)+IF(I14="Yes",1,0)+1</f>
        <v>2</v>
      </c>
      <c r="L14" s="3" t="str">
        <f aca="false">IF(F14&lt;&gt;"Yes","No master document",IF(H14&lt;&gt;"Yes","Not published",IF(I14&lt;&gt;"Yes","No deck or briefing","Complete on these measures")))</f>
        <v>No master document</v>
      </c>
      <c r="M14" s="3"/>
      <c r="N14" s="3" t="s">
        <v>84</v>
      </c>
      <c r="O14" s="5"/>
    </row>
    <row r="15" customFormat="false" ht="23.85" hidden="false" customHeight="false" outlineLevel="0" collapsed="false">
      <c r="A15" s="6" t="s">
        <v>85</v>
      </c>
      <c r="B15" s="7" t="s">
        <v>86</v>
      </c>
      <c r="C15" s="7" t="s">
        <v>39</v>
      </c>
      <c r="D15" s="6" t="s">
        <v>40</v>
      </c>
      <c r="E15" s="3" t="s">
        <v>87</v>
      </c>
      <c r="F15" s="2" t="s">
        <v>21</v>
      </c>
      <c r="G15" s="2" t="s">
        <v>21</v>
      </c>
      <c r="H15" s="2" t="s">
        <v>21</v>
      </c>
      <c r="I15" s="2" t="s">
        <v>20</v>
      </c>
      <c r="J15" s="2" t="s">
        <v>22</v>
      </c>
      <c r="K15" s="4" t="n">
        <f aca="false">IF(F15="Yes",2,0)+IF(H15="Yes",1,0)+IF(I15="Yes",1,0)+1</f>
        <v>2</v>
      </c>
      <c r="L15" s="3" t="str">
        <f aca="false">IF(F15&lt;&gt;"Yes","No master document",IF(H15&lt;&gt;"Yes","Not published",IF(I15&lt;&gt;"Yes","No deck or briefing","Complete on these measures")))</f>
        <v>No master document</v>
      </c>
      <c r="M15" s="3"/>
      <c r="N15" s="3" t="s">
        <v>88</v>
      </c>
      <c r="O15" s="5"/>
    </row>
    <row r="16" customFormat="false" ht="15" hidden="false" customHeight="false" outlineLevel="0" collapsed="false">
      <c r="A16" s="6" t="s">
        <v>89</v>
      </c>
      <c r="B16" s="7" t="s">
        <v>90</v>
      </c>
      <c r="C16" s="7" t="s">
        <v>39</v>
      </c>
      <c r="D16" s="6" t="s">
        <v>40</v>
      </c>
      <c r="E16" s="3" t="s">
        <v>91</v>
      </c>
      <c r="F16" s="2" t="s">
        <v>21</v>
      </c>
      <c r="G16" s="2" t="s">
        <v>21</v>
      </c>
      <c r="H16" s="2" t="s">
        <v>21</v>
      </c>
      <c r="I16" s="2" t="s">
        <v>21</v>
      </c>
      <c r="J16" s="2" t="s">
        <v>22</v>
      </c>
      <c r="K16" s="4" t="n">
        <f aca="false">IF(F16="Yes",2,0)+IF(H16="Yes",1,0)+IF(I16="Yes",1,0)+1</f>
        <v>1</v>
      </c>
      <c r="L16" s="3" t="str">
        <f aca="false">IF(F16&lt;&gt;"Yes","No master document",IF(H16&lt;&gt;"Yes","Not published",IF(I16&lt;&gt;"Yes","No deck or briefing","Complete on these measures")))</f>
        <v>No master document</v>
      </c>
      <c r="M16" s="3"/>
      <c r="N16" s="3" t="s">
        <v>92</v>
      </c>
      <c r="O16" s="5"/>
    </row>
    <row r="17" customFormat="false" ht="15" hidden="false" customHeight="false" outlineLevel="0" collapsed="false">
      <c r="A17" s="6" t="s">
        <v>93</v>
      </c>
      <c r="B17" s="7" t="s">
        <v>94</v>
      </c>
      <c r="C17" s="7" t="s">
        <v>39</v>
      </c>
      <c r="D17" s="6" t="s">
        <v>40</v>
      </c>
      <c r="E17" s="3" t="s">
        <v>95</v>
      </c>
      <c r="F17" s="2" t="s">
        <v>21</v>
      </c>
      <c r="G17" s="2" t="s">
        <v>21</v>
      </c>
      <c r="H17" s="2" t="s">
        <v>21</v>
      </c>
      <c r="I17" s="2" t="s">
        <v>20</v>
      </c>
      <c r="J17" s="2" t="s">
        <v>22</v>
      </c>
      <c r="K17" s="4" t="n">
        <f aca="false">IF(F17="Yes",2,0)+IF(H17="Yes",1,0)+IF(I17="Yes",1,0)+1</f>
        <v>2</v>
      </c>
      <c r="L17" s="3" t="str">
        <f aca="false">IF(F17&lt;&gt;"Yes","No master document",IF(H17&lt;&gt;"Yes","Not published",IF(I17&lt;&gt;"Yes","No deck or briefing","Complete on these measures")))</f>
        <v>No master document</v>
      </c>
      <c r="M17" s="3"/>
      <c r="N17" s="3" t="s">
        <v>96</v>
      </c>
      <c r="O17" s="5"/>
    </row>
    <row r="18" customFormat="false" ht="23.85" hidden="false" customHeight="false" outlineLevel="0" collapsed="false">
      <c r="A18" s="2" t="s">
        <v>97</v>
      </c>
      <c r="B18" s="3" t="s">
        <v>98</v>
      </c>
      <c r="C18" s="3" t="s">
        <v>99</v>
      </c>
      <c r="D18" s="2" t="s">
        <v>18</v>
      </c>
      <c r="E18" s="3" t="s">
        <v>100</v>
      </c>
      <c r="F18" s="2" t="s">
        <v>20</v>
      </c>
      <c r="G18" s="2" t="s">
        <v>21</v>
      </c>
      <c r="H18" s="2" t="s">
        <v>20</v>
      </c>
      <c r="I18" s="2" t="s">
        <v>21</v>
      </c>
      <c r="J18" s="2" t="s">
        <v>22</v>
      </c>
      <c r="K18" s="4" t="n">
        <f aca="false">IF(F18="Yes",2,0)+IF(H18="Yes",1,0)+IF(I18="Yes",1,0)+1</f>
        <v>4</v>
      </c>
      <c r="L18" s="3" t="str">
        <f aca="false">IF(F18&lt;&gt;"Yes","No master document",IF(H18&lt;&gt;"Yes","Not published",IF(I18&lt;&gt;"Yes","No deck or briefing","Complete on these measures")))</f>
        <v>No deck or briefing</v>
      </c>
      <c r="M18" s="3"/>
      <c r="N18" s="3" t="s">
        <v>101</v>
      </c>
      <c r="O18" s="5"/>
    </row>
    <row r="19" customFormat="false" ht="15" hidden="false" customHeight="false" outlineLevel="0" collapsed="false">
      <c r="A19" s="2" t="s">
        <v>102</v>
      </c>
      <c r="B19" s="3" t="s">
        <v>103</v>
      </c>
      <c r="C19" s="3" t="s">
        <v>99</v>
      </c>
      <c r="D19" s="2" t="s">
        <v>18</v>
      </c>
      <c r="E19" s="3" t="s">
        <v>104</v>
      </c>
      <c r="F19" s="2" t="s">
        <v>20</v>
      </c>
      <c r="G19" s="2" t="s">
        <v>20</v>
      </c>
      <c r="H19" s="2" t="s">
        <v>20</v>
      </c>
      <c r="I19" s="2" t="s">
        <v>21</v>
      </c>
      <c r="J19" s="2" t="s">
        <v>83</v>
      </c>
      <c r="K19" s="4" t="n">
        <f aca="false">IF(F19="Yes",2,0)+IF(H19="Yes",1,0)+IF(I19="Yes",1,0)+1</f>
        <v>4</v>
      </c>
      <c r="L19" s="3" t="str">
        <f aca="false">IF(F19&lt;&gt;"Yes","No master document",IF(H19&lt;&gt;"Yes","Not published",IF(I19&lt;&gt;"Yes","No deck or briefing","Complete on these measures")))</f>
        <v>No deck or briefing</v>
      </c>
      <c r="M19" s="3"/>
      <c r="N19" s="3" t="s">
        <v>105</v>
      </c>
      <c r="O19" s="5"/>
    </row>
    <row r="20" customFormat="false" ht="68.65" hidden="false" customHeight="false" outlineLevel="0" collapsed="false">
      <c r="A20" s="2" t="s">
        <v>106</v>
      </c>
      <c r="B20" s="3" t="s">
        <v>107</v>
      </c>
      <c r="C20" s="3" t="s">
        <v>99</v>
      </c>
      <c r="D20" s="2" t="s">
        <v>18</v>
      </c>
      <c r="E20" s="3" t="s">
        <v>108</v>
      </c>
      <c r="F20" s="2" t="s">
        <v>21</v>
      </c>
      <c r="G20" s="2" t="s">
        <v>20</v>
      </c>
      <c r="H20" s="2" t="s">
        <v>21</v>
      </c>
      <c r="I20" s="2" t="s">
        <v>21</v>
      </c>
      <c r="J20" s="2" t="s">
        <v>22</v>
      </c>
      <c r="K20" s="4" t="n">
        <f aca="false">IF(F20="Yes",2,0)+IF(H20="Yes",1,0)+IF(I20="Yes",1,0)+1</f>
        <v>1</v>
      </c>
      <c r="L20" s="3" t="str">
        <f aca="false">IF(F20&lt;&gt;"Yes","No master document",IF(H20&lt;&gt;"Yes","Not published",IF(I20&lt;&gt;"Yes","No deck or briefing","Complete on these measures")))</f>
        <v>No master document</v>
      </c>
      <c r="M20" s="3" t="s">
        <v>109</v>
      </c>
      <c r="N20" s="3" t="s">
        <v>110</v>
      </c>
      <c r="O20" s="5"/>
    </row>
    <row r="21" customFormat="false" ht="23.85" hidden="false" customHeight="false" outlineLevel="0" collapsed="false">
      <c r="A21" s="6" t="s">
        <v>111</v>
      </c>
      <c r="B21" s="7" t="s">
        <v>112</v>
      </c>
      <c r="C21" s="7" t="s">
        <v>39</v>
      </c>
      <c r="D21" s="6" t="s">
        <v>40</v>
      </c>
      <c r="E21" s="3" t="s">
        <v>113</v>
      </c>
      <c r="F21" s="2" t="s">
        <v>21</v>
      </c>
      <c r="G21" s="2" t="s">
        <v>21</v>
      </c>
      <c r="H21" s="2" t="s">
        <v>21</v>
      </c>
      <c r="I21" s="2" t="s">
        <v>21</v>
      </c>
      <c r="J21" s="2" t="s">
        <v>22</v>
      </c>
      <c r="K21" s="4" t="n">
        <f aca="false">IF(F21="Yes",2,0)+IF(H21="Yes",1,0)+IF(I21="Yes",1,0)+1</f>
        <v>1</v>
      </c>
      <c r="L21" s="3" t="str">
        <f aca="false">IF(F21&lt;&gt;"Yes","No master document",IF(H21&lt;&gt;"Yes","Not published",IF(I21&lt;&gt;"Yes","No deck or briefing","Complete on these measures")))</f>
        <v>No master document</v>
      </c>
      <c r="M21" s="3" t="s">
        <v>114</v>
      </c>
      <c r="N21" s="3" t="s">
        <v>115</v>
      </c>
      <c r="O21" s="5"/>
    </row>
    <row r="22" customFormat="false" ht="23.85" hidden="false" customHeight="false" outlineLevel="0" collapsed="false">
      <c r="A22" s="2" t="s">
        <v>116</v>
      </c>
      <c r="B22" s="3" t="s">
        <v>117</v>
      </c>
      <c r="C22" s="3" t="s">
        <v>118</v>
      </c>
      <c r="D22" s="2" t="s">
        <v>18</v>
      </c>
      <c r="E22" s="3" t="s">
        <v>119</v>
      </c>
      <c r="F22" s="2" t="s">
        <v>20</v>
      </c>
      <c r="G22" s="2" t="s">
        <v>21</v>
      </c>
      <c r="H22" s="2" t="s">
        <v>20</v>
      </c>
      <c r="I22" s="2" t="s">
        <v>21</v>
      </c>
      <c r="J22" s="2" t="s">
        <v>22</v>
      </c>
      <c r="K22" s="4" t="n">
        <f aca="false">IF(F22="Yes",2,0)+IF(H22="Yes",1,0)+IF(I22="Yes",1,0)+1</f>
        <v>4</v>
      </c>
      <c r="L22" s="3" t="str">
        <f aca="false">IF(F22&lt;&gt;"Yes","No master document",IF(H22&lt;&gt;"Yes","Not published",IF(I22&lt;&gt;"Yes","No deck or briefing","Complete on these measures")))</f>
        <v>No deck or briefing</v>
      </c>
      <c r="M22" s="3"/>
      <c r="N22" s="3" t="s">
        <v>120</v>
      </c>
      <c r="O22" s="5"/>
    </row>
    <row r="23" customFormat="false" ht="23.85" hidden="false" customHeight="false" outlineLevel="0" collapsed="false">
      <c r="A23" s="2" t="s">
        <v>121</v>
      </c>
      <c r="B23" s="3" t="s">
        <v>122</v>
      </c>
      <c r="C23" s="3" t="s">
        <v>118</v>
      </c>
      <c r="D23" s="2" t="s">
        <v>18</v>
      </c>
      <c r="E23" s="3" t="s">
        <v>123</v>
      </c>
      <c r="F23" s="2" t="s">
        <v>20</v>
      </c>
      <c r="G23" s="2" t="s">
        <v>20</v>
      </c>
      <c r="H23" s="2" t="s">
        <v>20</v>
      </c>
      <c r="I23" s="2" t="s">
        <v>20</v>
      </c>
      <c r="J23" s="2" t="s">
        <v>22</v>
      </c>
      <c r="K23" s="4" t="n">
        <f aca="false">IF(F23="Yes",2,0)+IF(H23="Yes",1,0)+IF(I23="Yes",1,0)+1</f>
        <v>5</v>
      </c>
      <c r="L23" s="3" t="str">
        <f aca="false">IF(F23&lt;&gt;"Yes","No master document",IF(H23&lt;&gt;"Yes","Not published",IF(I23&lt;&gt;"Yes","No deck or briefing","Complete on these measures")))</f>
        <v>Complete on these measures</v>
      </c>
      <c r="M23" s="3"/>
      <c r="N23" s="3" t="s">
        <v>124</v>
      </c>
      <c r="O23" s="5"/>
    </row>
    <row r="24" customFormat="false" ht="57.45" hidden="false" customHeight="false" outlineLevel="0" collapsed="false">
      <c r="A24" s="6" t="s">
        <v>125</v>
      </c>
      <c r="B24" s="7" t="s">
        <v>126</v>
      </c>
      <c r="C24" s="7" t="s">
        <v>39</v>
      </c>
      <c r="D24" s="6" t="s">
        <v>40</v>
      </c>
      <c r="E24" s="3" t="s">
        <v>127</v>
      </c>
      <c r="F24" s="2" t="s">
        <v>21</v>
      </c>
      <c r="G24" s="2" t="s">
        <v>21</v>
      </c>
      <c r="H24" s="2" t="s">
        <v>21</v>
      </c>
      <c r="I24" s="2" t="s">
        <v>21</v>
      </c>
      <c r="J24" s="2"/>
      <c r="K24" s="4" t="n">
        <f aca="false">IF(F24="Yes",2,0)+IF(H24="Yes",1,0)+IF(I24="Yes",1,0)+1</f>
        <v>1</v>
      </c>
      <c r="L24" s="3" t="str">
        <f aca="false">IF(F24&lt;&gt;"Yes","No master document",IF(H24&lt;&gt;"Yes","Not published",IF(I24&lt;&gt;"Yes","No deck or briefing","Complete on these measures")))</f>
        <v>No master document</v>
      </c>
      <c r="M24" s="3" t="s">
        <v>128</v>
      </c>
      <c r="N24" s="3" t="s">
        <v>129</v>
      </c>
      <c r="O24" s="5"/>
    </row>
    <row r="25" customFormat="false" ht="15" hidden="false" customHeight="false" outlineLevel="0" collapsed="false">
      <c r="A25" s="6" t="s">
        <v>130</v>
      </c>
      <c r="B25" s="7" t="s">
        <v>131</v>
      </c>
      <c r="C25" s="7" t="s">
        <v>39</v>
      </c>
      <c r="D25" s="6" t="s">
        <v>40</v>
      </c>
      <c r="E25" s="3" t="s">
        <v>132</v>
      </c>
      <c r="F25" s="2" t="s">
        <v>21</v>
      </c>
      <c r="G25" s="2" t="s">
        <v>21</v>
      </c>
      <c r="H25" s="2" t="s">
        <v>21</v>
      </c>
      <c r="I25" s="2" t="s">
        <v>21</v>
      </c>
      <c r="J25" s="2" t="s">
        <v>22</v>
      </c>
      <c r="K25" s="4" t="n">
        <f aca="false">IF(F25="Yes",2,0)+IF(H25="Yes",1,0)+IF(I25="Yes",1,0)+1</f>
        <v>1</v>
      </c>
      <c r="L25" s="3" t="str">
        <f aca="false">IF(F25&lt;&gt;"Yes","No master document",IF(H25&lt;&gt;"Yes","Not published",IF(I25&lt;&gt;"Yes","No deck or briefing","Complete on these measures")))</f>
        <v>No master document</v>
      </c>
      <c r="M25" s="3" t="s">
        <v>133</v>
      </c>
      <c r="N25" s="3" t="s">
        <v>134</v>
      </c>
      <c r="O25" s="5"/>
    </row>
    <row r="26" customFormat="false" ht="23.85" hidden="false" customHeight="false" outlineLevel="0" collapsed="false">
      <c r="A26" s="6" t="s">
        <v>135</v>
      </c>
      <c r="B26" s="7" t="s">
        <v>136</v>
      </c>
      <c r="C26" s="7" t="s">
        <v>39</v>
      </c>
      <c r="D26" s="6" t="s">
        <v>40</v>
      </c>
      <c r="E26" s="3" t="s">
        <v>137</v>
      </c>
      <c r="F26" s="2" t="s">
        <v>21</v>
      </c>
      <c r="G26" s="2" t="s">
        <v>21</v>
      </c>
      <c r="H26" s="2" t="s">
        <v>21</v>
      </c>
      <c r="I26" s="2" t="s">
        <v>21</v>
      </c>
      <c r="J26" s="2" t="s">
        <v>22</v>
      </c>
      <c r="K26" s="4" t="n">
        <f aca="false">IF(F26="Yes",2,0)+IF(H26="Yes",1,0)+IF(I26="Yes",1,0)+1</f>
        <v>1</v>
      </c>
      <c r="L26" s="3" t="str">
        <f aca="false">IF(F26&lt;&gt;"Yes","No master document",IF(H26&lt;&gt;"Yes","Not published",IF(I26&lt;&gt;"Yes","No deck or briefing","Complete on these measures")))</f>
        <v>No master document</v>
      </c>
      <c r="M26" s="3" t="s">
        <v>138</v>
      </c>
      <c r="N26" s="3" t="s">
        <v>139</v>
      </c>
      <c r="O26" s="5"/>
    </row>
    <row r="27" customFormat="false" ht="15" hidden="false" customHeight="false" outlineLevel="0" collapsed="false">
      <c r="A27" s="6" t="s">
        <v>140</v>
      </c>
      <c r="B27" s="7" t="s">
        <v>141</v>
      </c>
      <c r="C27" s="7" t="s">
        <v>142</v>
      </c>
      <c r="D27" s="6" t="s">
        <v>143</v>
      </c>
      <c r="E27" s="3" t="s">
        <v>144</v>
      </c>
      <c r="F27" s="2" t="s">
        <v>20</v>
      </c>
      <c r="G27" s="2" t="s">
        <v>21</v>
      </c>
      <c r="H27" s="2" t="s">
        <v>21</v>
      </c>
      <c r="I27" s="2" t="s">
        <v>21</v>
      </c>
      <c r="J27" s="2"/>
      <c r="K27" s="4" t="n">
        <f aca="false">IF(F27="Yes",2,0)+IF(H27="Yes",1,0)+IF(I27="Yes",1,0)+1</f>
        <v>3</v>
      </c>
      <c r="L27" s="3" t="str">
        <f aca="false">IF(F27&lt;&gt;"Yes","No master document",IF(H27&lt;&gt;"Yes","Not published",IF(I27&lt;&gt;"Yes","No deck or briefing","Complete on these measures")))</f>
        <v>Not published</v>
      </c>
      <c r="M27" s="3"/>
      <c r="N27" s="3" t="s">
        <v>145</v>
      </c>
      <c r="O27" s="5"/>
    </row>
    <row r="28" customFormat="false" ht="46.25" hidden="false" customHeight="false" outlineLevel="0" collapsed="false">
      <c r="A28" s="6" t="s">
        <v>146</v>
      </c>
      <c r="B28" s="7" t="s">
        <v>147</v>
      </c>
      <c r="C28" s="7" t="s">
        <v>142</v>
      </c>
      <c r="D28" s="6" t="s">
        <v>143</v>
      </c>
      <c r="E28" s="3" t="s">
        <v>148</v>
      </c>
      <c r="F28" s="2" t="s">
        <v>21</v>
      </c>
      <c r="G28" s="2" t="s">
        <v>21</v>
      </c>
      <c r="H28" s="2" t="s">
        <v>21</v>
      </c>
      <c r="I28" s="2" t="s">
        <v>21</v>
      </c>
      <c r="J28" s="2" t="s">
        <v>56</v>
      </c>
      <c r="K28" s="4" t="n">
        <f aca="false">IF(F28="Yes",2,0)+IF(H28="Yes",1,0)+IF(I28="Yes",1,0)+1</f>
        <v>1</v>
      </c>
      <c r="L28" s="3" t="str">
        <f aca="false">IF(F28&lt;&gt;"Yes","No master document",IF(H28&lt;&gt;"Yes","Not published",IF(I28&lt;&gt;"Yes","No deck or briefing","Complete on these measures")))</f>
        <v>No master document</v>
      </c>
      <c r="M28" s="3" t="s">
        <v>149</v>
      </c>
      <c r="N28" s="3" t="s">
        <v>150</v>
      </c>
      <c r="O28" s="5"/>
    </row>
    <row r="29" customFormat="false" ht="23.85" hidden="false" customHeight="false" outlineLevel="0" collapsed="false">
      <c r="A29" s="6" t="s">
        <v>151</v>
      </c>
      <c r="B29" s="7" t="s">
        <v>152</v>
      </c>
      <c r="C29" s="7" t="s">
        <v>142</v>
      </c>
      <c r="D29" s="6" t="s">
        <v>143</v>
      </c>
      <c r="E29" s="3" t="s">
        <v>153</v>
      </c>
      <c r="F29" s="2" t="s">
        <v>20</v>
      </c>
      <c r="G29" s="2" t="s">
        <v>21</v>
      </c>
      <c r="H29" s="2" t="s">
        <v>21</v>
      </c>
      <c r="I29" s="2" t="s">
        <v>21</v>
      </c>
      <c r="J29" s="2" t="s">
        <v>56</v>
      </c>
      <c r="K29" s="4" t="n">
        <f aca="false">IF(F29="Yes",2,0)+IF(H29="Yes",1,0)+IF(I29="Yes",1,0)+1</f>
        <v>3</v>
      </c>
      <c r="L29" s="3" t="str">
        <f aca="false">IF(F29&lt;&gt;"Yes","No master document",IF(H29&lt;&gt;"Yes","Not published",IF(I29&lt;&gt;"Yes","No deck or briefing","Complete on these measures")))</f>
        <v>Not published</v>
      </c>
      <c r="M29" s="3" t="s">
        <v>154</v>
      </c>
      <c r="N29" s="3" t="s">
        <v>155</v>
      </c>
      <c r="O29" s="5"/>
    </row>
    <row r="30" customFormat="false" ht="15" hidden="false" customHeight="false" outlineLevel="0" collapsed="false">
      <c r="A30" s="6" t="s">
        <v>156</v>
      </c>
      <c r="B30" s="7" t="s">
        <v>157</v>
      </c>
      <c r="C30" s="7" t="s">
        <v>158</v>
      </c>
      <c r="D30" s="6" t="s">
        <v>143</v>
      </c>
      <c r="E30" s="3" t="s">
        <v>159</v>
      </c>
      <c r="F30" s="2" t="s">
        <v>20</v>
      </c>
      <c r="G30" s="2" t="s">
        <v>21</v>
      </c>
      <c r="H30" s="2" t="s">
        <v>21</v>
      </c>
      <c r="I30" s="2" t="s">
        <v>21</v>
      </c>
      <c r="J30" s="2"/>
      <c r="K30" s="4" t="n">
        <f aca="false">IF(F30="Yes",2,0)+IF(H30="Yes",1,0)+IF(I30="Yes",1,0)+1</f>
        <v>3</v>
      </c>
      <c r="L30" s="3" t="str">
        <f aca="false">IF(F30&lt;&gt;"Yes","No master document",IF(H30&lt;&gt;"Yes","Not published",IF(I30&lt;&gt;"Yes","No deck or briefing","Complete on these measures")))</f>
        <v>Not published</v>
      </c>
      <c r="M30" s="3"/>
      <c r="N30" s="3" t="s">
        <v>145</v>
      </c>
      <c r="O30" s="5"/>
    </row>
    <row r="31" customFormat="false" ht="15" hidden="false" customHeight="false" outlineLevel="0" collapsed="false">
      <c r="A31" s="6" t="s">
        <v>160</v>
      </c>
      <c r="B31" s="7" t="s">
        <v>161</v>
      </c>
      <c r="C31" s="7" t="s">
        <v>158</v>
      </c>
      <c r="D31" s="6" t="s">
        <v>143</v>
      </c>
      <c r="E31" s="3" t="s">
        <v>162</v>
      </c>
      <c r="F31" s="2" t="s">
        <v>20</v>
      </c>
      <c r="G31" s="2" t="s">
        <v>21</v>
      </c>
      <c r="H31" s="2" t="s">
        <v>21</v>
      </c>
      <c r="I31" s="2" t="s">
        <v>21</v>
      </c>
      <c r="J31" s="2" t="s">
        <v>56</v>
      </c>
      <c r="K31" s="4" t="n">
        <f aca="false">IF(F31="Yes",2,0)+IF(H31="Yes",1,0)+IF(I31="Yes",1,0)+1</f>
        <v>3</v>
      </c>
      <c r="L31" s="3" t="str">
        <f aca="false">IF(F31&lt;&gt;"Yes","No master document",IF(H31&lt;&gt;"Yes","Not published",IF(I31&lt;&gt;"Yes","No deck or briefing","Complete on these measures")))</f>
        <v>Not published</v>
      </c>
      <c r="M31" s="3"/>
      <c r="N31" s="3" t="s">
        <v>163</v>
      </c>
      <c r="O31" s="5"/>
    </row>
    <row r="32" customFormat="false" ht="23.85" hidden="false" customHeight="false" outlineLevel="0" collapsed="false">
      <c r="A32" s="6" t="s">
        <v>164</v>
      </c>
      <c r="B32" s="7" t="s">
        <v>165</v>
      </c>
      <c r="C32" s="7" t="s">
        <v>158</v>
      </c>
      <c r="D32" s="6" t="s">
        <v>143</v>
      </c>
      <c r="E32" s="3" t="s">
        <v>166</v>
      </c>
      <c r="F32" s="2" t="s">
        <v>20</v>
      </c>
      <c r="G32" s="2" t="s">
        <v>21</v>
      </c>
      <c r="H32" s="2" t="s">
        <v>21</v>
      </c>
      <c r="I32" s="2" t="s">
        <v>21</v>
      </c>
      <c r="J32" s="2" t="s">
        <v>56</v>
      </c>
      <c r="K32" s="4" t="n">
        <f aca="false">IF(F32="Yes",2,0)+IF(H32="Yes",1,0)+IF(I32="Yes",1,0)+1</f>
        <v>3</v>
      </c>
      <c r="L32" s="3" t="str">
        <f aca="false">IF(F32&lt;&gt;"Yes","No master document",IF(H32&lt;&gt;"Yes","Not published",IF(I32&lt;&gt;"Yes","No deck or briefing","Complete on these measures")))</f>
        <v>Not published</v>
      </c>
      <c r="M32" s="3"/>
      <c r="N32" s="3" t="s">
        <v>167</v>
      </c>
      <c r="O32" s="5"/>
    </row>
    <row r="33" customFormat="false" ht="15" hidden="false" customHeight="false" outlineLevel="0" collapsed="false">
      <c r="A33" s="6" t="s">
        <v>168</v>
      </c>
      <c r="B33" s="7" t="s">
        <v>169</v>
      </c>
      <c r="C33" s="7" t="s">
        <v>158</v>
      </c>
      <c r="D33" s="6" t="s">
        <v>143</v>
      </c>
      <c r="E33" s="3" t="s">
        <v>170</v>
      </c>
      <c r="F33" s="2" t="s">
        <v>20</v>
      </c>
      <c r="G33" s="2" t="s">
        <v>21</v>
      </c>
      <c r="H33" s="2" t="s">
        <v>21</v>
      </c>
      <c r="I33" s="2" t="s">
        <v>21</v>
      </c>
      <c r="J33" s="2" t="s">
        <v>56</v>
      </c>
      <c r="K33" s="4" t="n">
        <f aca="false">IF(F33="Yes",2,0)+IF(H33="Yes",1,0)+IF(I33="Yes",1,0)+1</f>
        <v>3</v>
      </c>
      <c r="L33" s="3" t="str">
        <f aca="false">IF(F33&lt;&gt;"Yes","No master document",IF(H33&lt;&gt;"Yes","Not published",IF(I33&lt;&gt;"Yes","No deck or briefing","Complete on these measures")))</f>
        <v>Not published</v>
      </c>
      <c r="M33" s="3"/>
      <c r="N33" s="3"/>
      <c r="O33" s="5"/>
    </row>
    <row r="34" customFormat="false" ht="15" hidden="false" customHeight="false" outlineLevel="0" collapsed="false">
      <c r="A34" s="6" t="s">
        <v>171</v>
      </c>
      <c r="B34" s="7" t="s">
        <v>172</v>
      </c>
      <c r="C34" s="7" t="s">
        <v>173</v>
      </c>
      <c r="D34" s="6" t="s">
        <v>143</v>
      </c>
      <c r="E34" s="3" t="s">
        <v>174</v>
      </c>
      <c r="F34" s="2" t="s">
        <v>20</v>
      </c>
      <c r="G34" s="2" t="s">
        <v>21</v>
      </c>
      <c r="H34" s="2" t="s">
        <v>21</v>
      </c>
      <c r="I34" s="2" t="s">
        <v>21</v>
      </c>
      <c r="J34" s="2"/>
      <c r="K34" s="4" t="n">
        <f aca="false">IF(F34="Yes",2,0)+IF(H34="Yes",1,0)+IF(I34="Yes",1,0)+1</f>
        <v>3</v>
      </c>
      <c r="L34" s="3" t="str">
        <f aca="false">IF(F34&lt;&gt;"Yes","No master document",IF(H34&lt;&gt;"Yes","Not published",IF(I34&lt;&gt;"Yes","No deck or briefing","Complete on these measures")))</f>
        <v>Not published</v>
      </c>
      <c r="M34" s="3"/>
      <c r="N34" s="3" t="s">
        <v>145</v>
      </c>
      <c r="O34" s="5"/>
    </row>
    <row r="35" customFormat="false" ht="15" hidden="false" customHeight="false" outlineLevel="0" collapsed="false">
      <c r="A35" s="6" t="s">
        <v>175</v>
      </c>
      <c r="B35" s="7" t="s">
        <v>176</v>
      </c>
      <c r="C35" s="7" t="s">
        <v>173</v>
      </c>
      <c r="D35" s="6" t="s">
        <v>143</v>
      </c>
      <c r="E35" s="3" t="s">
        <v>177</v>
      </c>
      <c r="F35" s="2" t="s">
        <v>20</v>
      </c>
      <c r="G35" s="2" t="s">
        <v>21</v>
      </c>
      <c r="H35" s="2" t="s">
        <v>21</v>
      </c>
      <c r="I35" s="2" t="s">
        <v>21</v>
      </c>
      <c r="J35" s="2" t="s">
        <v>22</v>
      </c>
      <c r="K35" s="4" t="n">
        <f aca="false">IF(F35="Yes",2,0)+IF(H35="Yes",1,0)+IF(I35="Yes",1,0)+1</f>
        <v>3</v>
      </c>
      <c r="L35" s="3" t="str">
        <f aca="false">IF(F35&lt;&gt;"Yes","No master document",IF(H35&lt;&gt;"Yes","Not published",IF(I35&lt;&gt;"Yes","No deck or briefing","Complete on these measures")))</f>
        <v>Not published</v>
      </c>
      <c r="M35" s="3"/>
      <c r="N35" s="3" t="s">
        <v>178</v>
      </c>
      <c r="O35" s="5"/>
    </row>
    <row r="36" customFormat="false" ht="15" hidden="false" customHeight="false" outlineLevel="0" collapsed="false">
      <c r="A36" s="6" t="s">
        <v>179</v>
      </c>
      <c r="B36" s="7" t="s">
        <v>180</v>
      </c>
      <c r="C36" s="7" t="s">
        <v>173</v>
      </c>
      <c r="D36" s="6" t="s">
        <v>143</v>
      </c>
      <c r="E36" s="3" t="s">
        <v>181</v>
      </c>
      <c r="F36" s="2" t="s">
        <v>21</v>
      </c>
      <c r="G36" s="2" t="s">
        <v>21</v>
      </c>
      <c r="H36" s="2" t="s">
        <v>21</v>
      </c>
      <c r="I36" s="2" t="s">
        <v>21</v>
      </c>
      <c r="J36" s="2" t="s">
        <v>56</v>
      </c>
      <c r="K36" s="4" t="n">
        <f aca="false">IF(F36="Yes",2,0)+IF(H36="Yes",1,0)+IF(I36="Yes",1,0)+1</f>
        <v>1</v>
      </c>
      <c r="L36" s="3" t="str">
        <f aca="false">IF(F36&lt;&gt;"Yes","No master document",IF(H36&lt;&gt;"Yes","Not published",IF(I36&lt;&gt;"Yes","No deck or briefing","Complete on these measures")))</f>
        <v>No master document</v>
      </c>
      <c r="M36" s="3"/>
      <c r="N36" s="3" t="s">
        <v>182</v>
      </c>
      <c r="O36" s="5"/>
    </row>
    <row r="37" customFormat="false" ht="23.85" hidden="false" customHeight="false" outlineLevel="0" collapsed="false">
      <c r="A37" s="6" t="s">
        <v>183</v>
      </c>
      <c r="B37" s="7" t="s">
        <v>184</v>
      </c>
      <c r="C37" s="7" t="s">
        <v>173</v>
      </c>
      <c r="D37" s="6" t="s">
        <v>143</v>
      </c>
      <c r="E37" s="3" t="s">
        <v>185</v>
      </c>
      <c r="F37" s="2" t="s">
        <v>20</v>
      </c>
      <c r="G37" s="2" t="s">
        <v>21</v>
      </c>
      <c r="H37" s="2" t="s">
        <v>21</v>
      </c>
      <c r="I37" s="2" t="s">
        <v>21</v>
      </c>
      <c r="J37" s="2" t="s">
        <v>56</v>
      </c>
      <c r="K37" s="4" t="n">
        <f aca="false">IF(F37="Yes",2,0)+IF(H37="Yes",1,0)+IF(I37="Yes",1,0)+1</f>
        <v>3</v>
      </c>
      <c r="L37" s="3" t="str">
        <f aca="false">IF(F37&lt;&gt;"Yes","No master document",IF(H37&lt;&gt;"Yes","Not published",IF(I37&lt;&gt;"Yes","No deck or briefing","Complete on these measures")))</f>
        <v>Not published</v>
      </c>
      <c r="M37" s="3"/>
      <c r="N37" s="3"/>
      <c r="O37" s="5"/>
    </row>
    <row r="38" customFormat="false" ht="15" hidden="false" customHeight="false" outlineLevel="0" collapsed="false">
      <c r="A38" s="6" t="s">
        <v>186</v>
      </c>
      <c r="B38" s="7" t="s">
        <v>187</v>
      </c>
      <c r="C38" s="7" t="s">
        <v>39</v>
      </c>
      <c r="D38" s="6" t="s">
        <v>40</v>
      </c>
      <c r="E38" s="3" t="s">
        <v>188</v>
      </c>
      <c r="F38" s="2" t="s">
        <v>20</v>
      </c>
      <c r="G38" s="2" t="s">
        <v>21</v>
      </c>
      <c r="H38" s="2" t="s">
        <v>21</v>
      </c>
      <c r="I38" s="2" t="s">
        <v>21</v>
      </c>
      <c r="J38" s="2"/>
      <c r="K38" s="4" t="n">
        <f aca="false">IF(F38="Yes",2,0)+IF(H38="Yes",1,0)+IF(I38="Yes",1,0)+1</f>
        <v>3</v>
      </c>
      <c r="L38" s="3" t="str">
        <f aca="false">IF(F38&lt;&gt;"Yes","No master document",IF(H38&lt;&gt;"Yes","Not published",IF(I38&lt;&gt;"Yes","No deck or briefing","Complete on these measures")))</f>
        <v>Not published</v>
      </c>
      <c r="M38" s="3"/>
      <c r="N38" s="3" t="s">
        <v>189</v>
      </c>
      <c r="O38" s="5"/>
    </row>
    <row r="40" customFormat="false" ht="15" hidden="false" customHeight="false" outlineLevel="0" collapsed="false">
      <c r="A40" s="8" t="s">
        <v>190</v>
      </c>
    </row>
    <row r="41" customFormat="false" ht="15" hidden="false" customHeight="false" outlineLevel="0" collapsed="false">
      <c r="A41" s="9" t="s">
        <v>191</v>
      </c>
      <c r="B41" s="10" t="n">
        <f aca="false">COUNTA(B2:B38)</f>
        <v>37</v>
      </c>
    </row>
    <row r="42" customFormat="false" ht="15" hidden="false" customHeight="false" outlineLevel="0" collapsed="false">
      <c r="A42" s="9" t="s">
        <v>18</v>
      </c>
      <c r="B42" s="10" t="n">
        <f aca="false">COUNTIF(D2:D38,"Active")</f>
        <v>15</v>
      </c>
    </row>
    <row r="43" customFormat="false" ht="15" hidden="false" customHeight="false" outlineLevel="0" collapsed="false">
      <c r="A43" s="9" t="s">
        <v>192</v>
      </c>
      <c r="B43" s="10" t="n">
        <f aca="false">COUNTIF(D2:D38,"Retained")</f>
        <v>11</v>
      </c>
    </row>
    <row r="44" customFormat="false" ht="15" hidden="false" customHeight="false" outlineLevel="0" collapsed="false">
      <c r="A44" s="9" t="s">
        <v>193</v>
      </c>
      <c r="B44" s="10" t="n">
        <f aca="false">COUNTIF(D2:D38,"Outside portfolio")</f>
        <v>11</v>
      </c>
    </row>
    <row r="45" customFormat="false" ht="15" hidden="false" customHeight="false" outlineLevel="0" collapsed="false">
      <c r="A45" s="9" t="s">
        <v>6</v>
      </c>
      <c r="B45" s="10" t="n">
        <f aca="false">COUNTIF(G2:G38,"Yes")</f>
        <v>10</v>
      </c>
    </row>
    <row r="46" customFormat="false" ht="15" hidden="false" customHeight="false" outlineLevel="0" collapsed="false">
      <c r="A46" s="9" t="s">
        <v>194</v>
      </c>
      <c r="B46" s="10" t="n">
        <f aca="false">COUNTIF(F2:F38,"Yes")</f>
        <v>23</v>
      </c>
    </row>
    <row r="47" customFormat="false" ht="15" hidden="false" customHeight="false" outlineLevel="0" collapsed="false">
      <c r="A47" s="9" t="s">
        <v>195</v>
      </c>
      <c r="B47" s="10" t="n">
        <f aca="false">COUNTIF(H2:H38,"Yes")</f>
        <v>12</v>
      </c>
    </row>
    <row r="48" customFormat="false" ht="15" hidden="false" customHeight="false" outlineLevel="0" collapsed="false">
      <c r="A48" s="9" t="s">
        <v>196</v>
      </c>
      <c r="B48" s="10" t="n">
        <f aca="false">ROUND(SUMIF(D2:D38,"Active",K2:K38)/COUNTIF(D2:D38,"Active"),1)</f>
        <v>3.7</v>
      </c>
    </row>
  </sheetData>
  <autoFilter ref="A1:O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1" t="s">
        <v>197</v>
      </c>
    </row>
    <row r="2" customFormat="false" ht="15" hidden="false" customHeight="false" outlineLevel="0" collapsed="false">
      <c r="B2" s="12"/>
    </row>
    <row r="3" customFormat="false" ht="15" hidden="false" customHeight="false" outlineLevel="0" collapsed="false">
      <c r="A3" s="13" t="s">
        <v>3</v>
      </c>
      <c r="B3" s="14" t="s">
        <v>198</v>
      </c>
    </row>
    <row r="4" customFormat="false" ht="15" hidden="false" customHeight="false" outlineLevel="0" collapsed="false">
      <c r="B4" s="14" t="s">
        <v>199</v>
      </c>
    </row>
    <row r="5" customFormat="false" ht="15" hidden="false" customHeight="false" outlineLevel="0" collapsed="false">
      <c r="B5" s="14" t="s">
        <v>200</v>
      </c>
    </row>
    <row r="6" customFormat="false" ht="15" hidden="false" customHeight="false" outlineLevel="0" collapsed="false">
      <c r="B6" s="12"/>
    </row>
    <row r="7" customFormat="false" ht="15" hidden="false" customHeight="false" outlineLevel="0" collapsed="false">
      <c r="A7" s="13" t="s">
        <v>9</v>
      </c>
      <c r="B7" s="14" t="s">
        <v>201</v>
      </c>
    </row>
    <row r="8" customFormat="false" ht="15" hidden="false" customHeight="false" outlineLevel="0" collapsed="false">
      <c r="A8" s="13" t="s">
        <v>5</v>
      </c>
      <c r="B8" s="14" t="s">
        <v>202</v>
      </c>
    </row>
    <row r="9" customFormat="false" ht="15" hidden="false" customHeight="false" outlineLevel="0" collapsed="false">
      <c r="A9" s="13" t="s">
        <v>6</v>
      </c>
      <c r="B9" s="14" t="s">
        <v>203</v>
      </c>
    </row>
    <row r="10" customFormat="false" ht="15" hidden="false" customHeight="false" outlineLevel="0" collapsed="false">
      <c r="A10" s="13" t="s">
        <v>7</v>
      </c>
      <c r="B10" s="14" t="s">
        <v>204</v>
      </c>
    </row>
    <row r="11" customFormat="false" ht="15" hidden="false" customHeight="false" outlineLevel="0" collapsed="false">
      <c r="A11" s="13" t="s">
        <v>10</v>
      </c>
      <c r="B11" s="14" t="s">
        <v>205</v>
      </c>
    </row>
    <row r="12" customFormat="false" ht="15" hidden="false" customHeight="false" outlineLevel="0" collapsed="false">
      <c r="A12" s="13" t="s">
        <v>12</v>
      </c>
      <c r="B12" s="14" t="s">
        <v>206</v>
      </c>
    </row>
    <row r="13" customFormat="false" ht="15" hidden="false" customHeight="false" outlineLevel="0" collapsed="false">
      <c r="A13" s="13" t="s">
        <v>14</v>
      </c>
      <c r="B13" s="14" t="s">
        <v>207</v>
      </c>
    </row>
    <row r="14" customFormat="false" ht="15" hidden="false" customHeight="false" outlineLevel="0" collapsed="false">
      <c r="B14" s="12"/>
    </row>
    <row r="15" customFormat="false" ht="15" hidden="false" customHeight="false" outlineLevel="0" collapsed="false">
      <c r="A15" s="13" t="s">
        <v>208</v>
      </c>
      <c r="B15" s="14" t="s">
        <v>209</v>
      </c>
    </row>
    <row r="16" customFormat="false" ht="15" hidden="false" customHeight="false" outlineLevel="0" collapsed="false">
      <c r="A16" s="13" t="s">
        <v>210</v>
      </c>
      <c r="B16" s="14" t="s">
        <v>211</v>
      </c>
    </row>
    <row r="17" customFormat="false" ht="15" hidden="false" customHeight="false" outlineLevel="0" collapsed="false">
      <c r="A17" s="13" t="s">
        <v>212</v>
      </c>
      <c r="B17" s="14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2026-09-17T22:01:05Z</dcterms:created>
  <dc:creator>openpyxl</dc:creator>
  <dc:description/>
  <dc:language>en-US</dc:language>
  <cp:lastModifiedBy/>
  <dcterms:modified xsi:type="dcterms:W3CDTF">2026-09-17T22:01:05Z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