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s" sheetId="1" state="visible" r:id="rId3"/>
  </sheets>
  <definedNames>
    <definedName function="false" hidden="true" localSheetId="0" name="_xlnm._FilterDatabase" vbProcedure="false">Papers!$A$1:$Q$33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<sst xmlns="http://schemas.openxmlformats.org/spreadsheetml/2006/main" count="210" uniqueCount="164">
  <si>
    <t xml:space="preserve">Theme</t>
  </si>
  <si>
    <t xml:space="preserve">Ref</t>
  </si>
  <si>
    <t xml:space="preserve">Paper</t>
  </si>
  <si>
    <t xml:space="preserve">Folder</t>
  </si>
  <si>
    <t xml:space="preserve">Your rating</t>
  </si>
  <si>
    <t xml:space="preserve">Readiness score</t>
  </si>
  <si>
    <t xml:space="preserve">Readiness band</t>
  </si>
  <si>
    <t xml:space="preserve">.qmd</t>
  </si>
  <si>
    <t xml:space="preserve">.docx</t>
  </si>
  <si>
    <t xml:space="preserve">.pdf</t>
  </si>
  <si>
    <t xml:space="preserve">Deck</t>
  </si>
  <si>
    <t xml:space="preserve">Briefing</t>
  </si>
  <si>
    <t xml:space="preserve">Abstract</t>
  </si>
  <si>
    <t xml:space="preserve">Biggest gap</t>
  </si>
  <si>
    <t xml:space="preserve">Claude's note</t>
  </si>
  <si>
    <t xml:space="preserve">Your assessment</t>
  </si>
  <si>
    <t xml:space="preserve">Next action</t>
  </si>
  <si>
    <t xml:space="preserve">1. Climate &amp; Fiscal Policy</t>
  </si>
  <si>
    <t xml:space="preserve">1.1</t>
  </si>
  <si>
    <t xml:space="preserve">Open Economy Carbon Pricing</t>
  </si>
  <si>
    <t xml:space="preserve">1.1.OpenEconomyCarbonPricing</t>
  </si>
  <si>
    <t xml:space="preserve">++</t>
  </si>
  <si>
    <t xml:space="preserve">Most complete folder in the set: master, LaTeX, bib, deck, briefing, abstract.</t>
  </si>
  <si>
    <t xml:space="preserve">1.2</t>
  </si>
  <si>
    <t xml:space="preserve">Feebates and Output-Based Rebating</t>
  </si>
  <si>
    <t xml:space="preserve">1.2.FeebatesAndOutputBasedRebating</t>
  </si>
  <si>
    <t xml:space="preserve">Ten background items consolidated; no deck, no abstract.</t>
  </si>
  <si>
    <t xml:space="preserve">1.3</t>
  </si>
  <si>
    <t xml:space="preserve">Iron, Steel, CBAM</t>
  </si>
  <si>
    <t xml:space="preserve">1.3.IronSteelCBAM</t>
  </si>
  <si>
    <t xml:space="preserve">Short master (16k). Deck exists; no briefing paper or abstract.</t>
  </si>
  <si>
    <t xml:space="preserve">1.4</t>
  </si>
  <si>
    <t xml:space="preserve">Rent Tax</t>
  </si>
  <si>
    <t xml:space="preserve">1.4.RentTax</t>
  </si>
  <si>
    <t xml:space="preserve">LaTeX draft and PDF; no abstract, no outreach layer.</t>
  </si>
  <si>
    <t xml:space="preserve">1.5</t>
  </si>
  <si>
    <t xml:space="preserve">Stranded by Contract (Legacy Coal PPAs)</t>
  </si>
  <si>
    <t xml:space="preserve">1.5.StrandedByContractReformingLegacyCoalPPAs</t>
  </si>
  <si>
    <t xml:space="preserve">NO MASTER. Seven background items only; the India note is the likely core.</t>
  </si>
  <si>
    <t xml:space="preserve">2. Finance &amp; Risk</t>
  </si>
  <si>
    <t xml:space="preserve">2.1</t>
  </si>
  <si>
    <t xml:space="preserve">Climate Finance Intermediation for Clean Power</t>
  </si>
  <si>
    <t xml:space="preserve">2.1.ClimateFinanceIntermediationForCleanPower</t>
  </si>
  <si>
    <t xml:space="preserve">+++</t>
  </si>
  <si>
    <t xml:space="preserve">Master is the SPIFA briefing paper, not a working paper. No WP exists.</t>
  </si>
  <si>
    <t xml:space="preserve">2.2</t>
  </si>
  <si>
    <t xml:space="preserve">Standardized Two-Stage Climate Project Finance</t>
  </si>
  <si>
    <t xml:space="preserve">2.2.StandardizedTwoStageClimateProjectFinance</t>
  </si>
  <si>
    <t xml:space="preserve">Master was GUESSED between two WP3 drafts - confirm the right one.</t>
  </si>
  <si>
    <t xml:space="preserve">2.3</t>
  </si>
  <si>
    <t xml:space="preserve">Synthetic Sovereign Bonds</t>
  </si>
  <si>
    <t xml:space="preserve">2.3.SyntheticSovereignBonds</t>
  </si>
  <si>
    <t xml:space="preserve">Master only. No outreach layer at all.</t>
  </si>
  <si>
    <t xml:space="preserve">2.5</t>
  </si>
  <si>
    <t xml:space="preserve">The Sollar</t>
  </si>
  <si>
    <t xml:space="preserve">2.5.TheSollar</t>
  </si>
  <si>
    <t xml:space="preserve">Short concept note. Abstract to be written.</t>
  </si>
  <si>
    <t xml:space="preserve">3. Sovereign Incentives &amp; MDBs</t>
  </si>
  <si>
    <t xml:space="preserve">3.1</t>
  </si>
  <si>
    <t xml:space="preserve">Notional Capitalised Value and Guarantees</t>
  </si>
  <si>
    <t xml:space="preserve">3.1.NotionalCapitalisedValueAndGuarantees</t>
  </si>
  <si>
    <t xml:space="preserve">+</t>
  </si>
  <si>
    <t xml:space="preserve">NO MATERIAL. README stub only - the idea exists, the paper does not.</t>
  </si>
  <si>
    <t xml:space="preserve">3.2</t>
  </si>
  <si>
    <t xml:space="preserve">Sustainability-Linked Lending</t>
  </si>
  <si>
    <t xml:space="preserve">3.2.SustainabilityLinkedLending</t>
  </si>
  <si>
    <t xml:space="preserve">++++</t>
  </si>
  <si>
    <t xml:space="preserve">PDF ONLY. Highest-rated paper with no editable source - find or rebuild it.</t>
  </si>
  <si>
    <t xml:space="preserve">3.3</t>
  </si>
  <si>
    <t xml:space="preserve">Climate Investment Trust</t>
  </si>
  <si>
    <t xml:space="preserve">3.3.ClimateInvestmentTrust</t>
  </si>
  <si>
    <t xml:space="preserve">Well provisioned. Ten archived items behind it.</t>
  </si>
  <si>
    <t xml:space="preserve">3.4</t>
  </si>
  <si>
    <t xml:space="preserve">SLIDIs</t>
  </si>
  <si>
    <t xml:space="preserve">3.4.SLIDIs</t>
  </si>
  <si>
    <t xml:space="preserve">Largest archive (25 items). Superseded by 3.2 and 3.3 per the index.</t>
  </si>
  <si>
    <t xml:space="preserve">3.5</t>
  </si>
  <si>
    <t xml:space="preserve">MDB Climate Envelope</t>
  </si>
  <si>
    <t xml:space="preserve">3.5.MDBClimateEnvelope</t>
  </si>
  <si>
    <t xml:space="preserve">23 background items - the heaviest evidence base, no outreach layer.</t>
  </si>
  <si>
    <t xml:space="preserve">3.6</t>
  </si>
  <si>
    <t xml:space="preserve">Reforming MDBs</t>
  </si>
  <si>
    <t xml:space="preserve">3.6.ReformingMDBs</t>
  </si>
  <si>
    <t xml:space="preserve">Briefing exists; six external papers. Abstract to be written.</t>
  </si>
  <si>
    <t xml:space="preserve">4. Modelling</t>
  </si>
  <si>
    <t xml:space="preserve">4.1</t>
  </si>
  <si>
    <t xml:space="preserve">Policy-Equivalent Carbon Price and CES</t>
  </si>
  <si>
    <t xml:space="preserve">4.1.PolicyEquivalentCarbonPriceAndCES</t>
  </si>
  <si>
    <t xml:space="preserve">Highest-rated with a live master. No deck, no briefing, no abstract.</t>
  </si>
  <si>
    <t xml:space="preserve">4.2</t>
  </si>
  <si>
    <t xml:space="preserve">CPAT Architecture, Recoding, Fiscal Application</t>
  </si>
  <si>
    <t xml:space="preserve">4.2.CPATArchitectureRecodingAndFiscalApplication</t>
  </si>
  <si>
    <t xml:space="preserve">NO MASTER. Workbook plus ten background items; the paper is unwritten.</t>
  </si>
  <si>
    <t xml:space="preserve">5A. Analytics - Excise</t>
  </si>
  <si>
    <t xml:space="preserve">5.1</t>
  </si>
  <si>
    <t xml:space="preserve">Excise-Fiscal Diagnostic</t>
  </si>
  <si>
    <t xml:space="preserve">5.1.ExciseFiscalDiagnostic</t>
  </si>
  <si>
    <t xml:space="preserve">Deck and summary present. Master chosen from seven candidates - confirm.</t>
  </si>
  <si>
    <t xml:space="preserve">5B. Analytics - Policy Choice</t>
  </si>
  <si>
    <t xml:space="preserve">5.2</t>
  </si>
  <si>
    <t xml:space="preserve">Toy Model of Global Mitigation Policies</t>
  </si>
  <si>
    <t xml:space="preserve">5.2.ToyModelOfGlobalMitigationPolicies</t>
  </si>
  <si>
    <t xml:space="preserve">PDF ONLY (two). No editable source.</t>
  </si>
  <si>
    <t xml:space="preserve">5.3</t>
  </si>
  <si>
    <t xml:space="preserve">Instrument Diagnostic (Six-Driver)</t>
  </si>
  <si>
    <t xml:space="preserve">5.3.InstrumentDiagnostic</t>
  </si>
  <si>
    <t xml:space="preserve">NO MATERIAL. README stub. Paired with 5.2 in the index.</t>
  </si>
  <si>
    <t xml:space="preserve">5C. Analytics - Dashboards</t>
  </si>
  <si>
    <t xml:space="preserve">5.5</t>
  </si>
  <si>
    <t xml:space="preserve">CBAM Dashboard and Emission Factors</t>
  </si>
  <si>
    <t xml:space="preserve">5.5.CBAMDashboardAndEmissionFactors</t>
  </si>
  <si>
    <t xml:space="preserve">Spreadsheets and two guides, no paper. Two docs at root - master ambiguous.</t>
  </si>
  <si>
    <t xml:space="preserve">5.6</t>
  </si>
  <si>
    <t xml:space="preserve">Climate-Fiscal-Financial Dashboard</t>
  </si>
  <si>
    <t xml:space="preserve">5.6.ClimateFiscalFinancialDashboard</t>
  </si>
  <si>
    <t xml:space="preserve">NO MATERIAL. README stub.</t>
  </si>
  <si>
    <t xml:space="preserve">5D. Analytics - Green Growth</t>
  </si>
  <si>
    <t xml:space="preserve">5.4</t>
  </si>
  <si>
    <t xml:space="preserve">Green Growth and Sectoral TFP Diagnostic</t>
  </si>
  <si>
    <t xml:space="preserve">5.4.GreenGrowthAndSectoralTFPDiagnostic</t>
  </si>
  <si>
    <t xml:space="preserve">NO MATERIAL. README stub despite a ++ rating - the gap is the writing.</t>
  </si>
  <si>
    <t xml:space="preserve">5E. Analytics - Macro-Fiscal</t>
  </si>
  <si>
    <t xml:space="preserve">-</t>
  </si>
  <si>
    <t xml:space="preserve">Trillions to Billions</t>
  </si>
  <si>
    <t xml:space="preserve">TrillionsToBillions</t>
  </si>
  <si>
    <t xml:space="preserve">Framing material rather than a paper. Notes folder holds the decks.</t>
  </si>
  <si>
    <t xml:space="preserve">6. Books</t>
  </si>
  <si>
    <t xml:space="preserve">6.1</t>
  </si>
  <si>
    <t xml:space="preserve">Time and Chance</t>
  </si>
  <si>
    <t xml:space="preserve">6.1.TimeAndChance</t>
  </si>
  <si>
    <t xml:space="preserve">Full manuscript. PDF exists. Working papers and TOC as background.</t>
  </si>
  <si>
    <t xml:space="preserve">6.2</t>
  </si>
  <si>
    <t xml:space="preserve">Carbon Pricing: Right Policy, Wrong Time</t>
  </si>
  <si>
    <t xml:space="preserve">6.2.CarbonPricingRightPolicyWrongTime</t>
  </si>
  <si>
    <t xml:space="preserve">Full manuscript with PDF.</t>
  </si>
  <si>
    <t xml:space="preserve">7. Philosophy</t>
  </si>
  <si>
    <t xml:space="preserve">Order Without Ordinance</t>
  </si>
  <si>
    <t xml:space="preserve">OrderWithoutOrdinance</t>
  </si>
  <si>
    <t xml:space="preserve">Master only. Abstract to be written.</t>
  </si>
  <si>
    <t xml:space="preserve">The Politics of Life Logic</t>
  </si>
  <si>
    <t xml:space="preserve">ThePoliticsOfLifeLogic</t>
  </si>
  <si>
    <t xml:space="preserve">The Vocative Case</t>
  </si>
  <si>
    <t xml:space="preserve">TheVocativeCase</t>
  </si>
  <si>
    <t xml:space="preserve">8. Politics</t>
  </si>
  <si>
    <t xml:space="preserve">Manifesto</t>
  </si>
  <si>
    <t xml:space="preserve">Short statement. Consider whether it belongs on the public site.</t>
  </si>
  <si>
    <t xml:space="preserve">Nine Eleven</t>
  </si>
  <si>
    <t xml:space="preserve">NineEleven</t>
  </si>
  <si>
    <t xml:space="preserve">Consider whether it belongs on the public site.</t>
  </si>
  <si>
    <t xml:space="preserve">Voting Patterns</t>
  </si>
  <si>
    <t xml:space="preserve">VotingPatterns</t>
  </si>
  <si>
    <t xml:space="preserve">Quarto master with a LaTeX source. Abstract to be written.</t>
  </si>
  <si>
    <t xml:space="preserve">Totals</t>
  </si>
  <si>
    <t xml:space="preserve">How to read this</t>
  </si>
  <si>
    <t xml:space="preserve">Maturity key from research.qmd: + early, ++ draft with known flaws, +++ good draft, ++++ largely complete. Blank = unrated there.</t>
  </si>
  <si>
    <t xml:space="preserve">Out of 7, by formula: master pair (.qmd + .docx) = 3, then 1 each for PDF, deck, briefing paper, abstract.</t>
  </si>
  <si>
    <t xml:space="preserve">Derived from the score. Not a judgement of quality - only of what exists.</t>
  </si>
  <si>
    <t xml:space="preserve">.qmd .docx .pdf</t>
  </si>
  <si>
    <t xml:space="preserve">1 = present. Counted after the conversion pass; PDFs after Build-Website has run.</t>
  </si>
  <si>
    <t xml:space="preserve">The first missing layer, working outward from the master.</t>
  </si>
  <si>
    <t xml:space="preserve">My reading of the folder contents, not of the writing - I have not assessed the arguments.</t>
  </si>
  <si>
    <t xml:space="preserve">Yellow. Yours to fill in - quality, priority, whatever you want to track.</t>
  </si>
  <si>
    <t xml:space="preserve">Yellow. Yours to fill in.</t>
  </si>
  <si>
    <t xml:space="preserve">Source: folder contents of A Writing as at 2026-09-17, plus the maturity ratings in research.qmd.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</si>
</sst>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5490"/>
        <bgColor rgb="FF333399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A54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1A549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11" min="8" style="0" width="7"/>
    <col collapsed="false" customWidth="true" hidden="false" outlineLevel="0" max="13" min="12" style="0" width="9"/>
    <col collapsed="false" customWidth="true" hidden="false" outlineLevel="0" max="14" min="14" style="0" width="22"/>
    <col collapsed="false" customWidth="true" hidden="false" outlineLevel="0" max="15" min="15" style="0" width="52"/>
    <col collapsed="false" customWidth="true" hidden="false" outlineLevel="0" max="17" min="16" style="0" width="3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 customFormat="false" ht="23.85" hidden="false" customHeight="false" outlineLevel="0" collapsed="false">
      <c r="A2" s="4" t="s">
        <v>17</v>
      </c>
      <c r="B2" s="4" t="s">
        <v>18</v>
      </c>
      <c r="C2" s="5" t="s">
        <v>19</v>
      </c>
      <c r="D2" s="4" t="s">
        <v>20</v>
      </c>
      <c r="E2" s="4" t="s">
        <v>21</v>
      </c>
      <c r="F2" s="6" t="n">
        <f aca="false">IF(AND(H2=1,I2=1),3,0)+J2+K2+L2+M2</f>
        <v>7</v>
      </c>
      <c r="G2" s="4" t="str">
        <f aca="false">IF(F2&gt;=6,"Ready to show",IF(F2&gt;=4,"Draft, needs outreach",IF(F2&gt;=3,"Master only","Not started")))</f>
        <v>Ready to show</v>
      </c>
      <c r="H2" s="6" t="n">
        <v>1</v>
      </c>
      <c r="I2" s="6" t="n">
        <v>1</v>
      </c>
      <c r="J2" s="6" t="n">
        <v>1</v>
      </c>
      <c r="K2" s="6" t="n">
        <v>1</v>
      </c>
      <c r="L2" s="6" t="n">
        <v>1</v>
      </c>
      <c r="M2" s="6" t="n">
        <v>1</v>
      </c>
      <c r="N2" s="4" t="str">
        <f aca="false">IF(AND(H2=1,I2=1)=FALSE(),"No master document",IF(M2=0,"No abstract",IF(L2=0,"No briefing paper",IF(K2=0,"No deck","Complete"))))</f>
        <v>Complete</v>
      </c>
      <c r="O2" s="5" t="s">
        <v>22</v>
      </c>
      <c r="P2" s="7"/>
      <c r="Q2" s="7"/>
    </row>
    <row r="3" customFormat="false" ht="15" hidden="false" customHeight="false" outlineLevel="0" collapsed="false">
      <c r="A3" s="4" t="s">
        <v>17</v>
      </c>
      <c r="B3" s="4" t="s">
        <v>23</v>
      </c>
      <c r="C3" s="5" t="s">
        <v>24</v>
      </c>
      <c r="D3" s="4" t="s">
        <v>25</v>
      </c>
      <c r="E3" s="4" t="s">
        <v>21</v>
      </c>
      <c r="F3" s="6" t="n">
        <f aca="false">IF(AND(H3=1,I3=1),3,0)+J3+K3+L3+M3</f>
        <v>4</v>
      </c>
      <c r="G3" s="4" t="str">
        <f aca="false">IF(F3&gt;=6,"Ready to show",IF(F3&gt;=4,"Draft, needs outreach",IF(F3&gt;=3,"Master only","Not started")))</f>
        <v>Draft, needs outreach</v>
      </c>
      <c r="H3" s="6" t="n">
        <v>1</v>
      </c>
      <c r="I3" s="6" t="n">
        <v>1</v>
      </c>
      <c r="J3" s="6" t="n">
        <v>0</v>
      </c>
      <c r="K3" s="6" t="n">
        <v>0</v>
      </c>
      <c r="L3" s="6" t="n">
        <v>1</v>
      </c>
      <c r="M3" s="6" t="n">
        <v>0</v>
      </c>
      <c r="N3" s="4" t="str">
        <f aca="false">IF(AND(H3=1,I3=1)=FALSE(),"No master document",IF(M3=0,"No abstract",IF(L3=0,"No briefing paper",IF(K3=0,"No deck","Complete"))))</f>
        <v>No abstract</v>
      </c>
      <c r="O3" s="5" t="s">
        <v>26</v>
      </c>
      <c r="P3" s="7"/>
      <c r="Q3" s="7"/>
    </row>
    <row r="4" customFormat="false" ht="15" hidden="false" customHeight="false" outlineLevel="0" collapsed="false">
      <c r="A4" s="4" t="s">
        <v>17</v>
      </c>
      <c r="B4" s="4" t="s">
        <v>27</v>
      </c>
      <c r="C4" s="5" t="s">
        <v>28</v>
      </c>
      <c r="D4" s="4" t="s">
        <v>29</v>
      </c>
      <c r="E4" s="4" t="s">
        <v>21</v>
      </c>
      <c r="F4" s="6" t="n">
        <f aca="false">IF(AND(H4=1,I4=1),3,0)+J4+K4+L4+M4</f>
        <v>4</v>
      </c>
      <c r="G4" s="4" t="str">
        <f aca="false">IF(F4&gt;=6,"Ready to show",IF(F4&gt;=4,"Draft, needs outreach",IF(F4&gt;=3,"Master only","Not started")))</f>
        <v>Draft, needs outreach</v>
      </c>
      <c r="H4" s="6" t="n">
        <v>1</v>
      </c>
      <c r="I4" s="6" t="n">
        <v>1</v>
      </c>
      <c r="J4" s="6" t="n">
        <v>0</v>
      </c>
      <c r="K4" s="6" t="n">
        <v>1</v>
      </c>
      <c r="L4" s="6" t="n">
        <v>0</v>
      </c>
      <c r="M4" s="6" t="n">
        <v>0</v>
      </c>
      <c r="N4" s="4" t="str">
        <f aca="false">IF(AND(H4=1,I4=1)=FALSE(),"No master document",IF(M4=0,"No abstract",IF(L4=0,"No briefing paper",IF(K4=0,"No deck","Complete"))))</f>
        <v>No abstract</v>
      </c>
      <c r="O4" s="5" t="s">
        <v>30</v>
      </c>
      <c r="P4" s="7"/>
      <c r="Q4" s="7"/>
    </row>
    <row r="5" customFormat="false" ht="15" hidden="false" customHeight="false" outlineLevel="0" collapsed="false">
      <c r="A5" s="4" t="s">
        <v>17</v>
      </c>
      <c r="B5" s="4" t="s">
        <v>31</v>
      </c>
      <c r="C5" s="5" t="s">
        <v>32</v>
      </c>
      <c r="D5" s="4" t="s">
        <v>33</v>
      </c>
      <c r="E5" s="4"/>
      <c r="F5" s="6" t="n">
        <f aca="false">IF(AND(H5=1,I5=1),3,0)+J5+K5+L5+M5</f>
        <v>4</v>
      </c>
      <c r="G5" s="4" t="str">
        <f aca="false">IF(F5&gt;=6,"Ready to show",IF(F5&gt;=4,"Draft, needs outreach",IF(F5&gt;=3,"Master only","Not started")))</f>
        <v>Draft, needs outreach</v>
      </c>
      <c r="H5" s="6" t="n">
        <v>1</v>
      </c>
      <c r="I5" s="6" t="n">
        <v>1</v>
      </c>
      <c r="J5" s="6" t="n">
        <v>1</v>
      </c>
      <c r="K5" s="6" t="n">
        <v>0</v>
      </c>
      <c r="L5" s="6" t="n">
        <v>0</v>
      </c>
      <c r="M5" s="6" t="n">
        <v>0</v>
      </c>
      <c r="N5" s="4" t="str">
        <f aca="false">IF(AND(H5=1,I5=1)=FALSE(),"No master document",IF(M5=0,"No abstract",IF(L5=0,"No briefing paper",IF(K5=0,"No deck","Complete"))))</f>
        <v>No abstract</v>
      </c>
      <c r="O5" s="5" t="s">
        <v>34</v>
      </c>
      <c r="P5" s="7"/>
      <c r="Q5" s="7"/>
    </row>
    <row r="6" customFormat="false" ht="23.85" hidden="false" customHeight="false" outlineLevel="0" collapsed="false">
      <c r="A6" s="4" t="s">
        <v>17</v>
      </c>
      <c r="B6" s="4" t="s">
        <v>35</v>
      </c>
      <c r="C6" s="5" t="s">
        <v>36</v>
      </c>
      <c r="D6" s="4" t="s">
        <v>37</v>
      </c>
      <c r="E6" s="4" t="s">
        <v>21</v>
      </c>
      <c r="F6" s="6" t="n">
        <f aca="false">IF(AND(H6=1,I6=1),3,0)+J6+K6+L6+M6</f>
        <v>0</v>
      </c>
      <c r="G6" s="4" t="str">
        <f aca="false">IF(F6&gt;=6,"Ready to show",IF(F6&gt;=4,"Draft, needs outreach",IF(F6&gt;=3,"Master only","Not started")))</f>
        <v>Not started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4" t="str">
        <f aca="false">IF(AND(H6=1,I6=1)=FALSE(),"No master document",IF(M6=0,"No abstract",IF(L6=0,"No briefing paper",IF(K6=0,"No deck","Complete"))))</f>
        <v>No master document</v>
      </c>
      <c r="O6" s="5" t="s">
        <v>38</v>
      </c>
      <c r="P6" s="7"/>
      <c r="Q6" s="7"/>
    </row>
    <row r="7" customFormat="false" ht="23.85" hidden="false" customHeight="false" outlineLevel="0" collapsed="false">
      <c r="A7" s="4" t="s">
        <v>39</v>
      </c>
      <c r="B7" s="4" t="s">
        <v>40</v>
      </c>
      <c r="C7" s="5" t="s">
        <v>41</v>
      </c>
      <c r="D7" s="4" t="s">
        <v>42</v>
      </c>
      <c r="E7" s="4" t="s">
        <v>43</v>
      </c>
      <c r="F7" s="6" t="n">
        <f aca="false">IF(AND(H7=1,I7=1),3,0)+J7+K7+L7+M7</f>
        <v>4</v>
      </c>
      <c r="G7" s="4" t="str">
        <f aca="false">IF(F7&gt;=6,"Ready to show",IF(F7&gt;=4,"Draft, needs outreach",IF(F7&gt;=3,"Master only","Not started")))</f>
        <v>Draft, needs outreach</v>
      </c>
      <c r="H7" s="6" t="n">
        <v>1</v>
      </c>
      <c r="I7" s="6" t="n">
        <v>1</v>
      </c>
      <c r="J7" s="6" t="n">
        <v>0</v>
      </c>
      <c r="K7" s="6" t="n">
        <v>0</v>
      </c>
      <c r="L7" s="6" t="n">
        <v>1</v>
      </c>
      <c r="M7" s="6" t="n">
        <v>0</v>
      </c>
      <c r="N7" s="4" t="str">
        <f aca="false">IF(AND(H7=1,I7=1)=FALSE(),"No master document",IF(M7=0,"No abstract",IF(L7=0,"No briefing paper",IF(K7=0,"No deck","Complete"))))</f>
        <v>No abstract</v>
      </c>
      <c r="O7" s="5" t="s">
        <v>44</v>
      </c>
      <c r="P7" s="7"/>
      <c r="Q7" s="7"/>
    </row>
    <row r="8" customFormat="false" ht="23.85" hidden="false" customHeight="false" outlineLevel="0" collapsed="false">
      <c r="A8" s="4" t="s">
        <v>39</v>
      </c>
      <c r="B8" s="4" t="s">
        <v>45</v>
      </c>
      <c r="C8" s="5" t="s">
        <v>46</v>
      </c>
      <c r="D8" s="4" t="s">
        <v>47</v>
      </c>
      <c r="E8" s="4" t="s">
        <v>43</v>
      </c>
      <c r="F8" s="6" t="n">
        <f aca="false">IF(AND(H8=1,I8=1),3,0)+J8+K8+L8+M8</f>
        <v>3</v>
      </c>
      <c r="G8" s="4" t="str">
        <f aca="false">IF(F8&gt;=6,"Ready to show",IF(F8&gt;=4,"Draft, needs outreach",IF(F8&gt;=3,"Master only","Not started")))</f>
        <v>Master only</v>
      </c>
      <c r="H8" s="6" t="n">
        <v>1</v>
      </c>
      <c r="I8" s="6" t="n">
        <v>1</v>
      </c>
      <c r="J8" s="6" t="n">
        <v>0</v>
      </c>
      <c r="K8" s="6" t="n">
        <v>0</v>
      </c>
      <c r="L8" s="6" t="n">
        <v>0</v>
      </c>
      <c r="M8" s="6" t="n">
        <v>0</v>
      </c>
      <c r="N8" s="4" t="str">
        <f aca="false">IF(AND(H8=1,I8=1)=FALSE(),"No master document",IF(M8=0,"No abstract",IF(L8=0,"No briefing paper",IF(K8=0,"No deck","Complete"))))</f>
        <v>No abstract</v>
      </c>
      <c r="O8" s="5" t="s">
        <v>48</v>
      </c>
      <c r="P8" s="7"/>
      <c r="Q8" s="7"/>
    </row>
    <row r="9" customFormat="false" ht="15" hidden="false" customHeight="false" outlineLevel="0" collapsed="false">
      <c r="A9" s="4" t="s">
        <v>39</v>
      </c>
      <c r="B9" s="4" t="s">
        <v>49</v>
      </c>
      <c r="C9" s="5" t="s">
        <v>50</v>
      </c>
      <c r="D9" s="4" t="s">
        <v>51</v>
      </c>
      <c r="E9" s="4"/>
      <c r="F9" s="6" t="n">
        <f aca="false">IF(AND(H9=1,I9=1),3,0)+J9+K9+L9+M9</f>
        <v>3</v>
      </c>
      <c r="G9" s="4" t="str">
        <f aca="false">IF(F9&gt;=6,"Ready to show",IF(F9&gt;=4,"Draft, needs outreach",IF(F9&gt;=3,"Master only","Not started")))</f>
        <v>Master only</v>
      </c>
      <c r="H9" s="6" t="n">
        <v>1</v>
      </c>
      <c r="I9" s="6" t="n">
        <v>1</v>
      </c>
      <c r="J9" s="6" t="n">
        <v>0</v>
      </c>
      <c r="K9" s="6" t="n">
        <v>0</v>
      </c>
      <c r="L9" s="6" t="n">
        <v>0</v>
      </c>
      <c r="M9" s="6" t="n">
        <v>0</v>
      </c>
      <c r="N9" s="4" t="str">
        <f aca="false">IF(AND(H9=1,I9=1)=FALSE(),"No master document",IF(M9=0,"No abstract",IF(L9=0,"No briefing paper",IF(K9=0,"No deck","Complete"))))</f>
        <v>No abstract</v>
      </c>
      <c r="O9" s="5" t="s">
        <v>52</v>
      </c>
      <c r="P9" s="7"/>
      <c r="Q9" s="7"/>
    </row>
    <row r="10" customFormat="false" ht="15" hidden="false" customHeight="false" outlineLevel="0" collapsed="false">
      <c r="A10" s="4" t="s">
        <v>39</v>
      </c>
      <c r="B10" s="4" t="s">
        <v>53</v>
      </c>
      <c r="C10" s="5" t="s">
        <v>54</v>
      </c>
      <c r="D10" s="4" t="s">
        <v>55</v>
      </c>
      <c r="E10" s="4"/>
      <c r="F10" s="6" t="n">
        <f aca="false">IF(AND(H10=1,I10=1),3,0)+J10+K10+L10+M10</f>
        <v>3</v>
      </c>
      <c r="G10" s="4" t="str">
        <f aca="false">IF(F10&gt;=6,"Ready to show",IF(F10&gt;=4,"Draft, needs outreach",IF(F10&gt;=3,"Master only","Not started")))</f>
        <v>Master only</v>
      </c>
      <c r="H10" s="6" t="n">
        <v>1</v>
      </c>
      <c r="I10" s="6" t="n">
        <v>1</v>
      </c>
      <c r="J10" s="6" t="n">
        <v>0</v>
      </c>
      <c r="K10" s="6" t="n">
        <v>0</v>
      </c>
      <c r="L10" s="6" t="n">
        <v>0</v>
      </c>
      <c r="M10" s="6" t="n">
        <v>0</v>
      </c>
      <c r="N10" s="4" t="str">
        <f aca="false">IF(AND(H10=1,I10=1)=FALSE(),"No master document",IF(M10=0,"No abstract",IF(L10=0,"No briefing paper",IF(K10=0,"No deck","Complete"))))</f>
        <v>No abstract</v>
      </c>
      <c r="O10" s="5" t="s">
        <v>56</v>
      </c>
      <c r="P10" s="7"/>
      <c r="Q10" s="7"/>
    </row>
    <row r="11" customFormat="false" ht="23.85" hidden="false" customHeight="false" outlineLevel="0" collapsed="false">
      <c r="A11" s="4" t="s">
        <v>57</v>
      </c>
      <c r="B11" s="4" t="s">
        <v>58</v>
      </c>
      <c r="C11" s="5" t="s">
        <v>59</v>
      </c>
      <c r="D11" s="4" t="s">
        <v>60</v>
      </c>
      <c r="E11" s="4" t="s">
        <v>61</v>
      </c>
      <c r="F11" s="6" t="n">
        <f aca="false">IF(AND(H11=1,I11=1),3,0)+J11+K11+L11+M11</f>
        <v>0</v>
      </c>
      <c r="G11" s="4" t="str">
        <f aca="false">IF(F11&gt;=6,"Ready to show",IF(F11&gt;=4,"Draft, needs outreach",IF(F11&gt;=3,"Master only","Not started")))</f>
        <v>Not started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4" t="str">
        <f aca="false">IF(AND(H11=1,I11=1)=FALSE(),"No master document",IF(M11=0,"No abstract",IF(L11=0,"No briefing paper",IF(K11=0,"No deck","Complete"))))</f>
        <v>No master document</v>
      </c>
      <c r="O11" s="5" t="s">
        <v>62</v>
      </c>
      <c r="P11" s="7"/>
      <c r="Q11" s="7"/>
    </row>
    <row r="12" customFormat="false" ht="23.85" hidden="false" customHeight="false" outlineLevel="0" collapsed="false">
      <c r="A12" s="4" t="s">
        <v>57</v>
      </c>
      <c r="B12" s="4" t="s">
        <v>63</v>
      </c>
      <c r="C12" s="5" t="s">
        <v>64</v>
      </c>
      <c r="D12" s="4" t="s">
        <v>65</v>
      </c>
      <c r="E12" s="4" t="s">
        <v>66</v>
      </c>
      <c r="F12" s="6" t="n">
        <f aca="false">IF(AND(H12=1,I12=1),3,0)+J12+K12+L12+M12</f>
        <v>1</v>
      </c>
      <c r="G12" s="4" t="str">
        <f aca="false">IF(F12&gt;=6,"Ready to show",IF(F12&gt;=4,"Draft, needs outreach",IF(F12&gt;=3,"Master only","Not started")))</f>
        <v>Not started</v>
      </c>
      <c r="H12" s="6" t="n">
        <v>0</v>
      </c>
      <c r="I12" s="6" t="n">
        <v>0</v>
      </c>
      <c r="J12" s="6" t="n">
        <v>1</v>
      </c>
      <c r="K12" s="6" t="n">
        <v>0</v>
      </c>
      <c r="L12" s="6" t="n">
        <v>0</v>
      </c>
      <c r="M12" s="6" t="n">
        <v>0</v>
      </c>
      <c r="N12" s="4" t="str">
        <f aca="false">IF(AND(H12=1,I12=1)=FALSE(),"No master document",IF(M12=0,"No abstract",IF(L12=0,"No briefing paper",IF(K12=0,"No deck","Complete"))))</f>
        <v>No master document</v>
      </c>
      <c r="O12" s="5" t="s">
        <v>67</v>
      </c>
      <c r="P12" s="7"/>
      <c r="Q12" s="7"/>
    </row>
    <row r="13" customFormat="false" ht="15" hidden="false" customHeight="false" outlineLevel="0" collapsed="false">
      <c r="A13" s="4" t="s">
        <v>57</v>
      </c>
      <c r="B13" s="4" t="s">
        <v>68</v>
      </c>
      <c r="C13" s="5" t="s">
        <v>69</v>
      </c>
      <c r="D13" s="4" t="s">
        <v>70</v>
      </c>
      <c r="E13" s="4" t="s">
        <v>43</v>
      </c>
      <c r="F13" s="6" t="n">
        <f aca="false">IF(AND(H13=1,I13=1),3,0)+J13+K13+L13+M13</f>
        <v>5</v>
      </c>
      <c r="G13" s="4" t="str">
        <f aca="false">IF(F13&gt;=6,"Ready to show",IF(F13&gt;=4,"Draft, needs outreach",IF(F13&gt;=3,"Master only","Not started")))</f>
        <v>Draft, needs outreach</v>
      </c>
      <c r="H13" s="6" t="n">
        <v>1</v>
      </c>
      <c r="I13" s="6" t="n">
        <v>1</v>
      </c>
      <c r="J13" s="6" t="n">
        <v>0</v>
      </c>
      <c r="K13" s="6" t="n">
        <v>1</v>
      </c>
      <c r="L13" s="6" t="n">
        <v>1</v>
      </c>
      <c r="M13" s="6" t="n">
        <v>0</v>
      </c>
      <c r="N13" s="4" t="str">
        <f aca="false">IF(AND(H13=1,I13=1)=FALSE(),"No master document",IF(M13=0,"No abstract",IF(L13=0,"No briefing paper",IF(K13=0,"No deck","Complete"))))</f>
        <v>No abstract</v>
      </c>
      <c r="O13" s="5" t="s">
        <v>71</v>
      </c>
      <c r="P13" s="7"/>
      <c r="Q13" s="7"/>
    </row>
    <row r="14" customFormat="false" ht="23.85" hidden="false" customHeight="false" outlineLevel="0" collapsed="false">
      <c r="A14" s="4" t="s">
        <v>57</v>
      </c>
      <c r="B14" s="4" t="s">
        <v>72</v>
      </c>
      <c r="C14" s="5" t="s">
        <v>73</v>
      </c>
      <c r="D14" s="4" t="s">
        <v>74</v>
      </c>
      <c r="E14" s="4"/>
      <c r="F14" s="6" t="n">
        <f aca="false">IF(AND(H14=1,I14=1),3,0)+J14+K14+L14+M14</f>
        <v>5</v>
      </c>
      <c r="G14" s="4" t="str">
        <f aca="false">IF(F14&gt;=6,"Ready to show",IF(F14&gt;=4,"Draft, needs outreach",IF(F14&gt;=3,"Master only","Not started")))</f>
        <v>Draft, needs outreach</v>
      </c>
      <c r="H14" s="6" t="n">
        <v>1</v>
      </c>
      <c r="I14" s="6" t="n">
        <v>1</v>
      </c>
      <c r="J14" s="6" t="n">
        <v>0</v>
      </c>
      <c r="K14" s="6" t="n">
        <v>1</v>
      </c>
      <c r="L14" s="6" t="n">
        <v>1</v>
      </c>
      <c r="M14" s="6" t="n">
        <v>0</v>
      </c>
      <c r="N14" s="4" t="str">
        <f aca="false">IF(AND(H14=1,I14=1)=FALSE(),"No master document",IF(M14=0,"No abstract",IF(L14=0,"No briefing paper",IF(K14=0,"No deck","Complete"))))</f>
        <v>No abstract</v>
      </c>
      <c r="O14" s="5" t="s">
        <v>75</v>
      </c>
      <c r="P14" s="7"/>
      <c r="Q14" s="7"/>
    </row>
    <row r="15" customFormat="false" ht="23.85" hidden="false" customHeight="false" outlineLevel="0" collapsed="false">
      <c r="A15" s="4" t="s">
        <v>57</v>
      </c>
      <c r="B15" s="4" t="s">
        <v>76</v>
      </c>
      <c r="C15" s="5" t="s">
        <v>77</v>
      </c>
      <c r="D15" s="4" t="s">
        <v>78</v>
      </c>
      <c r="E15" s="4"/>
      <c r="F15" s="6" t="n">
        <f aca="false">IF(AND(H15=1,I15=1),3,0)+J15+K15+L15+M15</f>
        <v>3</v>
      </c>
      <c r="G15" s="4" t="str">
        <f aca="false">IF(F15&gt;=6,"Ready to show",IF(F15&gt;=4,"Draft, needs outreach",IF(F15&gt;=3,"Master only","Not started")))</f>
        <v>Master only</v>
      </c>
      <c r="H15" s="6" t="n">
        <v>1</v>
      </c>
      <c r="I15" s="6" t="n">
        <v>1</v>
      </c>
      <c r="J15" s="6" t="n">
        <v>0</v>
      </c>
      <c r="K15" s="6" t="n">
        <v>0</v>
      </c>
      <c r="L15" s="6" t="n">
        <v>0</v>
      </c>
      <c r="M15" s="6" t="n">
        <v>0</v>
      </c>
      <c r="N15" s="4" t="str">
        <f aca="false">IF(AND(H15=1,I15=1)=FALSE(),"No master document",IF(M15=0,"No abstract",IF(L15=0,"No briefing paper",IF(K15=0,"No deck","Complete"))))</f>
        <v>No abstract</v>
      </c>
      <c r="O15" s="5" t="s">
        <v>79</v>
      </c>
      <c r="P15" s="7"/>
      <c r="Q15" s="7"/>
    </row>
    <row r="16" customFormat="false" ht="15" hidden="false" customHeight="false" outlineLevel="0" collapsed="false">
      <c r="A16" s="4" t="s">
        <v>57</v>
      </c>
      <c r="B16" s="4" t="s">
        <v>80</v>
      </c>
      <c r="C16" s="5" t="s">
        <v>81</v>
      </c>
      <c r="D16" s="4" t="s">
        <v>82</v>
      </c>
      <c r="E16" s="4"/>
      <c r="F16" s="6" t="n">
        <f aca="false">IF(AND(H16=1,I16=1),3,0)+J16+K16+L16+M16</f>
        <v>4</v>
      </c>
      <c r="G16" s="4" t="str">
        <f aca="false">IF(F16&gt;=6,"Ready to show",IF(F16&gt;=4,"Draft, needs outreach",IF(F16&gt;=3,"Master only","Not started")))</f>
        <v>Draft, needs outreach</v>
      </c>
      <c r="H16" s="6" t="n">
        <v>1</v>
      </c>
      <c r="I16" s="6" t="n">
        <v>1</v>
      </c>
      <c r="J16" s="6" t="n">
        <v>0</v>
      </c>
      <c r="K16" s="6" t="n">
        <v>0</v>
      </c>
      <c r="L16" s="6" t="n">
        <v>1</v>
      </c>
      <c r="M16" s="6" t="n">
        <v>0</v>
      </c>
      <c r="N16" s="4" t="str">
        <f aca="false">IF(AND(H16=1,I16=1)=FALSE(),"No master document",IF(M16=0,"No abstract",IF(L16=0,"No briefing paper",IF(K16=0,"No deck","Complete"))))</f>
        <v>No abstract</v>
      </c>
      <c r="O16" s="5" t="s">
        <v>83</v>
      </c>
      <c r="P16" s="7"/>
      <c r="Q16" s="7"/>
    </row>
    <row r="17" customFormat="false" ht="23.85" hidden="false" customHeight="false" outlineLevel="0" collapsed="false">
      <c r="A17" s="4" t="s">
        <v>84</v>
      </c>
      <c r="B17" s="4" t="s">
        <v>85</v>
      </c>
      <c r="C17" s="5" t="s">
        <v>86</v>
      </c>
      <c r="D17" s="4" t="s">
        <v>87</v>
      </c>
      <c r="E17" s="4" t="s">
        <v>66</v>
      </c>
      <c r="F17" s="6" t="n">
        <f aca="false">IF(AND(H17=1,I17=1),3,0)+J17+K17+L17+M17</f>
        <v>3</v>
      </c>
      <c r="G17" s="4" t="str">
        <f aca="false">IF(F17&gt;=6,"Ready to show",IF(F17&gt;=4,"Draft, needs outreach",IF(F17&gt;=3,"Master only","Not started")))</f>
        <v>Master only</v>
      </c>
      <c r="H17" s="6" t="n">
        <v>1</v>
      </c>
      <c r="I17" s="6" t="n">
        <v>1</v>
      </c>
      <c r="J17" s="6" t="n">
        <v>0</v>
      </c>
      <c r="K17" s="6" t="n">
        <v>0</v>
      </c>
      <c r="L17" s="6" t="n">
        <v>0</v>
      </c>
      <c r="M17" s="6" t="n">
        <v>0</v>
      </c>
      <c r="N17" s="4" t="str">
        <f aca="false">IF(AND(H17=1,I17=1)=FALSE(),"No master document",IF(M17=0,"No abstract",IF(L17=0,"No briefing paper",IF(K17=0,"No deck","Complete"))))</f>
        <v>No abstract</v>
      </c>
      <c r="O17" s="5" t="s">
        <v>88</v>
      </c>
      <c r="P17" s="7"/>
      <c r="Q17" s="7"/>
    </row>
    <row r="18" customFormat="false" ht="23.85" hidden="false" customHeight="false" outlineLevel="0" collapsed="false">
      <c r="A18" s="4" t="s">
        <v>84</v>
      </c>
      <c r="B18" s="4" t="s">
        <v>89</v>
      </c>
      <c r="C18" s="5" t="s">
        <v>90</v>
      </c>
      <c r="D18" s="4" t="s">
        <v>91</v>
      </c>
      <c r="E18" s="4" t="s">
        <v>21</v>
      </c>
      <c r="F18" s="6" t="n">
        <f aca="false">IF(AND(H18=1,I18=1),3,0)+J18+K18+L18+M18</f>
        <v>0</v>
      </c>
      <c r="G18" s="4" t="str">
        <f aca="false">IF(F18&gt;=6,"Ready to show",IF(F18&gt;=4,"Draft, needs outreach",IF(F18&gt;=3,"Master only","Not started")))</f>
        <v>Not started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4" t="str">
        <f aca="false">IF(AND(H18=1,I18=1)=FALSE(),"No master document",IF(M18=0,"No abstract",IF(L18=0,"No briefing paper",IF(K18=0,"No deck","Complete"))))</f>
        <v>No master document</v>
      </c>
      <c r="O18" s="5" t="s">
        <v>92</v>
      </c>
      <c r="P18" s="7"/>
      <c r="Q18" s="7"/>
    </row>
    <row r="19" customFormat="false" ht="23.85" hidden="false" customHeight="false" outlineLevel="0" collapsed="false">
      <c r="A19" s="4" t="s">
        <v>93</v>
      </c>
      <c r="B19" s="4" t="s">
        <v>94</v>
      </c>
      <c r="C19" s="5" t="s">
        <v>95</v>
      </c>
      <c r="D19" s="4" t="s">
        <v>96</v>
      </c>
      <c r="E19" s="4" t="s">
        <v>21</v>
      </c>
      <c r="F19" s="6" t="n">
        <f aca="false">IF(AND(H19=1,I19=1),3,0)+J19+K19+L19+M19</f>
        <v>5</v>
      </c>
      <c r="G19" s="4" t="str">
        <f aca="false">IF(F19&gt;=6,"Ready to show",IF(F19&gt;=4,"Draft, needs outreach",IF(F19&gt;=3,"Master only","Not started")))</f>
        <v>Draft, needs outreach</v>
      </c>
      <c r="H19" s="6" t="n">
        <v>1</v>
      </c>
      <c r="I19" s="6" t="n">
        <v>1</v>
      </c>
      <c r="J19" s="6" t="n">
        <v>0</v>
      </c>
      <c r="K19" s="6" t="n">
        <v>1</v>
      </c>
      <c r="L19" s="6" t="n">
        <v>1</v>
      </c>
      <c r="M19" s="6" t="n">
        <v>0</v>
      </c>
      <c r="N19" s="4" t="str">
        <f aca="false">IF(AND(H19=1,I19=1)=FALSE(),"No master document",IF(M19=0,"No abstract",IF(L19=0,"No briefing paper",IF(K19=0,"No deck","Complete"))))</f>
        <v>No abstract</v>
      </c>
      <c r="O19" s="5" t="s">
        <v>97</v>
      </c>
      <c r="P19" s="7"/>
      <c r="Q19" s="7"/>
    </row>
    <row r="20" customFormat="false" ht="15" hidden="false" customHeight="false" outlineLevel="0" collapsed="false">
      <c r="A20" s="4" t="s">
        <v>98</v>
      </c>
      <c r="B20" s="4" t="s">
        <v>99</v>
      </c>
      <c r="C20" s="5" t="s">
        <v>100</v>
      </c>
      <c r="D20" s="4" t="s">
        <v>101</v>
      </c>
      <c r="E20" s="4"/>
      <c r="F20" s="6" t="n">
        <f aca="false">IF(AND(H20=1,I20=1),3,0)+J20+K20+L20+M20</f>
        <v>1</v>
      </c>
      <c r="G20" s="4" t="str">
        <f aca="false">IF(F20&gt;=6,"Ready to show",IF(F20&gt;=4,"Draft, needs outreach",IF(F20&gt;=3,"Master only","Not started")))</f>
        <v>Not started</v>
      </c>
      <c r="H20" s="6" t="n">
        <v>0</v>
      </c>
      <c r="I20" s="6" t="n">
        <v>0</v>
      </c>
      <c r="J20" s="6" t="n">
        <v>1</v>
      </c>
      <c r="K20" s="6" t="n">
        <v>0</v>
      </c>
      <c r="L20" s="6" t="n">
        <v>0</v>
      </c>
      <c r="M20" s="6" t="n">
        <v>0</v>
      </c>
      <c r="N20" s="4" t="str">
        <f aca="false">IF(AND(H20=1,I20=1)=FALSE(),"No master document",IF(M20=0,"No abstract",IF(L20=0,"No briefing paper",IF(K20=0,"No deck","Complete"))))</f>
        <v>No master document</v>
      </c>
      <c r="O20" s="5" t="s">
        <v>102</v>
      </c>
      <c r="P20" s="7"/>
      <c r="Q20" s="7"/>
    </row>
    <row r="21" customFormat="false" ht="15" hidden="false" customHeight="false" outlineLevel="0" collapsed="false">
      <c r="A21" s="4" t="s">
        <v>98</v>
      </c>
      <c r="B21" s="4" t="s">
        <v>103</v>
      </c>
      <c r="C21" s="5" t="s">
        <v>104</v>
      </c>
      <c r="D21" s="4" t="s">
        <v>105</v>
      </c>
      <c r="E21" s="4" t="s">
        <v>21</v>
      </c>
      <c r="F21" s="6" t="n">
        <f aca="false">IF(AND(H21=1,I21=1),3,0)+J21+K21+L21+M21</f>
        <v>0</v>
      </c>
      <c r="G21" s="4" t="str">
        <f aca="false">IF(F21&gt;=6,"Ready to show",IF(F21&gt;=4,"Draft, needs outreach",IF(F21&gt;=3,"Master only","Not started")))</f>
        <v>Not started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4" t="str">
        <f aca="false">IF(AND(H21=1,I21=1)=FALSE(),"No master document",IF(M21=0,"No abstract",IF(L21=0,"No briefing paper",IF(K21=0,"No deck","Complete"))))</f>
        <v>No master document</v>
      </c>
      <c r="O21" s="5" t="s">
        <v>106</v>
      </c>
      <c r="P21" s="7"/>
      <c r="Q21" s="7"/>
    </row>
    <row r="22" customFormat="false" ht="23.85" hidden="false" customHeight="false" outlineLevel="0" collapsed="false">
      <c r="A22" s="4" t="s">
        <v>107</v>
      </c>
      <c r="B22" s="4" t="s">
        <v>108</v>
      </c>
      <c r="C22" s="5" t="s">
        <v>109</v>
      </c>
      <c r="D22" s="4" t="s">
        <v>110</v>
      </c>
      <c r="E22" s="4"/>
      <c r="F22" s="6" t="n">
        <f aca="false">IF(AND(H22=1,I22=1),3,0)+J22+K22+L22+M22</f>
        <v>0</v>
      </c>
      <c r="G22" s="4" t="str">
        <f aca="false">IF(F22&gt;=6,"Ready to show",IF(F22&gt;=4,"Draft, needs outreach",IF(F22&gt;=3,"Master only","Not started")))</f>
        <v>Not started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4" t="str">
        <f aca="false">IF(AND(H22=1,I22=1)=FALSE(),"No master document",IF(M22=0,"No abstract",IF(L22=0,"No briefing paper",IF(K22=0,"No deck","Complete"))))</f>
        <v>No master document</v>
      </c>
      <c r="O22" s="5" t="s">
        <v>111</v>
      </c>
      <c r="P22" s="7"/>
      <c r="Q22" s="7"/>
    </row>
    <row r="23" customFormat="false" ht="15" hidden="false" customHeight="false" outlineLevel="0" collapsed="false">
      <c r="A23" s="4" t="s">
        <v>107</v>
      </c>
      <c r="B23" s="4" t="s">
        <v>112</v>
      </c>
      <c r="C23" s="5" t="s">
        <v>113</v>
      </c>
      <c r="D23" s="4" t="s">
        <v>114</v>
      </c>
      <c r="E23" s="4"/>
      <c r="F23" s="6" t="n">
        <f aca="false">IF(AND(H23=1,I23=1),3,0)+J23+K23+L23+M23</f>
        <v>0</v>
      </c>
      <c r="G23" s="4" t="str">
        <f aca="false">IF(F23&gt;=6,"Ready to show",IF(F23&gt;=4,"Draft, needs outreach",IF(F23&gt;=3,"Master only","Not started")))</f>
        <v>Not started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4" t="str">
        <f aca="false">IF(AND(H23=1,I23=1)=FALSE(),"No master document",IF(M23=0,"No abstract",IF(L23=0,"No briefing paper",IF(K23=0,"No deck","Complete"))))</f>
        <v>No master document</v>
      </c>
      <c r="O23" s="5" t="s">
        <v>115</v>
      </c>
      <c r="P23" s="7"/>
      <c r="Q23" s="7"/>
    </row>
    <row r="24" customFormat="false" ht="23.85" hidden="false" customHeight="false" outlineLevel="0" collapsed="false">
      <c r="A24" s="4" t="s">
        <v>116</v>
      </c>
      <c r="B24" s="4" t="s">
        <v>117</v>
      </c>
      <c r="C24" s="5" t="s">
        <v>118</v>
      </c>
      <c r="D24" s="4" t="s">
        <v>119</v>
      </c>
      <c r="E24" s="4" t="s">
        <v>21</v>
      </c>
      <c r="F24" s="6" t="n">
        <f aca="false">IF(AND(H24=1,I24=1),3,0)+J24+K24+L24+M24</f>
        <v>0</v>
      </c>
      <c r="G24" s="4" t="str">
        <f aca="false">IF(F24&gt;=6,"Ready to show",IF(F24&gt;=4,"Draft, needs outreach",IF(F24&gt;=3,"Master only","Not started")))</f>
        <v>Not started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4" t="str">
        <f aca="false">IF(AND(H24=1,I24=1)=FALSE(),"No master document",IF(M24=0,"No abstract",IF(L24=0,"No briefing paper",IF(K24=0,"No deck","Complete"))))</f>
        <v>No master document</v>
      </c>
      <c r="O24" s="5" t="s">
        <v>120</v>
      </c>
      <c r="P24" s="7"/>
      <c r="Q24" s="7"/>
    </row>
    <row r="25" customFormat="false" ht="23.85" hidden="false" customHeight="false" outlineLevel="0" collapsed="false">
      <c r="A25" s="4" t="s">
        <v>121</v>
      </c>
      <c r="B25" s="4" t="s">
        <v>122</v>
      </c>
      <c r="C25" s="5" t="s">
        <v>123</v>
      </c>
      <c r="D25" s="4" t="s">
        <v>124</v>
      </c>
      <c r="E25" s="4"/>
      <c r="F25" s="6" t="n">
        <f aca="false">IF(AND(H25=1,I25=1),3,0)+J25+K25+L25+M25</f>
        <v>3</v>
      </c>
      <c r="G25" s="4" t="str">
        <f aca="false">IF(F25&gt;=6,"Ready to show",IF(F25&gt;=4,"Draft, needs outreach",IF(F25&gt;=3,"Master only","Not started")))</f>
        <v>Master only</v>
      </c>
      <c r="H25" s="6" t="n">
        <v>1</v>
      </c>
      <c r="I25" s="6" t="n">
        <v>1</v>
      </c>
      <c r="J25" s="6" t="n">
        <v>0</v>
      </c>
      <c r="K25" s="6" t="n">
        <v>0</v>
      </c>
      <c r="L25" s="6" t="n">
        <v>0</v>
      </c>
      <c r="M25" s="6" t="n">
        <v>0</v>
      </c>
      <c r="N25" s="4" t="str">
        <f aca="false">IF(AND(H25=1,I25=1)=FALSE(),"No master document",IF(M25=0,"No abstract",IF(L25=0,"No briefing paper",IF(K25=0,"No deck","Complete"))))</f>
        <v>No abstract</v>
      </c>
      <c r="O25" s="5" t="s">
        <v>125</v>
      </c>
      <c r="P25" s="7"/>
      <c r="Q25" s="7"/>
    </row>
    <row r="26" customFormat="false" ht="23.85" hidden="false" customHeight="false" outlineLevel="0" collapsed="false">
      <c r="A26" s="4" t="s">
        <v>126</v>
      </c>
      <c r="B26" s="4" t="s">
        <v>127</v>
      </c>
      <c r="C26" s="5" t="s">
        <v>128</v>
      </c>
      <c r="D26" s="4" t="s">
        <v>129</v>
      </c>
      <c r="E26" s="4"/>
      <c r="F26" s="6" t="n">
        <f aca="false">IF(AND(H26=1,I26=1),3,0)+J26+K26+L26+M26</f>
        <v>4</v>
      </c>
      <c r="G26" s="4" t="str">
        <f aca="false">IF(F26&gt;=6,"Ready to show",IF(F26&gt;=4,"Draft, needs outreach",IF(F26&gt;=3,"Master only","Not started")))</f>
        <v>Draft, needs outreach</v>
      </c>
      <c r="H26" s="6" t="n">
        <v>1</v>
      </c>
      <c r="I26" s="6" t="n">
        <v>1</v>
      </c>
      <c r="J26" s="6" t="n">
        <v>1</v>
      </c>
      <c r="K26" s="6" t="n">
        <v>0</v>
      </c>
      <c r="L26" s="6" t="n">
        <v>0</v>
      </c>
      <c r="M26" s="6" t="n">
        <v>0</v>
      </c>
      <c r="N26" s="4" t="str">
        <f aca="false">IF(AND(H26=1,I26=1)=FALSE(),"No master document",IF(M26=0,"No abstract",IF(L26=0,"No briefing paper",IF(K26=0,"No deck","Complete"))))</f>
        <v>No abstract</v>
      </c>
      <c r="O26" s="5" t="s">
        <v>130</v>
      </c>
      <c r="P26" s="7"/>
      <c r="Q26" s="7"/>
    </row>
    <row r="27" customFormat="false" ht="15" hidden="false" customHeight="false" outlineLevel="0" collapsed="false">
      <c r="A27" s="4" t="s">
        <v>126</v>
      </c>
      <c r="B27" s="4" t="s">
        <v>131</v>
      </c>
      <c r="C27" s="5" t="s">
        <v>132</v>
      </c>
      <c r="D27" s="4" t="s">
        <v>133</v>
      </c>
      <c r="E27" s="4"/>
      <c r="F27" s="6" t="n">
        <f aca="false">IF(AND(H27=1,I27=1),3,0)+J27+K27+L27+M27</f>
        <v>4</v>
      </c>
      <c r="G27" s="4" t="str">
        <f aca="false">IF(F27&gt;=6,"Ready to show",IF(F27&gt;=4,"Draft, needs outreach",IF(F27&gt;=3,"Master only","Not started")))</f>
        <v>Draft, needs outreach</v>
      </c>
      <c r="H27" s="6" t="n">
        <v>1</v>
      </c>
      <c r="I27" s="6" t="n">
        <v>1</v>
      </c>
      <c r="J27" s="6" t="n">
        <v>1</v>
      </c>
      <c r="K27" s="6" t="n">
        <v>0</v>
      </c>
      <c r="L27" s="6" t="n">
        <v>0</v>
      </c>
      <c r="M27" s="6" t="n">
        <v>0</v>
      </c>
      <c r="N27" s="4" t="str">
        <f aca="false">IF(AND(H27=1,I27=1)=FALSE(),"No master document",IF(M27=0,"No abstract",IF(L27=0,"No briefing paper",IF(K27=0,"No deck","Complete"))))</f>
        <v>No abstract</v>
      </c>
      <c r="O27" s="5" t="s">
        <v>134</v>
      </c>
      <c r="P27" s="7"/>
      <c r="Q27" s="7"/>
    </row>
    <row r="28" customFormat="false" ht="15" hidden="false" customHeight="false" outlineLevel="0" collapsed="false">
      <c r="A28" s="4" t="s">
        <v>135</v>
      </c>
      <c r="B28" s="4" t="s">
        <v>122</v>
      </c>
      <c r="C28" s="5" t="s">
        <v>136</v>
      </c>
      <c r="D28" s="4" t="s">
        <v>137</v>
      </c>
      <c r="E28" s="4"/>
      <c r="F28" s="6" t="n">
        <f aca="false">IF(AND(H28=1,I28=1),3,0)+J28+K28+L28+M28</f>
        <v>3</v>
      </c>
      <c r="G28" s="4" t="str">
        <f aca="false">IF(F28&gt;=6,"Ready to show",IF(F28&gt;=4,"Draft, needs outreach",IF(F28&gt;=3,"Master only","Not started")))</f>
        <v>Master only</v>
      </c>
      <c r="H28" s="6" t="n">
        <v>1</v>
      </c>
      <c r="I28" s="6" t="n">
        <v>1</v>
      </c>
      <c r="J28" s="6" t="n">
        <v>0</v>
      </c>
      <c r="K28" s="6" t="n">
        <v>0</v>
      </c>
      <c r="L28" s="6" t="n">
        <v>0</v>
      </c>
      <c r="M28" s="6" t="n">
        <v>0</v>
      </c>
      <c r="N28" s="4" t="str">
        <f aca="false">IF(AND(H28=1,I28=1)=FALSE(),"No master document",IF(M28=0,"No abstract",IF(L28=0,"No briefing paper",IF(K28=0,"No deck","Complete"))))</f>
        <v>No abstract</v>
      </c>
      <c r="O28" s="5" t="s">
        <v>138</v>
      </c>
      <c r="P28" s="7"/>
      <c r="Q28" s="7"/>
    </row>
    <row r="29" customFormat="false" ht="15" hidden="false" customHeight="false" outlineLevel="0" collapsed="false">
      <c r="A29" s="4" t="s">
        <v>135</v>
      </c>
      <c r="B29" s="4" t="s">
        <v>122</v>
      </c>
      <c r="C29" s="5" t="s">
        <v>139</v>
      </c>
      <c r="D29" s="4" t="s">
        <v>140</v>
      </c>
      <c r="E29" s="4"/>
      <c r="F29" s="6" t="n">
        <f aca="false">IF(AND(H29=1,I29=1),3,0)+J29+K29+L29+M29</f>
        <v>3</v>
      </c>
      <c r="G29" s="4" t="str">
        <f aca="false">IF(F29&gt;=6,"Ready to show",IF(F29&gt;=4,"Draft, needs outreach",IF(F29&gt;=3,"Master only","Not started")))</f>
        <v>Master only</v>
      </c>
      <c r="H29" s="6" t="n">
        <v>1</v>
      </c>
      <c r="I29" s="6" t="n">
        <v>1</v>
      </c>
      <c r="J29" s="6" t="n">
        <v>0</v>
      </c>
      <c r="K29" s="6" t="n">
        <v>0</v>
      </c>
      <c r="L29" s="6" t="n">
        <v>0</v>
      </c>
      <c r="M29" s="6" t="n">
        <v>0</v>
      </c>
      <c r="N29" s="4" t="str">
        <f aca="false">IF(AND(H29=1,I29=1)=FALSE(),"No master document",IF(M29=0,"No abstract",IF(L29=0,"No briefing paper",IF(K29=0,"No deck","Complete"))))</f>
        <v>No abstract</v>
      </c>
      <c r="O29" s="5" t="s">
        <v>138</v>
      </c>
      <c r="P29" s="7"/>
      <c r="Q29" s="7"/>
    </row>
    <row r="30" customFormat="false" ht="15" hidden="false" customHeight="false" outlineLevel="0" collapsed="false">
      <c r="A30" s="4" t="s">
        <v>135</v>
      </c>
      <c r="B30" s="4" t="s">
        <v>122</v>
      </c>
      <c r="C30" s="5" t="s">
        <v>141</v>
      </c>
      <c r="D30" s="4" t="s">
        <v>142</v>
      </c>
      <c r="E30" s="4"/>
      <c r="F30" s="6" t="n">
        <f aca="false">IF(AND(H30=1,I30=1),3,0)+J30+K30+L30+M30</f>
        <v>3</v>
      </c>
      <c r="G30" s="4" t="str">
        <f aca="false">IF(F30&gt;=6,"Ready to show",IF(F30&gt;=4,"Draft, needs outreach",IF(F30&gt;=3,"Master only","Not started")))</f>
        <v>Master only</v>
      </c>
      <c r="H30" s="6" t="n">
        <v>1</v>
      </c>
      <c r="I30" s="6" t="n">
        <v>1</v>
      </c>
      <c r="J30" s="6" t="n">
        <v>0</v>
      </c>
      <c r="K30" s="6" t="n">
        <v>0</v>
      </c>
      <c r="L30" s="6" t="n">
        <v>0</v>
      </c>
      <c r="M30" s="6" t="n">
        <v>0</v>
      </c>
      <c r="N30" s="4" t="str">
        <f aca="false">IF(AND(H30=1,I30=1)=FALSE(),"No master document",IF(M30=0,"No abstract",IF(L30=0,"No briefing paper",IF(K30=0,"No deck","Complete"))))</f>
        <v>No abstract</v>
      </c>
      <c r="O30" s="5" t="s">
        <v>138</v>
      </c>
      <c r="P30" s="7"/>
      <c r="Q30" s="7"/>
    </row>
    <row r="31" customFormat="false" ht="15" hidden="false" customHeight="false" outlineLevel="0" collapsed="false">
      <c r="A31" s="4" t="s">
        <v>143</v>
      </c>
      <c r="B31" s="4" t="s">
        <v>122</v>
      </c>
      <c r="C31" s="5" t="s">
        <v>144</v>
      </c>
      <c r="D31" s="4" t="s">
        <v>144</v>
      </c>
      <c r="E31" s="4"/>
      <c r="F31" s="6" t="n">
        <f aca="false">IF(AND(H31=1,I31=1),3,0)+J31+K31+L31+M31</f>
        <v>3</v>
      </c>
      <c r="G31" s="4" t="str">
        <f aca="false">IF(F31&gt;=6,"Ready to show",IF(F31&gt;=4,"Draft, needs outreach",IF(F31&gt;=3,"Master only","Not started")))</f>
        <v>Master only</v>
      </c>
      <c r="H31" s="6" t="n">
        <v>1</v>
      </c>
      <c r="I31" s="6" t="n">
        <v>1</v>
      </c>
      <c r="J31" s="6" t="n">
        <v>0</v>
      </c>
      <c r="K31" s="6" t="n">
        <v>0</v>
      </c>
      <c r="L31" s="6" t="n">
        <v>0</v>
      </c>
      <c r="M31" s="6" t="n">
        <v>0</v>
      </c>
      <c r="N31" s="4" t="str">
        <f aca="false">IF(AND(H31=1,I31=1)=FALSE(),"No master document",IF(M31=0,"No abstract",IF(L31=0,"No briefing paper",IF(K31=0,"No deck","Complete"))))</f>
        <v>No abstract</v>
      </c>
      <c r="O31" s="5" t="s">
        <v>145</v>
      </c>
      <c r="P31" s="7"/>
      <c r="Q31" s="7"/>
    </row>
    <row r="32" customFormat="false" ht="15" hidden="false" customHeight="false" outlineLevel="0" collapsed="false">
      <c r="A32" s="4" t="s">
        <v>143</v>
      </c>
      <c r="B32" s="4" t="s">
        <v>122</v>
      </c>
      <c r="C32" s="5" t="s">
        <v>146</v>
      </c>
      <c r="D32" s="4" t="s">
        <v>147</v>
      </c>
      <c r="E32" s="4"/>
      <c r="F32" s="6" t="n">
        <f aca="false">IF(AND(H32=1,I32=1),3,0)+J32+K32+L32+M32</f>
        <v>3</v>
      </c>
      <c r="G32" s="4" t="str">
        <f aca="false">IF(F32&gt;=6,"Ready to show",IF(F32&gt;=4,"Draft, needs outreach",IF(F32&gt;=3,"Master only","Not started")))</f>
        <v>Master only</v>
      </c>
      <c r="H32" s="6" t="n">
        <v>1</v>
      </c>
      <c r="I32" s="6" t="n">
        <v>1</v>
      </c>
      <c r="J32" s="6" t="n">
        <v>0</v>
      </c>
      <c r="K32" s="6" t="n">
        <v>0</v>
      </c>
      <c r="L32" s="6" t="n">
        <v>0</v>
      </c>
      <c r="M32" s="6" t="n">
        <v>0</v>
      </c>
      <c r="N32" s="4" t="str">
        <f aca="false">IF(AND(H32=1,I32=1)=FALSE(),"No master document",IF(M32=0,"No abstract",IF(L32=0,"No briefing paper",IF(K32=0,"No deck","Complete"))))</f>
        <v>No abstract</v>
      </c>
      <c r="O32" s="5" t="s">
        <v>148</v>
      </c>
      <c r="P32" s="7"/>
      <c r="Q32" s="7"/>
    </row>
    <row r="33" customFormat="false" ht="15" hidden="false" customHeight="false" outlineLevel="0" collapsed="false">
      <c r="A33" s="4" t="s">
        <v>143</v>
      </c>
      <c r="B33" s="4" t="s">
        <v>122</v>
      </c>
      <c r="C33" s="5" t="s">
        <v>149</v>
      </c>
      <c r="D33" s="4" t="s">
        <v>150</v>
      </c>
      <c r="E33" s="4"/>
      <c r="F33" s="6" t="n">
        <f aca="false">IF(AND(H33=1,I33=1),3,0)+J33+K33+L33+M33</f>
        <v>3</v>
      </c>
      <c r="G33" s="4" t="str">
        <f aca="false">IF(F33&gt;=6,"Ready to show",IF(F33&gt;=4,"Draft, needs outreach",IF(F33&gt;=3,"Master only","Not started")))</f>
        <v>Master only</v>
      </c>
      <c r="H33" s="6" t="n">
        <v>1</v>
      </c>
      <c r="I33" s="6" t="n">
        <v>1</v>
      </c>
      <c r="J33" s="6" t="n">
        <v>0</v>
      </c>
      <c r="K33" s="6" t="n">
        <v>0</v>
      </c>
      <c r="L33" s="6" t="n">
        <v>0</v>
      </c>
      <c r="M33" s="6" t="n">
        <v>0</v>
      </c>
      <c r="N33" s="4" t="str">
        <f aca="false">IF(AND(H33=1,I33=1)=FALSE(),"No master document",IF(M33=0,"No abstract",IF(L33=0,"No briefing paper",IF(K33=0,"No deck","Complete"))))</f>
        <v>No abstract</v>
      </c>
      <c r="O33" s="5" t="s">
        <v>151</v>
      </c>
      <c r="P33" s="7"/>
      <c r="Q33" s="7"/>
    </row>
    <row r="34" customFormat="false" ht="15" hidden="false" customHeight="false" outlineLevel="0" collapsed="false">
      <c r="A34" s="4"/>
      <c r="B34" s="4"/>
      <c r="C34" s="5"/>
      <c r="D34" s="4"/>
      <c r="E34" s="4"/>
      <c r="F34" s="6"/>
      <c r="G34" s="4"/>
      <c r="H34" s="6"/>
      <c r="I34" s="6"/>
      <c r="J34" s="6"/>
      <c r="K34" s="6"/>
      <c r="L34" s="6"/>
      <c r="M34" s="6"/>
      <c r="N34" s="4"/>
      <c r="O34" s="5"/>
      <c r="P34" s="5"/>
      <c r="Q34" s="5"/>
    </row>
    <row r="35" customFormat="false" ht="15" hidden="false" customHeight="false" outlineLevel="0" collapsed="false">
      <c r="A35" s="4"/>
      <c r="B35" s="4"/>
      <c r="C35" s="8" t="s">
        <v>152</v>
      </c>
      <c r="D35" s="4"/>
      <c r="E35" s="4"/>
      <c r="F35" s="9" t="n">
        <f aca="false">SUM(F2:F33)</f>
        <v>88</v>
      </c>
      <c r="G35" s="4"/>
      <c r="H35" s="9" t="n">
        <f aca="false">SUM(H2:H33)</f>
        <v>23</v>
      </c>
      <c r="I35" s="9" t="n">
        <f aca="false">SUM(I2:I33)</f>
        <v>23</v>
      </c>
      <c r="J35" s="9" t="n">
        <f aca="false">SUM(J2:J33)</f>
        <v>6</v>
      </c>
      <c r="K35" s="9" t="n">
        <f aca="false">SUM(K2:K33)</f>
        <v>5</v>
      </c>
      <c r="L35" s="9" t="n">
        <f aca="false">SUM(L2:L33)</f>
        <v>7</v>
      </c>
      <c r="M35" s="9" t="n">
        <f aca="false">SUM(M2:M33)</f>
        <v>1</v>
      </c>
      <c r="N35" s="4"/>
      <c r="O35" s="10" t="str">
        <f aca="false">_xlfn.CONCAT(COUNTIF(G2:G33,"Not started")," of 32 not started")</f>
        <v>9 of 32 not started</v>
      </c>
      <c r="P35" s="5"/>
      <c r="Q35" s="5"/>
    </row>
    <row r="37" customFormat="false" ht="15" hidden="false" customHeight="false" outlineLevel="0" collapsed="false">
      <c r="A37" s="11" t="s">
        <v>153</v>
      </c>
    </row>
    <row r="38" customFormat="false" ht="32.8" hidden="false" customHeight="false" outlineLevel="0" collapsed="false">
      <c r="A38" s="12" t="s">
        <v>4</v>
      </c>
      <c r="C38" s="13" t="s">
        <v>154</v>
      </c>
    </row>
    <row r="39" customFormat="false" ht="32.8" hidden="false" customHeight="false" outlineLevel="0" collapsed="false">
      <c r="A39" s="12" t="s">
        <v>5</v>
      </c>
      <c r="C39" s="13" t="s">
        <v>155</v>
      </c>
    </row>
    <row r="40" customFormat="false" ht="22.35" hidden="false" customHeight="false" outlineLevel="0" collapsed="false">
      <c r="A40" s="12" t="s">
        <v>6</v>
      </c>
      <c r="C40" s="13" t="s">
        <v>156</v>
      </c>
    </row>
    <row r="41" customFormat="false" ht="22.35" hidden="false" customHeight="false" outlineLevel="0" collapsed="false">
      <c r="A41" s="12" t="s">
        <v>157</v>
      </c>
      <c r="C41" s="13" t="s">
        <v>158</v>
      </c>
    </row>
    <row r="42" customFormat="false" ht="22.35" hidden="false" customHeight="false" outlineLevel="0" collapsed="false">
      <c r="A42" s="12" t="s">
        <v>13</v>
      </c>
      <c r="C42" s="13" t="s">
        <v>159</v>
      </c>
    </row>
    <row r="43" customFormat="false" ht="22.35" hidden="false" customHeight="false" outlineLevel="0" collapsed="false">
      <c r="A43" s="12" t="s">
        <v>14</v>
      </c>
      <c r="C43" s="13" t="s">
        <v>160</v>
      </c>
    </row>
    <row r="44" customFormat="false" ht="22.35" hidden="false" customHeight="false" outlineLevel="0" collapsed="false">
      <c r="A44" s="12" t="s">
        <v>15</v>
      </c>
      <c r="C44" s="13" t="s">
        <v>161</v>
      </c>
    </row>
    <row r="45" customFormat="false" ht="15" hidden="false" customHeight="false" outlineLevel="0" collapsed="false">
      <c r="A45" s="12" t="s">
        <v>16</v>
      </c>
      <c r="C45" s="13" t="s">
        <v>162</v>
      </c>
    </row>
    <row r="47" customFormat="false" ht="15" hidden="false" customHeight="false" outlineLevel="0" collapsed="false">
      <c r="A47" s="14" t="s">
        <v>163</v>
      </c>
    </row>
  </sheetData>
  <autoFilter ref="A1:Q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2026-09-17T18:18:36Z</dcterms:created>
  <dc:creator>openpyxl</dc:creator>
  <dc:description/>
  <dc:language>en-US</dc:language>
  <cp:lastModifiedBy/>
  <dcterms:modified xsi:type="dcterms:W3CDTF">2026-09-17T18:18:36Z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